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設定" sheetId="2" state="visible" r:id="rId2"/>
    <sheet name="醫師週班表" sheetId="3" state="visible" r:id="rId3"/>
    <sheet name="醫師班表" sheetId="4" state="visible" r:id="rId4"/>
    <sheet name="醫師月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hh:mm"/>
    <numFmt numFmtId="165" formatCode="0.0"/>
    <numFmt numFmtId="166" formatCode="yyyy-mm-dd"/>
    <numFmt numFmtId="167" formatCode="yyyy/m/d"/>
    <numFmt numFmtId="168" formatCode="0;-0;&quot;–&quot;"/>
    <numFmt numFmtId="169" formatCode="0.00;-0.00;&quot;–&quot;"/>
  </numFmts>
  <fonts count="14">
    <font>
      <name val="Calibri"/>
      <family val="2"/>
      <color theme="1"/>
      <sz val="11"/>
      <scheme val="minor"/>
    </font>
    <font>
      <name val="微軟正黑體"/>
      <b val="1"/>
      <color rgb="00000000"/>
      <sz val="16"/>
    </font>
    <font>
      <name val="微軟正黑體"/>
      <b val="1"/>
      <color rgb="00000000"/>
      <sz val="10"/>
    </font>
    <font>
      <name val="微軟正黑體"/>
      <color rgb="00000000"/>
      <sz val="10"/>
    </font>
    <font>
      <name val="微軟正黑體"/>
      <color rgb="00808080"/>
      <sz val="9"/>
    </font>
    <font>
      <name val="微軟正黑體"/>
      <b val="1"/>
      <color rgb="00000000"/>
      <sz val="11"/>
    </font>
    <font>
      <name val="微軟正黑體"/>
      <b val="1"/>
      <color rgb="00FFFFFF"/>
      <sz val="10"/>
    </font>
    <font>
      <name val="微軟正黑體"/>
      <color rgb="00A8433C"/>
      <sz val="9"/>
    </font>
    <font>
      <name val="微軟正黑體"/>
      <color rgb="00000000"/>
      <sz val="9"/>
    </font>
    <font>
      <name val="微軟正黑體"/>
      <b val="1"/>
      <color rgb="00000000"/>
      <sz val="9"/>
    </font>
    <font>
      <name val="微軟正黑體"/>
      <color rgb="00000000"/>
      <sz val="8"/>
    </font>
    <font>
      <name val="微軟正黑體"/>
      <b val="1"/>
      <color rgb="00FFFFFF"/>
      <sz val="8"/>
    </font>
    <font>
      <name val="微軟正黑體"/>
      <b val="1"/>
      <color rgb="00000000"/>
      <sz val="8"/>
    </font>
    <font>
      <name val="微軟正黑體"/>
      <color rgb="00BBBBBB"/>
      <sz val="8"/>
    </font>
  </fonts>
  <fills count="12">
    <fill>
      <patternFill/>
    </fill>
    <fill>
      <patternFill patternType="gray125"/>
    </fill>
    <fill>
      <patternFill patternType="solid">
        <fgColor rgb="00DCE6EC"/>
      </patternFill>
    </fill>
    <fill>
      <patternFill patternType="solid">
        <fgColor rgb="00FFF2CC"/>
      </patternFill>
    </fill>
    <fill>
      <patternFill patternType="solid">
        <fgColor rgb="001F4E5F"/>
      </patternFill>
    </fill>
    <fill>
      <patternFill patternType="solid">
        <fgColor rgb="00D9D9D9"/>
      </patternFill>
    </fill>
    <fill>
      <patternFill patternType="solid">
        <fgColor rgb="00FBE3EC"/>
      </patternFill>
    </fill>
    <fill>
      <patternFill patternType="solid">
        <fgColor rgb="00D9E7F5"/>
      </patternFill>
    </fill>
    <fill>
      <patternFill patternType="solid">
        <fgColor rgb="00DCEEDC"/>
      </patternFill>
    </fill>
    <fill>
      <patternFill patternType="solid">
        <fgColor rgb="00E8DFF2"/>
      </patternFill>
    </fill>
    <fill>
      <patternFill patternType="solid">
        <fgColor rgb="00FAE8A0"/>
      </patternFill>
    </fill>
    <fill>
      <patternFill patternType="solid">
        <fgColor rgb="00F2F2F2"/>
      </patternFill>
    </fill>
  </fills>
  <borders count="10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7F7F7F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7" fontId="2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8" pivotButton="0" quotePrefix="0" xfId="0"/>
    <xf numFmtId="0" fontId="10" fillId="2" borderId="9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9" borderId="9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6" borderId="9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12" fillId="7" borderId="9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10" borderId="9" applyAlignment="1" pivotButton="0" quotePrefix="0" xfId="0">
      <alignment horizontal="center" vertical="center"/>
    </xf>
    <xf numFmtId="0" fontId="12" fillId="8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0" fillId="0" borderId="7" pivotButton="0" quotePrefix="0" xfId="0"/>
    <xf numFmtId="0" fontId="12" fillId="2" borderId="9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9" fillId="0" borderId="9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9" fillId="6" borderId="1" applyAlignment="1" pivotButton="0" quotePrefix="0" xfId="0">
      <alignment horizontal="center" vertical="center"/>
    </xf>
    <xf numFmtId="168" fontId="12" fillId="11" borderId="9" applyAlignment="1" pivotButton="0" quotePrefix="0" xfId="0">
      <alignment horizontal="center" vertical="center"/>
    </xf>
    <xf numFmtId="168" fontId="12" fillId="11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9">
    <dxf>
      <fill>
        <patternFill patternType="solid">
          <fgColor rgb="00FBE3EC"/>
        </patternFill>
      </fill>
    </dxf>
    <dxf>
      <fill>
        <patternFill patternType="solid">
          <fgColor rgb="00D9E7F5"/>
        </patternFill>
      </fill>
    </dxf>
    <dxf>
      <fill>
        <patternFill patternType="solid">
          <fgColor rgb="00DCEEDC"/>
        </patternFill>
      </fill>
    </dxf>
    <dxf>
      <fill>
        <patternFill patternType="solid">
          <fgColor rgb="00E8DFF2"/>
        </patternFill>
      </fill>
    </dxf>
    <dxf>
      <fill>
        <patternFill patternType="solid">
          <fgColor rgb="00FAE8A0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border>
        <left style="medium">
          <color rgb="00C00000"/>
        </left>
        <right style="medium">
          <color rgb="00C00000"/>
        </right>
        <top style="medium">
          <color rgb="00C00000"/>
        </top>
        <bottom style="medium">
          <color rgb="00C00000"/>
        </bottom>
      </border>
    </dxf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6" customWidth="1" min="3" max="3"/>
  </cols>
  <sheetData>
    <row r="2">
      <c r="B2" s="1" t="inlineStr">
        <is>
          <t>日三牙醫體系 — 統一出勤表(醫師版)使用說明</t>
        </is>
      </c>
    </row>
    <row r="4" ht="53" customHeight="1">
      <c r="B4" s="2" t="inlineStr">
        <is>
          <t>為什麼是一個檔</t>
        </is>
      </c>
      <c r="C4" s="3" t="inlineStr">
        <is>
          <t>體系 27 位醫師裡有 18 位跨院看診,林智俊院長一個人就跑四間。
若一間院所一個檔,排他一個月要開四個檔,而且沒有任何機制擋得住「同一個早診
同時被排在晶悅和晶睿」。所以全體系共用這一個檔。</t>
        </is>
      </c>
    </row>
    <row r="5" ht="68" customHeight="1">
      <c r="B5" s="2" t="inlineStr">
        <is>
          <t>這一版只有醫師</t>
        </is>
      </c>
      <c r="C5" s="3" t="inlineStr">
        <is>
          <t>這是醫師版,工時制的四個分頁(醫護長與管理部班表、打卡匯入、出勤紀錄、月結統計)
已經拿掉,需要時用完整版。那四頁彼此相依——出勤紀錄要讀醫護長與管理部班表與
打卡匯入、月結統計要讀出勤紀錄——所以是整組拿掉,不是只拔一頁。
「設定」分頁裡的班別時段表保留不動,完整版會用到。</t>
        </is>
      </c>
    </row>
    <row r="6" ht="53" customHeight="1">
      <c r="B6" s="2" t="inlineStr">
        <is>
          <t>五個分頁怎麼分工</t>
        </is>
      </c>
      <c r="C6" s="3" t="inlineStr">
        <is>
          <t>① 說明 ② 設定 — 總部維護,各院所勿動。
③ 醫師週班表 — 官網門診表的固定週輪值,是排月班的母表。
④ 醫師班表 ⑤ 醫師月結 — 本月實際診次,由週班表自動展開。</t>
        </is>
      </c>
    </row>
    <row r="7" ht="68" customHeight="1">
      <c r="B7" s="2" t="inlineStr">
        <is>
          <t>週班表與月班表的關係</t>
        </is>
      </c>
      <c r="C7" s="3" t="inlineStr">
        <is>
          <t>門診表是固定的每週輪值,所以月班表不必一格一格填——「醫師班表」已經照
「醫師週班表」把整個月展開好了,直接改例外即可(請假就把該格改成假別代碼)。
⚠ 改「設定」的本期年月只會更新日期與星期列,格子裡的班不會重排。換月份時
   請告知重新產生,或自行把上個月的格子整段調整。</t>
        </is>
      </c>
    </row>
    <row r="8" ht="68" customHeight="1">
      <c r="B8" s="2" t="inlineStr">
        <is>
          <t>各院所診次時間不一樣</t>
        </is>
      </c>
      <c r="C8" s="3" t="inlineStr">
        <is>
          <t>晶悅/晶睿/晶匯/晶曜:早 09:00~11:30、午 14:00~16:30、晚 18:00~20:30。
寶貝牙:早 09:00~14:00、午 14:00~17:00、晚 17:30~21:00,且週一至週五早診休診。
五間院所週日全休、週六晚診全休。醫師班表的早/午/晚只是時段代號,
實際幾點到幾點依「設定」院所清單裡該院所的定義。開診時段表也在那裡。</t>
        </is>
      </c>
    </row>
    <row r="9" ht="53" customHeight="1">
      <c r="B9" s="2" t="inlineStr">
        <is>
          <t>每月作業流程</t>
        </is>
      </c>
      <c r="C9" s="3" t="inlineStr">
        <is>
          <t>上月底:排醫師班表 → 看底下五列「各院所每診次醫師數」有沒有 0 → 發給各院所。
要改固定門診就改「醫師週班表」,整個月會立刻跟著變;
只是這個月的例外(請假、調班)就直接改「醫師班表」的格子。</t>
        </is>
      </c>
    </row>
    <row r="10" ht="83" customHeight="1">
      <c r="B10" s="2" t="inlineStr">
        <is>
          <t>醫師班表怎麼填</t>
        </is>
      </c>
      <c r="C10" s="3" t="inlineStr">
        <is>
          <t>每一天有三格:早診、午診、晚診。格內填院所代碼,空白代表該診次沒排班。
  悅 = 晶悅   睿 = 晶睿   匯 = 晶匯   曜 = 晶曜   寶 = 寶貝牙
請假也是填在診次格裡(特/病/事/公/國/OFF/休),因為醫師請假常常只請半天。
所以醫師的月結一律以「診次」為單位,不是天數——請假 3 個診次就是請一天。
五種院所代碼各有底色,一位醫師整月在五間之間怎麼跑,橫著看一列就知道。</t>
        </is>
      </c>
    </row>
    <row r="11" ht="188" customHeight="1">
      <c r="B11" s="2" t="inlineStr">
        <is>
          <t>改班表哪裡會跟著變</t>
        </is>
      </c>
      <c r="C11" s="3" t="inlineStr">
        <is>
          <t>資料是這樣流的,兩邊改都會立刻反映到月結:
  醫師週班表 →(公式)→ 醫師班表 →(公式)→ 醫師月結
① 改「醫師週班表」= 改固定門診(某位醫師從此改成週三晚診)。
   醫師班表整個月的對應格子會立刻跟著變,月結也立刻變。
② 直接改「醫師班表」的格子 = 這個月的單次例外(某天請假、臨時調班)。
   月結一樣立刻變。
⚠ 但②有個副作用:你打字覆蓋的那一格,原本的公式就沒了,
   從此不再跟著週班表走。那種格子會自動加上紅色外框提醒你。
   要讓它恢復連動,從左右鄰近沒被改過的格子複製一格貼回來即可。
   (旁邊的格子公式一樣,貼過來會自動對應到正確的日期與診次。)</t>
        </is>
      </c>
    </row>
    <row r="12" ht="128" customHeight="1">
      <c r="B12" s="2" t="inlineStr">
        <is>
          <t>醫師週班表的標記怎麼看</t>
        </is>
      </c>
      <c r="C12" s="3" t="inlineStr">
        <is>
          <t>週班表是母表,要表示「這一週在 A 院、下一週在 B 院」,所以比醫師班表多幾種寫法:
  悅        每週固定在晶悅
  悅(隔)    隔週在晶悅(單數週有、雙數週沒有)
  悅/睿     兩間輪替——斜線前是單數週、斜線後是雙數週,全表共四組
  寶(不定)  官網註明非每週固定,需向院所確認
  悅(註)    有附加條件,寫在該列最右邊的附註欄
完整對照表在「設定」分頁的「二之二、醫師週班表的標記」。
醫師班表(月班表)不用這些標記,一格就是一個單純的代碼。</t>
        </is>
      </c>
    </row>
    <row r="13" ht="38" customHeight="1">
      <c r="B13" s="2" t="inlineStr">
        <is>
          <t>兩種下拉箭頭不一樣</t>
        </is>
      </c>
      <c r="C13" s="3" t="inlineStr">
        <is>
          <t>標題列上的箭頭是「篩選鈕」,用來隱藏或顯示列,不是拿來選資料的。
要選員工編號或診次代碼,請點「資料列」的格子——游標移上去右邊才會出現選單箭頭。</t>
        </is>
      </c>
    </row>
    <row r="14" ht="68" customHeight="1">
      <c r="B14" s="2" t="inlineStr">
        <is>
          <t>如果有些格子是空白的</t>
        </is>
      </c>
      <c r="C14" s="3" t="inlineStr">
        <is>
          <t>姓名、專科、日期、星期都是實際文字,任何檢視器都看得到。
但班別格與統計格(醫師月結的診次數、班表底下的人力檢核)是公式,
在不會重算公式的檢視器裡會顯示空白——手機預覽、雲端硬碟預覽都是這樣。
用 Excel 或 Google 試算表正式開啟就會算出來;若仍空白,按 Ctrl+Alt+F9 強制重算。</t>
        </is>
      </c>
    </row>
    <row r="15" ht="68" customHeight="1">
      <c r="B15" s="2" t="inlineStr">
        <is>
          <t>顏色代表什麼</t>
        </is>
      </c>
      <c r="C15" s="3" t="inlineStr">
        <is>
          <t>黃底 = 你要填的格子        灰底 = 公式自動算,別動
淺藍欄 = 週六/週日          灰色格 = 休假類代碼
五種院所底色 = 醫師該診次在哪一間
紅色 = 人力不足或出勤異常    橘色 = 有加班</t>
        </is>
      </c>
    </row>
    <row r="16" ht="83" customHeight="1">
      <c r="B16" s="2" t="inlineStr">
        <is>
          <t>⚠ 法規提醒</t>
        </is>
      </c>
      <c r="C16" s="3" t="inlineStr">
        <is>
          <t>依勞動基準法第 30 條,雇主應置備勞工出勤紀錄,逐日記載至分鐘為止,保存 5 年。
這一版只有醫師的診次統計,沒有法定出勤紀錄——那在完整版的「出勤紀錄」分頁,
涵蓋醫護長與管理部。這一版不能單獨拿來因應勞檢。
受僱醫師是否適用勞基法、工時如何認定,依僱傭契約與主管機關認定,
建議請人資確認後再決定醫師要不要納入工時管理。</t>
        </is>
      </c>
    </row>
    <row r="17" ht="113" customHeight="1">
      <c r="B17" s="2" t="inlineStr">
        <is>
          <t>⚠ 需要核對的三件事</t>
        </is>
      </c>
      <c r="C17" s="3" t="inlineStr">
        <is>
          <t>一、門診表是從截圖轉錄的,姓名與隔週標記請逐格核對「醫師週班表」。
   若能提供五個門診表頁面的網頁存檔,可以完全免除轉錄誤差。
二、陳爵安、吳冠廷、楊孟庭三位只出現在門診表,官網醫療團隊頁的名單沒有,
   已暫編 D025~D027,英文名與專科待補。
三、隔週互換有四組(劉立德週三、朱柏非週六、王泳泉週一、陳昺元週六),
   同一時段在兩間院所輪替。目前假設第 1、3、5 個該星期幾在前一間,
   第 2、4 個在後一間——哪一週在哪一間無從得知,務必確認。</t>
        </is>
      </c>
    </row>
    <row r="18" ht="68" customHeight="1">
      <c r="B18" s="2" t="inlineStr">
        <is>
          <t>目前待補的資料</t>
        </is>
      </c>
      <c r="C18" s="3" t="inlineStr">
        <is>
          <t>一、醫護長與管理部的出勤在完整版,那邊有醫護長與管理部班表、打卡匯入、出勤紀錄、
   月結統計四個分頁。本表目前不含助理。
二、員工編號目前為暫編 D001~D027,若人事或打卡系統另有編號應以那套為準。
三、官網門診表有星號註記者(並非每週固定)需逐一向院所確認。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R20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8" customWidth="1" min="3" max="3"/>
    <col width="9" customWidth="1" min="4" max="4"/>
    <col width="11" customWidth="1" min="5" max="5"/>
    <col width="10" customWidth="1" min="6" max="6"/>
    <col width="11" customWidth="1" min="7" max="7"/>
    <col width="8" customWidth="1" min="8" max="8"/>
    <col width="9" customWidth="1" min="9" max="9"/>
    <col width="9" customWidth="1" min="10" max="10"/>
    <col width="2" customWidth="1" min="11" max="11"/>
    <col width="12" customWidth="1" min="12" max="12"/>
    <col width="2" customWidth="1" min="13" max="13"/>
    <col width="9" customWidth="1" min="14" max="14"/>
    <col width="8" customWidth="1" min="15" max="15"/>
    <col width="2" customWidth="1" min="16" max="16"/>
    <col width="13" customWidth="1" min="17" max="17"/>
    <col width="2" customWidth="1" min="18" max="18"/>
    <col width="16" customWidth="1" min="19" max="19"/>
    <col width="2" customWidth="1" min="20" max="20"/>
    <col width="14" customWidth="1" min="23" max="23"/>
    <col width="26" customWidth="1" min="24" max="24"/>
    <col width="8" customWidth="1" min="25" max="25"/>
    <col width="16" customWidth="1" min="42" max="42"/>
  </cols>
  <sheetData>
    <row r="1">
      <c r="B1" s="1" t="inlineStr">
        <is>
          <t>設定表(總部維護,各院所請勿修改)</t>
        </is>
      </c>
    </row>
    <row r="2">
      <c r="B2" s="4" t="inlineStr">
        <is>
          <t>本期年月</t>
        </is>
      </c>
      <c r="C2" s="5" t="n">
        <v>2026</v>
      </c>
      <c r="D2" s="5" t="n">
        <v>10</v>
      </c>
      <c r="E2" s="6" t="inlineStr">
        <is>
          <t>← 整份檔案的日期、星期都以這裡為準</t>
        </is>
      </c>
    </row>
    <row r="4">
      <c r="B4" s="7" t="inlineStr">
        <is>
          <t>一、班別代碼(工時制:醫護長、管理部共用)</t>
        </is>
      </c>
      <c r="W4" s="2" t="inlineStr">
        <is>
          <t>六、2026 年國定假日(全院休診,班表自動填「國」)</t>
        </is>
      </c>
      <c r="X4" s="8" t="n"/>
      <c r="Y4" s="9" t="n"/>
    </row>
    <row r="5">
      <c r="B5" s="10" t="inlineStr">
        <is>
          <t>代碼</t>
        </is>
      </c>
      <c r="C5" s="10" t="inlineStr">
        <is>
          <t>名稱</t>
        </is>
      </c>
      <c r="D5" s="10" t="inlineStr">
        <is>
          <t>應到</t>
        </is>
      </c>
      <c r="E5" s="10" t="inlineStr">
        <is>
          <t>應退</t>
        </is>
      </c>
      <c r="F5" s="10" t="inlineStr">
        <is>
          <t>休息(分)</t>
        </is>
      </c>
      <c r="G5" s="10" t="inlineStr">
        <is>
          <t>排班工時</t>
        </is>
      </c>
      <c r="H5" s="10" t="inlineStr">
        <is>
          <t>計出勤</t>
        </is>
      </c>
      <c r="I5" s="10" t="inlineStr">
        <is>
          <t>類別</t>
        </is>
      </c>
      <c r="N5" s="11" t="inlineStr">
        <is>
          <t>星期對照</t>
        </is>
      </c>
      <c r="O5" s="11" t="inlineStr"/>
      <c r="Q5" s="11" t="inlineStr">
        <is>
          <t>醫師編號(下拉用)</t>
        </is>
      </c>
      <c r="S5" s="11" t="inlineStr">
        <is>
          <t>工時制人員編號(下拉用)</t>
        </is>
      </c>
      <c r="W5" s="10" t="inlineStr">
        <is>
          <t>日期</t>
        </is>
      </c>
      <c r="X5" s="10" t="inlineStr">
        <is>
          <t>名稱</t>
        </is>
      </c>
      <c r="Y5" s="10" t="inlineStr">
        <is>
          <t>類別</t>
        </is>
      </c>
      <c r="AP5" s="11" t="inlineStr">
        <is>
          <t>醫師週班表下拉選單來源(自動產生,勿刪)</t>
        </is>
      </c>
      <c r="AQ5" s="8" t="n"/>
      <c r="AR5" s="9" t="n"/>
    </row>
    <row r="6">
      <c r="B6" s="12" t="inlineStr">
        <is>
          <t>早</t>
        </is>
      </c>
      <c r="C6" s="13" t="inlineStr">
        <is>
          <t>早班</t>
        </is>
      </c>
      <c r="D6" s="14" t="n">
        <v>0.375</v>
      </c>
      <c r="E6" s="14" t="n">
        <v>0.5</v>
      </c>
      <c r="F6" s="12" t="n">
        <v>0</v>
      </c>
      <c r="G6" s="15" t="n">
        <v>3</v>
      </c>
      <c r="H6" s="12" t="n">
        <v>1</v>
      </c>
      <c r="I6" s="12" t="inlineStr">
        <is>
          <t>上班</t>
        </is>
      </c>
      <c r="N6" s="16" t="n">
        <v>1</v>
      </c>
      <c r="O6" s="16" t="inlineStr">
        <is>
          <t>日</t>
        </is>
      </c>
      <c r="Q6" s="16" t="inlineStr">
        <is>
          <t>D001</t>
        </is>
      </c>
      <c r="S6" s="16" t="inlineStr">
        <is>
          <t>N001</t>
        </is>
      </c>
      <c r="W6" s="17" t="n">
        <v>46023</v>
      </c>
      <c r="X6" s="18" t="inlineStr">
        <is>
          <t>中華民國開國紀念日(週四)</t>
        </is>
      </c>
      <c r="Y6" s="19" t="inlineStr"/>
      <c r="AP6" s="16" t="inlineStr">
        <is>
          <t>悅</t>
        </is>
      </c>
    </row>
    <row r="7">
      <c r="B7" s="12" t="inlineStr">
        <is>
          <t>午</t>
        </is>
      </c>
      <c r="C7" s="13" t="inlineStr">
        <is>
          <t>午班</t>
        </is>
      </c>
      <c r="D7" s="14" t="n">
        <v>0.5833333333333334</v>
      </c>
      <c r="E7" s="14" t="n">
        <v>0.7083333333333334</v>
      </c>
      <c r="F7" s="12" t="n">
        <v>0</v>
      </c>
      <c r="G7" s="15" t="n">
        <v>3</v>
      </c>
      <c r="H7" s="12" t="n">
        <v>1</v>
      </c>
      <c r="I7" s="12" t="inlineStr">
        <is>
          <t>上班</t>
        </is>
      </c>
      <c r="N7" s="16" t="n">
        <v>2</v>
      </c>
      <c r="O7" s="16" t="inlineStr">
        <is>
          <t>一</t>
        </is>
      </c>
      <c r="Q7" s="16" t="inlineStr">
        <is>
          <t>D002</t>
        </is>
      </c>
      <c r="S7" s="16" t="inlineStr">
        <is>
          <t>N002</t>
        </is>
      </c>
      <c r="W7" s="17" t="n">
        <v>46068</v>
      </c>
      <c r="X7" s="18" t="inlineStr">
        <is>
          <t>小年夜(週日)</t>
        </is>
      </c>
      <c r="Y7" s="19" t="inlineStr"/>
      <c r="AP7" s="16" t="inlineStr">
        <is>
          <t>睿</t>
        </is>
      </c>
    </row>
    <row r="8">
      <c r="B8" s="12" t="inlineStr">
        <is>
          <t>晚</t>
        </is>
      </c>
      <c r="C8" s="13" t="inlineStr">
        <is>
          <t>晚班</t>
        </is>
      </c>
      <c r="D8" s="14" t="n">
        <v>0.75</v>
      </c>
      <c r="E8" s="14" t="n">
        <v>0.875</v>
      </c>
      <c r="F8" s="12" t="n">
        <v>0</v>
      </c>
      <c r="G8" s="15" t="n">
        <v>3</v>
      </c>
      <c r="H8" s="12" t="n">
        <v>1</v>
      </c>
      <c r="I8" s="12" t="inlineStr">
        <is>
          <t>上班</t>
        </is>
      </c>
      <c r="N8" s="16" t="n">
        <v>3</v>
      </c>
      <c r="O8" s="16" t="inlineStr">
        <is>
          <t>二</t>
        </is>
      </c>
      <c r="Q8" s="16" t="inlineStr">
        <is>
          <t>D003</t>
        </is>
      </c>
      <c r="S8" s="16" t="inlineStr">
        <is>
          <t>N003</t>
        </is>
      </c>
      <c r="W8" s="17" t="n">
        <v>46069</v>
      </c>
      <c r="X8" s="18" t="inlineStr">
        <is>
          <t>除夕(週一)</t>
        </is>
      </c>
      <c r="Y8" s="19" t="inlineStr"/>
      <c r="AP8" s="16" t="inlineStr">
        <is>
          <t>匯</t>
        </is>
      </c>
    </row>
    <row r="9">
      <c r="B9" s="12" t="inlineStr">
        <is>
          <t>早午</t>
        </is>
      </c>
      <c r="C9" s="13" t="inlineStr">
        <is>
          <t>早班+午班</t>
        </is>
      </c>
      <c r="D9" s="14" t="n">
        <v>0.375</v>
      </c>
      <c r="E9" s="14" t="n">
        <v>0.7083333333333334</v>
      </c>
      <c r="F9" s="12" t="n">
        <v>120</v>
      </c>
      <c r="G9" s="15" t="n">
        <v>6</v>
      </c>
      <c r="H9" s="12" t="n">
        <v>1</v>
      </c>
      <c r="I9" s="12" t="inlineStr">
        <is>
          <t>上班</t>
        </is>
      </c>
      <c r="N9" s="16" t="n">
        <v>4</v>
      </c>
      <c r="O9" s="16" t="inlineStr">
        <is>
          <t>三</t>
        </is>
      </c>
      <c r="Q9" s="16" t="inlineStr">
        <is>
          <t>D004</t>
        </is>
      </c>
      <c r="S9" s="16" t="inlineStr">
        <is>
          <t>N004</t>
        </is>
      </c>
      <c r="W9" s="17" t="n">
        <v>46070</v>
      </c>
      <c r="X9" s="18" t="inlineStr">
        <is>
          <t>春節 初一(週二)</t>
        </is>
      </c>
      <c r="Y9" s="19" t="inlineStr"/>
      <c r="AP9" s="16" t="inlineStr">
        <is>
          <t>曜</t>
        </is>
      </c>
    </row>
    <row r="10">
      <c r="B10" s="12" t="inlineStr">
        <is>
          <t>午晚</t>
        </is>
      </c>
      <c r="C10" s="13" t="inlineStr">
        <is>
          <t>午班+晚班</t>
        </is>
      </c>
      <c r="D10" s="14" t="n">
        <v>0.5833333333333334</v>
      </c>
      <c r="E10" s="14" t="n">
        <v>0.875</v>
      </c>
      <c r="F10" s="12" t="n">
        <v>60</v>
      </c>
      <c r="G10" s="15" t="n">
        <v>6</v>
      </c>
      <c r="H10" s="12" t="n">
        <v>1</v>
      </c>
      <c r="I10" s="12" t="inlineStr">
        <is>
          <t>上班</t>
        </is>
      </c>
      <c r="N10" s="16" t="n">
        <v>5</v>
      </c>
      <c r="O10" s="16" t="inlineStr">
        <is>
          <t>四</t>
        </is>
      </c>
      <c r="Q10" s="16" t="inlineStr">
        <is>
          <t>D005</t>
        </is>
      </c>
      <c r="S10" s="16" t="inlineStr">
        <is>
          <t>M001</t>
        </is>
      </c>
      <c r="W10" s="17" t="n">
        <v>46071</v>
      </c>
      <c r="X10" s="18" t="inlineStr">
        <is>
          <t>春節 初二(週三)</t>
        </is>
      </c>
      <c r="Y10" s="19" t="inlineStr"/>
      <c r="AP10" s="16" t="inlineStr">
        <is>
          <t>寶</t>
        </is>
      </c>
    </row>
    <row r="11">
      <c r="B11" s="12" t="inlineStr">
        <is>
          <t>早晚</t>
        </is>
      </c>
      <c r="C11" s="13" t="inlineStr">
        <is>
          <t>早班+晚班</t>
        </is>
      </c>
      <c r="D11" s="14" t="n">
        <v>0.375</v>
      </c>
      <c r="E11" s="14" t="n">
        <v>0.875</v>
      </c>
      <c r="F11" s="12" t="n">
        <v>360</v>
      </c>
      <c r="G11" s="15" t="n">
        <v>6</v>
      </c>
      <c r="H11" s="12" t="n">
        <v>1</v>
      </c>
      <c r="I11" s="12" t="inlineStr">
        <is>
          <t>上班</t>
        </is>
      </c>
      <c r="N11" s="16" t="n">
        <v>6</v>
      </c>
      <c r="O11" s="16" t="inlineStr">
        <is>
          <t>五</t>
        </is>
      </c>
      <c r="Q11" s="16" t="inlineStr">
        <is>
          <t>D006</t>
        </is>
      </c>
      <c r="S11" s="16" t="inlineStr">
        <is>
          <t>M002</t>
        </is>
      </c>
      <c r="W11" s="17" t="n">
        <v>46072</v>
      </c>
      <c r="X11" s="18" t="inlineStr">
        <is>
          <t>春節 初三(週四)</t>
        </is>
      </c>
      <c r="Y11" s="19" t="inlineStr"/>
      <c r="AP11" s="16" t="inlineStr">
        <is>
          <t>悅(隔)</t>
        </is>
      </c>
    </row>
    <row r="12">
      <c r="B12" s="12" t="inlineStr">
        <is>
          <t>全日</t>
        </is>
      </c>
      <c r="C12" s="13" t="inlineStr">
        <is>
          <t>早+午+晚</t>
        </is>
      </c>
      <c r="D12" s="14" t="n">
        <v>0.375</v>
      </c>
      <c r="E12" s="14" t="n">
        <v>0.875</v>
      </c>
      <c r="F12" s="12" t="n">
        <v>180</v>
      </c>
      <c r="G12" s="15" t="n">
        <v>9</v>
      </c>
      <c r="H12" s="12" t="n">
        <v>1</v>
      </c>
      <c r="I12" s="12" t="inlineStr">
        <is>
          <t>上班</t>
        </is>
      </c>
      <c r="N12" s="16" t="n">
        <v>7</v>
      </c>
      <c r="O12" s="16" t="inlineStr">
        <is>
          <t>六</t>
        </is>
      </c>
      <c r="Q12" s="16" t="inlineStr">
        <is>
          <t>D007</t>
        </is>
      </c>
      <c r="S12" s="16" t="inlineStr">
        <is>
          <t>M003</t>
        </is>
      </c>
      <c r="W12" s="17" t="n">
        <v>46080</v>
      </c>
      <c r="X12" s="18" t="inlineStr">
        <is>
          <t>和平紀念日 補假(週五)</t>
        </is>
      </c>
      <c r="Y12" s="19" t="inlineStr">
        <is>
          <t>補假</t>
        </is>
      </c>
      <c r="AP12" s="16" t="inlineStr">
        <is>
          <t>睿(隔)</t>
        </is>
      </c>
    </row>
    <row r="13">
      <c r="B13" s="12" t="inlineStr">
        <is>
          <t>支</t>
        </is>
      </c>
      <c r="C13" s="13" t="inlineStr">
        <is>
          <t>支援他院</t>
        </is>
      </c>
      <c r="D13" s="14" t="n"/>
      <c r="E13" s="14" t="n"/>
      <c r="F13" s="12" t="n">
        <v>0</v>
      </c>
      <c r="G13" s="15" t="n">
        <v>6</v>
      </c>
      <c r="H13" s="12" t="n">
        <v>1</v>
      </c>
      <c r="I13" s="12" t="inlineStr">
        <is>
          <t>上班</t>
        </is>
      </c>
      <c r="Q13" s="16" t="inlineStr">
        <is>
          <t>D008</t>
        </is>
      </c>
      <c r="S13" s="20" t="inlineStr"/>
      <c r="W13" s="17" t="n">
        <v>46081</v>
      </c>
      <c r="X13" s="18" t="inlineStr">
        <is>
          <t>和平紀念日(週六)</t>
        </is>
      </c>
      <c r="Y13" s="19" t="inlineStr"/>
      <c r="AP13" s="16" t="inlineStr">
        <is>
          <t>匯(隔)</t>
        </is>
      </c>
    </row>
    <row r="14">
      <c r="B14" s="12" t="inlineStr">
        <is>
          <t>訓</t>
        </is>
      </c>
      <c r="C14" s="13" t="inlineStr">
        <is>
          <t>教育訓練/會議</t>
        </is>
      </c>
      <c r="D14" s="14" t="n"/>
      <c r="E14" s="14" t="n"/>
      <c r="F14" s="12" t="n">
        <v>0</v>
      </c>
      <c r="G14" s="15" t="n">
        <v>6</v>
      </c>
      <c r="H14" s="12" t="n">
        <v>1</v>
      </c>
      <c r="I14" s="12" t="inlineStr">
        <is>
          <t>上班</t>
        </is>
      </c>
      <c r="Q14" s="16" t="inlineStr">
        <is>
          <t>D009</t>
        </is>
      </c>
      <c r="S14" s="20" t="inlineStr"/>
      <c r="W14" s="17" t="n">
        <v>46115</v>
      </c>
      <c r="X14" s="18" t="inlineStr">
        <is>
          <t>兒童節 補假(週五)</t>
        </is>
      </c>
      <c r="Y14" s="19" t="inlineStr">
        <is>
          <t>補假</t>
        </is>
      </c>
      <c r="AP14" s="16" t="inlineStr">
        <is>
          <t>曜(隔)</t>
        </is>
      </c>
    </row>
    <row r="15">
      <c r="B15" s="21" t="inlineStr">
        <is>
          <t>OFF</t>
        </is>
      </c>
      <c r="C15" s="22" t="inlineStr">
        <is>
          <t>排休</t>
        </is>
      </c>
      <c r="D15" s="23" t="n"/>
      <c r="E15" s="23" t="n"/>
      <c r="F15" s="21" t="n">
        <v>0</v>
      </c>
      <c r="G15" s="24" t="n">
        <v>0</v>
      </c>
      <c r="H15" s="21" t="n">
        <v>0</v>
      </c>
      <c r="I15" s="21" t="inlineStr">
        <is>
          <t>休假</t>
        </is>
      </c>
      <c r="Q15" s="16" t="inlineStr">
        <is>
          <t>D010</t>
        </is>
      </c>
      <c r="S15" s="20" t="inlineStr"/>
      <c r="W15" s="17" t="n">
        <v>46116</v>
      </c>
      <c r="X15" s="18" t="inlineStr">
        <is>
          <t>兒童節(週六)</t>
        </is>
      </c>
      <c r="Y15" s="19" t="inlineStr"/>
      <c r="AP15" s="16" t="inlineStr">
        <is>
          <t>寶(隔)</t>
        </is>
      </c>
    </row>
    <row r="16">
      <c r="B16" s="21" t="inlineStr">
        <is>
          <t>特</t>
        </is>
      </c>
      <c r="C16" s="22" t="inlineStr">
        <is>
          <t>特休</t>
        </is>
      </c>
      <c r="D16" s="23" t="n"/>
      <c r="E16" s="23" t="n"/>
      <c r="F16" s="21" t="n">
        <v>0</v>
      </c>
      <c r="G16" s="24" t="n">
        <v>0</v>
      </c>
      <c r="H16" s="21" t="n">
        <v>0</v>
      </c>
      <c r="I16" s="21" t="inlineStr">
        <is>
          <t>休假</t>
        </is>
      </c>
      <c r="Q16" s="16" t="inlineStr">
        <is>
          <t>D011</t>
        </is>
      </c>
      <c r="S16" s="20" t="inlineStr"/>
      <c r="W16" s="17" t="n">
        <v>46117</v>
      </c>
      <c r="X16" s="18" t="inlineStr">
        <is>
          <t>清明節(週日)</t>
        </is>
      </c>
      <c r="Y16" s="19" t="inlineStr"/>
      <c r="AP16" s="16" t="inlineStr">
        <is>
          <t>寶(不定)</t>
        </is>
      </c>
    </row>
    <row r="17">
      <c r="B17" s="21" t="inlineStr">
        <is>
          <t>病</t>
        </is>
      </c>
      <c r="C17" s="22" t="inlineStr">
        <is>
          <t>病假</t>
        </is>
      </c>
      <c r="D17" s="23" t="n"/>
      <c r="E17" s="23" t="n"/>
      <c r="F17" s="21" t="n">
        <v>0</v>
      </c>
      <c r="G17" s="24" t="n">
        <v>0</v>
      </c>
      <c r="H17" s="21" t="n">
        <v>0</v>
      </c>
      <c r="I17" s="21" t="inlineStr">
        <is>
          <t>休假</t>
        </is>
      </c>
      <c r="Q17" s="16" t="inlineStr">
        <is>
          <t>D012</t>
        </is>
      </c>
      <c r="S17" s="20" t="inlineStr"/>
      <c r="W17" s="17" t="n">
        <v>46118</v>
      </c>
      <c r="X17" s="18" t="inlineStr">
        <is>
          <t>清明節 補假(週一)</t>
        </is>
      </c>
      <c r="Y17" s="19" t="inlineStr">
        <is>
          <t>補假</t>
        </is>
      </c>
      <c r="AP17" s="16" t="inlineStr">
        <is>
          <t>悅(不定)</t>
        </is>
      </c>
    </row>
    <row r="18">
      <c r="B18" s="21" t="inlineStr">
        <is>
          <t>事</t>
        </is>
      </c>
      <c r="C18" s="22" t="inlineStr">
        <is>
          <t>事假</t>
        </is>
      </c>
      <c r="D18" s="23" t="n"/>
      <c r="E18" s="23" t="n"/>
      <c r="F18" s="21" t="n">
        <v>0</v>
      </c>
      <c r="G18" s="24" t="n">
        <v>0</v>
      </c>
      <c r="H18" s="21" t="n">
        <v>0</v>
      </c>
      <c r="I18" s="21" t="inlineStr">
        <is>
          <t>休假</t>
        </is>
      </c>
      <c r="Q18" s="16" t="inlineStr">
        <is>
          <t>D013</t>
        </is>
      </c>
      <c r="W18" s="17" t="n">
        <v>46143</v>
      </c>
      <c r="X18" s="18" t="inlineStr">
        <is>
          <t>勞動節(週五)</t>
        </is>
      </c>
      <c r="Y18" s="19" t="inlineStr"/>
      <c r="AP18" s="16" t="inlineStr">
        <is>
          <t>悅(註)</t>
        </is>
      </c>
    </row>
    <row r="19">
      <c r="B19" s="21" t="inlineStr">
        <is>
          <t>公</t>
        </is>
      </c>
      <c r="C19" s="22" t="inlineStr">
        <is>
          <t>公假</t>
        </is>
      </c>
      <c r="D19" s="23" t="n"/>
      <c r="E19" s="23" t="n"/>
      <c r="F19" s="21" t="n">
        <v>0</v>
      </c>
      <c r="G19" s="24" t="n">
        <v>0</v>
      </c>
      <c r="H19" s="21" t="n">
        <v>0</v>
      </c>
      <c r="I19" s="21" t="inlineStr">
        <is>
          <t>休假</t>
        </is>
      </c>
      <c r="Q19" s="16" t="inlineStr">
        <is>
          <t>D014</t>
        </is>
      </c>
      <c r="W19" s="17" t="n">
        <v>46192</v>
      </c>
      <c r="X19" s="18" t="inlineStr">
        <is>
          <t>端午節(週五)</t>
        </is>
      </c>
      <c r="Y19" s="19" t="inlineStr"/>
      <c r="AP19" s="16" t="inlineStr">
        <is>
          <t>悅/匯</t>
        </is>
      </c>
    </row>
    <row r="20">
      <c r="B20" s="21" t="inlineStr">
        <is>
          <t>國</t>
        </is>
      </c>
      <c r="C20" s="22" t="inlineStr">
        <is>
          <t>國定假日</t>
        </is>
      </c>
      <c r="D20" s="23" t="n"/>
      <c r="E20" s="23" t="n"/>
      <c r="F20" s="21" t="n">
        <v>0</v>
      </c>
      <c r="G20" s="24" t="n">
        <v>0</v>
      </c>
      <c r="H20" s="21" t="n">
        <v>0</v>
      </c>
      <c r="I20" s="21" t="inlineStr">
        <is>
          <t>休假</t>
        </is>
      </c>
      <c r="Q20" s="16" t="inlineStr">
        <is>
          <t>D015</t>
        </is>
      </c>
      <c r="W20" s="17" t="n">
        <v>46290</v>
      </c>
      <c r="X20" s="18" t="inlineStr">
        <is>
          <t>中秋節(週五)</t>
        </is>
      </c>
      <c r="Y20" s="19" t="inlineStr"/>
      <c r="AP20" s="16" t="inlineStr">
        <is>
          <t>悅/睿</t>
        </is>
      </c>
    </row>
    <row r="21">
      <c r="B21" s="21" t="inlineStr">
        <is>
          <t>休</t>
        </is>
      </c>
      <c r="C21" s="22" t="inlineStr">
        <is>
          <t>休診</t>
        </is>
      </c>
      <c r="D21" s="23" t="n"/>
      <c r="E21" s="23" t="n"/>
      <c r="F21" s="21" t="n">
        <v>0</v>
      </c>
      <c r="G21" s="24" t="n">
        <v>0</v>
      </c>
      <c r="H21" s="21" t="n">
        <v>0</v>
      </c>
      <c r="I21" s="21" t="inlineStr">
        <is>
          <t>休假</t>
        </is>
      </c>
      <c r="Q21" s="16" t="inlineStr">
        <is>
          <t>D016</t>
        </is>
      </c>
      <c r="W21" s="17" t="n">
        <v>46293</v>
      </c>
      <c r="X21" s="18" t="inlineStr">
        <is>
          <t>教師節(週一)</t>
        </is>
      </c>
      <c r="Y21" s="19" t="inlineStr"/>
      <c r="AP21" s="16" t="inlineStr">
        <is>
          <t>睿/曜</t>
        </is>
      </c>
    </row>
    <row r="22">
      <c r="B22" s="6" t="inlineStr">
        <is>
          <t>※ 醫護長與管理部用同一套代碼、同一套時段:早 09:00–12:00、午 14:00–17:00、晚 18:00–21:00。填表的人只要填代碼。</t>
        </is>
      </c>
      <c r="Q22" s="16" t="inlineStr">
        <is>
          <t>D017</t>
        </is>
      </c>
      <c r="W22" s="17" t="n">
        <v>46304</v>
      </c>
      <c r="X22" s="18" t="inlineStr">
        <is>
          <t>國慶日 補假(週五)</t>
        </is>
      </c>
      <c r="Y22" s="19" t="inlineStr">
        <is>
          <t>補假</t>
        </is>
      </c>
      <c r="AP22" s="16" t="inlineStr">
        <is>
          <t>訓</t>
        </is>
      </c>
    </row>
    <row r="23">
      <c r="B23" s="6" t="inlineStr">
        <is>
          <t>※ 有固定時段的代碼必須滿足「應退 − 應到 − 休息 = 排班工時」,否則出勤紀錄會算出不存在的加班。建置腳本會自動檢查。</t>
        </is>
      </c>
      <c r="Q23" s="16" t="inlineStr">
        <is>
          <t>D018</t>
        </is>
      </c>
      <c r="W23" s="17" t="n">
        <v>46305</v>
      </c>
      <c r="X23" s="18" t="inlineStr">
        <is>
          <t>國慶日(週六)</t>
        </is>
      </c>
      <c r="Y23" s="19" t="inlineStr"/>
      <c r="AP23" s="16" t="inlineStr">
        <is>
          <t>OFF</t>
        </is>
      </c>
    </row>
    <row r="24">
      <c r="B24" s="25" t="inlineStr">
        <is>
          <t>※ 注意:勞基法第 30 條的正常工時是每日 8 小時。「全日」排 9 小時,多出來的1 小時本質上就是延長工時,但本表的加班是用「實際 − 排班」算的,排進去就不會被抓出來。要按法規認定,請不要把「全日」當成常態班別。</t>
        </is>
      </c>
      <c r="Q24" s="16" t="inlineStr">
        <is>
          <t>D019</t>
        </is>
      </c>
      <c r="W24" s="17" t="n">
        <v>46320</v>
      </c>
      <c r="X24" s="18" t="inlineStr">
        <is>
          <t>台灣光復節(週日)</t>
        </is>
      </c>
      <c r="Y24" s="19" t="inlineStr"/>
      <c r="AP24" s="16" t="inlineStr">
        <is>
          <t>特</t>
        </is>
      </c>
    </row>
    <row r="25">
      <c r="Q25" s="16" t="inlineStr">
        <is>
          <t>D020</t>
        </is>
      </c>
      <c r="W25" s="17" t="n">
        <v>46321</v>
      </c>
      <c r="X25" s="18" t="inlineStr">
        <is>
          <t>台灣光復節 補假(週一)</t>
        </is>
      </c>
      <c r="Y25" s="19" t="inlineStr">
        <is>
          <t>補假</t>
        </is>
      </c>
      <c r="AP25" s="16" t="inlineStr">
        <is>
          <t>病</t>
        </is>
      </c>
    </row>
    <row r="26">
      <c r="B26" s="7" t="inlineStr">
        <is>
          <t>二、醫師診次代碼(醫師班表用:一格填一個代碼)</t>
        </is>
      </c>
      <c r="E26" s="7" t="inlineStr">
        <is>
          <t>二之二、醫師週班表的標記(母表專用)</t>
        </is>
      </c>
      <c r="Q26" s="16" t="inlineStr">
        <is>
          <t>D021</t>
        </is>
      </c>
      <c r="W26" s="17" t="n">
        <v>46381</v>
      </c>
      <c r="X26" s="18" t="inlineStr">
        <is>
          <t>行憲紀念日(週五)</t>
        </is>
      </c>
      <c r="Y26" s="19" t="inlineStr"/>
      <c r="AP26" s="16" t="inlineStr">
        <is>
          <t>事</t>
        </is>
      </c>
    </row>
    <row r="27">
      <c r="B27" s="10" t="inlineStr">
        <is>
          <t>代碼</t>
        </is>
      </c>
      <c r="C27" s="10" t="inlineStr">
        <is>
          <t>意義</t>
        </is>
      </c>
      <c r="E27" s="10" t="inlineStr">
        <is>
          <t>寫法</t>
        </is>
      </c>
      <c r="F27" s="10" t="inlineStr">
        <is>
          <t>意思</t>
        </is>
      </c>
      <c r="G27" s="10" t="inlineStr">
        <is>
          <t>舉例說明</t>
        </is>
      </c>
      <c r="Q27" s="16" t="inlineStr">
        <is>
          <t>D022</t>
        </is>
      </c>
      <c r="W27" s="20" t="n"/>
      <c r="X27" s="20" t="n"/>
      <c r="Y27" s="20" t="n"/>
      <c r="AP27" s="16" t="inlineStr">
        <is>
          <t>公</t>
        </is>
      </c>
    </row>
    <row r="28">
      <c r="B28" s="26" t="inlineStr">
        <is>
          <t>悅</t>
        </is>
      </c>
      <c r="C28" s="13" t="inlineStr">
        <is>
          <t>晶悅牙醫</t>
        </is>
      </c>
      <c r="E28" s="27" t="inlineStr">
        <is>
          <t>悅</t>
        </is>
      </c>
      <c r="F28" s="20" t="inlineStr">
        <is>
          <t>每週固定</t>
        </is>
      </c>
      <c r="G28" s="28" t="inlineStr">
        <is>
          <t>每一週的這個診次都在晶悅</t>
        </is>
      </c>
      <c r="H28" s="8" t="n"/>
      <c r="I28" s="8" t="n"/>
      <c r="J28" s="9" t="n"/>
      <c r="Q28" s="16" t="inlineStr">
        <is>
          <t>D023</t>
        </is>
      </c>
      <c r="W28" s="20" t="n"/>
      <c r="X28" s="20" t="n"/>
      <c r="Y28" s="20" t="n"/>
      <c r="AP28" s="16" t="inlineStr">
        <is>
          <t>國</t>
        </is>
      </c>
    </row>
    <row r="29">
      <c r="B29" s="29" t="inlineStr">
        <is>
          <t>睿</t>
        </is>
      </c>
      <c r="C29" s="13" t="inlineStr">
        <is>
          <t>晶睿牙醫</t>
        </is>
      </c>
      <c r="E29" s="27" t="inlineStr">
        <is>
          <t>悅(隔)</t>
        </is>
      </c>
      <c r="F29" s="20" t="inlineStr">
        <is>
          <t>隔週看診</t>
        </is>
      </c>
      <c r="G29" s="28" t="inlineStr">
        <is>
          <t>單數週在晶悅,雙數週這個診次不排</t>
        </is>
      </c>
      <c r="H29" s="8" t="n"/>
      <c r="I29" s="8" t="n"/>
      <c r="J29" s="9" t="n"/>
      <c r="Q29" s="16" t="inlineStr">
        <is>
          <t>D024</t>
        </is>
      </c>
      <c r="W29" s="20" t="n"/>
      <c r="X29" s="20" t="n"/>
      <c r="Y29" s="20" t="n"/>
      <c r="AP29" s="16" t="inlineStr">
        <is>
          <t>休</t>
        </is>
      </c>
    </row>
    <row r="30">
      <c r="B30" s="30" t="inlineStr">
        <is>
          <t>匯</t>
        </is>
      </c>
      <c r="C30" s="13" t="inlineStr">
        <is>
          <t>晶匯牙醫</t>
        </is>
      </c>
      <c r="E30" s="27" t="inlineStr">
        <is>
          <t>悅/睿</t>
        </is>
      </c>
      <c r="F30" s="20" t="inlineStr">
        <is>
          <t>兩間院所輪替</t>
        </is>
      </c>
      <c r="G30" s="28" t="inlineStr">
        <is>
          <t>斜線前 = 單數週、斜線後 = 雙數週(全表共四組)</t>
        </is>
      </c>
      <c r="H30" s="8" t="n"/>
      <c r="I30" s="8" t="n"/>
      <c r="J30" s="9" t="n"/>
      <c r="Q30" s="16" t="inlineStr">
        <is>
          <t>D025</t>
        </is>
      </c>
      <c r="W30" s="20" t="n"/>
      <c r="X30" s="20" t="n"/>
      <c r="Y30" s="20" t="n"/>
    </row>
    <row r="31">
      <c r="B31" s="31" t="inlineStr">
        <is>
          <t>曜</t>
        </is>
      </c>
      <c r="C31" s="13" t="inlineStr">
        <is>
          <t>晶曜牙醫</t>
        </is>
      </c>
      <c r="E31" s="27" t="inlineStr">
        <is>
          <t>寶(不定)</t>
        </is>
      </c>
      <c r="F31" s="20" t="inlineStr">
        <is>
          <t>非每週固定</t>
        </is>
      </c>
      <c r="G31" s="28" t="inlineStr">
        <is>
          <t>官網註明「詳情請聯繫院所」,需逐一向院所確認</t>
        </is>
      </c>
      <c r="H31" s="8" t="n"/>
      <c r="I31" s="8" t="n"/>
      <c r="J31" s="9" t="n"/>
      <c r="Q31" s="16" t="inlineStr">
        <is>
          <t>D026</t>
        </is>
      </c>
      <c r="W31" s="20" t="n"/>
      <c r="X31" s="20" t="n"/>
      <c r="Y31" s="20" t="n"/>
    </row>
    <row r="32">
      <c r="B32" s="32" t="inlineStr">
        <is>
          <t>寶</t>
        </is>
      </c>
      <c r="C32" s="13" t="inlineStr">
        <is>
          <t>寶貝牙牙醫</t>
        </is>
      </c>
      <c r="E32" s="27" t="inlineStr">
        <is>
          <t>悅(註)</t>
        </is>
      </c>
      <c r="F32" s="20" t="inlineStr">
        <is>
          <t>有附加條件</t>
        </is>
      </c>
      <c r="G32" s="28" t="inlineStr">
        <is>
          <t>條件寫在該列最右邊的附註欄</t>
        </is>
      </c>
      <c r="H32" s="8" t="n"/>
      <c r="I32" s="8" t="n"/>
      <c r="J32" s="9" t="n"/>
      <c r="Q32" s="16" t="inlineStr">
        <is>
          <t>D027</t>
        </is>
      </c>
      <c r="W32" s="20" t="n"/>
      <c r="X32" s="20" t="n"/>
      <c r="Y32" s="20" t="n"/>
    </row>
    <row r="33">
      <c r="B33" s="27" t="inlineStr">
        <is>
          <t>訓</t>
        </is>
      </c>
      <c r="C33" s="13" t="inlineStr">
        <is>
          <t>教育訓練 / 學會</t>
        </is>
      </c>
      <c r="E33" s="27" t="inlineStr">
        <is>
          <t>OFF 特 病</t>
        </is>
      </c>
      <c r="F33" s="20" t="inlineStr">
        <is>
          <t>休假類</t>
        </is>
      </c>
      <c r="G33" s="28" t="inlineStr">
        <is>
          <t>整個診次請假,寫法與醫師班表相同</t>
        </is>
      </c>
      <c r="H33" s="8" t="n"/>
      <c r="I33" s="8" t="n"/>
      <c r="J33" s="9" t="n"/>
      <c r="Q33" s="20" t="inlineStr"/>
      <c r="W33" s="20" t="n"/>
      <c r="X33" s="20" t="n"/>
      <c r="Y33" s="20" t="n"/>
    </row>
    <row r="34">
      <c r="B34" s="27" t="inlineStr">
        <is>
          <t>OFF</t>
        </is>
      </c>
      <c r="C34" s="13" t="inlineStr">
        <is>
          <t>排休</t>
        </is>
      </c>
      <c r="E34" s="6" t="inlineStr">
        <is>
          <t>※ 單數/雙數週以計算參數區的「隔週基準日」起算,跨月跨年連續不會斷。</t>
        </is>
      </c>
      <c r="Q34" s="20" t="inlineStr"/>
      <c r="W34" s="20" t="n"/>
      <c r="X34" s="20" t="n"/>
      <c r="Y34" s="20" t="n"/>
    </row>
    <row r="35">
      <c r="B35" s="27" t="inlineStr">
        <is>
          <t>特</t>
        </is>
      </c>
      <c r="C35" s="13" t="inlineStr">
        <is>
          <t>特休</t>
        </is>
      </c>
      <c r="E35" s="6" t="inlineStr">
        <is>
          <t>※ 週班表的資料格有下拉選單,但不強制——輸入清單外的寫法只會跳提醒,按「是」照樣存入。</t>
        </is>
      </c>
      <c r="Q35" s="20" t="inlineStr"/>
      <c r="W35" s="20" t="n"/>
      <c r="X35" s="20" t="n"/>
      <c r="Y35" s="20" t="n"/>
    </row>
    <row r="36">
      <c r="B36" s="27" t="inlineStr">
        <is>
          <t>病</t>
        </is>
      </c>
      <c r="C36" s="13" t="inlineStr">
        <is>
          <t>病假</t>
        </is>
      </c>
      <c r="Q36" s="20" t="inlineStr"/>
      <c r="W36" s="20" t="n"/>
      <c r="X36" s="20" t="n"/>
      <c r="Y36" s="20" t="n"/>
    </row>
    <row r="37">
      <c r="B37" s="27" t="inlineStr">
        <is>
          <t>事</t>
        </is>
      </c>
      <c r="C37" s="13" t="inlineStr">
        <is>
          <t>事假</t>
        </is>
      </c>
      <c r="Q37" s="20" t="inlineStr"/>
      <c r="W37" s="20" t="n"/>
      <c r="X37" s="20" t="n"/>
      <c r="Y37" s="20" t="n"/>
    </row>
    <row r="38">
      <c r="B38" s="27" t="inlineStr">
        <is>
          <t>公</t>
        </is>
      </c>
      <c r="C38" s="13" t="inlineStr">
        <is>
          <t>公假</t>
        </is>
      </c>
      <c r="Q38" s="20" t="inlineStr"/>
      <c r="W38" s="20" t="n"/>
      <c r="X38" s="20" t="n"/>
      <c r="Y38" s="20" t="n"/>
    </row>
    <row r="39">
      <c r="B39" s="27" t="inlineStr">
        <is>
          <t>國</t>
        </is>
      </c>
      <c r="C39" s="13" t="inlineStr">
        <is>
          <t>國定假日</t>
        </is>
      </c>
      <c r="Q39" s="20" t="inlineStr"/>
      <c r="W39" s="20" t="n"/>
      <c r="X39" s="20" t="n"/>
      <c r="Y39" s="20" t="n"/>
    </row>
    <row r="40">
      <c r="B40" s="27" t="inlineStr">
        <is>
          <t>休</t>
        </is>
      </c>
      <c r="C40" s="13" t="inlineStr">
        <is>
          <t>休診</t>
        </is>
      </c>
      <c r="Q40" s="20" t="inlineStr"/>
      <c r="W40" s="20" t="n"/>
      <c r="X40" s="20" t="n"/>
      <c r="Y40" s="20" t="n"/>
    </row>
    <row r="41">
      <c r="B41" s="6" t="inlineStr">
        <is>
          <t>※ 醫師班表一格 = 一個診次。填院所代碼表示該診次在哪間看診,填休假代碼表示該診次請假。</t>
        </is>
      </c>
      <c r="Q41" s="20" t="inlineStr"/>
    </row>
    <row r="42">
      <c r="B42" s="6" t="inlineStr">
        <is>
          <t>※ 「醫師週班表」除了上面這些代碼,還會用到右邊那幾種標記——那是母表,要表示隔週與輪替,所以下拉選項比較多。</t>
        </is>
      </c>
      <c r="Q42" s="20" t="inlineStr"/>
      <c r="W42" s="25" t="inlineStr">
        <is>
          <t>※ ⚠ 這份是草稿,務必與行政院人事行政總處公告的「政府行政機關辦公日曆表」核對。法定紀念日日期可信度高,但補假與調整放假(彈性放假)每年公告,以官方版本為準。</t>
        </is>
      </c>
    </row>
    <row r="43">
      <c r="Q43" s="20" t="inlineStr"/>
      <c r="W43" s="6" t="inlineStr">
        <is>
          <t>※ 改這裡不會自動改醫師班表——月班表是產生出來的固定值,改完要重新產生。</t>
        </is>
      </c>
    </row>
    <row r="44">
      <c r="B44" s="7" t="inlineStr">
        <is>
          <t>三、計算參數(全體系一致)</t>
        </is>
      </c>
      <c r="Q44" s="20" t="inlineStr"/>
    </row>
    <row r="45">
      <c r="B45" s="10" t="inlineStr">
        <is>
          <t>參數</t>
        </is>
      </c>
      <c r="C45" s="10" t="inlineStr">
        <is>
          <t>值</t>
        </is>
      </c>
      <c r="D45" s="10" t="inlineStr">
        <is>
          <t>說明</t>
        </is>
      </c>
      <c r="Q45" s="20" t="inlineStr"/>
    </row>
    <row r="46">
      <c r="B46" s="33" t="inlineStr">
        <is>
          <t>加班認定門檻(分)</t>
        </is>
      </c>
      <c r="C46" s="5" t="n">
        <v>30</v>
      </c>
      <c r="D46" s="28" t="inlineStr">
        <is>
          <t>超過排班工時多少分鐘才認定為加班。低於門檻視為正常收尾。</t>
        </is>
      </c>
      <c r="E46" s="8" t="n"/>
      <c r="F46" s="8" t="n"/>
      <c r="G46" s="8" t="n"/>
      <c r="H46" s="8" t="n"/>
      <c r="I46" s="8" t="n"/>
      <c r="J46" s="9" t="n"/>
    </row>
    <row r="47">
      <c r="B47" s="33" t="inlineStr">
        <is>
          <t>加班計算單位(分)</t>
        </is>
      </c>
      <c r="C47" s="5" t="n">
        <v>30</v>
      </c>
      <c r="D47" s="28" t="inlineStr">
        <is>
          <t>認定為加班後,無條件捨去到此單位。填 1 表示逐分鐘計。</t>
        </is>
      </c>
      <c r="E47" s="8" t="n"/>
      <c r="F47" s="8" t="n"/>
      <c r="G47" s="8" t="n"/>
      <c r="H47" s="8" t="n"/>
      <c r="I47" s="8" t="n"/>
      <c r="J47" s="9" t="n"/>
    </row>
    <row r="48">
      <c r="B48" s="33" t="inlineStr">
        <is>
          <t>遲到早退寬限(分)</t>
        </is>
      </c>
      <c r="C48" s="5" t="n">
        <v>5</v>
      </c>
      <c r="D48" s="28" t="inlineStr">
        <is>
          <t>打卡與應到/應退時間差在此範圍內不判定為遲到或早退。</t>
        </is>
      </c>
      <c r="E48" s="8" t="n"/>
      <c r="F48" s="8" t="n"/>
      <c r="G48" s="8" t="n"/>
      <c r="H48" s="8" t="n"/>
      <c r="I48" s="8" t="n"/>
      <c r="J48" s="9" t="n"/>
    </row>
    <row r="49">
      <c r="B49" s="33" t="inlineStr">
        <is>
          <t>隔週基準日</t>
        </is>
      </c>
      <c r="C49" s="34" t="n">
        <v>46293</v>
      </c>
      <c r="D49" s="28" t="inlineStr">
        <is>
          <t>從這個星期一起連續數週。單數週 = 週班表前面那個代碼,雙數週 = 後面那個。若實際輪替對調了,把這個日期往前或往後挪 7 天即可整體對齊。</t>
        </is>
      </c>
      <c r="E49" s="8" t="n"/>
      <c r="F49" s="8" t="n"/>
      <c r="G49" s="8" t="n"/>
      <c r="H49" s="8" t="n"/>
      <c r="I49" s="8" t="n"/>
      <c r="J49" s="9" t="n"/>
    </row>
    <row r="50">
      <c r="B50" s="6" t="inlineStr">
        <is>
          <t>※ 前三個是勞資雙方的認定慣例,不是法律規定的數字。上線前請與人資或勞務顧問確認,並讓同仁事先知道規則。</t>
        </is>
      </c>
    </row>
    <row r="52">
      <c r="B52" s="7" t="inlineStr">
        <is>
          <t>四、院所清單</t>
        </is>
      </c>
      <c r="U52" s="35" t="inlineStr">
        <is>
          <t>一早</t>
        </is>
      </c>
      <c r="V52" s="35" t="inlineStr">
        <is>
          <t>一午</t>
        </is>
      </c>
      <c r="W52" s="35" t="inlineStr">
        <is>
          <t>一晚</t>
        </is>
      </c>
      <c r="X52" s="35" t="inlineStr">
        <is>
          <t>二早</t>
        </is>
      </c>
      <c r="Y52" s="35" t="inlineStr">
        <is>
          <t>二午</t>
        </is>
      </c>
      <c r="Z52" s="35" t="inlineStr">
        <is>
          <t>二晚</t>
        </is>
      </c>
      <c r="AA52" s="35" t="inlineStr">
        <is>
          <t>三早</t>
        </is>
      </c>
      <c r="AB52" s="35" t="inlineStr">
        <is>
          <t>三午</t>
        </is>
      </c>
      <c r="AC52" s="35" t="inlineStr">
        <is>
          <t>三晚</t>
        </is>
      </c>
      <c r="AD52" s="35" t="inlineStr">
        <is>
          <t>四早</t>
        </is>
      </c>
      <c r="AE52" s="35" t="inlineStr">
        <is>
          <t>四午</t>
        </is>
      </c>
      <c r="AF52" s="35" t="inlineStr">
        <is>
          <t>四晚</t>
        </is>
      </c>
      <c r="AG52" s="35" t="inlineStr">
        <is>
          <t>五早</t>
        </is>
      </c>
      <c r="AH52" s="35" t="inlineStr">
        <is>
          <t>五午</t>
        </is>
      </c>
      <c r="AI52" s="35" t="inlineStr">
        <is>
          <t>五晚</t>
        </is>
      </c>
      <c r="AJ52" s="35" t="inlineStr">
        <is>
          <t>六早</t>
        </is>
      </c>
      <c r="AK52" s="35" t="inlineStr">
        <is>
          <t>六午</t>
        </is>
      </c>
      <c r="AL52" s="35" t="inlineStr">
        <is>
          <t>六晚</t>
        </is>
      </c>
      <c r="AM52" s="35" t="inlineStr">
        <is>
          <t>日早</t>
        </is>
      </c>
      <c r="AN52" s="35" t="inlineStr">
        <is>
          <t>日午</t>
        </is>
      </c>
      <c r="AO52" s="35" t="inlineStr">
        <is>
          <t>日晚</t>
        </is>
      </c>
    </row>
    <row r="53">
      <c r="B53" s="10" t="inlineStr">
        <is>
          <t>代碼</t>
        </is>
      </c>
      <c r="C53" s="10" t="inlineStr">
        <is>
          <t>簡稱</t>
        </is>
      </c>
      <c r="D53" s="10" t="inlineStr">
        <is>
          <t>全名</t>
        </is>
      </c>
      <c r="E53" s="10" t="inlineStr">
        <is>
          <t>院長</t>
        </is>
      </c>
      <c r="F53" s="10" t="inlineStr">
        <is>
          <t>電話</t>
        </is>
      </c>
      <c r="G53" s="10" t="inlineStr">
        <is>
          <t>地址</t>
        </is>
      </c>
      <c r="H53" s="10" t="inlineStr">
        <is>
          <t>早診起</t>
        </is>
      </c>
      <c r="I53" s="10" t="inlineStr">
        <is>
          <t>早診訖</t>
        </is>
      </c>
      <c r="J53" s="10" t="inlineStr">
        <is>
          <t>午診起</t>
        </is>
      </c>
      <c r="K53" s="10" t="inlineStr">
        <is>
          <t>午診訖</t>
        </is>
      </c>
      <c r="L53" s="10" t="inlineStr">
        <is>
          <t>晚診起</t>
        </is>
      </c>
      <c r="M53" s="10" t="inlineStr">
        <is>
          <t>晚診訖</t>
        </is>
      </c>
      <c r="U53" s="36" t="inlineStr">
        <is>
          <t>開診時段(1 = 有開診,0 = 休診;順序為週一早…週日晚)</t>
        </is>
      </c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9" t="n"/>
    </row>
    <row r="54">
      <c r="B54" s="37" t="inlineStr">
        <is>
          <t>悅</t>
        </is>
      </c>
      <c r="C54" s="12" t="inlineStr">
        <is>
          <t>晶悅</t>
        </is>
      </c>
      <c r="D54" s="13" t="inlineStr">
        <is>
          <t>晶悅牙醫診所</t>
        </is>
      </c>
      <c r="E54" s="12" t="inlineStr">
        <is>
          <t>林智俊</t>
        </is>
      </c>
      <c r="F54" s="12" t="inlineStr">
        <is>
          <t>03-4257710</t>
        </is>
      </c>
      <c r="G54" s="13" t="inlineStr">
        <is>
          <t>320桃園市中壢區新生路251號</t>
        </is>
      </c>
      <c r="H54" s="20" t="inlineStr">
        <is>
          <t>09:00</t>
        </is>
      </c>
      <c r="I54" s="20" t="inlineStr">
        <is>
          <t>11:30</t>
        </is>
      </c>
      <c r="J54" s="20" t="inlineStr">
        <is>
          <t>14:00</t>
        </is>
      </c>
      <c r="K54" s="20" t="inlineStr">
        <is>
          <t>16:30</t>
        </is>
      </c>
      <c r="L54" s="20" t="inlineStr">
        <is>
          <t>18:00</t>
        </is>
      </c>
      <c r="M54" s="20" t="inlineStr">
        <is>
          <t>20:30</t>
        </is>
      </c>
      <c r="U54" s="38" t="n">
        <v>1</v>
      </c>
      <c r="V54" s="38" t="n">
        <v>1</v>
      </c>
      <c r="W54" s="38" t="n">
        <v>1</v>
      </c>
      <c r="X54" s="38" t="n">
        <v>1</v>
      </c>
      <c r="Y54" s="38" t="n">
        <v>1</v>
      </c>
      <c r="Z54" s="38" t="n">
        <v>1</v>
      </c>
      <c r="AA54" s="38" t="n">
        <v>1</v>
      </c>
      <c r="AB54" s="38" t="n">
        <v>1</v>
      </c>
      <c r="AC54" s="38" t="n">
        <v>1</v>
      </c>
      <c r="AD54" s="38" t="n">
        <v>1</v>
      </c>
      <c r="AE54" s="38" t="n">
        <v>1</v>
      </c>
      <c r="AF54" s="38" t="n">
        <v>1</v>
      </c>
      <c r="AG54" s="38" t="n">
        <v>1</v>
      </c>
      <c r="AH54" s="38" t="n">
        <v>1</v>
      </c>
      <c r="AI54" s="38" t="n">
        <v>1</v>
      </c>
      <c r="AJ54" s="38" t="n">
        <v>1</v>
      </c>
      <c r="AK54" s="38" t="n">
        <v>1</v>
      </c>
      <c r="AL54" s="39" t="n">
        <v>0</v>
      </c>
      <c r="AM54" s="39" t="n">
        <v>0</v>
      </c>
      <c r="AN54" s="39" t="n">
        <v>0</v>
      </c>
      <c r="AO54" s="39" t="n">
        <v>0</v>
      </c>
    </row>
    <row r="55">
      <c r="B55" s="40" t="inlineStr">
        <is>
          <t>睿</t>
        </is>
      </c>
      <c r="C55" s="12" t="inlineStr">
        <is>
          <t>晶睿</t>
        </is>
      </c>
      <c r="D55" s="13" t="inlineStr">
        <is>
          <t>晶睿牙醫診所</t>
        </is>
      </c>
      <c r="E55" s="12" t="inlineStr">
        <is>
          <t>温健成</t>
        </is>
      </c>
      <c r="F55" s="12" t="inlineStr">
        <is>
          <t>03-4522360</t>
        </is>
      </c>
      <c r="G55" s="13" t="inlineStr">
        <is>
          <t>桃園市中壢區福州二街502號</t>
        </is>
      </c>
      <c r="H55" s="20" t="inlineStr">
        <is>
          <t>09:00</t>
        </is>
      </c>
      <c r="I55" s="20" t="inlineStr">
        <is>
          <t>11:30</t>
        </is>
      </c>
      <c r="J55" s="20" t="inlineStr">
        <is>
          <t>14:00</t>
        </is>
      </c>
      <c r="K55" s="20" t="inlineStr">
        <is>
          <t>16:30</t>
        </is>
      </c>
      <c r="L55" s="20" t="inlineStr">
        <is>
          <t>18:00</t>
        </is>
      </c>
      <c r="M55" s="20" t="inlineStr">
        <is>
          <t>20:30</t>
        </is>
      </c>
      <c r="U55" s="38" t="n">
        <v>1</v>
      </c>
      <c r="V55" s="38" t="n">
        <v>1</v>
      </c>
      <c r="W55" s="38" t="n">
        <v>1</v>
      </c>
      <c r="X55" s="38" t="n">
        <v>1</v>
      </c>
      <c r="Y55" s="38" t="n">
        <v>1</v>
      </c>
      <c r="Z55" s="38" t="n">
        <v>1</v>
      </c>
      <c r="AA55" s="38" t="n">
        <v>1</v>
      </c>
      <c r="AB55" s="38" t="n">
        <v>1</v>
      </c>
      <c r="AC55" s="38" t="n">
        <v>1</v>
      </c>
      <c r="AD55" s="38" t="n">
        <v>1</v>
      </c>
      <c r="AE55" s="38" t="n">
        <v>1</v>
      </c>
      <c r="AF55" s="38" t="n">
        <v>1</v>
      </c>
      <c r="AG55" s="38" t="n">
        <v>1</v>
      </c>
      <c r="AH55" s="38" t="n">
        <v>1</v>
      </c>
      <c r="AI55" s="38" t="n">
        <v>1</v>
      </c>
      <c r="AJ55" s="38" t="n">
        <v>1</v>
      </c>
      <c r="AK55" s="38" t="n">
        <v>1</v>
      </c>
      <c r="AL55" s="39" t="n">
        <v>0</v>
      </c>
      <c r="AM55" s="39" t="n">
        <v>0</v>
      </c>
      <c r="AN55" s="39" t="n">
        <v>0</v>
      </c>
      <c r="AO55" s="39" t="n">
        <v>0</v>
      </c>
    </row>
    <row r="56">
      <c r="B56" s="41" t="inlineStr">
        <is>
          <t>匯</t>
        </is>
      </c>
      <c r="C56" s="12" t="inlineStr">
        <is>
          <t>晶匯</t>
        </is>
      </c>
      <c r="D56" s="13" t="inlineStr">
        <is>
          <t>晶匯牙醫診所</t>
        </is>
      </c>
      <c r="E56" s="12" t="inlineStr">
        <is>
          <t>陳昺元</t>
        </is>
      </c>
      <c r="F56" s="12" t="inlineStr">
        <is>
          <t>03-4550719</t>
        </is>
      </c>
      <c r="G56" s="13" t="inlineStr">
        <is>
          <t>桃園市中壢區成章一街172號</t>
        </is>
      </c>
      <c r="H56" s="20" t="inlineStr">
        <is>
          <t>09:00</t>
        </is>
      </c>
      <c r="I56" s="20" t="inlineStr">
        <is>
          <t>11:30</t>
        </is>
      </c>
      <c r="J56" s="20" t="inlineStr">
        <is>
          <t>14:00</t>
        </is>
      </c>
      <c r="K56" s="20" t="inlineStr">
        <is>
          <t>16:30</t>
        </is>
      </c>
      <c r="L56" s="20" t="inlineStr">
        <is>
          <t>18:00</t>
        </is>
      </c>
      <c r="M56" s="20" t="inlineStr">
        <is>
          <t>20:30</t>
        </is>
      </c>
      <c r="U56" s="38" t="n">
        <v>1</v>
      </c>
      <c r="V56" s="38" t="n">
        <v>1</v>
      </c>
      <c r="W56" s="38" t="n">
        <v>1</v>
      </c>
      <c r="X56" s="38" t="n">
        <v>1</v>
      </c>
      <c r="Y56" s="38" t="n">
        <v>1</v>
      </c>
      <c r="Z56" s="38" t="n">
        <v>1</v>
      </c>
      <c r="AA56" s="38" t="n">
        <v>1</v>
      </c>
      <c r="AB56" s="38" t="n">
        <v>1</v>
      </c>
      <c r="AC56" s="38" t="n">
        <v>1</v>
      </c>
      <c r="AD56" s="38" t="n">
        <v>1</v>
      </c>
      <c r="AE56" s="38" t="n">
        <v>1</v>
      </c>
      <c r="AF56" s="38" t="n">
        <v>1</v>
      </c>
      <c r="AG56" s="38" t="n">
        <v>1</v>
      </c>
      <c r="AH56" s="38" t="n">
        <v>1</v>
      </c>
      <c r="AI56" s="38" t="n">
        <v>1</v>
      </c>
      <c r="AJ56" s="38" t="n">
        <v>1</v>
      </c>
      <c r="AK56" s="38" t="n">
        <v>1</v>
      </c>
      <c r="AL56" s="39" t="n">
        <v>0</v>
      </c>
      <c r="AM56" s="39" t="n">
        <v>0</v>
      </c>
      <c r="AN56" s="39" t="n">
        <v>0</v>
      </c>
      <c r="AO56" s="39" t="n">
        <v>0</v>
      </c>
    </row>
    <row r="57">
      <c r="B57" s="42" t="inlineStr">
        <is>
          <t>曜</t>
        </is>
      </c>
      <c r="C57" s="12" t="inlineStr">
        <is>
          <t>晶曜</t>
        </is>
      </c>
      <c r="D57" s="13" t="inlineStr">
        <is>
          <t>晶曜牙醫診所</t>
        </is>
      </c>
      <c r="E57" s="12" t="inlineStr">
        <is>
          <t>劉立德</t>
        </is>
      </c>
      <c r="F57" s="12" t="inlineStr">
        <is>
          <t>03-3150666</t>
        </is>
      </c>
      <c r="G57" s="13" t="inlineStr">
        <is>
          <t>桃園市桃園區中正路1398-1號</t>
        </is>
      </c>
      <c r="H57" s="20" t="inlineStr">
        <is>
          <t>09:00</t>
        </is>
      </c>
      <c r="I57" s="20" t="inlineStr">
        <is>
          <t>11:30</t>
        </is>
      </c>
      <c r="J57" s="20" t="inlineStr">
        <is>
          <t>14:00</t>
        </is>
      </c>
      <c r="K57" s="20" t="inlineStr">
        <is>
          <t>16:30</t>
        </is>
      </c>
      <c r="L57" s="20" t="inlineStr">
        <is>
          <t>18:00</t>
        </is>
      </c>
      <c r="M57" s="20" t="inlineStr">
        <is>
          <t>20:30</t>
        </is>
      </c>
      <c r="U57" s="38" t="n">
        <v>1</v>
      </c>
      <c r="V57" s="38" t="n">
        <v>1</v>
      </c>
      <c r="W57" s="38" t="n">
        <v>1</v>
      </c>
      <c r="X57" s="38" t="n">
        <v>1</v>
      </c>
      <c r="Y57" s="38" t="n">
        <v>1</v>
      </c>
      <c r="Z57" s="38" t="n">
        <v>1</v>
      </c>
      <c r="AA57" s="38" t="n">
        <v>1</v>
      </c>
      <c r="AB57" s="38" t="n">
        <v>1</v>
      </c>
      <c r="AC57" s="38" t="n">
        <v>1</v>
      </c>
      <c r="AD57" s="38" t="n">
        <v>1</v>
      </c>
      <c r="AE57" s="38" t="n">
        <v>1</v>
      </c>
      <c r="AF57" s="38" t="n">
        <v>1</v>
      </c>
      <c r="AG57" s="38" t="n">
        <v>1</v>
      </c>
      <c r="AH57" s="38" t="n">
        <v>1</v>
      </c>
      <c r="AI57" s="38" t="n">
        <v>1</v>
      </c>
      <c r="AJ57" s="38" t="n">
        <v>1</v>
      </c>
      <c r="AK57" s="38" t="n">
        <v>1</v>
      </c>
      <c r="AL57" s="39" t="n">
        <v>0</v>
      </c>
      <c r="AM57" s="39" t="n">
        <v>0</v>
      </c>
      <c r="AN57" s="39" t="n">
        <v>0</v>
      </c>
      <c r="AO57" s="39" t="n">
        <v>0</v>
      </c>
    </row>
    <row r="58">
      <c r="B58" s="43" t="inlineStr">
        <is>
          <t>寶</t>
        </is>
      </c>
      <c r="C58" s="12" t="inlineStr">
        <is>
          <t>寶貝牙</t>
        </is>
      </c>
      <c r="D58" s="13" t="inlineStr">
        <is>
          <t>寶貝牙牙醫診所</t>
        </is>
      </c>
      <c r="E58" s="12" t="inlineStr">
        <is>
          <t>黃育亭</t>
        </is>
      </c>
      <c r="F58" s="12" t="inlineStr">
        <is>
          <t>03-2871688</t>
        </is>
      </c>
      <c r="G58" s="13" t="inlineStr">
        <is>
          <t>桃園市大園區新生路四段273號2樓</t>
        </is>
      </c>
      <c r="H58" s="20" t="inlineStr">
        <is>
          <t>09:00</t>
        </is>
      </c>
      <c r="I58" s="20" t="inlineStr">
        <is>
          <t>14:00</t>
        </is>
      </c>
      <c r="J58" s="20" t="inlineStr">
        <is>
          <t>14:00</t>
        </is>
      </c>
      <c r="K58" s="20" t="inlineStr">
        <is>
          <t>17:00</t>
        </is>
      </c>
      <c r="L58" s="20" t="inlineStr">
        <is>
          <t>17:30</t>
        </is>
      </c>
      <c r="M58" s="20" t="inlineStr">
        <is>
          <t>21:00</t>
        </is>
      </c>
      <c r="U58" s="39" t="n">
        <v>0</v>
      </c>
      <c r="V58" s="38" t="n">
        <v>1</v>
      </c>
      <c r="W58" s="38" t="n">
        <v>1</v>
      </c>
      <c r="X58" s="39" t="n">
        <v>0</v>
      </c>
      <c r="Y58" s="38" t="n">
        <v>1</v>
      </c>
      <c r="Z58" s="38" t="n">
        <v>1</v>
      </c>
      <c r="AA58" s="39" t="n">
        <v>0</v>
      </c>
      <c r="AB58" s="38" t="n">
        <v>1</v>
      </c>
      <c r="AC58" s="38" t="n">
        <v>1</v>
      </c>
      <c r="AD58" s="39" t="n">
        <v>0</v>
      </c>
      <c r="AE58" s="38" t="n">
        <v>1</v>
      </c>
      <c r="AF58" s="38" t="n">
        <v>1</v>
      </c>
      <c r="AG58" s="39" t="n">
        <v>0</v>
      </c>
      <c r="AH58" s="38" t="n">
        <v>1</v>
      </c>
      <c r="AI58" s="38" t="n">
        <v>1</v>
      </c>
      <c r="AJ58" s="38" t="n">
        <v>1</v>
      </c>
      <c r="AK58" s="38" t="n">
        <v>1</v>
      </c>
      <c r="AL58" s="39" t="n">
        <v>0</v>
      </c>
      <c r="AM58" s="39" t="n">
        <v>0</v>
      </c>
      <c r="AN58" s="39" t="n">
        <v>0</v>
      </c>
      <c r="AO58" s="39" t="n">
        <v>0</v>
      </c>
    </row>
    <row r="59">
      <c r="B59" s="12" t="inlineStr"/>
      <c r="C59" s="12" t="inlineStr"/>
      <c r="D59" s="13" t="inlineStr"/>
      <c r="E59" s="12" t="inlineStr"/>
      <c r="F59" s="12" t="inlineStr"/>
      <c r="G59" s="13" t="inlineStr"/>
      <c r="H59" s="20" t="inlineStr"/>
      <c r="I59" s="20" t="inlineStr"/>
      <c r="J59" s="20" t="inlineStr"/>
      <c r="K59" s="20" t="inlineStr"/>
      <c r="L59" s="20" t="inlineStr"/>
      <c r="M59" s="20" t="inlineStr"/>
      <c r="U59" s="38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  <c r="AF59" s="38" t="n"/>
      <c r="AG59" s="38" t="n"/>
      <c r="AH59" s="38" t="n"/>
      <c r="AI59" s="38" t="n"/>
      <c r="AJ59" s="38" t="n"/>
      <c r="AK59" s="38" t="n"/>
      <c r="AL59" s="38" t="n"/>
      <c r="AM59" s="38" t="n"/>
      <c r="AN59" s="38" t="n"/>
      <c r="AO59" s="38" t="n"/>
    </row>
    <row r="60">
      <c r="B60" s="12" t="inlineStr"/>
      <c r="C60" s="12" t="inlineStr"/>
      <c r="D60" s="13" t="inlineStr"/>
      <c r="E60" s="12" t="inlineStr"/>
      <c r="F60" s="12" t="inlineStr"/>
      <c r="G60" s="13" t="inlineStr"/>
      <c r="H60" s="20" t="inlineStr"/>
      <c r="I60" s="20" t="inlineStr"/>
      <c r="J60" s="20" t="inlineStr"/>
      <c r="K60" s="20" t="inlineStr"/>
      <c r="L60" s="20" t="inlineStr"/>
      <c r="M60" s="20" t="inlineStr"/>
      <c r="U60" s="38" t="n"/>
      <c r="V60" s="38" t="n"/>
      <c r="W60" s="38" t="n"/>
      <c r="X60" s="38" t="n"/>
      <c r="Y60" s="38" t="n"/>
      <c r="Z60" s="38" t="n"/>
      <c r="AA60" s="38" t="n"/>
      <c r="AB60" s="38" t="n"/>
      <c r="AC60" s="38" t="n"/>
      <c r="AD60" s="38" t="n"/>
      <c r="AE60" s="38" t="n"/>
      <c r="AF60" s="38" t="n"/>
      <c r="AG60" s="38" t="n"/>
      <c r="AH60" s="38" t="n"/>
      <c r="AI60" s="38" t="n"/>
      <c r="AJ60" s="38" t="n"/>
      <c r="AK60" s="38" t="n"/>
      <c r="AL60" s="38" t="n"/>
      <c r="AM60" s="38" t="n"/>
      <c r="AN60" s="38" t="n"/>
      <c r="AO60" s="38" t="n"/>
    </row>
    <row r="62">
      <c r="B62" s="44" t="inlineStr">
        <is>
          <t>五、人員名冊</t>
        </is>
      </c>
    </row>
    <row r="63">
      <c r="B63" s="10" t="inlineStr">
        <is>
          <t>員工編號</t>
        </is>
      </c>
      <c r="C63" s="10" t="inlineStr">
        <is>
          <t>姓名</t>
        </is>
      </c>
      <c r="D63" s="10" t="inlineStr">
        <is>
          <t>職類</t>
        </is>
      </c>
      <c r="E63" s="10" t="inlineStr">
        <is>
          <t>專科</t>
        </is>
      </c>
      <c r="F63" s="10" t="inlineStr">
        <is>
          <t>職務</t>
        </is>
      </c>
      <c r="G63" s="10" t="inlineStr">
        <is>
          <t>主要院所</t>
        </is>
      </c>
      <c r="H63" s="10" t="inlineStr">
        <is>
          <t>服務院所(醫師)</t>
        </is>
      </c>
      <c r="I63" s="10" t="inlineStr">
        <is>
          <t>英文名</t>
        </is>
      </c>
      <c r="J63" s="10" t="inlineStr">
        <is>
          <t>到職日</t>
        </is>
      </c>
      <c r="K63" s="10" t="inlineStr">
        <is>
          <t>備註</t>
        </is>
      </c>
    </row>
    <row r="64">
      <c r="B64" s="19" t="inlineStr">
        <is>
          <t>D001</t>
        </is>
      </c>
      <c r="C64" s="19" t="inlineStr">
        <is>
          <t>林智俊</t>
        </is>
      </c>
      <c r="D64" s="19" t="inlineStr">
        <is>
          <t>醫師</t>
        </is>
      </c>
      <c r="E64" s="18" t="inlineStr">
        <is>
          <t>牙周植牙專科</t>
        </is>
      </c>
      <c r="F64" s="19" t="inlineStr">
        <is>
          <t>晶悅院長</t>
        </is>
      </c>
      <c r="G64" s="19" t="inlineStr">
        <is>
          <t>晶悅</t>
        </is>
      </c>
      <c r="H64" s="18" t="inlineStr">
        <is>
          <t>晶悅 · 晶睿 · 晶匯 · 晶曜</t>
        </is>
      </c>
      <c r="I64" s="19" t="inlineStr">
        <is>
          <t>JASON LIN</t>
        </is>
      </c>
      <c r="J64" s="19" t="inlineStr"/>
      <c r="K64" s="18" t="inlineStr"/>
    </row>
    <row r="65">
      <c r="B65" s="19" t="inlineStr">
        <is>
          <t>D002</t>
        </is>
      </c>
      <c r="C65" s="19" t="inlineStr">
        <is>
          <t>劉立德</t>
        </is>
      </c>
      <c r="D65" s="19" t="inlineStr">
        <is>
          <t>醫師</t>
        </is>
      </c>
      <c r="E65" s="18" t="inlineStr">
        <is>
          <t>植牙專科 家庭牙醫專科</t>
        </is>
      </c>
      <c r="F65" s="19" t="inlineStr">
        <is>
          <t>晶曜院長</t>
        </is>
      </c>
      <c r="G65" s="19" t="inlineStr">
        <is>
          <t>晶曜</t>
        </is>
      </c>
      <c r="H65" s="18" t="inlineStr">
        <is>
          <t>晶睿 · 晶曜</t>
        </is>
      </c>
      <c r="I65" s="19" t="inlineStr">
        <is>
          <t>LEADER LIU</t>
        </is>
      </c>
      <c r="J65" s="19" t="inlineStr"/>
      <c r="K65" s="18" t="inlineStr"/>
    </row>
    <row r="66">
      <c r="B66" s="19" t="inlineStr">
        <is>
          <t>D003</t>
        </is>
      </c>
      <c r="C66" s="19" t="inlineStr">
        <is>
          <t>王泳泉</t>
        </is>
      </c>
      <c r="D66" s="19" t="inlineStr">
        <is>
          <t>醫師</t>
        </is>
      </c>
      <c r="E66" s="18" t="inlineStr">
        <is>
          <t>矯正專科</t>
        </is>
      </c>
      <c r="F66" s="19" t="inlineStr"/>
      <c r="G66" s="19" t="inlineStr">
        <is>
          <t>晶悅</t>
        </is>
      </c>
      <c r="H66" s="18" t="inlineStr">
        <is>
          <t>晶悅 · 晶睿</t>
        </is>
      </c>
      <c r="I66" s="19" t="inlineStr">
        <is>
          <t>RYAN WANG</t>
        </is>
      </c>
      <c r="J66" s="19" t="inlineStr"/>
      <c r="K66" s="18" t="inlineStr"/>
    </row>
    <row r="67">
      <c r="B67" s="19" t="inlineStr">
        <is>
          <t>D004</t>
        </is>
      </c>
      <c r="C67" s="19" t="inlineStr">
        <is>
          <t>劉玠旻</t>
        </is>
      </c>
      <c r="D67" s="19" t="inlineStr">
        <is>
          <t>醫師</t>
        </is>
      </c>
      <c r="E67" s="18" t="inlineStr">
        <is>
          <t>兒童專科</t>
        </is>
      </c>
      <c r="F67" s="19" t="inlineStr"/>
      <c r="G67" s="19" t="inlineStr">
        <is>
          <t>晶悅</t>
        </is>
      </c>
      <c r="H67" s="18" t="inlineStr">
        <is>
          <t>晶悅 · 晶睿 · 晶曜</t>
        </is>
      </c>
      <c r="I67" s="19" t="inlineStr">
        <is>
          <t>CHIEH-MIN LIU</t>
        </is>
      </c>
      <c r="J67" s="19" t="inlineStr"/>
      <c r="K67" s="18" t="inlineStr"/>
    </row>
    <row r="68">
      <c r="B68" s="19" t="inlineStr">
        <is>
          <t>D005</t>
        </is>
      </c>
      <c r="C68" s="19" t="inlineStr">
        <is>
          <t>陳志僑</t>
        </is>
      </c>
      <c r="D68" s="19" t="inlineStr">
        <is>
          <t>醫師</t>
        </is>
      </c>
      <c r="E68" s="18" t="inlineStr">
        <is>
          <t>口外專科</t>
        </is>
      </c>
      <c r="F68" s="19" t="inlineStr"/>
      <c r="G68" s="19" t="inlineStr">
        <is>
          <t>晶悅</t>
        </is>
      </c>
      <c r="H68" s="18" t="inlineStr">
        <is>
          <t>晶悅 · 晶睿</t>
        </is>
      </c>
      <c r="I68" s="19" t="inlineStr">
        <is>
          <t>CHIH-CHIAO CHEN</t>
        </is>
      </c>
      <c r="J68" s="19" t="inlineStr"/>
      <c r="K68" s="18" t="inlineStr"/>
    </row>
    <row r="69">
      <c r="B69" s="19" t="inlineStr">
        <is>
          <t>D006</t>
        </is>
      </c>
      <c r="C69" s="19" t="inlineStr">
        <is>
          <t>黃榆鈞</t>
        </is>
      </c>
      <c r="D69" s="19" t="inlineStr">
        <is>
          <t>醫師</t>
        </is>
      </c>
      <c r="E69" s="18" t="inlineStr">
        <is>
          <t>矯正專科</t>
        </is>
      </c>
      <c r="F69" s="19" t="inlineStr"/>
      <c r="G69" s="19" t="inlineStr">
        <is>
          <t>晶悅</t>
        </is>
      </c>
      <c r="H69" s="18" t="inlineStr">
        <is>
          <t>晶悅 · 寶貝牙</t>
        </is>
      </c>
      <c r="I69" s="19" t="inlineStr">
        <is>
          <t>YU-CHUN HUANG</t>
        </is>
      </c>
      <c r="J69" s="19" t="inlineStr"/>
      <c r="K69" s="18" t="inlineStr"/>
    </row>
    <row r="70">
      <c r="B70" s="19" t="inlineStr">
        <is>
          <t>D007</t>
        </is>
      </c>
      <c r="C70" s="19" t="inlineStr">
        <is>
          <t>温翊君</t>
        </is>
      </c>
      <c r="D70" s="19" t="inlineStr">
        <is>
          <t>醫師</t>
        </is>
      </c>
      <c r="E70" s="18" t="inlineStr">
        <is>
          <t>根管治療專科</t>
        </is>
      </c>
      <c r="F70" s="19" t="inlineStr"/>
      <c r="G70" s="19" t="inlineStr">
        <is>
          <t>晶悅</t>
        </is>
      </c>
      <c r="H70" s="18" t="inlineStr">
        <is>
          <t>晶悅</t>
        </is>
      </c>
      <c r="I70" s="19" t="inlineStr">
        <is>
          <t>YI-CHUN WEN</t>
        </is>
      </c>
      <c r="J70" s="19" t="inlineStr"/>
      <c r="K70" s="18" t="inlineStr"/>
    </row>
    <row r="71">
      <c r="B71" s="19" t="inlineStr">
        <is>
          <t>D008</t>
        </is>
      </c>
      <c r="C71" s="19" t="inlineStr">
        <is>
          <t>林紫亭</t>
        </is>
      </c>
      <c r="D71" s="19" t="inlineStr">
        <is>
          <t>醫師</t>
        </is>
      </c>
      <c r="E71" s="18" t="inlineStr"/>
      <c r="F71" s="19" t="inlineStr"/>
      <c r="G71" s="19" t="inlineStr">
        <is>
          <t>晶悅</t>
        </is>
      </c>
      <c r="H71" s="18" t="inlineStr">
        <is>
          <t>晶悅</t>
        </is>
      </c>
      <c r="I71" s="19" t="inlineStr">
        <is>
          <t>TZU-TING LIN</t>
        </is>
      </c>
      <c r="J71" s="19" t="inlineStr"/>
      <c r="K71" s="18" t="inlineStr"/>
    </row>
    <row r="72">
      <c r="B72" s="19" t="inlineStr">
        <is>
          <t>D009</t>
        </is>
      </c>
      <c r="C72" s="19" t="inlineStr">
        <is>
          <t>陳昺元</t>
        </is>
      </c>
      <c r="D72" s="19" t="inlineStr">
        <is>
          <t>醫師</t>
        </is>
      </c>
      <c r="E72" s="18" t="inlineStr">
        <is>
          <t>美學植牙專科</t>
        </is>
      </c>
      <c r="F72" s="19" t="inlineStr">
        <is>
          <t>晶匯院長</t>
        </is>
      </c>
      <c r="G72" s="19" t="inlineStr">
        <is>
          <t>晶匯</t>
        </is>
      </c>
      <c r="H72" s="18" t="inlineStr">
        <is>
          <t>晶悅 · 晶匯 · 寶貝牙</t>
        </is>
      </c>
      <c r="I72" s="19" t="inlineStr">
        <is>
          <t>PING-YUAN CHEN</t>
        </is>
      </c>
      <c r="J72" s="19" t="inlineStr"/>
      <c r="K72" s="18" t="inlineStr"/>
    </row>
    <row r="73">
      <c r="B73" s="19" t="inlineStr">
        <is>
          <t>D010</t>
        </is>
      </c>
      <c r="C73" s="19" t="inlineStr">
        <is>
          <t>蔡季軒</t>
        </is>
      </c>
      <c r="D73" s="19" t="inlineStr">
        <is>
          <t>醫師</t>
        </is>
      </c>
      <c r="E73" s="18" t="inlineStr"/>
      <c r="F73" s="19" t="inlineStr"/>
      <c r="G73" s="19" t="inlineStr">
        <is>
          <t>晶悅</t>
        </is>
      </c>
      <c r="H73" s="18" t="inlineStr">
        <is>
          <t>晶悅</t>
        </is>
      </c>
      <c r="I73" s="19" t="inlineStr">
        <is>
          <t>CHI-HSUAN TSAI</t>
        </is>
      </c>
      <c r="J73" s="19" t="inlineStr"/>
      <c r="K73" s="18" t="inlineStr"/>
    </row>
    <row r="74">
      <c r="B74" s="19" t="inlineStr">
        <is>
          <t>D011</t>
        </is>
      </c>
      <c r="C74" s="19" t="inlineStr">
        <is>
          <t>温健成</t>
        </is>
      </c>
      <c r="D74" s="19" t="inlineStr">
        <is>
          <t>醫師</t>
        </is>
      </c>
      <c r="E74" s="18" t="inlineStr"/>
      <c r="F74" s="19" t="inlineStr">
        <is>
          <t>晶睿院長</t>
        </is>
      </c>
      <c r="G74" s="19" t="inlineStr">
        <is>
          <t>晶睿</t>
        </is>
      </c>
      <c r="H74" s="18" t="inlineStr">
        <is>
          <t>晶睿 · 晶匯</t>
        </is>
      </c>
      <c r="I74" s="19" t="inlineStr">
        <is>
          <t>JIAN-CHENG WEN</t>
        </is>
      </c>
      <c r="J74" s="19" t="inlineStr"/>
      <c r="K74" s="18" t="inlineStr"/>
    </row>
    <row r="75">
      <c r="B75" s="19" t="inlineStr">
        <is>
          <t>D012</t>
        </is>
      </c>
      <c r="C75" s="19" t="inlineStr">
        <is>
          <t>陳立軒</t>
        </is>
      </c>
      <c r="D75" s="19" t="inlineStr">
        <is>
          <t>醫師</t>
        </is>
      </c>
      <c r="E75" s="18" t="inlineStr"/>
      <c r="F75" s="19" t="inlineStr"/>
      <c r="G75" s="19" t="inlineStr">
        <is>
          <t>晶睿</t>
        </is>
      </c>
      <c r="H75" s="18" t="inlineStr">
        <is>
          <t>晶睿 · 晶匯 · 晶曜</t>
        </is>
      </c>
      <c r="I75" s="19" t="inlineStr">
        <is>
          <t>LI-HSUAN CHEN</t>
        </is>
      </c>
      <c r="J75" s="19" t="inlineStr"/>
      <c r="K75" s="18" t="inlineStr"/>
    </row>
    <row r="76">
      <c r="B76" s="19" t="inlineStr">
        <is>
          <t>D013</t>
        </is>
      </c>
      <c r="C76" s="19" t="inlineStr">
        <is>
          <t>朱柏非</t>
        </is>
      </c>
      <c r="D76" s="19" t="inlineStr">
        <is>
          <t>醫師</t>
        </is>
      </c>
      <c r="E76" s="18" t="inlineStr"/>
      <c r="F76" s="19" t="inlineStr"/>
      <c r="G76" s="19" t="inlineStr">
        <is>
          <t>晶悅</t>
        </is>
      </c>
      <c r="H76" s="18" t="inlineStr">
        <is>
          <t>晶悅 · 晶匯 · 寶貝牙</t>
        </is>
      </c>
      <c r="I76" s="19" t="inlineStr">
        <is>
          <t>PO-FEI CHU</t>
        </is>
      </c>
      <c r="J76" s="19" t="inlineStr"/>
      <c r="K76" s="18" t="inlineStr"/>
    </row>
    <row r="77">
      <c r="B77" s="19" t="inlineStr">
        <is>
          <t>D014</t>
        </is>
      </c>
      <c r="C77" s="19" t="inlineStr">
        <is>
          <t>鄭漢賢</t>
        </is>
      </c>
      <c r="D77" s="19" t="inlineStr">
        <is>
          <t>醫師</t>
        </is>
      </c>
      <c r="E77" s="18" t="inlineStr"/>
      <c r="F77" s="19" t="inlineStr"/>
      <c r="G77" s="19" t="inlineStr">
        <is>
          <t>晶悅</t>
        </is>
      </c>
      <c r="H77" s="18" t="inlineStr">
        <is>
          <t>晶悅 · 晶匯</t>
        </is>
      </c>
      <c r="I77" s="19" t="inlineStr">
        <is>
          <t>HON-YIN CHENG</t>
        </is>
      </c>
      <c r="J77" s="19" t="inlineStr"/>
      <c r="K77" s="18" t="inlineStr"/>
    </row>
    <row r="78">
      <c r="B78" s="19" t="inlineStr">
        <is>
          <t>D015</t>
        </is>
      </c>
      <c r="C78" s="19" t="inlineStr">
        <is>
          <t>徐平</t>
        </is>
      </c>
      <c r="D78" s="19" t="inlineStr">
        <is>
          <t>醫師</t>
        </is>
      </c>
      <c r="E78" s="18" t="inlineStr"/>
      <c r="F78" s="19" t="inlineStr"/>
      <c r="G78" s="19" t="inlineStr">
        <is>
          <t>晶悅</t>
        </is>
      </c>
      <c r="H78" s="18" t="inlineStr">
        <is>
          <t>晶悅 · 晶曜</t>
        </is>
      </c>
      <c r="I78" s="19" t="inlineStr">
        <is>
          <t>PING HSU</t>
        </is>
      </c>
      <c r="J78" s="19" t="inlineStr"/>
      <c r="K78" s="18" t="inlineStr"/>
    </row>
    <row r="79">
      <c r="B79" s="19" t="inlineStr">
        <is>
          <t>D016</t>
        </is>
      </c>
      <c r="C79" s="19" t="inlineStr">
        <is>
          <t>賴敏傑</t>
        </is>
      </c>
      <c r="D79" s="19" t="inlineStr">
        <is>
          <t>醫師</t>
        </is>
      </c>
      <c r="E79" s="18" t="inlineStr"/>
      <c r="F79" s="19" t="inlineStr"/>
      <c r="G79" s="19" t="inlineStr">
        <is>
          <t>晶睿</t>
        </is>
      </c>
      <c r="H79" s="18" t="inlineStr">
        <is>
          <t>晶睿</t>
        </is>
      </c>
      <c r="I79" s="19" t="inlineStr">
        <is>
          <t>MIN-CHIEH LAI</t>
        </is>
      </c>
      <c r="J79" s="19" t="inlineStr"/>
      <c r="K79" s="18" t="inlineStr"/>
    </row>
    <row r="80">
      <c r="B80" s="19" t="inlineStr">
        <is>
          <t>D017</t>
        </is>
      </c>
      <c r="C80" s="19" t="inlineStr">
        <is>
          <t>吳柏賢</t>
        </is>
      </c>
      <c r="D80" s="19" t="inlineStr">
        <is>
          <t>醫師</t>
        </is>
      </c>
      <c r="E80" s="18" t="inlineStr"/>
      <c r="F80" s="19" t="inlineStr"/>
      <c r="G80" s="19" t="inlineStr">
        <is>
          <t>晶睿</t>
        </is>
      </c>
      <c r="H80" s="18" t="inlineStr">
        <is>
          <t>晶睿 · 晶曜</t>
        </is>
      </c>
      <c r="I80" s="19" t="inlineStr">
        <is>
          <t>BO-XIAN WU</t>
        </is>
      </c>
      <c r="J80" s="19" t="inlineStr"/>
      <c r="K80" s="18" t="inlineStr"/>
    </row>
    <row r="81">
      <c r="B81" s="19" t="inlineStr">
        <is>
          <t>D018</t>
        </is>
      </c>
      <c r="C81" s="19" t="inlineStr">
        <is>
          <t>許博諺</t>
        </is>
      </c>
      <c r="D81" s="19" t="inlineStr">
        <is>
          <t>醫師</t>
        </is>
      </c>
      <c r="E81" s="18" t="inlineStr"/>
      <c r="F81" s="19" t="inlineStr"/>
      <c r="G81" s="19" t="inlineStr">
        <is>
          <t>晶睿</t>
        </is>
      </c>
      <c r="H81" s="18" t="inlineStr">
        <is>
          <t>晶睿 · 晶曜</t>
        </is>
      </c>
      <c r="I81" s="19" t="inlineStr">
        <is>
          <t>PO-YEN HSU</t>
        </is>
      </c>
      <c r="J81" s="19" t="inlineStr"/>
      <c r="K81" s="18" t="inlineStr"/>
    </row>
    <row r="82">
      <c r="B82" s="19" t="inlineStr">
        <is>
          <t>D019</t>
        </is>
      </c>
      <c r="C82" s="19" t="inlineStr">
        <is>
          <t>翁崎紘</t>
        </is>
      </c>
      <c r="D82" s="19" t="inlineStr">
        <is>
          <t>醫師</t>
        </is>
      </c>
      <c r="E82" s="18" t="inlineStr"/>
      <c r="F82" s="19" t="inlineStr"/>
      <c r="G82" s="19" t="inlineStr">
        <is>
          <t>晶悅</t>
        </is>
      </c>
      <c r="H82" s="18" t="inlineStr">
        <is>
          <t>晶悅</t>
        </is>
      </c>
      <c r="I82" s="19" t="inlineStr">
        <is>
          <t>CHI-HONG WENG</t>
        </is>
      </c>
      <c r="J82" s="19" t="inlineStr"/>
      <c r="K82" s="18" t="inlineStr"/>
    </row>
    <row r="83">
      <c r="B83" s="19" t="inlineStr">
        <is>
          <t>D020</t>
        </is>
      </c>
      <c r="C83" s="19" t="inlineStr">
        <is>
          <t>余柏萱</t>
        </is>
      </c>
      <c r="D83" s="19" t="inlineStr">
        <is>
          <t>醫師</t>
        </is>
      </c>
      <c r="E83" s="18" t="inlineStr"/>
      <c r="F83" s="19" t="inlineStr"/>
      <c r="G83" s="19" t="inlineStr">
        <is>
          <t>晶睿</t>
        </is>
      </c>
      <c r="H83" s="18" t="inlineStr">
        <is>
          <t>晶睿 · 寶貝牙</t>
        </is>
      </c>
      <c r="I83" s="19" t="inlineStr">
        <is>
          <t>PO-HSUAN YU</t>
        </is>
      </c>
      <c r="J83" s="19" t="inlineStr"/>
      <c r="K83" s="18" t="inlineStr"/>
    </row>
    <row r="84">
      <c r="B84" s="19" t="inlineStr">
        <is>
          <t>D021</t>
        </is>
      </c>
      <c r="C84" s="19" t="inlineStr">
        <is>
          <t>鄭博文</t>
        </is>
      </c>
      <c r="D84" s="19" t="inlineStr">
        <is>
          <t>醫師</t>
        </is>
      </c>
      <c r="E84" s="18" t="inlineStr"/>
      <c r="F84" s="19" t="inlineStr"/>
      <c r="G84" s="19" t="inlineStr">
        <is>
          <t>晶悅</t>
        </is>
      </c>
      <c r="H84" s="18" t="inlineStr">
        <is>
          <t>晶悅</t>
        </is>
      </c>
      <c r="I84" s="19" t="inlineStr">
        <is>
          <t>PO-WEN CHENG</t>
        </is>
      </c>
      <c r="J84" s="19" t="inlineStr"/>
      <c r="K84" s="18" t="inlineStr"/>
    </row>
    <row r="85">
      <c r="B85" s="19" t="inlineStr">
        <is>
          <t>D022</t>
        </is>
      </c>
      <c r="C85" s="19" t="inlineStr">
        <is>
          <t>黃育亭</t>
        </is>
      </c>
      <c r="D85" s="19" t="inlineStr">
        <is>
          <t>醫師</t>
        </is>
      </c>
      <c r="E85" s="18" t="inlineStr">
        <is>
          <t>兒童</t>
        </is>
      </c>
      <c r="F85" s="19" t="inlineStr">
        <is>
          <t>寶貝牙院長</t>
        </is>
      </c>
      <c r="G85" s="19" t="inlineStr">
        <is>
          <t>寶貝牙</t>
        </is>
      </c>
      <c r="H85" s="18" t="inlineStr">
        <is>
          <t>寶貝牙</t>
        </is>
      </c>
      <c r="I85" s="19" t="inlineStr">
        <is>
          <t>YU-TING HUANG</t>
        </is>
      </c>
      <c r="J85" s="19" t="inlineStr"/>
      <c r="K85" s="18" t="inlineStr"/>
    </row>
    <row r="86">
      <c r="B86" s="19" t="inlineStr">
        <is>
          <t>D023</t>
        </is>
      </c>
      <c r="C86" s="19" t="inlineStr">
        <is>
          <t>黃婷愉</t>
        </is>
      </c>
      <c r="D86" s="19" t="inlineStr">
        <is>
          <t>醫師</t>
        </is>
      </c>
      <c r="E86" s="18" t="inlineStr">
        <is>
          <t>口外</t>
        </is>
      </c>
      <c r="F86" s="19" t="inlineStr"/>
      <c r="G86" s="19" t="inlineStr">
        <is>
          <t>寶貝牙</t>
        </is>
      </c>
      <c r="H86" s="18" t="inlineStr">
        <is>
          <t>寶貝牙</t>
        </is>
      </c>
      <c r="I86" s="19" t="inlineStr">
        <is>
          <t>TING-YU HUANG</t>
        </is>
      </c>
      <c r="J86" s="19" t="inlineStr"/>
      <c r="K86" s="18" t="inlineStr"/>
    </row>
    <row r="87">
      <c r="B87" s="19" t="inlineStr">
        <is>
          <t>D024</t>
        </is>
      </c>
      <c r="C87" s="19" t="inlineStr">
        <is>
          <t>林紓安</t>
        </is>
      </c>
      <c r="D87" s="19" t="inlineStr">
        <is>
          <t>醫師</t>
        </is>
      </c>
      <c r="E87" s="18" t="inlineStr">
        <is>
          <t>兒童</t>
        </is>
      </c>
      <c r="F87" s="19" t="inlineStr"/>
      <c r="G87" s="19" t="inlineStr">
        <is>
          <t>晶匯</t>
        </is>
      </c>
      <c r="H87" s="18" t="inlineStr">
        <is>
          <t>晶匯 · 寶貝牙</t>
        </is>
      </c>
      <c r="I87" s="19" t="inlineStr">
        <is>
          <t>SHU-AN LIN</t>
        </is>
      </c>
      <c r="J87" s="19" t="inlineStr"/>
      <c r="K87" s="18" t="inlineStr"/>
    </row>
    <row r="88">
      <c r="B88" s="19" t="inlineStr">
        <is>
          <t>D025</t>
        </is>
      </c>
      <c r="C88" s="19" t="inlineStr">
        <is>
          <t>陳爵安</t>
        </is>
      </c>
      <c r="D88" s="19" t="inlineStr">
        <is>
          <t>醫師</t>
        </is>
      </c>
      <c r="E88" s="18" t="inlineStr"/>
      <c r="F88" s="19" t="inlineStr"/>
      <c r="G88" s="19" t="inlineStr">
        <is>
          <t>晶睿</t>
        </is>
      </c>
      <c r="H88" s="18" t="inlineStr">
        <is>
          <t>晶睿</t>
        </is>
      </c>
      <c r="I88" s="19" t="inlineStr"/>
      <c r="J88" s="19" t="inlineStr"/>
      <c r="K88" s="18" t="inlineStr"/>
    </row>
    <row r="89">
      <c r="B89" s="19" t="inlineStr">
        <is>
          <t>D026</t>
        </is>
      </c>
      <c r="C89" s="19" t="inlineStr">
        <is>
          <t>吳冠廷</t>
        </is>
      </c>
      <c r="D89" s="19" t="inlineStr">
        <is>
          <t>醫師</t>
        </is>
      </c>
      <c r="E89" s="18" t="inlineStr"/>
      <c r="F89" s="19" t="inlineStr"/>
      <c r="G89" s="19" t="inlineStr">
        <is>
          <t>晶匯</t>
        </is>
      </c>
      <c r="H89" s="18" t="inlineStr">
        <is>
          <t>晶匯</t>
        </is>
      </c>
      <c r="I89" s="19" t="inlineStr"/>
      <c r="J89" s="19" t="inlineStr"/>
      <c r="K89" s="18" t="inlineStr"/>
    </row>
    <row r="90">
      <c r="B90" s="19" t="inlineStr">
        <is>
          <t>D027</t>
        </is>
      </c>
      <c r="C90" s="19" t="inlineStr">
        <is>
          <t>楊孟庭</t>
        </is>
      </c>
      <c r="D90" s="19" t="inlineStr">
        <is>
          <t>醫師</t>
        </is>
      </c>
      <c r="E90" s="18" t="inlineStr"/>
      <c r="F90" s="19" t="inlineStr"/>
      <c r="G90" s="19" t="inlineStr">
        <is>
          <t>晶匯</t>
        </is>
      </c>
      <c r="H90" s="18" t="inlineStr">
        <is>
          <t>晶匯</t>
        </is>
      </c>
      <c r="I90" s="19" t="inlineStr"/>
      <c r="J90" s="19" t="inlineStr"/>
      <c r="K90" s="18" t="inlineStr"/>
    </row>
    <row r="91">
      <c r="B91" s="20" t="inlineStr"/>
      <c r="C91" s="20" t="inlineStr"/>
      <c r="D91" s="20" t="inlineStr"/>
      <c r="E91" s="28" t="inlineStr"/>
      <c r="F91" s="20" t="inlineStr"/>
      <c r="G91" s="20" t="inlineStr"/>
      <c r="H91" s="28" t="inlineStr"/>
      <c r="I91" s="20" t="inlineStr"/>
      <c r="J91" s="20" t="inlineStr"/>
      <c r="K91" s="28" t="inlineStr"/>
    </row>
    <row r="92">
      <c r="B92" s="20" t="inlineStr"/>
      <c r="C92" s="20" t="inlineStr"/>
      <c r="D92" s="20" t="inlineStr"/>
      <c r="E92" s="28" t="inlineStr"/>
      <c r="F92" s="20" t="inlineStr"/>
      <c r="G92" s="20" t="inlineStr"/>
      <c r="H92" s="28" t="inlineStr"/>
      <c r="I92" s="20" t="inlineStr"/>
      <c r="J92" s="20" t="inlineStr"/>
      <c r="K92" s="28" t="inlineStr"/>
    </row>
    <row r="93">
      <c r="B93" s="20" t="inlineStr"/>
      <c r="C93" s="20" t="inlineStr"/>
      <c r="D93" s="20" t="inlineStr"/>
      <c r="E93" s="28" t="inlineStr"/>
      <c r="F93" s="20" t="inlineStr"/>
      <c r="G93" s="20" t="inlineStr"/>
      <c r="H93" s="28" t="inlineStr"/>
      <c r="I93" s="20" t="inlineStr"/>
      <c r="J93" s="20" t="inlineStr"/>
      <c r="K93" s="28" t="inlineStr"/>
    </row>
    <row r="94">
      <c r="B94" s="20" t="inlineStr"/>
      <c r="C94" s="20" t="inlineStr"/>
      <c r="D94" s="20" t="inlineStr"/>
      <c r="E94" s="28" t="inlineStr"/>
      <c r="F94" s="20" t="inlineStr"/>
      <c r="G94" s="20" t="inlineStr"/>
      <c r="H94" s="28" t="inlineStr"/>
      <c r="I94" s="20" t="inlineStr"/>
      <c r="J94" s="20" t="inlineStr"/>
      <c r="K94" s="28" t="inlineStr"/>
    </row>
    <row r="95">
      <c r="B95" s="20" t="inlineStr"/>
      <c r="C95" s="20" t="inlineStr"/>
      <c r="D95" s="20" t="inlineStr"/>
      <c r="E95" s="28" t="inlineStr"/>
      <c r="F95" s="20" t="inlineStr"/>
      <c r="G95" s="20" t="inlineStr"/>
      <c r="H95" s="28" t="inlineStr"/>
      <c r="I95" s="20" t="inlineStr"/>
      <c r="J95" s="20" t="inlineStr"/>
      <c r="K95" s="28" t="inlineStr"/>
    </row>
    <row r="96">
      <c r="B96" s="20" t="inlineStr"/>
      <c r="C96" s="20" t="inlineStr"/>
      <c r="D96" s="20" t="inlineStr"/>
      <c r="E96" s="28" t="inlineStr"/>
      <c r="F96" s="20" t="inlineStr"/>
      <c r="G96" s="20" t="inlineStr"/>
      <c r="H96" s="28" t="inlineStr"/>
      <c r="I96" s="20" t="inlineStr"/>
      <c r="J96" s="20" t="inlineStr"/>
      <c r="K96" s="28" t="inlineStr"/>
    </row>
    <row r="97">
      <c r="B97" s="20" t="inlineStr"/>
      <c r="C97" s="20" t="inlineStr"/>
      <c r="D97" s="20" t="inlineStr"/>
      <c r="E97" s="28" t="inlineStr"/>
      <c r="F97" s="20" t="inlineStr"/>
      <c r="G97" s="20" t="inlineStr"/>
      <c r="H97" s="28" t="inlineStr"/>
      <c r="I97" s="20" t="inlineStr"/>
      <c r="J97" s="20" t="inlineStr"/>
      <c r="K97" s="28" t="inlineStr"/>
    </row>
    <row r="98">
      <c r="B98" s="20" t="inlineStr"/>
      <c r="C98" s="20" t="inlineStr"/>
      <c r="D98" s="20" t="inlineStr"/>
      <c r="E98" s="28" t="inlineStr"/>
      <c r="F98" s="20" t="inlineStr"/>
      <c r="G98" s="20" t="inlineStr"/>
      <c r="H98" s="28" t="inlineStr"/>
      <c r="I98" s="20" t="inlineStr"/>
      <c r="J98" s="20" t="inlineStr"/>
      <c r="K98" s="28" t="inlineStr"/>
    </row>
    <row r="99">
      <c r="B99" s="20" t="inlineStr"/>
      <c r="C99" s="20" t="inlineStr"/>
      <c r="D99" s="20" t="inlineStr"/>
      <c r="E99" s="28" t="inlineStr"/>
      <c r="F99" s="20" t="inlineStr"/>
      <c r="G99" s="20" t="inlineStr"/>
      <c r="H99" s="28" t="inlineStr"/>
      <c r="I99" s="20" t="inlineStr"/>
      <c r="J99" s="20" t="inlineStr"/>
      <c r="K99" s="28" t="inlineStr"/>
    </row>
    <row r="100">
      <c r="B100" s="20" t="inlineStr"/>
      <c r="C100" s="20" t="inlineStr"/>
      <c r="D100" s="20" t="inlineStr"/>
      <c r="E100" s="28" t="inlineStr"/>
      <c r="F100" s="20" t="inlineStr"/>
      <c r="G100" s="20" t="inlineStr"/>
      <c r="H100" s="28" t="inlineStr"/>
      <c r="I100" s="20" t="inlineStr"/>
      <c r="J100" s="20" t="inlineStr"/>
      <c r="K100" s="28" t="inlineStr"/>
    </row>
    <row r="101">
      <c r="B101" s="20" t="inlineStr"/>
      <c r="C101" s="20" t="inlineStr"/>
      <c r="D101" s="20" t="inlineStr"/>
      <c r="E101" s="28" t="inlineStr"/>
      <c r="F101" s="20" t="inlineStr"/>
      <c r="G101" s="20" t="inlineStr"/>
      <c r="H101" s="28" t="inlineStr"/>
      <c r="I101" s="20" t="inlineStr"/>
      <c r="J101" s="20" t="inlineStr"/>
      <c r="K101" s="28" t="inlineStr"/>
    </row>
    <row r="102">
      <c r="B102" s="20" t="inlineStr"/>
      <c r="C102" s="20" t="inlineStr"/>
      <c r="D102" s="20" t="inlineStr"/>
      <c r="E102" s="28" t="inlineStr"/>
      <c r="F102" s="20" t="inlineStr"/>
      <c r="G102" s="20" t="inlineStr"/>
      <c r="H102" s="28" t="inlineStr"/>
      <c r="I102" s="20" t="inlineStr"/>
      <c r="J102" s="20" t="inlineStr"/>
      <c r="K102" s="28" t="inlineStr"/>
    </row>
    <row r="103">
      <c r="B103" s="20" t="inlineStr"/>
      <c r="C103" s="20" t="inlineStr"/>
      <c r="D103" s="20" t="inlineStr"/>
      <c r="E103" s="28" t="inlineStr"/>
      <c r="F103" s="20" t="inlineStr"/>
      <c r="G103" s="20" t="inlineStr"/>
      <c r="H103" s="28" t="inlineStr"/>
      <c r="I103" s="20" t="inlineStr"/>
      <c r="J103" s="20" t="inlineStr"/>
      <c r="K103" s="28" t="inlineStr"/>
    </row>
    <row r="104">
      <c r="B104" s="20" t="inlineStr"/>
      <c r="C104" s="20" t="inlineStr"/>
      <c r="D104" s="20" t="inlineStr"/>
      <c r="E104" s="28" t="inlineStr"/>
      <c r="F104" s="20" t="inlineStr"/>
      <c r="G104" s="20" t="inlineStr"/>
      <c r="H104" s="28" t="inlineStr"/>
      <c r="I104" s="20" t="inlineStr"/>
      <c r="J104" s="20" t="inlineStr"/>
      <c r="K104" s="28" t="inlineStr"/>
    </row>
    <row r="105">
      <c r="B105" s="20" t="inlineStr"/>
      <c r="C105" s="20" t="inlineStr"/>
      <c r="D105" s="20" t="inlineStr"/>
      <c r="E105" s="28" t="inlineStr"/>
      <c r="F105" s="20" t="inlineStr"/>
      <c r="G105" s="20" t="inlineStr"/>
      <c r="H105" s="28" t="inlineStr"/>
      <c r="I105" s="20" t="inlineStr"/>
      <c r="J105" s="20" t="inlineStr"/>
      <c r="K105" s="28" t="inlineStr"/>
    </row>
    <row r="106">
      <c r="B106" s="20" t="inlineStr"/>
      <c r="C106" s="20" t="inlineStr"/>
      <c r="D106" s="20" t="inlineStr"/>
      <c r="E106" s="28" t="inlineStr"/>
      <c r="F106" s="20" t="inlineStr"/>
      <c r="G106" s="20" t="inlineStr"/>
      <c r="H106" s="28" t="inlineStr"/>
      <c r="I106" s="20" t="inlineStr"/>
      <c r="J106" s="20" t="inlineStr"/>
      <c r="K106" s="28" t="inlineStr"/>
    </row>
    <row r="107">
      <c r="B107" s="20" t="inlineStr"/>
      <c r="C107" s="20" t="inlineStr"/>
      <c r="D107" s="20" t="inlineStr"/>
      <c r="E107" s="28" t="inlineStr"/>
      <c r="F107" s="20" t="inlineStr"/>
      <c r="G107" s="20" t="inlineStr"/>
      <c r="H107" s="28" t="inlineStr"/>
      <c r="I107" s="20" t="inlineStr"/>
      <c r="J107" s="20" t="inlineStr"/>
      <c r="K107" s="28" t="inlineStr"/>
    </row>
    <row r="108">
      <c r="B108" s="20" t="inlineStr"/>
      <c r="C108" s="20" t="inlineStr"/>
      <c r="D108" s="20" t="inlineStr"/>
      <c r="E108" s="28" t="inlineStr"/>
      <c r="F108" s="20" t="inlineStr"/>
      <c r="G108" s="20" t="inlineStr"/>
      <c r="H108" s="28" t="inlineStr"/>
      <c r="I108" s="20" t="inlineStr"/>
      <c r="J108" s="20" t="inlineStr"/>
      <c r="K108" s="28" t="inlineStr"/>
    </row>
    <row r="109">
      <c r="B109" s="20" t="inlineStr"/>
      <c r="C109" s="20" t="inlineStr"/>
      <c r="D109" s="20" t="inlineStr"/>
      <c r="E109" s="28" t="inlineStr"/>
      <c r="F109" s="20" t="inlineStr"/>
      <c r="G109" s="20" t="inlineStr"/>
      <c r="H109" s="28" t="inlineStr"/>
      <c r="I109" s="20" t="inlineStr"/>
      <c r="J109" s="20" t="inlineStr"/>
      <c r="K109" s="28" t="inlineStr"/>
    </row>
    <row r="110">
      <c r="B110" s="20" t="inlineStr"/>
      <c r="C110" s="20" t="inlineStr"/>
      <c r="D110" s="20" t="inlineStr"/>
      <c r="E110" s="28" t="inlineStr"/>
      <c r="F110" s="20" t="inlineStr"/>
      <c r="G110" s="20" t="inlineStr"/>
      <c r="H110" s="28" t="inlineStr"/>
      <c r="I110" s="20" t="inlineStr"/>
      <c r="J110" s="20" t="inlineStr"/>
      <c r="K110" s="28" t="inlineStr"/>
    </row>
    <row r="111">
      <c r="B111" s="20" t="inlineStr"/>
      <c r="C111" s="20" t="inlineStr"/>
      <c r="D111" s="20" t="inlineStr"/>
      <c r="E111" s="28" t="inlineStr"/>
      <c r="F111" s="20" t="inlineStr"/>
      <c r="G111" s="20" t="inlineStr"/>
      <c r="H111" s="28" t="inlineStr"/>
      <c r="I111" s="20" t="inlineStr"/>
      <c r="J111" s="20" t="inlineStr"/>
      <c r="K111" s="28" t="inlineStr"/>
    </row>
    <row r="112">
      <c r="B112" s="20" t="inlineStr"/>
      <c r="C112" s="20" t="inlineStr"/>
      <c r="D112" s="20" t="inlineStr"/>
      <c r="E112" s="28" t="inlineStr"/>
      <c r="F112" s="20" t="inlineStr"/>
      <c r="G112" s="20" t="inlineStr"/>
      <c r="H112" s="28" t="inlineStr"/>
      <c r="I112" s="20" t="inlineStr"/>
      <c r="J112" s="20" t="inlineStr"/>
      <c r="K112" s="28" t="inlineStr"/>
    </row>
    <row r="113">
      <c r="B113" s="20" t="inlineStr"/>
      <c r="C113" s="20" t="inlineStr"/>
      <c r="D113" s="20" t="inlineStr"/>
      <c r="E113" s="28" t="inlineStr"/>
      <c r="F113" s="20" t="inlineStr"/>
      <c r="G113" s="20" t="inlineStr"/>
      <c r="H113" s="28" t="inlineStr"/>
      <c r="I113" s="20" t="inlineStr"/>
      <c r="J113" s="20" t="inlineStr"/>
      <c r="K113" s="28" t="inlineStr"/>
    </row>
    <row r="114">
      <c r="B114" s="20" t="inlineStr"/>
      <c r="C114" s="20" t="inlineStr"/>
      <c r="D114" s="20" t="inlineStr"/>
      <c r="E114" s="28" t="inlineStr"/>
      <c r="F114" s="20" t="inlineStr"/>
      <c r="G114" s="20" t="inlineStr"/>
      <c r="H114" s="28" t="inlineStr"/>
      <c r="I114" s="20" t="inlineStr"/>
      <c r="J114" s="20" t="inlineStr"/>
      <c r="K114" s="28" t="inlineStr"/>
    </row>
    <row r="115">
      <c r="B115" s="20" t="inlineStr"/>
      <c r="C115" s="20" t="inlineStr"/>
      <c r="D115" s="20" t="inlineStr"/>
      <c r="E115" s="28" t="inlineStr"/>
      <c r="F115" s="20" t="inlineStr"/>
      <c r="G115" s="20" t="inlineStr"/>
      <c r="H115" s="28" t="inlineStr"/>
      <c r="I115" s="20" t="inlineStr"/>
      <c r="J115" s="20" t="inlineStr"/>
      <c r="K115" s="28" t="inlineStr"/>
    </row>
    <row r="116">
      <c r="B116" s="20" t="inlineStr"/>
      <c r="C116" s="20" t="inlineStr"/>
      <c r="D116" s="20" t="inlineStr"/>
      <c r="E116" s="28" t="inlineStr"/>
      <c r="F116" s="20" t="inlineStr"/>
      <c r="G116" s="20" t="inlineStr"/>
      <c r="H116" s="28" t="inlineStr"/>
      <c r="I116" s="20" t="inlineStr"/>
      <c r="J116" s="20" t="inlineStr"/>
      <c r="K116" s="28" t="inlineStr"/>
    </row>
    <row r="117">
      <c r="B117" s="20" t="inlineStr"/>
      <c r="C117" s="20" t="inlineStr"/>
      <c r="D117" s="20" t="inlineStr"/>
      <c r="E117" s="28" t="inlineStr"/>
      <c r="F117" s="20" t="inlineStr"/>
      <c r="G117" s="20" t="inlineStr"/>
      <c r="H117" s="28" t="inlineStr"/>
      <c r="I117" s="20" t="inlineStr"/>
      <c r="J117" s="20" t="inlineStr"/>
      <c r="K117" s="28" t="inlineStr"/>
    </row>
    <row r="118">
      <c r="B118" s="20" t="inlineStr"/>
      <c r="C118" s="20" t="inlineStr"/>
      <c r="D118" s="20" t="inlineStr"/>
      <c r="E118" s="28" t="inlineStr"/>
      <c r="F118" s="20" t="inlineStr"/>
      <c r="G118" s="20" t="inlineStr"/>
      <c r="H118" s="28" t="inlineStr"/>
      <c r="I118" s="20" t="inlineStr"/>
      <c r="J118" s="20" t="inlineStr"/>
      <c r="K118" s="28" t="inlineStr"/>
    </row>
    <row r="119">
      <c r="B119" s="20" t="inlineStr"/>
      <c r="C119" s="20" t="inlineStr"/>
      <c r="D119" s="20" t="inlineStr"/>
      <c r="E119" s="28" t="inlineStr"/>
      <c r="F119" s="20" t="inlineStr"/>
      <c r="G119" s="20" t="inlineStr"/>
      <c r="H119" s="28" t="inlineStr"/>
      <c r="I119" s="20" t="inlineStr"/>
      <c r="J119" s="20" t="inlineStr"/>
      <c r="K119" s="28" t="inlineStr"/>
    </row>
    <row r="120">
      <c r="B120" s="20" t="inlineStr"/>
      <c r="C120" s="20" t="inlineStr"/>
      <c r="D120" s="20" t="inlineStr"/>
      <c r="E120" s="28" t="inlineStr"/>
      <c r="F120" s="20" t="inlineStr"/>
      <c r="G120" s="20" t="inlineStr"/>
      <c r="H120" s="28" t="inlineStr"/>
      <c r="I120" s="20" t="inlineStr"/>
      <c r="J120" s="20" t="inlineStr"/>
      <c r="K120" s="28" t="inlineStr"/>
    </row>
    <row r="121">
      <c r="B121" s="20" t="inlineStr"/>
      <c r="C121" s="20" t="inlineStr"/>
      <c r="D121" s="20" t="inlineStr"/>
      <c r="E121" s="28" t="inlineStr"/>
      <c r="F121" s="20" t="inlineStr"/>
      <c r="G121" s="20" t="inlineStr"/>
      <c r="H121" s="28" t="inlineStr"/>
      <c r="I121" s="20" t="inlineStr"/>
      <c r="J121" s="20" t="inlineStr"/>
      <c r="K121" s="28" t="inlineStr"/>
    </row>
    <row r="122">
      <c r="B122" s="20" t="inlineStr"/>
      <c r="C122" s="20" t="inlineStr"/>
      <c r="D122" s="20" t="inlineStr"/>
      <c r="E122" s="28" t="inlineStr"/>
      <c r="F122" s="20" t="inlineStr"/>
      <c r="G122" s="20" t="inlineStr"/>
      <c r="H122" s="28" t="inlineStr"/>
      <c r="I122" s="20" t="inlineStr"/>
      <c r="J122" s="20" t="inlineStr"/>
      <c r="K122" s="28" t="inlineStr"/>
    </row>
    <row r="123">
      <c r="B123" s="20" t="inlineStr"/>
      <c r="C123" s="20" t="inlineStr"/>
      <c r="D123" s="20" t="inlineStr"/>
      <c r="E123" s="28" t="inlineStr"/>
      <c r="F123" s="20" t="inlineStr"/>
      <c r="G123" s="20" t="inlineStr"/>
      <c r="H123" s="28" t="inlineStr"/>
      <c r="I123" s="20" t="inlineStr"/>
      <c r="J123" s="20" t="inlineStr"/>
      <c r="K123" s="28" t="inlineStr"/>
    </row>
    <row r="124">
      <c r="B124" s="20" t="inlineStr"/>
      <c r="C124" s="20" t="inlineStr"/>
      <c r="D124" s="20" t="inlineStr"/>
      <c r="E124" s="28" t="inlineStr"/>
      <c r="F124" s="20" t="inlineStr"/>
      <c r="G124" s="20" t="inlineStr"/>
      <c r="H124" s="28" t="inlineStr"/>
      <c r="I124" s="20" t="inlineStr"/>
      <c r="J124" s="20" t="inlineStr"/>
      <c r="K124" s="28" t="inlineStr"/>
    </row>
    <row r="125">
      <c r="B125" s="20" t="inlineStr"/>
      <c r="C125" s="20" t="inlineStr"/>
      <c r="D125" s="20" t="inlineStr"/>
      <c r="E125" s="28" t="inlineStr"/>
      <c r="F125" s="20" t="inlineStr"/>
      <c r="G125" s="20" t="inlineStr"/>
      <c r="H125" s="28" t="inlineStr"/>
      <c r="I125" s="20" t="inlineStr"/>
      <c r="J125" s="20" t="inlineStr"/>
      <c r="K125" s="28" t="inlineStr"/>
    </row>
    <row r="126">
      <c r="B126" s="20" t="inlineStr"/>
      <c r="C126" s="20" t="inlineStr"/>
      <c r="D126" s="20" t="inlineStr"/>
      <c r="E126" s="28" t="inlineStr"/>
      <c r="F126" s="20" t="inlineStr"/>
      <c r="G126" s="20" t="inlineStr"/>
      <c r="H126" s="28" t="inlineStr"/>
      <c r="I126" s="20" t="inlineStr"/>
      <c r="J126" s="20" t="inlineStr"/>
      <c r="K126" s="28" t="inlineStr"/>
    </row>
    <row r="127">
      <c r="B127" s="20" t="inlineStr"/>
      <c r="C127" s="20" t="inlineStr"/>
      <c r="D127" s="20" t="inlineStr"/>
      <c r="E127" s="28" t="inlineStr"/>
      <c r="F127" s="20" t="inlineStr"/>
      <c r="G127" s="20" t="inlineStr"/>
      <c r="H127" s="28" t="inlineStr"/>
      <c r="I127" s="20" t="inlineStr"/>
      <c r="J127" s="20" t="inlineStr"/>
      <c r="K127" s="28" t="inlineStr"/>
    </row>
    <row r="128">
      <c r="B128" s="20" t="inlineStr"/>
      <c r="C128" s="20" t="inlineStr"/>
      <c r="D128" s="20" t="inlineStr"/>
      <c r="E128" s="28" t="inlineStr"/>
      <c r="F128" s="20" t="inlineStr"/>
      <c r="G128" s="20" t="inlineStr"/>
      <c r="H128" s="28" t="inlineStr"/>
      <c r="I128" s="20" t="inlineStr"/>
      <c r="J128" s="20" t="inlineStr"/>
      <c r="K128" s="28" t="inlineStr"/>
    </row>
    <row r="129">
      <c r="B129" s="20" t="inlineStr"/>
      <c r="C129" s="20" t="inlineStr"/>
      <c r="D129" s="20" t="inlineStr"/>
      <c r="E129" s="28" t="inlineStr"/>
      <c r="F129" s="20" t="inlineStr"/>
      <c r="G129" s="20" t="inlineStr"/>
      <c r="H129" s="28" t="inlineStr"/>
      <c r="I129" s="20" t="inlineStr"/>
      <c r="J129" s="20" t="inlineStr"/>
      <c r="K129" s="28" t="inlineStr"/>
    </row>
    <row r="130">
      <c r="B130" s="20" t="inlineStr"/>
      <c r="C130" s="20" t="inlineStr"/>
      <c r="D130" s="20" t="inlineStr"/>
      <c r="E130" s="28" t="inlineStr"/>
      <c r="F130" s="20" t="inlineStr"/>
      <c r="G130" s="20" t="inlineStr"/>
      <c r="H130" s="28" t="inlineStr"/>
      <c r="I130" s="20" t="inlineStr"/>
      <c r="J130" s="20" t="inlineStr"/>
      <c r="K130" s="28" t="inlineStr"/>
    </row>
    <row r="131">
      <c r="B131" s="20" t="inlineStr"/>
      <c r="C131" s="20" t="inlineStr"/>
      <c r="D131" s="20" t="inlineStr"/>
      <c r="E131" s="28" t="inlineStr"/>
      <c r="F131" s="20" t="inlineStr"/>
      <c r="G131" s="20" t="inlineStr"/>
      <c r="H131" s="28" t="inlineStr"/>
      <c r="I131" s="20" t="inlineStr"/>
      <c r="J131" s="20" t="inlineStr"/>
      <c r="K131" s="28" t="inlineStr"/>
    </row>
    <row r="132">
      <c r="B132" s="20" t="inlineStr"/>
      <c r="C132" s="20" t="inlineStr"/>
      <c r="D132" s="20" t="inlineStr"/>
      <c r="E132" s="28" t="inlineStr"/>
      <c r="F132" s="20" t="inlineStr"/>
      <c r="G132" s="20" t="inlineStr"/>
      <c r="H132" s="28" t="inlineStr"/>
      <c r="I132" s="20" t="inlineStr"/>
      <c r="J132" s="20" t="inlineStr"/>
      <c r="K132" s="28" t="inlineStr"/>
    </row>
    <row r="133">
      <c r="B133" s="20" t="inlineStr"/>
      <c r="C133" s="20" t="inlineStr"/>
      <c r="D133" s="20" t="inlineStr"/>
      <c r="E133" s="28" t="inlineStr"/>
      <c r="F133" s="20" t="inlineStr"/>
      <c r="G133" s="20" t="inlineStr"/>
      <c r="H133" s="28" t="inlineStr"/>
      <c r="I133" s="20" t="inlineStr"/>
      <c r="J133" s="20" t="inlineStr"/>
      <c r="K133" s="28" t="inlineStr"/>
    </row>
    <row r="134">
      <c r="B134" s="20" t="inlineStr"/>
      <c r="C134" s="20" t="inlineStr"/>
      <c r="D134" s="20" t="inlineStr"/>
      <c r="E134" s="28" t="inlineStr"/>
      <c r="F134" s="20" t="inlineStr"/>
      <c r="G134" s="20" t="inlineStr"/>
      <c r="H134" s="28" t="inlineStr"/>
      <c r="I134" s="20" t="inlineStr"/>
      <c r="J134" s="20" t="inlineStr"/>
      <c r="K134" s="28" t="inlineStr"/>
    </row>
    <row r="135">
      <c r="B135" s="20" t="inlineStr"/>
      <c r="C135" s="20" t="inlineStr"/>
      <c r="D135" s="20" t="inlineStr"/>
      <c r="E135" s="28" t="inlineStr"/>
      <c r="F135" s="20" t="inlineStr"/>
      <c r="G135" s="20" t="inlineStr"/>
      <c r="H135" s="28" t="inlineStr"/>
      <c r="I135" s="20" t="inlineStr"/>
      <c r="J135" s="20" t="inlineStr"/>
      <c r="K135" s="28" t="inlineStr"/>
    </row>
    <row r="136">
      <c r="B136" s="20" t="inlineStr"/>
      <c r="C136" s="20" t="inlineStr"/>
      <c r="D136" s="20" t="inlineStr"/>
      <c r="E136" s="28" t="inlineStr"/>
      <c r="F136" s="20" t="inlineStr"/>
      <c r="G136" s="20" t="inlineStr"/>
      <c r="H136" s="28" t="inlineStr"/>
      <c r="I136" s="20" t="inlineStr"/>
      <c r="J136" s="20" t="inlineStr"/>
      <c r="K136" s="28" t="inlineStr"/>
    </row>
    <row r="137">
      <c r="B137" s="20" t="inlineStr"/>
      <c r="C137" s="20" t="inlineStr"/>
      <c r="D137" s="20" t="inlineStr"/>
      <c r="E137" s="28" t="inlineStr"/>
      <c r="F137" s="20" t="inlineStr"/>
      <c r="G137" s="20" t="inlineStr"/>
      <c r="H137" s="28" t="inlineStr"/>
      <c r="I137" s="20" t="inlineStr"/>
      <c r="J137" s="20" t="inlineStr"/>
      <c r="K137" s="28" t="inlineStr"/>
    </row>
    <row r="138">
      <c r="B138" s="20" t="inlineStr"/>
      <c r="C138" s="20" t="inlineStr"/>
      <c r="D138" s="20" t="inlineStr"/>
      <c r="E138" s="28" t="inlineStr"/>
      <c r="F138" s="20" t="inlineStr"/>
      <c r="G138" s="20" t="inlineStr"/>
      <c r="H138" s="28" t="inlineStr"/>
      <c r="I138" s="20" t="inlineStr"/>
      <c r="J138" s="20" t="inlineStr"/>
      <c r="K138" s="28" t="inlineStr"/>
    </row>
    <row r="139">
      <c r="B139" s="20" t="inlineStr"/>
      <c r="C139" s="20" t="inlineStr"/>
      <c r="D139" s="20" t="inlineStr"/>
      <c r="E139" s="28" t="inlineStr"/>
      <c r="F139" s="20" t="inlineStr"/>
      <c r="G139" s="20" t="inlineStr"/>
      <c r="H139" s="28" t="inlineStr"/>
      <c r="I139" s="20" t="inlineStr"/>
      <c r="J139" s="20" t="inlineStr"/>
      <c r="K139" s="28" t="inlineStr"/>
    </row>
    <row r="140">
      <c r="B140" s="20" t="inlineStr"/>
      <c r="C140" s="20" t="inlineStr"/>
      <c r="D140" s="20" t="inlineStr"/>
      <c r="E140" s="28" t="inlineStr"/>
      <c r="F140" s="20" t="inlineStr"/>
      <c r="G140" s="20" t="inlineStr"/>
      <c r="H140" s="28" t="inlineStr"/>
      <c r="I140" s="20" t="inlineStr"/>
      <c r="J140" s="20" t="inlineStr"/>
      <c r="K140" s="28" t="inlineStr"/>
    </row>
    <row r="141">
      <c r="B141" s="20" t="inlineStr"/>
      <c r="C141" s="20" t="inlineStr"/>
      <c r="D141" s="20" t="inlineStr"/>
      <c r="E141" s="28" t="inlineStr"/>
      <c r="F141" s="20" t="inlineStr"/>
      <c r="G141" s="20" t="inlineStr"/>
      <c r="H141" s="28" t="inlineStr"/>
      <c r="I141" s="20" t="inlineStr"/>
      <c r="J141" s="20" t="inlineStr"/>
      <c r="K141" s="28" t="inlineStr"/>
    </row>
    <row r="142">
      <c r="B142" s="20" t="inlineStr"/>
      <c r="C142" s="20" t="inlineStr"/>
      <c r="D142" s="20" t="inlineStr"/>
      <c r="E142" s="28" t="inlineStr"/>
      <c r="F142" s="20" t="inlineStr"/>
      <c r="G142" s="20" t="inlineStr"/>
      <c r="H142" s="28" t="inlineStr"/>
      <c r="I142" s="20" t="inlineStr"/>
      <c r="J142" s="20" t="inlineStr"/>
      <c r="K142" s="28" t="inlineStr"/>
    </row>
    <row r="143">
      <c r="B143" s="20" t="inlineStr"/>
      <c r="C143" s="20" t="inlineStr"/>
      <c r="D143" s="20" t="inlineStr"/>
      <c r="E143" s="28" t="inlineStr"/>
      <c r="F143" s="20" t="inlineStr"/>
      <c r="G143" s="20" t="inlineStr"/>
      <c r="H143" s="28" t="inlineStr"/>
      <c r="I143" s="20" t="inlineStr"/>
      <c r="J143" s="20" t="inlineStr"/>
      <c r="K143" s="28" t="inlineStr"/>
    </row>
    <row r="144">
      <c r="B144" s="20" t="inlineStr"/>
      <c r="C144" s="20" t="inlineStr"/>
      <c r="D144" s="20" t="inlineStr"/>
      <c r="E144" s="28" t="inlineStr"/>
      <c r="F144" s="20" t="inlineStr"/>
      <c r="G144" s="20" t="inlineStr"/>
      <c r="H144" s="28" t="inlineStr"/>
      <c r="I144" s="20" t="inlineStr"/>
      <c r="J144" s="20" t="inlineStr"/>
      <c r="K144" s="28" t="inlineStr"/>
    </row>
    <row r="145">
      <c r="B145" s="20" t="inlineStr"/>
      <c r="C145" s="20" t="inlineStr"/>
      <c r="D145" s="20" t="inlineStr"/>
      <c r="E145" s="28" t="inlineStr"/>
      <c r="F145" s="20" t="inlineStr"/>
      <c r="G145" s="20" t="inlineStr"/>
      <c r="H145" s="28" t="inlineStr"/>
      <c r="I145" s="20" t="inlineStr"/>
      <c r="J145" s="20" t="inlineStr"/>
      <c r="K145" s="28" t="inlineStr"/>
    </row>
    <row r="146">
      <c r="B146" s="20" t="inlineStr"/>
      <c r="C146" s="20" t="inlineStr"/>
      <c r="D146" s="20" t="inlineStr"/>
      <c r="E146" s="28" t="inlineStr"/>
      <c r="F146" s="20" t="inlineStr"/>
      <c r="G146" s="20" t="inlineStr"/>
      <c r="H146" s="28" t="inlineStr"/>
      <c r="I146" s="20" t="inlineStr"/>
      <c r="J146" s="20" t="inlineStr"/>
      <c r="K146" s="28" t="inlineStr"/>
    </row>
    <row r="147">
      <c r="B147" s="20" t="inlineStr"/>
      <c r="C147" s="20" t="inlineStr"/>
      <c r="D147" s="20" t="inlineStr"/>
      <c r="E147" s="28" t="inlineStr"/>
      <c r="F147" s="20" t="inlineStr"/>
      <c r="G147" s="20" t="inlineStr"/>
      <c r="H147" s="28" t="inlineStr"/>
      <c r="I147" s="20" t="inlineStr"/>
      <c r="J147" s="20" t="inlineStr"/>
      <c r="K147" s="28" t="inlineStr"/>
    </row>
    <row r="148">
      <c r="B148" s="20" t="inlineStr"/>
      <c r="C148" s="20" t="inlineStr"/>
      <c r="D148" s="20" t="inlineStr"/>
      <c r="E148" s="28" t="inlineStr"/>
      <c r="F148" s="20" t="inlineStr"/>
      <c r="G148" s="20" t="inlineStr"/>
      <c r="H148" s="28" t="inlineStr"/>
      <c r="I148" s="20" t="inlineStr"/>
      <c r="J148" s="20" t="inlineStr"/>
      <c r="K148" s="28" t="inlineStr"/>
    </row>
    <row r="149">
      <c r="B149" s="20" t="inlineStr"/>
      <c r="C149" s="20" t="inlineStr"/>
      <c r="D149" s="20" t="inlineStr"/>
      <c r="E149" s="28" t="inlineStr"/>
      <c r="F149" s="20" t="inlineStr"/>
      <c r="G149" s="20" t="inlineStr"/>
      <c r="H149" s="28" t="inlineStr"/>
      <c r="I149" s="20" t="inlineStr"/>
      <c r="J149" s="20" t="inlineStr"/>
      <c r="K149" s="28" t="inlineStr"/>
    </row>
    <row r="150">
      <c r="B150" s="20" t="inlineStr"/>
      <c r="C150" s="20" t="inlineStr"/>
      <c r="D150" s="20" t="inlineStr"/>
      <c r="E150" s="28" t="inlineStr"/>
      <c r="F150" s="20" t="inlineStr"/>
      <c r="G150" s="20" t="inlineStr"/>
      <c r="H150" s="28" t="inlineStr"/>
      <c r="I150" s="20" t="inlineStr"/>
      <c r="J150" s="20" t="inlineStr"/>
      <c r="K150" s="28" t="inlineStr"/>
    </row>
    <row r="151">
      <c r="B151" s="20" t="inlineStr"/>
      <c r="C151" s="20" t="inlineStr"/>
      <c r="D151" s="20" t="inlineStr"/>
      <c r="E151" s="28" t="inlineStr"/>
      <c r="F151" s="20" t="inlineStr"/>
      <c r="G151" s="20" t="inlineStr"/>
      <c r="H151" s="28" t="inlineStr"/>
      <c r="I151" s="20" t="inlineStr"/>
      <c r="J151" s="20" t="inlineStr"/>
      <c r="K151" s="28" t="inlineStr"/>
    </row>
    <row r="152">
      <c r="B152" s="20" t="inlineStr"/>
      <c r="C152" s="20" t="inlineStr"/>
      <c r="D152" s="20" t="inlineStr"/>
      <c r="E152" s="28" t="inlineStr"/>
      <c r="F152" s="20" t="inlineStr"/>
      <c r="G152" s="20" t="inlineStr"/>
      <c r="H152" s="28" t="inlineStr"/>
      <c r="I152" s="20" t="inlineStr"/>
      <c r="J152" s="20" t="inlineStr"/>
      <c r="K152" s="28" t="inlineStr"/>
    </row>
    <row r="153">
      <c r="B153" s="20" t="inlineStr"/>
      <c r="C153" s="20" t="inlineStr"/>
      <c r="D153" s="20" t="inlineStr"/>
      <c r="E153" s="28" t="inlineStr"/>
      <c r="F153" s="20" t="inlineStr"/>
      <c r="G153" s="20" t="inlineStr"/>
      <c r="H153" s="28" t="inlineStr"/>
      <c r="I153" s="20" t="inlineStr"/>
      <c r="J153" s="20" t="inlineStr"/>
      <c r="K153" s="28" t="inlineStr"/>
    </row>
    <row r="154">
      <c r="B154" s="20" t="inlineStr"/>
      <c r="C154" s="20" t="inlineStr"/>
      <c r="D154" s="20" t="inlineStr"/>
      <c r="E154" s="28" t="inlineStr"/>
      <c r="F154" s="20" t="inlineStr"/>
      <c r="G154" s="20" t="inlineStr"/>
      <c r="H154" s="28" t="inlineStr"/>
      <c r="I154" s="20" t="inlineStr"/>
      <c r="J154" s="20" t="inlineStr"/>
      <c r="K154" s="28" t="inlineStr"/>
    </row>
    <row r="155">
      <c r="B155" s="20" t="inlineStr"/>
      <c r="C155" s="20" t="inlineStr"/>
      <c r="D155" s="20" t="inlineStr"/>
      <c r="E155" s="28" t="inlineStr"/>
      <c r="F155" s="20" t="inlineStr"/>
      <c r="G155" s="20" t="inlineStr"/>
      <c r="H155" s="28" t="inlineStr"/>
      <c r="I155" s="20" t="inlineStr"/>
      <c r="J155" s="20" t="inlineStr"/>
      <c r="K155" s="28" t="inlineStr"/>
    </row>
    <row r="156">
      <c r="B156" s="20" t="inlineStr"/>
      <c r="C156" s="20" t="inlineStr"/>
      <c r="D156" s="20" t="inlineStr"/>
      <c r="E156" s="28" t="inlineStr"/>
      <c r="F156" s="20" t="inlineStr"/>
      <c r="G156" s="20" t="inlineStr"/>
      <c r="H156" s="28" t="inlineStr"/>
      <c r="I156" s="20" t="inlineStr"/>
      <c r="J156" s="20" t="inlineStr"/>
      <c r="K156" s="28" t="inlineStr"/>
    </row>
    <row r="157">
      <c r="B157" s="20" t="inlineStr"/>
      <c r="C157" s="20" t="inlineStr"/>
      <c r="D157" s="20" t="inlineStr"/>
      <c r="E157" s="28" t="inlineStr"/>
      <c r="F157" s="20" t="inlineStr"/>
      <c r="G157" s="20" t="inlineStr"/>
      <c r="H157" s="28" t="inlineStr"/>
      <c r="I157" s="20" t="inlineStr"/>
      <c r="J157" s="20" t="inlineStr"/>
      <c r="K157" s="28" t="inlineStr"/>
    </row>
    <row r="158">
      <c r="B158" s="20" t="inlineStr"/>
      <c r="C158" s="20" t="inlineStr"/>
      <c r="D158" s="20" t="inlineStr"/>
      <c r="E158" s="28" t="inlineStr"/>
      <c r="F158" s="20" t="inlineStr"/>
      <c r="G158" s="20" t="inlineStr"/>
      <c r="H158" s="28" t="inlineStr"/>
      <c r="I158" s="20" t="inlineStr"/>
      <c r="J158" s="20" t="inlineStr"/>
      <c r="K158" s="28" t="inlineStr"/>
    </row>
    <row r="159">
      <c r="B159" s="20" t="inlineStr"/>
      <c r="C159" s="20" t="inlineStr"/>
      <c r="D159" s="20" t="inlineStr"/>
      <c r="E159" s="28" t="inlineStr"/>
      <c r="F159" s="20" t="inlineStr"/>
      <c r="G159" s="20" t="inlineStr"/>
      <c r="H159" s="28" t="inlineStr"/>
      <c r="I159" s="20" t="inlineStr"/>
      <c r="J159" s="20" t="inlineStr"/>
      <c r="K159" s="28" t="inlineStr"/>
    </row>
    <row r="160">
      <c r="B160" s="20" t="inlineStr"/>
      <c r="C160" s="20" t="inlineStr"/>
      <c r="D160" s="20" t="inlineStr"/>
      <c r="E160" s="28" t="inlineStr"/>
      <c r="F160" s="20" t="inlineStr"/>
      <c r="G160" s="20" t="inlineStr"/>
      <c r="H160" s="28" t="inlineStr"/>
      <c r="I160" s="20" t="inlineStr"/>
      <c r="J160" s="20" t="inlineStr"/>
      <c r="K160" s="28" t="inlineStr"/>
    </row>
    <row r="161">
      <c r="B161" s="20" t="inlineStr"/>
      <c r="C161" s="20" t="inlineStr"/>
      <c r="D161" s="20" t="inlineStr"/>
      <c r="E161" s="28" t="inlineStr"/>
      <c r="F161" s="20" t="inlineStr"/>
      <c r="G161" s="20" t="inlineStr"/>
      <c r="H161" s="28" t="inlineStr"/>
      <c r="I161" s="20" t="inlineStr"/>
      <c r="J161" s="20" t="inlineStr"/>
      <c r="K161" s="28" t="inlineStr"/>
    </row>
    <row r="162">
      <c r="B162" s="20" t="inlineStr"/>
      <c r="C162" s="20" t="inlineStr"/>
      <c r="D162" s="20" t="inlineStr"/>
      <c r="E162" s="28" t="inlineStr"/>
      <c r="F162" s="20" t="inlineStr"/>
      <c r="G162" s="20" t="inlineStr"/>
      <c r="H162" s="28" t="inlineStr"/>
      <c r="I162" s="20" t="inlineStr"/>
      <c r="J162" s="20" t="inlineStr"/>
      <c r="K162" s="28" t="inlineStr"/>
    </row>
    <row r="163">
      <c r="B163" s="20" t="inlineStr"/>
      <c r="C163" s="20" t="inlineStr"/>
      <c r="D163" s="20" t="inlineStr"/>
      <c r="E163" s="28" t="inlineStr"/>
      <c r="F163" s="20" t="inlineStr"/>
      <c r="G163" s="20" t="inlineStr"/>
      <c r="H163" s="28" t="inlineStr"/>
      <c r="I163" s="20" t="inlineStr"/>
      <c r="J163" s="20" t="inlineStr"/>
      <c r="K163" s="28" t="inlineStr"/>
    </row>
    <row r="164">
      <c r="B164" s="20" t="inlineStr"/>
      <c r="C164" s="20" t="inlineStr"/>
      <c r="D164" s="20" t="inlineStr"/>
      <c r="E164" s="28" t="inlineStr"/>
      <c r="F164" s="20" t="inlineStr"/>
      <c r="G164" s="20" t="inlineStr"/>
      <c r="H164" s="28" t="inlineStr"/>
      <c r="I164" s="20" t="inlineStr"/>
      <c r="J164" s="20" t="inlineStr"/>
      <c r="K164" s="28" t="inlineStr"/>
    </row>
    <row r="165">
      <c r="B165" s="20" t="inlineStr"/>
      <c r="C165" s="20" t="inlineStr"/>
      <c r="D165" s="20" t="inlineStr"/>
      <c r="E165" s="28" t="inlineStr"/>
      <c r="F165" s="20" t="inlineStr"/>
      <c r="G165" s="20" t="inlineStr"/>
      <c r="H165" s="28" t="inlineStr"/>
      <c r="I165" s="20" t="inlineStr"/>
      <c r="J165" s="20" t="inlineStr"/>
      <c r="K165" s="28" t="inlineStr"/>
    </row>
    <row r="166">
      <c r="B166" s="20" t="inlineStr"/>
      <c r="C166" s="20" t="inlineStr"/>
      <c r="D166" s="20" t="inlineStr"/>
      <c r="E166" s="28" t="inlineStr"/>
      <c r="F166" s="20" t="inlineStr"/>
      <c r="G166" s="20" t="inlineStr"/>
      <c r="H166" s="28" t="inlineStr"/>
      <c r="I166" s="20" t="inlineStr"/>
      <c r="J166" s="20" t="inlineStr"/>
      <c r="K166" s="28" t="inlineStr"/>
    </row>
    <row r="167">
      <c r="B167" s="20" t="inlineStr"/>
      <c r="C167" s="20" t="inlineStr"/>
      <c r="D167" s="20" t="inlineStr"/>
      <c r="E167" s="28" t="inlineStr"/>
      <c r="F167" s="20" t="inlineStr"/>
      <c r="G167" s="20" t="inlineStr"/>
      <c r="H167" s="28" t="inlineStr"/>
      <c r="I167" s="20" t="inlineStr"/>
      <c r="J167" s="20" t="inlineStr"/>
      <c r="K167" s="28" t="inlineStr"/>
    </row>
    <row r="168">
      <c r="B168" s="20" t="inlineStr"/>
      <c r="C168" s="20" t="inlineStr"/>
      <c r="D168" s="20" t="inlineStr"/>
      <c r="E168" s="28" t="inlineStr"/>
      <c r="F168" s="20" t="inlineStr"/>
      <c r="G168" s="20" t="inlineStr"/>
      <c r="H168" s="28" t="inlineStr"/>
      <c r="I168" s="20" t="inlineStr"/>
      <c r="J168" s="20" t="inlineStr"/>
      <c r="K168" s="28" t="inlineStr"/>
    </row>
    <row r="169">
      <c r="B169" s="20" t="inlineStr"/>
      <c r="C169" s="20" t="inlineStr"/>
      <c r="D169" s="20" t="inlineStr"/>
      <c r="E169" s="28" t="inlineStr"/>
      <c r="F169" s="20" t="inlineStr"/>
      <c r="G169" s="20" t="inlineStr"/>
      <c r="H169" s="28" t="inlineStr"/>
      <c r="I169" s="20" t="inlineStr"/>
      <c r="J169" s="20" t="inlineStr"/>
      <c r="K169" s="28" t="inlineStr"/>
    </row>
    <row r="170">
      <c r="B170" s="20" t="inlineStr"/>
      <c r="C170" s="20" t="inlineStr"/>
      <c r="D170" s="20" t="inlineStr"/>
      <c r="E170" s="28" t="inlineStr"/>
      <c r="F170" s="20" t="inlineStr"/>
      <c r="G170" s="20" t="inlineStr"/>
      <c r="H170" s="28" t="inlineStr"/>
      <c r="I170" s="20" t="inlineStr"/>
      <c r="J170" s="20" t="inlineStr"/>
      <c r="K170" s="28" t="inlineStr"/>
    </row>
    <row r="171">
      <c r="B171" s="20" t="inlineStr"/>
      <c r="C171" s="20" t="inlineStr"/>
      <c r="D171" s="20" t="inlineStr"/>
      <c r="E171" s="28" t="inlineStr"/>
      <c r="F171" s="20" t="inlineStr"/>
      <c r="G171" s="20" t="inlineStr"/>
      <c r="H171" s="28" t="inlineStr"/>
      <c r="I171" s="20" t="inlineStr"/>
      <c r="J171" s="20" t="inlineStr"/>
      <c r="K171" s="28" t="inlineStr"/>
    </row>
    <row r="172">
      <c r="B172" s="20" t="inlineStr"/>
      <c r="C172" s="20" t="inlineStr"/>
      <c r="D172" s="20" t="inlineStr"/>
      <c r="E172" s="28" t="inlineStr"/>
      <c r="F172" s="20" t="inlineStr"/>
      <c r="G172" s="20" t="inlineStr"/>
      <c r="H172" s="28" t="inlineStr"/>
      <c r="I172" s="20" t="inlineStr"/>
      <c r="J172" s="20" t="inlineStr"/>
      <c r="K172" s="28" t="inlineStr"/>
    </row>
    <row r="173">
      <c r="B173" s="20" t="inlineStr"/>
      <c r="C173" s="20" t="inlineStr"/>
      <c r="D173" s="20" t="inlineStr"/>
      <c r="E173" s="28" t="inlineStr"/>
      <c r="F173" s="20" t="inlineStr"/>
      <c r="G173" s="20" t="inlineStr"/>
      <c r="H173" s="28" t="inlineStr"/>
      <c r="I173" s="20" t="inlineStr"/>
      <c r="J173" s="20" t="inlineStr"/>
      <c r="K173" s="28" t="inlineStr"/>
    </row>
    <row r="174">
      <c r="B174" s="20" t="inlineStr"/>
      <c r="C174" s="20" t="inlineStr"/>
      <c r="D174" s="20" t="inlineStr"/>
      <c r="E174" s="28" t="inlineStr"/>
      <c r="F174" s="20" t="inlineStr"/>
      <c r="G174" s="20" t="inlineStr"/>
      <c r="H174" s="28" t="inlineStr"/>
      <c r="I174" s="20" t="inlineStr"/>
      <c r="J174" s="20" t="inlineStr"/>
      <c r="K174" s="28" t="inlineStr"/>
    </row>
    <row r="175">
      <c r="B175" s="20" t="inlineStr"/>
      <c r="C175" s="20" t="inlineStr"/>
      <c r="D175" s="20" t="inlineStr"/>
      <c r="E175" s="28" t="inlineStr"/>
      <c r="F175" s="20" t="inlineStr"/>
      <c r="G175" s="20" t="inlineStr"/>
      <c r="H175" s="28" t="inlineStr"/>
      <c r="I175" s="20" t="inlineStr"/>
      <c r="J175" s="20" t="inlineStr"/>
      <c r="K175" s="28" t="inlineStr"/>
    </row>
    <row r="176">
      <c r="B176" s="20" t="inlineStr"/>
      <c r="C176" s="20" t="inlineStr"/>
      <c r="D176" s="20" t="inlineStr"/>
      <c r="E176" s="28" t="inlineStr"/>
      <c r="F176" s="20" t="inlineStr"/>
      <c r="G176" s="20" t="inlineStr"/>
      <c r="H176" s="28" t="inlineStr"/>
      <c r="I176" s="20" t="inlineStr"/>
      <c r="J176" s="20" t="inlineStr"/>
      <c r="K176" s="28" t="inlineStr"/>
    </row>
    <row r="177">
      <c r="B177" s="20" t="inlineStr"/>
      <c r="C177" s="20" t="inlineStr"/>
      <c r="D177" s="20" t="inlineStr"/>
      <c r="E177" s="28" t="inlineStr"/>
      <c r="F177" s="20" t="inlineStr"/>
      <c r="G177" s="20" t="inlineStr"/>
      <c r="H177" s="28" t="inlineStr"/>
      <c r="I177" s="20" t="inlineStr"/>
      <c r="J177" s="20" t="inlineStr"/>
      <c r="K177" s="28" t="inlineStr"/>
    </row>
    <row r="178">
      <c r="B178" s="20" t="inlineStr"/>
      <c r="C178" s="20" t="inlineStr"/>
      <c r="D178" s="20" t="inlineStr"/>
      <c r="E178" s="28" t="inlineStr"/>
      <c r="F178" s="20" t="inlineStr"/>
      <c r="G178" s="20" t="inlineStr"/>
      <c r="H178" s="28" t="inlineStr"/>
      <c r="I178" s="20" t="inlineStr"/>
      <c r="J178" s="20" t="inlineStr"/>
      <c r="K178" s="28" t="inlineStr"/>
    </row>
    <row r="179">
      <c r="B179" s="20" t="inlineStr"/>
      <c r="C179" s="20" t="inlineStr"/>
      <c r="D179" s="20" t="inlineStr"/>
      <c r="E179" s="28" t="inlineStr"/>
      <c r="F179" s="20" t="inlineStr"/>
      <c r="G179" s="20" t="inlineStr"/>
      <c r="H179" s="28" t="inlineStr"/>
      <c r="I179" s="20" t="inlineStr"/>
      <c r="J179" s="20" t="inlineStr"/>
      <c r="K179" s="28" t="inlineStr"/>
    </row>
    <row r="180">
      <c r="B180" s="20" t="inlineStr"/>
      <c r="C180" s="20" t="inlineStr"/>
      <c r="D180" s="20" t="inlineStr"/>
      <c r="E180" s="28" t="inlineStr"/>
      <c r="F180" s="20" t="inlineStr"/>
      <c r="G180" s="20" t="inlineStr"/>
      <c r="H180" s="28" t="inlineStr"/>
      <c r="I180" s="20" t="inlineStr"/>
      <c r="J180" s="20" t="inlineStr"/>
      <c r="K180" s="28" t="inlineStr"/>
    </row>
    <row r="181">
      <c r="B181" s="20" t="inlineStr"/>
      <c r="C181" s="20" t="inlineStr"/>
      <c r="D181" s="20" t="inlineStr"/>
      <c r="E181" s="28" t="inlineStr"/>
      <c r="F181" s="20" t="inlineStr"/>
      <c r="G181" s="20" t="inlineStr"/>
      <c r="H181" s="28" t="inlineStr"/>
      <c r="I181" s="20" t="inlineStr"/>
      <c r="J181" s="20" t="inlineStr"/>
      <c r="K181" s="28" t="inlineStr"/>
    </row>
    <row r="182">
      <c r="B182" s="20" t="inlineStr"/>
      <c r="C182" s="20" t="inlineStr"/>
      <c r="D182" s="20" t="inlineStr"/>
      <c r="E182" s="28" t="inlineStr"/>
      <c r="F182" s="20" t="inlineStr"/>
      <c r="G182" s="20" t="inlineStr"/>
      <c r="H182" s="28" t="inlineStr"/>
      <c r="I182" s="20" t="inlineStr"/>
      <c r="J182" s="20" t="inlineStr"/>
      <c r="K182" s="28" t="inlineStr"/>
    </row>
    <row r="183">
      <c r="B183" s="20" t="inlineStr"/>
      <c r="C183" s="20" t="inlineStr"/>
      <c r="D183" s="20" t="inlineStr"/>
      <c r="E183" s="28" t="inlineStr"/>
      <c r="F183" s="20" t="inlineStr"/>
      <c r="G183" s="20" t="inlineStr"/>
      <c r="H183" s="28" t="inlineStr"/>
      <c r="I183" s="20" t="inlineStr"/>
      <c r="J183" s="20" t="inlineStr"/>
      <c r="K183" s="28" t="inlineStr"/>
    </row>
    <row r="184">
      <c r="B184" s="20" t="inlineStr"/>
      <c r="C184" s="20" t="inlineStr"/>
      <c r="D184" s="20" t="inlineStr"/>
      <c r="E184" s="28" t="inlineStr"/>
      <c r="F184" s="20" t="inlineStr"/>
      <c r="G184" s="20" t="inlineStr"/>
      <c r="H184" s="28" t="inlineStr"/>
      <c r="I184" s="20" t="inlineStr"/>
      <c r="J184" s="20" t="inlineStr"/>
      <c r="K184" s="28" t="inlineStr"/>
    </row>
    <row r="185">
      <c r="B185" s="20" t="inlineStr"/>
      <c r="C185" s="20" t="inlineStr"/>
      <c r="D185" s="20" t="inlineStr"/>
      <c r="E185" s="28" t="inlineStr"/>
      <c r="F185" s="20" t="inlineStr"/>
      <c r="G185" s="20" t="inlineStr"/>
      <c r="H185" s="28" t="inlineStr"/>
      <c r="I185" s="20" t="inlineStr"/>
      <c r="J185" s="20" t="inlineStr"/>
      <c r="K185" s="28" t="inlineStr"/>
    </row>
    <row r="186">
      <c r="B186" s="20" t="inlineStr"/>
      <c r="C186" s="20" t="inlineStr"/>
      <c r="D186" s="20" t="inlineStr"/>
      <c r="E186" s="28" t="inlineStr"/>
      <c r="F186" s="20" t="inlineStr"/>
      <c r="G186" s="20" t="inlineStr"/>
      <c r="H186" s="28" t="inlineStr"/>
      <c r="I186" s="20" t="inlineStr"/>
      <c r="J186" s="20" t="inlineStr"/>
      <c r="K186" s="28" t="inlineStr"/>
    </row>
    <row r="187">
      <c r="B187" s="20" t="inlineStr"/>
      <c r="C187" s="20" t="inlineStr"/>
      <c r="D187" s="20" t="inlineStr"/>
      <c r="E187" s="28" t="inlineStr"/>
      <c r="F187" s="20" t="inlineStr"/>
      <c r="G187" s="20" t="inlineStr"/>
      <c r="H187" s="28" t="inlineStr"/>
      <c r="I187" s="20" t="inlineStr"/>
      <c r="J187" s="20" t="inlineStr"/>
      <c r="K187" s="28" t="inlineStr"/>
    </row>
    <row r="188">
      <c r="B188" s="20" t="inlineStr"/>
      <c r="C188" s="20" t="inlineStr"/>
      <c r="D188" s="20" t="inlineStr"/>
      <c r="E188" s="28" t="inlineStr"/>
      <c r="F188" s="20" t="inlineStr"/>
      <c r="G188" s="20" t="inlineStr"/>
      <c r="H188" s="28" t="inlineStr"/>
      <c r="I188" s="20" t="inlineStr"/>
      <c r="J188" s="20" t="inlineStr"/>
      <c r="K188" s="28" t="inlineStr"/>
    </row>
    <row r="189">
      <c r="B189" s="20" t="inlineStr"/>
      <c r="C189" s="20" t="inlineStr"/>
      <c r="D189" s="20" t="inlineStr"/>
      <c r="E189" s="28" t="inlineStr"/>
      <c r="F189" s="20" t="inlineStr"/>
      <c r="G189" s="20" t="inlineStr"/>
      <c r="H189" s="28" t="inlineStr"/>
      <c r="I189" s="20" t="inlineStr"/>
      <c r="J189" s="20" t="inlineStr"/>
      <c r="K189" s="28" t="inlineStr"/>
    </row>
    <row r="190">
      <c r="B190" s="20" t="inlineStr"/>
      <c r="C190" s="20" t="inlineStr"/>
      <c r="D190" s="20" t="inlineStr"/>
      <c r="E190" s="28" t="inlineStr"/>
      <c r="F190" s="20" t="inlineStr"/>
      <c r="G190" s="20" t="inlineStr"/>
      <c r="H190" s="28" t="inlineStr"/>
      <c r="I190" s="20" t="inlineStr"/>
      <c r="J190" s="20" t="inlineStr"/>
      <c r="K190" s="28" t="inlineStr"/>
    </row>
    <row r="191">
      <c r="B191" s="20" t="inlineStr"/>
      <c r="C191" s="20" t="inlineStr"/>
      <c r="D191" s="20" t="inlineStr"/>
      <c r="E191" s="28" t="inlineStr"/>
      <c r="F191" s="20" t="inlineStr"/>
      <c r="G191" s="20" t="inlineStr"/>
      <c r="H191" s="28" t="inlineStr"/>
      <c r="I191" s="20" t="inlineStr"/>
      <c r="J191" s="20" t="inlineStr"/>
      <c r="K191" s="28" t="inlineStr"/>
    </row>
    <row r="192">
      <c r="B192" s="20" t="inlineStr"/>
      <c r="C192" s="20" t="inlineStr"/>
      <c r="D192" s="20" t="inlineStr"/>
      <c r="E192" s="28" t="inlineStr"/>
      <c r="F192" s="20" t="inlineStr"/>
      <c r="G192" s="20" t="inlineStr"/>
      <c r="H192" s="28" t="inlineStr"/>
      <c r="I192" s="20" t="inlineStr"/>
      <c r="J192" s="20" t="inlineStr"/>
      <c r="K192" s="28" t="inlineStr"/>
    </row>
    <row r="193">
      <c r="B193" s="20" t="inlineStr"/>
      <c r="C193" s="20" t="inlineStr"/>
      <c r="D193" s="20" t="inlineStr"/>
      <c r="E193" s="28" t="inlineStr"/>
      <c r="F193" s="20" t="inlineStr"/>
      <c r="G193" s="20" t="inlineStr"/>
      <c r="H193" s="28" t="inlineStr"/>
      <c r="I193" s="20" t="inlineStr"/>
      <c r="J193" s="20" t="inlineStr"/>
      <c r="K193" s="28" t="inlineStr"/>
    </row>
    <row r="194">
      <c r="B194" s="20" t="inlineStr"/>
      <c r="C194" s="20" t="inlineStr"/>
      <c r="D194" s="20" t="inlineStr"/>
      <c r="E194" s="28" t="inlineStr"/>
      <c r="F194" s="20" t="inlineStr"/>
      <c r="G194" s="20" t="inlineStr"/>
      <c r="H194" s="28" t="inlineStr"/>
      <c r="I194" s="20" t="inlineStr"/>
      <c r="J194" s="20" t="inlineStr"/>
      <c r="K194" s="28" t="inlineStr"/>
    </row>
    <row r="195">
      <c r="B195" s="20" t="inlineStr"/>
      <c r="C195" s="20" t="inlineStr"/>
      <c r="D195" s="20" t="inlineStr"/>
      <c r="E195" s="28" t="inlineStr"/>
      <c r="F195" s="20" t="inlineStr"/>
      <c r="G195" s="20" t="inlineStr"/>
      <c r="H195" s="28" t="inlineStr"/>
      <c r="I195" s="20" t="inlineStr"/>
      <c r="J195" s="20" t="inlineStr"/>
      <c r="K195" s="28" t="inlineStr"/>
    </row>
    <row r="196">
      <c r="B196" s="20" t="inlineStr"/>
      <c r="C196" s="20" t="inlineStr"/>
      <c r="D196" s="20" t="inlineStr"/>
      <c r="E196" s="28" t="inlineStr"/>
      <c r="F196" s="20" t="inlineStr"/>
      <c r="G196" s="20" t="inlineStr"/>
      <c r="H196" s="28" t="inlineStr"/>
      <c r="I196" s="20" t="inlineStr"/>
      <c r="J196" s="20" t="inlineStr"/>
      <c r="K196" s="28" t="inlineStr"/>
    </row>
    <row r="197">
      <c r="B197" s="20" t="inlineStr"/>
      <c r="C197" s="20" t="inlineStr"/>
      <c r="D197" s="20" t="inlineStr"/>
      <c r="E197" s="28" t="inlineStr"/>
      <c r="F197" s="20" t="inlineStr"/>
      <c r="G197" s="20" t="inlineStr"/>
      <c r="H197" s="28" t="inlineStr"/>
      <c r="I197" s="20" t="inlineStr"/>
      <c r="J197" s="20" t="inlineStr"/>
      <c r="K197" s="28" t="inlineStr"/>
    </row>
    <row r="198">
      <c r="B198" s="20" t="inlineStr"/>
      <c r="C198" s="20" t="inlineStr"/>
      <c r="D198" s="20" t="inlineStr"/>
      <c r="E198" s="28" t="inlineStr"/>
      <c r="F198" s="20" t="inlineStr"/>
      <c r="G198" s="20" t="inlineStr"/>
      <c r="H198" s="28" t="inlineStr"/>
      <c r="I198" s="20" t="inlineStr"/>
      <c r="J198" s="20" t="inlineStr"/>
      <c r="K198" s="28" t="inlineStr"/>
    </row>
    <row r="199">
      <c r="B199" s="20" t="inlineStr"/>
      <c r="C199" s="20" t="inlineStr"/>
      <c r="D199" s="20" t="inlineStr"/>
      <c r="E199" s="28" t="inlineStr"/>
      <c r="F199" s="20" t="inlineStr"/>
      <c r="G199" s="20" t="inlineStr"/>
      <c r="H199" s="28" t="inlineStr"/>
      <c r="I199" s="20" t="inlineStr"/>
      <c r="J199" s="20" t="inlineStr"/>
      <c r="K199" s="28" t="inlineStr"/>
    </row>
    <row r="200">
      <c r="B200" s="20" t="inlineStr"/>
      <c r="C200" s="20" t="inlineStr"/>
      <c r="D200" s="20" t="inlineStr"/>
      <c r="E200" s="28" t="inlineStr"/>
      <c r="F200" s="20" t="inlineStr"/>
      <c r="G200" s="20" t="inlineStr"/>
      <c r="H200" s="28" t="inlineStr"/>
      <c r="I200" s="20" t="inlineStr"/>
      <c r="J200" s="20" t="inlineStr"/>
      <c r="K200" s="28" t="inlineStr"/>
    </row>
    <row r="201">
      <c r="B201" s="20" t="inlineStr"/>
      <c r="C201" s="20" t="inlineStr"/>
      <c r="D201" s="20" t="inlineStr"/>
      <c r="E201" s="28" t="inlineStr"/>
      <c r="F201" s="20" t="inlineStr"/>
      <c r="G201" s="20" t="inlineStr"/>
      <c r="H201" s="28" t="inlineStr"/>
      <c r="I201" s="20" t="inlineStr"/>
      <c r="J201" s="20" t="inlineStr"/>
      <c r="K201" s="28" t="inlineStr"/>
    </row>
    <row r="202">
      <c r="B202" s="20" t="inlineStr"/>
      <c r="C202" s="20" t="inlineStr"/>
      <c r="D202" s="20" t="inlineStr"/>
      <c r="E202" s="28" t="inlineStr"/>
      <c r="F202" s="20" t="inlineStr"/>
      <c r="G202" s="20" t="inlineStr"/>
      <c r="H202" s="28" t="inlineStr"/>
      <c r="I202" s="20" t="inlineStr"/>
      <c r="J202" s="20" t="inlineStr"/>
      <c r="K202" s="28" t="inlineStr"/>
    </row>
    <row r="203">
      <c r="B203" s="20" t="inlineStr"/>
      <c r="C203" s="20" t="inlineStr"/>
      <c r="D203" s="20" t="inlineStr"/>
      <c r="E203" s="28" t="inlineStr"/>
      <c r="F203" s="20" t="inlineStr"/>
      <c r="G203" s="20" t="inlineStr"/>
      <c r="H203" s="28" t="inlineStr"/>
      <c r="I203" s="20" t="inlineStr"/>
      <c r="J203" s="20" t="inlineStr"/>
      <c r="K203" s="28" t="inlineStr"/>
    </row>
  </sheetData>
  <mergeCells count="13">
    <mergeCell ref="D46:J46"/>
    <mergeCell ref="U53:AO53"/>
    <mergeCell ref="G31:J31"/>
    <mergeCell ref="D48:J48"/>
    <mergeCell ref="AP5:AR5"/>
    <mergeCell ref="D47:J47"/>
    <mergeCell ref="G29:J29"/>
    <mergeCell ref="G30:J30"/>
    <mergeCell ref="W4:Y4"/>
    <mergeCell ref="G33:J33"/>
    <mergeCell ref="D49:J49"/>
    <mergeCell ref="G32:J32"/>
    <mergeCell ref="G28:J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7.2" customWidth="1" min="3" max="3"/>
    <col width="7.2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  <col width="7.2" customWidth="1" min="20" max="20"/>
    <col width="3" customWidth="1" min="21" max="21"/>
    <col width="40" customWidth="1" min="22" max="22"/>
  </cols>
  <sheetData>
    <row r="1">
      <c r="A1" s="1" t="inlineStr">
        <is>
          <t>醫師週班表(固定門診表 · 這是排月班的母表)</t>
        </is>
      </c>
    </row>
    <row r="2">
      <c r="A2" s="6" t="inlineStr">
        <is>
          <t>資料來源:官網五間院所門診表頁面,由原始碼直接解析產生(231 筆逐格比對一致)。格內寫法見「設定」分頁的「二之二、醫師週班表的標記」。改這裡等於改固定門診:「醫師班表」整個月的對應格子會立刻跟著變,月結也會。</t>
        </is>
      </c>
    </row>
    <row r="3">
      <c r="A3" s="10" t="inlineStr">
        <is>
          <t>員工編號</t>
        </is>
      </c>
      <c r="B3" s="10" t="inlineStr">
        <is>
          <t>姓名</t>
        </is>
      </c>
      <c r="C3" s="10" t="inlineStr">
        <is>
          <t>週一</t>
        </is>
      </c>
      <c r="D3" s="8" t="n"/>
      <c r="E3" s="9" t="n"/>
      <c r="F3" s="10" t="inlineStr">
        <is>
          <t>週二</t>
        </is>
      </c>
      <c r="G3" s="8" t="n"/>
      <c r="H3" s="9" t="n"/>
      <c r="I3" s="10" t="inlineStr">
        <is>
          <t>週三</t>
        </is>
      </c>
      <c r="J3" s="8" t="n"/>
      <c r="K3" s="9" t="n"/>
      <c r="L3" s="10" t="inlineStr">
        <is>
          <t>週四</t>
        </is>
      </c>
      <c r="M3" s="8" t="n"/>
      <c r="N3" s="9" t="n"/>
      <c r="O3" s="10" t="inlineStr">
        <is>
          <t>週五</t>
        </is>
      </c>
      <c r="P3" s="8" t="n"/>
      <c r="Q3" s="9" t="n"/>
      <c r="R3" s="10" t="inlineStr">
        <is>
          <t>週六</t>
        </is>
      </c>
      <c r="S3" s="8" t="n"/>
      <c r="T3" s="9" t="n"/>
      <c r="V3" s="10" t="inlineStr">
        <is>
          <t>附註</t>
        </is>
      </c>
    </row>
    <row r="4">
      <c r="A4" s="45" t="n"/>
      <c r="B4" s="45" t="n"/>
      <c r="C4" s="46" t="inlineStr">
        <is>
          <t>早</t>
        </is>
      </c>
      <c r="D4" s="47" t="inlineStr">
        <is>
          <t>午</t>
        </is>
      </c>
      <c r="E4" s="47" t="inlineStr">
        <is>
          <t>晚</t>
        </is>
      </c>
      <c r="F4" s="46" t="inlineStr">
        <is>
          <t>早</t>
        </is>
      </c>
      <c r="G4" s="47" t="inlineStr">
        <is>
          <t>午</t>
        </is>
      </c>
      <c r="H4" s="47" t="inlineStr">
        <is>
          <t>晚</t>
        </is>
      </c>
      <c r="I4" s="46" t="inlineStr">
        <is>
          <t>早</t>
        </is>
      </c>
      <c r="J4" s="47" t="inlineStr">
        <is>
          <t>午</t>
        </is>
      </c>
      <c r="K4" s="47" t="inlineStr">
        <is>
          <t>晚</t>
        </is>
      </c>
      <c r="L4" s="46" t="inlineStr">
        <is>
          <t>早</t>
        </is>
      </c>
      <c r="M4" s="47" t="inlineStr">
        <is>
          <t>午</t>
        </is>
      </c>
      <c r="N4" s="47" t="inlineStr">
        <is>
          <t>晚</t>
        </is>
      </c>
      <c r="O4" s="46" t="inlineStr">
        <is>
          <t>早</t>
        </is>
      </c>
      <c r="P4" s="47" t="inlineStr">
        <is>
          <t>午</t>
        </is>
      </c>
      <c r="Q4" s="47" t="inlineStr">
        <is>
          <t>晚</t>
        </is>
      </c>
      <c r="R4" s="46" t="inlineStr">
        <is>
          <t>早</t>
        </is>
      </c>
      <c r="S4" s="47" t="inlineStr">
        <is>
          <t>午</t>
        </is>
      </c>
      <c r="T4" s="47" t="inlineStr">
        <is>
          <t>晚</t>
        </is>
      </c>
      <c r="V4" s="45" t="n"/>
    </row>
    <row r="5" ht="17" customHeight="1">
      <c r="A5" s="19" t="inlineStr">
        <is>
          <t>D001</t>
        </is>
      </c>
      <c r="B5" s="16" t="inlineStr">
        <is>
          <t>林智俊</t>
        </is>
      </c>
      <c r="C5" s="48" t="n"/>
      <c r="D5" s="49" t="inlineStr">
        <is>
          <t>悅</t>
        </is>
      </c>
      <c r="E5" s="49" t="inlineStr">
        <is>
          <t>悅</t>
        </is>
      </c>
      <c r="F5" s="50" t="inlineStr">
        <is>
          <t>曜</t>
        </is>
      </c>
      <c r="G5" s="51" t="inlineStr">
        <is>
          <t>曜</t>
        </is>
      </c>
      <c r="H5" s="52" t="n"/>
      <c r="I5" s="53" t="inlineStr">
        <is>
          <t>悅</t>
        </is>
      </c>
      <c r="J5" s="49" t="inlineStr">
        <is>
          <t>悅</t>
        </is>
      </c>
      <c r="K5" s="49" t="inlineStr">
        <is>
          <t>悅</t>
        </is>
      </c>
      <c r="L5" s="48" t="n"/>
      <c r="M5" s="54" t="inlineStr">
        <is>
          <t>匯</t>
        </is>
      </c>
      <c r="N5" s="54" t="inlineStr">
        <is>
          <t>匯</t>
        </is>
      </c>
      <c r="O5" s="48" t="n"/>
      <c r="P5" s="49" t="inlineStr">
        <is>
          <t>悅</t>
        </is>
      </c>
      <c r="Q5" s="49" t="inlineStr">
        <is>
          <t>悅</t>
        </is>
      </c>
      <c r="R5" s="53" t="inlineStr">
        <is>
          <t>悅(隔)</t>
        </is>
      </c>
      <c r="S5" s="52" t="n"/>
      <c r="T5" s="52" t="n"/>
      <c r="V5" s="55" t="inlineStr"/>
    </row>
    <row r="6" ht="17" customHeight="1">
      <c r="A6" s="19" t="inlineStr">
        <is>
          <t>D002</t>
        </is>
      </c>
      <c r="B6" s="16" t="inlineStr">
        <is>
          <t>劉立德</t>
        </is>
      </c>
      <c r="C6" s="50" t="inlineStr">
        <is>
          <t>曜</t>
        </is>
      </c>
      <c r="D6" s="51" t="inlineStr">
        <is>
          <t>曜</t>
        </is>
      </c>
      <c r="E6" s="51" t="inlineStr">
        <is>
          <t>曜</t>
        </is>
      </c>
      <c r="F6" s="48" t="n"/>
      <c r="G6" s="56" t="inlineStr">
        <is>
          <t>睿</t>
        </is>
      </c>
      <c r="H6" s="56" t="inlineStr">
        <is>
          <t>睿</t>
        </is>
      </c>
      <c r="I6" s="57" t="inlineStr">
        <is>
          <t>睿/曜</t>
        </is>
      </c>
      <c r="J6" s="56" t="inlineStr">
        <is>
          <t>睿/曜</t>
        </is>
      </c>
      <c r="K6" s="52" t="n"/>
      <c r="L6" s="50" t="inlineStr">
        <is>
          <t>曜</t>
        </is>
      </c>
      <c r="M6" s="51" t="inlineStr">
        <is>
          <t>曜</t>
        </is>
      </c>
      <c r="N6" s="51" t="inlineStr">
        <is>
          <t>曜</t>
        </is>
      </c>
      <c r="O6" s="48" t="n"/>
      <c r="P6" s="56" t="inlineStr">
        <is>
          <t>睿</t>
        </is>
      </c>
      <c r="Q6" s="56" t="inlineStr">
        <is>
          <t>睿</t>
        </is>
      </c>
      <c r="R6" s="48" t="n"/>
      <c r="S6" s="52" t="n"/>
      <c r="T6" s="52" t="n"/>
      <c r="V6" s="55" t="inlineStr"/>
    </row>
    <row r="7" ht="17" customHeight="1">
      <c r="A7" s="19" t="inlineStr">
        <is>
          <t>D003</t>
        </is>
      </c>
      <c r="B7" s="16" t="inlineStr">
        <is>
          <t>王泳泉</t>
        </is>
      </c>
      <c r="C7" s="48" t="n"/>
      <c r="D7" s="49" t="inlineStr">
        <is>
          <t>悅/睿</t>
        </is>
      </c>
      <c r="E7" s="49" t="inlineStr">
        <is>
          <t>悅/睿</t>
        </is>
      </c>
      <c r="F7" s="48" t="n"/>
      <c r="G7" s="52" t="n"/>
      <c r="H7" s="52" t="n"/>
      <c r="I7" s="48" t="n"/>
      <c r="J7" s="49" t="inlineStr">
        <is>
          <t>悅</t>
        </is>
      </c>
      <c r="K7" s="49" t="inlineStr">
        <is>
          <t>悅</t>
        </is>
      </c>
      <c r="L7" s="48" t="n"/>
      <c r="M7" s="52" t="n"/>
      <c r="N7" s="52" t="n"/>
      <c r="O7" s="48" t="n"/>
      <c r="P7" s="52" t="n"/>
      <c r="Q7" s="52" t="n"/>
      <c r="R7" s="53" t="inlineStr">
        <is>
          <t>悅</t>
        </is>
      </c>
      <c r="S7" s="52" t="n"/>
      <c r="T7" s="52" t="n"/>
      <c r="V7" s="55" t="inlineStr"/>
    </row>
    <row r="8" ht="17" customHeight="1">
      <c r="A8" s="19" t="inlineStr">
        <is>
          <t>D004</t>
        </is>
      </c>
      <c r="B8" s="16" t="inlineStr">
        <is>
          <t>劉玠旻</t>
        </is>
      </c>
      <c r="C8" s="48" t="n"/>
      <c r="D8" s="49" t="inlineStr">
        <is>
          <t>悅(隔)</t>
        </is>
      </c>
      <c r="E8" s="52" t="n"/>
      <c r="F8" s="53" t="inlineStr">
        <is>
          <t>悅</t>
        </is>
      </c>
      <c r="G8" s="49" t="inlineStr">
        <is>
          <t>悅</t>
        </is>
      </c>
      <c r="H8" s="52" t="n"/>
      <c r="I8" s="48" t="n"/>
      <c r="J8" s="51" t="inlineStr">
        <is>
          <t>曜</t>
        </is>
      </c>
      <c r="K8" s="52" t="n"/>
      <c r="L8" s="57" t="inlineStr">
        <is>
          <t>睿</t>
        </is>
      </c>
      <c r="M8" s="56" t="inlineStr">
        <is>
          <t>睿</t>
        </is>
      </c>
      <c r="N8" s="52" t="n"/>
      <c r="O8" s="48" t="n"/>
      <c r="P8" s="52" t="n"/>
      <c r="Q8" s="52" t="n"/>
      <c r="R8" s="48" t="n"/>
      <c r="S8" s="52" t="n"/>
      <c r="T8" s="52" t="n"/>
      <c r="V8" s="55" t="inlineStr"/>
    </row>
    <row r="9" ht="17" customHeight="1">
      <c r="A9" s="19" t="inlineStr">
        <is>
          <t>D005</t>
        </is>
      </c>
      <c r="B9" s="16" t="inlineStr">
        <is>
          <t>陳志僑</t>
        </is>
      </c>
      <c r="C9" s="48" t="n"/>
      <c r="D9" s="52" t="n"/>
      <c r="E9" s="52" t="n"/>
      <c r="F9" s="53" t="inlineStr">
        <is>
          <t>悅</t>
        </is>
      </c>
      <c r="G9" s="49" t="inlineStr">
        <is>
          <t>悅</t>
        </is>
      </c>
      <c r="H9" s="56" t="inlineStr">
        <is>
          <t>睿</t>
        </is>
      </c>
      <c r="I9" s="48" t="n"/>
      <c r="J9" s="52" t="n"/>
      <c r="K9" s="52" t="n"/>
      <c r="L9" s="48" t="n"/>
      <c r="M9" s="52" t="n"/>
      <c r="N9" s="52" t="n"/>
      <c r="O9" s="48" t="n"/>
      <c r="P9" s="52" t="n"/>
      <c r="Q9" s="52" t="n"/>
      <c r="R9" s="48" t="n"/>
      <c r="S9" s="52" t="n"/>
      <c r="T9" s="52" t="n"/>
      <c r="V9" s="55" t="inlineStr"/>
    </row>
    <row r="10" ht="17" customHeight="1">
      <c r="A10" s="19" t="inlineStr">
        <is>
          <t>D006</t>
        </is>
      </c>
      <c r="B10" s="16" t="inlineStr">
        <is>
          <t>黃榆鈞</t>
        </is>
      </c>
      <c r="C10" s="48" t="n"/>
      <c r="D10" s="52" t="n"/>
      <c r="E10" s="52" t="n"/>
      <c r="F10" s="48" t="n"/>
      <c r="G10" s="58" t="inlineStr">
        <is>
          <t>寶(不定)</t>
        </is>
      </c>
      <c r="H10" s="58" t="inlineStr">
        <is>
          <t>寶</t>
        </is>
      </c>
      <c r="I10" s="48" t="n"/>
      <c r="J10" s="52" t="n"/>
      <c r="K10" s="52" t="n"/>
      <c r="L10" s="48" t="n"/>
      <c r="M10" s="49" t="inlineStr">
        <is>
          <t>悅(註)</t>
        </is>
      </c>
      <c r="N10" s="49" t="inlineStr">
        <is>
          <t>悅(註)</t>
        </is>
      </c>
      <c r="O10" s="48" t="n"/>
      <c r="P10" s="52" t="n"/>
      <c r="Q10" s="52" t="n"/>
      <c r="R10" s="59" t="inlineStr">
        <is>
          <t>寶(不定)</t>
        </is>
      </c>
      <c r="S10" s="58" t="inlineStr">
        <is>
          <t>寶(不定)</t>
        </is>
      </c>
      <c r="T10" s="52" t="n"/>
      <c r="V10" s="55" t="inlineStr">
        <is>
          <t>黃榆鈞:每月1日15:30後 / 黃榆鈞:每月1日</t>
        </is>
      </c>
    </row>
    <row r="11" ht="17" customHeight="1">
      <c r="A11" s="19" t="inlineStr">
        <is>
          <t>D007</t>
        </is>
      </c>
      <c r="B11" s="16" t="inlineStr">
        <is>
          <t>温翊君</t>
        </is>
      </c>
      <c r="C11" s="48" t="n"/>
      <c r="D11" s="52" t="n"/>
      <c r="E11" s="52" t="n"/>
      <c r="F11" s="48" t="n"/>
      <c r="G11" s="49" t="inlineStr">
        <is>
          <t>悅</t>
        </is>
      </c>
      <c r="H11" s="49" t="inlineStr">
        <is>
          <t>悅</t>
        </is>
      </c>
      <c r="I11" s="48" t="n"/>
      <c r="J11" s="52" t="n"/>
      <c r="K11" s="52" t="n"/>
      <c r="L11" s="48" t="n"/>
      <c r="M11" s="52" t="n"/>
      <c r="N11" s="52" t="n"/>
      <c r="O11" s="48" t="n"/>
      <c r="P11" s="52" t="n"/>
      <c r="Q11" s="52" t="n"/>
      <c r="R11" s="53" t="inlineStr">
        <is>
          <t>悅</t>
        </is>
      </c>
      <c r="S11" s="49" t="inlineStr">
        <is>
          <t>悅</t>
        </is>
      </c>
      <c r="T11" s="52" t="n"/>
      <c r="V11" s="55" t="inlineStr"/>
    </row>
    <row r="12" ht="17" customHeight="1">
      <c r="A12" s="19" t="inlineStr">
        <is>
          <t>D008</t>
        </is>
      </c>
      <c r="B12" s="16" t="inlineStr">
        <is>
          <t>林紫亭</t>
        </is>
      </c>
      <c r="C12" s="48" t="n"/>
      <c r="D12" s="52" t="n"/>
      <c r="E12" s="52" t="n"/>
      <c r="F12" s="53" t="inlineStr">
        <is>
          <t>悅</t>
        </is>
      </c>
      <c r="G12" s="49" t="inlineStr">
        <is>
          <t>悅</t>
        </is>
      </c>
      <c r="H12" s="49" t="inlineStr">
        <is>
          <t>悅</t>
        </is>
      </c>
      <c r="I12" s="48" t="n"/>
      <c r="J12" s="52" t="n"/>
      <c r="K12" s="52" t="n"/>
      <c r="L12" s="48" t="n"/>
      <c r="M12" s="52" t="n"/>
      <c r="N12" s="52" t="n"/>
      <c r="O12" s="48" t="n"/>
      <c r="P12" s="52" t="n"/>
      <c r="Q12" s="52" t="n"/>
      <c r="R12" s="53" t="inlineStr">
        <is>
          <t>悅</t>
        </is>
      </c>
      <c r="S12" s="49" t="inlineStr">
        <is>
          <t>悅</t>
        </is>
      </c>
      <c r="T12" s="52" t="n"/>
      <c r="V12" s="55" t="inlineStr"/>
    </row>
    <row r="13" ht="17" customHeight="1">
      <c r="A13" s="19" t="inlineStr">
        <is>
          <t>D009</t>
        </is>
      </c>
      <c r="B13" s="16" t="inlineStr">
        <is>
          <t>陳昺元</t>
        </is>
      </c>
      <c r="C13" s="48" t="n"/>
      <c r="D13" s="52" t="n"/>
      <c r="E13" s="52" t="n"/>
      <c r="F13" s="48" t="n"/>
      <c r="G13" s="52" t="n"/>
      <c r="H13" s="52" t="n"/>
      <c r="I13" s="53" t="inlineStr">
        <is>
          <t>悅</t>
        </is>
      </c>
      <c r="J13" s="49" t="inlineStr">
        <is>
          <t>悅</t>
        </is>
      </c>
      <c r="K13" s="49" t="inlineStr">
        <is>
          <t>悅</t>
        </is>
      </c>
      <c r="L13" s="48" t="n"/>
      <c r="M13" s="58" t="inlineStr">
        <is>
          <t>寶</t>
        </is>
      </c>
      <c r="N13" s="58" t="inlineStr">
        <is>
          <t>寶</t>
        </is>
      </c>
      <c r="O13" s="60" t="inlineStr">
        <is>
          <t>匯</t>
        </is>
      </c>
      <c r="P13" s="54" t="inlineStr">
        <is>
          <t>匯</t>
        </is>
      </c>
      <c r="Q13" s="54" t="inlineStr">
        <is>
          <t>匯</t>
        </is>
      </c>
      <c r="R13" s="53" t="inlineStr">
        <is>
          <t>悅/匯</t>
        </is>
      </c>
      <c r="S13" s="49" t="inlineStr">
        <is>
          <t>悅/匯</t>
        </is>
      </c>
      <c r="T13" s="52" t="n"/>
      <c r="V13" s="55" t="inlineStr"/>
    </row>
    <row r="14" ht="17" customHeight="1">
      <c r="A14" s="19" t="inlineStr">
        <is>
          <t>D010</t>
        </is>
      </c>
      <c r="B14" s="16" t="inlineStr">
        <is>
          <t>蔡季軒</t>
        </is>
      </c>
      <c r="C14" s="53" t="inlineStr">
        <is>
          <t>悅</t>
        </is>
      </c>
      <c r="D14" s="49" t="inlineStr">
        <is>
          <t>悅</t>
        </is>
      </c>
      <c r="E14" s="49" t="inlineStr">
        <is>
          <t>悅</t>
        </is>
      </c>
      <c r="F14" s="48" t="n"/>
      <c r="G14" s="49" t="inlineStr">
        <is>
          <t>悅</t>
        </is>
      </c>
      <c r="H14" s="49" t="inlineStr">
        <is>
          <t>悅</t>
        </is>
      </c>
      <c r="I14" s="53" t="inlineStr">
        <is>
          <t>悅</t>
        </is>
      </c>
      <c r="J14" s="49" t="inlineStr">
        <is>
          <t>悅</t>
        </is>
      </c>
      <c r="K14" s="52" t="n"/>
      <c r="L14" s="48" t="n"/>
      <c r="M14" s="52" t="n"/>
      <c r="N14" s="52" t="n"/>
      <c r="O14" s="53" t="inlineStr">
        <is>
          <t>悅</t>
        </is>
      </c>
      <c r="P14" s="49" t="inlineStr">
        <is>
          <t>悅</t>
        </is>
      </c>
      <c r="Q14" s="49" t="inlineStr">
        <is>
          <t>悅</t>
        </is>
      </c>
      <c r="R14" s="48" t="n"/>
      <c r="S14" s="52" t="n"/>
      <c r="T14" s="52" t="n"/>
      <c r="V14" s="55" t="inlineStr"/>
    </row>
    <row r="15" ht="17" customHeight="1">
      <c r="A15" s="19" t="inlineStr">
        <is>
          <t>D011</t>
        </is>
      </c>
      <c r="B15" s="16" t="inlineStr">
        <is>
          <t>温健成</t>
        </is>
      </c>
      <c r="C15" s="48" t="n"/>
      <c r="D15" s="54" t="inlineStr">
        <is>
          <t>匯</t>
        </is>
      </c>
      <c r="E15" s="54" t="inlineStr">
        <is>
          <t>匯</t>
        </is>
      </c>
      <c r="F15" s="57" t="inlineStr">
        <is>
          <t>睿</t>
        </is>
      </c>
      <c r="G15" s="56" t="inlineStr">
        <is>
          <t>睿</t>
        </is>
      </c>
      <c r="H15" s="56" t="inlineStr">
        <is>
          <t>睿</t>
        </is>
      </c>
      <c r="I15" s="48" t="n"/>
      <c r="J15" s="54" t="inlineStr">
        <is>
          <t>匯</t>
        </is>
      </c>
      <c r="K15" s="54" t="inlineStr">
        <is>
          <t>匯</t>
        </is>
      </c>
      <c r="L15" s="57" t="inlineStr">
        <is>
          <t>睿</t>
        </is>
      </c>
      <c r="M15" s="56" t="inlineStr">
        <is>
          <t>睿</t>
        </is>
      </c>
      <c r="N15" s="56" t="inlineStr">
        <is>
          <t>睿</t>
        </is>
      </c>
      <c r="O15" s="48" t="n"/>
      <c r="P15" s="52" t="n"/>
      <c r="Q15" s="52" t="n"/>
      <c r="R15" s="57" t="inlineStr">
        <is>
          <t>睿(隔)</t>
        </is>
      </c>
      <c r="S15" s="56" t="inlineStr">
        <is>
          <t>睿(隔)</t>
        </is>
      </c>
      <c r="T15" s="52" t="n"/>
      <c r="V15" s="55" t="inlineStr"/>
    </row>
    <row r="16" ht="17" customHeight="1">
      <c r="A16" s="19" t="inlineStr">
        <is>
          <t>D012</t>
        </is>
      </c>
      <c r="B16" s="16" t="inlineStr">
        <is>
          <t>陳立軒</t>
        </is>
      </c>
      <c r="C16" s="48" t="n"/>
      <c r="D16" s="56" t="inlineStr">
        <is>
          <t>睿</t>
        </is>
      </c>
      <c r="E16" s="56" t="inlineStr">
        <is>
          <t>睿</t>
        </is>
      </c>
      <c r="F16" s="60" t="inlineStr">
        <is>
          <t>匯</t>
        </is>
      </c>
      <c r="G16" s="51" t="inlineStr">
        <is>
          <t>曜</t>
        </is>
      </c>
      <c r="H16" s="51" t="inlineStr">
        <is>
          <t>曜</t>
        </is>
      </c>
      <c r="I16" s="48" t="n"/>
      <c r="J16" s="56" t="inlineStr">
        <is>
          <t>睿</t>
        </is>
      </c>
      <c r="K16" s="56" t="inlineStr">
        <is>
          <t>睿</t>
        </is>
      </c>
      <c r="L16" s="60" t="inlineStr">
        <is>
          <t>匯</t>
        </is>
      </c>
      <c r="M16" s="54" t="inlineStr">
        <is>
          <t>匯</t>
        </is>
      </c>
      <c r="N16" s="54" t="inlineStr">
        <is>
          <t>匯</t>
        </is>
      </c>
      <c r="O16" s="50" t="inlineStr">
        <is>
          <t>曜</t>
        </is>
      </c>
      <c r="P16" s="51" t="inlineStr">
        <is>
          <t>曜</t>
        </is>
      </c>
      <c r="Q16" s="51" t="inlineStr">
        <is>
          <t>曜</t>
        </is>
      </c>
      <c r="R16" s="50" t="inlineStr">
        <is>
          <t>曜(隔)</t>
        </is>
      </c>
      <c r="S16" s="51" t="inlineStr">
        <is>
          <t>曜(隔)</t>
        </is>
      </c>
      <c r="T16" s="52" t="n"/>
      <c r="V16" s="55" t="inlineStr"/>
    </row>
    <row r="17" ht="17" customHeight="1">
      <c r="A17" s="19" t="inlineStr">
        <is>
          <t>D013</t>
        </is>
      </c>
      <c r="B17" s="16" t="inlineStr">
        <is>
          <t>朱柏非</t>
        </is>
      </c>
      <c r="C17" s="53" t="inlineStr">
        <is>
          <t>悅</t>
        </is>
      </c>
      <c r="D17" s="49" t="inlineStr">
        <is>
          <t>悅</t>
        </is>
      </c>
      <c r="E17" s="49" t="inlineStr">
        <is>
          <t>悅</t>
        </is>
      </c>
      <c r="F17" s="48" t="n"/>
      <c r="G17" s="52" t="n"/>
      <c r="H17" s="52" t="n"/>
      <c r="I17" s="60" t="inlineStr">
        <is>
          <t>匯</t>
        </is>
      </c>
      <c r="J17" s="54" t="inlineStr">
        <is>
          <t>匯</t>
        </is>
      </c>
      <c r="K17" s="54" t="inlineStr">
        <is>
          <t>匯</t>
        </is>
      </c>
      <c r="L17" s="48" t="n"/>
      <c r="M17" s="58" t="inlineStr">
        <is>
          <t>寶</t>
        </is>
      </c>
      <c r="N17" s="58" t="inlineStr">
        <is>
          <t>寶</t>
        </is>
      </c>
      <c r="O17" s="53" t="inlineStr">
        <is>
          <t>悅</t>
        </is>
      </c>
      <c r="P17" s="49" t="inlineStr">
        <is>
          <t>悅</t>
        </is>
      </c>
      <c r="Q17" s="49" t="inlineStr">
        <is>
          <t>悅</t>
        </is>
      </c>
      <c r="R17" s="53" t="inlineStr">
        <is>
          <t>悅/匯</t>
        </is>
      </c>
      <c r="S17" s="49" t="inlineStr">
        <is>
          <t>悅/匯</t>
        </is>
      </c>
      <c r="T17" s="52" t="n"/>
      <c r="V17" s="55" t="inlineStr"/>
    </row>
    <row r="18" ht="17" customHeight="1">
      <c r="A18" s="19" t="inlineStr">
        <is>
          <t>D014</t>
        </is>
      </c>
      <c r="B18" s="16" t="inlineStr">
        <is>
          <t>鄭漢賢</t>
        </is>
      </c>
      <c r="C18" s="53" t="inlineStr">
        <is>
          <t>悅</t>
        </is>
      </c>
      <c r="D18" s="49" t="inlineStr">
        <is>
          <t>悅</t>
        </is>
      </c>
      <c r="E18" s="49" t="inlineStr">
        <is>
          <t>悅</t>
        </is>
      </c>
      <c r="F18" s="60" t="inlineStr">
        <is>
          <t>匯</t>
        </is>
      </c>
      <c r="G18" s="54" t="inlineStr">
        <is>
          <t>匯</t>
        </is>
      </c>
      <c r="H18" s="54" t="inlineStr">
        <is>
          <t>匯</t>
        </is>
      </c>
      <c r="I18" s="48" t="n"/>
      <c r="J18" s="52" t="n"/>
      <c r="K18" s="52" t="n"/>
      <c r="L18" s="53" t="inlineStr">
        <is>
          <t>悅</t>
        </is>
      </c>
      <c r="M18" s="49" t="inlineStr">
        <is>
          <t>悅</t>
        </is>
      </c>
      <c r="N18" s="52" t="n"/>
      <c r="O18" s="60" t="inlineStr">
        <is>
          <t>匯</t>
        </is>
      </c>
      <c r="P18" s="54" t="inlineStr">
        <is>
          <t>匯</t>
        </is>
      </c>
      <c r="Q18" s="54" t="inlineStr">
        <is>
          <t>匯</t>
        </is>
      </c>
      <c r="R18" s="53" t="inlineStr">
        <is>
          <t>悅</t>
        </is>
      </c>
      <c r="S18" s="49" t="inlineStr">
        <is>
          <t>悅</t>
        </is>
      </c>
      <c r="T18" s="52" t="n"/>
      <c r="V18" s="55" t="inlineStr"/>
    </row>
    <row r="19" ht="17" customHeight="1">
      <c r="A19" s="19" t="inlineStr">
        <is>
          <t>D015</t>
        </is>
      </c>
      <c r="B19" s="16" t="inlineStr">
        <is>
          <t>徐平</t>
        </is>
      </c>
      <c r="C19" s="48" t="n"/>
      <c r="D19" s="51" t="inlineStr">
        <is>
          <t>曜</t>
        </is>
      </c>
      <c r="E19" s="51" t="inlineStr">
        <is>
          <t>曜</t>
        </is>
      </c>
      <c r="F19" s="48" t="n"/>
      <c r="G19" s="49" t="inlineStr">
        <is>
          <t>悅</t>
        </is>
      </c>
      <c r="H19" s="49" t="inlineStr">
        <is>
          <t>悅</t>
        </is>
      </c>
      <c r="I19" s="48" t="n"/>
      <c r="J19" s="51" t="inlineStr">
        <is>
          <t>曜</t>
        </is>
      </c>
      <c r="K19" s="51" t="inlineStr">
        <is>
          <t>曜</t>
        </is>
      </c>
      <c r="L19" s="48" t="n"/>
      <c r="M19" s="49" t="inlineStr">
        <is>
          <t>悅</t>
        </is>
      </c>
      <c r="N19" s="49" t="inlineStr">
        <is>
          <t>悅</t>
        </is>
      </c>
      <c r="O19" s="48" t="n"/>
      <c r="P19" s="51" t="inlineStr">
        <is>
          <t>曜</t>
        </is>
      </c>
      <c r="Q19" s="51" t="inlineStr">
        <is>
          <t>曜</t>
        </is>
      </c>
      <c r="R19" s="50" t="inlineStr">
        <is>
          <t>曜(隔)</t>
        </is>
      </c>
      <c r="S19" s="51" t="inlineStr">
        <is>
          <t>曜(隔)</t>
        </is>
      </c>
      <c r="T19" s="52" t="n"/>
      <c r="V19" s="55" t="inlineStr"/>
    </row>
    <row r="20" ht="17" customHeight="1">
      <c r="A20" s="19" t="inlineStr">
        <is>
          <t>D016</t>
        </is>
      </c>
      <c r="B20" s="16" t="inlineStr">
        <is>
          <t>賴敏傑</t>
        </is>
      </c>
      <c r="C20" s="57" t="inlineStr">
        <is>
          <t>睿</t>
        </is>
      </c>
      <c r="D20" s="56" t="inlineStr">
        <is>
          <t>睿</t>
        </is>
      </c>
      <c r="E20" s="56" t="inlineStr">
        <is>
          <t>睿</t>
        </is>
      </c>
      <c r="F20" s="48" t="n"/>
      <c r="G20" s="52" t="n"/>
      <c r="H20" s="52" t="n"/>
      <c r="I20" s="48" t="n"/>
      <c r="J20" s="52" t="n"/>
      <c r="K20" s="52" t="n"/>
      <c r="L20" s="57" t="inlineStr">
        <is>
          <t>睿</t>
        </is>
      </c>
      <c r="M20" s="52" t="n"/>
      <c r="N20" s="52" t="n"/>
      <c r="O20" s="48" t="n"/>
      <c r="P20" s="52" t="n"/>
      <c r="Q20" s="52" t="n"/>
      <c r="R20" s="48" t="n"/>
      <c r="S20" s="52" t="n"/>
      <c r="T20" s="52" t="n"/>
      <c r="V20" s="55" t="inlineStr"/>
    </row>
    <row r="21" ht="17" customHeight="1">
      <c r="A21" s="19" t="inlineStr">
        <is>
          <t>D017</t>
        </is>
      </c>
      <c r="B21" s="16" t="inlineStr">
        <is>
          <t>吳柏賢</t>
        </is>
      </c>
      <c r="C21" s="50" t="inlineStr">
        <is>
          <t>曜</t>
        </is>
      </c>
      <c r="D21" s="51" t="inlineStr">
        <is>
          <t>曜</t>
        </is>
      </c>
      <c r="E21" s="51" t="inlineStr">
        <is>
          <t>曜</t>
        </is>
      </c>
      <c r="F21" s="48" t="n"/>
      <c r="G21" s="52" t="n"/>
      <c r="H21" s="52" t="n"/>
      <c r="I21" s="50" t="inlineStr">
        <is>
          <t>曜</t>
        </is>
      </c>
      <c r="J21" s="51" t="inlineStr">
        <is>
          <t>曜</t>
        </is>
      </c>
      <c r="K21" s="51" t="inlineStr">
        <is>
          <t>曜</t>
        </is>
      </c>
      <c r="L21" s="57" t="inlineStr">
        <is>
          <t>睿</t>
        </is>
      </c>
      <c r="M21" s="56" t="inlineStr">
        <is>
          <t>睿</t>
        </is>
      </c>
      <c r="N21" s="56" t="inlineStr">
        <is>
          <t>睿</t>
        </is>
      </c>
      <c r="O21" s="48" t="n"/>
      <c r="P21" s="51" t="inlineStr">
        <is>
          <t>曜</t>
        </is>
      </c>
      <c r="Q21" s="51" t="inlineStr">
        <is>
          <t>曜</t>
        </is>
      </c>
      <c r="R21" s="57" t="inlineStr">
        <is>
          <t>睿</t>
        </is>
      </c>
      <c r="S21" s="56" t="inlineStr">
        <is>
          <t>睿</t>
        </is>
      </c>
      <c r="T21" s="52" t="n"/>
      <c r="V21" s="55" t="inlineStr"/>
    </row>
    <row r="22" ht="17" customHeight="1">
      <c r="A22" s="19" t="inlineStr">
        <is>
          <t>D018</t>
        </is>
      </c>
      <c r="B22" s="16" t="inlineStr">
        <is>
          <t>許博諺</t>
        </is>
      </c>
      <c r="C22" s="57" t="inlineStr">
        <is>
          <t>睿</t>
        </is>
      </c>
      <c r="D22" s="56" t="inlineStr">
        <is>
          <t>睿</t>
        </is>
      </c>
      <c r="E22" s="56" t="inlineStr">
        <is>
          <t>睿</t>
        </is>
      </c>
      <c r="F22" s="50" t="inlineStr">
        <is>
          <t>曜</t>
        </is>
      </c>
      <c r="G22" s="51" t="inlineStr">
        <is>
          <t>曜</t>
        </is>
      </c>
      <c r="H22" s="51" t="inlineStr">
        <is>
          <t>曜</t>
        </is>
      </c>
      <c r="I22" s="48" t="n"/>
      <c r="J22" s="52" t="n"/>
      <c r="K22" s="52" t="n"/>
      <c r="L22" s="50" t="inlineStr">
        <is>
          <t>曜</t>
        </is>
      </c>
      <c r="M22" s="51" t="inlineStr">
        <is>
          <t>曜</t>
        </is>
      </c>
      <c r="N22" s="51" t="inlineStr">
        <is>
          <t>曜</t>
        </is>
      </c>
      <c r="O22" s="48" t="n"/>
      <c r="P22" s="56" t="inlineStr">
        <is>
          <t>睿</t>
        </is>
      </c>
      <c r="Q22" s="56" t="inlineStr">
        <is>
          <t>睿</t>
        </is>
      </c>
      <c r="R22" s="50" t="inlineStr">
        <is>
          <t>曜</t>
        </is>
      </c>
      <c r="S22" s="51" t="inlineStr">
        <is>
          <t>曜</t>
        </is>
      </c>
      <c r="T22" s="52" t="n"/>
      <c r="V22" s="55" t="inlineStr"/>
    </row>
    <row r="23" ht="17" customHeight="1">
      <c r="A23" s="19" t="inlineStr">
        <is>
          <t>D019</t>
        </is>
      </c>
      <c r="B23" s="16" t="inlineStr">
        <is>
          <t>翁崎紘</t>
        </is>
      </c>
      <c r="C23" s="48" t="n"/>
      <c r="D23" s="52" t="n"/>
      <c r="E23" s="52" t="n"/>
      <c r="F23" s="48" t="n"/>
      <c r="G23" s="52" t="n"/>
      <c r="H23" s="52" t="n"/>
      <c r="I23" s="48" t="n"/>
      <c r="J23" s="52" t="n"/>
      <c r="K23" s="52" t="n"/>
      <c r="L23" s="48" t="n"/>
      <c r="M23" s="52" t="n"/>
      <c r="N23" s="52" t="n"/>
      <c r="O23" s="48" t="n"/>
      <c r="P23" s="49" t="inlineStr">
        <is>
          <t>悅(不定)</t>
        </is>
      </c>
      <c r="Q23" s="49" t="inlineStr">
        <is>
          <t>悅(不定)</t>
        </is>
      </c>
      <c r="R23" s="48" t="n"/>
      <c r="S23" s="52" t="n"/>
      <c r="T23" s="52" t="n"/>
      <c r="V23" s="55" t="inlineStr"/>
    </row>
    <row r="24" ht="17" customHeight="1">
      <c r="A24" s="19" t="inlineStr">
        <is>
          <t>D020</t>
        </is>
      </c>
      <c r="B24" s="16" t="inlineStr">
        <is>
          <t>余柏萱</t>
        </is>
      </c>
      <c r="C24" s="48" t="n"/>
      <c r="D24" s="52" t="n"/>
      <c r="E24" s="52" t="n"/>
      <c r="F24" s="57" t="inlineStr">
        <is>
          <t>睿</t>
        </is>
      </c>
      <c r="G24" s="56" t="inlineStr">
        <is>
          <t>睿</t>
        </is>
      </c>
      <c r="H24" s="56" t="inlineStr">
        <is>
          <t>睿</t>
        </is>
      </c>
      <c r="I24" s="57" t="inlineStr">
        <is>
          <t>睿</t>
        </is>
      </c>
      <c r="J24" s="56" t="inlineStr">
        <is>
          <t>睿</t>
        </is>
      </c>
      <c r="K24" s="56" t="inlineStr">
        <is>
          <t>睿</t>
        </is>
      </c>
      <c r="L24" s="48" t="n"/>
      <c r="M24" s="52" t="n"/>
      <c r="N24" s="52" t="n"/>
      <c r="O24" s="57" t="inlineStr">
        <is>
          <t>睿</t>
        </is>
      </c>
      <c r="P24" s="58" t="inlineStr">
        <is>
          <t>寶</t>
        </is>
      </c>
      <c r="Q24" s="58" t="inlineStr">
        <is>
          <t>寶</t>
        </is>
      </c>
      <c r="R24" s="57" t="inlineStr">
        <is>
          <t>睿</t>
        </is>
      </c>
      <c r="S24" s="56" t="inlineStr">
        <is>
          <t>睿</t>
        </is>
      </c>
      <c r="T24" s="52" t="n"/>
      <c r="V24" s="55" t="inlineStr"/>
    </row>
    <row r="25" ht="17" customHeight="1">
      <c r="A25" s="19" t="inlineStr">
        <is>
          <t>D021</t>
        </is>
      </c>
      <c r="B25" s="16" t="inlineStr">
        <is>
          <t>鄭博文</t>
        </is>
      </c>
      <c r="C25" s="48" t="n"/>
      <c r="D25" s="52" t="n"/>
      <c r="E25" s="52" t="n"/>
      <c r="F25" s="48" t="n"/>
      <c r="G25" s="49" t="inlineStr">
        <is>
          <t>悅</t>
        </is>
      </c>
      <c r="H25" s="49" t="inlineStr">
        <is>
          <t>悅</t>
        </is>
      </c>
      <c r="I25" s="53" t="inlineStr">
        <is>
          <t>悅</t>
        </is>
      </c>
      <c r="J25" s="49" t="inlineStr">
        <is>
          <t>悅</t>
        </is>
      </c>
      <c r="K25" s="49" t="inlineStr">
        <is>
          <t>悅</t>
        </is>
      </c>
      <c r="L25" s="53" t="inlineStr">
        <is>
          <t>悅</t>
        </is>
      </c>
      <c r="M25" s="49" t="inlineStr">
        <is>
          <t>悅</t>
        </is>
      </c>
      <c r="N25" s="49" t="inlineStr">
        <is>
          <t>悅</t>
        </is>
      </c>
      <c r="O25" s="48" t="n"/>
      <c r="P25" s="49" t="inlineStr">
        <is>
          <t>悅</t>
        </is>
      </c>
      <c r="Q25" s="49" t="inlineStr">
        <is>
          <t>悅</t>
        </is>
      </c>
      <c r="R25" s="53" t="inlineStr">
        <is>
          <t>悅</t>
        </is>
      </c>
      <c r="S25" s="49" t="inlineStr">
        <is>
          <t>悅</t>
        </is>
      </c>
      <c r="T25" s="52" t="n"/>
      <c r="V25" s="55" t="inlineStr"/>
    </row>
    <row r="26" ht="17" customHeight="1">
      <c r="A26" s="19" t="inlineStr">
        <is>
          <t>D022</t>
        </is>
      </c>
      <c r="B26" s="16" t="inlineStr">
        <is>
          <t>黃育亭</t>
        </is>
      </c>
      <c r="C26" s="48" t="n"/>
      <c r="D26" s="52" t="n"/>
      <c r="E26" s="52" t="n"/>
      <c r="F26" s="48" t="n"/>
      <c r="G26" s="52" t="n"/>
      <c r="H26" s="52" t="n"/>
      <c r="I26" s="48" t="n"/>
      <c r="J26" s="58" t="inlineStr">
        <is>
          <t>寶</t>
        </is>
      </c>
      <c r="K26" s="58" t="inlineStr">
        <is>
          <t>寶</t>
        </is>
      </c>
      <c r="L26" s="48" t="n"/>
      <c r="M26" s="52" t="n"/>
      <c r="N26" s="52" t="n"/>
      <c r="O26" s="48" t="n"/>
      <c r="P26" s="52" t="n"/>
      <c r="Q26" s="52" t="n"/>
      <c r="R26" s="59" t="inlineStr">
        <is>
          <t>寶(不定)</t>
        </is>
      </c>
      <c r="S26" s="58" t="inlineStr">
        <is>
          <t>寶(不定)</t>
        </is>
      </c>
      <c r="T26" s="52" t="n"/>
      <c r="V26" s="55" t="inlineStr"/>
    </row>
    <row r="27" ht="17" customHeight="1">
      <c r="A27" s="19" t="inlineStr">
        <is>
          <t>D023</t>
        </is>
      </c>
      <c r="B27" s="16" t="inlineStr">
        <is>
          <t>黃婷愉</t>
        </is>
      </c>
      <c r="C27" s="48" t="n"/>
      <c r="D27" s="52" t="n"/>
      <c r="E27" s="52" t="n"/>
      <c r="F27" s="48" t="n"/>
      <c r="G27" s="52" t="n"/>
      <c r="H27" s="52" t="n"/>
      <c r="I27" s="48" t="n"/>
      <c r="J27" s="52" t="n"/>
      <c r="K27" s="52" t="n"/>
      <c r="L27" s="48" t="n"/>
      <c r="M27" s="52" t="n"/>
      <c r="N27" s="52" t="n"/>
      <c r="O27" s="48" t="n"/>
      <c r="P27" s="52" t="n"/>
      <c r="Q27" s="52" t="n"/>
      <c r="R27" s="59" t="inlineStr">
        <is>
          <t>寶(不定)</t>
        </is>
      </c>
      <c r="S27" s="58" t="inlineStr">
        <is>
          <t>寶(不定)</t>
        </is>
      </c>
      <c r="T27" s="52" t="n"/>
      <c r="V27" s="55" t="inlineStr"/>
    </row>
    <row r="28" ht="17" customHeight="1">
      <c r="A28" s="19" t="inlineStr">
        <is>
          <t>D024</t>
        </is>
      </c>
      <c r="B28" s="16" t="inlineStr">
        <is>
          <t>林紓安</t>
        </is>
      </c>
      <c r="C28" s="48" t="n"/>
      <c r="D28" s="58" t="inlineStr">
        <is>
          <t>寶</t>
        </is>
      </c>
      <c r="E28" s="58" t="inlineStr">
        <is>
          <t>寶</t>
        </is>
      </c>
      <c r="F28" s="48" t="n"/>
      <c r="G28" s="52" t="n"/>
      <c r="H28" s="52" t="n"/>
      <c r="I28" s="48" t="n"/>
      <c r="J28" s="54" t="inlineStr">
        <is>
          <t>匯(隔)</t>
        </is>
      </c>
      <c r="K28" s="54" t="inlineStr">
        <is>
          <t>匯(隔)</t>
        </is>
      </c>
      <c r="L28" s="48" t="n"/>
      <c r="M28" s="52" t="n"/>
      <c r="N28" s="52" t="n"/>
      <c r="O28" s="48" t="n"/>
      <c r="P28" s="58" t="inlineStr">
        <is>
          <t>寶</t>
        </is>
      </c>
      <c r="Q28" s="58" t="inlineStr">
        <is>
          <t>寶</t>
        </is>
      </c>
      <c r="R28" s="48" t="n"/>
      <c r="S28" s="52" t="n"/>
      <c r="T28" s="52" t="n"/>
      <c r="V28" s="55" t="inlineStr"/>
    </row>
    <row r="29" ht="17" customHeight="1">
      <c r="A29" s="19" t="inlineStr">
        <is>
          <t>D025</t>
        </is>
      </c>
      <c r="B29" s="16" t="inlineStr">
        <is>
          <t>陳爵安</t>
        </is>
      </c>
      <c r="C29" s="57" t="inlineStr">
        <is>
          <t>睿</t>
        </is>
      </c>
      <c r="D29" s="52" t="n"/>
      <c r="E29" s="52" t="n"/>
      <c r="F29" s="48" t="n"/>
      <c r="G29" s="52" t="n"/>
      <c r="H29" s="52" t="n"/>
      <c r="I29" s="57" t="inlineStr">
        <is>
          <t>睿</t>
        </is>
      </c>
      <c r="J29" s="52" t="n"/>
      <c r="K29" s="56" t="inlineStr">
        <is>
          <t>睿</t>
        </is>
      </c>
      <c r="L29" s="48" t="n"/>
      <c r="M29" s="52" t="n"/>
      <c r="N29" s="52" t="n"/>
      <c r="O29" s="57" t="inlineStr">
        <is>
          <t>睿</t>
        </is>
      </c>
      <c r="P29" s="56" t="inlineStr">
        <is>
          <t>睿</t>
        </is>
      </c>
      <c r="Q29" s="56" t="inlineStr">
        <is>
          <t>睿</t>
        </is>
      </c>
      <c r="R29" s="57" t="inlineStr">
        <is>
          <t>睿</t>
        </is>
      </c>
      <c r="S29" s="56" t="inlineStr">
        <is>
          <t>睿</t>
        </is>
      </c>
      <c r="T29" s="52" t="n"/>
      <c r="V29" s="55" t="inlineStr"/>
    </row>
    <row r="30" ht="17" customHeight="1">
      <c r="A30" s="19" t="inlineStr">
        <is>
          <t>D026</t>
        </is>
      </c>
      <c r="B30" s="16" t="inlineStr">
        <is>
          <t>吳冠廷</t>
        </is>
      </c>
      <c r="C30" s="60" t="inlineStr">
        <is>
          <t>匯</t>
        </is>
      </c>
      <c r="D30" s="54" t="inlineStr">
        <is>
          <t>匯</t>
        </is>
      </c>
      <c r="E30" s="54" t="inlineStr">
        <is>
          <t>匯</t>
        </is>
      </c>
      <c r="F30" s="48" t="n"/>
      <c r="G30" s="52" t="n"/>
      <c r="H30" s="52" t="n"/>
      <c r="I30" s="48" t="n"/>
      <c r="J30" s="52" t="n"/>
      <c r="K30" s="52" t="n"/>
      <c r="L30" s="60" t="inlineStr">
        <is>
          <t>匯</t>
        </is>
      </c>
      <c r="M30" s="54" t="inlineStr">
        <is>
          <t>匯</t>
        </is>
      </c>
      <c r="N30" s="54" t="inlineStr">
        <is>
          <t>匯</t>
        </is>
      </c>
      <c r="O30" s="48" t="n"/>
      <c r="P30" s="52" t="n"/>
      <c r="Q30" s="52" t="n"/>
      <c r="R30" s="48" t="n"/>
      <c r="S30" s="52" t="n"/>
      <c r="T30" s="52" t="n"/>
      <c r="V30" s="55" t="inlineStr"/>
    </row>
    <row r="31" ht="17" customHeight="1">
      <c r="A31" s="19" t="inlineStr">
        <is>
          <t>D027</t>
        </is>
      </c>
      <c r="B31" s="16" t="inlineStr">
        <is>
          <t>楊孟庭</t>
        </is>
      </c>
      <c r="C31" s="48" t="n"/>
      <c r="D31" s="54" t="inlineStr">
        <is>
          <t>匯(隔)</t>
        </is>
      </c>
      <c r="E31" s="54" t="inlineStr">
        <is>
          <t>匯(隔)</t>
        </is>
      </c>
      <c r="F31" s="48" t="n"/>
      <c r="G31" s="52" t="n"/>
      <c r="H31" s="52" t="n"/>
      <c r="I31" s="48" t="n"/>
      <c r="J31" s="52" t="n"/>
      <c r="K31" s="52" t="n"/>
      <c r="L31" s="48" t="n"/>
      <c r="M31" s="52" t="n"/>
      <c r="N31" s="52" t="n"/>
      <c r="O31" s="48" t="n"/>
      <c r="P31" s="52" t="n"/>
      <c r="Q31" s="52" t="n"/>
      <c r="R31" s="60" t="inlineStr">
        <is>
          <t>匯(隔)</t>
        </is>
      </c>
      <c r="S31" s="54" t="inlineStr">
        <is>
          <t>匯(隔)</t>
        </is>
      </c>
      <c r="T31" s="52" t="n"/>
      <c r="V31" s="55" t="inlineStr"/>
    </row>
    <row r="32" ht="17" customHeight="1">
      <c r="A32" s="19" t="n"/>
      <c r="B32" s="16">
        <f>IFERROR(INDEX(設定!$C$64:$C$203,MATCH($A32,設定!$B$64:$B$203,0)),"")</f>
        <v/>
      </c>
      <c r="C32" s="48" t="n"/>
      <c r="D32" s="52" t="n"/>
      <c r="E32" s="52" t="n"/>
      <c r="F32" s="48" t="n"/>
      <c r="G32" s="52" t="n"/>
      <c r="H32" s="52" t="n"/>
      <c r="I32" s="48" t="n"/>
      <c r="J32" s="52" t="n"/>
      <c r="K32" s="52" t="n"/>
      <c r="L32" s="48" t="n"/>
      <c r="M32" s="52" t="n"/>
      <c r="N32" s="52" t="n"/>
      <c r="O32" s="48" t="n"/>
      <c r="P32" s="52" t="n"/>
      <c r="Q32" s="52" t="n"/>
      <c r="R32" s="48" t="n"/>
      <c r="S32" s="52" t="n"/>
      <c r="T32" s="52" t="n"/>
      <c r="V32" s="55" t="inlineStr"/>
    </row>
    <row r="33" ht="17" customHeight="1">
      <c r="A33" s="19" t="n"/>
      <c r="B33" s="16">
        <f>IFERROR(INDEX(設定!$C$64:$C$203,MATCH($A33,設定!$B$64:$B$203,0)),"")</f>
        <v/>
      </c>
      <c r="C33" s="48" t="n"/>
      <c r="D33" s="52" t="n"/>
      <c r="E33" s="52" t="n"/>
      <c r="F33" s="48" t="n"/>
      <c r="G33" s="52" t="n"/>
      <c r="H33" s="52" t="n"/>
      <c r="I33" s="48" t="n"/>
      <c r="J33" s="52" t="n"/>
      <c r="K33" s="52" t="n"/>
      <c r="L33" s="48" t="n"/>
      <c r="M33" s="52" t="n"/>
      <c r="N33" s="52" t="n"/>
      <c r="O33" s="48" t="n"/>
      <c r="P33" s="52" t="n"/>
      <c r="Q33" s="52" t="n"/>
      <c r="R33" s="48" t="n"/>
      <c r="S33" s="52" t="n"/>
      <c r="T33" s="52" t="n"/>
      <c r="V33" s="55" t="inlineStr"/>
    </row>
    <row r="34" ht="17" customHeight="1">
      <c r="A34" s="19" t="n"/>
      <c r="B34" s="16">
        <f>IFERROR(INDEX(設定!$C$64:$C$203,MATCH($A34,設定!$B$64:$B$203,0)),"")</f>
        <v/>
      </c>
      <c r="C34" s="48" t="n"/>
      <c r="D34" s="52" t="n"/>
      <c r="E34" s="52" t="n"/>
      <c r="F34" s="48" t="n"/>
      <c r="G34" s="52" t="n"/>
      <c r="H34" s="52" t="n"/>
      <c r="I34" s="48" t="n"/>
      <c r="J34" s="52" t="n"/>
      <c r="K34" s="52" t="n"/>
      <c r="L34" s="48" t="n"/>
      <c r="M34" s="52" t="n"/>
      <c r="N34" s="52" t="n"/>
      <c r="O34" s="48" t="n"/>
      <c r="P34" s="52" t="n"/>
      <c r="Q34" s="52" t="n"/>
      <c r="R34" s="48" t="n"/>
      <c r="S34" s="52" t="n"/>
      <c r="T34" s="52" t="n"/>
      <c r="V34" s="55" t="inlineStr"/>
    </row>
    <row r="35" ht="17" customHeight="1">
      <c r="A35" s="19" t="n"/>
      <c r="B35" s="16">
        <f>IFERROR(INDEX(設定!$C$64:$C$203,MATCH($A35,設定!$B$64:$B$203,0)),"")</f>
        <v/>
      </c>
      <c r="C35" s="48" t="n"/>
      <c r="D35" s="52" t="n"/>
      <c r="E35" s="52" t="n"/>
      <c r="F35" s="48" t="n"/>
      <c r="G35" s="52" t="n"/>
      <c r="H35" s="52" t="n"/>
      <c r="I35" s="48" t="n"/>
      <c r="J35" s="52" t="n"/>
      <c r="K35" s="52" t="n"/>
      <c r="L35" s="48" t="n"/>
      <c r="M35" s="52" t="n"/>
      <c r="N35" s="52" t="n"/>
      <c r="O35" s="48" t="n"/>
      <c r="P35" s="52" t="n"/>
      <c r="Q35" s="52" t="n"/>
      <c r="R35" s="48" t="n"/>
      <c r="S35" s="52" t="n"/>
      <c r="T35" s="52" t="n"/>
      <c r="V35" s="55" t="inlineStr"/>
    </row>
    <row r="36" ht="17" customHeight="1">
      <c r="A36" s="19" t="n"/>
      <c r="B36" s="16">
        <f>IFERROR(INDEX(設定!$C$64:$C$203,MATCH($A36,設定!$B$64:$B$203,0)),"")</f>
        <v/>
      </c>
      <c r="C36" s="48" t="n"/>
      <c r="D36" s="52" t="n"/>
      <c r="E36" s="52" t="n"/>
      <c r="F36" s="48" t="n"/>
      <c r="G36" s="52" t="n"/>
      <c r="H36" s="52" t="n"/>
      <c r="I36" s="48" t="n"/>
      <c r="J36" s="52" t="n"/>
      <c r="K36" s="52" t="n"/>
      <c r="L36" s="48" t="n"/>
      <c r="M36" s="52" t="n"/>
      <c r="N36" s="52" t="n"/>
      <c r="O36" s="48" t="n"/>
      <c r="P36" s="52" t="n"/>
      <c r="Q36" s="52" t="n"/>
      <c r="R36" s="48" t="n"/>
      <c r="S36" s="52" t="n"/>
      <c r="T36" s="52" t="n"/>
      <c r="V36" s="55" t="inlineStr"/>
    </row>
    <row r="37" ht="17" customHeight="1">
      <c r="A37" s="19" t="n"/>
      <c r="B37" s="16">
        <f>IFERROR(INDEX(設定!$C$64:$C$203,MATCH($A37,設定!$B$64:$B$203,0)),"")</f>
        <v/>
      </c>
      <c r="C37" s="48" t="n"/>
      <c r="D37" s="52" t="n"/>
      <c r="E37" s="52" t="n"/>
      <c r="F37" s="48" t="n"/>
      <c r="G37" s="52" t="n"/>
      <c r="H37" s="52" t="n"/>
      <c r="I37" s="48" t="n"/>
      <c r="J37" s="52" t="n"/>
      <c r="K37" s="52" t="n"/>
      <c r="L37" s="48" t="n"/>
      <c r="M37" s="52" t="n"/>
      <c r="N37" s="52" t="n"/>
      <c r="O37" s="48" t="n"/>
      <c r="P37" s="52" t="n"/>
      <c r="Q37" s="52" t="n"/>
      <c r="R37" s="48" t="n"/>
      <c r="S37" s="52" t="n"/>
      <c r="T37" s="52" t="n"/>
      <c r="V37" s="55" t="inlineStr"/>
    </row>
    <row r="38" ht="17" customHeight="1">
      <c r="A38" s="19" t="n"/>
      <c r="B38" s="16">
        <f>IFERROR(INDEX(設定!$C$64:$C$203,MATCH($A38,設定!$B$64:$B$203,0)),"")</f>
        <v/>
      </c>
      <c r="C38" s="48" t="n"/>
      <c r="D38" s="52" t="n"/>
      <c r="E38" s="52" t="n"/>
      <c r="F38" s="48" t="n"/>
      <c r="G38" s="52" t="n"/>
      <c r="H38" s="52" t="n"/>
      <c r="I38" s="48" t="n"/>
      <c r="J38" s="52" t="n"/>
      <c r="K38" s="52" t="n"/>
      <c r="L38" s="48" t="n"/>
      <c r="M38" s="52" t="n"/>
      <c r="N38" s="52" t="n"/>
      <c r="O38" s="48" t="n"/>
      <c r="P38" s="52" t="n"/>
      <c r="Q38" s="52" t="n"/>
      <c r="R38" s="48" t="n"/>
      <c r="S38" s="52" t="n"/>
      <c r="T38" s="52" t="n"/>
      <c r="V38" s="55" t="inlineStr"/>
    </row>
    <row r="39" ht="17" customHeight="1">
      <c r="A39" s="19" t="n"/>
      <c r="B39" s="16">
        <f>IFERROR(INDEX(設定!$C$64:$C$203,MATCH($A39,設定!$B$64:$B$203,0)),"")</f>
        <v/>
      </c>
      <c r="C39" s="48" t="n"/>
      <c r="D39" s="52" t="n"/>
      <c r="E39" s="52" t="n"/>
      <c r="F39" s="48" t="n"/>
      <c r="G39" s="52" t="n"/>
      <c r="H39" s="52" t="n"/>
      <c r="I39" s="48" t="n"/>
      <c r="J39" s="52" t="n"/>
      <c r="K39" s="52" t="n"/>
      <c r="L39" s="48" t="n"/>
      <c r="M39" s="52" t="n"/>
      <c r="N39" s="52" t="n"/>
      <c r="O39" s="48" t="n"/>
      <c r="P39" s="52" t="n"/>
      <c r="Q39" s="52" t="n"/>
      <c r="R39" s="48" t="n"/>
      <c r="S39" s="52" t="n"/>
      <c r="T39" s="52" t="n"/>
      <c r="V39" s="55" t="inlineStr"/>
    </row>
    <row r="40" ht="17" customHeight="1">
      <c r="A40" s="19" t="n"/>
      <c r="B40" s="16">
        <f>IFERROR(INDEX(設定!$C$64:$C$203,MATCH($A40,設定!$B$64:$B$203,0)),"")</f>
        <v/>
      </c>
      <c r="C40" s="48" t="n"/>
      <c r="D40" s="52" t="n"/>
      <c r="E40" s="52" t="n"/>
      <c r="F40" s="48" t="n"/>
      <c r="G40" s="52" t="n"/>
      <c r="H40" s="52" t="n"/>
      <c r="I40" s="48" t="n"/>
      <c r="J40" s="52" t="n"/>
      <c r="K40" s="52" t="n"/>
      <c r="L40" s="48" t="n"/>
      <c r="M40" s="52" t="n"/>
      <c r="N40" s="52" t="n"/>
      <c r="O40" s="48" t="n"/>
      <c r="P40" s="52" t="n"/>
      <c r="Q40" s="52" t="n"/>
      <c r="R40" s="48" t="n"/>
      <c r="S40" s="52" t="n"/>
      <c r="T40" s="52" t="n"/>
      <c r="V40" s="55" t="inlineStr"/>
    </row>
    <row r="41" ht="17" customHeight="1">
      <c r="A41" s="19" t="n"/>
      <c r="B41" s="16">
        <f>IFERROR(INDEX(設定!$C$64:$C$203,MATCH($A41,設定!$B$64:$B$203,0)),"")</f>
        <v/>
      </c>
      <c r="C41" s="48" t="n"/>
      <c r="D41" s="52" t="n"/>
      <c r="E41" s="52" t="n"/>
      <c r="F41" s="48" t="n"/>
      <c r="G41" s="52" t="n"/>
      <c r="H41" s="52" t="n"/>
      <c r="I41" s="48" t="n"/>
      <c r="J41" s="52" t="n"/>
      <c r="K41" s="52" t="n"/>
      <c r="L41" s="48" t="n"/>
      <c r="M41" s="52" t="n"/>
      <c r="N41" s="52" t="n"/>
      <c r="O41" s="48" t="n"/>
      <c r="P41" s="52" t="n"/>
      <c r="Q41" s="52" t="n"/>
      <c r="R41" s="48" t="n"/>
      <c r="S41" s="52" t="n"/>
      <c r="T41" s="52" t="n"/>
      <c r="V41" s="55" t="inlineStr"/>
    </row>
    <row r="42" ht="17" customHeight="1">
      <c r="A42" s="19" t="n"/>
      <c r="B42" s="16">
        <f>IFERROR(INDEX(設定!$C$64:$C$203,MATCH($A42,設定!$B$64:$B$203,0)),"")</f>
        <v/>
      </c>
      <c r="C42" s="48" t="n"/>
      <c r="D42" s="52" t="n"/>
      <c r="E42" s="52" t="n"/>
      <c r="F42" s="48" t="n"/>
      <c r="G42" s="52" t="n"/>
      <c r="H42" s="52" t="n"/>
      <c r="I42" s="48" t="n"/>
      <c r="J42" s="52" t="n"/>
      <c r="K42" s="52" t="n"/>
      <c r="L42" s="48" t="n"/>
      <c r="M42" s="52" t="n"/>
      <c r="N42" s="52" t="n"/>
      <c r="O42" s="48" t="n"/>
      <c r="P42" s="52" t="n"/>
      <c r="Q42" s="52" t="n"/>
      <c r="R42" s="48" t="n"/>
      <c r="S42" s="52" t="n"/>
      <c r="T42" s="52" t="n"/>
      <c r="V42" s="55" t="inlineStr"/>
    </row>
    <row r="43" ht="17" customHeight="1">
      <c r="A43" s="19" t="n"/>
      <c r="B43" s="16">
        <f>IFERROR(INDEX(設定!$C$64:$C$203,MATCH($A43,設定!$B$64:$B$203,0)),"")</f>
        <v/>
      </c>
      <c r="C43" s="48" t="n"/>
      <c r="D43" s="52" t="n"/>
      <c r="E43" s="52" t="n"/>
      <c r="F43" s="48" t="n"/>
      <c r="G43" s="52" t="n"/>
      <c r="H43" s="52" t="n"/>
      <c r="I43" s="48" t="n"/>
      <c r="J43" s="52" t="n"/>
      <c r="K43" s="52" t="n"/>
      <c r="L43" s="48" t="n"/>
      <c r="M43" s="52" t="n"/>
      <c r="N43" s="52" t="n"/>
      <c r="O43" s="48" t="n"/>
      <c r="P43" s="52" t="n"/>
      <c r="Q43" s="52" t="n"/>
      <c r="R43" s="48" t="n"/>
      <c r="S43" s="52" t="n"/>
      <c r="T43" s="52" t="n"/>
      <c r="V43" s="55" t="inlineStr"/>
    </row>
    <row r="44" ht="17" customHeight="1">
      <c r="A44" s="19" t="n"/>
      <c r="B44" s="16">
        <f>IFERROR(INDEX(設定!$C$64:$C$203,MATCH($A44,設定!$B$64:$B$203,0)),"")</f>
        <v/>
      </c>
      <c r="C44" s="48" t="n"/>
      <c r="D44" s="52" t="n"/>
      <c r="E44" s="52" t="n"/>
      <c r="F44" s="48" t="n"/>
      <c r="G44" s="52" t="n"/>
      <c r="H44" s="52" t="n"/>
      <c r="I44" s="48" t="n"/>
      <c r="J44" s="52" t="n"/>
      <c r="K44" s="52" t="n"/>
      <c r="L44" s="48" t="n"/>
      <c r="M44" s="52" t="n"/>
      <c r="N44" s="52" t="n"/>
      <c r="O44" s="48" t="n"/>
      <c r="P44" s="52" t="n"/>
      <c r="Q44" s="52" t="n"/>
      <c r="R44" s="48" t="n"/>
      <c r="S44" s="52" t="n"/>
      <c r="T44" s="52" t="n"/>
      <c r="V44" s="55" t="inlineStr"/>
    </row>
    <row r="46">
      <c r="A46" s="6" t="inlineStr">
        <is>
          <t>※ 資料由官網五個門診表頁面直接解析產生,非人工轉錄。寫法:悅(隔) = 隔週看診、悅/睿 = 兩院輪替(斜線前為單數週)、寶(不定) = 官網註明非每週固定、悅(註) = 見附註欄。</t>
        </is>
      </c>
    </row>
    <row r="47">
      <c r="A47" s="6" t="inlineStr">
        <is>
          <t>※ 資料格有下拉選單(常用值),但不強制——特殊組合直接打字也可以,不會被擋。</t>
        </is>
      </c>
    </row>
    <row r="48">
      <c r="A48" s="6" t="inlineStr">
        <is>
          <t>※ 隔週的四組互換(劉立德週三、朱柏非週六、王泳泉週一、陳昺元週六)以固定基準日(2026/9/28 起)連續數週判定單雙週,跨月不會斷。哪一組先需要院所確認——確認後把基準日挪一週即可整體對齊。</t>
        </is>
      </c>
    </row>
    <row r="49">
      <c r="A49" s="6" t="inlineStr">
        <is>
          <t>※ 週日五間院所皆休診。寶貝牙另有週一至週五早診休診、週六晚診休診。</t>
        </is>
      </c>
    </row>
  </sheetData>
  <mergeCells count="10">
    <mergeCell ref="A1:T1"/>
    <mergeCell ref="R3:T3"/>
    <mergeCell ref="B3:B4"/>
    <mergeCell ref="A3:A4"/>
    <mergeCell ref="V3:V4"/>
    <mergeCell ref="C3:E3"/>
    <mergeCell ref="I3:K3"/>
    <mergeCell ref="F3:H3"/>
    <mergeCell ref="L3:N3"/>
    <mergeCell ref="O3:Q3"/>
  </mergeCells>
  <dataValidations count="2">
    <dataValidation sqref="C5:T44" showDropDown="0" showInputMessage="0" showErrorMessage="1" allowBlank="1" errorTitle="不在常用清單中" error="這個寫法不在常用清單裡。若是特殊組合(例如三間輪替),按「是」即可照樣存入。" type="list" errorStyle="warning">
      <formula1>"悅,睿,匯,曜,寶,悅(隔),睿(隔),匯(隔),曜(隔),寶(隔),寶(不定),悅(不定),悅(註),悅/匯,悅/睿,睿/曜,訓,OFF,特,病,事,公,國,休"</formula1>
    </dataValidation>
    <dataValidation sqref="A5:A44" showDropDown="0" showInputMessage="0" showErrorMessage="1" allowBlank="1" errorTitle="不在醫師名冊中" error="這個編號不在醫師名冊裡。確定要用請按「是」。" type="list" errorStyle="warning">
      <formula1>設定!$Q$6:$Q$45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59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1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hidden="1" width="13" customWidth="1" min="99" max="99"/>
  </cols>
  <sheetData>
    <row r="1">
      <c r="A1" s="1" t="inlineStr">
        <is>
          <t>醫師班表(診次制 · 一格 = 一個診次 · 已依週班表填好本月)</t>
        </is>
      </c>
    </row>
    <row r="2">
      <c r="A2" s="4" t="inlineStr">
        <is>
          <t>期間</t>
        </is>
      </c>
      <c r="B2" s="27" t="inlineStr">
        <is>
          <t>2026 年 10 月</t>
        </is>
      </c>
      <c r="D2" s="61" t="inlineStr">
        <is>
          <t>圖例:</t>
        </is>
      </c>
      <c r="E2" s="62" t="inlineStr">
        <is>
          <t>悅 晶悅</t>
        </is>
      </c>
      <c r="F2" s="8" t="n"/>
      <c r="G2" s="8" t="n"/>
      <c r="H2" s="9" t="n"/>
      <c r="I2" s="63" t="inlineStr">
        <is>
          <t>睿 晶睿</t>
        </is>
      </c>
      <c r="J2" s="8" t="n"/>
      <c r="K2" s="8" t="n"/>
      <c r="L2" s="9" t="n"/>
      <c r="M2" s="64" t="inlineStr">
        <is>
          <t>匯 晶匯</t>
        </is>
      </c>
      <c r="N2" s="8" t="n"/>
      <c r="O2" s="8" t="n"/>
      <c r="P2" s="9" t="n"/>
      <c r="Q2" s="65" t="inlineStr">
        <is>
          <t>曜 晶曜</t>
        </is>
      </c>
      <c r="R2" s="8" t="n"/>
      <c r="S2" s="8" t="n"/>
      <c r="T2" s="9" t="n"/>
      <c r="U2" s="66" t="inlineStr">
        <is>
          <t>寶 寶貝牙</t>
        </is>
      </c>
      <c r="V2" s="8" t="n"/>
      <c r="W2" s="8" t="n"/>
      <c r="X2" s="9" t="n"/>
    </row>
    <row r="3">
      <c r="A3" s="10" t="inlineStr">
        <is>
          <t>員工編號</t>
        </is>
      </c>
      <c r="B3" s="10" t="inlineStr">
        <is>
          <t>姓名</t>
        </is>
      </c>
      <c r="C3" s="10" t="inlineStr">
        <is>
          <t>專科</t>
        </is>
      </c>
      <c r="D3" s="10" t="inlineStr">
        <is>
          <t>職務</t>
        </is>
      </c>
      <c r="E3" s="10" t="n">
        <v>1</v>
      </c>
      <c r="F3" s="8" t="n"/>
      <c r="G3" s="9" t="n"/>
      <c r="H3" s="10" t="n">
        <v>2</v>
      </c>
      <c r="I3" s="8" t="n"/>
      <c r="J3" s="9" t="n"/>
      <c r="K3" s="10" t="n">
        <v>3</v>
      </c>
      <c r="L3" s="8" t="n"/>
      <c r="M3" s="9" t="n"/>
      <c r="N3" s="10" t="n">
        <v>4</v>
      </c>
      <c r="O3" s="8" t="n"/>
      <c r="P3" s="9" t="n"/>
      <c r="Q3" s="10" t="n">
        <v>5</v>
      </c>
      <c r="R3" s="8" t="n"/>
      <c r="S3" s="9" t="n"/>
      <c r="T3" s="10" t="n">
        <v>6</v>
      </c>
      <c r="U3" s="8" t="n"/>
      <c r="V3" s="9" t="n"/>
      <c r="W3" s="10" t="n">
        <v>7</v>
      </c>
      <c r="X3" s="8" t="n"/>
      <c r="Y3" s="9" t="n"/>
      <c r="Z3" s="10" t="n">
        <v>8</v>
      </c>
      <c r="AA3" s="8" t="n"/>
      <c r="AB3" s="9" t="n"/>
      <c r="AC3" s="10" t="n">
        <v>9</v>
      </c>
      <c r="AD3" s="8" t="n"/>
      <c r="AE3" s="9" t="n"/>
      <c r="AF3" s="10" t="n">
        <v>10</v>
      </c>
      <c r="AG3" s="8" t="n"/>
      <c r="AH3" s="9" t="n"/>
      <c r="AI3" s="10" t="n">
        <v>11</v>
      </c>
      <c r="AJ3" s="8" t="n"/>
      <c r="AK3" s="9" t="n"/>
      <c r="AL3" s="10" t="n">
        <v>12</v>
      </c>
      <c r="AM3" s="8" t="n"/>
      <c r="AN3" s="9" t="n"/>
      <c r="AO3" s="10" t="n">
        <v>13</v>
      </c>
      <c r="AP3" s="8" t="n"/>
      <c r="AQ3" s="9" t="n"/>
      <c r="AR3" s="10" t="n">
        <v>14</v>
      </c>
      <c r="AS3" s="8" t="n"/>
      <c r="AT3" s="9" t="n"/>
      <c r="AU3" s="10" t="n">
        <v>15</v>
      </c>
      <c r="AV3" s="8" t="n"/>
      <c r="AW3" s="9" t="n"/>
      <c r="AX3" s="10" t="n">
        <v>16</v>
      </c>
      <c r="AY3" s="8" t="n"/>
      <c r="AZ3" s="9" t="n"/>
      <c r="BA3" s="10" t="n">
        <v>17</v>
      </c>
      <c r="BB3" s="8" t="n"/>
      <c r="BC3" s="9" t="n"/>
      <c r="BD3" s="10" t="n">
        <v>18</v>
      </c>
      <c r="BE3" s="8" t="n"/>
      <c r="BF3" s="9" t="n"/>
      <c r="BG3" s="10" t="n">
        <v>19</v>
      </c>
      <c r="BH3" s="8" t="n"/>
      <c r="BI3" s="9" t="n"/>
      <c r="BJ3" s="10" t="n">
        <v>20</v>
      </c>
      <c r="BK3" s="8" t="n"/>
      <c r="BL3" s="9" t="n"/>
      <c r="BM3" s="10" t="n">
        <v>21</v>
      </c>
      <c r="BN3" s="8" t="n"/>
      <c r="BO3" s="9" t="n"/>
      <c r="BP3" s="10" t="n">
        <v>22</v>
      </c>
      <c r="BQ3" s="8" t="n"/>
      <c r="BR3" s="9" t="n"/>
      <c r="BS3" s="10" t="n">
        <v>23</v>
      </c>
      <c r="BT3" s="8" t="n"/>
      <c r="BU3" s="9" t="n"/>
      <c r="BV3" s="10" t="n">
        <v>24</v>
      </c>
      <c r="BW3" s="8" t="n"/>
      <c r="BX3" s="9" t="n"/>
      <c r="BY3" s="10" t="n">
        <v>25</v>
      </c>
      <c r="BZ3" s="8" t="n"/>
      <c r="CA3" s="9" t="n"/>
      <c r="CB3" s="10" t="n">
        <v>26</v>
      </c>
      <c r="CC3" s="8" t="n"/>
      <c r="CD3" s="9" t="n"/>
      <c r="CE3" s="10" t="n">
        <v>27</v>
      </c>
      <c r="CF3" s="8" t="n"/>
      <c r="CG3" s="9" t="n"/>
      <c r="CH3" s="10" t="n">
        <v>28</v>
      </c>
      <c r="CI3" s="8" t="n"/>
      <c r="CJ3" s="9" t="n"/>
      <c r="CK3" s="10" t="n">
        <v>29</v>
      </c>
      <c r="CL3" s="8" t="n"/>
      <c r="CM3" s="9" t="n"/>
      <c r="CN3" s="10" t="n">
        <v>30</v>
      </c>
      <c r="CO3" s="8" t="n"/>
      <c r="CP3" s="9" t="n"/>
      <c r="CQ3" s="10" t="n">
        <v>31</v>
      </c>
      <c r="CR3" s="8" t="n"/>
      <c r="CS3" s="9" t="n"/>
    </row>
    <row r="4">
      <c r="A4" s="67" t="n"/>
      <c r="B4" s="67" t="n"/>
      <c r="C4" s="67" t="n"/>
      <c r="D4" s="67" t="n"/>
      <c r="E4" s="68" t="inlineStr">
        <is>
          <t>四</t>
        </is>
      </c>
      <c r="F4" s="69" t="inlineStr">
        <is>
          <t>四</t>
        </is>
      </c>
      <c r="G4" s="69" t="inlineStr">
        <is>
          <t>四</t>
        </is>
      </c>
      <c r="H4" s="68" t="inlineStr">
        <is>
          <t>五</t>
        </is>
      </c>
      <c r="I4" s="69" t="inlineStr">
        <is>
          <t>五</t>
        </is>
      </c>
      <c r="J4" s="69" t="inlineStr">
        <is>
          <t>五</t>
        </is>
      </c>
      <c r="K4" s="68" t="inlineStr">
        <is>
          <t>六</t>
        </is>
      </c>
      <c r="L4" s="69" t="inlineStr">
        <is>
          <t>六</t>
        </is>
      </c>
      <c r="M4" s="69" t="inlineStr">
        <is>
          <t>六</t>
        </is>
      </c>
      <c r="N4" s="68" t="inlineStr">
        <is>
          <t>日</t>
        </is>
      </c>
      <c r="O4" s="69" t="inlineStr">
        <is>
          <t>日</t>
        </is>
      </c>
      <c r="P4" s="69" t="inlineStr">
        <is>
          <t>日</t>
        </is>
      </c>
      <c r="Q4" s="68" t="inlineStr">
        <is>
          <t>一</t>
        </is>
      </c>
      <c r="R4" s="69" t="inlineStr">
        <is>
          <t>一</t>
        </is>
      </c>
      <c r="S4" s="69" t="inlineStr">
        <is>
          <t>一</t>
        </is>
      </c>
      <c r="T4" s="68" t="inlineStr">
        <is>
          <t>二</t>
        </is>
      </c>
      <c r="U4" s="69" t="inlineStr">
        <is>
          <t>二</t>
        </is>
      </c>
      <c r="V4" s="69" t="inlineStr">
        <is>
          <t>二</t>
        </is>
      </c>
      <c r="W4" s="68" t="inlineStr">
        <is>
          <t>三</t>
        </is>
      </c>
      <c r="X4" s="69" t="inlineStr">
        <is>
          <t>三</t>
        </is>
      </c>
      <c r="Y4" s="69" t="inlineStr">
        <is>
          <t>三</t>
        </is>
      </c>
      <c r="Z4" s="68" t="inlineStr">
        <is>
          <t>四</t>
        </is>
      </c>
      <c r="AA4" s="69" t="inlineStr">
        <is>
          <t>四</t>
        </is>
      </c>
      <c r="AB4" s="69" t="inlineStr">
        <is>
          <t>四</t>
        </is>
      </c>
      <c r="AC4" s="68" t="inlineStr">
        <is>
          <t>五</t>
        </is>
      </c>
      <c r="AD4" s="69" t="inlineStr">
        <is>
          <t>五</t>
        </is>
      </c>
      <c r="AE4" s="69" t="inlineStr">
        <is>
          <t>五</t>
        </is>
      </c>
      <c r="AF4" s="68" t="inlineStr">
        <is>
          <t>六</t>
        </is>
      </c>
      <c r="AG4" s="69" t="inlineStr">
        <is>
          <t>六</t>
        </is>
      </c>
      <c r="AH4" s="69" t="inlineStr">
        <is>
          <t>六</t>
        </is>
      </c>
      <c r="AI4" s="68" t="inlineStr">
        <is>
          <t>日</t>
        </is>
      </c>
      <c r="AJ4" s="69" t="inlineStr">
        <is>
          <t>日</t>
        </is>
      </c>
      <c r="AK4" s="69" t="inlineStr">
        <is>
          <t>日</t>
        </is>
      </c>
      <c r="AL4" s="68" t="inlineStr">
        <is>
          <t>一</t>
        </is>
      </c>
      <c r="AM4" s="69" t="inlineStr">
        <is>
          <t>一</t>
        </is>
      </c>
      <c r="AN4" s="69" t="inlineStr">
        <is>
          <t>一</t>
        </is>
      </c>
      <c r="AO4" s="68" t="inlineStr">
        <is>
          <t>二</t>
        </is>
      </c>
      <c r="AP4" s="69" t="inlineStr">
        <is>
          <t>二</t>
        </is>
      </c>
      <c r="AQ4" s="69" t="inlineStr">
        <is>
          <t>二</t>
        </is>
      </c>
      <c r="AR4" s="68" t="inlineStr">
        <is>
          <t>三</t>
        </is>
      </c>
      <c r="AS4" s="69" t="inlineStr">
        <is>
          <t>三</t>
        </is>
      </c>
      <c r="AT4" s="69" t="inlineStr">
        <is>
          <t>三</t>
        </is>
      </c>
      <c r="AU4" s="68" t="inlineStr">
        <is>
          <t>四</t>
        </is>
      </c>
      <c r="AV4" s="69" t="inlineStr">
        <is>
          <t>四</t>
        </is>
      </c>
      <c r="AW4" s="69" t="inlineStr">
        <is>
          <t>四</t>
        </is>
      </c>
      <c r="AX4" s="68" t="inlineStr">
        <is>
          <t>五</t>
        </is>
      </c>
      <c r="AY4" s="69" t="inlineStr">
        <is>
          <t>五</t>
        </is>
      </c>
      <c r="AZ4" s="69" t="inlineStr">
        <is>
          <t>五</t>
        </is>
      </c>
      <c r="BA4" s="68" t="inlineStr">
        <is>
          <t>六</t>
        </is>
      </c>
      <c r="BB4" s="69" t="inlineStr">
        <is>
          <t>六</t>
        </is>
      </c>
      <c r="BC4" s="69" t="inlineStr">
        <is>
          <t>六</t>
        </is>
      </c>
      <c r="BD4" s="68" t="inlineStr">
        <is>
          <t>日</t>
        </is>
      </c>
      <c r="BE4" s="69" t="inlineStr">
        <is>
          <t>日</t>
        </is>
      </c>
      <c r="BF4" s="69" t="inlineStr">
        <is>
          <t>日</t>
        </is>
      </c>
      <c r="BG4" s="68" t="inlineStr">
        <is>
          <t>一</t>
        </is>
      </c>
      <c r="BH4" s="69" t="inlineStr">
        <is>
          <t>一</t>
        </is>
      </c>
      <c r="BI4" s="69" t="inlineStr">
        <is>
          <t>一</t>
        </is>
      </c>
      <c r="BJ4" s="68" t="inlineStr">
        <is>
          <t>二</t>
        </is>
      </c>
      <c r="BK4" s="69" t="inlineStr">
        <is>
          <t>二</t>
        </is>
      </c>
      <c r="BL4" s="69" t="inlineStr">
        <is>
          <t>二</t>
        </is>
      </c>
      <c r="BM4" s="68" t="inlineStr">
        <is>
          <t>三</t>
        </is>
      </c>
      <c r="BN4" s="69" t="inlineStr">
        <is>
          <t>三</t>
        </is>
      </c>
      <c r="BO4" s="69" t="inlineStr">
        <is>
          <t>三</t>
        </is>
      </c>
      <c r="BP4" s="68" t="inlineStr">
        <is>
          <t>四</t>
        </is>
      </c>
      <c r="BQ4" s="69" t="inlineStr">
        <is>
          <t>四</t>
        </is>
      </c>
      <c r="BR4" s="69" t="inlineStr">
        <is>
          <t>四</t>
        </is>
      </c>
      <c r="BS4" s="68" t="inlineStr">
        <is>
          <t>五</t>
        </is>
      </c>
      <c r="BT4" s="69" t="inlineStr">
        <is>
          <t>五</t>
        </is>
      </c>
      <c r="BU4" s="69" t="inlineStr">
        <is>
          <t>五</t>
        </is>
      </c>
      <c r="BV4" s="68" t="inlineStr">
        <is>
          <t>六</t>
        </is>
      </c>
      <c r="BW4" s="69" t="inlineStr">
        <is>
          <t>六</t>
        </is>
      </c>
      <c r="BX4" s="69" t="inlineStr">
        <is>
          <t>六</t>
        </is>
      </c>
      <c r="BY4" s="68" t="inlineStr">
        <is>
          <t>日</t>
        </is>
      </c>
      <c r="BZ4" s="69" t="inlineStr">
        <is>
          <t>日</t>
        </is>
      </c>
      <c r="CA4" s="69" t="inlineStr">
        <is>
          <t>日</t>
        </is>
      </c>
      <c r="CB4" s="68" t="inlineStr">
        <is>
          <t>一</t>
        </is>
      </c>
      <c r="CC4" s="69" t="inlineStr">
        <is>
          <t>一</t>
        </is>
      </c>
      <c r="CD4" s="69" t="inlineStr">
        <is>
          <t>一</t>
        </is>
      </c>
      <c r="CE4" s="68" t="inlineStr">
        <is>
          <t>二</t>
        </is>
      </c>
      <c r="CF4" s="69" t="inlineStr">
        <is>
          <t>二</t>
        </is>
      </c>
      <c r="CG4" s="69" t="inlineStr">
        <is>
          <t>二</t>
        </is>
      </c>
      <c r="CH4" s="68" t="inlineStr">
        <is>
          <t>三</t>
        </is>
      </c>
      <c r="CI4" s="69" t="inlineStr">
        <is>
          <t>三</t>
        </is>
      </c>
      <c r="CJ4" s="69" t="inlineStr">
        <is>
          <t>三</t>
        </is>
      </c>
      <c r="CK4" s="68" t="inlineStr">
        <is>
          <t>四</t>
        </is>
      </c>
      <c r="CL4" s="69" t="inlineStr">
        <is>
          <t>四</t>
        </is>
      </c>
      <c r="CM4" s="69" t="inlineStr">
        <is>
          <t>四</t>
        </is>
      </c>
      <c r="CN4" s="68" t="inlineStr">
        <is>
          <t>五</t>
        </is>
      </c>
      <c r="CO4" s="69" t="inlineStr">
        <is>
          <t>五</t>
        </is>
      </c>
      <c r="CP4" s="69" t="inlineStr">
        <is>
          <t>五</t>
        </is>
      </c>
      <c r="CQ4" s="68" t="inlineStr">
        <is>
          <t>六</t>
        </is>
      </c>
      <c r="CR4" s="69" t="inlineStr">
        <is>
          <t>六</t>
        </is>
      </c>
      <c r="CS4" s="69" t="inlineStr">
        <is>
          <t>六</t>
        </is>
      </c>
    </row>
    <row r="5">
      <c r="A5" s="45" t="n"/>
      <c r="B5" s="45" t="n"/>
      <c r="C5" s="45" t="n"/>
      <c r="D5" s="45" t="n"/>
      <c r="E5" s="46" t="inlineStr">
        <is>
          <t>早</t>
        </is>
      </c>
      <c r="F5" s="47" t="inlineStr">
        <is>
          <t>午</t>
        </is>
      </c>
      <c r="G5" s="47" t="inlineStr">
        <is>
          <t>晚</t>
        </is>
      </c>
      <c r="H5" s="46" t="inlineStr">
        <is>
          <t>早</t>
        </is>
      </c>
      <c r="I5" s="47" t="inlineStr">
        <is>
          <t>午</t>
        </is>
      </c>
      <c r="J5" s="47" t="inlineStr">
        <is>
          <t>晚</t>
        </is>
      </c>
      <c r="K5" s="46" t="inlineStr">
        <is>
          <t>早</t>
        </is>
      </c>
      <c r="L5" s="47" t="inlineStr">
        <is>
          <t>午</t>
        </is>
      </c>
      <c r="M5" s="47" t="inlineStr">
        <is>
          <t>晚</t>
        </is>
      </c>
      <c r="N5" s="46" t="inlineStr">
        <is>
          <t>早</t>
        </is>
      </c>
      <c r="O5" s="47" t="inlineStr">
        <is>
          <t>午</t>
        </is>
      </c>
      <c r="P5" s="47" t="inlineStr">
        <is>
          <t>晚</t>
        </is>
      </c>
      <c r="Q5" s="46" t="inlineStr">
        <is>
          <t>早</t>
        </is>
      </c>
      <c r="R5" s="47" t="inlineStr">
        <is>
          <t>午</t>
        </is>
      </c>
      <c r="S5" s="47" t="inlineStr">
        <is>
          <t>晚</t>
        </is>
      </c>
      <c r="T5" s="46" t="inlineStr">
        <is>
          <t>早</t>
        </is>
      </c>
      <c r="U5" s="47" t="inlineStr">
        <is>
          <t>午</t>
        </is>
      </c>
      <c r="V5" s="47" t="inlineStr">
        <is>
          <t>晚</t>
        </is>
      </c>
      <c r="W5" s="46" t="inlineStr">
        <is>
          <t>早</t>
        </is>
      </c>
      <c r="X5" s="47" t="inlineStr">
        <is>
          <t>午</t>
        </is>
      </c>
      <c r="Y5" s="47" t="inlineStr">
        <is>
          <t>晚</t>
        </is>
      </c>
      <c r="Z5" s="46" t="inlineStr">
        <is>
          <t>早</t>
        </is>
      </c>
      <c r="AA5" s="47" t="inlineStr">
        <is>
          <t>午</t>
        </is>
      </c>
      <c r="AB5" s="47" t="inlineStr">
        <is>
          <t>晚</t>
        </is>
      </c>
      <c r="AC5" s="46" t="inlineStr">
        <is>
          <t>早</t>
        </is>
      </c>
      <c r="AD5" s="47" t="inlineStr">
        <is>
          <t>午</t>
        </is>
      </c>
      <c r="AE5" s="47" t="inlineStr">
        <is>
          <t>晚</t>
        </is>
      </c>
      <c r="AF5" s="46" t="inlineStr">
        <is>
          <t>早</t>
        </is>
      </c>
      <c r="AG5" s="47" t="inlineStr">
        <is>
          <t>午</t>
        </is>
      </c>
      <c r="AH5" s="47" t="inlineStr">
        <is>
          <t>晚</t>
        </is>
      </c>
      <c r="AI5" s="46" t="inlineStr">
        <is>
          <t>早</t>
        </is>
      </c>
      <c r="AJ5" s="47" t="inlineStr">
        <is>
          <t>午</t>
        </is>
      </c>
      <c r="AK5" s="47" t="inlineStr">
        <is>
          <t>晚</t>
        </is>
      </c>
      <c r="AL5" s="46" t="inlineStr">
        <is>
          <t>早</t>
        </is>
      </c>
      <c r="AM5" s="47" t="inlineStr">
        <is>
          <t>午</t>
        </is>
      </c>
      <c r="AN5" s="47" t="inlineStr">
        <is>
          <t>晚</t>
        </is>
      </c>
      <c r="AO5" s="46" t="inlineStr">
        <is>
          <t>早</t>
        </is>
      </c>
      <c r="AP5" s="47" t="inlineStr">
        <is>
          <t>午</t>
        </is>
      </c>
      <c r="AQ5" s="47" t="inlineStr">
        <is>
          <t>晚</t>
        </is>
      </c>
      <c r="AR5" s="46" t="inlineStr">
        <is>
          <t>早</t>
        </is>
      </c>
      <c r="AS5" s="47" t="inlineStr">
        <is>
          <t>午</t>
        </is>
      </c>
      <c r="AT5" s="47" t="inlineStr">
        <is>
          <t>晚</t>
        </is>
      </c>
      <c r="AU5" s="46" t="inlineStr">
        <is>
          <t>早</t>
        </is>
      </c>
      <c r="AV5" s="47" t="inlineStr">
        <is>
          <t>午</t>
        </is>
      </c>
      <c r="AW5" s="47" t="inlineStr">
        <is>
          <t>晚</t>
        </is>
      </c>
      <c r="AX5" s="46" t="inlineStr">
        <is>
          <t>早</t>
        </is>
      </c>
      <c r="AY5" s="47" t="inlineStr">
        <is>
          <t>午</t>
        </is>
      </c>
      <c r="AZ5" s="47" t="inlineStr">
        <is>
          <t>晚</t>
        </is>
      </c>
      <c r="BA5" s="46" t="inlineStr">
        <is>
          <t>早</t>
        </is>
      </c>
      <c r="BB5" s="47" t="inlineStr">
        <is>
          <t>午</t>
        </is>
      </c>
      <c r="BC5" s="47" t="inlineStr">
        <is>
          <t>晚</t>
        </is>
      </c>
      <c r="BD5" s="46" t="inlineStr">
        <is>
          <t>早</t>
        </is>
      </c>
      <c r="BE5" s="47" t="inlineStr">
        <is>
          <t>午</t>
        </is>
      </c>
      <c r="BF5" s="47" t="inlineStr">
        <is>
          <t>晚</t>
        </is>
      </c>
      <c r="BG5" s="46" t="inlineStr">
        <is>
          <t>早</t>
        </is>
      </c>
      <c r="BH5" s="47" t="inlineStr">
        <is>
          <t>午</t>
        </is>
      </c>
      <c r="BI5" s="47" t="inlineStr">
        <is>
          <t>晚</t>
        </is>
      </c>
      <c r="BJ5" s="46" t="inlineStr">
        <is>
          <t>早</t>
        </is>
      </c>
      <c r="BK5" s="47" t="inlineStr">
        <is>
          <t>午</t>
        </is>
      </c>
      <c r="BL5" s="47" t="inlineStr">
        <is>
          <t>晚</t>
        </is>
      </c>
      <c r="BM5" s="46" t="inlineStr">
        <is>
          <t>早</t>
        </is>
      </c>
      <c r="BN5" s="47" t="inlineStr">
        <is>
          <t>午</t>
        </is>
      </c>
      <c r="BO5" s="47" t="inlineStr">
        <is>
          <t>晚</t>
        </is>
      </c>
      <c r="BP5" s="46" t="inlineStr">
        <is>
          <t>早</t>
        </is>
      </c>
      <c r="BQ5" s="47" t="inlineStr">
        <is>
          <t>午</t>
        </is>
      </c>
      <c r="BR5" s="47" t="inlineStr">
        <is>
          <t>晚</t>
        </is>
      </c>
      <c r="BS5" s="46" t="inlineStr">
        <is>
          <t>早</t>
        </is>
      </c>
      <c r="BT5" s="47" t="inlineStr">
        <is>
          <t>午</t>
        </is>
      </c>
      <c r="BU5" s="47" t="inlineStr">
        <is>
          <t>晚</t>
        </is>
      </c>
      <c r="BV5" s="46" t="inlineStr">
        <is>
          <t>早</t>
        </is>
      </c>
      <c r="BW5" s="47" t="inlineStr">
        <is>
          <t>午</t>
        </is>
      </c>
      <c r="BX5" s="47" t="inlineStr">
        <is>
          <t>晚</t>
        </is>
      </c>
      <c r="BY5" s="46" t="inlineStr">
        <is>
          <t>早</t>
        </is>
      </c>
      <c r="BZ5" s="47" t="inlineStr">
        <is>
          <t>午</t>
        </is>
      </c>
      <c r="CA5" s="47" t="inlineStr">
        <is>
          <t>晚</t>
        </is>
      </c>
      <c r="CB5" s="46" t="inlineStr">
        <is>
          <t>早</t>
        </is>
      </c>
      <c r="CC5" s="47" t="inlineStr">
        <is>
          <t>午</t>
        </is>
      </c>
      <c r="CD5" s="47" t="inlineStr">
        <is>
          <t>晚</t>
        </is>
      </c>
      <c r="CE5" s="46" t="inlineStr">
        <is>
          <t>早</t>
        </is>
      </c>
      <c r="CF5" s="47" t="inlineStr">
        <is>
          <t>午</t>
        </is>
      </c>
      <c r="CG5" s="47" t="inlineStr">
        <is>
          <t>晚</t>
        </is>
      </c>
      <c r="CH5" s="46" t="inlineStr">
        <is>
          <t>早</t>
        </is>
      </c>
      <c r="CI5" s="47" t="inlineStr">
        <is>
          <t>午</t>
        </is>
      </c>
      <c r="CJ5" s="47" t="inlineStr">
        <is>
          <t>晚</t>
        </is>
      </c>
      <c r="CK5" s="46" t="inlineStr">
        <is>
          <t>早</t>
        </is>
      </c>
      <c r="CL5" s="47" t="inlineStr">
        <is>
          <t>午</t>
        </is>
      </c>
      <c r="CM5" s="47" t="inlineStr">
        <is>
          <t>晚</t>
        </is>
      </c>
      <c r="CN5" s="46" t="inlineStr">
        <is>
          <t>早</t>
        </is>
      </c>
      <c r="CO5" s="47" t="inlineStr">
        <is>
          <t>午</t>
        </is>
      </c>
      <c r="CP5" s="47" t="inlineStr">
        <is>
          <t>晚</t>
        </is>
      </c>
      <c r="CQ5" s="46" t="inlineStr">
        <is>
          <t>早</t>
        </is>
      </c>
      <c r="CR5" s="47" t="inlineStr">
        <is>
          <t>午</t>
        </is>
      </c>
      <c r="CS5" s="47" t="inlineStr">
        <is>
          <t>晚</t>
        </is>
      </c>
    </row>
    <row r="6" ht="17" customHeight="1">
      <c r="A6" s="19" t="inlineStr">
        <is>
          <t>D001</t>
        </is>
      </c>
      <c r="B6" s="16" t="inlineStr">
        <is>
          <t>林智俊</t>
        </is>
      </c>
      <c r="C6" s="70" t="inlineStr">
        <is>
          <t>牙周植牙專科</t>
        </is>
      </c>
      <c r="D6" s="16" t="inlineStr">
        <is>
          <t>晶悅院長</t>
        </is>
      </c>
      <c r="E6" s="71">
        <f>IF(E$59="X","",IF(E$59&lt;&gt;"",E$59,IF(IFERROR(INDEX(醫師週班表!$C$5:$T$44,$CU6,E$57),"")=0,"",IF(MID(IFERROR(INDEX(醫師週班表!$C$5:$T$44,$CU6,E$57),""),2,1)="/",MID(IFERROR(INDEX(醫師週班表!$C$5:$T$44,$CU6,E$57),""),1+E$58*2,1),IF(MID(IFERROR(INDEX(醫師週班表!$C$5:$T$44,$CU6,E$57),""),3,1)="隔",IF(E$58=0,LEFT(IFERROR(INDEX(醫師週班表!$C$5:$T$44,$CU6,E$57),""),1),""),IF(MID(IFERROR(INDEX(醫師週班表!$C$5:$T$44,$CU6,E$57),""),2,1)="(",LEFT(IFERROR(INDEX(醫師週班表!$C$5:$T$44,$CU6,E$57),""),1),IFERROR(INDEX(醫師週班表!$C$5:$T$44,$CU6,E$57),"")))))))</f>
        <v/>
      </c>
      <c r="F6" s="72">
        <f>IF(F$59="X","",IF(F$59&lt;&gt;"",F$59,IF(IFERROR(INDEX(醫師週班表!$C$5:$T$44,$CU6,F$57),"")=0,"",IF(MID(IFERROR(INDEX(醫師週班表!$C$5:$T$44,$CU6,F$57),""),2,1)="/",MID(IFERROR(INDEX(醫師週班表!$C$5:$T$44,$CU6,F$57),""),1+F$58*2,1),IF(MID(IFERROR(INDEX(醫師週班表!$C$5:$T$44,$CU6,F$57),""),3,1)="隔",IF(F$58=0,LEFT(IFERROR(INDEX(醫師週班表!$C$5:$T$44,$CU6,F$57),""),1),""),IF(MID(IFERROR(INDEX(醫師週班表!$C$5:$T$44,$CU6,F$57),""),2,1)="(",LEFT(IFERROR(INDEX(醫師週班表!$C$5:$T$44,$CU6,F$57),""),1),IFERROR(INDEX(醫師週班表!$C$5:$T$44,$CU6,F$57),"")))))))</f>
        <v/>
      </c>
      <c r="G6" s="72">
        <f>IF(G$59="X","",IF(G$59&lt;&gt;"",G$59,IF(IFERROR(INDEX(醫師週班表!$C$5:$T$44,$CU6,G$57),"")=0,"",IF(MID(IFERROR(INDEX(醫師週班表!$C$5:$T$44,$CU6,G$57),""),2,1)="/",MID(IFERROR(INDEX(醫師週班表!$C$5:$T$44,$CU6,G$57),""),1+G$58*2,1),IF(MID(IFERROR(INDEX(醫師週班表!$C$5:$T$44,$CU6,G$57),""),3,1)="隔",IF(G$58=0,LEFT(IFERROR(INDEX(醫師週班表!$C$5:$T$44,$CU6,G$57),""),1),""),IF(MID(IFERROR(INDEX(醫師週班表!$C$5:$T$44,$CU6,G$57),""),2,1)="(",LEFT(IFERROR(INDEX(醫師週班表!$C$5:$T$44,$CU6,G$57),""),1),IFERROR(INDEX(醫師週班表!$C$5:$T$44,$CU6,G$57),"")))))))</f>
        <v/>
      </c>
      <c r="H6" s="71">
        <f>IF(H$59="X","",IF(H$59&lt;&gt;"",H$59,IF(IFERROR(INDEX(醫師週班表!$C$5:$T$44,$CU6,H$57),"")=0,"",IF(MID(IFERROR(INDEX(醫師週班表!$C$5:$T$44,$CU6,H$57),""),2,1)="/",MID(IFERROR(INDEX(醫師週班表!$C$5:$T$44,$CU6,H$57),""),1+H$58*2,1),IF(MID(IFERROR(INDEX(醫師週班表!$C$5:$T$44,$CU6,H$57),""),3,1)="隔",IF(H$58=0,LEFT(IFERROR(INDEX(醫師週班表!$C$5:$T$44,$CU6,H$57),""),1),""),IF(MID(IFERROR(INDEX(醫師週班表!$C$5:$T$44,$CU6,H$57),""),2,1)="(",LEFT(IFERROR(INDEX(醫師週班表!$C$5:$T$44,$CU6,H$57),""),1),IFERROR(INDEX(醫師週班表!$C$5:$T$44,$CU6,H$57),"")))))))</f>
        <v/>
      </c>
      <c r="I6" s="72">
        <f>IF(I$59="X","",IF(I$59&lt;&gt;"",I$59,IF(IFERROR(INDEX(醫師週班表!$C$5:$T$44,$CU6,I$57),"")=0,"",IF(MID(IFERROR(INDEX(醫師週班表!$C$5:$T$44,$CU6,I$57),""),2,1)="/",MID(IFERROR(INDEX(醫師週班表!$C$5:$T$44,$CU6,I$57),""),1+I$58*2,1),IF(MID(IFERROR(INDEX(醫師週班表!$C$5:$T$44,$CU6,I$57),""),3,1)="隔",IF(I$58=0,LEFT(IFERROR(INDEX(醫師週班表!$C$5:$T$44,$CU6,I$57),""),1),""),IF(MID(IFERROR(INDEX(醫師週班表!$C$5:$T$44,$CU6,I$57),""),2,1)="(",LEFT(IFERROR(INDEX(醫師週班表!$C$5:$T$44,$CU6,I$57),""),1),IFERROR(INDEX(醫師週班表!$C$5:$T$44,$CU6,I$57),"")))))))</f>
        <v/>
      </c>
      <c r="J6" s="72">
        <f>IF(J$59="X","",IF(J$59&lt;&gt;"",J$59,IF(IFERROR(INDEX(醫師週班表!$C$5:$T$44,$CU6,J$57),"")=0,"",IF(MID(IFERROR(INDEX(醫師週班表!$C$5:$T$44,$CU6,J$57),""),2,1)="/",MID(IFERROR(INDEX(醫師週班表!$C$5:$T$44,$CU6,J$57),""),1+J$58*2,1),IF(MID(IFERROR(INDEX(醫師週班表!$C$5:$T$44,$CU6,J$57),""),3,1)="隔",IF(J$58=0,LEFT(IFERROR(INDEX(醫師週班表!$C$5:$T$44,$CU6,J$57),""),1),""),IF(MID(IFERROR(INDEX(醫師週班表!$C$5:$T$44,$CU6,J$57),""),2,1)="(",LEFT(IFERROR(INDEX(醫師週班表!$C$5:$T$44,$CU6,J$57),""),1),IFERROR(INDEX(醫師週班表!$C$5:$T$44,$CU6,J$57),"")))))))</f>
        <v/>
      </c>
      <c r="K6" s="71">
        <f>IF(K$59="X","",IF(K$59&lt;&gt;"",K$59,IF(IFERROR(INDEX(醫師週班表!$C$5:$T$44,$CU6,K$57),"")=0,"",IF(MID(IFERROR(INDEX(醫師週班表!$C$5:$T$44,$CU6,K$57),""),2,1)="/",MID(IFERROR(INDEX(醫師週班表!$C$5:$T$44,$CU6,K$57),""),1+K$58*2,1),IF(MID(IFERROR(INDEX(醫師週班表!$C$5:$T$44,$CU6,K$57),""),3,1)="隔",IF(K$58=0,LEFT(IFERROR(INDEX(醫師週班表!$C$5:$T$44,$CU6,K$57),""),1),""),IF(MID(IFERROR(INDEX(醫師週班表!$C$5:$T$44,$CU6,K$57),""),2,1)="(",LEFT(IFERROR(INDEX(醫師週班表!$C$5:$T$44,$CU6,K$57),""),1),IFERROR(INDEX(醫師週班表!$C$5:$T$44,$CU6,K$57),"")))))))</f>
        <v/>
      </c>
      <c r="L6" s="72">
        <f>IF(L$59="X","",IF(L$59&lt;&gt;"",L$59,IF(IFERROR(INDEX(醫師週班表!$C$5:$T$44,$CU6,L$57),"")=0,"",IF(MID(IFERROR(INDEX(醫師週班表!$C$5:$T$44,$CU6,L$57),""),2,1)="/",MID(IFERROR(INDEX(醫師週班表!$C$5:$T$44,$CU6,L$57),""),1+L$58*2,1),IF(MID(IFERROR(INDEX(醫師週班表!$C$5:$T$44,$CU6,L$57),""),3,1)="隔",IF(L$58=0,LEFT(IFERROR(INDEX(醫師週班表!$C$5:$T$44,$CU6,L$57),""),1),""),IF(MID(IFERROR(INDEX(醫師週班表!$C$5:$T$44,$CU6,L$57),""),2,1)="(",LEFT(IFERROR(INDEX(醫師週班表!$C$5:$T$44,$CU6,L$57),""),1),IFERROR(INDEX(醫師週班表!$C$5:$T$44,$CU6,L$57),"")))))))</f>
        <v/>
      </c>
      <c r="M6" s="72">
        <f>IF(M$59="X","",IF(M$59&lt;&gt;"",M$59,IF(IFERROR(INDEX(醫師週班表!$C$5:$T$44,$CU6,M$57),"")=0,"",IF(MID(IFERROR(INDEX(醫師週班表!$C$5:$T$44,$CU6,M$57),""),2,1)="/",MID(IFERROR(INDEX(醫師週班表!$C$5:$T$44,$CU6,M$57),""),1+M$58*2,1),IF(MID(IFERROR(INDEX(醫師週班表!$C$5:$T$44,$CU6,M$57),""),3,1)="隔",IF(M$58=0,LEFT(IFERROR(INDEX(醫師週班表!$C$5:$T$44,$CU6,M$57),""),1),""),IF(MID(IFERROR(INDEX(醫師週班表!$C$5:$T$44,$CU6,M$57),""),2,1)="(",LEFT(IFERROR(INDEX(醫師週班表!$C$5:$T$44,$CU6,M$57),""),1),IFERROR(INDEX(醫師週班表!$C$5:$T$44,$CU6,M$57),"")))))))</f>
        <v/>
      </c>
      <c r="N6" s="71">
        <f>IF(N$59="X","",IF(N$59&lt;&gt;"",N$59,IF(IFERROR(INDEX(醫師週班表!$C$5:$T$44,$CU6,N$57),"")=0,"",IF(MID(IFERROR(INDEX(醫師週班表!$C$5:$T$44,$CU6,N$57),""),2,1)="/",MID(IFERROR(INDEX(醫師週班表!$C$5:$T$44,$CU6,N$57),""),1+N$58*2,1),IF(MID(IFERROR(INDEX(醫師週班表!$C$5:$T$44,$CU6,N$57),""),3,1)="隔",IF(N$58=0,LEFT(IFERROR(INDEX(醫師週班表!$C$5:$T$44,$CU6,N$57),""),1),""),IF(MID(IFERROR(INDEX(醫師週班表!$C$5:$T$44,$CU6,N$57),""),2,1)="(",LEFT(IFERROR(INDEX(醫師週班表!$C$5:$T$44,$CU6,N$57),""),1),IFERROR(INDEX(醫師週班表!$C$5:$T$44,$CU6,N$57),"")))))))</f>
        <v/>
      </c>
      <c r="O6" s="72">
        <f>IF(O$59="X","",IF(O$59&lt;&gt;"",O$59,IF(IFERROR(INDEX(醫師週班表!$C$5:$T$44,$CU6,O$57),"")=0,"",IF(MID(IFERROR(INDEX(醫師週班表!$C$5:$T$44,$CU6,O$57),""),2,1)="/",MID(IFERROR(INDEX(醫師週班表!$C$5:$T$44,$CU6,O$57),""),1+O$58*2,1),IF(MID(IFERROR(INDEX(醫師週班表!$C$5:$T$44,$CU6,O$57),""),3,1)="隔",IF(O$58=0,LEFT(IFERROR(INDEX(醫師週班表!$C$5:$T$44,$CU6,O$57),""),1),""),IF(MID(IFERROR(INDEX(醫師週班表!$C$5:$T$44,$CU6,O$57),""),2,1)="(",LEFT(IFERROR(INDEX(醫師週班表!$C$5:$T$44,$CU6,O$57),""),1),IFERROR(INDEX(醫師週班表!$C$5:$T$44,$CU6,O$57),"")))))))</f>
        <v/>
      </c>
      <c r="P6" s="72">
        <f>IF(P$59="X","",IF(P$59&lt;&gt;"",P$59,IF(IFERROR(INDEX(醫師週班表!$C$5:$T$44,$CU6,P$57),"")=0,"",IF(MID(IFERROR(INDEX(醫師週班表!$C$5:$T$44,$CU6,P$57),""),2,1)="/",MID(IFERROR(INDEX(醫師週班表!$C$5:$T$44,$CU6,P$57),""),1+P$58*2,1),IF(MID(IFERROR(INDEX(醫師週班表!$C$5:$T$44,$CU6,P$57),""),3,1)="隔",IF(P$58=0,LEFT(IFERROR(INDEX(醫師週班表!$C$5:$T$44,$CU6,P$57),""),1),""),IF(MID(IFERROR(INDEX(醫師週班表!$C$5:$T$44,$CU6,P$57),""),2,1)="(",LEFT(IFERROR(INDEX(醫師週班表!$C$5:$T$44,$CU6,P$57),""),1),IFERROR(INDEX(醫師週班表!$C$5:$T$44,$CU6,P$57),"")))))))</f>
        <v/>
      </c>
      <c r="Q6" s="71">
        <f>IF(Q$59="X","",IF(Q$59&lt;&gt;"",Q$59,IF(IFERROR(INDEX(醫師週班表!$C$5:$T$44,$CU6,Q$57),"")=0,"",IF(MID(IFERROR(INDEX(醫師週班表!$C$5:$T$44,$CU6,Q$57),""),2,1)="/",MID(IFERROR(INDEX(醫師週班表!$C$5:$T$44,$CU6,Q$57),""),1+Q$58*2,1),IF(MID(IFERROR(INDEX(醫師週班表!$C$5:$T$44,$CU6,Q$57),""),3,1)="隔",IF(Q$58=0,LEFT(IFERROR(INDEX(醫師週班表!$C$5:$T$44,$CU6,Q$57),""),1),""),IF(MID(IFERROR(INDEX(醫師週班表!$C$5:$T$44,$CU6,Q$57),""),2,1)="(",LEFT(IFERROR(INDEX(醫師週班表!$C$5:$T$44,$CU6,Q$57),""),1),IFERROR(INDEX(醫師週班表!$C$5:$T$44,$CU6,Q$57),"")))))))</f>
        <v/>
      </c>
      <c r="R6" s="72">
        <f>IF(R$59="X","",IF(R$59&lt;&gt;"",R$59,IF(IFERROR(INDEX(醫師週班表!$C$5:$T$44,$CU6,R$57),"")=0,"",IF(MID(IFERROR(INDEX(醫師週班表!$C$5:$T$44,$CU6,R$57),""),2,1)="/",MID(IFERROR(INDEX(醫師週班表!$C$5:$T$44,$CU6,R$57),""),1+R$58*2,1),IF(MID(IFERROR(INDEX(醫師週班表!$C$5:$T$44,$CU6,R$57),""),3,1)="隔",IF(R$58=0,LEFT(IFERROR(INDEX(醫師週班表!$C$5:$T$44,$CU6,R$57),""),1),""),IF(MID(IFERROR(INDEX(醫師週班表!$C$5:$T$44,$CU6,R$57),""),2,1)="(",LEFT(IFERROR(INDEX(醫師週班表!$C$5:$T$44,$CU6,R$57),""),1),IFERROR(INDEX(醫師週班表!$C$5:$T$44,$CU6,R$57),"")))))))</f>
        <v/>
      </c>
      <c r="S6" s="72">
        <f>IF(S$59="X","",IF(S$59&lt;&gt;"",S$59,IF(IFERROR(INDEX(醫師週班表!$C$5:$T$44,$CU6,S$57),"")=0,"",IF(MID(IFERROR(INDEX(醫師週班表!$C$5:$T$44,$CU6,S$57),""),2,1)="/",MID(IFERROR(INDEX(醫師週班表!$C$5:$T$44,$CU6,S$57),""),1+S$58*2,1),IF(MID(IFERROR(INDEX(醫師週班表!$C$5:$T$44,$CU6,S$57),""),3,1)="隔",IF(S$58=0,LEFT(IFERROR(INDEX(醫師週班表!$C$5:$T$44,$CU6,S$57),""),1),""),IF(MID(IFERROR(INDEX(醫師週班表!$C$5:$T$44,$CU6,S$57),""),2,1)="(",LEFT(IFERROR(INDEX(醫師週班表!$C$5:$T$44,$CU6,S$57),""),1),IFERROR(INDEX(醫師週班表!$C$5:$T$44,$CU6,S$57),"")))))))</f>
        <v/>
      </c>
      <c r="T6" s="71">
        <f>IF(T$59="X","",IF(T$59&lt;&gt;"",T$59,IF(IFERROR(INDEX(醫師週班表!$C$5:$T$44,$CU6,T$57),"")=0,"",IF(MID(IFERROR(INDEX(醫師週班表!$C$5:$T$44,$CU6,T$57),""),2,1)="/",MID(IFERROR(INDEX(醫師週班表!$C$5:$T$44,$CU6,T$57),""),1+T$58*2,1),IF(MID(IFERROR(INDEX(醫師週班表!$C$5:$T$44,$CU6,T$57),""),3,1)="隔",IF(T$58=0,LEFT(IFERROR(INDEX(醫師週班表!$C$5:$T$44,$CU6,T$57),""),1),""),IF(MID(IFERROR(INDEX(醫師週班表!$C$5:$T$44,$CU6,T$57),""),2,1)="(",LEFT(IFERROR(INDEX(醫師週班表!$C$5:$T$44,$CU6,T$57),""),1),IFERROR(INDEX(醫師週班表!$C$5:$T$44,$CU6,T$57),"")))))))</f>
        <v/>
      </c>
      <c r="U6" s="72">
        <f>IF(U$59="X","",IF(U$59&lt;&gt;"",U$59,IF(IFERROR(INDEX(醫師週班表!$C$5:$T$44,$CU6,U$57),"")=0,"",IF(MID(IFERROR(INDEX(醫師週班表!$C$5:$T$44,$CU6,U$57),""),2,1)="/",MID(IFERROR(INDEX(醫師週班表!$C$5:$T$44,$CU6,U$57),""),1+U$58*2,1),IF(MID(IFERROR(INDEX(醫師週班表!$C$5:$T$44,$CU6,U$57),""),3,1)="隔",IF(U$58=0,LEFT(IFERROR(INDEX(醫師週班表!$C$5:$T$44,$CU6,U$57),""),1),""),IF(MID(IFERROR(INDEX(醫師週班表!$C$5:$T$44,$CU6,U$57),""),2,1)="(",LEFT(IFERROR(INDEX(醫師週班表!$C$5:$T$44,$CU6,U$57),""),1),IFERROR(INDEX(醫師週班表!$C$5:$T$44,$CU6,U$57),"")))))))</f>
        <v/>
      </c>
      <c r="V6" s="72">
        <f>IF(V$59="X","",IF(V$59&lt;&gt;"",V$59,IF(IFERROR(INDEX(醫師週班表!$C$5:$T$44,$CU6,V$57),"")=0,"",IF(MID(IFERROR(INDEX(醫師週班表!$C$5:$T$44,$CU6,V$57),""),2,1)="/",MID(IFERROR(INDEX(醫師週班表!$C$5:$T$44,$CU6,V$57),""),1+V$58*2,1),IF(MID(IFERROR(INDEX(醫師週班表!$C$5:$T$44,$CU6,V$57),""),3,1)="隔",IF(V$58=0,LEFT(IFERROR(INDEX(醫師週班表!$C$5:$T$44,$CU6,V$57),""),1),""),IF(MID(IFERROR(INDEX(醫師週班表!$C$5:$T$44,$CU6,V$57),""),2,1)="(",LEFT(IFERROR(INDEX(醫師週班表!$C$5:$T$44,$CU6,V$57),""),1),IFERROR(INDEX(醫師週班表!$C$5:$T$44,$CU6,V$57),"")))))))</f>
        <v/>
      </c>
      <c r="W6" s="71">
        <f>IF(W$59="X","",IF(W$59&lt;&gt;"",W$59,IF(IFERROR(INDEX(醫師週班表!$C$5:$T$44,$CU6,W$57),"")=0,"",IF(MID(IFERROR(INDEX(醫師週班表!$C$5:$T$44,$CU6,W$57),""),2,1)="/",MID(IFERROR(INDEX(醫師週班表!$C$5:$T$44,$CU6,W$57),""),1+W$58*2,1),IF(MID(IFERROR(INDEX(醫師週班表!$C$5:$T$44,$CU6,W$57),""),3,1)="隔",IF(W$58=0,LEFT(IFERROR(INDEX(醫師週班表!$C$5:$T$44,$CU6,W$57),""),1),""),IF(MID(IFERROR(INDEX(醫師週班表!$C$5:$T$44,$CU6,W$57),""),2,1)="(",LEFT(IFERROR(INDEX(醫師週班表!$C$5:$T$44,$CU6,W$57),""),1),IFERROR(INDEX(醫師週班表!$C$5:$T$44,$CU6,W$57),"")))))))</f>
        <v/>
      </c>
      <c r="X6" s="72">
        <f>IF(X$59="X","",IF(X$59&lt;&gt;"",X$59,IF(IFERROR(INDEX(醫師週班表!$C$5:$T$44,$CU6,X$57),"")=0,"",IF(MID(IFERROR(INDEX(醫師週班表!$C$5:$T$44,$CU6,X$57),""),2,1)="/",MID(IFERROR(INDEX(醫師週班表!$C$5:$T$44,$CU6,X$57),""),1+X$58*2,1),IF(MID(IFERROR(INDEX(醫師週班表!$C$5:$T$44,$CU6,X$57),""),3,1)="隔",IF(X$58=0,LEFT(IFERROR(INDEX(醫師週班表!$C$5:$T$44,$CU6,X$57),""),1),""),IF(MID(IFERROR(INDEX(醫師週班表!$C$5:$T$44,$CU6,X$57),""),2,1)="(",LEFT(IFERROR(INDEX(醫師週班表!$C$5:$T$44,$CU6,X$57),""),1),IFERROR(INDEX(醫師週班表!$C$5:$T$44,$CU6,X$57),"")))))))</f>
        <v/>
      </c>
      <c r="Y6" s="72">
        <f>IF(Y$59="X","",IF(Y$59&lt;&gt;"",Y$59,IF(IFERROR(INDEX(醫師週班表!$C$5:$T$44,$CU6,Y$57),"")=0,"",IF(MID(IFERROR(INDEX(醫師週班表!$C$5:$T$44,$CU6,Y$57),""),2,1)="/",MID(IFERROR(INDEX(醫師週班表!$C$5:$T$44,$CU6,Y$57),""),1+Y$58*2,1),IF(MID(IFERROR(INDEX(醫師週班表!$C$5:$T$44,$CU6,Y$57),""),3,1)="隔",IF(Y$58=0,LEFT(IFERROR(INDEX(醫師週班表!$C$5:$T$44,$CU6,Y$57),""),1),""),IF(MID(IFERROR(INDEX(醫師週班表!$C$5:$T$44,$CU6,Y$57),""),2,1)="(",LEFT(IFERROR(INDEX(醫師週班表!$C$5:$T$44,$CU6,Y$57),""),1),IFERROR(INDEX(醫師週班表!$C$5:$T$44,$CU6,Y$57),"")))))))</f>
        <v/>
      </c>
      <c r="Z6" s="71">
        <f>IF(Z$59="X","",IF(Z$59&lt;&gt;"",Z$59,IF(IFERROR(INDEX(醫師週班表!$C$5:$T$44,$CU6,Z$57),"")=0,"",IF(MID(IFERROR(INDEX(醫師週班表!$C$5:$T$44,$CU6,Z$57),""),2,1)="/",MID(IFERROR(INDEX(醫師週班表!$C$5:$T$44,$CU6,Z$57),""),1+Z$58*2,1),IF(MID(IFERROR(INDEX(醫師週班表!$C$5:$T$44,$CU6,Z$57),""),3,1)="隔",IF(Z$58=0,LEFT(IFERROR(INDEX(醫師週班表!$C$5:$T$44,$CU6,Z$57),""),1),""),IF(MID(IFERROR(INDEX(醫師週班表!$C$5:$T$44,$CU6,Z$57),""),2,1)="(",LEFT(IFERROR(INDEX(醫師週班表!$C$5:$T$44,$CU6,Z$57),""),1),IFERROR(INDEX(醫師週班表!$C$5:$T$44,$CU6,Z$57),"")))))))</f>
        <v/>
      </c>
      <c r="AA6" s="72">
        <f>IF(AA$59="X","",IF(AA$59&lt;&gt;"",AA$59,IF(IFERROR(INDEX(醫師週班表!$C$5:$T$44,$CU6,AA$57),"")=0,"",IF(MID(IFERROR(INDEX(醫師週班表!$C$5:$T$44,$CU6,AA$57),""),2,1)="/",MID(IFERROR(INDEX(醫師週班表!$C$5:$T$44,$CU6,AA$57),""),1+AA$58*2,1),IF(MID(IFERROR(INDEX(醫師週班表!$C$5:$T$44,$CU6,AA$57),""),3,1)="隔",IF(AA$58=0,LEFT(IFERROR(INDEX(醫師週班表!$C$5:$T$44,$CU6,AA$57),""),1),""),IF(MID(IFERROR(INDEX(醫師週班表!$C$5:$T$44,$CU6,AA$57),""),2,1)="(",LEFT(IFERROR(INDEX(醫師週班表!$C$5:$T$44,$CU6,AA$57),""),1),IFERROR(INDEX(醫師週班表!$C$5:$T$44,$CU6,AA$57),"")))))))</f>
        <v/>
      </c>
      <c r="AB6" s="72">
        <f>IF(AB$59="X","",IF(AB$59&lt;&gt;"",AB$59,IF(IFERROR(INDEX(醫師週班表!$C$5:$T$44,$CU6,AB$57),"")=0,"",IF(MID(IFERROR(INDEX(醫師週班表!$C$5:$T$44,$CU6,AB$57),""),2,1)="/",MID(IFERROR(INDEX(醫師週班表!$C$5:$T$44,$CU6,AB$57),""),1+AB$58*2,1),IF(MID(IFERROR(INDEX(醫師週班表!$C$5:$T$44,$CU6,AB$57),""),3,1)="隔",IF(AB$58=0,LEFT(IFERROR(INDEX(醫師週班表!$C$5:$T$44,$CU6,AB$57),""),1),""),IF(MID(IFERROR(INDEX(醫師週班表!$C$5:$T$44,$CU6,AB$57),""),2,1)="(",LEFT(IFERROR(INDEX(醫師週班表!$C$5:$T$44,$CU6,AB$57),""),1),IFERROR(INDEX(醫師週班表!$C$5:$T$44,$CU6,AB$57),"")))))))</f>
        <v/>
      </c>
      <c r="AC6" s="71">
        <f>IF(AC$59="X","",IF(AC$59&lt;&gt;"",AC$59,IF(IFERROR(INDEX(醫師週班表!$C$5:$T$44,$CU6,AC$57),"")=0,"",IF(MID(IFERROR(INDEX(醫師週班表!$C$5:$T$44,$CU6,AC$57),""),2,1)="/",MID(IFERROR(INDEX(醫師週班表!$C$5:$T$44,$CU6,AC$57),""),1+AC$58*2,1),IF(MID(IFERROR(INDEX(醫師週班表!$C$5:$T$44,$CU6,AC$57),""),3,1)="隔",IF(AC$58=0,LEFT(IFERROR(INDEX(醫師週班表!$C$5:$T$44,$CU6,AC$57),""),1),""),IF(MID(IFERROR(INDEX(醫師週班表!$C$5:$T$44,$CU6,AC$57),""),2,1)="(",LEFT(IFERROR(INDEX(醫師週班表!$C$5:$T$44,$CU6,AC$57),""),1),IFERROR(INDEX(醫師週班表!$C$5:$T$44,$CU6,AC$57),"")))))))</f>
        <v/>
      </c>
      <c r="AD6" s="72">
        <f>IF(AD$59="X","",IF(AD$59&lt;&gt;"",AD$59,IF(IFERROR(INDEX(醫師週班表!$C$5:$T$44,$CU6,AD$57),"")=0,"",IF(MID(IFERROR(INDEX(醫師週班表!$C$5:$T$44,$CU6,AD$57),""),2,1)="/",MID(IFERROR(INDEX(醫師週班表!$C$5:$T$44,$CU6,AD$57),""),1+AD$58*2,1),IF(MID(IFERROR(INDEX(醫師週班表!$C$5:$T$44,$CU6,AD$57),""),3,1)="隔",IF(AD$58=0,LEFT(IFERROR(INDEX(醫師週班表!$C$5:$T$44,$CU6,AD$57),""),1),""),IF(MID(IFERROR(INDEX(醫師週班表!$C$5:$T$44,$CU6,AD$57),""),2,1)="(",LEFT(IFERROR(INDEX(醫師週班表!$C$5:$T$44,$CU6,AD$57),""),1),IFERROR(INDEX(醫師週班表!$C$5:$T$44,$CU6,AD$57),"")))))))</f>
        <v/>
      </c>
      <c r="AE6" s="72">
        <f>IF(AE$59="X","",IF(AE$59&lt;&gt;"",AE$59,IF(IFERROR(INDEX(醫師週班表!$C$5:$T$44,$CU6,AE$57),"")=0,"",IF(MID(IFERROR(INDEX(醫師週班表!$C$5:$T$44,$CU6,AE$57),""),2,1)="/",MID(IFERROR(INDEX(醫師週班表!$C$5:$T$44,$CU6,AE$57),""),1+AE$58*2,1),IF(MID(IFERROR(INDEX(醫師週班表!$C$5:$T$44,$CU6,AE$57),""),3,1)="隔",IF(AE$58=0,LEFT(IFERROR(INDEX(醫師週班表!$C$5:$T$44,$CU6,AE$57),""),1),""),IF(MID(IFERROR(INDEX(醫師週班表!$C$5:$T$44,$CU6,AE$57),""),2,1)="(",LEFT(IFERROR(INDEX(醫師週班表!$C$5:$T$44,$CU6,AE$57),""),1),IFERROR(INDEX(醫師週班表!$C$5:$T$44,$CU6,AE$57),"")))))))</f>
        <v/>
      </c>
      <c r="AF6" s="71">
        <f>IF(AF$59="X","",IF(AF$59&lt;&gt;"",AF$59,IF(IFERROR(INDEX(醫師週班表!$C$5:$T$44,$CU6,AF$57),"")=0,"",IF(MID(IFERROR(INDEX(醫師週班表!$C$5:$T$44,$CU6,AF$57),""),2,1)="/",MID(IFERROR(INDEX(醫師週班表!$C$5:$T$44,$CU6,AF$57),""),1+AF$58*2,1),IF(MID(IFERROR(INDEX(醫師週班表!$C$5:$T$44,$CU6,AF$57),""),3,1)="隔",IF(AF$58=0,LEFT(IFERROR(INDEX(醫師週班表!$C$5:$T$44,$CU6,AF$57),""),1),""),IF(MID(IFERROR(INDEX(醫師週班表!$C$5:$T$44,$CU6,AF$57),""),2,1)="(",LEFT(IFERROR(INDEX(醫師週班表!$C$5:$T$44,$CU6,AF$57),""),1),IFERROR(INDEX(醫師週班表!$C$5:$T$44,$CU6,AF$57),"")))))))</f>
        <v/>
      </c>
      <c r="AG6" s="72">
        <f>IF(AG$59="X","",IF(AG$59&lt;&gt;"",AG$59,IF(IFERROR(INDEX(醫師週班表!$C$5:$T$44,$CU6,AG$57),"")=0,"",IF(MID(IFERROR(INDEX(醫師週班表!$C$5:$T$44,$CU6,AG$57),""),2,1)="/",MID(IFERROR(INDEX(醫師週班表!$C$5:$T$44,$CU6,AG$57),""),1+AG$58*2,1),IF(MID(IFERROR(INDEX(醫師週班表!$C$5:$T$44,$CU6,AG$57),""),3,1)="隔",IF(AG$58=0,LEFT(IFERROR(INDEX(醫師週班表!$C$5:$T$44,$CU6,AG$57),""),1),""),IF(MID(IFERROR(INDEX(醫師週班表!$C$5:$T$44,$CU6,AG$57),""),2,1)="(",LEFT(IFERROR(INDEX(醫師週班表!$C$5:$T$44,$CU6,AG$57),""),1),IFERROR(INDEX(醫師週班表!$C$5:$T$44,$CU6,AG$57),"")))))))</f>
        <v/>
      </c>
      <c r="AH6" s="72">
        <f>IF(AH$59="X","",IF(AH$59&lt;&gt;"",AH$59,IF(IFERROR(INDEX(醫師週班表!$C$5:$T$44,$CU6,AH$57),"")=0,"",IF(MID(IFERROR(INDEX(醫師週班表!$C$5:$T$44,$CU6,AH$57),""),2,1)="/",MID(IFERROR(INDEX(醫師週班表!$C$5:$T$44,$CU6,AH$57),""),1+AH$58*2,1),IF(MID(IFERROR(INDEX(醫師週班表!$C$5:$T$44,$CU6,AH$57),""),3,1)="隔",IF(AH$58=0,LEFT(IFERROR(INDEX(醫師週班表!$C$5:$T$44,$CU6,AH$57),""),1),""),IF(MID(IFERROR(INDEX(醫師週班表!$C$5:$T$44,$CU6,AH$57),""),2,1)="(",LEFT(IFERROR(INDEX(醫師週班表!$C$5:$T$44,$CU6,AH$57),""),1),IFERROR(INDEX(醫師週班表!$C$5:$T$44,$CU6,AH$57),"")))))))</f>
        <v/>
      </c>
      <c r="AI6" s="71">
        <f>IF(AI$59="X","",IF(AI$59&lt;&gt;"",AI$59,IF(IFERROR(INDEX(醫師週班表!$C$5:$T$44,$CU6,AI$57),"")=0,"",IF(MID(IFERROR(INDEX(醫師週班表!$C$5:$T$44,$CU6,AI$57),""),2,1)="/",MID(IFERROR(INDEX(醫師週班表!$C$5:$T$44,$CU6,AI$57),""),1+AI$58*2,1),IF(MID(IFERROR(INDEX(醫師週班表!$C$5:$T$44,$CU6,AI$57),""),3,1)="隔",IF(AI$58=0,LEFT(IFERROR(INDEX(醫師週班表!$C$5:$T$44,$CU6,AI$57),""),1),""),IF(MID(IFERROR(INDEX(醫師週班表!$C$5:$T$44,$CU6,AI$57),""),2,1)="(",LEFT(IFERROR(INDEX(醫師週班表!$C$5:$T$44,$CU6,AI$57),""),1),IFERROR(INDEX(醫師週班表!$C$5:$T$44,$CU6,AI$57),"")))))))</f>
        <v/>
      </c>
      <c r="AJ6" s="72">
        <f>IF(AJ$59="X","",IF(AJ$59&lt;&gt;"",AJ$59,IF(IFERROR(INDEX(醫師週班表!$C$5:$T$44,$CU6,AJ$57),"")=0,"",IF(MID(IFERROR(INDEX(醫師週班表!$C$5:$T$44,$CU6,AJ$57),""),2,1)="/",MID(IFERROR(INDEX(醫師週班表!$C$5:$T$44,$CU6,AJ$57),""),1+AJ$58*2,1),IF(MID(IFERROR(INDEX(醫師週班表!$C$5:$T$44,$CU6,AJ$57),""),3,1)="隔",IF(AJ$58=0,LEFT(IFERROR(INDEX(醫師週班表!$C$5:$T$44,$CU6,AJ$57),""),1),""),IF(MID(IFERROR(INDEX(醫師週班表!$C$5:$T$44,$CU6,AJ$57),""),2,1)="(",LEFT(IFERROR(INDEX(醫師週班表!$C$5:$T$44,$CU6,AJ$57),""),1),IFERROR(INDEX(醫師週班表!$C$5:$T$44,$CU6,AJ$57),"")))))))</f>
        <v/>
      </c>
      <c r="AK6" s="72">
        <f>IF(AK$59="X","",IF(AK$59&lt;&gt;"",AK$59,IF(IFERROR(INDEX(醫師週班表!$C$5:$T$44,$CU6,AK$57),"")=0,"",IF(MID(IFERROR(INDEX(醫師週班表!$C$5:$T$44,$CU6,AK$57),""),2,1)="/",MID(IFERROR(INDEX(醫師週班表!$C$5:$T$44,$CU6,AK$57),""),1+AK$58*2,1),IF(MID(IFERROR(INDEX(醫師週班表!$C$5:$T$44,$CU6,AK$57),""),3,1)="隔",IF(AK$58=0,LEFT(IFERROR(INDEX(醫師週班表!$C$5:$T$44,$CU6,AK$57),""),1),""),IF(MID(IFERROR(INDEX(醫師週班表!$C$5:$T$44,$CU6,AK$57),""),2,1)="(",LEFT(IFERROR(INDEX(醫師週班表!$C$5:$T$44,$CU6,AK$57),""),1),IFERROR(INDEX(醫師週班表!$C$5:$T$44,$CU6,AK$57),"")))))))</f>
        <v/>
      </c>
      <c r="AL6" s="71">
        <f>IF(AL$59="X","",IF(AL$59&lt;&gt;"",AL$59,IF(IFERROR(INDEX(醫師週班表!$C$5:$T$44,$CU6,AL$57),"")=0,"",IF(MID(IFERROR(INDEX(醫師週班表!$C$5:$T$44,$CU6,AL$57),""),2,1)="/",MID(IFERROR(INDEX(醫師週班表!$C$5:$T$44,$CU6,AL$57),""),1+AL$58*2,1),IF(MID(IFERROR(INDEX(醫師週班表!$C$5:$T$44,$CU6,AL$57),""),3,1)="隔",IF(AL$58=0,LEFT(IFERROR(INDEX(醫師週班表!$C$5:$T$44,$CU6,AL$57),""),1),""),IF(MID(IFERROR(INDEX(醫師週班表!$C$5:$T$44,$CU6,AL$57),""),2,1)="(",LEFT(IFERROR(INDEX(醫師週班表!$C$5:$T$44,$CU6,AL$57),""),1),IFERROR(INDEX(醫師週班表!$C$5:$T$44,$CU6,AL$57),"")))))))</f>
        <v/>
      </c>
      <c r="AM6" s="72">
        <f>IF(AM$59="X","",IF(AM$59&lt;&gt;"",AM$59,IF(IFERROR(INDEX(醫師週班表!$C$5:$T$44,$CU6,AM$57),"")=0,"",IF(MID(IFERROR(INDEX(醫師週班表!$C$5:$T$44,$CU6,AM$57),""),2,1)="/",MID(IFERROR(INDEX(醫師週班表!$C$5:$T$44,$CU6,AM$57),""),1+AM$58*2,1),IF(MID(IFERROR(INDEX(醫師週班表!$C$5:$T$44,$CU6,AM$57),""),3,1)="隔",IF(AM$58=0,LEFT(IFERROR(INDEX(醫師週班表!$C$5:$T$44,$CU6,AM$57),""),1),""),IF(MID(IFERROR(INDEX(醫師週班表!$C$5:$T$44,$CU6,AM$57),""),2,1)="(",LEFT(IFERROR(INDEX(醫師週班表!$C$5:$T$44,$CU6,AM$57),""),1),IFERROR(INDEX(醫師週班表!$C$5:$T$44,$CU6,AM$57),"")))))))</f>
        <v/>
      </c>
      <c r="AN6" s="72">
        <f>IF(AN$59="X","",IF(AN$59&lt;&gt;"",AN$59,IF(IFERROR(INDEX(醫師週班表!$C$5:$T$44,$CU6,AN$57),"")=0,"",IF(MID(IFERROR(INDEX(醫師週班表!$C$5:$T$44,$CU6,AN$57),""),2,1)="/",MID(IFERROR(INDEX(醫師週班表!$C$5:$T$44,$CU6,AN$57),""),1+AN$58*2,1),IF(MID(IFERROR(INDEX(醫師週班表!$C$5:$T$44,$CU6,AN$57),""),3,1)="隔",IF(AN$58=0,LEFT(IFERROR(INDEX(醫師週班表!$C$5:$T$44,$CU6,AN$57),""),1),""),IF(MID(IFERROR(INDEX(醫師週班表!$C$5:$T$44,$CU6,AN$57),""),2,1)="(",LEFT(IFERROR(INDEX(醫師週班表!$C$5:$T$44,$CU6,AN$57),""),1),IFERROR(INDEX(醫師週班表!$C$5:$T$44,$CU6,AN$57),"")))))))</f>
        <v/>
      </c>
      <c r="AO6" s="71">
        <f>IF(AO$59="X","",IF(AO$59&lt;&gt;"",AO$59,IF(IFERROR(INDEX(醫師週班表!$C$5:$T$44,$CU6,AO$57),"")=0,"",IF(MID(IFERROR(INDEX(醫師週班表!$C$5:$T$44,$CU6,AO$57),""),2,1)="/",MID(IFERROR(INDEX(醫師週班表!$C$5:$T$44,$CU6,AO$57),""),1+AO$58*2,1),IF(MID(IFERROR(INDEX(醫師週班表!$C$5:$T$44,$CU6,AO$57),""),3,1)="隔",IF(AO$58=0,LEFT(IFERROR(INDEX(醫師週班表!$C$5:$T$44,$CU6,AO$57),""),1),""),IF(MID(IFERROR(INDEX(醫師週班表!$C$5:$T$44,$CU6,AO$57),""),2,1)="(",LEFT(IFERROR(INDEX(醫師週班表!$C$5:$T$44,$CU6,AO$57),""),1),IFERROR(INDEX(醫師週班表!$C$5:$T$44,$CU6,AO$57),"")))))))</f>
        <v/>
      </c>
      <c r="AP6" s="72">
        <f>IF(AP$59="X","",IF(AP$59&lt;&gt;"",AP$59,IF(IFERROR(INDEX(醫師週班表!$C$5:$T$44,$CU6,AP$57),"")=0,"",IF(MID(IFERROR(INDEX(醫師週班表!$C$5:$T$44,$CU6,AP$57),""),2,1)="/",MID(IFERROR(INDEX(醫師週班表!$C$5:$T$44,$CU6,AP$57),""),1+AP$58*2,1),IF(MID(IFERROR(INDEX(醫師週班表!$C$5:$T$44,$CU6,AP$57),""),3,1)="隔",IF(AP$58=0,LEFT(IFERROR(INDEX(醫師週班表!$C$5:$T$44,$CU6,AP$57),""),1),""),IF(MID(IFERROR(INDEX(醫師週班表!$C$5:$T$44,$CU6,AP$57),""),2,1)="(",LEFT(IFERROR(INDEX(醫師週班表!$C$5:$T$44,$CU6,AP$57),""),1),IFERROR(INDEX(醫師週班表!$C$5:$T$44,$CU6,AP$57),"")))))))</f>
        <v/>
      </c>
      <c r="AQ6" s="72">
        <f>IF(AQ$59="X","",IF(AQ$59&lt;&gt;"",AQ$59,IF(IFERROR(INDEX(醫師週班表!$C$5:$T$44,$CU6,AQ$57),"")=0,"",IF(MID(IFERROR(INDEX(醫師週班表!$C$5:$T$44,$CU6,AQ$57),""),2,1)="/",MID(IFERROR(INDEX(醫師週班表!$C$5:$T$44,$CU6,AQ$57),""),1+AQ$58*2,1),IF(MID(IFERROR(INDEX(醫師週班表!$C$5:$T$44,$CU6,AQ$57),""),3,1)="隔",IF(AQ$58=0,LEFT(IFERROR(INDEX(醫師週班表!$C$5:$T$44,$CU6,AQ$57),""),1),""),IF(MID(IFERROR(INDEX(醫師週班表!$C$5:$T$44,$CU6,AQ$57),""),2,1)="(",LEFT(IFERROR(INDEX(醫師週班表!$C$5:$T$44,$CU6,AQ$57),""),1),IFERROR(INDEX(醫師週班表!$C$5:$T$44,$CU6,AQ$57),"")))))))</f>
        <v/>
      </c>
      <c r="AR6" s="71">
        <f>IF(AR$59="X","",IF(AR$59&lt;&gt;"",AR$59,IF(IFERROR(INDEX(醫師週班表!$C$5:$T$44,$CU6,AR$57),"")=0,"",IF(MID(IFERROR(INDEX(醫師週班表!$C$5:$T$44,$CU6,AR$57),""),2,1)="/",MID(IFERROR(INDEX(醫師週班表!$C$5:$T$44,$CU6,AR$57),""),1+AR$58*2,1),IF(MID(IFERROR(INDEX(醫師週班表!$C$5:$T$44,$CU6,AR$57),""),3,1)="隔",IF(AR$58=0,LEFT(IFERROR(INDEX(醫師週班表!$C$5:$T$44,$CU6,AR$57),""),1),""),IF(MID(IFERROR(INDEX(醫師週班表!$C$5:$T$44,$CU6,AR$57),""),2,1)="(",LEFT(IFERROR(INDEX(醫師週班表!$C$5:$T$44,$CU6,AR$57),""),1),IFERROR(INDEX(醫師週班表!$C$5:$T$44,$CU6,AR$57),"")))))))</f>
        <v/>
      </c>
      <c r="AS6" s="72">
        <f>IF(AS$59="X","",IF(AS$59&lt;&gt;"",AS$59,IF(IFERROR(INDEX(醫師週班表!$C$5:$T$44,$CU6,AS$57),"")=0,"",IF(MID(IFERROR(INDEX(醫師週班表!$C$5:$T$44,$CU6,AS$57),""),2,1)="/",MID(IFERROR(INDEX(醫師週班表!$C$5:$T$44,$CU6,AS$57),""),1+AS$58*2,1),IF(MID(IFERROR(INDEX(醫師週班表!$C$5:$T$44,$CU6,AS$57),""),3,1)="隔",IF(AS$58=0,LEFT(IFERROR(INDEX(醫師週班表!$C$5:$T$44,$CU6,AS$57),""),1),""),IF(MID(IFERROR(INDEX(醫師週班表!$C$5:$T$44,$CU6,AS$57),""),2,1)="(",LEFT(IFERROR(INDEX(醫師週班表!$C$5:$T$44,$CU6,AS$57),""),1),IFERROR(INDEX(醫師週班表!$C$5:$T$44,$CU6,AS$57),"")))))))</f>
        <v/>
      </c>
      <c r="AT6" s="72">
        <f>IF(AT$59="X","",IF(AT$59&lt;&gt;"",AT$59,IF(IFERROR(INDEX(醫師週班表!$C$5:$T$44,$CU6,AT$57),"")=0,"",IF(MID(IFERROR(INDEX(醫師週班表!$C$5:$T$44,$CU6,AT$57),""),2,1)="/",MID(IFERROR(INDEX(醫師週班表!$C$5:$T$44,$CU6,AT$57),""),1+AT$58*2,1),IF(MID(IFERROR(INDEX(醫師週班表!$C$5:$T$44,$CU6,AT$57),""),3,1)="隔",IF(AT$58=0,LEFT(IFERROR(INDEX(醫師週班表!$C$5:$T$44,$CU6,AT$57),""),1),""),IF(MID(IFERROR(INDEX(醫師週班表!$C$5:$T$44,$CU6,AT$57),""),2,1)="(",LEFT(IFERROR(INDEX(醫師週班表!$C$5:$T$44,$CU6,AT$57),""),1),IFERROR(INDEX(醫師週班表!$C$5:$T$44,$CU6,AT$57),"")))))))</f>
        <v/>
      </c>
      <c r="AU6" s="71">
        <f>IF(AU$59="X","",IF(AU$59&lt;&gt;"",AU$59,IF(IFERROR(INDEX(醫師週班表!$C$5:$T$44,$CU6,AU$57),"")=0,"",IF(MID(IFERROR(INDEX(醫師週班表!$C$5:$T$44,$CU6,AU$57),""),2,1)="/",MID(IFERROR(INDEX(醫師週班表!$C$5:$T$44,$CU6,AU$57),""),1+AU$58*2,1),IF(MID(IFERROR(INDEX(醫師週班表!$C$5:$T$44,$CU6,AU$57),""),3,1)="隔",IF(AU$58=0,LEFT(IFERROR(INDEX(醫師週班表!$C$5:$T$44,$CU6,AU$57),""),1),""),IF(MID(IFERROR(INDEX(醫師週班表!$C$5:$T$44,$CU6,AU$57),""),2,1)="(",LEFT(IFERROR(INDEX(醫師週班表!$C$5:$T$44,$CU6,AU$57),""),1),IFERROR(INDEX(醫師週班表!$C$5:$T$44,$CU6,AU$57),"")))))))</f>
        <v/>
      </c>
      <c r="AV6" s="72">
        <f>IF(AV$59="X","",IF(AV$59&lt;&gt;"",AV$59,IF(IFERROR(INDEX(醫師週班表!$C$5:$T$44,$CU6,AV$57),"")=0,"",IF(MID(IFERROR(INDEX(醫師週班表!$C$5:$T$44,$CU6,AV$57),""),2,1)="/",MID(IFERROR(INDEX(醫師週班表!$C$5:$T$44,$CU6,AV$57),""),1+AV$58*2,1),IF(MID(IFERROR(INDEX(醫師週班表!$C$5:$T$44,$CU6,AV$57),""),3,1)="隔",IF(AV$58=0,LEFT(IFERROR(INDEX(醫師週班表!$C$5:$T$44,$CU6,AV$57),""),1),""),IF(MID(IFERROR(INDEX(醫師週班表!$C$5:$T$44,$CU6,AV$57),""),2,1)="(",LEFT(IFERROR(INDEX(醫師週班表!$C$5:$T$44,$CU6,AV$57),""),1),IFERROR(INDEX(醫師週班表!$C$5:$T$44,$CU6,AV$57),"")))))))</f>
        <v/>
      </c>
      <c r="AW6" s="72">
        <f>IF(AW$59="X","",IF(AW$59&lt;&gt;"",AW$59,IF(IFERROR(INDEX(醫師週班表!$C$5:$T$44,$CU6,AW$57),"")=0,"",IF(MID(IFERROR(INDEX(醫師週班表!$C$5:$T$44,$CU6,AW$57),""),2,1)="/",MID(IFERROR(INDEX(醫師週班表!$C$5:$T$44,$CU6,AW$57),""),1+AW$58*2,1),IF(MID(IFERROR(INDEX(醫師週班表!$C$5:$T$44,$CU6,AW$57),""),3,1)="隔",IF(AW$58=0,LEFT(IFERROR(INDEX(醫師週班表!$C$5:$T$44,$CU6,AW$57),""),1),""),IF(MID(IFERROR(INDEX(醫師週班表!$C$5:$T$44,$CU6,AW$57),""),2,1)="(",LEFT(IFERROR(INDEX(醫師週班表!$C$5:$T$44,$CU6,AW$57),""),1),IFERROR(INDEX(醫師週班表!$C$5:$T$44,$CU6,AW$57),"")))))))</f>
        <v/>
      </c>
      <c r="AX6" s="71">
        <f>IF(AX$59="X","",IF(AX$59&lt;&gt;"",AX$59,IF(IFERROR(INDEX(醫師週班表!$C$5:$T$44,$CU6,AX$57),"")=0,"",IF(MID(IFERROR(INDEX(醫師週班表!$C$5:$T$44,$CU6,AX$57),""),2,1)="/",MID(IFERROR(INDEX(醫師週班表!$C$5:$T$44,$CU6,AX$57),""),1+AX$58*2,1),IF(MID(IFERROR(INDEX(醫師週班表!$C$5:$T$44,$CU6,AX$57),""),3,1)="隔",IF(AX$58=0,LEFT(IFERROR(INDEX(醫師週班表!$C$5:$T$44,$CU6,AX$57),""),1),""),IF(MID(IFERROR(INDEX(醫師週班表!$C$5:$T$44,$CU6,AX$57),""),2,1)="(",LEFT(IFERROR(INDEX(醫師週班表!$C$5:$T$44,$CU6,AX$57),""),1),IFERROR(INDEX(醫師週班表!$C$5:$T$44,$CU6,AX$57),"")))))))</f>
        <v/>
      </c>
      <c r="AY6" s="72">
        <f>IF(AY$59="X","",IF(AY$59&lt;&gt;"",AY$59,IF(IFERROR(INDEX(醫師週班表!$C$5:$T$44,$CU6,AY$57),"")=0,"",IF(MID(IFERROR(INDEX(醫師週班表!$C$5:$T$44,$CU6,AY$57),""),2,1)="/",MID(IFERROR(INDEX(醫師週班表!$C$5:$T$44,$CU6,AY$57),""),1+AY$58*2,1),IF(MID(IFERROR(INDEX(醫師週班表!$C$5:$T$44,$CU6,AY$57),""),3,1)="隔",IF(AY$58=0,LEFT(IFERROR(INDEX(醫師週班表!$C$5:$T$44,$CU6,AY$57),""),1),""),IF(MID(IFERROR(INDEX(醫師週班表!$C$5:$T$44,$CU6,AY$57),""),2,1)="(",LEFT(IFERROR(INDEX(醫師週班表!$C$5:$T$44,$CU6,AY$57),""),1),IFERROR(INDEX(醫師週班表!$C$5:$T$44,$CU6,AY$57),"")))))))</f>
        <v/>
      </c>
      <c r="AZ6" s="72">
        <f>IF(AZ$59="X","",IF(AZ$59&lt;&gt;"",AZ$59,IF(IFERROR(INDEX(醫師週班表!$C$5:$T$44,$CU6,AZ$57),"")=0,"",IF(MID(IFERROR(INDEX(醫師週班表!$C$5:$T$44,$CU6,AZ$57),""),2,1)="/",MID(IFERROR(INDEX(醫師週班表!$C$5:$T$44,$CU6,AZ$57),""),1+AZ$58*2,1),IF(MID(IFERROR(INDEX(醫師週班表!$C$5:$T$44,$CU6,AZ$57),""),3,1)="隔",IF(AZ$58=0,LEFT(IFERROR(INDEX(醫師週班表!$C$5:$T$44,$CU6,AZ$57),""),1),""),IF(MID(IFERROR(INDEX(醫師週班表!$C$5:$T$44,$CU6,AZ$57),""),2,1)="(",LEFT(IFERROR(INDEX(醫師週班表!$C$5:$T$44,$CU6,AZ$57),""),1),IFERROR(INDEX(醫師週班表!$C$5:$T$44,$CU6,AZ$57),"")))))))</f>
        <v/>
      </c>
      <c r="BA6" s="71">
        <f>IF(BA$59="X","",IF(BA$59&lt;&gt;"",BA$59,IF(IFERROR(INDEX(醫師週班表!$C$5:$T$44,$CU6,BA$57),"")=0,"",IF(MID(IFERROR(INDEX(醫師週班表!$C$5:$T$44,$CU6,BA$57),""),2,1)="/",MID(IFERROR(INDEX(醫師週班表!$C$5:$T$44,$CU6,BA$57),""),1+BA$58*2,1),IF(MID(IFERROR(INDEX(醫師週班表!$C$5:$T$44,$CU6,BA$57),""),3,1)="隔",IF(BA$58=0,LEFT(IFERROR(INDEX(醫師週班表!$C$5:$T$44,$CU6,BA$57),""),1),""),IF(MID(IFERROR(INDEX(醫師週班表!$C$5:$T$44,$CU6,BA$57),""),2,1)="(",LEFT(IFERROR(INDEX(醫師週班表!$C$5:$T$44,$CU6,BA$57),""),1),IFERROR(INDEX(醫師週班表!$C$5:$T$44,$CU6,BA$57),"")))))))</f>
        <v/>
      </c>
      <c r="BB6" s="72">
        <f>IF(BB$59="X","",IF(BB$59&lt;&gt;"",BB$59,IF(IFERROR(INDEX(醫師週班表!$C$5:$T$44,$CU6,BB$57),"")=0,"",IF(MID(IFERROR(INDEX(醫師週班表!$C$5:$T$44,$CU6,BB$57),""),2,1)="/",MID(IFERROR(INDEX(醫師週班表!$C$5:$T$44,$CU6,BB$57),""),1+BB$58*2,1),IF(MID(IFERROR(INDEX(醫師週班表!$C$5:$T$44,$CU6,BB$57),""),3,1)="隔",IF(BB$58=0,LEFT(IFERROR(INDEX(醫師週班表!$C$5:$T$44,$CU6,BB$57),""),1),""),IF(MID(IFERROR(INDEX(醫師週班表!$C$5:$T$44,$CU6,BB$57),""),2,1)="(",LEFT(IFERROR(INDEX(醫師週班表!$C$5:$T$44,$CU6,BB$57),""),1),IFERROR(INDEX(醫師週班表!$C$5:$T$44,$CU6,BB$57),"")))))))</f>
        <v/>
      </c>
      <c r="BC6" s="72">
        <f>IF(BC$59="X","",IF(BC$59&lt;&gt;"",BC$59,IF(IFERROR(INDEX(醫師週班表!$C$5:$T$44,$CU6,BC$57),"")=0,"",IF(MID(IFERROR(INDEX(醫師週班表!$C$5:$T$44,$CU6,BC$57),""),2,1)="/",MID(IFERROR(INDEX(醫師週班表!$C$5:$T$44,$CU6,BC$57),""),1+BC$58*2,1),IF(MID(IFERROR(INDEX(醫師週班表!$C$5:$T$44,$CU6,BC$57),""),3,1)="隔",IF(BC$58=0,LEFT(IFERROR(INDEX(醫師週班表!$C$5:$T$44,$CU6,BC$57),""),1),""),IF(MID(IFERROR(INDEX(醫師週班表!$C$5:$T$44,$CU6,BC$57),""),2,1)="(",LEFT(IFERROR(INDEX(醫師週班表!$C$5:$T$44,$CU6,BC$57),""),1),IFERROR(INDEX(醫師週班表!$C$5:$T$44,$CU6,BC$57),"")))))))</f>
        <v/>
      </c>
      <c r="BD6" s="71">
        <f>IF(BD$59="X","",IF(BD$59&lt;&gt;"",BD$59,IF(IFERROR(INDEX(醫師週班表!$C$5:$T$44,$CU6,BD$57),"")=0,"",IF(MID(IFERROR(INDEX(醫師週班表!$C$5:$T$44,$CU6,BD$57),""),2,1)="/",MID(IFERROR(INDEX(醫師週班表!$C$5:$T$44,$CU6,BD$57),""),1+BD$58*2,1),IF(MID(IFERROR(INDEX(醫師週班表!$C$5:$T$44,$CU6,BD$57),""),3,1)="隔",IF(BD$58=0,LEFT(IFERROR(INDEX(醫師週班表!$C$5:$T$44,$CU6,BD$57),""),1),""),IF(MID(IFERROR(INDEX(醫師週班表!$C$5:$T$44,$CU6,BD$57),""),2,1)="(",LEFT(IFERROR(INDEX(醫師週班表!$C$5:$T$44,$CU6,BD$57),""),1),IFERROR(INDEX(醫師週班表!$C$5:$T$44,$CU6,BD$57),"")))))))</f>
        <v/>
      </c>
      <c r="BE6" s="72">
        <f>IF(BE$59="X","",IF(BE$59&lt;&gt;"",BE$59,IF(IFERROR(INDEX(醫師週班表!$C$5:$T$44,$CU6,BE$57),"")=0,"",IF(MID(IFERROR(INDEX(醫師週班表!$C$5:$T$44,$CU6,BE$57),""),2,1)="/",MID(IFERROR(INDEX(醫師週班表!$C$5:$T$44,$CU6,BE$57),""),1+BE$58*2,1),IF(MID(IFERROR(INDEX(醫師週班表!$C$5:$T$44,$CU6,BE$57),""),3,1)="隔",IF(BE$58=0,LEFT(IFERROR(INDEX(醫師週班表!$C$5:$T$44,$CU6,BE$57),""),1),""),IF(MID(IFERROR(INDEX(醫師週班表!$C$5:$T$44,$CU6,BE$57),""),2,1)="(",LEFT(IFERROR(INDEX(醫師週班表!$C$5:$T$44,$CU6,BE$57),""),1),IFERROR(INDEX(醫師週班表!$C$5:$T$44,$CU6,BE$57),"")))))))</f>
        <v/>
      </c>
      <c r="BF6" s="72">
        <f>IF(BF$59="X","",IF(BF$59&lt;&gt;"",BF$59,IF(IFERROR(INDEX(醫師週班表!$C$5:$T$44,$CU6,BF$57),"")=0,"",IF(MID(IFERROR(INDEX(醫師週班表!$C$5:$T$44,$CU6,BF$57),""),2,1)="/",MID(IFERROR(INDEX(醫師週班表!$C$5:$T$44,$CU6,BF$57),""),1+BF$58*2,1),IF(MID(IFERROR(INDEX(醫師週班表!$C$5:$T$44,$CU6,BF$57),""),3,1)="隔",IF(BF$58=0,LEFT(IFERROR(INDEX(醫師週班表!$C$5:$T$44,$CU6,BF$57),""),1),""),IF(MID(IFERROR(INDEX(醫師週班表!$C$5:$T$44,$CU6,BF$57),""),2,1)="(",LEFT(IFERROR(INDEX(醫師週班表!$C$5:$T$44,$CU6,BF$57),""),1),IFERROR(INDEX(醫師週班表!$C$5:$T$44,$CU6,BF$57),"")))))))</f>
        <v/>
      </c>
      <c r="BG6" s="71">
        <f>IF(BG$59="X","",IF(BG$59&lt;&gt;"",BG$59,IF(IFERROR(INDEX(醫師週班表!$C$5:$T$44,$CU6,BG$57),"")=0,"",IF(MID(IFERROR(INDEX(醫師週班表!$C$5:$T$44,$CU6,BG$57),""),2,1)="/",MID(IFERROR(INDEX(醫師週班表!$C$5:$T$44,$CU6,BG$57),""),1+BG$58*2,1),IF(MID(IFERROR(INDEX(醫師週班表!$C$5:$T$44,$CU6,BG$57),""),3,1)="隔",IF(BG$58=0,LEFT(IFERROR(INDEX(醫師週班表!$C$5:$T$44,$CU6,BG$57),""),1),""),IF(MID(IFERROR(INDEX(醫師週班表!$C$5:$T$44,$CU6,BG$57),""),2,1)="(",LEFT(IFERROR(INDEX(醫師週班表!$C$5:$T$44,$CU6,BG$57),""),1),IFERROR(INDEX(醫師週班表!$C$5:$T$44,$CU6,BG$57),"")))))))</f>
        <v/>
      </c>
      <c r="BH6" s="72">
        <f>IF(BH$59="X","",IF(BH$59&lt;&gt;"",BH$59,IF(IFERROR(INDEX(醫師週班表!$C$5:$T$44,$CU6,BH$57),"")=0,"",IF(MID(IFERROR(INDEX(醫師週班表!$C$5:$T$44,$CU6,BH$57),""),2,1)="/",MID(IFERROR(INDEX(醫師週班表!$C$5:$T$44,$CU6,BH$57),""),1+BH$58*2,1),IF(MID(IFERROR(INDEX(醫師週班表!$C$5:$T$44,$CU6,BH$57),""),3,1)="隔",IF(BH$58=0,LEFT(IFERROR(INDEX(醫師週班表!$C$5:$T$44,$CU6,BH$57),""),1),""),IF(MID(IFERROR(INDEX(醫師週班表!$C$5:$T$44,$CU6,BH$57),""),2,1)="(",LEFT(IFERROR(INDEX(醫師週班表!$C$5:$T$44,$CU6,BH$57),""),1),IFERROR(INDEX(醫師週班表!$C$5:$T$44,$CU6,BH$57),"")))))))</f>
        <v/>
      </c>
      <c r="BI6" s="72">
        <f>IF(BI$59="X","",IF(BI$59&lt;&gt;"",BI$59,IF(IFERROR(INDEX(醫師週班表!$C$5:$T$44,$CU6,BI$57),"")=0,"",IF(MID(IFERROR(INDEX(醫師週班表!$C$5:$T$44,$CU6,BI$57),""),2,1)="/",MID(IFERROR(INDEX(醫師週班表!$C$5:$T$44,$CU6,BI$57),""),1+BI$58*2,1),IF(MID(IFERROR(INDEX(醫師週班表!$C$5:$T$44,$CU6,BI$57),""),3,1)="隔",IF(BI$58=0,LEFT(IFERROR(INDEX(醫師週班表!$C$5:$T$44,$CU6,BI$57),""),1),""),IF(MID(IFERROR(INDEX(醫師週班表!$C$5:$T$44,$CU6,BI$57),""),2,1)="(",LEFT(IFERROR(INDEX(醫師週班表!$C$5:$T$44,$CU6,BI$57),""),1),IFERROR(INDEX(醫師週班表!$C$5:$T$44,$CU6,BI$57),"")))))))</f>
        <v/>
      </c>
      <c r="BJ6" s="71">
        <f>IF(BJ$59="X","",IF(BJ$59&lt;&gt;"",BJ$59,IF(IFERROR(INDEX(醫師週班表!$C$5:$T$44,$CU6,BJ$57),"")=0,"",IF(MID(IFERROR(INDEX(醫師週班表!$C$5:$T$44,$CU6,BJ$57),""),2,1)="/",MID(IFERROR(INDEX(醫師週班表!$C$5:$T$44,$CU6,BJ$57),""),1+BJ$58*2,1),IF(MID(IFERROR(INDEX(醫師週班表!$C$5:$T$44,$CU6,BJ$57),""),3,1)="隔",IF(BJ$58=0,LEFT(IFERROR(INDEX(醫師週班表!$C$5:$T$44,$CU6,BJ$57),""),1),""),IF(MID(IFERROR(INDEX(醫師週班表!$C$5:$T$44,$CU6,BJ$57),""),2,1)="(",LEFT(IFERROR(INDEX(醫師週班表!$C$5:$T$44,$CU6,BJ$57),""),1),IFERROR(INDEX(醫師週班表!$C$5:$T$44,$CU6,BJ$57),"")))))))</f>
        <v/>
      </c>
      <c r="BK6" s="72">
        <f>IF(BK$59="X","",IF(BK$59&lt;&gt;"",BK$59,IF(IFERROR(INDEX(醫師週班表!$C$5:$T$44,$CU6,BK$57),"")=0,"",IF(MID(IFERROR(INDEX(醫師週班表!$C$5:$T$44,$CU6,BK$57),""),2,1)="/",MID(IFERROR(INDEX(醫師週班表!$C$5:$T$44,$CU6,BK$57),""),1+BK$58*2,1),IF(MID(IFERROR(INDEX(醫師週班表!$C$5:$T$44,$CU6,BK$57),""),3,1)="隔",IF(BK$58=0,LEFT(IFERROR(INDEX(醫師週班表!$C$5:$T$44,$CU6,BK$57),""),1),""),IF(MID(IFERROR(INDEX(醫師週班表!$C$5:$T$44,$CU6,BK$57),""),2,1)="(",LEFT(IFERROR(INDEX(醫師週班表!$C$5:$T$44,$CU6,BK$57),""),1),IFERROR(INDEX(醫師週班表!$C$5:$T$44,$CU6,BK$57),"")))))))</f>
        <v/>
      </c>
      <c r="BL6" s="72">
        <f>IF(BL$59="X","",IF(BL$59&lt;&gt;"",BL$59,IF(IFERROR(INDEX(醫師週班表!$C$5:$T$44,$CU6,BL$57),"")=0,"",IF(MID(IFERROR(INDEX(醫師週班表!$C$5:$T$44,$CU6,BL$57),""),2,1)="/",MID(IFERROR(INDEX(醫師週班表!$C$5:$T$44,$CU6,BL$57),""),1+BL$58*2,1),IF(MID(IFERROR(INDEX(醫師週班表!$C$5:$T$44,$CU6,BL$57),""),3,1)="隔",IF(BL$58=0,LEFT(IFERROR(INDEX(醫師週班表!$C$5:$T$44,$CU6,BL$57),""),1),""),IF(MID(IFERROR(INDEX(醫師週班表!$C$5:$T$44,$CU6,BL$57),""),2,1)="(",LEFT(IFERROR(INDEX(醫師週班表!$C$5:$T$44,$CU6,BL$57),""),1),IFERROR(INDEX(醫師週班表!$C$5:$T$44,$CU6,BL$57),"")))))))</f>
        <v/>
      </c>
      <c r="BM6" s="71">
        <f>IF(BM$59="X","",IF(BM$59&lt;&gt;"",BM$59,IF(IFERROR(INDEX(醫師週班表!$C$5:$T$44,$CU6,BM$57),"")=0,"",IF(MID(IFERROR(INDEX(醫師週班表!$C$5:$T$44,$CU6,BM$57),""),2,1)="/",MID(IFERROR(INDEX(醫師週班表!$C$5:$T$44,$CU6,BM$57),""),1+BM$58*2,1),IF(MID(IFERROR(INDEX(醫師週班表!$C$5:$T$44,$CU6,BM$57),""),3,1)="隔",IF(BM$58=0,LEFT(IFERROR(INDEX(醫師週班表!$C$5:$T$44,$CU6,BM$57),""),1),""),IF(MID(IFERROR(INDEX(醫師週班表!$C$5:$T$44,$CU6,BM$57),""),2,1)="(",LEFT(IFERROR(INDEX(醫師週班表!$C$5:$T$44,$CU6,BM$57),""),1),IFERROR(INDEX(醫師週班表!$C$5:$T$44,$CU6,BM$57),"")))))))</f>
        <v/>
      </c>
      <c r="BN6" s="72">
        <f>IF(BN$59="X","",IF(BN$59&lt;&gt;"",BN$59,IF(IFERROR(INDEX(醫師週班表!$C$5:$T$44,$CU6,BN$57),"")=0,"",IF(MID(IFERROR(INDEX(醫師週班表!$C$5:$T$44,$CU6,BN$57),""),2,1)="/",MID(IFERROR(INDEX(醫師週班表!$C$5:$T$44,$CU6,BN$57),""),1+BN$58*2,1),IF(MID(IFERROR(INDEX(醫師週班表!$C$5:$T$44,$CU6,BN$57),""),3,1)="隔",IF(BN$58=0,LEFT(IFERROR(INDEX(醫師週班表!$C$5:$T$44,$CU6,BN$57),""),1),""),IF(MID(IFERROR(INDEX(醫師週班表!$C$5:$T$44,$CU6,BN$57),""),2,1)="(",LEFT(IFERROR(INDEX(醫師週班表!$C$5:$T$44,$CU6,BN$57),""),1),IFERROR(INDEX(醫師週班表!$C$5:$T$44,$CU6,BN$57),"")))))))</f>
        <v/>
      </c>
      <c r="BO6" s="72">
        <f>IF(BO$59="X","",IF(BO$59&lt;&gt;"",BO$59,IF(IFERROR(INDEX(醫師週班表!$C$5:$T$44,$CU6,BO$57),"")=0,"",IF(MID(IFERROR(INDEX(醫師週班表!$C$5:$T$44,$CU6,BO$57),""),2,1)="/",MID(IFERROR(INDEX(醫師週班表!$C$5:$T$44,$CU6,BO$57),""),1+BO$58*2,1),IF(MID(IFERROR(INDEX(醫師週班表!$C$5:$T$44,$CU6,BO$57),""),3,1)="隔",IF(BO$58=0,LEFT(IFERROR(INDEX(醫師週班表!$C$5:$T$44,$CU6,BO$57),""),1),""),IF(MID(IFERROR(INDEX(醫師週班表!$C$5:$T$44,$CU6,BO$57),""),2,1)="(",LEFT(IFERROR(INDEX(醫師週班表!$C$5:$T$44,$CU6,BO$57),""),1),IFERROR(INDEX(醫師週班表!$C$5:$T$44,$CU6,BO$57),"")))))))</f>
        <v/>
      </c>
      <c r="BP6" s="71">
        <f>IF(BP$59="X","",IF(BP$59&lt;&gt;"",BP$59,IF(IFERROR(INDEX(醫師週班表!$C$5:$T$44,$CU6,BP$57),"")=0,"",IF(MID(IFERROR(INDEX(醫師週班表!$C$5:$T$44,$CU6,BP$57),""),2,1)="/",MID(IFERROR(INDEX(醫師週班表!$C$5:$T$44,$CU6,BP$57),""),1+BP$58*2,1),IF(MID(IFERROR(INDEX(醫師週班表!$C$5:$T$44,$CU6,BP$57),""),3,1)="隔",IF(BP$58=0,LEFT(IFERROR(INDEX(醫師週班表!$C$5:$T$44,$CU6,BP$57),""),1),""),IF(MID(IFERROR(INDEX(醫師週班表!$C$5:$T$44,$CU6,BP$57),""),2,1)="(",LEFT(IFERROR(INDEX(醫師週班表!$C$5:$T$44,$CU6,BP$57),""),1),IFERROR(INDEX(醫師週班表!$C$5:$T$44,$CU6,BP$57),"")))))))</f>
        <v/>
      </c>
      <c r="BQ6" s="72">
        <f>IF(BQ$59="X","",IF(BQ$59&lt;&gt;"",BQ$59,IF(IFERROR(INDEX(醫師週班表!$C$5:$T$44,$CU6,BQ$57),"")=0,"",IF(MID(IFERROR(INDEX(醫師週班表!$C$5:$T$44,$CU6,BQ$57),""),2,1)="/",MID(IFERROR(INDEX(醫師週班表!$C$5:$T$44,$CU6,BQ$57),""),1+BQ$58*2,1),IF(MID(IFERROR(INDEX(醫師週班表!$C$5:$T$44,$CU6,BQ$57),""),3,1)="隔",IF(BQ$58=0,LEFT(IFERROR(INDEX(醫師週班表!$C$5:$T$44,$CU6,BQ$57),""),1),""),IF(MID(IFERROR(INDEX(醫師週班表!$C$5:$T$44,$CU6,BQ$57),""),2,1)="(",LEFT(IFERROR(INDEX(醫師週班表!$C$5:$T$44,$CU6,BQ$57),""),1),IFERROR(INDEX(醫師週班表!$C$5:$T$44,$CU6,BQ$57),"")))))))</f>
        <v/>
      </c>
      <c r="BR6" s="72">
        <f>IF(BR$59="X","",IF(BR$59&lt;&gt;"",BR$59,IF(IFERROR(INDEX(醫師週班表!$C$5:$T$44,$CU6,BR$57),"")=0,"",IF(MID(IFERROR(INDEX(醫師週班表!$C$5:$T$44,$CU6,BR$57),""),2,1)="/",MID(IFERROR(INDEX(醫師週班表!$C$5:$T$44,$CU6,BR$57),""),1+BR$58*2,1),IF(MID(IFERROR(INDEX(醫師週班表!$C$5:$T$44,$CU6,BR$57),""),3,1)="隔",IF(BR$58=0,LEFT(IFERROR(INDEX(醫師週班表!$C$5:$T$44,$CU6,BR$57),""),1),""),IF(MID(IFERROR(INDEX(醫師週班表!$C$5:$T$44,$CU6,BR$57),""),2,1)="(",LEFT(IFERROR(INDEX(醫師週班表!$C$5:$T$44,$CU6,BR$57),""),1),IFERROR(INDEX(醫師週班表!$C$5:$T$44,$CU6,BR$57),"")))))))</f>
        <v/>
      </c>
      <c r="BS6" s="71">
        <f>IF(BS$59="X","",IF(BS$59&lt;&gt;"",BS$59,IF(IFERROR(INDEX(醫師週班表!$C$5:$T$44,$CU6,BS$57),"")=0,"",IF(MID(IFERROR(INDEX(醫師週班表!$C$5:$T$44,$CU6,BS$57),""),2,1)="/",MID(IFERROR(INDEX(醫師週班表!$C$5:$T$44,$CU6,BS$57),""),1+BS$58*2,1),IF(MID(IFERROR(INDEX(醫師週班表!$C$5:$T$44,$CU6,BS$57),""),3,1)="隔",IF(BS$58=0,LEFT(IFERROR(INDEX(醫師週班表!$C$5:$T$44,$CU6,BS$57),""),1),""),IF(MID(IFERROR(INDEX(醫師週班表!$C$5:$T$44,$CU6,BS$57),""),2,1)="(",LEFT(IFERROR(INDEX(醫師週班表!$C$5:$T$44,$CU6,BS$57),""),1),IFERROR(INDEX(醫師週班表!$C$5:$T$44,$CU6,BS$57),"")))))))</f>
        <v/>
      </c>
      <c r="BT6" s="72">
        <f>IF(BT$59="X","",IF(BT$59&lt;&gt;"",BT$59,IF(IFERROR(INDEX(醫師週班表!$C$5:$T$44,$CU6,BT$57),"")=0,"",IF(MID(IFERROR(INDEX(醫師週班表!$C$5:$T$44,$CU6,BT$57),""),2,1)="/",MID(IFERROR(INDEX(醫師週班表!$C$5:$T$44,$CU6,BT$57),""),1+BT$58*2,1),IF(MID(IFERROR(INDEX(醫師週班表!$C$5:$T$44,$CU6,BT$57),""),3,1)="隔",IF(BT$58=0,LEFT(IFERROR(INDEX(醫師週班表!$C$5:$T$44,$CU6,BT$57),""),1),""),IF(MID(IFERROR(INDEX(醫師週班表!$C$5:$T$44,$CU6,BT$57),""),2,1)="(",LEFT(IFERROR(INDEX(醫師週班表!$C$5:$T$44,$CU6,BT$57),""),1),IFERROR(INDEX(醫師週班表!$C$5:$T$44,$CU6,BT$57),"")))))))</f>
        <v/>
      </c>
      <c r="BU6" s="72">
        <f>IF(BU$59="X","",IF(BU$59&lt;&gt;"",BU$59,IF(IFERROR(INDEX(醫師週班表!$C$5:$T$44,$CU6,BU$57),"")=0,"",IF(MID(IFERROR(INDEX(醫師週班表!$C$5:$T$44,$CU6,BU$57),""),2,1)="/",MID(IFERROR(INDEX(醫師週班表!$C$5:$T$44,$CU6,BU$57),""),1+BU$58*2,1),IF(MID(IFERROR(INDEX(醫師週班表!$C$5:$T$44,$CU6,BU$57),""),3,1)="隔",IF(BU$58=0,LEFT(IFERROR(INDEX(醫師週班表!$C$5:$T$44,$CU6,BU$57),""),1),""),IF(MID(IFERROR(INDEX(醫師週班表!$C$5:$T$44,$CU6,BU$57),""),2,1)="(",LEFT(IFERROR(INDEX(醫師週班表!$C$5:$T$44,$CU6,BU$57),""),1),IFERROR(INDEX(醫師週班表!$C$5:$T$44,$CU6,BU$57),"")))))))</f>
        <v/>
      </c>
      <c r="BV6" s="71">
        <f>IF(BV$59="X","",IF(BV$59&lt;&gt;"",BV$59,IF(IFERROR(INDEX(醫師週班表!$C$5:$T$44,$CU6,BV$57),"")=0,"",IF(MID(IFERROR(INDEX(醫師週班表!$C$5:$T$44,$CU6,BV$57),""),2,1)="/",MID(IFERROR(INDEX(醫師週班表!$C$5:$T$44,$CU6,BV$57),""),1+BV$58*2,1),IF(MID(IFERROR(INDEX(醫師週班表!$C$5:$T$44,$CU6,BV$57),""),3,1)="隔",IF(BV$58=0,LEFT(IFERROR(INDEX(醫師週班表!$C$5:$T$44,$CU6,BV$57),""),1),""),IF(MID(IFERROR(INDEX(醫師週班表!$C$5:$T$44,$CU6,BV$57),""),2,1)="(",LEFT(IFERROR(INDEX(醫師週班表!$C$5:$T$44,$CU6,BV$57),""),1),IFERROR(INDEX(醫師週班表!$C$5:$T$44,$CU6,BV$57),"")))))))</f>
        <v/>
      </c>
      <c r="BW6" s="72">
        <f>IF(BW$59="X","",IF(BW$59&lt;&gt;"",BW$59,IF(IFERROR(INDEX(醫師週班表!$C$5:$T$44,$CU6,BW$57),"")=0,"",IF(MID(IFERROR(INDEX(醫師週班表!$C$5:$T$44,$CU6,BW$57),""),2,1)="/",MID(IFERROR(INDEX(醫師週班表!$C$5:$T$44,$CU6,BW$57),""),1+BW$58*2,1),IF(MID(IFERROR(INDEX(醫師週班表!$C$5:$T$44,$CU6,BW$57),""),3,1)="隔",IF(BW$58=0,LEFT(IFERROR(INDEX(醫師週班表!$C$5:$T$44,$CU6,BW$57),""),1),""),IF(MID(IFERROR(INDEX(醫師週班表!$C$5:$T$44,$CU6,BW$57),""),2,1)="(",LEFT(IFERROR(INDEX(醫師週班表!$C$5:$T$44,$CU6,BW$57),""),1),IFERROR(INDEX(醫師週班表!$C$5:$T$44,$CU6,BW$57),"")))))))</f>
        <v/>
      </c>
      <c r="BX6" s="72">
        <f>IF(BX$59="X","",IF(BX$59&lt;&gt;"",BX$59,IF(IFERROR(INDEX(醫師週班表!$C$5:$T$44,$CU6,BX$57),"")=0,"",IF(MID(IFERROR(INDEX(醫師週班表!$C$5:$T$44,$CU6,BX$57),""),2,1)="/",MID(IFERROR(INDEX(醫師週班表!$C$5:$T$44,$CU6,BX$57),""),1+BX$58*2,1),IF(MID(IFERROR(INDEX(醫師週班表!$C$5:$T$44,$CU6,BX$57),""),3,1)="隔",IF(BX$58=0,LEFT(IFERROR(INDEX(醫師週班表!$C$5:$T$44,$CU6,BX$57),""),1),""),IF(MID(IFERROR(INDEX(醫師週班表!$C$5:$T$44,$CU6,BX$57),""),2,1)="(",LEFT(IFERROR(INDEX(醫師週班表!$C$5:$T$44,$CU6,BX$57),""),1),IFERROR(INDEX(醫師週班表!$C$5:$T$44,$CU6,BX$57),"")))))))</f>
        <v/>
      </c>
      <c r="BY6" s="71">
        <f>IF(BY$59="X","",IF(BY$59&lt;&gt;"",BY$59,IF(IFERROR(INDEX(醫師週班表!$C$5:$T$44,$CU6,BY$57),"")=0,"",IF(MID(IFERROR(INDEX(醫師週班表!$C$5:$T$44,$CU6,BY$57),""),2,1)="/",MID(IFERROR(INDEX(醫師週班表!$C$5:$T$44,$CU6,BY$57),""),1+BY$58*2,1),IF(MID(IFERROR(INDEX(醫師週班表!$C$5:$T$44,$CU6,BY$57),""),3,1)="隔",IF(BY$58=0,LEFT(IFERROR(INDEX(醫師週班表!$C$5:$T$44,$CU6,BY$57),""),1),""),IF(MID(IFERROR(INDEX(醫師週班表!$C$5:$T$44,$CU6,BY$57),""),2,1)="(",LEFT(IFERROR(INDEX(醫師週班表!$C$5:$T$44,$CU6,BY$57),""),1),IFERROR(INDEX(醫師週班表!$C$5:$T$44,$CU6,BY$57),"")))))))</f>
        <v/>
      </c>
      <c r="BZ6" s="72">
        <f>IF(BZ$59="X","",IF(BZ$59&lt;&gt;"",BZ$59,IF(IFERROR(INDEX(醫師週班表!$C$5:$T$44,$CU6,BZ$57),"")=0,"",IF(MID(IFERROR(INDEX(醫師週班表!$C$5:$T$44,$CU6,BZ$57),""),2,1)="/",MID(IFERROR(INDEX(醫師週班表!$C$5:$T$44,$CU6,BZ$57),""),1+BZ$58*2,1),IF(MID(IFERROR(INDEX(醫師週班表!$C$5:$T$44,$CU6,BZ$57),""),3,1)="隔",IF(BZ$58=0,LEFT(IFERROR(INDEX(醫師週班表!$C$5:$T$44,$CU6,BZ$57),""),1),""),IF(MID(IFERROR(INDEX(醫師週班表!$C$5:$T$44,$CU6,BZ$57),""),2,1)="(",LEFT(IFERROR(INDEX(醫師週班表!$C$5:$T$44,$CU6,BZ$57),""),1),IFERROR(INDEX(醫師週班表!$C$5:$T$44,$CU6,BZ$57),"")))))))</f>
        <v/>
      </c>
      <c r="CA6" s="72">
        <f>IF(CA$59="X","",IF(CA$59&lt;&gt;"",CA$59,IF(IFERROR(INDEX(醫師週班表!$C$5:$T$44,$CU6,CA$57),"")=0,"",IF(MID(IFERROR(INDEX(醫師週班表!$C$5:$T$44,$CU6,CA$57),""),2,1)="/",MID(IFERROR(INDEX(醫師週班表!$C$5:$T$44,$CU6,CA$57),""),1+CA$58*2,1),IF(MID(IFERROR(INDEX(醫師週班表!$C$5:$T$44,$CU6,CA$57),""),3,1)="隔",IF(CA$58=0,LEFT(IFERROR(INDEX(醫師週班表!$C$5:$T$44,$CU6,CA$57),""),1),""),IF(MID(IFERROR(INDEX(醫師週班表!$C$5:$T$44,$CU6,CA$57),""),2,1)="(",LEFT(IFERROR(INDEX(醫師週班表!$C$5:$T$44,$CU6,CA$57),""),1),IFERROR(INDEX(醫師週班表!$C$5:$T$44,$CU6,CA$57),"")))))))</f>
        <v/>
      </c>
      <c r="CB6" s="71">
        <f>IF(CB$59="X","",IF(CB$59&lt;&gt;"",CB$59,IF(IFERROR(INDEX(醫師週班表!$C$5:$T$44,$CU6,CB$57),"")=0,"",IF(MID(IFERROR(INDEX(醫師週班表!$C$5:$T$44,$CU6,CB$57),""),2,1)="/",MID(IFERROR(INDEX(醫師週班表!$C$5:$T$44,$CU6,CB$57),""),1+CB$58*2,1),IF(MID(IFERROR(INDEX(醫師週班表!$C$5:$T$44,$CU6,CB$57),""),3,1)="隔",IF(CB$58=0,LEFT(IFERROR(INDEX(醫師週班表!$C$5:$T$44,$CU6,CB$57),""),1),""),IF(MID(IFERROR(INDEX(醫師週班表!$C$5:$T$44,$CU6,CB$57),""),2,1)="(",LEFT(IFERROR(INDEX(醫師週班表!$C$5:$T$44,$CU6,CB$57),""),1),IFERROR(INDEX(醫師週班表!$C$5:$T$44,$CU6,CB$57),"")))))))</f>
        <v/>
      </c>
      <c r="CC6" s="72">
        <f>IF(CC$59="X","",IF(CC$59&lt;&gt;"",CC$59,IF(IFERROR(INDEX(醫師週班表!$C$5:$T$44,$CU6,CC$57),"")=0,"",IF(MID(IFERROR(INDEX(醫師週班表!$C$5:$T$44,$CU6,CC$57),""),2,1)="/",MID(IFERROR(INDEX(醫師週班表!$C$5:$T$44,$CU6,CC$57),""),1+CC$58*2,1),IF(MID(IFERROR(INDEX(醫師週班表!$C$5:$T$44,$CU6,CC$57),""),3,1)="隔",IF(CC$58=0,LEFT(IFERROR(INDEX(醫師週班表!$C$5:$T$44,$CU6,CC$57),""),1),""),IF(MID(IFERROR(INDEX(醫師週班表!$C$5:$T$44,$CU6,CC$57),""),2,1)="(",LEFT(IFERROR(INDEX(醫師週班表!$C$5:$T$44,$CU6,CC$57),""),1),IFERROR(INDEX(醫師週班表!$C$5:$T$44,$CU6,CC$57),"")))))))</f>
        <v/>
      </c>
      <c r="CD6" s="72">
        <f>IF(CD$59="X","",IF(CD$59&lt;&gt;"",CD$59,IF(IFERROR(INDEX(醫師週班表!$C$5:$T$44,$CU6,CD$57),"")=0,"",IF(MID(IFERROR(INDEX(醫師週班表!$C$5:$T$44,$CU6,CD$57),""),2,1)="/",MID(IFERROR(INDEX(醫師週班表!$C$5:$T$44,$CU6,CD$57),""),1+CD$58*2,1),IF(MID(IFERROR(INDEX(醫師週班表!$C$5:$T$44,$CU6,CD$57),""),3,1)="隔",IF(CD$58=0,LEFT(IFERROR(INDEX(醫師週班表!$C$5:$T$44,$CU6,CD$57),""),1),""),IF(MID(IFERROR(INDEX(醫師週班表!$C$5:$T$44,$CU6,CD$57),""),2,1)="(",LEFT(IFERROR(INDEX(醫師週班表!$C$5:$T$44,$CU6,CD$57),""),1),IFERROR(INDEX(醫師週班表!$C$5:$T$44,$CU6,CD$57),"")))))))</f>
        <v/>
      </c>
      <c r="CE6" s="71">
        <f>IF(CE$59="X","",IF(CE$59&lt;&gt;"",CE$59,IF(IFERROR(INDEX(醫師週班表!$C$5:$T$44,$CU6,CE$57),"")=0,"",IF(MID(IFERROR(INDEX(醫師週班表!$C$5:$T$44,$CU6,CE$57),""),2,1)="/",MID(IFERROR(INDEX(醫師週班表!$C$5:$T$44,$CU6,CE$57),""),1+CE$58*2,1),IF(MID(IFERROR(INDEX(醫師週班表!$C$5:$T$44,$CU6,CE$57),""),3,1)="隔",IF(CE$58=0,LEFT(IFERROR(INDEX(醫師週班表!$C$5:$T$44,$CU6,CE$57),""),1),""),IF(MID(IFERROR(INDEX(醫師週班表!$C$5:$T$44,$CU6,CE$57),""),2,1)="(",LEFT(IFERROR(INDEX(醫師週班表!$C$5:$T$44,$CU6,CE$57),""),1),IFERROR(INDEX(醫師週班表!$C$5:$T$44,$CU6,CE$57),"")))))))</f>
        <v/>
      </c>
      <c r="CF6" s="72">
        <f>IF(CF$59="X","",IF(CF$59&lt;&gt;"",CF$59,IF(IFERROR(INDEX(醫師週班表!$C$5:$T$44,$CU6,CF$57),"")=0,"",IF(MID(IFERROR(INDEX(醫師週班表!$C$5:$T$44,$CU6,CF$57),""),2,1)="/",MID(IFERROR(INDEX(醫師週班表!$C$5:$T$44,$CU6,CF$57),""),1+CF$58*2,1),IF(MID(IFERROR(INDEX(醫師週班表!$C$5:$T$44,$CU6,CF$57),""),3,1)="隔",IF(CF$58=0,LEFT(IFERROR(INDEX(醫師週班表!$C$5:$T$44,$CU6,CF$57),""),1),""),IF(MID(IFERROR(INDEX(醫師週班表!$C$5:$T$44,$CU6,CF$57),""),2,1)="(",LEFT(IFERROR(INDEX(醫師週班表!$C$5:$T$44,$CU6,CF$57),""),1),IFERROR(INDEX(醫師週班表!$C$5:$T$44,$CU6,CF$57),"")))))))</f>
        <v/>
      </c>
      <c r="CG6" s="72">
        <f>IF(CG$59="X","",IF(CG$59&lt;&gt;"",CG$59,IF(IFERROR(INDEX(醫師週班表!$C$5:$T$44,$CU6,CG$57),"")=0,"",IF(MID(IFERROR(INDEX(醫師週班表!$C$5:$T$44,$CU6,CG$57),""),2,1)="/",MID(IFERROR(INDEX(醫師週班表!$C$5:$T$44,$CU6,CG$57),""),1+CG$58*2,1),IF(MID(IFERROR(INDEX(醫師週班表!$C$5:$T$44,$CU6,CG$57),""),3,1)="隔",IF(CG$58=0,LEFT(IFERROR(INDEX(醫師週班表!$C$5:$T$44,$CU6,CG$57),""),1),""),IF(MID(IFERROR(INDEX(醫師週班表!$C$5:$T$44,$CU6,CG$57),""),2,1)="(",LEFT(IFERROR(INDEX(醫師週班表!$C$5:$T$44,$CU6,CG$57),""),1),IFERROR(INDEX(醫師週班表!$C$5:$T$44,$CU6,CG$57),"")))))))</f>
        <v/>
      </c>
      <c r="CH6" s="71">
        <f>IF(CH$59="X","",IF(CH$59&lt;&gt;"",CH$59,IF(IFERROR(INDEX(醫師週班表!$C$5:$T$44,$CU6,CH$57),"")=0,"",IF(MID(IFERROR(INDEX(醫師週班表!$C$5:$T$44,$CU6,CH$57),""),2,1)="/",MID(IFERROR(INDEX(醫師週班表!$C$5:$T$44,$CU6,CH$57),""),1+CH$58*2,1),IF(MID(IFERROR(INDEX(醫師週班表!$C$5:$T$44,$CU6,CH$57),""),3,1)="隔",IF(CH$58=0,LEFT(IFERROR(INDEX(醫師週班表!$C$5:$T$44,$CU6,CH$57),""),1),""),IF(MID(IFERROR(INDEX(醫師週班表!$C$5:$T$44,$CU6,CH$57),""),2,1)="(",LEFT(IFERROR(INDEX(醫師週班表!$C$5:$T$44,$CU6,CH$57),""),1),IFERROR(INDEX(醫師週班表!$C$5:$T$44,$CU6,CH$57),"")))))))</f>
        <v/>
      </c>
      <c r="CI6" s="72">
        <f>IF(CI$59="X","",IF(CI$59&lt;&gt;"",CI$59,IF(IFERROR(INDEX(醫師週班表!$C$5:$T$44,$CU6,CI$57),"")=0,"",IF(MID(IFERROR(INDEX(醫師週班表!$C$5:$T$44,$CU6,CI$57),""),2,1)="/",MID(IFERROR(INDEX(醫師週班表!$C$5:$T$44,$CU6,CI$57),""),1+CI$58*2,1),IF(MID(IFERROR(INDEX(醫師週班表!$C$5:$T$44,$CU6,CI$57),""),3,1)="隔",IF(CI$58=0,LEFT(IFERROR(INDEX(醫師週班表!$C$5:$T$44,$CU6,CI$57),""),1),""),IF(MID(IFERROR(INDEX(醫師週班表!$C$5:$T$44,$CU6,CI$57),""),2,1)="(",LEFT(IFERROR(INDEX(醫師週班表!$C$5:$T$44,$CU6,CI$57),""),1),IFERROR(INDEX(醫師週班表!$C$5:$T$44,$CU6,CI$57),"")))))))</f>
        <v/>
      </c>
      <c r="CJ6" s="72">
        <f>IF(CJ$59="X","",IF(CJ$59&lt;&gt;"",CJ$59,IF(IFERROR(INDEX(醫師週班表!$C$5:$T$44,$CU6,CJ$57),"")=0,"",IF(MID(IFERROR(INDEX(醫師週班表!$C$5:$T$44,$CU6,CJ$57),""),2,1)="/",MID(IFERROR(INDEX(醫師週班表!$C$5:$T$44,$CU6,CJ$57),""),1+CJ$58*2,1),IF(MID(IFERROR(INDEX(醫師週班表!$C$5:$T$44,$CU6,CJ$57),""),3,1)="隔",IF(CJ$58=0,LEFT(IFERROR(INDEX(醫師週班表!$C$5:$T$44,$CU6,CJ$57),""),1),""),IF(MID(IFERROR(INDEX(醫師週班表!$C$5:$T$44,$CU6,CJ$57),""),2,1)="(",LEFT(IFERROR(INDEX(醫師週班表!$C$5:$T$44,$CU6,CJ$57),""),1),IFERROR(INDEX(醫師週班表!$C$5:$T$44,$CU6,CJ$57),"")))))))</f>
        <v/>
      </c>
      <c r="CK6" s="71">
        <f>IF(CK$59="X","",IF(CK$59&lt;&gt;"",CK$59,IF(IFERROR(INDEX(醫師週班表!$C$5:$T$44,$CU6,CK$57),"")=0,"",IF(MID(IFERROR(INDEX(醫師週班表!$C$5:$T$44,$CU6,CK$57),""),2,1)="/",MID(IFERROR(INDEX(醫師週班表!$C$5:$T$44,$CU6,CK$57),""),1+CK$58*2,1),IF(MID(IFERROR(INDEX(醫師週班表!$C$5:$T$44,$CU6,CK$57),""),3,1)="隔",IF(CK$58=0,LEFT(IFERROR(INDEX(醫師週班表!$C$5:$T$44,$CU6,CK$57),""),1),""),IF(MID(IFERROR(INDEX(醫師週班表!$C$5:$T$44,$CU6,CK$57),""),2,1)="(",LEFT(IFERROR(INDEX(醫師週班表!$C$5:$T$44,$CU6,CK$57),""),1),IFERROR(INDEX(醫師週班表!$C$5:$T$44,$CU6,CK$57),"")))))))</f>
        <v/>
      </c>
      <c r="CL6" s="72">
        <f>IF(CL$59="X","",IF(CL$59&lt;&gt;"",CL$59,IF(IFERROR(INDEX(醫師週班表!$C$5:$T$44,$CU6,CL$57),"")=0,"",IF(MID(IFERROR(INDEX(醫師週班表!$C$5:$T$44,$CU6,CL$57),""),2,1)="/",MID(IFERROR(INDEX(醫師週班表!$C$5:$T$44,$CU6,CL$57),""),1+CL$58*2,1),IF(MID(IFERROR(INDEX(醫師週班表!$C$5:$T$44,$CU6,CL$57),""),3,1)="隔",IF(CL$58=0,LEFT(IFERROR(INDEX(醫師週班表!$C$5:$T$44,$CU6,CL$57),""),1),""),IF(MID(IFERROR(INDEX(醫師週班表!$C$5:$T$44,$CU6,CL$57),""),2,1)="(",LEFT(IFERROR(INDEX(醫師週班表!$C$5:$T$44,$CU6,CL$57),""),1),IFERROR(INDEX(醫師週班表!$C$5:$T$44,$CU6,CL$57),"")))))))</f>
        <v/>
      </c>
      <c r="CM6" s="72">
        <f>IF(CM$59="X","",IF(CM$59&lt;&gt;"",CM$59,IF(IFERROR(INDEX(醫師週班表!$C$5:$T$44,$CU6,CM$57),"")=0,"",IF(MID(IFERROR(INDEX(醫師週班表!$C$5:$T$44,$CU6,CM$57),""),2,1)="/",MID(IFERROR(INDEX(醫師週班表!$C$5:$T$44,$CU6,CM$57),""),1+CM$58*2,1),IF(MID(IFERROR(INDEX(醫師週班表!$C$5:$T$44,$CU6,CM$57),""),3,1)="隔",IF(CM$58=0,LEFT(IFERROR(INDEX(醫師週班表!$C$5:$T$44,$CU6,CM$57),""),1),""),IF(MID(IFERROR(INDEX(醫師週班表!$C$5:$T$44,$CU6,CM$57),""),2,1)="(",LEFT(IFERROR(INDEX(醫師週班表!$C$5:$T$44,$CU6,CM$57),""),1),IFERROR(INDEX(醫師週班表!$C$5:$T$44,$CU6,CM$57),"")))))))</f>
        <v/>
      </c>
      <c r="CN6" s="71">
        <f>IF(CN$59="X","",IF(CN$59&lt;&gt;"",CN$59,IF(IFERROR(INDEX(醫師週班表!$C$5:$T$44,$CU6,CN$57),"")=0,"",IF(MID(IFERROR(INDEX(醫師週班表!$C$5:$T$44,$CU6,CN$57),""),2,1)="/",MID(IFERROR(INDEX(醫師週班表!$C$5:$T$44,$CU6,CN$57),""),1+CN$58*2,1),IF(MID(IFERROR(INDEX(醫師週班表!$C$5:$T$44,$CU6,CN$57),""),3,1)="隔",IF(CN$58=0,LEFT(IFERROR(INDEX(醫師週班表!$C$5:$T$44,$CU6,CN$57),""),1),""),IF(MID(IFERROR(INDEX(醫師週班表!$C$5:$T$44,$CU6,CN$57),""),2,1)="(",LEFT(IFERROR(INDEX(醫師週班表!$C$5:$T$44,$CU6,CN$57),""),1),IFERROR(INDEX(醫師週班表!$C$5:$T$44,$CU6,CN$57),"")))))))</f>
        <v/>
      </c>
      <c r="CO6" s="72">
        <f>IF(CO$59="X","",IF(CO$59&lt;&gt;"",CO$59,IF(IFERROR(INDEX(醫師週班表!$C$5:$T$44,$CU6,CO$57),"")=0,"",IF(MID(IFERROR(INDEX(醫師週班表!$C$5:$T$44,$CU6,CO$57),""),2,1)="/",MID(IFERROR(INDEX(醫師週班表!$C$5:$T$44,$CU6,CO$57),""),1+CO$58*2,1),IF(MID(IFERROR(INDEX(醫師週班表!$C$5:$T$44,$CU6,CO$57),""),3,1)="隔",IF(CO$58=0,LEFT(IFERROR(INDEX(醫師週班表!$C$5:$T$44,$CU6,CO$57),""),1),""),IF(MID(IFERROR(INDEX(醫師週班表!$C$5:$T$44,$CU6,CO$57),""),2,1)="(",LEFT(IFERROR(INDEX(醫師週班表!$C$5:$T$44,$CU6,CO$57),""),1),IFERROR(INDEX(醫師週班表!$C$5:$T$44,$CU6,CO$57),"")))))))</f>
        <v/>
      </c>
      <c r="CP6" s="72">
        <f>IF(CP$59="X","",IF(CP$59&lt;&gt;"",CP$59,IF(IFERROR(INDEX(醫師週班表!$C$5:$T$44,$CU6,CP$57),"")=0,"",IF(MID(IFERROR(INDEX(醫師週班表!$C$5:$T$44,$CU6,CP$57),""),2,1)="/",MID(IFERROR(INDEX(醫師週班表!$C$5:$T$44,$CU6,CP$57),""),1+CP$58*2,1),IF(MID(IFERROR(INDEX(醫師週班表!$C$5:$T$44,$CU6,CP$57),""),3,1)="隔",IF(CP$58=0,LEFT(IFERROR(INDEX(醫師週班表!$C$5:$T$44,$CU6,CP$57),""),1),""),IF(MID(IFERROR(INDEX(醫師週班表!$C$5:$T$44,$CU6,CP$57),""),2,1)="(",LEFT(IFERROR(INDEX(醫師週班表!$C$5:$T$44,$CU6,CP$57),""),1),IFERROR(INDEX(醫師週班表!$C$5:$T$44,$CU6,CP$57),"")))))))</f>
        <v/>
      </c>
      <c r="CQ6" s="71">
        <f>IF(CQ$59="X","",IF(CQ$59&lt;&gt;"",CQ$59,IF(IFERROR(INDEX(醫師週班表!$C$5:$T$44,$CU6,CQ$57),"")=0,"",IF(MID(IFERROR(INDEX(醫師週班表!$C$5:$T$44,$CU6,CQ$57),""),2,1)="/",MID(IFERROR(INDEX(醫師週班表!$C$5:$T$44,$CU6,CQ$57),""),1+CQ$58*2,1),IF(MID(IFERROR(INDEX(醫師週班表!$C$5:$T$44,$CU6,CQ$57),""),3,1)="隔",IF(CQ$58=0,LEFT(IFERROR(INDEX(醫師週班表!$C$5:$T$44,$CU6,CQ$57),""),1),""),IF(MID(IFERROR(INDEX(醫師週班表!$C$5:$T$44,$CU6,CQ$57),""),2,1)="(",LEFT(IFERROR(INDEX(醫師週班表!$C$5:$T$44,$CU6,CQ$57),""),1),IFERROR(INDEX(醫師週班表!$C$5:$T$44,$CU6,CQ$57),"")))))))</f>
        <v/>
      </c>
      <c r="CR6" s="72">
        <f>IF(CR$59="X","",IF(CR$59&lt;&gt;"",CR$59,IF(IFERROR(INDEX(醫師週班表!$C$5:$T$44,$CU6,CR$57),"")=0,"",IF(MID(IFERROR(INDEX(醫師週班表!$C$5:$T$44,$CU6,CR$57),""),2,1)="/",MID(IFERROR(INDEX(醫師週班表!$C$5:$T$44,$CU6,CR$57),""),1+CR$58*2,1),IF(MID(IFERROR(INDEX(醫師週班表!$C$5:$T$44,$CU6,CR$57),""),3,1)="隔",IF(CR$58=0,LEFT(IFERROR(INDEX(醫師週班表!$C$5:$T$44,$CU6,CR$57),""),1),""),IF(MID(IFERROR(INDEX(醫師週班表!$C$5:$T$44,$CU6,CR$57),""),2,1)="(",LEFT(IFERROR(INDEX(醫師週班表!$C$5:$T$44,$CU6,CR$57),""),1),IFERROR(INDEX(醫師週班表!$C$5:$T$44,$CU6,CR$57),"")))))))</f>
        <v/>
      </c>
      <c r="CS6" s="72">
        <f>IF(CS$59="X","",IF(CS$59&lt;&gt;"",CS$59,IF(IFERROR(INDEX(醫師週班表!$C$5:$T$44,$CU6,CS$57),"")=0,"",IF(MID(IFERROR(INDEX(醫師週班表!$C$5:$T$44,$CU6,CS$57),""),2,1)="/",MID(IFERROR(INDEX(醫師週班表!$C$5:$T$44,$CU6,CS$57),""),1+CS$58*2,1),IF(MID(IFERROR(INDEX(醫師週班表!$C$5:$T$44,$CU6,CS$57),""),3,1)="隔",IF(CS$58=0,LEFT(IFERROR(INDEX(醫師週班表!$C$5:$T$44,$CU6,CS$57),""),1),""),IF(MID(IFERROR(INDEX(醫師週班表!$C$5:$T$44,$CU6,CS$57),""),2,1)="(",LEFT(IFERROR(INDEX(醫師週班表!$C$5:$T$44,$CU6,CS$57),""),1),IFERROR(INDEX(醫師週班表!$C$5:$T$44,$CU6,CS$57),"")))))))</f>
        <v/>
      </c>
      <c r="CU6" s="73">
        <f>IFERROR(MATCH($A6,醫師週班表!$A$5:$A$44,0),0)</f>
        <v/>
      </c>
    </row>
    <row r="7" ht="17" customHeight="1">
      <c r="A7" s="19" t="inlineStr">
        <is>
          <t>D002</t>
        </is>
      </c>
      <c r="B7" s="16" t="inlineStr">
        <is>
          <t>劉立德</t>
        </is>
      </c>
      <c r="C7" s="70" t="inlineStr">
        <is>
          <t>植牙專科 家庭牙醫專科</t>
        </is>
      </c>
      <c r="D7" s="16" t="inlineStr">
        <is>
          <t>晶曜院長</t>
        </is>
      </c>
      <c r="E7" s="71">
        <f>IF(E$59="X","",IF(E$59&lt;&gt;"",E$59,IF(IFERROR(INDEX(醫師週班表!$C$5:$T$44,$CU7,E$57),"")=0,"",IF(MID(IFERROR(INDEX(醫師週班表!$C$5:$T$44,$CU7,E$57),""),2,1)="/",MID(IFERROR(INDEX(醫師週班表!$C$5:$T$44,$CU7,E$57),""),1+E$58*2,1),IF(MID(IFERROR(INDEX(醫師週班表!$C$5:$T$44,$CU7,E$57),""),3,1)="隔",IF(E$58=0,LEFT(IFERROR(INDEX(醫師週班表!$C$5:$T$44,$CU7,E$57),""),1),""),IF(MID(IFERROR(INDEX(醫師週班表!$C$5:$T$44,$CU7,E$57),""),2,1)="(",LEFT(IFERROR(INDEX(醫師週班表!$C$5:$T$44,$CU7,E$57),""),1),IFERROR(INDEX(醫師週班表!$C$5:$T$44,$CU7,E$57),"")))))))</f>
        <v/>
      </c>
      <c r="F7" s="72">
        <f>IF(F$59="X","",IF(F$59&lt;&gt;"",F$59,IF(IFERROR(INDEX(醫師週班表!$C$5:$T$44,$CU7,F$57),"")=0,"",IF(MID(IFERROR(INDEX(醫師週班表!$C$5:$T$44,$CU7,F$57),""),2,1)="/",MID(IFERROR(INDEX(醫師週班表!$C$5:$T$44,$CU7,F$57),""),1+F$58*2,1),IF(MID(IFERROR(INDEX(醫師週班表!$C$5:$T$44,$CU7,F$57),""),3,1)="隔",IF(F$58=0,LEFT(IFERROR(INDEX(醫師週班表!$C$5:$T$44,$CU7,F$57),""),1),""),IF(MID(IFERROR(INDEX(醫師週班表!$C$5:$T$44,$CU7,F$57),""),2,1)="(",LEFT(IFERROR(INDEX(醫師週班表!$C$5:$T$44,$CU7,F$57),""),1),IFERROR(INDEX(醫師週班表!$C$5:$T$44,$CU7,F$57),"")))))))</f>
        <v/>
      </c>
      <c r="G7" s="72">
        <f>IF(G$59="X","",IF(G$59&lt;&gt;"",G$59,IF(IFERROR(INDEX(醫師週班表!$C$5:$T$44,$CU7,G$57),"")=0,"",IF(MID(IFERROR(INDEX(醫師週班表!$C$5:$T$44,$CU7,G$57),""),2,1)="/",MID(IFERROR(INDEX(醫師週班表!$C$5:$T$44,$CU7,G$57),""),1+G$58*2,1),IF(MID(IFERROR(INDEX(醫師週班表!$C$5:$T$44,$CU7,G$57),""),3,1)="隔",IF(G$58=0,LEFT(IFERROR(INDEX(醫師週班表!$C$5:$T$44,$CU7,G$57),""),1),""),IF(MID(IFERROR(INDEX(醫師週班表!$C$5:$T$44,$CU7,G$57),""),2,1)="(",LEFT(IFERROR(INDEX(醫師週班表!$C$5:$T$44,$CU7,G$57),""),1),IFERROR(INDEX(醫師週班表!$C$5:$T$44,$CU7,G$57),"")))))))</f>
        <v/>
      </c>
      <c r="H7" s="71">
        <f>IF(H$59="X","",IF(H$59&lt;&gt;"",H$59,IF(IFERROR(INDEX(醫師週班表!$C$5:$T$44,$CU7,H$57),"")=0,"",IF(MID(IFERROR(INDEX(醫師週班表!$C$5:$T$44,$CU7,H$57),""),2,1)="/",MID(IFERROR(INDEX(醫師週班表!$C$5:$T$44,$CU7,H$57),""),1+H$58*2,1),IF(MID(IFERROR(INDEX(醫師週班表!$C$5:$T$44,$CU7,H$57),""),3,1)="隔",IF(H$58=0,LEFT(IFERROR(INDEX(醫師週班表!$C$5:$T$44,$CU7,H$57),""),1),""),IF(MID(IFERROR(INDEX(醫師週班表!$C$5:$T$44,$CU7,H$57),""),2,1)="(",LEFT(IFERROR(INDEX(醫師週班表!$C$5:$T$44,$CU7,H$57),""),1),IFERROR(INDEX(醫師週班表!$C$5:$T$44,$CU7,H$57),"")))))))</f>
        <v/>
      </c>
      <c r="I7" s="72">
        <f>IF(I$59="X","",IF(I$59&lt;&gt;"",I$59,IF(IFERROR(INDEX(醫師週班表!$C$5:$T$44,$CU7,I$57),"")=0,"",IF(MID(IFERROR(INDEX(醫師週班表!$C$5:$T$44,$CU7,I$57),""),2,1)="/",MID(IFERROR(INDEX(醫師週班表!$C$5:$T$44,$CU7,I$57),""),1+I$58*2,1),IF(MID(IFERROR(INDEX(醫師週班表!$C$5:$T$44,$CU7,I$57),""),3,1)="隔",IF(I$58=0,LEFT(IFERROR(INDEX(醫師週班表!$C$5:$T$44,$CU7,I$57),""),1),""),IF(MID(IFERROR(INDEX(醫師週班表!$C$5:$T$44,$CU7,I$57),""),2,1)="(",LEFT(IFERROR(INDEX(醫師週班表!$C$5:$T$44,$CU7,I$57),""),1),IFERROR(INDEX(醫師週班表!$C$5:$T$44,$CU7,I$57),"")))))))</f>
        <v/>
      </c>
      <c r="J7" s="72">
        <f>IF(J$59="X","",IF(J$59&lt;&gt;"",J$59,IF(IFERROR(INDEX(醫師週班表!$C$5:$T$44,$CU7,J$57),"")=0,"",IF(MID(IFERROR(INDEX(醫師週班表!$C$5:$T$44,$CU7,J$57),""),2,1)="/",MID(IFERROR(INDEX(醫師週班表!$C$5:$T$44,$CU7,J$57),""),1+J$58*2,1),IF(MID(IFERROR(INDEX(醫師週班表!$C$5:$T$44,$CU7,J$57),""),3,1)="隔",IF(J$58=0,LEFT(IFERROR(INDEX(醫師週班表!$C$5:$T$44,$CU7,J$57),""),1),""),IF(MID(IFERROR(INDEX(醫師週班表!$C$5:$T$44,$CU7,J$57),""),2,1)="(",LEFT(IFERROR(INDEX(醫師週班表!$C$5:$T$44,$CU7,J$57),""),1),IFERROR(INDEX(醫師週班表!$C$5:$T$44,$CU7,J$57),"")))))))</f>
        <v/>
      </c>
      <c r="K7" s="71">
        <f>IF(K$59="X","",IF(K$59&lt;&gt;"",K$59,IF(IFERROR(INDEX(醫師週班表!$C$5:$T$44,$CU7,K$57),"")=0,"",IF(MID(IFERROR(INDEX(醫師週班表!$C$5:$T$44,$CU7,K$57),""),2,1)="/",MID(IFERROR(INDEX(醫師週班表!$C$5:$T$44,$CU7,K$57),""),1+K$58*2,1),IF(MID(IFERROR(INDEX(醫師週班表!$C$5:$T$44,$CU7,K$57),""),3,1)="隔",IF(K$58=0,LEFT(IFERROR(INDEX(醫師週班表!$C$5:$T$44,$CU7,K$57),""),1),""),IF(MID(IFERROR(INDEX(醫師週班表!$C$5:$T$44,$CU7,K$57),""),2,1)="(",LEFT(IFERROR(INDEX(醫師週班表!$C$5:$T$44,$CU7,K$57),""),1),IFERROR(INDEX(醫師週班表!$C$5:$T$44,$CU7,K$57),"")))))))</f>
        <v/>
      </c>
      <c r="L7" s="72">
        <f>IF(L$59="X","",IF(L$59&lt;&gt;"",L$59,IF(IFERROR(INDEX(醫師週班表!$C$5:$T$44,$CU7,L$57),"")=0,"",IF(MID(IFERROR(INDEX(醫師週班表!$C$5:$T$44,$CU7,L$57),""),2,1)="/",MID(IFERROR(INDEX(醫師週班表!$C$5:$T$44,$CU7,L$57),""),1+L$58*2,1),IF(MID(IFERROR(INDEX(醫師週班表!$C$5:$T$44,$CU7,L$57),""),3,1)="隔",IF(L$58=0,LEFT(IFERROR(INDEX(醫師週班表!$C$5:$T$44,$CU7,L$57),""),1),""),IF(MID(IFERROR(INDEX(醫師週班表!$C$5:$T$44,$CU7,L$57),""),2,1)="(",LEFT(IFERROR(INDEX(醫師週班表!$C$5:$T$44,$CU7,L$57),""),1),IFERROR(INDEX(醫師週班表!$C$5:$T$44,$CU7,L$57),"")))))))</f>
        <v/>
      </c>
      <c r="M7" s="72">
        <f>IF(M$59="X","",IF(M$59&lt;&gt;"",M$59,IF(IFERROR(INDEX(醫師週班表!$C$5:$T$44,$CU7,M$57),"")=0,"",IF(MID(IFERROR(INDEX(醫師週班表!$C$5:$T$44,$CU7,M$57),""),2,1)="/",MID(IFERROR(INDEX(醫師週班表!$C$5:$T$44,$CU7,M$57),""),1+M$58*2,1),IF(MID(IFERROR(INDEX(醫師週班表!$C$5:$T$44,$CU7,M$57),""),3,1)="隔",IF(M$58=0,LEFT(IFERROR(INDEX(醫師週班表!$C$5:$T$44,$CU7,M$57),""),1),""),IF(MID(IFERROR(INDEX(醫師週班表!$C$5:$T$44,$CU7,M$57),""),2,1)="(",LEFT(IFERROR(INDEX(醫師週班表!$C$5:$T$44,$CU7,M$57),""),1),IFERROR(INDEX(醫師週班表!$C$5:$T$44,$CU7,M$57),"")))))))</f>
        <v/>
      </c>
      <c r="N7" s="71">
        <f>IF(N$59="X","",IF(N$59&lt;&gt;"",N$59,IF(IFERROR(INDEX(醫師週班表!$C$5:$T$44,$CU7,N$57),"")=0,"",IF(MID(IFERROR(INDEX(醫師週班表!$C$5:$T$44,$CU7,N$57),""),2,1)="/",MID(IFERROR(INDEX(醫師週班表!$C$5:$T$44,$CU7,N$57),""),1+N$58*2,1),IF(MID(IFERROR(INDEX(醫師週班表!$C$5:$T$44,$CU7,N$57),""),3,1)="隔",IF(N$58=0,LEFT(IFERROR(INDEX(醫師週班表!$C$5:$T$44,$CU7,N$57),""),1),""),IF(MID(IFERROR(INDEX(醫師週班表!$C$5:$T$44,$CU7,N$57),""),2,1)="(",LEFT(IFERROR(INDEX(醫師週班表!$C$5:$T$44,$CU7,N$57),""),1),IFERROR(INDEX(醫師週班表!$C$5:$T$44,$CU7,N$57),"")))))))</f>
        <v/>
      </c>
      <c r="O7" s="72">
        <f>IF(O$59="X","",IF(O$59&lt;&gt;"",O$59,IF(IFERROR(INDEX(醫師週班表!$C$5:$T$44,$CU7,O$57),"")=0,"",IF(MID(IFERROR(INDEX(醫師週班表!$C$5:$T$44,$CU7,O$57),""),2,1)="/",MID(IFERROR(INDEX(醫師週班表!$C$5:$T$44,$CU7,O$57),""),1+O$58*2,1),IF(MID(IFERROR(INDEX(醫師週班表!$C$5:$T$44,$CU7,O$57),""),3,1)="隔",IF(O$58=0,LEFT(IFERROR(INDEX(醫師週班表!$C$5:$T$44,$CU7,O$57),""),1),""),IF(MID(IFERROR(INDEX(醫師週班表!$C$5:$T$44,$CU7,O$57),""),2,1)="(",LEFT(IFERROR(INDEX(醫師週班表!$C$5:$T$44,$CU7,O$57),""),1),IFERROR(INDEX(醫師週班表!$C$5:$T$44,$CU7,O$57),"")))))))</f>
        <v/>
      </c>
      <c r="P7" s="72">
        <f>IF(P$59="X","",IF(P$59&lt;&gt;"",P$59,IF(IFERROR(INDEX(醫師週班表!$C$5:$T$44,$CU7,P$57),"")=0,"",IF(MID(IFERROR(INDEX(醫師週班表!$C$5:$T$44,$CU7,P$57),""),2,1)="/",MID(IFERROR(INDEX(醫師週班表!$C$5:$T$44,$CU7,P$57),""),1+P$58*2,1),IF(MID(IFERROR(INDEX(醫師週班表!$C$5:$T$44,$CU7,P$57),""),3,1)="隔",IF(P$58=0,LEFT(IFERROR(INDEX(醫師週班表!$C$5:$T$44,$CU7,P$57),""),1),""),IF(MID(IFERROR(INDEX(醫師週班表!$C$5:$T$44,$CU7,P$57),""),2,1)="(",LEFT(IFERROR(INDEX(醫師週班表!$C$5:$T$44,$CU7,P$57),""),1),IFERROR(INDEX(醫師週班表!$C$5:$T$44,$CU7,P$57),"")))))))</f>
        <v/>
      </c>
      <c r="Q7" s="71">
        <f>IF(Q$59="X","",IF(Q$59&lt;&gt;"",Q$59,IF(IFERROR(INDEX(醫師週班表!$C$5:$T$44,$CU7,Q$57),"")=0,"",IF(MID(IFERROR(INDEX(醫師週班表!$C$5:$T$44,$CU7,Q$57),""),2,1)="/",MID(IFERROR(INDEX(醫師週班表!$C$5:$T$44,$CU7,Q$57),""),1+Q$58*2,1),IF(MID(IFERROR(INDEX(醫師週班表!$C$5:$T$44,$CU7,Q$57),""),3,1)="隔",IF(Q$58=0,LEFT(IFERROR(INDEX(醫師週班表!$C$5:$T$44,$CU7,Q$57),""),1),""),IF(MID(IFERROR(INDEX(醫師週班表!$C$5:$T$44,$CU7,Q$57),""),2,1)="(",LEFT(IFERROR(INDEX(醫師週班表!$C$5:$T$44,$CU7,Q$57),""),1),IFERROR(INDEX(醫師週班表!$C$5:$T$44,$CU7,Q$57),"")))))))</f>
        <v/>
      </c>
      <c r="R7" s="72">
        <f>IF(R$59="X","",IF(R$59&lt;&gt;"",R$59,IF(IFERROR(INDEX(醫師週班表!$C$5:$T$44,$CU7,R$57),"")=0,"",IF(MID(IFERROR(INDEX(醫師週班表!$C$5:$T$44,$CU7,R$57),""),2,1)="/",MID(IFERROR(INDEX(醫師週班表!$C$5:$T$44,$CU7,R$57),""),1+R$58*2,1),IF(MID(IFERROR(INDEX(醫師週班表!$C$5:$T$44,$CU7,R$57),""),3,1)="隔",IF(R$58=0,LEFT(IFERROR(INDEX(醫師週班表!$C$5:$T$44,$CU7,R$57),""),1),""),IF(MID(IFERROR(INDEX(醫師週班表!$C$5:$T$44,$CU7,R$57),""),2,1)="(",LEFT(IFERROR(INDEX(醫師週班表!$C$5:$T$44,$CU7,R$57),""),1),IFERROR(INDEX(醫師週班表!$C$5:$T$44,$CU7,R$57),"")))))))</f>
        <v/>
      </c>
      <c r="S7" s="72">
        <f>IF(S$59="X","",IF(S$59&lt;&gt;"",S$59,IF(IFERROR(INDEX(醫師週班表!$C$5:$T$44,$CU7,S$57),"")=0,"",IF(MID(IFERROR(INDEX(醫師週班表!$C$5:$T$44,$CU7,S$57),""),2,1)="/",MID(IFERROR(INDEX(醫師週班表!$C$5:$T$44,$CU7,S$57),""),1+S$58*2,1),IF(MID(IFERROR(INDEX(醫師週班表!$C$5:$T$44,$CU7,S$57),""),3,1)="隔",IF(S$58=0,LEFT(IFERROR(INDEX(醫師週班表!$C$5:$T$44,$CU7,S$57),""),1),""),IF(MID(IFERROR(INDEX(醫師週班表!$C$5:$T$44,$CU7,S$57),""),2,1)="(",LEFT(IFERROR(INDEX(醫師週班表!$C$5:$T$44,$CU7,S$57),""),1),IFERROR(INDEX(醫師週班表!$C$5:$T$44,$CU7,S$57),"")))))))</f>
        <v/>
      </c>
      <c r="T7" s="71">
        <f>IF(T$59="X","",IF(T$59&lt;&gt;"",T$59,IF(IFERROR(INDEX(醫師週班表!$C$5:$T$44,$CU7,T$57),"")=0,"",IF(MID(IFERROR(INDEX(醫師週班表!$C$5:$T$44,$CU7,T$57),""),2,1)="/",MID(IFERROR(INDEX(醫師週班表!$C$5:$T$44,$CU7,T$57),""),1+T$58*2,1),IF(MID(IFERROR(INDEX(醫師週班表!$C$5:$T$44,$CU7,T$57),""),3,1)="隔",IF(T$58=0,LEFT(IFERROR(INDEX(醫師週班表!$C$5:$T$44,$CU7,T$57),""),1),""),IF(MID(IFERROR(INDEX(醫師週班表!$C$5:$T$44,$CU7,T$57),""),2,1)="(",LEFT(IFERROR(INDEX(醫師週班表!$C$5:$T$44,$CU7,T$57),""),1),IFERROR(INDEX(醫師週班表!$C$5:$T$44,$CU7,T$57),"")))))))</f>
        <v/>
      </c>
      <c r="U7" s="72">
        <f>IF(U$59="X","",IF(U$59&lt;&gt;"",U$59,IF(IFERROR(INDEX(醫師週班表!$C$5:$T$44,$CU7,U$57),"")=0,"",IF(MID(IFERROR(INDEX(醫師週班表!$C$5:$T$44,$CU7,U$57),""),2,1)="/",MID(IFERROR(INDEX(醫師週班表!$C$5:$T$44,$CU7,U$57),""),1+U$58*2,1),IF(MID(IFERROR(INDEX(醫師週班表!$C$5:$T$44,$CU7,U$57),""),3,1)="隔",IF(U$58=0,LEFT(IFERROR(INDEX(醫師週班表!$C$5:$T$44,$CU7,U$57),""),1),""),IF(MID(IFERROR(INDEX(醫師週班表!$C$5:$T$44,$CU7,U$57),""),2,1)="(",LEFT(IFERROR(INDEX(醫師週班表!$C$5:$T$44,$CU7,U$57),""),1),IFERROR(INDEX(醫師週班表!$C$5:$T$44,$CU7,U$57),"")))))))</f>
        <v/>
      </c>
      <c r="V7" s="72">
        <f>IF(V$59="X","",IF(V$59&lt;&gt;"",V$59,IF(IFERROR(INDEX(醫師週班表!$C$5:$T$44,$CU7,V$57),"")=0,"",IF(MID(IFERROR(INDEX(醫師週班表!$C$5:$T$44,$CU7,V$57),""),2,1)="/",MID(IFERROR(INDEX(醫師週班表!$C$5:$T$44,$CU7,V$57),""),1+V$58*2,1),IF(MID(IFERROR(INDEX(醫師週班表!$C$5:$T$44,$CU7,V$57),""),3,1)="隔",IF(V$58=0,LEFT(IFERROR(INDEX(醫師週班表!$C$5:$T$44,$CU7,V$57),""),1),""),IF(MID(IFERROR(INDEX(醫師週班表!$C$5:$T$44,$CU7,V$57),""),2,1)="(",LEFT(IFERROR(INDEX(醫師週班表!$C$5:$T$44,$CU7,V$57),""),1),IFERROR(INDEX(醫師週班表!$C$5:$T$44,$CU7,V$57),"")))))))</f>
        <v/>
      </c>
      <c r="W7" s="71">
        <f>IF(W$59="X","",IF(W$59&lt;&gt;"",W$59,IF(IFERROR(INDEX(醫師週班表!$C$5:$T$44,$CU7,W$57),"")=0,"",IF(MID(IFERROR(INDEX(醫師週班表!$C$5:$T$44,$CU7,W$57),""),2,1)="/",MID(IFERROR(INDEX(醫師週班表!$C$5:$T$44,$CU7,W$57),""),1+W$58*2,1),IF(MID(IFERROR(INDEX(醫師週班表!$C$5:$T$44,$CU7,W$57),""),3,1)="隔",IF(W$58=0,LEFT(IFERROR(INDEX(醫師週班表!$C$5:$T$44,$CU7,W$57),""),1),""),IF(MID(IFERROR(INDEX(醫師週班表!$C$5:$T$44,$CU7,W$57),""),2,1)="(",LEFT(IFERROR(INDEX(醫師週班表!$C$5:$T$44,$CU7,W$57),""),1),IFERROR(INDEX(醫師週班表!$C$5:$T$44,$CU7,W$57),"")))))))</f>
        <v/>
      </c>
      <c r="X7" s="72">
        <f>IF(X$59="X","",IF(X$59&lt;&gt;"",X$59,IF(IFERROR(INDEX(醫師週班表!$C$5:$T$44,$CU7,X$57),"")=0,"",IF(MID(IFERROR(INDEX(醫師週班表!$C$5:$T$44,$CU7,X$57),""),2,1)="/",MID(IFERROR(INDEX(醫師週班表!$C$5:$T$44,$CU7,X$57),""),1+X$58*2,1),IF(MID(IFERROR(INDEX(醫師週班表!$C$5:$T$44,$CU7,X$57),""),3,1)="隔",IF(X$58=0,LEFT(IFERROR(INDEX(醫師週班表!$C$5:$T$44,$CU7,X$57),""),1),""),IF(MID(IFERROR(INDEX(醫師週班表!$C$5:$T$44,$CU7,X$57),""),2,1)="(",LEFT(IFERROR(INDEX(醫師週班表!$C$5:$T$44,$CU7,X$57),""),1),IFERROR(INDEX(醫師週班表!$C$5:$T$44,$CU7,X$57),"")))))))</f>
        <v/>
      </c>
      <c r="Y7" s="72">
        <f>IF(Y$59="X","",IF(Y$59&lt;&gt;"",Y$59,IF(IFERROR(INDEX(醫師週班表!$C$5:$T$44,$CU7,Y$57),"")=0,"",IF(MID(IFERROR(INDEX(醫師週班表!$C$5:$T$44,$CU7,Y$57),""),2,1)="/",MID(IFERROR(INDEX(醫師週班表!$C$5:$T$44,$CU7,Y$57),""),1+Y$58*2,1),IF(MID(IFERROR(INDEX(醫師週班表!$C$5:$T$44,$CU7,Y$57),""),3,1)="隔",IF(Y$58=0,LEFT(IFERROR(INDEX(醫師週班表!$C$5:$T$44,$CU7,Y$57),""),1),""),IF(MID(IFERROR(INDEX(醫師週班表!$C$5:$T$44,$CU7,Y$57),""),2,1)="(",LEFT(IFERROR(INDEX(醫師週班表!$C$5:$T$44,$CU7,Y$57),""),1),IFERROR(INDEX(醫師週班表!$C$5:$T$44,$CU7,Y$57),"")))))))</f>
        <v/>
      </c>
      <c r="Z7" s="71">
        <f>IF(Z$59="X","",IF(Z$59&lt;&gt;"",Z$59,IF(IFERROR(INDEX(醫師週班表!$C$5:$T$44,$CU7,Z$57),"")=0,"",IF(MID(IFERROR(INDEX(醫師週班表!$C$5:$T$44,$CU7,Z$57),""),2,1)="/",MID(IFERROR(INDEX(醫師週班表!$C$5:$T$44,$CU7,Z$57),""),1+Z$58*2,1),IF(MID(IFERROR(INDEX(醫師週班表!$C$5:$T$44,$CU7,Z$57),""),3,1)="隔",IF(Z$58=0,LEFT(IFERROR(INDEX(醫師週班表!$C$5:$T$44,$CU7,Z$57),""),1),""),IF(MID(IFERROR(INDEX(醫師週班表!$C$5:$T$44,$CU7,Z$57),""),2,1)="(",LEFT(IFERROR(INDEX(醫師週班表!$C$5:$T$44,$CU7,Z$57),""),1),IFERROR(INDEX(醫師週班表!$C$5:$T$44,$CU7,Z$57),"")))))))</f>
        <v/>
      </c>
      <c r="AA7" s="72">
        <f>IF(AA$59="X","",IF(AA$59&lt;&gt;"",AA$59,IF(IFERROR(INDEX(醫師週班表!$C$5:$T$44,$CU7,AA$57),"")=0,"",IF(MID(IFERROR(INDEX(醫師週班表!$C$5:$T$44,$CU7,AA$57),""),2,1)="/",MID(IFERROR(INDEX(醫師週班表!$C$5:$T$44,$CU7,AA$57),""),1+AA$58*2,1),IF(MID(IFERROR(INDEX(醫師週班表!$C$5:$T$44,$CU7,AA$57),""),3,1)="隔",IF(AA$58=0,LEFT(IFERROR(INDEX(醫師週班表!$C$5:$T$44,$CU7,AA$57),""),1),""),IF(MID(IFERROR(INDEX(醫師週班表!$C$5:$T$44,$CU7,AA$57),""),2,1)="(",LEFT(IFERROR(INDEX(醫師週班表!$C$5:$T$44,$CU7,AA$57),""),1),IFERROR(INDEX(醫師週班表!$C$5:$T$44,$CU7,AA$57),"")))))))</f>
        <v/>
      </c>
      <c r="AB7" s="72">
        <f>IF(AB$59="X","",IF(AB$59&lt;&gt;"",AB$59,IF(IFERROR(INDEX(醫師週班表!$C$5:$T$44,$CU7,AB$57),"")=0,"",IF(MID(IFERROR(INDEX(醫師週班表!$C$5:$T$44,$CU7,AB$57),""),2,1)="/",MID(IFERROR(INDEX(醫師週班表!$C$5:$T$44,$CU7,AB$57),""),1+AB$58*2,1),IF(MID(IFERROR(INDEX(醫師週班表!$C$5:$T$44,$CU7,AB$57),""),3,1)="隔",IF(AB$58=0,LEFT(IFERROR(INDEX(醫師週班表!$C$5:$T$44,$CU7,AB$57),""),1),""),IF(MID(IFERROR(INDEX(醫師週班表!$C$5:$T$44,$CU7,AB$57),""),2,1)="(",LEFT(IFERROR(INDEX(醫師週班表!$C$5:$T$44,$CU7,AB$57),""),1),IFERROR(INDEX(醫師週班表!$C$5:$T$44,$CU7,AB$57),"")))))))</f>
        <v/>
      </c>
      <c r="AC7" s="71">
        <f>IF(AC$59="X","",IF(AC$59&lt;&gt;"",AC$59,IF(IFERROR(INDEX(醫師週班表!$C$5:$T$44,$CU7,AC$57),"")=0,"",IF(MID(IFERROR(INDEX(醫師週班表!$C$5:$T$44,$CU7,AC$57),""),2,1)="/",MID(IFERROR(INDEX(醫師週班表!$C$5:$T$44,$CU7,AC$57),""),1+AC$58*2,1),IF(MID(IFERROR(INDEX(醫師週班表!$C$5:$T$44,$CU7,AC$57),""),3,1)="隔",IF(AC$58=0,LEFT(IFERROR(INDEX(醫師週班表!$C$5:$T$44,$CU7,AC$57),""),1),""),IF(MID(IFERROR(INDEX(醫師週班表!$C$5:$T$44,$CU7,AC$57),""),2,1)="(",LEFT(IFERROR(INDEX(醫師週班表!$C$5:$T$44,$CU7,AC$57),""),1),IFERROR(INDEX(醫師週班表!$C$5:$T$44,$CU7,AC$57),"")))))))</f>
        <v/>
      </c>
      <c r="AD7" s="72">
        <f>IF(AD$59="X","",IF(AD$59&lt;&gt;"",AD$59,IF(IFERROR(INDEX(醫師週班表!$C$5:$T$44,$CU7,AD$57),"")=0,"",IF(MID(IFERROR(INDEX(醫師週班表!$C$5:$T$44,$CU7,AD$57),""),2,1)="/",MID(IFERROR(INDEX(醫師週班表!$C$5:$T$44,$CU7,AD$57),""),1+AD$58*2,1),IF(MID(IFERROR(INDEX(醫師週班表!$C$5:$T$44,$CU7,AD$57),""),3,1)="隔",IF(AD$58=0,LEFT(IFERROR(INDEX(醫師週班表!$C$5:$T$44,$CU7,AD$57),""),1),""),IF(MID(IFERROR(INDEX(醫師週班表!$C$5:$T$44,$CU7,AD$57),""),2,1)="(",LEFT(IFERROR(INDEX(醫師週班表!$C$5:$T$44,$CU7,AD$57),""),1),IFERROR(INDEX(醫師週班表!$C$5:$T$44,$CU7,AD$57),"")))))))</f>
        <v/>
      </c>
      <c r="AE7" s="72">
        <f>IF(AE$59="X","",IF(AE$59&lt;&gt;"",AE$59,IF(IFERROR(INDEX(醫師週班表!$C$5:$T$44,$CU7,AE$57),"")=0,"",IF(MID(IFERROR(INDEX(醫師週班表!$C$5:$T$44,$CU7,AE$57),""),2,1)="/",MID(IFERROR(INDEX(醫師週班表!$C$5:$T$44,$CU7,AE$57),""),1+AE$58*2,1),IF(MID(IFERROR(INDEX(醫師週班表!$C$5:$T$44,$CU7,AE$57),""),3,1)="隔",IF(AE$58=0,LEFT(IFERROR(INDEX(醫師週班表!$C$5:$T$44,$CU7,AE$57),""),1),""),IF(MID(IFERROR(INDEX(醫師週班表!$C$5:$T$44,$CU7,AE$57),""),2,1)="(",LEFT(IFERROR(INDEX(醫師週班表!$C$5:$T$44,$CU7,AE$57),""),1),IFERROR(INDEX(醫師週班表!$C$5:$T$44,$CU7,AE$57),"")))))))</f>
        <v/>
      </c>
      <c r="AF7" s="71">
        <f>IF(AF$59="X","",IF(AF$59&lt;&gt;"",AF$59,IF(IFERROR(INDEX(醫師週班表!$C$5:$T$44,$CU7,AF$57),"")=0,"",IF(MID(IFERROR(INDEX(醫師週班表!$C$5:$T$44,$CU7,AF$57),""),2,1)="/",MID(IFERROR(INDEX(醫師週班表!$C$5:$T$44,$CU7,AF$57),""),1+AF$58*2,1),IF(MID(IFERROR(INDEX(醫師週班表!$C$5:$T$44,$CU7,AF$57),""),3,1)="隔",IF(AF$58=0,LEFT(IFERROR(INDEX(醫師週班表!$C$5:$T$44,$CU7,AF$57),""),1),""),IF(MID(IFERROR(INDEX(醫師週班表!$C$5:$T$44,$CU7,AF$57),""),2,1)="(",LEFT(IFERROR(INDEX(醫師週班表!$C$5:$T$44,$CU7,AF$57),""),1),IFERROR(INDEX(醫師週班表!$C$5:$T$44,$CU7,AF$57),"")))))))</f>
        <v/>
      </c>
      <c r="AG7" s="72">
        <f>IF(AG$59="X","",IF(AG$59&lt;&gt;"",AG$59,IF(IFERROR(INDEX(醫師週班表!$C$5:$T$44,$CU7,AG$57),"")=0,"",IF(MID(IFERROR(INDEX(醫師週班表!$C$5:$T$44,$CU7,AG$57),""),2,1)="/",MID(IFERROR(INDEX(醫師週班表!$C$5:$T$44,$CU7,AG$57),""),1+AG$58*2,1),IF(MID(IFERROR(INDEX(醫師週班表!$C$5:$T$44,$CU7,AG$57),""),3,1)="隔",IF(AG$58=0,LEFT(IFERROR(INDEX(醫師週班表!$C$5:$T$44,$CU7,AG$57),""),1),""),IF(MID(IFERROR(INDEX(醫師週班表!$C$5:$T$44,$CU7,AG$57),""),2,1)="(",LEFT(IFERROR(INDEX(醫師週班表!$C$5:$T$44,$CU7,AG$57),""),1),IFERROR(INDEX(醫師週班表!$C$5:$T$44,$CU7,AG$57),"")))))))</f>
        <v/>
      </c>
      <c r="AH7" s="72">
        <f>IF(AH$59="X","",IF(AH$59&lt;&gt;"",AH$59,IF(IFERROR(INDEX(醫師週班表!$C$5:$T$44,$CU7,AH$57),"")=0,"",IF(MID(IFERROR(INDEX(醫師週班表!$C$5:$T$44,$CU7,AH$57),""),2,1)="/",MID(IFERROR(INDEX(醫師週班表!$C$5:$T$44,$CU7,AH$57),""),1+AH$58*2,1),IF(MID(IFERROR(INDEX(醫師週班表!$C$5:$T$44,$CU7,AH$57),""),3,1)="隔",IF(AH$58=0,LEFT(IFERROR(INDEX(醫師週班表!$C$5:$T$44,$CU7,AH$57),""),1),""),IF(MID(IFERROR(INDEX(醫師週班表!$C$5:$T$44,$CU7,AH$57),""),2,1)="(",LEFT(IFERROR(INDEX(醫師週班表!$C$5:$T$44,$CU7,AH$57),""),1),IFERROR(INDEX(醫師週班表!$C$5:$T$44,$CU7,AH$57),"")))))))</f>
        <v/>
      </c>
      <c r="AI7" s="71">
        <f>IF(AI$59="X","",IF(AI$59&lt;&gt;"",AI$59,IF(IFERROR(INDEX(醫師週班表!$C$5:$T$44,$CU7,AI$57),"")=0,"",IF(MID(IFERROR(INDEX(醫師週班表!$C$5:$T$44,$CU7,AI$57),""),2,1)="/",MID(IFERROR(INDEX(醫師週班表!$C$5:$T$44,$CU7,AI$57),""),1+AI$58*2,1),IF(MID(IFERROR(INDEX(醫師週班表!$C$5:$T$44,$CU7,AI$57),""),3,1)="隔",IF(AI$58=0,LEFT(IFERROR(INDEX(醫師週班表!$C$5:$T$44,$CU7,AI$57),""),1),""),IF(MID(IFERROR(INDEX(醫師週班表!$C$5:$T$44,$CU7,AI$57),""),2,1)="(",LEFT(IFERROR(INDEX(醫師週班表!$C$5:$T$44,$CU7,AI$57),""),1),IFERROR(INDEX(醫師週班表!$C$5:$T$44,$CU7,AI$57),"")))))))</f>
        <v/>
      </c>
      <c r="AJ7" s="72">
        <f>IF(AJ$59="X","",IF(AJ$59&lt;&gt;"",AJ$59,IF(IFERROR(INDEX(醫師週班表!$C$5:$T$44,$CU7,AJ$57),"")=0,"",IF(MID(IFERROR(INDEX(醫師週班表!$C$5:$T$44,$CU7,AJ$57),""),2,1)="/",MID(IFERROR(INDEX(醫師週班表!$C$5:$T$44,$CU7,AJ$57),""),1+AJ$58*2,1),IF(MID(IFERROR(INDEX(醫師週班表!$C$5:$T$44,$CU7,AJ$57),""),3,1)="隔",IF(AJ$58=0,LEFT(IFERROR(INDEX(醫師週班表!$C$5:$T$44,$CU7,AJ$57),""),1),""),IF(MID(IFERROR(INDEX(醫師週班表!$C$5:$T$44,$CU7,AJ$57),""),2,1)="(",LEFT(IFERROR(INDEX(醫師週班表!$C$5:$T$44,$CU7,AJ$57),""),1),IFERROR(INDEX(醫師週班表!$C$5:$T$44,$CU7,AJ$57),"")))))))</f>
        <v/>
      </c>
      <c r="AK7" s="72">
        <f>IF(AK$59="X","",IF(AK$59&lt;&gt;"",AK$59,IF(IFERROR(INDEX(醫師週班表!$C$5:$T$44,$CU7,AK$57),"")=0,"",IF(MID(IFERROR(INDEX(醫師週班表!$C$5:$T$44,$CU7,AK$57),""),2,1)="/",MID(IFERROR(INDEX(醫師週班表!$C$5:$T$44,$CU7,AK$57),""),1+AK$58*2,1),IF(MID(IFERROR(INDEX(醫師週班表!$C$5:$T$44,$CU7,AK$57),""),3,1)="隔",IF(AK$58=0,LEFT(IFERROR(INDEX(醫師週班表!$C$5:$T$44,$CU7,AK$57),""),1),""),IF(MID(IFERROR(INDEX(醫師週班表!$C$5:$T$44,$CU7,AK$57),""),2,1)="(",LEFT(IFERROR(INDEX(醫師週班表!$C$5:$T$44,$CU7,AK$57),""),1),IFERROR(INDEX(醫師週班表!$C$5:$T$44,$CU7,AK$57),"")))))))</f>
        <v/>
      </c>
      <c r="AL7" s="71">
        <f>IF(AL$59="X","",IF(AL$59&lt;&gt;"",AL$59,IF(IFERROR(INDEX(醫師週班表!$C$5:$T$44,$CU7,AL$57),"")=0,"",IF(MID(IFERROR(INDEX(醫師週班表!$C$5:$T$44,$CU7,AL$57),""),2,1)="/",MID(IFERROR(INDEX(醫師週班表!$C$5:$T$44,$CU7,AL$57),""),1+AL$58*2,1),IF(MID(IFERROR(INDEX(醫師週班表!$C$5:$T$44,$CU7,AL$57),""),3,1)="隔",IF(AL$58=0,LEFT(IFERROR(INDEX(醫師週班表!$C$5:$T$44,$CU7,AL$57),""),1),""),IF(MID(IFERROR(INDEX(醫師週班表!$C$5:$T$44,$CU7,AL$57),""),2,1)="(",LEFT(IFERROR(INDEX(醫師週班表!$C$5:$T$44,$CU7,AL$57),""),1),IFERROR(INDEX(醫師週班表!$C$5:$T$44,$CU7,AL$57),"")))))))</f>
        <v/>
      </c>
      <c r="AM7" s="72">
        <f>IF(AM$59="X","",IF(AM$59&lt;&gt;"",AM$59,IF(IFERROR(INDEX(醫師週班表!$C$5:$T$44,$CU7,AM$57),"")=0,"",IF(MID(IFERROR(INDEX(醫師週班表!$C$5:$T$44,$CU7,AM$57),""),2,1)="/",MID(IFERROR(INDEX(醫師週班表!$C$5:$T$44,$CU7,AM$57),""),1+AM$58*2,1),IF(MID(IFERROR(INDEX(醫師週班表!$C$5:$T$44,$CU7,AM$57),""),3,1)="隔",IF(AM$58=0,LEFT(IFERROR(INDEX(醫師週班表!$C$5:$T$44,$CU7,AM$57),""),1),""),IF(MID(IFERROR(INDEX(醫師週班表!$C$5:$T$44,$CU7,AM$57),""),2,1)="(",LEFT(IFERROR(INDEX(醫師週班表!$C$5:$T$44,$CU7,AM$57),""),1),IFERROR(INDEX(醫師週班表!$C$5:$T$44,$CU7,AM$57),"")))))))</f>
        <v/>
      </c>
      <c r="AN7" s="72">
        <f>IF(AN$59="X","",IF(AN$59&lt;&gt;"",AN$59,IF(IFERROR(INDEX(醫師週班表!$C$5:$T$44,$CU7,AN$57),"")=0,"",IF(MID(IFERROR(INDEX(醫師週班表!$C$5:$T$44,$CU7,AN$57),""),2,1)="/",MID(IFERROR(INDEX(醫師週班表!$C$5:$T$44,$CU7,AN$57),""),1+AN$58*2,1),IF(MID(IFERROR(INDEX(醫師週班表!$C$5:$T$44,$CU7,AN$57),""),3,1)="隔",IF(AN$58=0,LEFT(IFERROR(INDEX(醫師週班表!$C$5:$T$44,$CU7,AN$57),""),1),""),IF(MID(IFERROR(INDEX(醫師週班表!$C$5:$T$44,$CU7,AN$57),""),2,1)="(",LEFT(IFERROR(INDEX(醫師週班表!$C$5:$T$44,$CU7,AN$57),""),1),IFERROR(INDEX(醫師週班表!$C$5:$T$44,$CU7,AN$57),"")))))))</f>
        <v/>
      </c>
      <c r="AO7" s="71">
        <f>IF(AO$59="X","",IF(AO$59&lt;&gt;"",AO$59,IF(IFERROR(INDEX(醫師週班表!$C$5:$T$44,$CU7,AO$57),"")=0,"",IF(MID(IFERROR(INDEX(醫師週班表!$C$5:$T$44,$CU7,AO$57),""),2,1)="/",MID(IFERROR(INDEX(醫師週班表!$C$5:$T$44,$CU7,AO$57),""),1+AO$58*2,1),IF(MID(IFERROR(INDEX(醫師週班表!$C$5:$T$44,$CU7,AO$57),""),3,1)="隔",IF(AO$58=0,LEFT(IFERROR(INDEX(醫師週班表!$C$5:$T$44,$CU7,AO$57),""),1),""),IF(MID(IFERROR(INDEX(醫師週班表!$C$5:$T$44,$CU7,AO$57),""),2,1)="(",LEFT(IFERROR(INDEX(醫師週班表!$C$5:$T$44,$CU7,AO$57),""),1),IFERROR(INDEX(醫師週班表!$C$5:$T$44,$CU7,AO$57),"")))))))</f>
        <v/>
      </c>
      <c r="AP7" s="72">
        <f>IF(AP$59="X","",IF(AP$59&lt;&gt;"",AP$59,IF(IFERROR(INDEX(醫師週班表!$C$5:$T$44,$CU7,AP$57),"")=0,"",IF(MID(IFERROR(INDEX(醫師週班表!$C$5:$T$44,$CU7,AP$57),""),2,1)="/",MID(IFERROR(INDEX(醫師週班表!$C$5:$T$44,$CU7,AP$57),""),1+AP$58*2,1),IF(MID(IFERROR(INDEX(醫師週班表!$C$5:$T$44,$CU7,AP$57),""),3,1)="隔",IF(AP$58=0,LEFT(IFERROR(INDEX(醫師週班表!$C$5:$T$44,$CU7,AP$57),""),1),""),IF(MID(IFERROR(INDEX(醫師週班表!$C$5:$T$44,$CU7,AP$57),""),2,1)="(",LEFT(IFERROR(INDEX(醫師週班表!$C$5:$T$44,$CU7,AP$57),""),1),IFERROR(INDEX(醫師週班表!$C$5:$T$44,$CU7,AP$57),"")))))))</f>
        <v/>
      </c>
      <c r="AQ7" s="72">
        <f>IF(AQ$59="X","",IF(AQ$59&lt;&gt;"",AQ$59,IF(IFERROR(INDEX(醫師週班表!$C$5:$T$44,$CU7,AQ$57),"")=0,"",IF(MID(IFERROR(INDEX(醫師週班表!$C$5:$T$44,$CU7,AQ$57),""),2,1)="/",MID(IFERROR(INDEX(醫師週班表!$C$5:$T$44,$CU7,AQ$57),""),1+AQ$58*2,1),IF(MID(IFERROR(INDEX(醫師週班表!$C$5:$T$44,$CU7,AQ$57),""),3,1)="隔",IF(AQ$58=0,LEFT(IFERROR(INDEX(醫師週班表!$C$5:$T$44,$CU7,AQ$57),""),1),""),IF(MID(IFERROR(INDEX(醫師週班表!$C$5:$T$44,$CU7,AQ$57),""),2,1)="(",LEFT(IFERROR(INDEX(醫師週班表!$C$5:$T$44,$CU7,AQ$57),""),1),IFERROR(INDEX(醫師週班表!$C$5:$T$44,$CU7,AQ$57),"")))))))</f>
        <v/>
      </c>
      <c r="AR7" s="71">
        <f>IF(AR$59="X","",IF(AR$59&lt;&gt;"",AR$59,IF(IFERROR(INDEX(醫師週班表!$C$5:$T$44,$CU7,AR$57),"")=0,"",IF(MID(IFERROR(INDEX(醫師週班表!$C$5:$T$44,$CU7,AR$57),""),2,1)="/",MID(IFERROR(INDEX(醫師週班表!$C$5:$T$44,$CU7,AR$57),""),1+AR$58*2,1),IF(MID(IFERROR(INDEX(醫師週班表!$C$5:$T$44,$CU7,AR$57),""),3,1)="隔",IF(AR$58=0,LEFT(IFERROR(INDEX(醫師週班表!$C$5:$T$44,$CU7,AR$57),""),1),""),IF(MID(IFERROR(INDEX(醫師週班表!$C$5:$T$44,$CU7,AR$57),""),2,1)="(",LEFT(IFERROR(INDEX(醫師週班表!$C$5:$T$44,$CU7,AR$57),""),1),IFERROR(INDEX(醫師週班表!$C$5:$T$44,$CU7,AR$57),"")))))))</f>
        <v/>
      </c>
      <c r="AS7" s="72">
        <f>IF(AS$59="X","",IF(AS$59&lt;&gt;"",AS$59,IF(IFERROR(INDEX(醫師週班表!$C$5:$T$44,$CU7,AS$57),"")=0,"",IF(MID(IFERROR(INDEX(醫師週班表!$C$5:$T$44,$CU7,AS$57),""),2,1)="/",MID(IFERROR(INDEX(醫師週班表!$C$5:$T$44,$CU7,AS$57),""),1+AS$58*2,1),IF(MID(IFERROR(INDEX(醫師週班表!$C$5:$T$44,$CU7,AS$57),""),3,1)="隔",IF(AS$58=0,LEFT(IFERROR(INDEX(醫師週班表!$C$5:$T$44,$CU7,AS$57),""),1),""),IF(MID(IFERROR(INDEX(醫師週班表!$C$5:$T$44,$CU7,AS$57),""),2,1)="(",LEFT(IFERROR(INDEX(醫師週班表!$C$5:$T$44,$CU7,AS$57),""),1),IFERROR(INDEX(醫師週班表!$C$5:$T$44,$CU7,AS$57),"")))))))</f>
        <v/>
      </c>
      <c r="AT7" s="72">
        <f>IF(AT$59="X","",IF(AT$59&lt;&gt;"",AT$59,IF(IFERROR(INDEX(醫師週班表!$C$5:$T$44,$CU7,AT$57),"")=0,"",IF(MID(IFERROR(INDEX(醫師週班表!$C$5:$T$44,$CU7,AT$57),""),2,1)="/",MID(IFERROR(INDEX(醫師週班表!$C$5:$T$44,$CU7,AT$57),""),1+AT$58*2,1),IF(MID(IFERROR(INDEX(醫師週班表!$C$5:$T$44,$CU7,AT$57),""),3,1)="隔",IF(AT$58=0,LEFT(IFERROR(INDEX(醫師週班表!$C$5:$T$44,$CU7,AT$57),""),1),""),IF(MID(IFERROR(INDEX(醫師週班表!$C$5:$T$44,$CU7,AT$57),""),2,1)="(",LEFT(IFERROR(INDEX(醫師週班表!$C$5:$T$44,$CU7,AT$57),""),1),IFERROR(INDEX(醫師週班表!$C$5:$T$44,$CU7,AT$57),"")))))))</f>
        <v/>
      </c>
      <c r="AU7" s="71">
        <f>IF(AU$59="X","",IF(AU$59&lt;&gt;"",AU$59,IF(IFERROR(INDEX(醫師週班表!$C$5:$T$44,$CU7,AU$57),"")=0,"",IF(MID(IFERROR(INDEX(醫師週班表!$C$5:$T$44,$CU7,AU$57),""),2,1)="/",MID(IFERROR(INDEX(醫師週班表!$C$5:$T$44,$CU7,AU$57),""),1+AU$58*2,1),IF(MID(IFERROR(INDEX(醫師週班表!$C$5:$T$44,$CU7,AU$57),""),3,1)="隔",IF(AU$58=0,LEFT(IFERROR(INDEX(醫師週班表!$C$5:$T$44,$CU7,AU$57),""),1),""),IF(MID(IFERROR(INDEX(醫師週班表!$C$5:$T$44,$CU7,AU$57),""),2,1)="(",LEFT(IFERROR(INDEX(醫師週班表!$C$5:$T$44,$CU7,AU$57),""),1),IFERROR(INDEX(醫師週班表!$C$5:$T$44,$CU7,AU$57),"")))))))</f>
        <v/>
      </c>
      <c r="AV7" s="72">
        <f>IF(AV$59="X","",IF(AV$59&lt;&gt;"",AV$59,IF(IFERROR(INDEX(醫師週班表!$C$5:$T$44,$CU7,AV$57),"")=0,"",IF(MID(IFERROR(INDEX(醫師週班表!$C$5:$T$44,$CU7,AV$57),""),2,1)="/",MID(IFERROR(INDEX(醫師週班表!$C$5:$T$44,$CU7,AV$57),""),1+AV$58*2,1),IF(MID(IFERROR(INDEX(醫師週班表!$C$5:$T$44,$CU7,AV$57),""),3,1)="隔",IF(AV$58=0,LEFT(IFERROR(INDEX(醫師週班表!$C$5:$T$44,$CU7,AV$57),""),1),""),IF(MID(IFERROR(INDEX(醫師週班表!$C$5:$T$44,$CU7,AV$57),""),2,1)="(",LEFT(IFERROR(INDEX(醫師週班表!$C$5:$T$44,$CU7,AV$57),""),1),IFERROR(INDEX(醫師週班表!$C$5:$T$44,$CU7,AV$57),"")))))))</f>
        <v/>
      </c>
      <c r="AW7" s="72">
        <f>IF(AW$59="X","",IF(AW$59&lt;&gt;"",AW$59,IF(IFERROR(INDEX(醫師週班表!$C$5:$T$44,$CU7,AW$57),"")=0,"",IF(MID(IFERROR(INDEX(醫師週班表!$C$5:$T$44,$CU7,AW$57),""),2,1)="/",MID(IFERROR(INDEX(醫師週班表!$C$5:$T$44,$CU7,AW$57),""),1+AW$58*2,1),IF(MID(IFERROR(INDEX(醫師週班表!$C$5:$T$44,$CU7,AW$57),""),3,1)="隔",IF(AW$58=0,LEFT(IFERROR(INDEX(醫師週班表!$C$5:$T$44,$CU7,AW$57),""),1),""),IF(MID(IFERROR(INDEX(醫師週班表!$C$5:$T$44,$CU7,AW$57),""),2,1)="(",LEFT(IFERROR(INDEX(醫師週班表!$C$5:$T$44,$CU7,AW$57),""),1),IFERROR(INDEX(醫師週班表!$C$5:$T$44,$CU7,AW$57),"")))))))</f>
        <v/>
      </c>
      <c r="AX7" s="71">
        <f>IF(AX$59="X","",IF(AX$59&lt;&gt;"",AX$59,IF(IFERROR(INDEX(醫師週班表!$C$5:$T$44,$CU7,AX$57),"")=0,"",IF(MID(IFERROR(INDEX(醫師週班表!$C$5:$T$44,$CU7,AX$57),""),2,1)="/",MID(IFERROR(INDEX(醫師週班表!$C$5:$T$44,$CU7,AX$57),""),1+AX$58*2,1),IF(MID(IFERROR(INDEX(醫師週班表!$C$5:$T$44,$CU7,AX$57),""),3,1)="隔",IF(AX$58=0,LEFT(IFERROR(INDEX(醫師週班表!$C$5:$T$44,$CU7,AX$57),""),1),""),IF(MID(IFERROR(INDEX(醫師週班表!$C$5:$T$44,$CU7,AX$57),""),2,1)="(",LEFT(IFERROR(INDEX(醫師週班表!$C$5:$T$44,$CU7,AX$57),""),1),IFERROR(INDEX(醫師週班表!$C$5:$T$44,$CU7,AX$57),"")))))))</f>
        <v/>
      </c>
      <c r="AY7" s="72">
        <f>IF(AY$59="X","",IF(AY$59&lt;&gt;"",AY$59,IF(IFERROR(INDEX(醫師週班表!$C$5:$T$44,$CU7,AY$57),"")=0,"",IF(MID(IFERROR(INDEX(醫師週班表!$C$5:$T$44,$CU7,AY$57),""),2,1)="/",MID(IFERROR(INDEX(醫師週班表!$C$5:$T$44,$CU7,AY$57),""),1+AY$58*2,1),IF(MID(IFERROR(INDEX(醫師週班表!$C$5:$T$44,$CU7,AY$57),""),3,1)="隔",IF(AY$58=0,LEFT(IFERROR(INDEX(醫師週班表!$C$5:$T$44,$CU7,AY$57),""),1),""),IF(MID(IFERROR(INDEX(醫師週班表!$C$5:$T$44,$CU7,AY$57),""),2,1)="(",LEFT(IFERROR(INDEX(醫師週班表!$C$5:$T$44,$CU7,AY$57),""),1),IFERROR(INDEX(醫師週班表!$C$5:$T$44,$CU7,AY$57),"")))))))</f>
        <v/>
      </c>
      <c r="AZ7" s="72">
        <f>IF(AZ$59="X","",IF(AZ$59&lt;&gt;"",AZ$59,IF(IFERROR(INDEX(醫師週班表!$C$5:$T$44,$CU7,AZ$57),"")=0,"",IF(MID(IFERROR(INDEX(醫師週班表!$C$5:$T$44,$CU7,AZ$57),""),2,1)="/",MID(IFERROR(INDEX(醫師週班表!$C$5:$T$44,$CU7,AZ$57),""),1+AZ$58*2,1),IF(MID(IFERROR(INDEX(醫師週班表!$C$5:$T$44,$CU7,AZ$57),""),3,1)="隔",IF(AZ$58=0,LEFT(IFERROR(INDEX(醫師週班表!$C$5:$T$44,$CU7,AZ$57),""),1),""),IF(MID(IFERROR(INDEX(醫師週班表!$C$5:$T$44,$CU7,AZ$57),""),2,1)="(",LEFT(IFERROR(INDEX(醫師週班表!$C$5:$T$44,$CU7,AZ$57),""),1),IFERROR(INDEX(醫師週班表!$C$5:$T$44,$CU7,AZ$57),"")))))))</f>
        <v/>
      </c>
      <c r="BA7" s="71">
        <f>IF(BA$59="X","",IF(BA$59&lt;&gt;"",BA$59,IF(IFERROR(INDEX(醫師週班表!$C$5:$T$44,$CU7,BA$57),"")=0,"",IF(MID(IFERROR(INDEX(醫師週班表!$C$5:$T$44,$CU7,BA$57),""),2,1)="/",MID(IFERROR(INDEX(醫師週班表!$C$5:$T$44,$CU7,BA$57),""),1+BA$58*2,1),IF(MID(IFERROR(INDEX(醫師週班表!$C$5:$T$44,$CU7,BA$57),""),3,1)="隔",IF(BA$58=0,LEFT(IFERROR(INDEX(醫師週班表!$C$5:$T$44,$CU7,BA$57),""),1),""),IF(MID(IFERROR(INDEX(醫師週班表!$C$5:$T$44,$CU7,BA$57),""),2,1)="(",LEFT(IFERROR(INDEX(醫師週班表!$C$5:$T$44,$CU7,BA$57),""),1),IFERROR(INDEX(醫師週班表!$C$5:$T$44,$CU7,BA$57),"")))))))</f>
        <v/>
      </c>
      <c r="BB7" s="72">
        <f>IF(BB$59="X","",IF(BB$59&lt;&gt;"",BB$59,IF(IFERROR(INDEX(醫師週班表!$C$5:$T$44,$CU7,BB$57),"")=0,"",IF(MID(IFERROR(INDEX(醫師週班表!$C$5:$T$44,$CU7,BB$57),""),2,1)="/",MID(IFERROR(INDEX(醫師週班表!$C$5:$T$44,$CU7,BB$57),""),1+BB$58*2,1),IF(MID(IFERROR(INDEX(醫師週班表!$C$5:$T$44,$CU7,BB$57),""),3,1)="隔",IF(BB$58=0,LEFT(IFERROR(INDEX(醫師週班表!$C$5:$T$44,$CU7,BB$57),""),1),""),IF(MID(IFERROR(INDEX(醫師週班表!$C$5:$T$44,$CU7,BB$57),""),2,1)="(",LEFT(IFERROR(INDEX(醫師週班表!$C$5:$T$44,$CU7,BB$57),""),1),IFERROR(INDEX(醫師週班表!$C$5:$T$44,$CU7,BB$57),"")))))))</f>
        <v/>
      </c>
      <c r="BC7" s="72">
        <f>IF(BC$59="X","",IF(BC$59&lt;&gt;"",BC$59,IF(IFERROR(INDEX(醫師週班表!$C$5:$T$44,$CU7,BC$57),"")=0,"",IF(MID(IFERROR(INDEX(醫師週班表!$C$5:$T$44,$CU7,BC$57),""),2,1)="/",MID(IFERROR(INDEX(醫師週班表!$C$5:$T$44,$CU7,BC$57),""),1+BC$58*2,1),IF(MID(IFERROR(INDEX(醫師週班表!$C$5:$T$44,$CU7,BC$57),""),3,1)="隔",IF(BC$58=0,LEFT(IFERROR(INDEX(醫師週班表!$C$5:$T$44,$CU7,BC$57),""),1),""),IF(MID(IFERROR(INDEX(醫師週班表!$C$5:$T$44,$CU7,BC$57),""),2,1)="(",LEFT(IFERROR(INDEX(醫師週班表!$C$5:$T$44,$CU7,BC$57),""),1),IFERROR(INDEX(醫師週班表!$C$5:$T$44,$CU7,BC$57),"")))))))</f>
        <v/>
      </c>
      <c r="BD7" s="71">
        <f>IF(BD$59="X","",IF(BD$59&lt;&gt;"",BD$59,IF(IFERROR(INDEX(醫師週班表!$C$5:$T$44,$CU7,BD$57),"")=0,"",IF(MID(IFERROR(INDEX(醫師週班表!$C$5:$T$44,$CU7,BD$57),""),2,1)="/",MID(IFERROR(INDEX(醫師週班表!$C$5:$T$44,$CU7,BD$57),""),1+BD$58*2,1),IF(MID(IFERROR(INDEX(醫師週班表!$C$5:$T$44,$CU7,BD$57),""),3,1)="隔",IF(BD$58=0,LEFT(IFERROR(INDEX(醫師週班表!$C$5:$T$44,$CU7,BD$57),""),1),""),IF(MID(IFERROR(INDEX(醫師週班表!$C$5:$T$44,$CU7,BD$57),""),2,1)="(",LEFT(IFERROR(INDEX(醫師週班表!$C$5:$T$44,$CU7,BD$57),""),1),IFERROR(INDEX(醫師週班表!$C$5:$T$44,$CU7,BD$57),"")))))))</f>
        <v/>
      </c>
      <c r="BE7" s="72">
        <f>IF(BE$59="X","",IF(BE$59&lt;&gt;"",BE$59,IF(IFERROR(INDEX(醫師週班表!$C$5:$T$44,$CU7,BE$57),"")=0,"",IF(MID(IFERROR(INDEX(醫師週班表!$C$5:$T$44,$CU7,BE$57),""),2,1)="/",MID(IFERROR(INDEX(醫師週班表!$C$5:$T$44,$CU7,BE$57),""),1+BE$58*2,1),IF(MID(IFERROR(INDEX(醫師週班表!$C$5:$T$44,$CU7,BE$57),""),3,1)="隔",IF(BE$58=0,LEFT(IFERROR(INDEX(醫師週班表!$C$5:$T$44,$CU7,BE$57),""),1),""),IF(MID(IFERROR(INDEX(醫師週班表!$C$5:$T$44,$CU7,BE$57),""),2,1)="(",LEFT(IFERROR(INDEX(醫師週班表!$C$5:$T$44,$CU7,BE$57),""),1),IFERROR(INDEX(醫師週班表!$C$5:$T$44,$CU7,BE$57),"")))))))</f>
        <v/>
      </c>
      <c r="BF7" s="72">
        <f>IF(BF$59="X","",IF(BF$59&lt;&gt;"",BF$59,IF(IFERROR(INDEX(醫師週班表!$C$5:$T$44,$CU7,BF$57),"")=0,"",IF(MID(IFERROR(INDEX(醫師週班表!$C$5:$T$44,$CU7,BF$57),""),2,1)="/",MID(IFERROR(INDEX(醫師週班表!$C$5:$T$44,$CU7,BF$57),""),1+BF$58*2,1),IF(MID(IFERROR(INDEX(醫師週班表!$C$5:$T$44,$CU7,BF$57),""),3,1)="隔",IF(BF$58=0,LEFT(IFERROR(INDEX(醫師週班表!$C$5:$T$44,$CU7,BF$57),""),1),""),IF(MID(IFERROR(INDEX(醫師週班表!$C$5:$T$44,$CU7,BF$57),""),2,1)="(",LEFT(IFERROR(INDEX(醫師週班表!$C$5:$T$44,$CU7,BF$57),""),1),IFERROR(INDEX(醫師週班表!$C$5:$T$44,$CU7,BF$57),"")))))))</f>
        <v/>
      </c>
      <c r="BG7" s="71">
        <f>IF(BG$59="X","",IF(BG$59&lt;&gt;"",BG$59,IF(IFERROR(INDEX(醫師週班表!$C$5:$T$44,$CU7,BG$57),"")=0,"",IF(MID(IFERROR(INDEX(醫師週班表!$C$5:$T$44,$CU7,BG$57),""),2,1)="/",MID(IFERROR(INDEX(醫師週班表!$C$5:$T$44,$CU7,BG$57),""),1+BG$58*2,1),IF(MID(IFERROR(INDEX(醫師週班表!$C$5:$T$44,$CU7,BG$57),""),3,1)="隔",IF(BG$58=0,LEFT(IFERROR(INDEX(醫師週班表!$C$5:$T$44,$CU7,BG$57),""),1),""),IF(MID(IFERROR(INDEX(醫師週班表!$C$5:$T$44,$CU7,BG$57),""),2,1)="(",LEFT(IFERROR(INDEX(醫師週班表!$C$5:$T$44,$CU7,BG$57),""),1),IFERROR(INDEX(醫師週班表!$C$5:$T$44,$CU7,BG$57),"")))))))</f>
        <v/>
      </c>
      <c r="BH7" s="72">
        <f>IF(BH$59="X","",IF(BH$59&lt;&gt;"",BH$59,IF(IFERROR(INDEX(醫師週班表!$C$5:$T$44,$CU7,BH$57),"")=0,"",IF(MID(IFERROR(INDEX(醫師週班表!$C$5:$T$44,$CU7,BH$57),""),2,1)="/",MID(IFERROR(INDEX(醫師週班表!$C$5:$T$44,$CU7,BH$57),""),1+BH$58*2,1),IF(MID(IFERROR(INDEX(醫師週班表!$C$5:$T$44,$CU7,BH$57),""),3,1)="隔",IF(BH$58=0,LEFT(IFERROR(INDEX(醫師週班表!$C$5:$T$44,$CU7,BH$57),""),1),""),IF(MID(IFERROR(INDEX(醫師週班表!$C$5:$T$44,$CU7,BH$57),""),2,1)="(",LEFT(IFERROR(INDEX(醫師週班表!$C$5:$T$44,$CU7,BH$57),""),1),IFERROR(INDEX(醫師週班表!$C$5:$T$44,$CU7,BH$57),"")))))))</f>
        <v/>
      </c>
      <c r="BI7" s="72">
        <f>IF(BI$59="X","",IF(BI$59&lt;&gt;"",BI$59,IF(IFERROR(INDEX(醫師週班表!$C$5:$T$44,$CU7,BI$57),"")=0,"",IF(MID(IFERROR(INDEX(醫師週班表!$C$5:$T$44,$CU7,BI$57),""),2,1)="/",MID(IFERROR(INDEX(醫師週班表!$C$5:$T$44,$CU7,BI$57),""),1+BI$58*2,1),IF(MID(IFERROR(INDEX(醫師週班表!$C$5:$T$44,$CU7,BI$57),""),3,1)="隔",IF(BI$58=0,LEFT(IFERROR(INDEX(醫師週班表!$C$5:$T$44,$CU7,BI$57),""),1),""),IF(MID(IFERROR(INDEX(醫師週班表!$C$5:$T$44,$CU7,BI$57),""),2,1)="(",LEFT(IFERROR(INDEX(醫師週班表!$C$5:$T$44,$CU7,BI$57),""),1),IFERROR(INDEX(醫師週班表!$C$5:$T$44,$CU7,BI$57),"")))))))</f>
        <v/>
      </c>
      <c r="BJ7" s="71">
        <f>IF(BJ$59="X","",IF(BJ$59&lt;&gt;"",BJ$59,IF(IFERROR(INDEX(醫師週班表!$C$5:$T$44,$CU7,BJ$57),"")=0,"",IF(MID(IFERROR(INDEX(醫師週班表!$C$5:$T$44,$CU7,BJ$57),""),2,1)="/",MID(IFERROR(INDEX(醫師週班表!$C$5:$T$44,$CU7,BJ$57),""),1+BJ$58*2,1),IF(MID(IFERROR(INDEX(醫師週班表!$C$5:$T$44,$CU7,BJ$57),""),3,1)="隔",IF(BJ$58=0,LEFT(IFERROR(INDEX(醫師週班表!$C$5:$T$44,$CU7,BJ$57),""),1),""),IF(MID(IFERROR(INDEX(醫師週班表!$C$5:$T$44,$CU7,BJ$57),""),2,1)="(",LEFT(IFERROR(INDEX(醫師週班表!$C$5:$T$44,$CU7,BJ$57),""),1),IFERROR(INDEX(醫師週班表!$C$5:$T$44,$CU7,BJ$57),"")))))))</f>
        <v/>
      </c>
      <c r="BK7" s="72">
        <f>IF(BK$59="X","",IF(BK$59&lt;&gt;"",BK$59,IF(IFERROR(INDEX(醫師週班表!$C$5:$T$44,$CU7,BK$57),"")=0,"",IF(MID(IFERROR(INDEX(醫師週班表!$C$5:$T$44,$CU7,BK$57),""),2,1)="/",MID(IFERROR(INDEX(醫師週班表!$C$5:$T$44,$CU7,BK$57),""),1+BK$58*2,1),IF(MID(IFERROR(INDEX(醫師週班表!$C$5:$T$44,$CU7,BK$57),""),3,1)="隔",IF(BK$58=0,LEFT(IFERROR(INDEX(醫師週班表!$C$5:$T$44,$CU7,BK$57),""),1),""),IF(MID(IFERROR(INDEX(醫師週班表!$C$5:$T$44,$CU7,BK$57),""),2,1)="(",LEFT(IFERROR(INDEX(醫師週班表!$C$5:$T$44,$CU7,BK$57),""),1),IFERROR(INDEX(醫師週班表!$C$5:$T$44,$CU7,BK$57),"")))))))</f>
        <v/>
      </c>
      <c r="BL7" s="72">
        <f>IF(BL$59="X","",IF(BL$59&lt;&gt;"",BL$59,IF(IFERROR(INDEX(醫師週班表!$C$5:$T$44,$CU7,BL$57),"")=0,"",IF(MID(IFERROR(INDEX(醫師週班表!$C$5:$T$44,$CU7,BL$57),""),2,1)="/",MID(IFERROR(INDEX(醫師週班表!$C$5:$T$44,$CU7,BL$57),""),1+BL$58*2,1),IF(MID(IFERROR(INDEX(醫師週班表!$C$5:$T$44,$CU7,BL$57),""),3,1)="隔",IF(BL$58=0,LEFT(IFERROR(INDEX(醫師週班表!$C$5:$T$44,$CU7,BL$57),""),1),""),IF(MID(IFERROR(INDEX(醫師週班表!$C$5:$T$44,$CU7,BL$57),""),2,1)="(",LEFT(IFERROR(INDEX(醫師週班表!$C$5:$T$44,$CU7,BL$57),""),1),IFERROR(INDEX(醫師週班表!$C$5:$T$44,$CU7,BL$57),"")))))))</f>
        <v/>
      </c>
      <c r="BM7" s="71">
        <f>IF(BM$59="X","",IF(BM$59&lt;&gt;"",BM$59,IF(IFERROR(INDEX(醫師週班表!$C$5:$T$44,$CU7,BM$57),"")=0,"",IF(MID(IFERROR(INDEX(醫師週班表!$C$5:$T$44,$CU7,BM$57),""),2,1)="/",MID(IFERROR(INDEX(醫師週班表!$C$5:$T$44,$CU7,BM$57),""),1+BM$58*2,1),IF(MID(IFERROR(INDEX(醫師週班表!$C$5:$T$44,$CU7,BM$57),""),3,1)="隔",IF(BM$58=0,LEFT(IFERROR(INDEX(醫師週班表!$C$5:$T$44,$CU7,BM$57),""),1),""),IF(MID(IFERROR(INDEX(醫師週班表!$C$5:$T$44,$CU7,BM$57),""),2,1)="(",LEFT(IFERROR(INDEX(醫師週班表!$C$5:$T$44,$CU7,BM$57),""),1),IFERROR(INDEX(醫師週班表!$C$5:$T$44,$CU7,BM$57),"")))))))</f>
        <v/>
      </c>
      <c r="BN7" s="72">
        <f>IF(BN$59="X","",IF(BN$59&lt;&gt;"",BN$59,IF(IFERROR(INDEX(醫師週班表!$C$5:$T$44,$CU7,BN$57),"")=0,"",IF(MID(IFERROR(INDEX(醫師週班表!$C$5:$T$44,$CU7,BN$57),""),2,1)="/",MID(IFERROR(INDEX(醫師週班表!$C$5:$T$44,$CU7,BN$57),""),1+BN$58*2,1),IF(MID(IFERROR(INDEX(醫師週班表!$C$5:$T$44,$CU7,BN$57),""),3,1)="隔",IF(BN$58=0,LEFT(IFERROR(INDEX(醫師週班表!$C$5:$T$44,$CU7,BN$57),""),1),""),IF(MID(IFERROR(INDEX(醫師週班表!$C$5:$T$44,$CU7,BN$57),""),2,1)="(",LEFT(IFERROR(INDEX(醫師週班表!$C$5:$T$44,$CU7,BN$57),""),1),IFERROR(INDEX(醫師週班表!$C$5:$T$44,$CU7,BN$57),"")))))))</f>
        <v/>
      </c>
      <c r="BO7" s="72">
        <f>IF(BO$59="X","",IF(BO$59&lt;&gt;"",BO$59,IF(IFERROR(INDEX(醫師週班表!$C$5:$T$44,$CU7,BO$57),"")=0,"",IF(MID(IFERROR(INDEX(醫師週班表!$C$5:$T$44,$CU7,BO$57),""),2,1)="/",MID(IFERROR(INDEX(醫師週班表!$C$5:$T$44,$CU7,BO$57),""),1+BO$58*2,1),IF(MID(IFERROR(INDEX(醫師週班表!$C$5:$T$44,$CU7,BO$57),""),3,1)="隔",IF(BO$58=0,LEFT(IFERROR(INDEX(醫師週班表!$C$5:$T$44,$CU7,BO$57),""),1),""),IF(MID(IFERROR(INDEX(醫師週班表!$C$5:$T$44,$CU7,BO$57),""),2,1)="(",LEFT(IFERROR(INDEX(醫師週班表!$C$5:$T$44,$CU7,BO$57),""),1),IFERROR(INDEX(醫師週班表!$C$5:$T$44,$CU7,BO$57),"")))))))</f>
        <v/>
      </c>
      <c r="BP7" s="71">
        <f>IF(BP$59="X","",IF(BP$59&lt;&gt;"",BP$59,IF(IFERROR(INDEX(醫師週班表!$C$5:$T$44,$CU7,BP$57),"")=0,"",IF(MID(IFERROR(INDEX(醫師週班表!$C$5:$T$44,$CU7,BP$57),""),2,1)="/",MID(IFERROR(INDEX(醫師週班表!$C$5:$T$44,$CU7,BP$57),""),1+BP$58*2,1),IF(MID(IFERROR(INDEX(醫師週班表!$C$5:$T$44,$CU7,BP$57),""),3,1)="隔",IF(BP$58=0,LEFT(IFERROR(INDEX(醫師週班表!$C$5:$T$44,$CU7,BP$57),""),1),""),IF(MID(IFERROR(INDEX(醫師週班表!$C$5:$T$44,$CU7,BP$57),""),2,1)="(",LEFT(IFERROR(INDEX(醫師週班表!$C$5:$T$44,$CU7,BP$57),""),1),IFERROR(INDEX(醫師週班表!$C$5:$T$44,$CU7,BP$57),"")))))))</f>
        <v/>
      </c>
      <c r="BQ7" s="72">
        <f>IF(BQ$59="X","",IF(BQ$59&lt;&gt;"",BQ$59,IF(IFERROR(INDEX(醫師週班表!$C$5:$T$44,$CU7,BQ$57),"")=0,"",IF(MID(IFERROR(INDEX(醫師週班表!$C$5:$T$44,$CU7,BQ$57),""),2,1)="/",MID(IFERROR(INDEX(醫師週班表!$C$5:$T$44,$CU7,BQ$57),""),1+BQ$58*2,1),IF(MID(IFERROR(INDEX(醫師週班表!$C$5:$T$44,$CU7,BQ$57),""),3,1)="隔",IF(BQ$58=0,LEFT(IFERROR(INDEX(醫師週班表!$C$5:$T$44,$CU7,BQ$57),""),1),""),IF(MID(IFERROR(INDEX(醫師週班表!$C$5:$T$44,$CU7,BQ$57),""),2,1)="(",LEFT(IFERROR(INDEX(醫師週班表!$C$5:$T$44,$CU7,BQ$57),""),1),IFERROR(INDEX(醫師週班表!$C$5:$T$44,$CU7,BQ$57),"")))))))</f>
        <v/>
      </c>
      <c r="BR7" s="72">
        <f>IF(BR$59="X","",IF(BR$59&lt;&gt;"",BR$59,IF(IFERROR(INDEX(醫師週班表!$C$5:$T$44,$CU7,BR$57),"")=0,"",IF(MID(IFERROR(INDEX(醫師週班表!$C$5:$T$44,$CU7,BR$57),""),2,1)="/",MID(IFERROR(INDEX(醫師週班表!$C$5:$T$44,$CU7,BR$57),""),1+BR$58*2,1),IF(MID(IFERROR(INDEX(醫師週班表!$C$5:$T$44,$CU7,BR$57),""),3,1)="隔",IF(BR$58=0,LEFT(IFERROR(INDEX(醫師週班表!$C$5:$T$44,$CU7,BR$57),""),1),""),IF(MID(IFERROR(INDEX(醫師週班表!$C$5:$T$44,$CU7,BR$57),""),2,1)="(",LEFT(IFERROR(INDEX(醫師週班表!$C$5:$T$44,$CU7,BR$57),""),1),IFERROR(INDEX(醫師週班表!$C$5:$T$44,$CU7,BR$57),"")))))))</f>
        <v/>
      </c>
      <c r="BS7" s="71">
        <f>IF(BS$59="X","",IF(BS$59&lt;&gt;"",BS$59,IF(IFERROR(INDEX(醫師週班表!$C$5:$T$44,$CU7,BS$57),"")=0,"",IF(MID(IFERROR(INDEX(醫師週班表!$C$5:$T$44,$CU7,BS$57),""),2,1)="/",MID(IFERROR(INDEX(醫師週班表!$C$5:$T$44,$CU7,BS$57),""),1+BS$58*2,1),IF(MID(IFERROR(INDEX(醫師週班表!$C$5:$T$44,$CU7,BS$57),""),3,1)="隔",IF(BS$58=0,LEFT(IFERROR(INDEX(醫師週班表!$C$5:$T$44,$CU7,BS$57),""),1),""),IF(MID(IFERROR(INDEX(醫師週班表!$C$5:$T$44,$CU7,BS$57),""),2,1)="(",LEFT(IFERROR(INDEX(醫師週班表!$C$5:$T$44,$CU7,BS$57),""),1),IFERROR(INDEX(醫師週班表!$C$5:$T$44,$CU7,BS$57),"")))))))</f>
        <v/>
      </c>
      <c r="BT7" s="72">
        <f>IF(BT$59="X","",IF(BT$59&lt;&gt;"",BT$59,IF(IFERROR(INDEX(醫師週班表!$C$5:$T$44,$CU7,BT$57),"")=0,"",IF(MID(IFERROR(INDEX(醫師週班表!$C$5:$T$44,$CU7,BT$57),""),2,1)="/",MID(IFERROR(INDEX(醫師週班表!$C$5:$T$44,$CU7,BT$57),""),1+BT$58*2,1),IF(MID(IFERROR(INDEX(醫師週班表!$C$5:$T$44,$CU7,BT$57),""),3,1)="隔",IF(BT$58=0,LEFT(IFERROR(INDEX(醫師週班表!$C$5:$T$44,$CU7,BT$57),""),1),""),IF(MID(IFERROR(INDEX(醫師週班表!$C$5:$T$44,$CU7,BT$57),""),2,1)="(",LEFT(IFERROR(INDEX(醫師週班表!$C$5:$T$44,$CU7,BT$57),""),1),IFERROR(INDEX(醫師週班表!$C$5:$T$44,$CU7,BT$57),"")))))))</f>
        <v/>
      </c>
      <c r="BU7" s="72">
        <f>IF(BU$59="X","",IF(BU$59&lt;&gt;"",BU$59,IF(IFERROR(INDEX(醫師週班表!$C$5:$T$44,$CU7,BU$57),"")=0,"",IF(MID(IFERROR(INDEX(醫師週班表!$C$5:$T$44,$CU7,BU$57),""),2,1)="/",MID(IFERROR(INDEX(醫師週班表!$C$5:$T$44,$CU7,BU$57),""),1+BU$58*2,1),IF(MID(IFERROR(INDEX(醫師週班表!$C$5:$T$44,$CU7,BU$57),""),3,1)="隔",IF(BU$58=0,LEFT(IFERROR(INDEX(醫師週班表!$C$5:$T$44,$CU7,BU$57),""),1),""),IF(MID(IFERROR(INDEX(醫師週班表!$C$5:$T$44,$CU7,BU$57),""),2,1)="(",LEFT(IFERROR(INDEX(醫師週班表!$C$5:$T$44,$CU7,BU$57),""),1),IFERROR(INDEX(醫師週班表!$C$5:$T$44,$CU7,BU$57),"")))))))</f>
        <v/>
      </c>
      <c r="BV7" s="71">
        <f>IF(BV$59="X","",IF(BV$59&lt;&gt;"",BV$59,IF(IFERROR(INDEX(醫師週班表!$C$5:$T$44,$CU7,BV$57),"")=0,"",IF(MID(IFERROR(INDEX(醫師週班表!$C$5:$T$44,$CU7,BV$57),""),2,1)="/",MID(IFERROR(INDEX(醫師週班表!$C$5:$T$44,$CU7,BV$57),""),1+BV$58*2,1),IF(MID(IFERROR(INDEX(醫師週班表!$C$5:$T$44,$CU7,BV$57),""),3,1)="隔",IF(BV$58=0,LEFT(IFERROR(INDEX(醫師週班表!$C$5:$T$44,$CU7,BV$57),""),1),""),IF(MID(IFERROR(INDEX(醫師週班表!$C$5:$T$44,$CU7,BV$57),""),2,1)="(",LEFT(IFERROR(INDEX(醫師週班表!$C$5:$T$44,$CU7,BV$57),""),1),IFERROR(INDEX(醫師週班表!$C$5:$T$44,$CU7,BV$57),"")))))))</f>
        <v/>
      </c>
      <c r="BW7" s="72">
        <f>IF(BW$59="X","",IF(BW$59&lt;&gt;"",BW$59,IF(IFERROR(INDEX(醫師週班表!$C$5:$T$44,$CU7,BW$57),"")=0,"",IF(MID(IFERROR(INDEX(醫師週班表!$C$5:$T$44,$CU7,BW$57),""),2,1)="/",MID(IFERROR(INDEX(醫師週班表!$C$5:$T$44,$CU7,BW$57),""),1+BW$58*2,1),IF(MID(IFERROR(INDEX(醫師週班表!$C$5:$T$44,$CU7,BW$57),""),3,1)="隔",IF(BW$58=0,LEFT(IFERROR(INDEX(醫師週班表!$C$5:$T$44,$CU7,BW$57),""),1),""),IF(MID(IFERROR(INDEX(醫師週班表!$C$5:$T$44,$CU7,BW$57),""),2,1)="(",LEFT(IFERROR(INDEX(醫師週班表!$C$5:$T$44,$CU7,BW$57),""),1),IFERROR(INDEX(醫師週班表!$C$5:$T$44,$CU7,BW$57),"")))))))</f>
        <v/>
      </c>
      <c r="BX7" s="72">
        <f>IF(BX$59="X","",IF(BX$59&lt;&gt;"",BX$59,IF(IFERROR(INDEX(醫師週班表!$C$5:$T$44,$CU7,BX$57),"")=0,"",IF(MID(IFERROR(INDEX(醫師週班表!$C$5:$T$44,$CU7,BX$57),""),2,1)="/",MID(IFERROR(INDEX(醫師週班表!$C$5:$T$44,$CU7,BX$57),""),1+BX$58*2,1),IF(MID(IFERROR(INDEX(醫師週班表!$C$5:$T$44,$CU7,BX$57),""),3,1)="隔",IF(BX$58=0,LEFT(IFERROR(INDEX(醫師週班表!$C$5:$T$44,$CU7,BX$57),""),1),""),IF(MID(IFERROR(INDEX(醫師週班表!$C$5:$T$44,$CU7,BX$57),""),2,1)="(",LEFT(IFERROR(INDEX(醫師週班表!$C$5:$T$44,$CU7,BX$57),""),1),IFERROR(INDEX(醫師週班表!$C$5:$T$44,$CU7,BX$57),"")))))))</f>
        <v/>
      </c>
      <c r="BY7" s="71">
        <f>IF(BY$59="X","",IF(BY$59&lt;&gt;"",BY$59,IF(IFERROR(INDEX(醫師週班表!$C$5:$T$44,$CU7,BY$57),"")=0,"",IF(MID(IFERROR(INDEX(醫師週班表!$C$5:$T$44,$CU7,BY$57),""),2,1)="/",MID(IFERROR(INDEX(醫師週班表!$C$5:$T$44,$CU7,BY$57),""),1+BY$58*2,1),IF(MID(IFERROR(INDEX(醫師週班表!$C$5:$T$44,$CU7,BY$57),""),3,1)="隔",IF(BY$58=0,LEFT(IFERROR(INDEX(醫師週班表!$C$5:$T$44,$CU7,BY$57),""),1),""),IF(MID(IFERROR(INDEX(醫師週班表!$C$5:$T$44,$CU7,BY$57),""),2,1)="(",LEFT(IFERROR(INDEX(醫師週班表!$C$5:$T$44,$CU7,BY$57),""),1),IFERROR(INDEX(醫師週班表!$C$5:$T$44,$CU7,BY$57),"")))))))</f>
        <v/>
      </c>
      <c r="BZ7" s="72">
        <f>IF(BZ$59="X","",IF(BZ$59&lt;&gt;"",BZ$59,IF(IFERROR(INDEX(醫師週班表!$C$5:$T$44,$CU7,BZ$57),"")=0,"",IF(MID(IFERROR(INDEX(醫師週班表!$C$5:$T$44,$CU7,BZ$57),""),2,1)="/",MID(IFERROR(INDEX(醫師週班表!$C$5:$T$44,$CU7,BZ$57),""),1+BZ$58*2,1),IF(MID(IFERROR(INDEX(醫師週班表!$C$5:$T$44,$CU7,BZ$57),""),3,1)="隔",IF(BZ$58=0,LEFT(IFERROR(INDEX(醫師週班表!$C$5:$T$44,$CU7,BZ$57),""),1),""),IF(MID(IFERROR(INDEX(醫師週班表!$C$5:$T$44,$CU7,BZ$57),""),2,1)="(",LEFT(IFERROR(INDEX(醫師週班表!$C$5:$T$44,$CU7,BZ$57),""),1),IFERROR(INDEX(醫師週班表!$C$5:$T$44,$CU7,BZ$57),"")))))))</f>
        <v/>
      </c>
      <c r="CA7" s="72">
        <f>IF(CA$59="X","",IF(CA$59&lt;&gt;"",CA$59,IF(IFERROR(INDEX(醫師週班表!$C$5:$T$44,$CU7,CA$57),"")=0,"",IF(MID(IFERROR(INDEX(醫師週班表!$C$5:$T$44,$CU7,CA$57),""),2,1)="/",MID(IFERROR(INDEX(醫師週班表!$C$5:$T$44,$CU7,CA$57),""),1+CA$58*2,1),IF(MID(IFERROR(INDEX(醫師週班表!$C$5:$T$44,$CU7,CA$57),""),3,1)="隔",IF(CA$58=0,LEFT(IFERROR(INDEX(醫師週班表!$C$5:$T$44,$CU7,CA$57),""),1),""),IF(MID(IFERROR(INDEX(醫師週班表!$C$5:$T$44,$CU7,CA$57),""),2,1)="(",LEFT(IFERROR(INDEX(醫師週班表!$C$5:$T$44,$CU7,CA$57),""),1),IFERROR(INDEX(醫師週班表!$C$5:$T$44,$CU7,CA$57),"")))))))</f>
        <v/>
      </c>
      <c r="CB7" s="71">
        <f>IF(CB$59="X","",IF(CB$59&lt;&gt;"",CB$59,IF(IFERROR(INDEX(醫師週班表!$C$5:$T$44,$CU7,CB$57),"")=0,"",IF(MID(IFERROR(INDEX(醫師週班表!$C$5:$T$44,$CU7,CB$57),""),2,1)="/",MID(IFERROR(INDEX(醫師週班表!$C$5:$T$44,$CU7,CB$57),""),1+CB$58*2,1),IF(MID(IFERROR(INDEX(醫師週班表!$C$5:$T$44,$CU7,CB$57),""),3,1)="隔",IF(CB$58=0,LEFT(IFERROR(INDEX(醫師週班表!$C$5:$T$44,$CU7,CB$57),""),1),""),IF(MID(IFERROR(INDEX(醫師週班表!$C$5:$T$44,$CU7,CB$57),""),2,1)="(",LEFT(IFERROR(INDEX(醫師週班表!$C$5:$T$44,$CU7,CB$57),""),1),IFERROR(INDEX(醫師週班表!$C$5:$T$44,$CU7,CB$57),"")))))))</f>
        <v/>
      </c>
      <c r="CC7" s="72">
        <f>IF(CC$59="X","",IF(CC$59&lt;&gt;"",CC$59,IF(IFERROR(INDEX(醫師週班表!$C$5:$T$44,$CU7,CC$57),"")=0,"",IF(MID(IFERROR(INDEX(醫師週班表!$C$5:$T$44,$CU7,CC$57),""),2,1)="/",MID(IFERROR(INDEX(醫師週班表!$C$5:$T$44,$CU7,CC$57),""),1+CC$58*2,1),IF(MID(IFERROR(INDEX(醫師週班表!$C$5:$T$44,$CU7,CC$57),""),3,1)="隔",IF(CC$58=0,LEFT(IFERROR(INDEX(醫師週班表!$C$5:$T$44,$CU7,CC$57),""),1),""),IF(MID(IFERROR(INDEX(醫師週班表!$C$5:$T$44,$CU7,CC$57),""),2,1)="(",LEFT(IFERROR(INDEX(醫師週班表!$C$5:$T$44,$CU7,CC$57),""),1),IFERROR(INDEX(醫師週班表!$C$5:$T$44,$CU7,CC$57),"")))))))</f>
        <v/>
      </c>
      <c r="CD7" s="72">
        <f>IF(CD$59="X","",IF(CD$59&lt;&gt;"",CD$59,IF(IFERROR(INDEX(醫師週班表!$C$5:$T$44,$CU7,CD$57),"")=0,"",IF(MID(IFERROR(INDEX(醫師週班表!$C$5:$T$44,$CU7,CD$57),""),2,1)="/",MID(IFERROR(INDEX(醫師週班表!$C$5:$T$44,$CU7,CD$57),""),1+CD$58*2,1),IF(MID(IFERROR(INDEX(醫師週班表!$C$5:$T$44,$CU7,CD$57),""),3,1)="隔",IF(CD$58=0,LEFT(IFERROR(INDEX(醫師週班表!$C$5:$T$44,$CU7,CD$57),""),1),""),IF(MID(IFERROR(INDEX(醫師週班表!$C$5:$T$44,$CU7,CD$57),""),2,1)="(",LEFT(IFERROR(INDEX(醫師週班表!$C$5:$T$44,$CU7,CD$57),""),1),IFERROR(INDEX(醫師週班表!$C$5:$T$44,$CU7,CD$57),"")))))))</f>
        <v/>
      </c>
      <c r="CE7" s="71">
        <f>IF(CE$59="X","",IF(CE$59&lt;&gt;"",CE$59,IF(IFERROR(INDEX(醫師週班表!$C$5:$T$44,$CU7,CE$57),"")=0,"",IF(MID(IFERROR(INDEX(醫師週班表!$C$5:$T$44,$CU7,CE$57),""),2,1)="/",MID(IFERROR(INDEX(醫師週班表!$C$5:$T$44,$CU7,CE$57),""),1+CE$58*2,1),IF(MID(IFERROR(INDEX(醫師週班表!$C$5:$T$44,$CU7,CE$57),""),3,1)="隔",IF(CE$58=0,LEFT(IFERROR(INDEX(醫師週班表!$C$5:$T$44,$CU7,CE$57),""),1),""),IF(MID(IFERROR(INDEX(醫師週班表!$C$5:$T$44,$CU7,CE$57),""),2,1)="(",LEFT(IFERROR(INDEX(醫師週班表!$C$5:$T$44,$CU7,CE$57),""),1),IFERROR(INDEX(醫師週班表!$C$5:$T$44,$CU7,CE$57),"")))))))</f>
        <v/>
      </c>
      <c r="CF7" s="72">
        <f>IF(CF$59="X","",IF(CF$59&lt;&gt;"",CF$59,IF(IFERROR(INDEX(醫師週班表!$C$5:$T$44,$CU7,CF$57),"")=0,"",IF(MID(IFERROR(INDEX(醫師週班表!$C$5:$T$44,$CU7,CF$57),""),2,1)="/",MID(IFERROR(INDEX(醫師週班表!$C$5:$T$44,$CU7,CF$57),""),1+CF$58*2,1),IF(MID(IFERROR(INDEX(醫師週班表!$C$5:$T$44,$CU7,CF$57),""),3,1)="隔",IF(CF$58=0,LEFT(IFERROR(INDEX(醫師週班表!$C$5:$T$44,$CU7,CF$57),""),1),""),IF(MID(IFERROR(INDEX(醫師週班表!$C$5:$T$44,$CU7,CF$57),""),2,1)="(",LEFT(IFERROR(INDEX(醫師週班表!$C$5:$T$44,$CU7,CF$57),""),1),IFERROR(INDEX(醫師週班表!$C$5:$T$44,$CU7,CF$57),"")))))))</f>
        <v/>
      </c>
      <c r="CG7" s="72">
        <f>IF(CG$59="X","",IF(CG$59&lt;&gt;"",CG$59,IF(IFERROR(INDEX(醫師週班表!$C$5:$T$44,$CU7,CG$57),"")=0,"",IF(MID(IFERROR(INDEX(醫師週班表!$C$5:$T$44,$CU7,CG$57),""),2,1)="/",MID(IFERROR(INDEX(醫師週班表!$C$5:$T$44,$CU7,CG$57),""),1+CG$58*2,1),IF(MID(IFERROR(INDEX(醫師週班表!$C$5:$T$44,$CU7,CG$57),""),3,1)="隔",IF(CG$58=0,LEFT(IFERROR(INDEX(醫師週班表!$C$5:$T$44,$CU7,CG$57),""),1),""),IF(MID(IFERROR(INDEX(醫師週班表!$C$5:$T$44,$CU7,CG$57),""),2,1)="(",LEFT(IFERROR(INDEX(醫師週班表!$C$5:$T$44,$CU7,CG$57),""),1),IFERROR(INDEX(醫師週班表!$C$5:$T$44,$CU7,CG$57),"")))))))</f>
        <v/>
      </c>
      <c r="CH7" s="71">
        <f>IF(CH$59="X","",IF(CH$59&lt;&gt;"",CH$59,IF(IFERROR(INDEX(醫師週班表!$C$5:$T$44,$CU7,CH$57),"")=0,"",IF(MID(IFERROR(INDEX(醫師週班表!$C$5:$T$44,$CU7,CH$57),""),2,1)="/",MID(IFERROR(INDEX(醫師週班表!$C$5:$T$44,$CU7,CH$57),""),1+CH$58*2,1),IF(MID(IFERROR(INDEX(醫師週班表!$C$5:$T$44,$CU7,CH$57),""),3,1)="隔",IF(CH$58=0,LEFT(IFERROR(INDEX(醫師週班表!$C$5:$T$44,$CU7,CH$57),""),1),""),IF(MID(IFERROR(INDEX(醫師週班表!$C$5:$T$44,$CU7,CH$57),""),2,1)="(",LEFT(IFERROR(INDEX(醫師週班表!$C$5:$T$44,$CU7,CH$57),""),1),IFERROR(INDEX(醫師週班表!$C$5:$T$44,$CU7,CH$57),"")))))))</f>
        <v/>
      </c>
      <c r="CI7" s="72">
        <f>IF(CI$59="X","",IF(CI$59&lt;&gt;"",CI$59,IF(IFERROR(INDEX(醫師週班表!$C$5:$T$44,$CU7,CI$57),"")=0,"",IF(MID(IFERROR(INDEX(醫師週班表!$C$5:$T$44,$CU7,CI$57),""),2,1)="/",MID(IFERROR(INDEX(醫師週班表!$C$5:$T$44,$CU7,CI$57),""),1+CI$58*2,1),IF(MID(IFERROR(INDEX(醫師週班表!$C$5:$T$44,$CU7,CI$57),""),3,1)="隔",IF(CI$58=0,LEFT(IFERROR(INDEX(醫師週班表!$C$5:$T$44,$CU7,CI$57),""),1),""),IF(MID(IFERROR(INDEX(醫師週班表!$C$5:$T$44,$CU7,CI$57),""),2,1)="(",LEFT(IFERROR(INDEX(醫師週班表!$C$5:$T$44,$CU7,CI$57),""),1),IFERROR(INDEX(醫師週班表!$C$5:$T$44,$CU7,CI$57),"")))))))</f>
        <v/>
      </c>
      <c r="CJ7" s="72">
        <f>IF(CJ$59="X","",IF(CJ$59&lt;&gt;"",CJ$59,IF(IFERROR(INDEX(醫師週班表!$C$5:$T$44,$CU7,CJ$57),"")=0,"",IF(MID(IFERROR(INDEX(醫師週班表!$C$5:$T$44,$CU7,CJ$57),""),2,1)="/",MID(IFERROR(INDEX(醫師週班表!$C$5:$T$44,$CU7,CJ$57),""),1+CJ$58*2,1),IF(MID(IFERROR(INDEX(醫師週班表!$C$5:$T$44,$CU7,CJ$57),""),3,1)="隔",IF(CJ$58=0,LEFT(IFERROR(INDEX(醫師週班表!$C$5:$T$44,$CU7,CJ$57),""),1),""),IF(MID(IFERROR(INDEX(醫師週班表!$C$5:$T$44,$CU7,CJ$57),""),2,1)="(",LEFT(IFERROR(INDEX(醫師週班表!$C$5:$T$44,$CU7,CJ$57),""),1),IFERROR(INDEX(醫師週班表!$C$5:$T$44,$CU7,CJ$57),"")))))))</f>
        <v/>
      </c>
      <c r="CK7" s="71">
        <f>IF(CK$59="X","",IF(CK$59&lt;&gt;"",CK$59,IF(IFERROR(INDEX(醫師週班表!$C$5:$T$44,$CU7,CK$57),"")=0,"",IF(MID(IFERROR(INDEX(醫師週班表!$C$5:$T$44,$CU7,CK$57),""),2,1)="/",MID(IFERROR(INDEX(醫師週班表!$C$5:$T$44,$CU7,CK$57),""),1+CK$58*2,1),IF(MID(IFERROR(INDEX(醫師週班表!$C$5:$T$44,$CU7,CK$57),""),3,1)="隔",IF(CK$58=0,LEFT(IFERROR(INDEX(醫師週班表!$C$5:$T$44,$CU7,CK$57),""),1),""),IF(MID(IFERROR(INDEX(醫師週班表!$C$5:$T$44,$CU7,CK$57),""),2,1)="(",LEFT(IFERROR(INDEX(醫師週班表!$C$5:$T$44,$CU7,CK$57),""),1),IFERROR(INDEX(醫師週班表!$C$5:$T$44,$CU7,CK$57),"")))))))</f>
        <v/>
      </c>
      <c r="CL7" s="72">
        <f>IF(CL$59="X","",IF(CL$59&lt;&gt;"",CL$59,IF(IFERROR(INDEX(醫師週班表!$C$5:$T$44,$CU7,CL$57),"")=0,"",IF(MID(IFERROR(INDEX(醫師週班表!$C$5:$T$44,$CU7,CL$57),""),2,1)="/",MID(IFERROR(INDEX(醫師週班表!$C$5:$T$44,$CU7,CL$57),""),1+CL$58*2,1),IF(MID(IFERROR(INDEX(醫師週班表!$C$5:$T$44,$CU7,CL$57),""),3,1)="隔",IF(CL$58=0,LEFT(IFERROR(INDEX(醫師週班表!$C$5:$T$44,$CU7,CL$57),""),1),""),IF(MID(IFERROR(INDEX(醫師週班表!$C$5:$T$44,$CU7,CL$57),""),2,1)="(",LEFT(IFERROR(INDEX(醫師週班表!$C$5:$T$44,$CU7,CL$57),""),1),IFERROR(INDEX(醫師週班表!$C$5:$T$44,$CU7,CL$57),"")))))))</f>
        <v/>
      </c>
      <c r="CM7" s="72">
        <f>IF(CM$59="X","",IF(CM$59&lt;&gt;"",CM$59,IF(IFERROR(INDEX(醫師週班表!$C$5:$T$44,$CU7,CM$57),"")=0,"",IF(MID(IFERROR(INDEX(醫師週班表!$C$5:$T$44,$CU7,CM$57),""),2,1)="/",MID(IFERROR(INDEX(醫師週班表!$C$5:$T$44,$CU7,CM$57),""),1+CM$58*2,1),IF(MID(IFERROR(INDEX(醫師週班表!$C$5:$T$44,$CU7,CM$57),""),3,1)="隔",IF(CM$58=0,LEFT(IFERROR(INDEX(醫師週班表!$C$5:$T$44,$CU7,CM$57),""),1),""),IF(MID(IFERROR(INDEX(醫師週班表!$C$5:$T$44,$CU7,CM$57),""),2,1)="(",LEFT(IFERROR(INDEX(醫師週班表!$C$5:$T$44,$CU7,CM$57),""),1),IFERROR(INDEX(醫師週班表!$C$5:$T$44,$CU7,CM$57),"")))))))</f>
        <v/>
      </c>
      <c r="CN7" s="71">
        <f>IF(CN$59="X","",IF(CN$59&lt;&gt;"",CN$59,IF(IFERROR(INDEX(醫師週班表!$C$5:$T$44,$CU7,CN$57),"")=0,"",IF(MID(IFERROR(INDEX(醫師週班表!$C$5:$T$44,$CU7,CN$57),""),2,1)="/",MID(IFERROR(INDEX(醫師週班表!$C$5:$T$44,$CU7,CN$57),""),1+CN$58*2,1),IF(MID(IFERROR(INDEX(醫師週班表!$C$5:$T$44,$CU7,CN$57),""),3,1)="隔",IF(CN$58=0,LEFT(IFERROR(INDEX(醫師週班表!$C$5:$T$44,$CU7,CN$57),""),1),""),IF(MID(IFERROR(INDEX(醫師週班表!$C$5:$T$44,$CU7,CN$57),""),2,1)="(",LEFT(IFERROR(INDEX(醫師週班表!$C$5:$T$44,$CU7,CN$57),""),1),IFERROR(INDEX(醫師週班表!$C$5:$T$44,$CU7,CN$57),"")))))))</f>
        <v/>
      </c>
      <c r="CO7" s="72">
        <f>IF(CO$59="X","",IF(CO$59&lt;&gt;"",CO$59,IF(IFERROR(INDEX(醫師週班表!$C$5:$T$44,$CU7,CO$57),"")=0,"",IF(MID(IFERROR(INDEX(醫師週班表!$C$5:$T$44,$CU7,CO$57),""),2,1)="/",MID(IFERROR(INDEX(醫師週班表!$C$5:$T$44,$CU7,CO$57),""),1+CO$58*2,1),IF(MID(IFERROR(INDEX(醫師週班表!$C$5:$T$44,$CU7,CO$57),""),3,1)="隔",IF(CO$58=0,LEFT(IFERROR(INDEX(醫師週班表!$C$5:$T$44,$CU7,CO$57),""),1),""),IF(MID(IFERROR(INDEX(醫師週班表!$C$5:$T$44,$CU7,CO$57),""),2,1)="(",LEFT(IFERROR(INDEX(醫師週班表!$C$5:$T$44,$CU7,CO$57),""),1),IFERROR(INDEX(醫師週班表!$C$5:$T$44,$CU7,CO$57),"")))))))</f>
        <v/>
      </c>
      <c r="CP7" s="72">
        <f>IF(CP$59="X","",IF(CP$59&lt;&gt;"",CP$59,IF(IFERROR(INDEX(醫師週班表!$C$5:$T$44,$CU7,CP$57),"")=0,"",IF(MID(IFERROR(INDEX(醫師週班表!$C$5:$T$44,$CU7,CP$57),""),2,1)="/",MID(IFERROR(INDEX(醫師週班表!$C$5:$T$44,$CU7,CP$57),""),1+CP$58*2,1),IF(MID(IFERROR(INDEX(醫師週班表!$C$5:$T$44,$CU7,CP$57),""),3,1)="隔",IF(CP$58=0,LEFT(IFERROR(INDEX(醫師週班表!$C$5:$T$44,$CU7,CP$57),""),1),""),IF(MID(IFERROR(INDEX(醫師週班表!$C$5:$T$44,$CU7,CP$57),""),2,1)="(",LEFT(IFERROR(INDEX(醫師週班表!$C$5:$T$44,$CU7,CP$57),""),1),IFERROR(INDEX(醫師週班表!$C$5:$T$44,$CU7,CP$57),"")))))))</f>
        <v/>
      </c>
      <c r="CQ7" s="71">
        <f>IF(CQ$59="X","",IF(CQ$59&lt;&gt;"",CQ$59,IF(IFERROR(INDEX(醫師週班表!$C$5:$T$44,$CU7,CQ$57),"")=0,"",IF(MID(IFERROR(INDEX(醫師週班表!$C$5:$T$44,$CU7,CQ$57),""),2,1)="/",MID(IFERROR(INDEX(醫師週班表!$C$5:$T$44,$CU7,CQ$57),""),1+CQ$58*2,1),IF(MID(IFERROR(INDEX(醫師週班表!$C$5:$T$44,$CU7,CQ$57),""),3,1)="隔",IF(CQ$58=0,LEFT(IFERROR(INDEX(醫師週班表!$C$5:$T$44,$CU7,CQ$57),""),1),""),IF(MID(IFERROR(INDEX(醫師週班表!$C$5:$T$44,$CU7,CQ$57),""),2,1)="(",LEFT(IFERROR(INDEX(醫師週班表!$C$5:$T$44,$CU7,CQ$57),""),1),IFERROR(INDEX(醫師週班表!$C$5:$T$44,$CU7,CQ$57),"")))))))</f>
        <v/>
      </c>
      <c r="CR7" s="72">
        <f>IF(CR$59="X","",IF(CR$59&lt;&gt;"",CR$59,IF(IFERROR(INDEX(醫師週班表!$C$5:$T$44,$CU7,CR$57),"")=0,"",IF(MID(IFERROR(INDEX(醫師週班表!$C$5:$T$44,$CU7,CR$57),""),2,1)="/",MID(IFERROR(INDEX(醫師週班表!$C$5:$T$44,$CU7,CR$57),""),1+CR$58*2,1),IF(MID(IFERROR(INDEX(醫師週班表!$C$5:$T$44,$CU7,CR$57),""),3,1)="隔",IF(CR$58=0,LEFT(IFERROR(INDEX(醫師週班表!$C$5:$T$44,$CU7,CR$57),""),1),""),IF(MID(IFERROR(INDEX(醫師週班表!$C$5:$T$44,$CU7,CR$57),""),2,1)="(",LEFT(IFERROR(INDEX(醫師週班表!$C$5:$T$44,$CU7,CR$57),""),1),IFERROR(INDEX(醫師週班表!$C$5:$T$44,$CU7,CR$57),"")))))))</f>
        <v/>
      </c>
      <c r="CS7" s="72">
        <f>IF(CS$59="X","",IF(CS$59&lt;&gt;"",CS$59,IF(IFERROR(INDEX(醫師週班表!$C$5:$T$44,$CU7,CS$57),"")=0,"",IF(MID(IFERROR(INDEX(醫師週班表!$C$5:$T$44,$CU7,CS$57),""),2,1)="/",MID(IFERROR(INDEX(醫師週班表!$C$5:$T$44,$CU7,CS$57),""),1+CS$58*2,1),IF(MID(IFERROR(INDEX(醫師週班表!$C$5:$T$44,$CU7,CS$57),""),3,1)="隔",IF(CS$58=0,LEFT(IFERROR(INDEX(醫師週班表!$C$5:$T$44,$CU7,CS$57),""),1),""),IF(MID(IFERROR(INDEX(醫師週班表!$C$5:$T$44,$CU7,CS$57),""),2,1)="(",LEFT(IFERROR(INDEX(醫師週班表!$C$5:$T$44,$CU7,CS$57),""),1),IFERROR(INDEX(醫師週班表!$C$5:$T$44,$CU7,CS$57),"")))))))</f>
        <v/>
      </c>
      <c r="CU7" s="73">
        <f>IFERROR(MATCH($A7,醫師週班表!$A$5:$A$44,0),0)</f>
        <v/>
      </c>
    </row>
    <row r="8" ht="17" customHeight="1">
      <c r="A8" s="19" t="inlineStr">
        <is>
          <t>D003</t>
        </is>
      </c>
      <c r="B8" s="16" t="inlineStr">
        <is>
          <t>王泳泉</t>
        </is>
      </c>
      <c r="C8" s="70" t="inlineStr">
        <is>
          <t>矯正專科</t>
        </is>
      </c>
      <c r="D8" s="16" t="inlineStr"/>
      <c r="E8" s="71">
        <f>IF(E$59="X","",IF(E$59&lt;&gt;"",E$59,IF(IFERROR(INDEX(醫師週班表!$C$5:$T$44,$CU8,E$57),"")=0,"",IF(MID(IFERROR(INDEX(醫師週班表!$C$5:$T$44,$CU8,E$57),""),2,1)="/",MID(IFERROR(INDEX(醫師週班表!$C$5:$T$44,$CU8,E$57),""),1+E$58*2,1),IF(MID(IFERROR(INDEX(醫師週班表!$C$5:$T$44,$CU8,E$57),""),3,1)="隔",IF(E$58=0,LEFT(IFERROR(INDEX(醫師週班表!$C$5:$T$44,$CU8,E$57),""),1),""),IF(MID(IFERROR(INDEX(醫師週班表!$C$5:$T$44,$CU8,E$57),""),2,1)="(",LEFT(IFERROR(INDEX(醫師週班表!$C$5:$T$44,$CU8,E$57),""),1),IFERROR(INDEX(醫師週班表!$C$5:$T$44,$CU8,E$57),"")))))))</f>
        <v/>
      </c>
      <c r="F8" s="72">
        <f>IF(F$59="X","",IF(F$59&lt;&gt;"",F$59,IF(IFERROR(INDEX(醫師週班表!$C$5:$T$44,$CU8,F$57),"")=0,"",IF(MID(IFERROR(INDEX(醫師週班表!$C$5:$T$44,$CU8,F$57),""),2,1)="/",MID(IFERROR(INDEX(醫師週班表!$C$5:$T$44,$CU8,F$57),""),1+F$58*2,1),IF(MID(IFERROR(INDEX(醫師週班表!$C$5:$T$44,$CU8,F$57),""),3,1)="隔",IF(F$58=0,LEFT(IFERROR(INDEX(醫師週班表!$C$5:$T$44,$CU8,F$57),""),1),""),IF(MID(IFERROR(INDEX(醫師週班表!$C$5:$T$44,$CU8,F$57),""),2,1)="(",LEFT(IFERROR(INDEX(醫師週班表!$C$5:$T$44,$CU8,F$57),""),1),IFERROR(INDEX(醫師週班表!$C$5:$T$44,$CU8,F$57),"")))))))</f>
        <v/>
      </c>
      <c r="G8" s="72">
        <f>IF(G$59="X","",IF(G$59&lt;&gt;"",G$59,IF(IFERROR(INDEX(醫師週班表!$C$5:$T$44,$CU8,G$57),"")=0,"",IF(MID(IFERROR(INDEX(醫師週班表!$C$5:$T$44,$CU8,G$57),""),2,1)="/",MID(IFERROR(INDEX(醫師週班表!$C$5:$T$44,$CU8,G$57),""),1+G$58*2,1),IF(MID(IFERROR(INDEX(醫師週班表!$C$5:$T$44,$CU8,G$57),""),3,1)="隔",IF(G$58=0,LEFT(IFERROR(INDEX(醫師週班表!$C$5:$T$44,$CU8,G$57),""),1),""),IF(MID(IFERROR(INDEX(醫師週班表!$C$5:$T$44,$CU8,G$57),""),2,1)="(",LEFT(IFERROR(INDEX(醫師週班表!$C$5:$T$44,$CU8,G$57),""),1),IFERROR(INDEX(醫師週班表!$C$5:$T$44,$CU8,G$57),"")))))))</f>
        <v/>
      </c>
      <c r="H8" s="71">
        <f>IF(H$59="X","",IF(H$59&lt;&gt;"",H$59,IF(IFERROR(INDEX(醫師週班表!$C$5:$T$44,$CU8,H$57),"")=0,"",IF(MID(IFERROR(INDEX(醫師週班表!$C$5:$T$44,$CU8,H$57),""),2,1)="/",MID(IFERROR(INDEX(醫師週班表!$C$5:$T$44,$CU8,H$57),""),1+H$58*2,1),IF(MID(IFERROR(INDEX(醫師週班表!$C$5:$T$44,$CU8,H$57),""),3,1)="隔",IF(H$58=0,LEFT(IFERROR(INDEX(醫師週班表!$C$5:$T$44,$CU8,H$57),""),1),""),IF(MID(IFERROR(INDEX(醫師週班表!$C$5:$T$44,$CU8,H$57),""),2,1)="(",LEFT(IFERROR(INDEX(醫師週班表!$C$5:$T$44,$CU8,H$57),""),1),IFERROR(INDEX(醫師週班表!$C$5:$T$44,$CU8,H$57),"")))))))</f>
        <v/>
      </c>
      <c r="I8" s="72">
        <f>IF(I$59="X","",IF(I$59&lt;&gt;"",I$59,IF(IFERROR(INDEX(醫師週班表!$C$5:$T$44,$CU8,I$57),"")=0,"",IF(MID(IFERROR(INDEX(醫師週班表!$C$5:$T$44,$CU8,I$57),""),2,1)="/",MID(IFERROR(INDEX(醫師週班表!$C$5:$T$44,$CU8,I$57),""),1+I$58*2,1),IF(MID(IFERROR(INDEX(醫師週班表!$C$5:$T$44,$CU8,I$57),""),3,1)="隔",IF(I$58=0,LEFT(IFERROR(INDEX(醫師週班表!$C$5:$T$44,$CU8,I$57),""),1),""),IF(MID(IFERROR(INDEX(醫師週班表!$C$5:$T$44,$CU8,I$57),""),2,1)="(",LEFT(IFERROR(INDEX(醫師週班表!$C$5:$T$44,$CU8,I$57),""),1),IFERROR(INDEX(醫師週班表!$C$5:$T$44,$CU8,I$57),"")))))))</f>
        <v/>
      </c>
      <c r="J8" s="72">
        <f>IF(J$59="X","",IF(J$59&lt;&gt;"",J$59,IF(IFERROR(INDEX(醫師週班表!$C$5:$T$44,$CU8,J$57),"")=0,"",IF(MID(IFERROR(INDEX(醫師週班表!$C$5:$T$44,$CU8,J$57),""),2,1)="/",MID(IFERROR(INDEX(醫師週班表!$C$5:$T$44,$CU8,J$57),""),1+J$58*2,1),IF(MID(IFERROR(INDEX(醫師週班表!$C$5:$T$44,$CU8,J$57),""),3,1)="隔",IF(J$58=0,LEFT(IFERROR(INDEX(醫師週班表!$C$5:$T$44,$CU8,J$57),""),1),""),IF(MID(IFERROR(INDEX(醫師週班表!$C$5:$T$44,$CU8,J$57),""),2,1)="(",LEFT(IFERROR(INDEX(醫師週班表!$C$5:$T$44,$CU8,J$57),""),1),IFERROR(INDEX(醫師週班表!$C$5:$T$44,$CU8,J$57),"")))))))</f>
        <v/>
      </c>
      <c r="K8" s="71">
        <f>IF(K$59="X","",IF(K$59&lt;&gt;"",K$59,IF(IFERROR(INDEX(醫師週班表!$C$5:$T$44,$CU8,K$57),"")=0,"",IF(MID(IFERROR(INDEX(醫師週班表!$C$5:$T$44,$CU8,K$57),""),2,1)="/",MID(IFERROR(INDEX(醫師週班表!$C$5:$T$44,$CU8,K$57),""),1+K$58*2,1),IF(MID(IFERROR(INDEX(醫師週班表!$C$5:$T$44,$CU8,K$57),""),3,1)="隔",IF(K$58=0,LEFT(IFERROR(INDEX(醫師週班表!$C$5:$T$44,$CU8,K$57),""),1),""),IF(MID(IFERROR(INDEX(醫師週班表!$C$5:$T$44,$CU8,K$57),""),2,1)="(",LEFT(IFERROR(INDEX(醫師週班表!$C$5:$T$44,$CU8,K$57),""),1),IFERROR(INDEX(醫師週班表!$C$5:$T$44,$CU8,K$57),"")))))))</f>
        <v/>
      </c>
      <c r="L8" s="72">
        <f>IF(L$59="X","",IF(L$59&lt;&gt;"",L$59,IF(IFERROR(INDEX(醫師週班表!$C$5:$T$44,$CU8,L$57),"")=0,"",IF(MID(IFERROR(INDEX(醫師週班表!$C$5:$T$44,$CU8,L$57),""),2,1)="/",MID(IFERROR(INDEX(醫師週班表!$C$5:$T$44,$CU8,L$57),""),1+L$58*2,1),IF(MID(IFERROR(INDEX(醫師週班表!$C$5:$T$44,$CU8,L$57),""),3,1)="隔",IF(L$58=0,LEFT(IFERROR(INDEX(醫師週班表!$C$5:$T$44,$CU8,L$57),""),1),""),IF(MID(IFERROR(INDEX(醫師週班表!$C$5:$T$44,$CU8,L$57),""),2,1)="(",LEFT(IFERROR(INDEX(醫師週班表!$C$5:$T$44,$CU8,L$57),""),1),IFERROR(INDEX(醫師週班表!$C$5:$T$44,$CU8,L$57),"")))))))</f>
        <v/>
      </c>
      <c r="M8" s="72">
        <f>IF(M$59="X","",IF(M$59&lt;&gt;"",M$59,IF(IFERROR(INDEX(醫師週班表!$C$5:$T$44,$CU8,M$57),"")=0,"",IF(MID(IFERROR(INDEX(醫師週班表!$C$5:$T$44,$CU8,M$57),""),2,1)="/",MID(IFERROR(INDEX(醫師週班表!$C$5:$T$44,$CU8,M$57),""),1+M$58*2,1),IF(MID(IFERROR(INDEX(醫師週班表!$C$5:$T$44,$CU8,M$57),""),3,1)="隔",IF(M$58=0,LEFT(IFERROR(INDEX(醫師週班表!$C$5:$T$44,$CU8,M$57),""),1),""),IF(MID(IFERROR(INDEX(醫師週班表!$C$5:$T$44,$CU8,M$57),""),2,1)="(",LEFT(IFERROR(INDEX(醫師週班表!$C$5:$T$44,$CU8,M$57),""),1),IFERROR(INDEX(醫師週班表!$C$5:$T$44,$CU8,M$57),"")))))))</f>
        <v/>
      </c>
      <c r="N8" s="71">
        <f>IF(N$59="X","",IF(N$59&lt;&gt;"",N$59,IF(IFERROR(INDEX(醫師週班表!$C$5:$T$44,$CU8,N$57),"")=0,"",IF(MID(IFERROR(INDEX(醫師週班表!$C$5:$T$44,$CU8,N$57),""),2,1)="/",MID(IFERROR(INDEX(醫師週班表!$C$5:$T$44,$CU8,N$57),""),1+N$58*2,1),IF(MID(IFERROR(INDEX(醫師週班表!$C$5:$T$44,$CU8,N$57),""),3,1)="隔",IF(N$58=0,LEFT(IFERROR(INDEX(醫師週班表!$C$5:$T$44,$CU8,N$57),""),1),""),IF(MID(IFERROR(INDEX(醫師週班表!$C$5:$T$44,$CU8,N$57),""),2,1)="(",LEFT(IFERROR(INDEX(醫師週班表!$C$5:$T$44,$CU8,N$57),""),1),IFERROR(INDEX(醫師週班表!$C$5:$T$44,$CU8,N$57),"")))))))</f>
        <v/>
      </c>
      <c r="O8" s="72">
        <f>IF(O$59="X","",IF(O$59&lt;&gt;"",O$59,IF(IFERROR(INDEX(醫師週班表!$C$5:$T$44,$CU8,O$57),"")=0,"",IF(MID(IFERROR(INDEX(醫師週班表!$C$5:$T$44,$CU8,O$57),""),2,1)="/",MID(IFERROR(INDEX(醫師週班表!$C$5:$T$44,$CU8,O$57),""),1+O$58*2,1),IF(MID(IFERROR(INDEX(醫師週班表!$C$5:$T$44,$CU8,O$57),""),3,1)="隔",IF(O$58=0,LEFT(IFERROR(INDEX(醫師週班表!$C$5:$T$44,$CU8,O$57),""),1),""),IF(MID(IFERROR(INDEX(醫師週班表!$C$5:$T$44,$CU8,O$57),""),2,1)="(",LEFT(IFERROR(INDEX(醫師週班表!$C$5:$T$44,$CU8,O$57),""),1),IFERROR(INDEX(醫師週班表!$C$5:$T$44,$CU8,O$57),"")))))))</f>
        <v/>
      </c>
      <c r="P8" s="72">
        <f>IF(P$59="X","",IF(P$59&lt;&gt;"",P$59,IF(IFERROR(INDEX(醫師週班表!$C$5:$T$44,$CU8,P$57),"")=0,"",IF(MID(IFERROR(INDEX(醫師週班表!$C$5:$T$44,$CU8,P$57),""),2,1)="/",MID(IFERROR(INDEX(醫師週班表!$C$5:$T$44,$CU8,P$57),""),1+P$58*2,1),IF(MID(IFERROR(INDEX(醫師週班表!$C$5:$T$44,$CU8,P$57),""),3,1)="隔",IF(P$58=0,LEFT(IFERROR(INDEX(醫師週班表!$C$5:$T$44,$CU8,P$57),""),1),""),IF(MID(IFERROR(INDEX(醫師週班表!$C$5:$T$44,$CU8,P$57),""),2,1)="(",LEFT(IFERROR(INDEX(醫師週班表!$C$5:$T$44,$CU8,P$57),""),1),IFERROR(INDEX(醫師週班表!$C$5:$T$44,$CU8,P$57),"")))))))</f>
        <v/>
      </c>
      <c r="Q8" s="71">
        <f>IF(Q$59="X","",IF(Q$59&lt;&gt;"",Q$59,IF(IFERROR(INDEX(醫師週班表!$C$5:$T$44,$CU8,Q$57),"")=0,"",IF(MID(IFERROR(INDEX(醫師週班表!$C$5:$T$44,$CU8,Q$57),""),2,1)="/",MID(IFERROR(INDEX(醫師週班表!$C$5:$T$44,$CU8,Q$57),""),1+Q$58*2,1),IF(MID(IFERROR(INDEX(醫師週班表!$C$5:$T$44,$CU8,Q$57),""),3,1)="隔",IF(Q$58=0,LEFT(IFERROR(INDEX(醫師週班表!$C$5:$T$44,$CU8,Q$57),""),1),""),IF(MID(IFERROR(INDEX(醫師週班表!$C$5:$T$44,$CU8,Q$57),""),2,1)="(",LEFT(IFERROR(INDEX(醫師週班表!$C$5:$T$44,$CU8,Q$57),""),1),IFERROR(INDEX(醫師週班表!$C$5:$T$44,$CU8,Q$57),"")))))))</f>
        <v/>
      </c>
      <c r="R8" s="72">
        <f>IF(R$59="X","",IF(R$59&lt;&gt;"",R$59,IF(IFERROR(INDEX(醫師週班表!$C$5:$T$44,$CU8,R$57),"")=0,"",IF(MID(IFERROR(INDEX(醫師週班表!$C$5:$T$44,$CU8,R$57),""),2,1)="/",MID(IFERROR(INDEX(醫師週班表!$C$5:$T$44,$CU8,R$57),""),1+R$58*2,1),IF(MID(IFERROR(INDEX(醫師週班表!$C$5:$T$44,$CU8,R$57),""),3,1)="隔",IF(R$58=0,LEFT(IFERROR(INDEX(醫師週班表!$C$5:$T$44,$CU8,R$57),""),1),""),IF(MID(IFERROR(INDEX(醫師週班表!$C$5:$T$44,$CU8,R$57),""),2,1)="(",LEFT(IFERROR(INDEX(醫師週班表!$C$5:$T$44,$CU8,R$57),""),1),IFERROR(INDEX(醫師週班表!$C$5:$T$44,$CU8,R$57),"")))))))</f>
        <v/>
      </c>
      <c r="S8" s="72">
        <f>IF(S$59="X","",IF(S$59&lt;&gt;"",S$59,IF(IFERROR(INDEX(醫師週班表!$C$5:$T$44,$CU8,S$57),"")=0,"",IF(MID(IFERROR(INDEX(醫師週班表!$C$5:$T$44,$CU8,S$57),""),2,1)="/",MID(IFERROR(INDEX(醫師週班表!$C$5:$T$44,$CU8,S$57),""),1+S$58*2,1),IF(MID(IFERROR(INDEX(醫師週班表!$C$5:$T$44,$CU8,S$57),""),3,1)="隔",IF(S$58=0,LEFT(IFERROR(INDEX(醫師週班表!$C$5:$T$44,$CU8,S$57),""),1),""),IF(MID(IFERROR(INDEX(醫師週班表!$C$5:$T$44,$CU8,S$57),""),2,1)="(",LEFT(IFERROR(INDEX(醫師週班表!$C$5:$T$44,$CU8,S$57),""),1),IFERROR(INDEX(醫師週班表!$C$5:$T$44,$CU8,S$57),"")))))))</f>
        <v/>
      </c>
      <c r="T8" s="71">
        <f>IF(T$59="X","",IF(T$59&lt;&gt;"",T$59,IF(IFERROR(INDEX(醫師週班表!$C$5:$T$44,$CU8,T$57),"")=0,"",IF(MID(IFERROR(INDEX(醫師週班表!$C$5:$T$44,$CU8,T$57),""),2,1)="/",MID(IFERROR(INDEX(醫師週班表!$C$5:$T$44,$CU8,T$57),""),1+T$58*2,1),IF(MID(IFERROR(INDEX(醫師週班表!$C$5:$T$44,$CU8,T$57),""),3,1)="隔",IF(T$58=0,LEFT(IFERROR(INDEX(醫師週班表!$C$5:$T$44,$CU8,T$57),""),1),""),IF(MID(IFERROR(INDEX(醫師週班表!$C$5:$T$44,$CU8,T$57),""),2,1)="(",LEFT(IFERROR(INDEX(醫師週班表!$C$5:$T$44,$CU8,T$57),""),1),IFERROR(INDEX(醫師週班表!$C$5:$T$44,$CU8,T$57),"")))))))</f>
        <v/>
      </c>
      <c r="U8" s="72">
        <f>IF(U$59="X","",IF(U$59&lt;&gt;"",U$59,IF(IFERROR(INDEX(醫師週班表!$C$5:$T$44,$CU8,U$57),"")=0,"",IF(MID(IFERROR(INDEX(醫師週班表!$C$5:$T$44,$CU8,U$57),""),2,1)="/",MID(IFERROR(INDEX(醫師週班表!$C$5:$T$44,$CU8,U$57),""),1+U$58*2,1),IF(MID(IFERROR(INDEX(醫師週班表!$C$5:$T$44,$CU8,U$57),""),3,1)="隔",IF(U$58=0,LEFT(IFERROR(INDEX(醫師週班表!$C$5:$T$44,$CU8,U$57),""),1),""),IF(MID(IFERROR(INDEX(醫師週班表!$C$5:$T$44,$CU8,U$57),""),2,1)="(",LEFT(IFERROR(INDEX(醫師週班表!$C$5:$T$44,$CU8,U$57),""),1),IFERROR(INDEX(醫師週班表!$C$5:$T$44,$CU8,U$57),"")))))))</f>
        <v/>
      </c>
      <c r="V8" s="72">
        <f>IF(V$59="X","",IF(V$59&lt;&gt;"",V$59,IF(IFERROR(INDEX(醫師週班表!$C$5:$T$44,$CU8,V$57),"")=0,"",IF(MID(IFERROR(INDEX(醫師週班表!$C$5:$T$44,$CU8,V$57),""),2,1)="/",MID(IFERROR(INDEX(醫師週班表!$C$5:$T$44,$CU8,V$57),""),1+V$58*2,1),IF(MID(IFERROR(INDEX(醫師週班表!$C$5:$T$44,$CU8,V$57),""),3,1)="隔",IF(V$58=0,LEFT(IFERROR(INDEX(醫師週班表!$C$5:$T$44,$CU8,V$57),""),1),""),IF(MID(IFERROR(INDEX(醫師週班表!$C$5:$T$44,$CU8,V$57),""),2,1)="(",LEFT(IFERROR(INDEX(醫師週班表!$C$5:$T$44,$CU8,V$57),""),1),IFERROR(INDEX(醫師週班表!$C$5:$T$44,$CU8,V$57),"")))))))</f>
        <v/>
      </c>
      <c r="W8" s="71">
        <f>IF(W$59="X","",IF(W$59&lt;&gt;"",W$59,IF(IFERROR(INDEX(醫師週班表!$C$5:$T$44,$CU8,W$57),"")=0,"",IF(MID(IFERROR(INDEX(醫師週班表!$C$5:$T$44,$CU8,W$57),""),2,1)="/",MID(IFERROR(INDEX(醫師週班表!$C$5:$T$44,$CU8,W$57),""),1+W$58*2,1),IF(MID(IFERROR(INDEX(醫師週班表!$C$5:$T$44,$CU8,W$57),""),3,1)="隔",IF(W$58=0,LEFT(IFERROR(INDEX(醫師週班表!$C$5:$T$44,$CU8,W$57),""),1),""),IF(MID(IFERROR(INDEX(醫師週班表!$C$5:$T$44,$CU8,W$57),""),2,1)="(",LEFT(IFERROR(INDEX(醫師週班表!$C$5:$T$44,$CU8,W$57),""),1),IFERROR(INDEX(醫師週班表!$C$5:$T$44,$CU8,W$57),"")))))))</f>
        <v/>
      </c>
      <c r="X8" s="72">
        <f>IF(X$59="X","",IF(X$59&lt;&gt;"",X$59,IF(IFERROR(INDEX(醫師週班表!$C$5:$T$44,$CU8,X$57),"")=0,"",IF(MID(IFERROR(INDEX(醫師週班表!$C$5:$T$44,$CU8,X$57),""),2,1)="/",MID(IFERROR(INDEX(醫師週班表!$C$5:$T$44,$CU8,X$57),""),1+X$58*2,1),IF(MID(IFERROR(INDEX(醫師週班表!$C$5:$T$44,$CU8,X$57),""),3,1)="隔",IF(X$58=0,LEFT(IFERROR(INDEX(醫師週班表!$C$5:$T$44,$CU8,X$57),""),1),""),IF(MID(IFERROR(INDEX(醫師週班表!$C$5:$T$44,$CU8,X$57),""),2,1)="(",LEFT(IFERROR(INDEX(醫師週班表!$C$5:$T$44,$CU8,X$57),""),1),IFERROR(INDEX(醫師週班表!$C$5:$T$44,$CU8,X$57),"")))))))</f>
        <v/>
      </c>
      <c r="Y8" s="72">
        <f>IF(Y$59="X","",IF(Y$59&lt;&gt;"",Y$59,IF(IFERROR(INDEX(醫師週班表!$C$5:$T$44,$CU8,Y$57),"")=0,"",IF(MID(IFERROR(INDEX(醫師週班表!$C$5:$T$44,$CU8,Y$57),""),2,1)="/",MID(IFERROR(INDEX(醫師週班表!$C$5:$T$44,$CU8,Y$57),""),1+Y$58*2,1),IF(MID(IFERROR(INDEX(醫師週班表!$C$5:$T$44,$CU8,Y$57),""),3,1)="隔",IF(Y$58=0,LEFT(IFERROR(INDEX(醫師週班表!$C$5:$T$44,$CU8,Y$57),""),1),""),IF(MID(IFERROR(INDEX(醫師週班表!$C$5:$T$44,$CU8,Y$57),""),2,1)="(",LEFT(IFERROR(INDEX(醫師週班表!$C$5:$T$44,$CU8,Y$57),""),1),IFERROR(INDEX(醫師週班表!$C$5:$T$44,$CU8,Y$57),"")))))))</f>
        <v/>
      </c>
      <c r="Z8" s="71">
        <f>IF(Z$59="X","",IF(Z$59&lt;&gt;"",Z$59,IF(IFERROR(INDEX(醫師週班表!$C$5:$T$44,$CU8,Z$57),"")=0,"",IF(MID(IFERROR(INDEX(醫師週班表!$C$5:$T$44,$CU8,Z$57),""),2,1)="/",MID(IFERROR(INDEX(醫師週班表!$C$5:$T$44,$CU8,Z$57),""),1+Z$58*2,1),IF(MID(IFERROR(INDEX(醫師週班表!$C$5:$T$44,$CU8,Z$57),""),3,1)="隔",IF(Z$58=0,LEFT(IFERROR(INDEX(醫師週班表!$C$5:$T$44,$CU8,Z$57),""),1),""),IF(MID(IFERROR(INDEX(醫師週班表!$C$5:$T$44,$CU8,Z$57),""),2,1)="(",LEFT(IFERROR(INDEX(醫師週班表!$C$5:$T$44,$CU8,Z$57),""),1),IFERROR(INDEX(醫師週班表!$C$5:$T$44,$CU8,Z$57),"")))))))</f>
        <v/>
      </c>
      <c r="AA8" s="72">
        <f>IF(AA$59="X","",IF(AA$59&lt;&gt;"",AA$59,IF(IFERROR(INDEX(醫師週班表!$C$5:$T$44,$CU8,AA$57),"")=0,"",IF(MID(IFERROR(INDEX(醫師週班表!$C$5:$T$44,$CU8,AA$57),""),2,1)="/",MID(IFERROR(INDEX(醫師週班表!$C$5:$T$44,$CU8,AA$57),""),1+AA$58*2,1),IF(MID(IFERROR(INDEX(醫師週班表!$C$5:$T$44,$CU8,AA$57),""),3,1)="隔",IF(AA$58=0,LEFT(IFERROR(INDEX(醫師週班表!$C$5:$T$44,$CU8,AA$57),""),1),""),IF(MID(IFERROR(INDEX(醫師週班表!$C$5:$T$44,$CU8,AA$57),""),2,1)="(",LEFT(IFERROR(INDEX(醫師週班表!$C$5:$T$44,$CU8,AA$57),""),1),IFERROR(INDEX(醫師週班表!$C$5:$T$44,$CU8,AA$57),"")))))))</f>
        <v/>
      </c>
      <c r="AB8" s="72">
        <f>IF(AB$59="X","",IF(AB$59&lt;&gt;"",AB$59,IF(IFERROR(INDEX(醫師週班表!$C$5:$T$44,$CU8,AB$57),"")=0,"",IF(MID(IFERROR(INDEX(醫師週班表!$C$5:$T$44,$CU8,AB$57),""),2,1)="/",MID(IFERROR(INDEX(醫師週班表!$C$5:$T$44,$CU8,AB$57),""),1+AB$58*2,1),IF(MID(IFERROR(INDEX(醫師週班表!$C$5:$T$44,$CU8,AB$57),""),3,1)="隔",IF(AB$58=0,LEFT(IFERROR(INDEX(醫師週班表!$C$5:$T$44,$CU8,AB$57),""),1),""),IF(MID(IFERROR(INDEX(醫師週班表!$C$5:$T$44,$CU8,AB$57),""),2,1)="(",LEFT(IFERROR(INDEX(醫師週班表!$C$5:$T$44,$CU8,AB$57),""),1),IFERROR(INDEX(醫師週班表!$C$5:$T$44,$CU8,AB$57),"")))))))</f>
        <v/>
      </c>
      <c r="AC8" s="71">
        <f>IF(AC$59="X","",IF(AC$59&lt;&gt;"",AC$59,IF(IFERROR(INDEX(醫師週班表!$C$5:$T$44,$CU8,AC$57),"")=0,"",IF(MID(IFERROR(INDEX(醫師週班表!$C$5:$T$44,$CU8,AC$57),""),2,1)="/",MID(IFERROR(INDEX(醫師週班表!$C$5:$T$44,$CU8,AC$57),""),1+AC$58*2,1),IF(MID(IFERROR(INDEX(醫師週班表!$C$5:$T$44,$CU8,AC$57),""),3,1)="隔",IF(AC$58=0,LEFT(IFERROR(INDEX(醫師週班表!$C$5:$T$44,$CU8,AC$57),""),1),""),IF(MID(IFERROR(INDEX(醫師週班表!$C$5:$T$44,$CU8,AC$57),""),2,1)="(",LEFT(IFERROR(INDEX(醫師週班表!$C$5:$T$44,$CU8,AC$57),""),1),IFERROR(INDEX(醫師週班表!$C$5:$T$44,$CU8,AC$57),"")))))))</f>
        <v/>
      </c>
      <c r="AD8" s="72">
        <f>IF(AD$59="X","",IF(AD$59&lt;&gt;"",AD$59,IF(IFERROR(INDEX(醫師週班表!$C$5:$T$44,$CU8,AD$57),"")=0,"",IF(MID(IFERROR(INDEX(醫師週班表!$C$5:$T$44,$CU8,AD$57),""),2,1)="/",MID(IFERROR(INDEX(醫師週班表!$C$5:$T$44,$CU8,AD$57),""),1+AD$58*2,1),IF(MID(IFERROR(INDEX(醫師週班表!$C$5:$T$44,$CU8,AD$57),""),3,1)="隔",IF(AD$58=0,LEFT(IFERROR(INDEX(醫師週班表!$C$5:$T$44,$CU8,AD$57),""),1),""),IF(MID(IFERROR(INDEX(醫師週班表!$C$5:$T$44,$CU8,AD$57),""),2,1)="(",LEFT(IFERROR(INDEX(醫師週班表!$C$5:$T$44,$CU8,AD$57),""),1),IFERROR(INDEX(醫師週班表!$C$5:$T$44,$CU8,AD$57),"")))))))</f>
        <v/>
      </c>
      <c r="AE8" s="72">
        <f>IF(AE$59="X","",IF(AE$59&lt;&gt;"",AE$59,IF(IFERROR(INDEX(醫師週班表!$C$5:$T$44,$CU8,AE$57),"")=0,"",IF(MID(IFERROR(INDEX(醫師週班表!$C$5:$T$44,$CU8,AE$57),""),2,1)="/",MID(IFERROR(INDEX(醫師週班表!$C$5:$T$44,$CU8,AE$57),""),1+AE$58*2,1),IF(MID(IFERROR(INDEX(醫師週班表!$C$5:$T$44,$CU8,AE$57),""),3,1)="隔",IF(AE$58=0,LEFT(IFERROR(INDEX(醫師週班表!$C$5:$T$44,$CU8,AE$57),""),1),""),IF(MID(IFERROR(INDEX(醫師週班表!$C$5:$T$44,$CU8,AE$57),""),2,1)="(",LEFT(IFERROR(INDEX(醫師週班表!$C$5:$T$44,$CU8,AE$57),""),1),IFERROR(INDEX(醫師週班表!$C$5:$T$44,$CU8,AE$57),"")))))))</f>
        <v/>
      </c>
      <c r="AF8" s="71">
        <f>IF(AF$59="X","",IF(AF$59&lt;&gt;"",AF$59,IF(IFERROR(INDEX(醫師週班表!$C$5:$T$44,$CU8,AF$57),"")=0,"",IF(MID(IFERROR(INDEX(醫師週班表!$C$5:$T$44,$CU8,AF$57),""),2,1)="/",MID(IFERROR(INDEX(醫師週班表!$C$5:$T$44,$CU8,AF$57),""),1+AF$58*2,1),IF(MID(IFERROR(INDEX(醫師週班表!$C$5:$T$44,$CU8,AF$57),""),3,1)="隔",IF(AF$58=0,LEFT(IFERROR(INDEX(醫師週班表!$C$5:$T$44,$CU8,AF$57),""),1),""),IF(MID(IFERROR(INDEX(醫師週班表!$C$5:$T$44,$CU8,AF$57),""),2,1)="(",LEFT(IFERROR(INDEX(醫師週班表!$C$5:$T$44,$CU8,AF$57),""),1),IFERROR(INDEX(醫師週班表!$C$5:$T$44,$CU8,AF$57),"")))))))</f>
        <v/>
      </c>
      <c r="AG8" s="72">
        <f>IF(AG$59="X","",IF(AG$59&lt;&gt;"",AG$59,IF(IFERROR(INDEX(醫師週班表!$C$5:$T$44,$CU8,AG$57),"")=0,"",IF(MID(IFERROR(INDEX(醫師週班表!$C$5:$T$44,$CU8,AG$57),""),2,1)="/",MID(IFERROR(INDEX(醫師週班表!$C$5:$T$44,$CU8,AG$57),""),1+AG$58*2,1),IF(MID(IFERROR(INDEX(醫師週班表!$C$5:$T$44,$CU8,AG$57),""),3,1)="隔",IF(AG$58=0,LEFT(IFERROR(INDEX(醫師週班表!$C$5:$T$44,$CU8,AG$57),""),1),""),IF(MID(IFERROR(INDEX(醫師週班表!$C$5:$T$44,$CU8,AG$57),""),2,1)="(",LEFT(IFERROR(INDEX(醫師週班表!$C$5:$T$44,$CU8,AG$57),""),1),IFERROR(INDEX(醫師週班表!$C$5:$T$44,$CU8,AG$57),"")))))))</f>
        <v/>
      </c>
      <c r="AH8" s="72">
        <f>IF(AH$59="X","",IF(AH$59&lt;&gt;"",AH$59,IF(IFERROR(INDEX(醫師週班表!$C$5:$T$44,$CU8,AH$57),"")=0,"",IF(MID(IFERROR(INDEX(醫師週班表!$C$5:$T$44,$CU8,AH$57),""),2,1)="/",MID(IFERROR(INDEX(醫師週班表!$C$5:$T$44,$CU8,AH$57),""),1+AH$58*2,1),IF(MID(IFERROR(INDEX(醫師週班表!$C$5:$T$44,$CU8,AH$57),""),3,1)="隔",IF(AH$58=0,LEFT(IFERROR(INDEX(醫師週班表!$C$5:$T$44,$CU8,AH$57),""),1),""),IF(MID(IFERROR(INDEX(醫師週班表!$C$5:$T$44,$CU8,AH$57),""),2,1)="(",LEFT(IFERROR(INDEX(醫師週班表!$C$5:$T$44,$CU8,AH$57),""),1),IFERROR(INDEX(醫師週班表!$C$5:$T$44,$CU8,AH$57),"")))))))</f>
        <v/>
      </c>
      <c r="AI8" s="71">
        <f>IF(AI$59="X","",IF(AI$59&lt;&gt;"",AI$59,IF(IFERROR(INDEX(醫師週班表!$C$5:$T$44,$CU8,AI$57),"")=0,"",IF(MID(IFERROR(INDEX(醫師週班表!$C$5:$T$44,$CU8,AI$57),""),2,1)="/",MID(IFERROR(INDEX(醫師週班表!$C$5:$T$44,$CU8,AI$57),""),1+AI$58*2,1),IF(MID(IFERROR(INDEX(醫師週班表!$C$5:$T$44,$CU8,AI$57),""),3,1)="隔",IF(AI$58=0,LEFT(IFERROR(INDEX(醫師週班表!$C$5:$T$44,$CU8,AI$57),""),1),""),IF(MID(IFERROR(INDEX(醫師週班表!$C$5:$T$44,$CU8,AI$57),""),2,1)="(",LEFT(IFERROR(INDEX(醫師週班表!$C$5:$T$44,$CU8,AI$57),""),1),IFERROR(INDEX(醫師週班表!$C$5:$T$44,$CU8,AI$57),"")))))))</f>
        <v/>
      </c>
      <c r="AJ8" s="72">
        <f>IF(AJ$59="X","",IF(AJ$59&lt;&gt;"",AJ$59,IF(IFERROR(INDEX(醫師週班表!$C$5:$T$44,$CU8,AJ$57),"")=0,"",IF(MID(IFERROR(INDEX(醫師週班表!$C$5:$T$44,$CU8,AJ$57),""),2,1)="/",MID(IFERROR(INDEX(醫師週班表!$C$5:$T$44,$CU8,AJ$57),""),1+AJ$58*2,1),IF(MID(IFERROR(INDEX(醫師週班表!$C$5:$T$44,$CU8,AJ$57),""),3,1)="隔",IF(AJ$58=0,LEFT(IFERROR(INDEX(醫師週班表!$C$5:$T$44,$CU8,AJ$57),""),1),""),IF(MID(IFERROR(INDEX(醫師週班表!$C$5:$T$44,$CU8,AJ$57),""),2,1)="(",LEFT(IFERROR(INDEX(醫師週班表!$C$5:$T$44,$CU8,AJ$57),""),1),IFERROR(INDEX(醫師週班表!$C$5:$T$44,$CU8,AJ$57),"")))))))</f>
        <v/>
      </c>
      <c r="AK8" s="72">
        <f>IF(AK$59="X","",IF(AK$59&lt;&gt;"",AK$59,IF(IFERROR(INDEX(醫師週班表!$C$5:$T$44,$CU8,AK$57),"")=0,"",IF(MID(IFERROR(INDEX(醫師週班表!$C$5:$T$44,$CU8,AK$57),""),2,1)="/",MID(IFERROR(INDEX(醫師週班表!$C$5:$T$44,$CU8,AK$57),""),1+AK$58*2,1),IF(MID(IFERROR(INDEX(醫師週班表!$C$5:$T$44,$CU8,AK$57),""),3,1)="隔",IF(AK$58=0,LEFT(IFERROR(INDEX(醫師週班表!$C$5:$T$44,$CU8,AK$57),""),1),""),IF(MID(IFERROR(INDEX(醫師週班表!$C$5:$T$44,$CU8,AK$57),""),2,1)="(",LEFT(IFERROR(INDEX(醫師週班表!$C$5:$T$44,$CU8,AK$57),""),1),IFERROR(INDEX(醫師週班表!$C$5:$T$44,$CU8,AK$57),"")))))))</f>
        <v/>
      </c>
      <c r="AL8" s="71">
        <f>IF(AL$59="X","",IF(AL$59&lt;&gt;"",AL$59,IF(IFERROR(INDEX(醫師週班表!$C$5:$T$44,$CU8,AL$57),"")=0,"",IF(MID(IFERROR(INDEX(醫師週班表!$C$5:$T$44,$CU8,AL$57),""),2,1)="/",MID(IFERROR(INDEX(醫師週班表!$C$5:$T$44,$CU8,AL$57),""),1+AL$58*2,1),IF(MID(IFERROR(INDEX(醫師週班表!$C$5:$T$44,$CU8,AL$57),""),3,1)="隔",IF(AL$58=0,LEFT(IFERROR(INDEX(醫師週班表!$C$5:$T$44,$CU8,AL$57),""),1),""),IF(MID(IFERROR(INDEX(醫師週班表!$C$5:$T$44,$CU8,AL$57),""),2,1)="(",LEFT(IFERROR(INDEX(醫師週班表!$C$5:$T$44,$CU8,AL$57),""),1),IFERROR(INDEX(醫師週班表!$C$5:$T$44,$CU8,AL$57),"")))))))</f>
        <v/>
      </c>
      <c r="AM8" s="72">
        <f>IF(AM$59="X","",IF(AM$59&lt;&gt;"",AM$59,IF(IFERROR(INDEX(醫師週班表!$C$5:$T$44,$CU8,AM$57),"")=0,"",IF(MID(IFERROR(INDEX(醫師週班表!$C$5:$T$44,$CU8,AM$57),""),2,1)="/",MID(IFERROR(INDEX(醫師週班表!$C$5:$T$44,$CU8,AM$57),""),1+AM$58*2,1),IF(MID(IFERROR(INDEX(醫師週班表!$C$5:$T$44,$CU8,AM$57),""),3,1)="隔",IF(AM$58=0,LEFT(IFERROR(INDEX(醫師週班表!$C$5:$T$44,$CU8,AM$57),""),1),""),IF(MID(IFERROR(INDEX(醫師週班表!$C$5:$T$44,$CU8,AM$57),""),2,1)="(",LEFT(IFERROR(INDEX(醫師週班表!$C$5:$T$44,$CU8,AM$57),""),1),IFERROR(INDEX(醫師週班表!$C$5:$T$44,$CU8,AM$57),"")))))))</f>
        <v/>
      </c>
      <c r="AN8" s="72">
        <f>IF(AN$59="X","",IF(AN$59&lt;&gt;"",AN$59,IF(IFERROR(INDEX(醫師週班表!$C$5:$T$44,$CU8,AN$57),"")=0,"",IF(MID(IFERROR(INDEX(醫師週班表!$C$5:$T$44,$CU8,AN$57),""),2,1)="/",MID(IFERROR(INDEX(醫師週班表!$C$5:$T$44,$CU8,AN$57),""),1+AN$58*2,1),IF(MID(IFERROR(INDEX(醫師週班表!$C$5:$T$44,$CU8,AN$57),""),3,1)="隔",IF(AN$58=0,LEFT(IFERROR(INDEX(醫師週班表!$C$5:$T$44,$CU8,AN$57),""),1),""),IF(MID(IFERROR(INDEX(醫師週班表!$C$5:$T$44,$CU8,AN$57),""),2,1)="(",LEFT(IFERROR(INDEX(醫師週班表!$C$5:$T$44,$CU8,AN$57),""),1),IFERROR(INDEX(醫師週班表!$C$5:$T$44,$CU8,AN$57),"")))))))</f>
        <v/>
      </c>
      <c r="AO8" s="71">
        <f>IF(AO$59="X","",IF(AO$59&lt;&gt;"",AO$59,IF(IFERROR(INDEX(醫師週班表!$C$5:$T$44,$CU8,AO$57),"")=0,"",IF(MID(IFERROR(INDEX(醫師週班表!$C$5:$T$44,$CU8,AO$57),""),2,1)="/",MID(IFERROR(INDEX(醫師週班表!$C$5:$T$44,$CU8,AO$57),""),1+AO$58*2,1),IF(MID(IFERROR(INDEX(醫師週班表!$C$5:$T$44,$CU8,AO$57),""),3,1)="隔",IF(AO$58=0,LEFT(IFERROR(INDEX(醫師週班表!$C$5:$T$44,$CU8,AO$57),""),1),""),IF(MID(IFERROR(INDEX(醫師週班表!$C$5:$T$44,$CU8,AO$57),""),2,1)="(",LEFT(IFERROR(INDEX(醫師週班表!$C$5:$T$44,$CU8,AO$57),""),1),IFERROR(INDEX(醫師週班表!$C$5:$T$44,$CU8,AO$57),"")))))))</f>
        <v/>
      </c>
      <c r="AP8" s="72">
        <f>IF(AP$59="X","",IF(AP$59&lt;&gt;"",AP$59,IF(IFERROR(INDEX(醫師週班表!$C$5:$T$44,$CU8,AP$57),"")=0,"",IF(MID(IFERROR(INDEX(醫師週班表!$C$5:$T$44,$CU8,AP$57),""),2,1)="/",MID(IFERROR(INDEX(醫師週班表!$C$5:$T$44,$CU8,AP$57),""),1+AP$58*2,1),IF(MID(IFERROR(INDEX(醫師週班表!$C$5:$T$44,$CU8,AP$57),""),3,1)="隔",IF(AP$58=0,LEFT(IFERROR(INDEX(醫師週班表!$C$5:$T$44,$CU8,AP$57),""),1),""),IF(MID(IFERROR(INDEX(醫師週班表!$C$5:$T$44,$CU8,AP$57),""),2,1)="(",LEFT(IFERROR(INDEX(醫師週班表!$C$5:$T$44,$CU8,AP$57),""),1),IFERROR(INDEX(醫師週班表!$C$5:$T$44,$CU8,AP$57),"")))))))</f>
        <v/>
      </c>
      <c r="AQ8" s="72">
        <f>IF(AQ$59="X","",IF(AQ$59&lt;&gt;"",AQ$59,IF(IFERROR(INDEX(醫師週班表!$C$5:$T$44,$CU8,AQ$57),"")=0,"",IF(MID(IFERROR(INDEX(醫師週班表!$C$5:$T$44,$CU8,AQ$57),""),2,1)="/",MID(IFERROR(INDEX(醫師週班表!$C$5:$T$44,$CU8,AQ$57),""),1+AQ$58*2,1),IF(MID(IFERROR(INDEX(醫師週班表!$C$5:$T$44,$CU8,AQ$57),""),3,1)="隔",IF(AQ$58=0,LEFT(IFERROR(INDEX(醫師週班表!$C$5:$T$44,$CU8,AQ$57),""),1),""),IF(MID(IFERROR(INDEX(醫師週班表!$C$5:$T$44,$CU8,AQ$57),""),2,1)="(",LEFT(IFERROR(INDEX(醫師週班表!$C$5:$T$44,$CU8,AQ$57),""),1),IFERROR(INDEX(醫師週班表!$C$5:$T$44,$CU8,AQ$57),"")))))))</f>
        <v/>
      </c>
      <c r="AR8" s="71">
        <f>IF(AR$59="X","",IF(AR$59&lt;&gt;"",AR$59,IF(IFERROR(INDEX(醫師週班表!$C$5:$T$44,$CU8,AR$57),"")=0,"",IF(MID(IFERROR(INDEX(醫師週班表!$C$5:$T$44,$CU8,AR$57),""),2,1)="/",MID(IFERROR(INDEX(醫師週班表!$C$5:$T$44,$CU8,AR$57),""),1+AR$58*2,1),IF(MID(IFERROR(INDEX(醫師週班表!$C$5:$T$44,$CU8,AR$57),""),3,1)="隔",IF(AR$58=0,LEFT(IFERROR(INDEX(醫師週班表!$C$5:$T$44,$CU8,AR$57),""),1),""),IF(MID(IFERROR(INDEX(醫師週班表!$C$5:$T$44,$CU8,AR$57),""),2,1)="(",LEFT(IFERROR(INDEX(醫師週班表!$C$5:$T$44,$CU8,AR$57),""),1),IFERROR(INDEX(醫師週班表!$C$5:$T$44,$CU8,AR$57),"")))))))</f>
        <v/>
      </c>
      <c r="AS8" s="72">
        <f>IF(AS$59="X","",IF(AS$59&lt;&gt;"",AS$59,IF(IFERROR(INDEX(醫師週班表!$C$5:$T$44,$CU8,AS$57),"")=0,"",IF(MID(IFERROR(INDEX(醫師週班表!$C$5:$T$44,$CU8,AS$57),""),2,1)="/",MID(IFERROR(INDEX(醫師週班表!$C$5:$T$44,$CU8,AS$57),""),1+AS$58*2,1),IF(MID(IFERROR(INDEX(醫師週班表!$C$5:$T$44,$CU8,AS$57),""),3,1)="隔",IF(AS$58=0,LEFT(IFERROR(INDEX(醫師週班表!$C$5:$T$44,$CU8,AS$57),""),1),""),IF(MID(IFERROR(INDEX(醫師週班表!$C$5:$T$44,$CU8,AS$57),""),2,1)="(",LEFT(IFERROR(INDEX(醫師週班表!$C$5:$T$44,$CU8,AS$57),""),1),IFERROR(INDEX(醫師週班表!$C$5:$T$44,$CU8,AS$57),"")))))))</f>
        <v/>
      </c>
      <c r="AT8" s="72">
        <f>IF(AT$59="X","",IF(AT$59&lt;&gt;"",AT$59,IF(IFERROR(INDEX(醫師週班表!$C$5:$T$44,$CU8,AT$57),"")=0,"",IF(MID(IFERROR(INDEX(醫師週班表!$C$5:$T$44,$CU8,AT$57),""),2,1)="/",MID(IFERROR(INDEX(醫師週班表!$C$5:$T$44,$CU8,AT$57),""),1+AT$58*2,1),IF(MID(IFERROR(INDEX(醫師週班表!$C$5:$T$44,$CU8,AT$57),""),3,1)="隔",IF(AT$58=0,LEFT(IFERROR(INDEX(醫師週班表!$C$5:$T$44,$CU8,AT$57),""),1),""),IF(MID(IFERROR(INDEX(醫師週班表!$C$5:$T$44,$CU8,AT$57),""),2,1)="(",LEFT(IFERROR(INDEX(醫師週班表!$C$5:$T$44,$CU8,AT$57),""),1),IFERROR(INDEX(醫師週班表!$C$5:$T$44,$CU8,AT$57),"")))))))</f>
        <v/>
      </c>
      <c r="AU8" s="71">
        <f>IF(AU$59="X","",IF(AU$59&lt;&gt;"",AU$59,IF(IFERROR(INDEX(醫師週班表!$C$5:$T$44,$CU8,AU$57),"")=0,"",IF(MID(IFERROR(INDEX(醫師週班表!$C$5:$T$44,$CU8,AU$57),""),2,1)="/",MID(IFERROR(INDEX(醫師週班表!$C$5:$T$44,$CU8,AU$57),""),1+AU$58*2,1),IF(MID(IFERROR(INDEX(醫師週班表!$C$5:$T$44,$CU8,AU$57),""),3,1)="隔",IF(AU$58=0,LEFT(IFERROR(INDEX(醫師週班表!$C$5:$T$44,$CU8,AU$57),""),1),""),IF(MID(IFERROR(INDEX(醫師週班表!$C$5:$T$44,$CU8,AU$57),""),2,1)="(",LEFT(IFERROR(INDEX(醫師週班表!$C$5:$T$44,$CU8,AU$57),""),1),IFERROR(INDEX(醫師週班表!$C$5:$T$44,$CU8,AU$57),"")))))))</f>
        <v/>
      </c>
      <c r="AV8" s="72">
        <f>IF(AV$59="X","",IF(AV$59&lt;&gt;"",AV$59,IF(IFERROR(INDEX(醫師週班表!$C$5:$T$44,$CU8,AV$57),"")=0,"",IF(MID(IFERROR(INDEX(醫師週班表!$C$5:$T$44,$CU8,AV$57),""),2,1)="/",MID(IFERROR(INDEX(醫師週班表!$C$5:$T$44,$CU8,AV$57),""),1+AV$58*2,1),IF(MID(IFERROR(INDEX(醫師週班表!$C$5:$T$44,$CU8,AV$57),""),3,1)="隔",IF(AV$58=0,LEFT(IFERROR(INDEX(醫師週班表!$C$5:$T$44,$CU8,AV$57),""),1),""),IF(MID(IFERROR(INDEX(醫師週班表!$C$5:$T$44,$CU8,AV$57),""),2,1)="(",LEFT(IFERROR(INDEX(醫師週班表!$C$5:$T$44,$CU8,AV$57),""),1),IFERROR(INDEX(醫師週班表!$C$5:$T$44,$CU8,AV$57),"")))))))</f>
        <v/>
      </c>
      <c r="AW8" s="72">
        <f>IF(AW$59="X","",IF(AW$59&lt;&gt;"",AW$59,IF(IFERROR(INDEX(醫師週班表!$C$5:$T$44,$CU8,AW$57),"")=0,"",IF(MID(IFERROR(INDEX(醫師週班表!$C$5:$T$44,$CU8,AW$57),""),2,1)="/",MID(IFERROR(INDEX(醫師週班表!$C$5:$T$44,$CU8,AW$57),""),1+AW$58*2,1),IF(MID(IFERROR(INDEX(醫師週班表!$C$5:$T$44,$CU8,AW$57),""),3,1)="隔",IF(AW$58=0,LEFT(IFERROR(INDEX(醫師週班表!$C$5:$T$44,$CU8,AW$57),""),1),""),IF(MID(IFERROR(INDEX(醫師週班表!$C$5:$T$44,$CU8,AW$57),""),2,1)="(",LEFT(IFERROR(INDEX(醫師週班表!$C$5:$T$44,$CU8,AW$57),""),1),IFERROR(INDEX(醫師週班表!$C$5:$T$44,$CU8,AW$57),"")))))))</f>
        <v/>
      </c>
      <c r="AX8" s="71">
        <f>IF(AX$59="X","",IF(AX$59&lt;&gt;"",AX$59,IF(IFERROR(INDEX(醫師週班表!$C$5:$T$44,$CU8,AX$57),"")=0,"",IF(MID(IFERROR(INDEX(醫師週班表!$C$5:$T$44,$CU8,AX$57),""),2,1)="/",MID(IFERROR(INDEX(醫師週班表!$C$5:$T$44,$CU8,AX$57),""),1+AX$58*2,1),IF(MID(IFERROR(INDEX(醫師週班表!$C$5:$T$44,$CU8,AX$57),""),3,1)="隔",IF(AX$58=0,LEFT(IFERROR(INDEX(醫師週班表!$C$5:$T$44,$CU8,AX$57),""),1),""),IF(MID(IFERROR(INDEX(醫師週班表!$C$5:$T$44,$CU8,AX$57),""),2,1)="(",LEFT(IFERROR(INDEX(醫師週班表!$C$5:$T$44,$CU8,AX$57),""),1),IFERROR(INDEX(醫師週班表!$C$5:$T$44,$CU8,AX$57),"")))))))</f>
        <v/>
      </c>
      <c r="AY8" s="72">
        <f>IF(AY$59="X","",IF(AY$59&lt;&gt;"",AY$59,IF(IFERROR(INDEX(醫師週班表!$C$5:$T$44,$CU8,AY$57),"")=0,"",IF(MID(IFERROR(INDEX(醫師週班表!$C$5:$T$44,$CU8,AY$57),""),2,1)="/",MID(IFERROR(INDEX(醫師週班表!$C$5:$T$44,$CU8,AY$57),""),1+AY$58*2,1),IF(MID(IFERROR(INDEX(醫師週班表!$C$5:$T$44,$CU8,AY$57),""),3,1)="隔",IF(AY$58=0,LEFT(IFERROR(INDEX(醫師週班表!$C$5:$T$44,$CU8,AY$57),""),1),""),IF(MID(IFERROR(INDEX(醫師週班表!$C$5:$T$44,$CU8,AY$57),""),2,1)="(",LEFT(IFERROR(INDEX(醫師週班表!$C$5:$T$44,$CU8,AY$57),""),1),IFERROR(INDEX(醫師週班表!$C$5:$T$44,$CU8,AY$57),"")))))))</f>
        <v/>
      </c>
      <c r="AZ8" s="72">
        <f>IF(AZ$59="X","",IF(AZ$59&lt;&gt;"",AZ$59,IF(IFERROR(INDEX(醫師週班表!$C$5:$T$44,$CU8,AZ$57),"")=0,"",IF(MID(IFERROR(INDEX(醫師週班表!$C$5:$T$44,$CU8,AZ$57),""),2,1)="/",MID(IFERROR(INDEX(醫師週班表!$C$5:$T$44,$CU8,AZ$57),""),1+AZ$58*2,1),IF(MID(IFERROR(INDEX(醫師週班表!$C$5:$T$44,$CU8,AZ$57),""),3,1)="隔",IF(AZ$58=0,LEFT(IFERROR(INDEX(醫師週班表!$C$5:$T$44,$CU8,AZ$57),""),1),""),IF(MID(IFERROR(INDEX(醫師週班表!$C$5:$T$44,$CU8,AZ$57),""),2,1)="(",LEFT(IFERROR(INDEX(醫師週班表!$C$5:$T$44,$CU8,AZ$57),""),1),IFERROR(INDEX(醫師週班表!$C$5:$T$44,$CU8,AZ$57),"")))))))</f>
        <v/>
      </c>
      <c r="BA8" s="71">
        <f>IF(BA$59="X","",IF(BA$59&lt;&gt;"",BA$59,IF(IFERROR(INDEX(醫師週班表!$C$5:$T$44,$CU8,BA$57),"")=0,"",IF(MID(IFERROR(INDEX(醫師週班表!$C$5:$T$44,$CU8,BA$57),""),2,1)="/",MID(IFERROR(INDEX(醫師週班表!$C$5:$T$44,$CU8,BA$57),""),1+BA$58*2,1),IF(MID(IFERROR(INDEX(醫師週班表!$C$5:$T$44,$CU8,BA$57),""),3,1)="隔",IF(BA$58=0,LEFT(IFERROR(INDEX(醫師週班表!$C$5:$T$44,$CU8,BA$57),""),1),""),IF(MID(IFERROR(INDEX(醫師週班表!$C$5:$T$44,$CU8,BA$57),""),2,1)="(",LEFT(IFERROR(INDEX(醫師週班表!$C$5:$T$44,$CU8,BA$57),""),1),IFERROR(INDEX(醫師週班表!$C$5:$T$44,$CU8,BA$57),"")))))))</f>
        <v/>
      </c>
      <c r="BB8" s="72">
        <f>IF(BB$59="X","",IF(BB$59&lt;&gt;"",BB$59,IF(IFERROR(INDEX(醫師週班表!$C$5:$T$44,$CU8,BB$57),"")=0,"",IF(MID(IFERROR(INDEX(醫師週班表!$C$5:$T$44,$CU8,BB$57),""),2,1)="/",MID(IFERROR(INDEX(醫師週班表!$C$5:$T$44,$CU8,BB$57),""),1+BB$58*2,1),IF(MID(IFERROR(INDEX(醫師週班表!$C$5:$T$44,$CU8,BB$57),""),3,1)="隔",IF(BB$58=0,LEFT(IFERROR(INDEX(醫師週班表!$C$5:$T$44,$CU8,BB$57),""),1),""),IF(MID(IFERROR(INDEX(醫師週班表!$C$5:$T$44,$CU8,BB$57),""),2,1)="(",LEFT(IFERROR(INDEX(醫師週班表!$C$5:$T$44,$CU8,BB$57),""),1),IFERROR(INDEX(醫師週班表!$C$5:$T$44,$CU8,BB$57),"")))))))</f>
        <v/>
      </c>
      <c r="BC8" s="72">
        <f>IF(BC$59="X","",IF(BC$59&lt;&gt;"",BC$59,IF(IFERROR(INDEX(醫師週班表!$C$5:$T$44,$CU8,BC$57),"")=0,"",IF(MID(IFERROR(INDEX(醫師週班表!$C$5:$T$44,$CU8,BC$57),""),2,1)="/",MID(IFERROR(INDEX(醫師週班表!$C$5:$T$44,$CU8,BC$57),""),1+BC$58*2,1),IF(MID(IFERROR(INDEX(醫師週班表!$C$5:$T$44,$CU8,BC$57),""),3,1)="隔",IF(BC$58=0,LEFT(IFERROR(INDEX(醫師週班表!$C$5:$T$44,$CU8,BC$57),""),1),""),IF(MID(IFERROR(INDEX(醫師週班表!$C$5:$T$44,$CU8,BC$57),""),2,1)="(",LEFT(IFERROR(INDEX(醫師週班表!$C$5:$T$44,$CU8,BC$57),""),1),IFERROR(INDEX(醫師週班表!$C$5:$T$44,$CU8,BC$57),"")))))))</f>
        <v/>
      </c>
      <c r="BD8" s="71">
        <f>IF(BD$59="X","",IF(BD$59&lt;&gt;"",BD$59,IF(IFERROR(INDEX(醫師週班表!$C$5:$T$44,$CU8,BD$57),"")=0,"",IF(MID(IFERROR(INDEX(醫師週班表!$C$5:$T$44,$CU8,BD$57),""),2,1)="/",MID(IFERROR(INDEX(醫師週班表!$C$5:$T$44,$CU8,BD$57),""),1+BD$58*2,1),IF(MID(IFERROR(INDEX(醫師週班表!$C$5:$T$44,$CU8,BD$57),""),3,1)="隔",IF(BD$58=0,LEFT(IFERROR(INDEX(醫師週班表!$C$5:$T$44,$CU8,BD$57),""),1),""),IF(MID(IFERROR(INDEX(醫師週班表!$C$5:$T$44,$CU8,BD$57),""),2,1)="(",LEFT(IFERROR(INDEX(醫師週班表!$C$5:$T$44,$CU8,BD$57),""),1),IFERROR(INDEX(醫師週班表!$C$5:$T$44,$CU8,BD$57),"")))))))</f>
        <v/>
      </c>
      <c r="BE8" s="72">
        <f>IF(BE$59="X","",IF(BE$59&lt;&gt;"",BE$59,IF(IFERROR(INDEX(醫師週班表!$C$5:$T$44,$CU8,BE$57),"")=0,"",IF(MID(IFERROR(INDEX(醫師週班表!$C$5:$T$44,$CU8,BE$57),""),2,1)="/",MID(IFERROR(INDEX(醫師週班表!$C$5:$T$44,$CU8,BE$57),""),1+BE$58*2,1),IF(MID(IFERROR(INDEX(醫師週班表!$C$5:$T$44,$CU8,BE$57),""),3,1)="隔",IF(BE$58=0,LEFT(IFERROR(INDEX(醫師週班表!$C$5:$T$44,$CU8,BE$57),""),1),""),IF(MID(IFERROR(INDEX(醫師週班表!$C$5:$T$44,$CU8,BE$57),""),2,1)="(",LEFT(IFERROR(INDEX(醫師週班表!$C$5:$T$44,$CU8,BE$57),""),1),IFERROR(INDEX(醫師週班表!$C$5:$T$44,$CU8,BE$57),"")))))))</f>
        <v/>
      </c>
      <c r="BF8" s="72">
        <f>IF(BF$59="X","",IF(BF$59&lt;&gt;"",BF$59,IF(IFERROR(INDEX(醫師週班表!$C$5:$T$44,$CU8,BF$57),"")=0,"",IF(MID(IFERROR(INDEX(醫師週班表!$C$5:$T$44,$CU8,BF$57),""),2,1)="/",MID(IFERROR(INDEX(醫師週班表!$C$5:$T$44,$CU8,BF$57),""),1+BF$58*2,1),IF(MID(IFERROR(INDEX(醫師週班表!$C$5:$T$44,$CU8,BF$57),""),3,1)="隔",IF(BF$58=0,LEFT(IFERROR(INDEX(醫師週班表!$C$5:$T$44,$CU8,BF$57),""),1),""),IF(MID(IFERROR(INDEX(醫師週班表!$C$5:$T$44,$CU8,BF$57),""),2,1)="(",LEFT(IFERROR(INDEX(醫師週班表!$C$5:$T$44,$CU8,BF$57),""),1),IFERROR(INDEX(醫師週班表!$C$5:$T$44,$CU8,BF$57),"")))))))</f>
        <v/>
      </c>
      <c r="BG8" s="71">
        <f>IF(BG$59="X","",IF(BG$59&lt;&gt;"",BG$59,IF(IFERROR(INDEX(醫師週班表!$C$5:$T$44,$CU8,BG$57),"")=0,"",IF(MID(IFERROR(INDEX(醫師週班表!$C$5:$T$44,$CU8,BG$57),""),2,1)="/",MID(IFERROR(INDEX(醫師週班表!$C$5:$T$44,$CU8,BG$57),""),1+BG$58*2,1),IF(MID(IFERROR(INDEX(醫師週班表!$C$5:$T$44,$CU8,BG$57),""),3,1)="隔",IF(BG$58=0,LEFT(IFERROR(INDEX(醫師週班表!$C$5:$T$44,$CU8,BG$57),""),1),""),IF(MID(IFERROR(INDEX(醫師週班表!$C$5:$T$44,$CU8,BG$57),""),2,1)="(",LEFT(IFERROR(INDEX(醫師週班表!$C$5:$T$44,$CU8,BG$57),""),1),IFERROR(INDEX(醫師週班表!$C$5:$T$44,$CU8,BG$57),"")))))))</f>
        <v/>
      </c>
      <c r="BH8" s="72">
        <f>IF(BH$59="X","",IF(BH$59&lt;&gt;"",BH$59,IF(IFERROR(INDEX(醫師週班表!$C$5:$T$44,$CU8,BH$57),"")=0,"",IF(MID(IFERROR(INDEX(醫師週班表!$C$5:$T$44,$CU8,BH$57),""),2,1)="/",MID(IFERROR(INDEX(醫師週班表!$C$5:$T$44,$CU8,BH$57),""),1+BH$58*2,1),IF(MID(IFERROR(INDEX(醫師週班表!$C$5:$T$44,$CU8,BH$57),""),3,1)="隔",IF(BH$58=0,LEFT(IFERROR(INDEX(醫師週班表!$C$5:$T$44,$CU8,BH$57),""),1),""),IF(MID(IFERROR(INDEX(醫師週班表!$C$5:$T$44,$CU8,BH$57),""),2,1)="(",LEFT(IFERROR(INDEX(醫師週班表!$C$5:$T$44,$CU8,BH$57),""),1),IFERROR(INDEX(醫師週班表!$C$5:$T$44,$CU8,BH$57),"")))))))</f>
        <v/>
      </c>
      <c r="BI8" s="72">
        <f>IF(BI$59="X","",IF(BI$59&lt;&gt;"",BI$59,IF(IFERROR(INDEX(醫師週班表!$C$5:$T$44,$CU8,BI$57),"")=0,"",IF(MID(IFERROR(INDEX(醫師週班表!$C$5:$T$44,$CU8,BI$57),""),2,1)="/",MID(IFERROR(INDEX(醫師週班表!$C$5:$T$44,$CU8,BI$57),""),1+BI$58*2,1),IF(MID(IFERROR(INDEX(醫師週班表!$C$5:$T$44,$CU8,BI$57),""),3,1)="隔",IF(BI$58=0,LEFT(IFERROR(INDEX(醫師週班表!$C$5:$T$44,$CU8,BI$57),""),1),""),IF(MID(IFERROR(INDEX(醫師週班表!$C$5:$T$44,$CU8,BI$57),""),2,1)="(",LEFT(IFERROR(INDEX(醫師週班表!$C$5:$T$44,$CU8,BI$57),""),1),IFERROR(INDEX(醫師週班表!$C$5:$T$44,$CU8,BI$57),"")))))))</f>
        <v/>
      </c>
      <c r="BJ8" s="71">
        <f>IF(BJ$59="X","",IF(BJ$59&lt;&gt;"",BJ$59,IF(IFERROR(INDEX(醫師週班表!$C$5:$T$44,$CU8,BJ$57),"")=0,"",IF(MID(IFERROR(INDEX(醫師週班表!$C$5:$T$44,$CU8,BJ$57),""),2,1)="/",MID(IFERROR(INDEX(醫師週班表!$C$5:$T$44,$CU8,BJ$57),""),1+BJ$58*2,1),IF(MID(IFERROR(INDEX(醫師週班表!$C$5:$T$44,$CU8,BJ$57),""),3,1)="隔",IF(BJ$58=0,LEFT(IFERROR(INDEX(醫師週班表!$C$5:$T$44,$CU8,BJ$57),""),1),""),IF(MID(IFERROR(INDEX(醫師週班表!$C$5:$T$44,$CU8,BJ$57),""),2,1)="(",LEFT(IFERROR(INDEX(醫師週班表!$C$5:$T$44,$CU8,BJ$57),""),1),IFERROR(INDEX(醫師週班表!$C$5:$T$44,$CU8,BJ$57),"")))))))</f>
        <v/>
      </c>
      <c r="BK8" s="72">
        <f>IF(BK$59="X","",IF(BK$59&lt;&gt;"",BK$59,IF(IFERROR(INDEX(醫師週班表!$C$5:$T$44,$CU8,BK$57),"")=0,"",IF(MID(IFERROR(INDEX(醫師週班表!$C$5:$T$44,$CU8,BK$57),""),2,1)="/",MID(IFERROR(INDEX(醫師週班表!$C$5:$T$44,$CU8,BK$57),""),1+BK$58*2,1),IF(MID(IFERROR(INDEX(醫師週班表!$C$5:$T$44,$CU8,BK$57),""),3,1)="隔",IF(BK$58=0,LEFT(IFERROR(INDEX(醫師週班表!$C$5:$T$44,$CU8,BK$57),""),1),""),IF(MID(IFERROR(INDEX(醫師週班表!$C$5:$T$44,$CU8,BK$57),""),2,1)="(",LEFT(IFERROR(INDEX(醫師週班表!$C$5:$T$44,$CU8,BK$57),""),1),IFERROR(INDEX(醫師週班表!$C$5:$T$44,$CU8,BK$57),"")))))))</f>
        <v/>
      </c>
      <c r="BL8" s="72">
        <f>IF(BL$59="X","",IF(BL$59&lt;&gt;"",BL$59,IF(IFERROR(INDEX(醫師週班表!$C$5:$T$44,$CU8,BL$57),"")=0,"",IF(MID(IFERROR(INDEX(醫師週班表!$C$5:$T$44,$CU8,BL$57),""),2,1)="/",MID(IFERROR(INDEX(醫師週班表!$C$5:$T$44,$CU8,BL$57),""),1+BL$58*2,1),IF(MID(IFERROR(INDEX(醫師週班表!$C$5:$T$44,$CU8,BL$57),""),3,1)="隔",IF(BL$58=0,LEFT(IFERROR(INDEX(醫師週班表!$C$5:$T$44,$CU8,BL$57),""),1),""),IF(MID(IFERROR(INDEX(醫師週班表!$C$5:$T$44,$CU8,BL$57),""),2,1)="(",LEFT(IFERROR(INDEX(醫師週班表!$C$5:$T$44,$CU8,BL$57),""),1),IFERROR(INDEX(醫師週班表!$C$5:$T$44,$CU8,BL$57),"")))))))</f>
        <v/>
      </c>
      <c r="BM8" s="71">
        <f>IF(BM$59="X","",IF(BM$59&lt;&gt;"",BM$59,IF(IFERROR(INDEX(醫師週班表!$C$5:$T$44,$CU8,BM$57),"")=0,"",IF(MID(IFERROR(INDEX(醫師週班表!$C$5:$T$44,$CU8,BM$57),""),2,1)="/",MID(IFERROR(INDEX(醫師週班表!$C$5:$T$44,$CU8,BM$57),""),1+BM$58*2,1),IF(MID(IFERROR(INDEX(醫師週班表!$C$5:$T$44,$CU8,BM$57),""),3,1)="隔",IF(BM$58=0,LEFT(IFERROR(INDEX(醫師週班表!$C$5:$T$44,$CU8,BM$57),""),1),""),IF(MID(IFERROR(INDEX(醫師週班表!$C$5:$T$44,$CU8,BM$57),""),2,1)="(",LEFT(IFERROR(INDEX(醫師週班表!$C$5:$T$44,$CU8,BM$57),""),1),IFERROR(INDEX(醫師週班表!$C$5:$T$44,$CU8,BM$57),"")))))))</f>
        <v/>
      </c>
      <c r="BN8" s="72">
        <f>IF(BN$59="X","",IF(BN$59&lt;&gt;"",BN$59,IF(IFERROR(INDEX(醫師週班表!$C$5:$T$44,$CU8,BN$57),"")=0,"",IF(MID(IFERROR(INDEX(醫師週班表!$C$5:$T$44,$CU8,BN$57),""),2,1)="/",MID(IFERROR(INDEX(醫師週班表!$C$5:$T$44,$CU8,BN$57),""),1+BN$58*2,1),IF(MID(IFERROR(INDEX(醫師週班表!$C$5:$T$44,$CU8,BN$57),""),3,1)="隔",IF(BN$58=0,LEFT(IFERROR(INDEX(醫師週班表!$C$5:$T$44,$CU8,BN$57),""),1),""),IF(MID(IFERROR(INDEX(醫師週班表!$C$5:$T$44,$CU8,BN$57),""),2,1)="(",LEFT(IFERROR(INDEX(醫師週班表!$C$5:$T$44,$CU8,BN$57),""),1),IFERROR(INDEX(醫師週班表!$C$5:$T$44,$CU8,BN$57),"")))))))</f>
        <v/>
      </c>
      <c r="BO8" s="72">
        <f>IF(BO$59="X","",IF(BO$59&lt;&gt;"",BO$59,IF(IFERROR(INDEX(醫師週班表!$C$5:$T$44,$CU8,BO$57),"")=0,"",IF(MID(IFERROR(INDEX(醫師週班表!$C$5:$T$44,$CU8,BO$57),""),2,1)="/",MID(IFERROR(INDEX(醫師週班表!$C$5:$T$44,$CU8,BO$57),""),1+BO$58*2,1),IF(MID(IFERROR(INDEX(醫師週班表!$C$5:$T$44,$CU8,BO$57),""),3,1)="隔",IF(BO$58=0,LEFT(IFERROR(INDEX(醫師週班表!$C$5:$T$44,$CU8,BO$57),""),1),""),IF(MID(IFERROR(INDEX(醫師週班表!$C$5:$T$44,$CU8,BO$57),""),2,1)="(",LEFT(IFERROR(INDEX(醫師週班表!$C$5:$T$44,$CU8,BO$57),""),1),IFERROR(INDEX(醫師週班表!$C$5:$T$44,$CU8,BO$57),"")))))))</f>
        <v/>
      </c>
      <c r="BP8" s="71">
        <f>IF(BP$59="X","",IF(BP$59&lt;&gt;"",BP$59,IF(IFERROR(INDEX(醫師週班表!$C$5:$T$44,$CU8,BP$57),"")=0,"",IF(MID(IFERROR(INDEX(醫師週班表!$C$5:$T$44,$CU8,BP$57),""),2,1)="/",MID(IFERROR(INDEX(醫師週班表!$C$5:$T$44,$CU8,BP$57),""),1+BP$58*2,1),IF(MID(IFERROR(INDEX(醫師週班表!$C$5:$T$44,$CU8,BP$57),""),3,1)="隔",IF(BP$58=0,LEFT(IFERROR(INDEX(醫師週班表!$C$5:$T$44,$CU8,BP$57),""),1),""),IF(MID(IFERROR(INDEX(醫師週班表!$C$5:$T$44,$CU8,BP$57),""),2,1)="(",LEFT(IFERROR(INDEX(醫師週班表!$C$5:$T$44,$CU8,BP$57),""),1),IFERROR(INDEX(醫師週班表!$C$5:$T$44,$CU8,BP$57),"")))))))</f>
        <v/>
      </c>
      <c r="BQ8" s="72">
        <f>IF(BQ$59="X","",IF(BQ$59&lt;&gt;"",BQ$59,IF(IFERROR(INDEX(醫師週班表!$C$5:$T$44,$CU8,BQ$57),"")=0,"",IF(MID(IFERROR(INDEX(醫師週班表!$C$5:$T$44,$CU8,BQ$57),""),2,1)="/",MID(IFERROR(INDEX(醫師週班表!$C$5:$T$44,$CU8,BQ$57),""),1+BQ$58*2,1),IF(MID(IFERROR(INDEX(醫師週班表!$C$5:$T$44,$CU8,BQ$57),""),3,1)="隔",IF(BQ$58=0,LEFT(IFERROR(INDEX(醫師週班表!$C$5:$T$44,$CU8,BQ$57),""),1),""),IF(MID(IFERROR(INDEX(醫師週班表!$C$5:$T$44,$CU8,BQ$57),""),2,1)="(",LEFT(IFERROR(INDEX(醫師週班表!$C$5:$T$44,$CU8,BQ$57),""),1),IFERROR(INDEX(醫師週班表!$C$5:$T$44,$CU8,BQ$57),"")))))))</f>
        <v/>
      </c>
      <c r="BR8" s="72">
        <f>IF(BR$59="X","",IF(BR$59&lt;&gt;"",BR$59,IF(IFERROR(INDEX(醫師週班表!$C$5:$T$44,$CU8,BR$57),"")=0,"",IF(MID(IFERROR(INDEX(醫師週班表!$C$5:$T$44,$CU8,BR$57),""),2,1)="/",MID(IFERROR(INDEX(醫師週班表!$C$5:$T$44,$CU8,BR$57),""),1+BR$58*2,1),IF(MID(IFERROR(INDEX(醫師週班表!$C$5:$T$44,$CU8,BR$57),""),3,1)="隔",IF(BR$58=0,LEFT(IFERROR(INDEX(醫師週班表!$C$5:$T$44,$CU8,BR$57),""),1),""),IF(MID(IFERROR(INDEX(醫師週班表!$C$5:$T$44,$CU8,BR$57),""),2,1)="(",LEFT(IFERROR(INDEX(醫師週班表!$C$5:$T$44,$CU8,BR$57),""),1),IFERROR(INDEX(醫師週班表!$C$5:$T$44,$CU8,BR$57),"")))))))</f>
        <v/>
      </c>
      <c r="BS8" s="71">
        <f>IF(BS$59="X","",IF(BS$59&lt;&gt;"",BS$59,IF(IFERROR(INDEX(醫師週班表!$C$5:$T$44,$CU8,BS$57),"")=0,"",IF(MID(IFERROR(INDEX(醫師週班表!$C$5:$T$44,$CU8,BS$57),""),2,1)="/",MID(IFERROR(INDEX(醫師週班表!$C$5:$T$44,$CU8,BS$57),""),1+BS$58*2,1),IF(MID(IFERROR(INDEX(醫師週班表!$C$5:$T$44,$CU8,BS$57),""),3,1)="隔",IF(BS$58=0,LEFT(IFERROR(INDEX(醫師週班表!$C$5:$T$44,$CU8,BS$57),""),1),""),IF(MID(IFERROR(INDEX(醫師週班表!$C$5:$T$44,$CU8,BS$57),""),2,1)="(",LEFT(IFERROR(INDEX(醫師週班表!$C$5:$T$44,$CU8,BS$57),""),1),IFERROR(INDEX(醫師週班表!$C$5:$T$44,$CU8,BS$57),"")))))))</f>
        <v/>
      </c>
      <c r="BT8" s="72">
        <f>IF(BT$59="X","",IF(BT$59&lt;&gt;"",BT$59,IF(IFERROR(INDEX(醫師週班表!$C$5:$T$44,$CU8,BT$57),"")=0,"",IF(MID(IFERROR(INDEX(醫師週班表!$C$5:$T$44,$CU8,BT$57),""),2,1)="/",MID(IFERROR(INDEX(醫師週班表!$C$5:$T$44,$CU8,BT$57),""),1+BT$58*2,1),IF(MID(IFERROR(INDEX(醫師週班表!$C$5:$T$44,$CU8,BT$57),""),3,1)="隔",IF(BT$58=0,LEFT(IFERROR(INDEX(醫師週班表!$C$5:$T$44,$CU8,BT$57),""),1),""),IF(MID(IFERROR(INDEX(醫師週班表!$C$5:$T$44,$CU8,BT$57),""),2,1)="(",LEFT(IFERROR(INDEX(醫師週班表!$C$5:$T$44,$CU8,BT$57),""),1),IFERROR(INDEX(醫師週班表!$C$5:$T$44,$CU8,BT$57),"")))))))</f>
        <v/>
      </c>
      <c r="BU8" s="72">
        <f>IF(BU$59="X","",IF(BU$59&lt;&gt;"",BU$59,IF(IFERROR(INDEX(醫師週班表!$C$5:$T$44,$CU8,BU$57),"")=0,"",IF(MID(IFERROR(INDEX(醫師週班表!$C$5:$T$44,$CU8,BU$57),""),2,1)="/",MID(IFERROR(INDEX(醫師週班表!$C$5:$T$44,$CU8,BU$57),""),1+BU$58*2,1),IF(MID(IFERROR(INDEX(醫師週班表!$C$5:$T$44,$CU8,BU$57),""),3,1)="隔",IF(BU$58=0,LEFT(IFERROR(INDEX(醫師週班表!$C$5:$T$44,$CU8,BU$57),""),1),""),IF(MID(IFERROR(INDEX(醫師週班表!$C$5:$T$44,$CU8,BU$57),""),2,1)="(",LEFT(IFERROR(INDEX(醫師週班表!$C$5:$T$44,$CU8,BU$57),""),1),IFERROR(INDEX(醫師週班表!$C$5:$T$44,$CU8,BU$57),"")))))))</f>
        <v/>
      </c>
      <c r="BV8" s="71">
        <f>IF(BV$59="X","",IF(BV$59&lt;&gt;"",BV$59,IF(IFERROR(INDEX(醫師週班表!$C$5:$T$44,$CU8,BV$57),"")=0,"",IF(MID(IFERROR(INDEX(醫師週班表!$C$5:$T$44,$CU8,BV$57),""),2,1)="/",MID(IFERROR(INDEX(醫師週班表!$C$5:$T$44,$CU8,BV$57),""),1+BV$58*2,1),IF(MID(IFERROR(INDEX(醫師週班表!$C$5:$T$44,$CU8,BV$57),""),3,1)="隔",IF(BV$58=0,LEFT(IFERROR(INDEX(醫師週班表!$C$5:$T$44,$CU8,BV$57),""),1),""),IF(MID(IFERROR(INDEX(醫師週班表!$C$5:$T$44,$CU8,BV$57),""),2,1)="(",LEFT(IFERROR(INDEX(醫師週班表!$C$5:$T$44,$CU8,BV$57),""),1),IFERROR(INDEX(醫師週班表!$C$5:$T$44,$CU8,BV$57),"")))))))</f>
        <v/>
      </c>
      <c r="BW8" s="72">
        <f>IF(BW$59="X","",IF(BW$59&lt;&gt;"",BW$59,IF(IFERROR(INDEX(醫師週班表!$C$5:$T$44,$CU8,BW$57),"")=0,"",IF(MID(IFERROR(INDEX(醫師週班表!$C$5:$T$44,$CU8,BW$57),""),2,1)="/",MID(IFERROR(INDEX(醫師週班表!$C$5:$T$44,$CU8,BW$57),""),1+BW$58*2,1),IF(MID(IFERROR(INDEX(醫師週班表!$C$5:$T$44,$CU8,BW$57),""),3,1)="隔",IF(BW$58=0,LEFT(IFERROR(INDEX(醫師週班表!$C$5:$T$44,$CU8,BW$57),""),1),""),IF(MID(IFERROR(INDEX(醫師週班表!$C$5:$T$44,$CU8,BW$57),""),2,1)="(",LEFT(IFERROR(INDEX(醫師週班表!$C$5:$T$44,$CU8,BW$57),""),1),IFERROR(INDEX(醫師週班表!$C$5:$T$44,$CU8,BW$57),"")))))))</f>
        <v/>
      </c>
      <c r="BX8" s="72">
        <f>IF(BX$59="X","",IF(BX$59&lt;&gt;"",BX$59,IF(IFERROR(INDEX(醫師週班表!$C$5:$T$44,$CU8,BX$57),"")=0,"",IF(MID(IFERROR(INDEX(醫師週班表!$C$5:$T$44,$CU8,BX$57),""),2,1)="/",MID(IFERROR(INDEX(醫師週班表!$C$5:$T$44,$CU8,BX$57),""),1+BX$58*2,1),IF(MID(IFERROR(INDEX(醫師週班表!$C$5:$T$44,$CU8,BX$57),""),3,1)="隔",IF(BX$58=0,LEFT(IFERROR(INDEX(醫師週班表!$C$5:$T$44,$CU8,BX$57),""),1),""),IF(MID(IFERROR(INDEX(醫師週班表!$C$5:$T$44,$CU8,BX$57),""),2,1)="(",LEFT(IFERROR(INDEX(醫師週班表!$C$5:$T$44,$CU8,BX$57),""),1),IFERROR(INDEX(醫師週班表!$C$5:$T$44,$CU8,BX$57),"")))))))</f>
        <v/>
      </c>
      <c r="BY8" s="71">
        <f>IF(BY$59="X","",IF(BY$59&lt;&gt;"",BY$59,IF(IFERROR(INDEX(醫師週班表!$C$5:$T$44,$CU8,BY$57),"")=0,"",IF(MID(IFERROR(INDEX(醫師週班表!$C$5:$T$44,$CU8,BY$57),""),2,1)="/",MID(IFERROR(INDEX(醫師週班表!$C$5:$T$44,$CU8,BY$57),""),1+BY$58*2,1),IF(MID(IFERROR(INDEX(醫師週班表!$C$5:$T$44,$CU8,BY$57),""),3,1)="隔",IF(BY$58=0,LEFT(IFERROR(INDEX(醫師週班表!$C$5:$T$44,$CU8,BY$57),""),1),""),IF(MID(IFERROR(INDEX(醫師週班表!$C$5:$T$44,$CU8,BY$57),""),2,1)="(",LEFT(IFERROR(INDEX(醫師週班表!$C$5:$T$44,$CU8,BY$57),""),1),IFERROR(INDEX(醫師週班表!$C$5:$T$44,$CU8,BY$57),"")))))))</f>
        <v/>
      </c>
      <c r="BZ8" s="72">
        <f>IF(BZ$59="X","",IF(BZ$59&lt;&gt;"",BZ$59,IF(IFERROR(INDEX(醫師週班表!$C$5:$T$44,$CU8,BZ$57),"")=0,"",IF(MID(IFERROR(INDEX(醫師週班表!$C$5:$T$44,$CU8,BZ$57),""),2,1)="/",MID(IFERROR(INDEX(醫師週班表!$C$5:$T$44,$CU8,BZ$57),""),1+BZ$58*2,1),IF(MID(IFERROR(INDEX(醫師週班表!$C$5:$T$44,$CU8,BZ$57),""),3,1)="隔",IF(BZ$58=0,LEFT(IFERROR(INDEX(醫師週班表!$C$5:$T$44,$CU8,BZ$57),""),1),""),IF(MID(IFERROR(INDEX(醫師週班表!$C$5:$T$44,$CU8,BZ$57),""),2,1)="(",LEFT(IFERROR(INDEX(醫師週班表!$C$5:$T$44,$CU8,BZ$57),""),1),IFERROR(INDEX(醫師週班表!$C$5:$T$44,$CU8,BZ$57),"")))))))</f>
        <v/>
      </c>
      <c r="CA8" s="72">
        <f>IF(CA$59="X","",IF(CA$59&lt;&gt;"",CA$59,IF(IFERROR(INDEX(醫師週班表!$C$5:$T$44,$CU8,CA$57),"")=0,"",IF(MID(IFERROR(INDEX(醫師週班表!$C$5:$T$44,$CU8,CA$57),""),2,1)="/",MID(IFERROR(INDEX(醫師週班表!$C$5:$T$44,$CU8,CA$57),""),1+CA$58*2,1),IF(MID(IFERROR(INDEX(醫師週班表!$C$5:$T$44,$CU8,CA$57),""),3,1)="隔",IF(CA$58=0,LEFT(IFERROR(INDEX(醫師週班表!$C$5:$T$44,$CU8,CA$57),""),1),""),IF(MID(IFERROR(INDEX(醫師週班表!$C$5:$T$44,$CU8,CA$57),""),2,1)="(",LEFT(IFERROR(INDEX(醫師週班表!$C$5:$T$44,$CU8,CA$57),""),1),IFERROR(INDEX(醫師週班表!$C$5:$T$44,$CU8,CA$57),"")))))))</f>
        <v/>
      </c>
      <c r="CB8" s="71">
        <f>IF(CB$59="X","",IF(CB$59&lt;&gt;"",CB$59,IF(IFERROR(INDEX(醫師週班表!$C$5:$T$44,$CU8,CB$57),"")=0,"",IF(MID(IFERROR(INDEX(醫師週班表!$C$5:$T$44,$CU8,CB$57),""),2,1)="/",MID(IFERROR(INDEX(醫師週班表!$C$5:$T$44,$CU8,CB$57),""),1+CB$58*2,1),IF(MID(IFERROR(INDEX(醫師週班表!$C$5:$T$44,$CU8,CB$57),""),3,1)="隔",IF(CB$58=0,LEFT(IFERROR(INDEX(醫師週班表!$C$5:$T$44,$CU8,CB$57),""),1),""),IF(MID(IFERROR(INDEX(醫師週班表!$C$5:$T$44,$CU8,CB$57),""),2,1)="(",LEFT(IFERROR(INDEX(醫師週班表!$C$5:$T$44,$CU8,CB$57),""),1),IFERROR(INDEX(醫師週班表!$C$5:$T$44,$CU8,CB$57),"")))))))</f>
        <v/>
      </c>
      <c r="CC8" s="72">
        <f>IF(CC$59="X","",IF(CC$59&lt;&gt;"",CC$59,IF(IFERROR(INDEX(醫師週班表!$C$5:$T$44,$CU8,CC$57),"")=0,"",IF(MID(IFERROR(INDEX(醫師週班表!$C$5:$T$44,$CU8,CC$57),""),2,1)="/",MID(IFERROR(INDEX(醫師週班表!$C$5:$T$44,$CU8,CC$57),""),1+CC$58*2,1),IF(MID(IFERROR(INDEX(醫師週班表!$C$5:$T$44,$CU8,CC$57),""),3,1)="隔",IF(CC$58=0,LEFT(IFERROR(INDEX(醫師週班表!$C$5:$T$44,$CU8,CC$57),""),1),""),IF(MID(IFERROR(INDEX(醫師週班表!$C$5:$T$44,$CU8,CC$57),""),2,1)="(",LEFT(IFERROR(INDEX(醫師週班表!$C$5:$T$44,$CU8,CC$57),""),1),IFERROR(INDEX(醫師週班表!$C$5:$T$44,$CU8,CC$57),"")))))))</f>
        <v/>
      </c>
      <c r="CD8" s="72">
        <f>IF(CD$59="X","",IF(CD$59&lt;&gt;"",CD$59,IF(IFERROR(INDEX(醫師週班表!$C$5:$T$44,$CU8,CD$57),"")=0,"",IF(MID(IFERROR(INDEX(醫師週班表!$C$5:$T$44,$CU8,CD$57),""),2,1)="/",MID(IFERROR(INDEX(醫師週班表!$C$5:$T$44,$CU8,CD$57),""),1+CD$58*2,1),IF(MID(IFERROR(INDEX(醫師週班表!$C$5:$T$44,$CU8,CD$57),""),3,1)="隔",IF(CD$58=0,LEFT(IFERROR(INDEX(醫師週班表!$C$5:$T$44,$CU8,CD$57),""),1),""),IF(MID(IFERROR(INDEX(醫師週班表!$C$5:$T$44,$CU8,CD$57),""),2,1)="(",LEFT(IFERROR(INDEX(醫師週班表!$C$5:$T$44,$CU8,CD$57),""),1),IFERROR(INDEX(醫師週班表!$C$5:$T$44,$CU8,CD$57),"")))))))</f>
        <v/>
      </c>
      <c r="CE8" s="71">
        <f>IF(CE$59="X","",IF(CE$59&lt;&gt;"",CE$59,IF(IFERROR(INDEX(醫師週班表!$C$5:$T$44,$CU8,CE$57),"")=0,"",IF(MID(IFERROR(INDEX(醫師週班表!$C$5:$T$44,$CU8,CE$57),""),2,1)="/",MID(IFERROR(INDEX(醫師週班表!$C$5:$T$44,$CU8,CE$57),""),1+CE$58*2,1),IF(MID(IFERROR(INDEX(醫師週班表!$C$5:$T$44,$CU8,CE$57),""),3,1)="隔",IF(CE$58=0,LEFT(IFERROR(INDEX(醫師週班表!$C$5:$T$44,$CU8,CE$57),""),1),""),IF(MID(IFERROR(INDEX(醫師週班表!$C$5:$T$44,$CU8,CE$57),""),2,1)="(",LEFT(IFERROR(INDEX(醫師週班表!$C$5:$T$44,$CU8,CE$57),""),1),IFERROR(INDEX(醫師週班表!$C$5:$T$44,$CU8,CE$57),"")))))))</f>
        <v/>
      </c>
      <c r="CF8" s="72">
        <f>IF(CF$59="X","",IF(CF$59&lt;&gt;"",CF$59,IF(IFERROR(INDEX(醫師週班表!$C$5:$T$44,$CU8,CF$57),"")=0,"",IF(MID(IFERROR(INDEX(醫師週班表!$C$5:$T$44,$CU8,CF$57),""),2,1)="/",MID(IFERROR(INDEX(醫師週班表!$C$5:$T$44,$CU8,CF$57),""),1+CF$58*2,1),IF(MID(IFERROR(INDEX(醫師週班表!$C$5:$T$44,$CU8,CF$57),""),3,1)="隔",IF(CF$58=0,LEFT(IFERROR(INDEX(醫師週班表!$C$5:$T$44,$CU8,CF$57),""),1),""),IF(MID(IFERROR(INDEX(醫師週班表!$C$5:$T$44,$CU8,CF$57),""),2,1)="(",LEFT(IFERROR(INDEX(醫師週班表!$C$5:$T$44,$CU8,CF$57),""),1),IFERROR(INDEX(醫師週班表!$C$5:$T$44,$CU8,CF$57),"")))))))</f>
        <v/>
      </c>
      <c r="CG8" s="72">
        <f>IF(CG$59="X","",IF(CG$59&lt;&gt;"",CG$59,IF(IFERROR(INDEX(醫師週班表!$C$5:$T$44,$CU8,CG$57),"")=0,"",IF(MID(IFERROR(INDEX(醫師週班表!$C$5:$T$44,$CU8,CG$57),""),2,1)="/",MID(IFERROR(INDEX(醫師週班表!$C$5:$T$44,$CU8,CG$57),""),1+CG$58*2,1),IF(MID(IFERROR(INDEX(醫師週班表!$C$5:$T$44,$CU8,CG$57),""),3,1)="隔",IF(CG$58=0,LEFT(IFERROR(INDEX(醫師週班表!$C$5:$T$44,$CU8,CG$57),""),1),""),IF(MID(IFERROR(INDEX(醫師週班表!$C$5:$T$44,$CU8,CG$57),""),2,1)="(",LEFT(IFERROR(INDEX(醫師週班表!$C$5:$T$44,$CU8,CG$57),""),1),IFERROR(INDEX(醫師週班表!$C$5:$T$44,$CU8,CG$57),"")))))))</f>
        <v/>
      </c>
      <c r="CH8" s="71">
        <f>IF(CH$59="X","",IF(CH$59&lt;&gt;"",CH$59,IF(IFERROR(INDEX(醫師週班表!$C$5:$T$44,$CU8,CH$57),"")=0,"",IF(MID(IFERROR(INDEX(醫師週班表!$C$5:$T$44,$CU8,CH$57),""),2,1)="/",MID(IFERROR(INDEX(醫師週班表!$C$5:$T$44,$CU8,CH$57),""),1+CH$58*2,1),IF(MID(IFERROR(INDEX(醫師週班表!$C$5:$T$44,$CU8,CH$57),""),3,1)="隔",IF(CH$58=0,LEFT(IFERROR(INDEX(醫師週班表!$C$5:$T$44,$CU8,CH$57),""),1),""),IF(MID(IFERROR(INDEX(醫師週班表!$C$5:$T$44,$CU8,CH$57),""),2,1)="(",LEFT(IFERROR(INDEX(醫師週班表!$C$5:$T$44,$CU8,CH$57),""),1),IFERROR(INDEX(醫師週班表!$C$5:$T$44,$CU8,CH$57),"")))))))</f>
        <v/>
      </c>
      <c r="CI8" s="72">
        <f>IF(CI$59="X","",IF(CI$59&lt;&gt;"",CI$59,IF(IFERROR(INDEX(醫師週班表!$C$5:$T$44,$CU8,CI$57),"")=0,"",IF(MID(IFERROR(INDEX(醫師週班表!$C$5:$T$44,$CU8,CI$57),""),2,1)="/",MID(IFERROR(INDEX(醫師週班表!$C$5:$T$44,$CU8,CI$57),""),1+CI$58*2,1),IF(MID(IFERROR(INDEX(醫師週班表!$C$5:$T$44,$CU8,CI$57),""),3,1)="隔",IF(CI$58=0,LEFT(IFERROR(INDEX(醫師週班表!$C$5:$T$44,$CU8,CI$57),""),1),""),IF(MID(IFERROR(INDEX(醫師週班表!$C$5:$T$44,$CU8,CI$57),""),2,1)="(",LEFT(IFERROR(INDEX(醫師週班表!$C$5:$T$44,$CU8,CI$57),""),1),IFERROR(INDEX(醫師週班表!$C$5:$T$44,$CU8,CI$57),"")))))))</f>
        <v/>
      </c>
      <c r="CJ8" s="72">
        <f>IF(CJ$59="X","",IF(CJ$59&lt;&gt;"",CJ$59,IF(IFERROR(INDEX(醫師週班表!$C$5:$T$44,$CU8,CJ$57),"")=0,"",IF(MID(IFERROR(INDEX(醫師週班表!$C$5:$T$44,$CU8,CJ$57),""),2,1)="/",MID(IFERROR(INDEX(醫師週班表!$C$5:$T$44,$CU8,CJ$57),""),1+CJ$58*2,1),IF(MID(IFERROR(INDEX(醫師週班表!$C$5:$T$44,$CU8,CJ$57),""),3,1)="隔",IF(CJ$58=0,LEFT(IFERROR(INDEX(醫師週班表!$C$5:$T$44,$CU8,CJ$57),""),1),""),IF(MID(IFERROR(INDEX(醫師週班表!$C$5:$T$44,$CU8,CJ$57),""),2,1)="(",LEFT(IFERROR(INDEX(醫師週班表!$C$5:$T$44,$CU8,CJ$57),""),1),IFERROR(INDEX(醫師週班表!$C$5:$T$44,$CU8,CJ$57),"")))))))</f>
        <v/>
      </c>
      <c r="CK8" s="71">
        <f>IF(CK$59="X","",IF(CK$59&lt;&gt;"",CK$59,IF(IFERROR(INDEX(醫師週班表!$C$5:$T$44,$CU8,CK$57),"")=0,"",IF(MID(IFERROR(INDEX(醫師週班表!$C$5:$T$44,$CU8,CK$57),""),2,1)="/",MID(IFERROR(INDEX(醫師週班表!$C$5:$T$44,$CU8,CK$57),""),1+CK$58*2,1),IF(MID(IFERROR(INDEX(醫師週班表!$C$5:$T$44,$CU8,CK$57),""),3,1)="隔",IF(CK$58=0,LEFT(IFERROR(INDEX(醫師週班表!$C$5:$T$44,$CU8,CK$57),""),1),""),IF(MID(IFERROR(INDEX(醫師週班表!$C$5:$T$44,$CU8,CK$57),""),2,1)="(",LEFT(IFERROR(INDEX(醫師週班表!$C$5:$T$44,$CU8,CK$57),""),1),IFERROR(INDEX(醫師週班表!$C$5:$T$44,$CU8,CK$57),"")))))))</f>
        <v/>
      </c>
      <c r="CL8" s="72">
        <f>IF(CL$59="X","",IF(CL$59&lt;&gt;"",CL$59,IF(IFERROR(INDEX(醫師週班表!$C$5:$T$44,$CU8,CL$57),"")=0,"",IF(MID(IFERROR(INDEX(醫師週班表!$C$5:$T$44,$CU8,CL$57),""),2,1)="/",MID(IFERROR(INDEX(醫師週班表!$C$5:$T$44,$CU8,CL$57),""),1+CL$58*2,1),IF(MID(IFERROR(INDEX(醫師週班表!$C$5:$T$44,$CU8,CL$57),""),3,1)="隔",IF(CL$58=0,LEFT(IFERROR(INDEX(醫師週班表!$C$5:$T$44,$CU8,CL$57),""),1),""),IF(MID(IFERROR(INDEX(醫師週班表!$C$5:$T$44,$CU8,CL$57),""),2,1)="(",LEFT(IFERROR(INDEX(醫師週班表!$C$5:$T$44,$CU8,CL$57),""),1),IFERROR(INDEX(醫師週班表!$C$5:$T$44,$CU8,CL$57),"")))))))</f>
        <v/>
      </c>
      <c r="CM8" s="72">
        <f>IF(CM$59="X","",IF(CM$59&lt;&gt;"",CM$59,IF(IFERROR(INDEX(醫師週班表!$C$5:$T$44,$CU8,CM$57),"")=0,"",IF(MID(IFERROR(INDEX(醫師週班表!$C$5:$T$44,$CU8,CM$57),""),2,1)="/",MID(IFERROR(INDEX(醫師週班表!$C$5:$T$44,$CU8,CM$57),""),1+CM$58*2,1),IF(MID(IFERROR(INDEX(醫師週班表!$C$5:$T$44,$CU8,CM$57),""),3,1)="隔",IF(CM$58=0,LEFT(IFERROR(INDEX(醫師週班表!$C$5:$T$44,$CU8,CM$57),""),1),""),IF(MID(IFERROR(INDEX(醫師週班表!$C$5:$T$44,$CU8,CM$57),""),2,1)="(",LEFT(IFERROR(INDEX(醫師週班表!$C$5:$T$44,$CU8,CM$57),""),1),IFERROR(INDEX(醫師週班表!$C$5:$T$44,$CU8,CM$57),"")))))))</f>
        <v/>
      </c>
      <c r="CN8" s="71">
        <f>IF(CN$59="X","",IF(CN$59&lt;&gt;"",CN$59,IF(IFERROR(INDEX(醫師週班表!$C$5:$T$44,$CU8,CN$57),"")=0,"",IF(MID(IFERROR(INDEX(醫師週班表!$C$5:$T$44,$CU8,CN$57),""),2,1)="/",MID(IFERROR(INDEX(醫師週班表!$C$5:$T$44,$CU8,CN$57),""),1+CN$58*2,1),IF(MID(IFERROR(INDEX(醫師週班表!$C$5:$T$44,$CU8,CN$57),""),3,1)="隔",IF(CN$58=0,LEFT(IFERROR(INDEX(醫師週班表!$C$5:$T$44,$CU8,CN$57),""),1),""),IF(MID(IFERROR(INDEX(醫師週班表!$C$5:$T$44,$CU8,CN$57),""),2,1)="(",LEFT(IFERROR(INDEX(醫師週班表!$C$5:$T$44,$CU8,CN$57),""),1),IFERROR(INDEX(醫師週班表!$C$5:$T$44,$CU8,CN$57),"")))))))</f>
        <v/>
      </c>
      <c r="CO8" s="72">
        <f>IF(CO$59="X","",IF(CO$59&lt;&gt;"",CO$59,IF(IFERROR(INDEX(醫師週班表!$C$5:$T$44,$CU8,CO$57),"")=0,"",IF(MID(IFERROR(INDEX(醫師週班表!$C$5:$T$44,$CU8,CO$57),""),2,1)="/",MID(IFERROR(INDEX(醫師週班表!$C$5:$T$44,$CU8,CO$57),""),1+CO$58*2,1),IF(MID(IFERROR(INDEX(醫師週班表!$C$5:$T$44,$CU8,CO$57),""),3,1)="隔",IF(CO$58=0,LEFT(IFERROR(INDEX(醫師週班表!$C$5:$T$44,$CU8,CO$57),""),1),""),IF(MID(IFERROR(INDEX(醫師週班表!$C$5:$T$44,$CU8,CO$57),""),2,1)="(",LEFT(IFERROR(INDEX(醫師週班表!$C$5:$T$44,$CU8,CO$57),""),1),IFERROR(INDEX(醫師週班表!$C$5:$T$44,$CU8,CO$57),"")))))))</f>
        <v/>
      </c>
      <c r="CP8" s="72">
        <f>IF(CP$59="X","",IF(CP$59&lt;&gt;"",CP$59,IF(IFERROR(INDEX(醫師週班表!$C$5:$T$44,$CU8,CP$57),"")=0,"",IF(MID(IFERROR(INDEX(醫師週班表!$C$5:$T$44,$CU8,CP$57),""),2,1)="/",MID(IFERROR(INDEX(醫師週班表!$C$5:$T$44,$CU8,CP$57),""),1+CP$58*2,1),IF(MID(IFERROR(INDEX(醫師週班表!$C$5:$T$44,$CU8,CP$57),""),3,1)="隔",IF(CP$58=0,LEFT(IFERROR(INDEX(醫師週班表!$C$5:$T$44,$CU8,CP$57),""),1),""),IF(MID(IFERROR(INDEX(醫師週班表!$C$5:$T$44,$CU8,CP$57),""),2,1)="(",LEFT(IFERROR(INDEX(醫師週班表!$C$5:$T$44,$CU8,CP$57),""),1),IFERROR(INDEX(醫師週班表!$C$5:$T$44,$CU8,CP$57),"")))))))</f>
        <v/>
      </c>
      <c r="CQ8" s="71">
        <f>IF(CQ$59="X","",IF(CQ$59&lt;&gt;"",CQ$59,IF(IFERROR(INDEX(醫師週班表!$C$5:$T$44,$CU8,CQ$57),"")=0,"",IF(MID(IFERROR(INDEX(醫師週班表!$C$5:$T$44,$CU8,CQ$57),""),2,1)="/",MID(IFERROR(INDEX(醫師週班表!$C$5:$T$44,$CU8,CQ$57),""),1+CQ$58*2,1),IF(MID(IFERROR(INDEX(醫師週班表!$C$5:$T$44,$CU8,CQ$57),""),3,1)="隔",IF(CQ$58=0,LEFT(IFERROR(INDEX(醫師週班表!$C$5:$T$44,$CU8,CQ$57),""),1),""),IF(MID(IFERROR(INDEX(醫師週班表!$C$5:$T$44,$CU8,CQ$57),""),2,1)="(",LEFT(IFERROR(INDEX(醫師週班表!$C$5:$T$44,$CU8,CQ$57),""),1),IFERROR(INDEX(醫師週班表!$C$5:$T$44,$CU8,CQ$57),"")))))))</f>
        <v/>
      </c>
      <c r="CR8" s="72">
        <f>IF(CR$59="X","",IF(CR$59&lt;&gt;"",CR$59,IF(IFERROR(INDEX(醫師週班表!$C$5:$T$44,$CU8,CR$57),"")=0,"",IF(MID(IFERROR(INDEX(醫師週班表!$C$5:$T$44,$CU8,CR$57),""),2,1)="/",MID(IFERROR(INDEX(醫師週班表!$C$5:$T$44,$CU8,CR$57),""),1+CR$58*2,1),IF(MID(IFERROR(INDEX(醫師週班表!$C$5:$T$44,$CU8,CR$57),""),3,1)="隔",IF(CR$58=0,LEFT(IFERROR(INDEX(醫師週班表!$C$5:$T$44,$CU8,CR$57),""),1),""),IF(MID(IFERROR(INDEX(醫師週班表!$C$5:$T$44,$CU8,CR$57),""),2,1)="(",LEFT(IFERROR(INDEX(醫師週班表!$C$5:$T$44,$CU8,CR$57),""),1),IFERROR(INDEX(醫師週班表!$C$5:$T$44,$CU8,CR$57),"")))))))</f>
        <v/>
      </c>
      <c r="CS8" s="72">
        <f>IF(CS$59="X","",IF(CS$59&lt;&gt;"",CS$59,IF(IFERROR(INDEX(醫師週班表!$C$5:$T$44,$CU8,CS$57),"")=0,"",IF(MID(IFERROR(INDEX(醫師週班表!$C$5:$T$44,$CU8,CS$57),""),2,1)="/",MID(IFERROR(INDEX(醫師週班表!$C$5:$T$44,$CU8,CS$57),""),1+CS$58*2,1),IF(MID(IFERROR(INDEX(醫師週班表!$C$5:$T$44,$CU8,CS$57),""),3,1)="隔",IF(CS$58=0,LEFT(IFERROR(INDEX(醫師週班表!$C$5:$T$44,$CU8,CS$57),""),1),""),IF(MID(IFERROR(INDEX(醫師週班表!$C$5:$T$44,$CU8,CS$57),""),2,1)="(",LEFT(IFERROR(INDEX(醫師週班表!$C$5:$T$44,$CU8,CS$57),""),1),IFERROR(INDEX(醫師週班表!$C$5:$T$44,$CU8,CS$57),"")))))))</f>
        <v/>
      </c>
      <c r="CU8" s="73">
        <f>IFERROR(MATCH($A8,醫師週班表!$A$5:$A$44,0),0)</f>
        <v/>
      </c>
    </row>
    <row r="9" ht="17" customHeight="1">
      <c r="A9" s="19" t="inlineStr">
        <is>
          <t>D004</t>
        </is>
      </c>
      <c r="B9" s="16" t="inlineStr">
        <is>
          <t>劉玠旻</t>
        </is>
      </c>
      <c r="C9" s="70" t="inlineStr">
        <is>
          <t>兒童專科</t>
        </is>
      </c>
      <c r="D9" s="16" t="inlineStr"/>
      <c r="E9" s="71">
        <f>IF(E$59="X","",IF(E$59&lt;&gt;"",E$59,IF(IFERROR(INDEX(醫師週班表!$C$5:$T$44,$CU9,E$57),"")=0,"",IF(MID(IFERROR(INDEX(醫師週班表!$C$5:$T$44,$CU9,E$57),""),2,1)="/",MID(IFERROR(INDEX(醫師週班表!$C$5:$T$44,$CU9,E$57),""),1+E$58*2,1),IF(MID(IFERROR(INDEX(醫師週班表!$C$5:$T$44,$CU9,E$57),""),3,1)="隔",IF(E$58=0,LEFT(IFERROR(INDEX(醫師週班表!$C$5:$T$44,$CU9,E$57),""),1),""),IF(MID(IFERROR(INDEX(醫師週班表!$C$5:$T$44,$CU9,E$57),""),2,1)="(",LEFT(IFERROR(INDEX(醫師週班表!$C$5:$T$44,$CU9,E$57),""),1),IFERROR(INDEX(醫師週班表!$C$5:$T$44,$CU9,E$57),"")))))))</f>
        <v/>
      </c>
      <c r="F9" s="72">
        <f>IF(F$59="X","",IF(F$59&lt;&gt;"",F$59,IF(IFERROR(INDEX(醫師週班表!$C$5:$T$44,$CU9,F$57),"")=0,"",IF(MID(IFERROR(INDEX(醫師週班表!$C$5:$T$44,$CU9,F$57),""),2,1)="/",MID(IFERROR(INDEX(醫師週班表!$C$5:$T$44,$CU9,F$57),""),1+F$58*2,1),IF(MID(IFERROR(INDEX(醫師週班表!$C$5:$T$44,$CU9,F$57),""),3,1)="隔",IF(F$58=0,LEFT(IFERROR(INDEX(醫師週班表!$C$5:$T$44,$CU9,F$57),""),1),""),IF(MID(IFERROR(INDEX(醫師週班表!$C$5:$T$44,$CU9,F$57),""),2,1)="(",LEFT(IFERROR(INDEX(醫師週班表!$C$5:$T$44,$CU9,F$57),""),1),IFERROR(INDEX(醫師週班表!$C$5:$T$44,$CU9,F$57),"")))))))</f>
        <v/>
      </c>
      <c r="G9" s="72">
        <f>IF(G$59="X","",IF(G$59&lt;&gt;"",G$59,IF(IFERROR(INDEX(醫師週班表!$C$5:$T$44,$CU9,G$57),"")=0,"",IF(MID(IFERROR(INDEX(醫師週班表!$C$5:$T$44,$CU9,G$57),""),2,1)="/",MID(IFERROR(INDEX(醫師週班表!$C$5:$T$44,$CU9,G$57),""),1+G$58*2,1),IF(MID(IFERROR(INDEX(醫師週班表!$C$5:$T$44,$CU9,G$57),""),3,1)="隔",IF(G$58=0,LEFT(IFERROR(INDEX(醫師週班表!$C$5:$T$44,$CU9,G$57),""),1),""),IF(MID(IFERROR(INDEX(醫師週班表!$C$5:$T$44,$CU9,G$57),""),2,1)="(",LEFT(IFERROR(INDEX(醫師週班表!$C$5:$T$44,$CU9,G$57),""),1),IFERROR(INDEX(醫師週班表!$C$5:$T$44,$CU9,G$57),"")))))))</f>
        <v/>
      </c>
      <c r="H9" s="71">
        <f>IF(H$59="X","",IF(H$59&lt;&gt;"",H$59,IF(IFERROR(INDEX(醫師週班表!$C$5:$T$44,$CU9,H$57),"")=0,"",IF(MID(IFERROR(INDEX(醫師週班表!$C$5:$T$44,$CU9,H$57),""),2,1)="/",MID(IFERROR(INDEX(醫師週班表!$C$5:$T$44,$CU9,H$57),""),1+H$58*2,1),IF(MID(IFERROR(INDEX(醫師週班表!$C$5:$T$44,$CU9,H$57),""),3,1)="隔",IF(H$58=0,LEFT(IFERROR(INDEX(醫師週班表!$C$5:$T$44,$CU9,H$57),""),1),""),IF(MID(IFERROR(INDEX(醫師週班表!$C$5:$T$44,$CU9,H$57),""),2,1)="(",LEFT(IFERROR(INDEX(醫師週班表!$C$5:$T$44,$CU9,H$57),""),1),IFERROR(INDEX(醫師週班表!$C$5:$T$44,$CU9,H$57),"")))))))</f>
        <v/>
      </c>
      <c r="I9" s="72">
        <f>IF(I$59="X","",IF(I$59&lt;&gt;"",I$59,IF(IFERROR(INDEX(醫師週班表!$C$5:$T$44,$CU9,I$57),"")=0,"",IF(MID(IFERROR(INDEX(醫師週班表!$C$5:$T$44,$CU9,I$57),""),2,1)="/",MID(IFERROR(INDEX(醫師週班表!$C$5:$T$44,$CU9,I$57),""),1+I$58*2,1),IF(MID(IFERROR(INDEX(醫師週班表!$C$5:$T$44,$CU9,I$57),""),3,1)="隔",IF(I$58=0,LEFT(IFERROR(INDEX(醫師週班表!$C$5:$T$44,$CU9,I$57),""),1),""),IF(MID(IFERROR(INDEX(醫師週班表!$C$5:$T$44,$CU9,I$57),""),2,1)="(",LEFT(IFERROR(INDEX(醫師週班表!$C$5:$T$44,$CU9,I$57),""),1),IFERROR(INDEX(醫師週班表!$C$5:$T$44,$CU9,I$57),"")))))))</f>
        <v/>
      </c>
      <c r="J9" s="72">
        <f>IF(J$59="X","",IF(J$59&lt;&gt;"",J$59,IF(IFERROR(INDEX(醫師週班表!$C$5:$T$44,$CU9,J$57),"")=0,"",IF(MID(IFERROR(INDEX(醫師週班表!$C$5:$T$44,$CU9,J$57),""),2,1)="/",MID(IFERROR(INDEX(醫師週班表!$C$5:$T$44,$CU9,J$57),""),1+J$58*2,1),IF(MID(IFERROR(INDEX(醫師週班表!$C$5:$T$44,$CU9,J$57),""),3,1)="隔",IF(J$58=0,LEFT(IFERROR(INDEX(醫師週班表!$C$5:$T$44,$CU9,J$57),""),1),""),IF(MID(IFERROR(INDEX(醫師週班表!$C$5:$T$44,$CU9,J$57),""),2,1)="(",LEFT(IFERROR(INDEX(醫師週班表!$C$5:$T$44,$CU9,J$57),""),1),IFERROR(INDEX(醫師週班表!$C$5:$T$44,$CU9,J$57),"")))))))</f>
        <v/>
      </c>
      <c r="K9" s="71">
        <f>IF(K$59="X","",IF(K$59&lt;&gt;"",K$59,IF(IFERROR(INDEX(醫師週班表!$C$5:$T$44,$CU9,K$57),"")=0,"",IF(MID(IFERROR(INDEX(醫師週班表!$C$5:$T$44,$CU9,K$57),""),2,1)="/",MID(IFERROR(INDEX(醫師週班表!$C$5:$T$44,$CU9,K$57),""),1+K$58*2,1),IF(MID(IFERROR(INDEX(醫師週班表!$C$5:$T$44,$CU9,K$57),""),3,1)="隔",IF(K$58=0,LEFT(IFERROR(INDEX(醫師週班表!$C$5:$T$44,$CU9,K$57),""),1),""),IF(MID(IFERROR(INDEX(醫師週班表!$C$5:$T$44,$CU9,K$57),""),2,1)="(",LEFT(IFERROR(INDEX(醫師週班表!$C$5:$T$44,$CU9,K$57),""),1),IFERROR(INDEX(醫師週班表!$C$5:$T$44,$CU9,K$57),"")))))))</f>
        <v/>
      </c>
      <c r="L9" s="72">
        <f>IF(L$59="X","",IF(L$59&lt;&gt;"",L$59,IF(IFERROR(INDEX(醫師週班表!$C$5:$T$44,$CU9,L$57),"")=0,"",IF(MID(IFERROR(INDEX(醫師週班表!$C$5:$T$44,$CU9,L$57),""),2,1)="/",MID(IFERROR(INDEX(醫師週班表!$C$5:$T$44,$CU9,L$57),""),1+L$58*2,1),IF(MID(IFERROR(INDEX(醫師週班表!$C$5:$T$44,$CU9,L$57),""),3,1)="隔",IF(L$58=0,LEFT(IFERROR(INDEX(醫師週班表!$C$5:$T$44,$CU9,L$57),""),1),""),IF(MID(IFERROR(INDEX(醫師週班表!$C$5:$T$44,$CU9,L$57),""),2,1)="(",LEFT(IFERROR(INDEX(醫師週班表!$C$5:$T$44,$CU9,L$57),""),1),IFERROR(INDEX(醫師週班表!$C$5:$T$44,$CU9,L$57),"")))))))</f>
        <v/>
      </c>
      <c r="M9" s="72">
        <f>IF(M$59="X","",IF(M$59&lt;&gt;"",M$59,IF(IFERROR(INDEX(醫師週班表!$C$5:$T$44,$CU9,M$57),"")=0,"",IF(MID(IFERROR(INDEX(醫師週班表!$C$5:$T$44,$CU9,M$57),""),2,1)="/",MID(IFERROR(INDEX(醫師週班表!$C$5:$T$44,$CU9,M$57),""),1+M$58*2,1),IF(MID(IFERROR(INDEX(醫師週班表!$C$5:$T$44,$CU9,M$57),""),3,1)="隔",IF(M$58=0,LEFT(IFERROR(INDEX(醫師週班表!$C$5:$T$44,$CU9,M$57),""),1),""),IF(MID(IFERROR(INDEX(醫師週班表!$C$5:$T$44,$CU9,M$57),""),2,1)="(",LEFT(IFERROR(INDEX(醫師週班表!$C$5:$T$44,$CU9,M$57),""),1),IFERROR(INDEX(醫師週班表!$C$5:$T$44,$CU9,M$57),"")))))))</f>
        <v/>
      </c>
      <c r="N9" s="71">
        <f>IF(N$59="X","",IF(N$59&lt;&gt;"",N$59,IF(IFERROR(INDEX(醫師週班表!$C$5:$T$44,$CU9,N$57),"")=0,"",IF(MID(IFERROR(INDEX(醫師週班表!$C$5:$T$44,$CU9,N$57),""),2,1)="/",MID(IFERROR(INDEX(醫師週班表!$C$5:$T$44,$CU9,N$57),""),1+N$58*2,1),IF(MID(IFERROR(INDEX(醫師週班表!$C$5:$T$44,$CU9,N$57),""),3,1)="隔",IF(N$58=0,LEFT(IFERROR(INDEX(醫師週班表!$C$5:$T$44,$CU9,N$57),""),1),""),IF(MID(IFERROR(INDEX(醫師週班表!$C$5:$T$44,$CU9,N$57),""),2,1)="(",LEFT(IFERROR(INDEX(醫師週班表!$C$5:$T$44,$CU9,N$57),""),1),IFERROR(INDEX(醫師週班表!$C$5:$T$44,$CU9,N$57),"")))))))</f>
        <v/>
      </c>
      <c r="O9" s="72">
        <f>IF(O$59="X","",IF(O$59&lt;&gt;"",O$59,IF(IFERROR(INDEX(醫師週班表!$C$5:$T$44,$CU9,O$57),"")=0,"",IF(MID(IFERROR(INDEX(醫師週班表!$C$5:$T$44,$CU9,O$57),""),2,1)="/",MID(IFERROR(INDEX(醫師週班表!$C$5:$T$44,$CU9,O$57),""),1+O$58*2,1),IF(MID(IFERROR(INDEX(醫師週班表!$C$5:$T$44,$CU9,O$57),""),3,1)="隔",IF(O$58=0,LEFT(IFERROR(INDEX(醫師週班表!$C$5:$T$44,$CU9,O$57),""),1),""),IF(MID(IFERROR(INDEX(醫師週班表!$C$5:$T$44,$CU9,O$57),""),2,1)="(",LEFT(IFERROR(INDEX(醫師週班表!$C$5:$T$44,$CU9,O$57),""),1),IFERROR(INDEX(醫師週班表!$C$5:$T$44,$CU9,O$57),"")))))))</f>
        <v/>
      </c>
      <c r="P9" s="72">
        <f>IF(P$59="X","",IF(P$59&lt;&gt;"",P$59,IF(IFERROR(INDEX(醫師週班表!$C$5:$T$44,$CU9,P$57),"")=0,"",IF(MID(IFERROR(INDEX(醫師週班表!$C$5:$T$44,$CU9,P$57),""),2,1)="/",MID(IFERROR(INDEX(醫師週班表!$C$5:$T$44,$CU9,P$57),""),1+P$58*2,1),IF(MID(IFERROR(INDEX(醫師週班表!$C$5:$T$44,$CU9,P$57),""),3,1)="隔",IF(P$58=0,LEFT(IFERROR(INDEX(醫師週班表!$C$5:$T$44,$CU9,P$57),""),1),""),IF(MID(IFERROR(INDEX(醫師週班表!$C$5:$T$44,$CU9,P$57),""),2,1)="(",LEFT(IFERROR(INDEX(醫師週班表!$C$5:$T$44,$CU9,P$57),""),1),IFERROR(INDEX(醫師週班表!$C$5:$T$44,$CU9,P$57),"")))))))</f>
        <v/>
      </c>
      <c r="Q9" s="71">
        <f>IF(Q$59="X","",IF(Q$59&lt;&gt;"",Q$59,IF(IFERROR(INDEX(醫師週班表!$C$5:$T$44,$CU9,Q$57),"")=0,"",IF(MID(IFERROR(INDEX(醫師週班表!$C$5:$T$44,$CU9,Q$57),""),2,1)="/",MID(IFERROR(INDEX(醫師週班表!$C$5:$T$44,$CU9,Q$57),""),1+Q$58*2,1),IF(MID(IFERROR(INDEX(醫師週班表!$C$5:$T$44,$CU9,Q$57),""),3,1)="隔",IF(Q$58=0,LEFT(IFERROR(INDEX(醫師週班表!$C$5:$T$44,$CU9,Q$57),""),1),""),IF(MID(IFERROR(INDEX(醫師週班表!$C$5:$T$44,$CU9,Q$57),""),2,1)="(",LEFT(IFERROR(INDEX(醫師週班表!$C$5:$T$44,$CU9,Q$57),""),1),IFERROR(INDEX(醫師週班表!$C$5:$T$44,$CU9,Q$57),"")))))))</f>
        <v/>
      </c>
      <c r="R9" s="72">
        <f>IF(R$59="X","",IF(R$59&lt;&gt;"",R$59,IF(IFERROR(INDEX(醫師週班表!$C$5:$T$44,$CU9,R$57),"")=0,"",IF(MID(IFERROR(INDEX(醫師週班表!$C$5:$T$44,$CU9,R$57),""),2,1)="/",MID(IFERROR(INDEX(醫師週班表!$C$5:$T$44,$CU9,R$57),""),1+R$58*2,1),IF(MID(IFERROR(INDEX(醫師週班表!$C$5:$T$44,$CU9,R$57),""),3,1)="隔",IF(R$58=0,LEFT(IFERROR(INDEX(醫師週班表!$C$5:$T$44,$CU9,R$57),""),1),""),IF(MID(IFERROR(INDEX(醫師週班表!$C$5:$T$44,$CU9,R$57),""),2,1)="(",LEFT(IFERROR(INDEX(醫師週班表!$C$5:$T$44,$CU9,R$57),""),1),IFERROR(INDEX(醫師週班表!$C$5:$T$44,$CU9,R$57),"")))))))</f>
        <v/>
      </c>
      <c r="S9" s="72">
        <f>IF(S$59="X","",IF(S$59&lt;&gt;"",S$59,IF(IFERROR(INDEX(醫師週班表!$C$5:$T$44,$CU9,S$57),"")=0,"",IF(MID(IFERROR(INDEX(醫師週班表!$C$5:$T$44,$CU9,S$57),""),2,1)="/",MID(IFERROR(INDEX(醫師週班表!$C$5:$T$44,$CU9,S$57),""),1+S$58*2,1),IF(MID(IFERROR(INDEX(醫師週班表!$C$5:$T$44,$CU9,S$57),""),3,1)="隔",IF(S$58=0,LEFT(IFERROR(INDEX(醫師週班表!$C$5:$T$44,$CU9,S$57),""),1),""),IF(MID(IFERROR(INDEX(醫師週班表!$C$5:$T$44,$CU9,S$57),""),2,1)="(",LEFT(IFERROR(INDEX(醫師週班表!$C$5:$T$44,$CU9,S$57),""),1),IFERROR(INDEX(醫師週班表!$C$5:$T$44,$CU9,S$57),"")))))))</f>
        <v/>
      </c>
      <c r="T9" s="71">
        <f>IF(T$59="X","",IF(T$59&lt;&gt;"",T$59,IF(IFERROR(INDEX(醫師週班表!$C$5:$T$44,$CU9,T$57),"")=0,"",IF(MID(IFERROR(INDEX(醫師週班表!$C$5:$T$44,$CU9,T$57),""),2,1)="/",MID(IFERROR(INDEX(醫師週班表!$C$5:$T$44,$CU9,T$57),""),1+T$58*2,1),IF(MID(IFERROR(INDEX(醫師週班表!$C$5:$T$44,$CU9,T$57),""),3,1)="隔",IF(T$58=0,LEFT(IFERROR(INDEX(醫師週班表!$C$5:$T$44,$CU9,T$57),""),1),""),IF(MID(IFERROR(INDEX(醫師週班表!$C$5:$T$44,$CU9,T$57),""),2,1)="(",LEFT(IFERROR(INDEX(醫師週班表!$C$5:$T$44,$CU9,T$57),""),1),IFERROR(INDEX(醫師週班表!$C$5:$T$44,$CU9,T$57),"")))))))</f>
        <v/>
      </c>
      <c r="U9" s="72">
        <f>IF(U$59="X","",IF(U$59&lt;&gt;"",U$59,IF(IFERROR(INDEX(醫師週班表!$C$5:$T$44,$CU9,U$57),"")=0,"",IF(MID(IFERROR(INDEX(醫師週班表!$C$5:$T$44,$CU9,U$57),""),2,1)="/",MID(IFERROR(INDEX(醫師週班表!$C$5:$T$44,$CU9,U$57),""),1+U$58*2,1),IF(MID(IFERROR(INDEX(醫師週班表!$C$5:$T$44,$CU9,U$57),""),3,1)="隔",IF(U$58=0,LEFT(IFERROR(INDEX(醫師週班表!$C$5:$T$44,$CU9,U$57),""),1),""),IF(MID(IFERROR(INDEX(醫師週班表!$C$5:$T$44,$CU9,U$57),""),2,1)="(",LEFT(IFERROR(INDEX(醫師週班表!$C$5:$T$44,$CU9,U$57),""),1),IFERROR(INDEX(醫師週班表!$C$5:$T$44,$CU9,U$57),"")))))))</f>
        <v/>
      </c>
      <c r="V9" s="72">
        <f>IF(V$59="X","",IF(V$59&lt;&gt;"",V$59,IF(IFERROR(INDEX(醫師週班表!$C$5:$T$44,$CU9,V$57),"")=0,"",IF(MID(IFERROR(INDEX(醫師週班表!$C$5:$T$44,$CU9,V$57),""),2,1)="/",MID(IFERROR(INDEX(醫師週班表!$C$5:$T$44,$CU9,V$57),""),1+V$58*2,1),IF(MID(IFERROR(INDEX(醫師週班表!$C$5:$T$44,$CU9,V$57),""),3,1)="隔",IF(V$58=0,LEFT(IFERROR(INDEX(醫師週班表!$C$5:$T$44,$CU9,V$57),""),1),""),IF(MID(IFERROR(INDEX(醫師週班表!$C$5:$T$44,$CU9,V$57),""),2,1)="(",LEFT(IFERROR(INDEX(醫師週班表!$C$5:$T$44,$CU9,V$57),""),1),IFERROR(INDEX(醫師週班表!$C$5:$T$44,$CU9,V$57),"")))))))</f>
        <v/>
      </c>
      <c r="W9" s="71">
        <f>IF(W$59="X","",IF(W$59&lt;&gt;"",W$59,IF(IFERROR(INDEX(醫師週班表!$C$5:$T$44,$CU9,W$57),"")=0,"",IF(MID(IFERROR(INDEX(醫師週班表!$C$5:$T$44,$CU9,W$57),""),2,1)="/",MID(IFERROR(INDEX(醫師週班表!$C$5:$T$44,$CU9,W$57),""),1+W$58*2,1),IF(MID(IFERROR(INDEX(醫師週班表!$C$5:$T$44,$CU9,W$57),""),3,1)="隔",IF(W$58=0,LEFT(IFERROR(INDEX(醫師週班表!$C$5:$T$44,$CU9,W$57),""),1),""),IF(MID(IFERROR(INDEX(醫師週班表!$C$5:$T$44,$CU9,W$57),""),2,1)="(",LEFT(IFERROR(INDEX(醫師週班表!$C$5:$T$44,$CU9,W$57),""),1),IFERROR(INDEX(醫師週班表!$C$5:$T$44,$CU9,W$57),"")))))))</f>
        <v/>
      </c>
      <c r="X9" s="72">
        <f>IF(X$59="X","",IF(X$59&lt;&gt;"",X$59,IF(IFERROR(INDEX(醫師週班表!$C$5:$T$44,$CU9,X$57),"")=0,"",IF(MID(IFERROR(INDEX(醫師週班表!$C$5:$T$44,$CU9,X$57),""),2,1)="/",MID(IFERROR(INDEX(醫師週班表!$C$5:$T$44,$CU9,X$57),""),1+X$58*2,1),IF(MID(IFERROR(INDEX(醫師週班表!$C$5:$T$44,$CU9,X$57),""),3,1)="隔",IF(X$58=0,LEFT(IFERROR(INDEX(醫師週班表!$C$5:$T$44,$CU9,X$57),""),1),""),IF(MID(IFERROR(INDEX(醫師週班表!$C$5:$T$44,$CU9,X$57),""),2,1)="(",LEFT(IFERROR(INDEX(醫師週班表!$C$5:$T$44,$CU9,X$57),""),1),IFERROR(INDEX(醫師週班表!$C$5:$T$44,$CU9,X$57),"")))))))</f>
        <v/>
      </c>
      <c r="Y9" s="72">
        <f>IF(Y$59="X","",IF(Y$59&lt;&gt;"",Y$59,IF(IFERROR(INDEX(醫師週班表!$C$5:$T$44,$CU9,Y$57),"")=0,"",IF(MID(IFERROR(INDEX(醫師週班表!$C$5:$T$44,$CU9,Y$57),""),2,1)="/",MID(IFERROR(INDEX(醫師週班表!$C$5:$T$44,$CU9,Y$57),""),1+Y$58*2,1),IF(MID(IFERROR(INDEX(醫師週班表!$C$5:$T$44,$CU9,Y$57),""),3,1)="隔",IF(Y$58=0,LEFT(IFERROR(INDEX(醫師週班表!$C$5:$T$44,$CU9,Y$57),""),1),""),IF(MID(IFERROR(INDEX(醫師週班表!$C$5:$T$44,$CU9,Y$57),""),2,1)="(",LEFT(IFERROR(INDEX(醫師週班表!$C$5:$T$44,$CU9,Y$57),""),1),IFERROR(INDEX(醫師週班表!$C$5:$T$44,$CU9,Y$57),"")))))))</f>
        <v/>
      </c>
      <c r="Z9" s="71">
        <f>IF(Z$59="X","",IF(Z$59&lt;&gt;"",Z$59,IF(IFERROR(INDEX(醫師週班表!$C$5:$T$44,$CU9,Z$57),"")=0,"",IF(MID(IFERROR(INDEX(醫師週班表!$C$5:$T$44,$CU9,Z$57),""),2,1)="/",MID(IFERROR(INDEX(醫師週班表!$C$5:$T$44,$CU9,Z$57),""),1+Z$58*2,1),IF(MID(IFERROR(INDEX(醫師週班表!$C$5:$T$44,$CU9,Z$57),""),3,1)="隔",IF(Z$58=0,LEFT(IFERROR(INDEX(醫師週班表!$C$5:$T$44,$CU9,Z$57),""),1),""),IF(MID(IFERROR(INDEX(醫師週班表!$C$5:$T$44,$CU9,Z$57),""),2,1)="(",LEFT(IFERROR(INDEX(醫師週班表!$C$5:$T$44,$CU9,Z$57),""),1),IFERROR(INDEX(醫師週班表!$C$5:$T$44,$CU9,Z$57),"")))))))</f>
        <v/>
      </c>
      <c r="AA9" s="72">
        <f>IF(AA$59="X","",IF(AA$59&lt;&gt;"",AA$59,IF(IFERROR(INDEX(醫師週班表!$C$5:$T$44,$CU9,AA$57),"")=0,"",IF(MID(IFERROR(INDEX(醫師週班表!$C$5:$T$44,$CU9,AA$57),""),2,1)="/",MID(IFERROR(INDEX(醫師週班表!$C$5:$T$44,$CU9,AA$57),""),1+AA$58*2,1),IF(MID(IFERROR(INDEX(醫師週班表!$C$5:$T$44,$CU9,AA$57),""),3,1)="隔",IF(AA$58=0,LEFT(IFERROR(INDEX(醫師週班表!$C$5:$T$44,$CU9,AA$57),""),1),""),IF(MID(IFERROR(INDEX(醫師週班表!$C$5:$T$44,$CU9,AA$57),""),2,1)="(",LEFT(IFERROR(INDEX(醫師週班表!$C$5:$T$44,$CU9,AA$57),""),1),IFERROR(INDEX(醫師週班表!$C$5:$T$44,$CU9,AA$57),"")))))))</f>
        <v/>
      </c>
      <c r="AB9" s="72">
        <f>IF(AB$59="X","",IF(AB$59&lt;&gt;"",AB$59,IF(IFERROR(INDEX(醫師週班表!$C$5:$T$44,$CU9,AB$57),"")=0,"",IF(MID(IFERROR(INDEX(醫師週班表!$C$5:$T$44,$CU9,AB$57),""),2,1)="/",MID(IFERROR(INDEX(醫師週班表!$C$5:$T$44,$CU9,AB$57),""),1+AB$58*2,1),IF(MID(IFERROR(INDEX(醫師週班表!$C$5:$T$44,$CU9,AB$57),""),3,1)="隔",IF(AB$58=0,LEFT(IFERROR(INDEX(醫師週班表!$C$5:$T$44,$CU9,AB$57),""),1),""),IF(MID(IFERROR(INDEX(醫師週班表!$C$5:$T$44,$CU9,AB$57),""),2,1)="(",LEFT(IFERROR(INDEX(醫師週班表!$C$5:$T$44,$CU9,AB$57),""),1),IFERROR(INDEX(醫師週班表!$C$5:$T$44,$CU9,AB$57),"")))))))</f>
        <v/>
      </c>
      <c r="AC9" s="71">
        <f>IF(AC$59="X","",IF(AC$59&lt;&gt;"",AC$59,IF(IFERROR(INDEX(醫師週班表!$C$5:$T$44,$CU9,AC$57),"")=0,"",IF(MID(IFERROR(INDEX(醫師週班表!$C$5:$T$44,$CU9,AC$57),""),2,1)="/",MID(IFERROR(INDEX(醫師週班表!$C$5:$T$44,$CU9,AC$57),""),1+AC$58*2,1),IF(MID(IFERROR(INDEX(醫師週班表!$C$5:$T$44,$CU9,AC$57),""),3,1)="隔",IF(AC$58=0,LEFT(IFERROR(INDEX(醫師週班表!$C$5:$T$44,$CU9,AC$57),""),1),""),IF(MID(IFERROR(INDEX(醫師週班表!$C$5:$T$44,$CU9,AC$57),""),2,1)="(",LEFT(IFERROR(INDEX(醫師週班表!$C$5:$T$44,$CU9,AC$57),""),1),IFERROR(INDEX(醫師週班表!$C$5:$T$44,$CU9,AC$57),"")))))))</f>
        <v/>
      </c>
      <c r="AD9" s="72">
        <f>IF(AD$59="X","",IF(AD$59&lt;&gt;"",AD$59,IF(IFERROR(INDEX(醫師週班表!$C$5:$T$44,$CU9,AD$57),"")=0,"",IF(MID(IFERROR(INDEX(醫師週班表!$C$5:$T$44,$CU9,AD$57),""),2,1)="/",MID(IFERROR(INDEX(醫師週班表!$C$5:$T$44,$CU9,AD$57),""),1+AD$58*2,1),IF(MID(IFERROR(INDEX(醫師週班表!$C$5:$T$44,$CU9,AD$57),""),3,1)="隔",IF(AD$58=0,LEFT(IFERROR(INDEX(醫師週班表!$C$5:$T$44,$CU9,AD$57),""),1),""),IF(MID(IFERROR(INDEX(醫師週班表!$C$5:$T$44,$CU9,AD$57),""),2,1)="(",LEFT(IFERROR(INDEX(醫師週班表!$C$5:$T$44,$CU9,AD$57),""),1),IFERROR(INDEX(醫師週班表!$C$5:$T$44,$CU9,AD$57),"")))))))</f>
        <v/>
      </c>
      <c r="AE9" s="72">
        <f>IF(AE$59="X","",IF(AE$59&lt;&gt;"",AE$59,IF(IFERROR(INDEX(醫師週班表!$C$5:$T$44,$CU9,AE$57),"")=0,"",IF(MID(IFERROR(INDEX(醫師週班表!$C$5:$T$44,$CU9,AE$57),""),2,1)="/",MID(IFERROR(INDEX(醫師週班表!$C$5:$T$44,$CU9,AE$57),""),1+AE$58*2,1),IF(MID(IFERROR(INDEX(醫師週班表!$C$5:$T$44,$CU9,AE$57),""),3,1)="隔",IF(AE$58=0,LEFT(IFERROR(INDEX(醫師週班表!$C$5:$T$44,$CU9,AE$57),""),1),""),IF(MID(IFERROR(INDEX(醫師週班表!$C$5:$T$44,$CU9,AE$57),""),2,1)="(",LEFT(IFERROR(INDEX(醫師週班表!$C$5:$T$44,$CU9,AE$57),""),1),IFERROR(INDEX(醫師週班表!$C$5:$T$44,$CU9,AE$57),"")))))))</f>
        <v/>
      </c>
      <c r="AF9" s="71">
        <f>IF(AF$59="X","",IF(AF$59&lt;&gt;"",AF$59,IF(IFERROR(INDEX(醫師週班表!$C$5:$T$44,$CU9,AF$57),"")=0,"",IF(MID(IFERROR(INDEX(醫師週班表!$C$5:$T$44,$CU9,AF$57),""),2,1)="/",MID(IFERROR(INDEX(醫師週班表!$C$5:$T$44,$CU9,AF$57),""),1+AF$58*2,1),IF(MID(IFERROR(INDEX(醫師週班表!$C$5:$T$44,$CU9,AF$57),""),3,1)="隔",IF(AF$58=0,LEFT(IFERROR(INDEX(醫師週班表!$C$5:$T$44,$CU9,AF$57),""),1),""),IF(MID(IFERROR(INDEX(醫師週班表!$C$5:$T$44,$CU9,AF$57),""),2,1)="(",LEFT(IFERROR(INDEX(醫師週班表!$C$5:$T$44,$CU9,AF$57),""),1),IFERROR(INDEX(醫師週班表!$C$5:$T$44,$CU9,AF$57),"")))))))</f>
        <v/>
      </c>
      <c r="AG9" s="72">
        <f>IF(AG$59="X","",IF(AG$59&lt;&gt;"",AG$59,IF(IFERROR(INDEX(醫師週班表!$C$5:$T$44,$CU9,AG$57),"")=0,"",IF(MID(IFERROR(INDEX(醫師週班表!$C$5:$T$44,$CU9,AG$57),""),2,1)="/",MID(IFERROR(INDEX(醫師週班表!$C$5:$T$44,$CU9,AG$57),""),1+AG$58*2,1),IF(MID(IFERROR(INDEX(醫師週班表!$C$5:$T$44,$CU9,AG$57),""),3,1)="隔",IF(AG$58=0,LEFT(IFERROR(INDEX(醫師週班表!$C$5:$T$44,$CU9,AG$57),""),1),""),IF(MID(IFERROR(INDEX(醫師週班表!$C$5:$T$44,$CU9,AG$57),""),2,1)="(",LEFT(IFERROR(INDEX(醫師週班表!$C$5:$T$44,$CU9,AG$57),""),1),IFERROR(INDEX(醫師週班表!$C$5:$T$44,$CU9,AG$57),"")))))))</f>
        <v/>
      </c>
      <c r="AH9" s="72">
        <f>IF(AH$59="X","",IF(AH$59&lt;&gt;"",AH$59,IF(IFERROR(INDEX(醫師週班表!$C$5:$T$44,$CU9,AH$57),"")=0,"",IF(MID(IFERROR(INDEX(醫師週班表!$C$5:$T$44,$CU9,AH$57),""),2,1)="/",MID(IFERROR(INDEX(醫師週班表!$C$5:$T$44,$CU9,AH$57),""),1+AH$58*2,1),IF(MID(IFERROR(INDEX(醫師週班表!$C$5:$T$44,$CU9,AH$57),""),3,1)="隔",IF(AH$58=0,LEFT(IFERROR(INDEX(醫師週班表!$C$5:$T$44,$CU9,AH$57),""),1),""),IF(MID(IFERROR(INDEX(醫師週班表!$C$5:$T$44,$CU9,AH$57),""),2,1)="(",LEFT(IFERROR(INDEX(醫師週班表!$C$5:$T$44,$CU9,AH$57),""),1),IFERROR(INDEX(醫師週班表!$C$5:$T$44,$CU9,AH$57),"")))))))</f>
        <v/>
      </c>
      <c r="AI9" s="71">
        <f>IF(AI$59="X","",IF(AI$59&lt;&gt;"",AI$59,IF(IFERROR(INDEX(醫師週班表!$C$5:$T$44,$CU9,AI$57),"")=0,"",IF(MID(IFERROR(INDEX(醫師週班表!$C$5:$T$44,$CU9,AI$57),""),2,1)="/",MID(IFERROR(INDEX(醫師週班表!$C$5:$T$44,$CU9,AI$57),""),1+AI$58*2,1),IF(MID(IFERROR(INDEX(醫師週班表!$C$5:$T$44,$CU9,AI$57),""),3,1)="隔",IF(AI$58=0,LEFT(IFERROR(INDEX(醫師週班表!$C$5:$T$44,$CU9,AI$57),""),1),""),IF(MID(IFERROR(INDEX(醫師週班表!$C$5:$T$44,$CU9,AI$57),""),2,1)="(",LEFT(IFERROR(INDEX(醫師週班表!$C$5:$T$44,$CU9,AI$57),""),1),IFERROR(INDEX(醫師週班表!$C$5:$T$44,$CU9,AI$57),"")))))))</f>
        <v/>
      </c>
      <c r="AJ9" s="72">
        <f>IF(AJ$59="X","",IF(AJ$59&lt;&gt;"",AJ$59,IF(IFERROR(INDEX(醫師週班表!$C$5:$T$44,$CU9,AJ$57),"")=0,"",IF(MID(IFERROR(INDEX(醫師週班表!$C$5:$T$44,$CU9,AJ$57),""),2,1)="/",MID(IFERROR(INDEX(醫師週班表!$C$5:$T$44,$CU9,AJ$57),""),1+AJ$58*2,1),IF(MID(IFERROR(INDEX(醫師週班表!$C$5:$T$44,$CU9,AJ$57),""),3,1)="隔",IF(AJ$58=0,LEFT(IFERROR(INDEX(醫師週班表!$C$5:$T$44,$CU9,AJ$57),""),1),""),IF(MID(IFERROR(INDEX(醫師週班表!$C$5:$T$44,$CU9,AJ$57),""),2,1)="(",LEFT(IFERROR(INDEX(醫師週班表!$C$5:$T$44,$CU9,AJ$57),""),1),IFERROR(INDEX(醫師週班表!$C$5:$T$44,$CU9,AJ$57),"")))))))</f>
        <v/>
      </c>
      <c r="AK9" s="72">
        <f>IF(AK$59="X","",IF(AK$59&lt;&gt;"",AK$59,IF(IFERROR(INDEX(醫師週班表!$C$5:$T$44,$CU9,AK$57),"")=0,"",IF(MID(IFERROR(INDEX(醫師週班表!$C$5:$T$44,$CU9,AK$57),""),2,1)="/",MID(IFERROR(INDEX(醫師週班表!$C$5:$T$44,$CU9,AK$57),""),1+AK$58*2,1),IF(MID(IFERROR(INDEX(醫師週班表!$C$5:$T$44,$CU9,AK$57),""),3,1)="隔",IF(AK$58=0,LEFT(IFERROR(INDEX(醫師週班表!$C$5:$T$44,$CU9,AK$57),""),1),""),IF(MID(IFERROR(INDEX(醫師週班表!$C$5:$T$44,$CU9,AK$57),""),2,1)="(",LEFT(IFERROR(INDEX(醫師週班表!$C$5:$T$44,$CU9,AK$57),""),1),IFERROR(INDEX(醫師週班表!$C$5:$T$44,$CU9,AK$57),"")))))))</f>
        <v/>
      </c>
      <c r="AL9" s="71">
        <f>IF(AL$59="X","",IF(AL$59&lt;&gt;"",AL$59,IF(IFERROR(INDEX(醫師週班表!$C$5:$T$44,$CU9,AL$57),"")=0,"",IF(MID(IFERROR(INDEX(醫師週班表!$C$5:$T$44,$CU9,AL$57),""),2,1)="/",MID(IFERROR(INDEX(醫師週班表!$C$5:$T$44,$CU9,AL$57),""),1+AL$58*2,1),IF(MID(IFERROR(INDEX(醫師週班表!$C$5:$T$44,$CU9,AL$57),""),3,1)="隔",IF(AL$58=0,LEFT(IFERROR(INDEX(醫師週班表!$C$5:$T$44,$CU9,AL$57),""),1),""),IF(MID(IFERROR(INDEX(醫師週班表!$C$5:$T$44,$CU9,AL$57),""),2,1)="(",LEFT(IFERROR(INDEX(醫師週班表!$C$5:$T$44,$CU9,AL$57),""),1),IFERROR(INDEX(醫師週班表!$C$5:$T$44,$CU9,AL$57),"")))))))</f>
        <v/>
      </c>
      <c r="AM9" s="72">
        <f>IF(AM$59="X","",IF(AM$59&lt;&gt;"",AM$59,IF(IFERROR(INDEX(醫師週班表!$C$5:$T$44,$CU9,AM$57),"")=0,"",IF(MID(IFERROR(INDEX(醫師週班表!$C$5:$T$44,$CU9,AM$57),""),2,1)="/",MID(IFERROR(INDEX(醫師週班表!$C$5:$T$44,$CU9,AM$57),""),1+AM$58*2,1),IF(MID(IFERROR(INDEX(醫師週班表!$C$5:$T$44,$CU9,AM$57),""),3,1)="隔",IF(AM$58=0,LEFT(IFERROR(INDEX(醫師週班表!$C$5:$T$44,$CU9,AM$57),""),1),""),IF(MID(IFERROR(INDEX(醫師週班表!$C$5:$T$44,$CU9,AM$57),""),2,1)="(",LEFT(IFERROR(INDEX(醫師週班表!$C$5:$T$44,$CU9,AM$57),""),1),IFERROR(INDEX(醫師週班表!$C$5:$T$44,$CU9,AM$57),"")))))))</f>
        <v/>
      </c>
      <c r="AN9" s="72">
        <f>IF(AN$59="X","",IF(AN$59&lt;&gt;"",AN$59,IF(IFERROR(INDEX(醫師週班表!$C$5:$T$44,$CU9,AN$57),"")=0,"",IF(MID(IFERROR(INDEX(醫師週班表!$C$5:$T$44,$CU9,AN$57),""),2,1)="/",MID(IFERROR(INDEX(醫師週班表!$C$5:$T$44,$CU9,AN$57),""),1+AN$58*2,1),IF(MID(IFERROR(INDEX(醫師週班表!$C$5:$T$44,$CU9,AN$57),""),3,1)="隔",IF(AN$58=0,LEFT(IFERROR(INDEX(醫師週班表!$C$5:$T$44,$CU9,AN$57),""),1),""),IF(MID(IFERROR(INDEX(醫師週班表!$C$5:$T$44,$CU9,AN$57),""),2,1)="(",LEFT(IFERROR(INDEX(醫師週班表!$C$5:$T$44,$CU9,AN$57),""),1),IFERROR(INDEX(醫師週班表!$C$5:$T$44,$CU9,AN$57),"")))))))</f>
        <v/>
      </c>
      <c r="AO9" s="71">
        <f>IF(AO$59="X","",IF(AO$59&lt;&gt;"",AO$59,IF(IFERROR(INDEX(醫師週班表!$C$5:$T$44,$CU9,AO$57),"")=0,"",IF(MID(IFERROR(INDEX(醫師週班表!$C$5:$T$44,$CU9,AO$57),""),2,1)="/",MID(IFERROR(INDEX(醫師週班表!$C$5:$T$44,$CU9,AO$57),""),1+AO$58*2,1),IF(MID(IFERROR(INDEX(醫師週班表!$C$5:$T$44,$CU9,AO$57),""),3,1)="隔",IF(AO$58=0,LEFT(IFERROR(INDEX(醫師週班表!$C$5:$T$44,$CU9,AO$57),""),1),""),IF(MID(IFERROR(INDEX(醫師週班表!$C$5:$T$44,$CU9,AO$57),""),2,1)="(",LEFT(IFERROR(INDEX(醫師週班表!$C$5:$T$44,$CU9,AO$57),""),1),IFERROR(INDEX(醫師週班表!$C$5:$T$44,$CU9,AO$57),"")))))))</f>
        <v/>
      </c>
      <c r="AP9" s="72">
        <f>IF(AP$59="X","",IF(AP$59&lt;&gt;"",AP$59,IF(IFERROR(INDEX(醫師週班表!$C$5:$T$44,$CU9,AP$57),"")=0,"",IF(MID(IFERROR(INDEX(醫師週班表!$C$5:$T$44,$CU9,AP$57),""),2,1)="/",MID(IFERROR(INDEX(醫師週班表!$C$5:$T$44,$CU9,AP$57),""),1+AP$58*2,1),IF(MID(IFERROR(INDEX(醫師週班表!$C$5:$T$44,$CU9,AP$57),""),3,1)="隔",IF(AP$58=0,LEFT(IFERROR(INDEX(醫師週班表!$C$5:$T$44,$CU9,AP$57),""),1),""),IF(MID(IFERROR(INDEX(醫師週班表!$C$5:$T$44,$CU9,AP$57),""),2,1)="(",LEFT(IFERROR(INDEX(醫師週班表!$C$5:$T$44,$CU9,AP$57),""),1),IFERROR(INDEX(醫師週班表!$C$5:$T$44,$CU9,AP$57),"")))))))</f>
        <v/>
      </c>
      <c r="AQ9" s="72">
        <f>IF(AQ$59="X","",IF(AQ$59&lt;&gt;"",AQ$59,IF(IFERROR(INDEX(醫師週班表!$C$5:$T$44,$CU9,AQ$57),"")=0,"",IF(MID(IFERROR(INDEX(醫師週班表!$C$5:$T$44,$CU9,AQ$57),""),2,1)="/",MID(IFERROR(INDEX(醫師週班表!$C$5:$T$44,$CU9,AQ$57),""),1+AQ$58*2,1),IF(MID(IFERROR(INDEX(醫師週班表!$C$5:$T$44,$CU9,AQ$57),""),3,1)="隔",IF(AQ$58=0,LEFT(IFERROR(INDEX(醫師週班表!$C$5:$T$44,$CU9,AQ$57),""),1),""),IF(MID(IFERROR(INDEX(醫師週班表!$C$5:$T$44,$CU9,AQ$57),""),2,1)="(",LEFT(IFERROR(INDEX(醫師週班表!$C$5:$T$44,$CU9,AQ$57),""),1),IFERROR(INDEX(醫師週班表!$C$5:$T$44,$CU9,AQ$57),"")))))))</f>
        <v/>
      </c>
      <c r="AR9" s="71">
        <f>IF(AR$59="X","",IF(AR$59&lt;&gt;"",AR$59,IF(IFERROR(INDEX(醫師週班表!$C$5:$T$44,$CU9,AR$57),"")=0,"",IF(MID(IFERROR(INDEX(醫師週班表!$C$5:$T$44,$CU9,AR$57),""),2,1)="/",MID(IFERROR(INDEX(醫師週班表!$C$5:$T$44,$CU9,AR$57),""),1+AR$58*2,1),IF(MID(IFERROR(INDEX(醫師週班表!$C$5:$T$44,$CU9,AR$57),""),3,1)="隔",IF(AR$58=0,LEFT(IFERROR(INDEX(醫師週班表!$C$5:$T$44,$CU9,AR$57),""),1),""),IF(MID(IFERROR(INDEX(醫師週班表!$C$5:$T$44,$CU9,AR$57),""),2,1)="(",LEFT(IFERROR(INDEX(醫師週班表!$C$5:$T$44,$CU9,AR$57),""),1),IFERROR(INDEX(醫師週班表!$C$5:$T$44,$CU9,AR$57),"")))))))</f>
        <v/>
      </c>
      <c r="AS9" s="72">
        <f>IF(AS$59="X","",IF(AS$59&lt;&gt;"",AS$59,IF(IFERROR(INDEX(醫師週班表!$C$5:$T$44,$CU9,AS$57),"")=0,"",IF(MID(IFERROR(INDEX(醫師週班表!$C$5:$T$44,$CU9,AS$57),""),2,1)="/",MID(IFERROR(INDEX(醫師週班表!$C$5:$T$44,$CU9,AS$57),""),1+AS$58*2,1),IF(MID(IFERROR(INDEX(醫師週班表!$C$5:$T$44,$CU9,AS$57),""),3,1)="隔",IF(AS$58=0,LEFT(IFERROR(INDEX(醫師週班表!$C$5:$T$44,$CU9,AS$57),""),1),""),IF(MID(IFERROR(INDEX(醫師週班表!$C$5:$T$44,$CU9,AS$57),""),2,1)="(",LEFT(IFERROR(INDEX(醫師週班表!$C$5:$T$44,$CU9,AS$57),""),1),IFERROR(INDEX(醫師週班表!$C$5:$T$44,$CU9,AS$57),"")))))))</f>
        <v/>
      </c>
      <c r="AT9" s="72">
        <f>IF(AT$59="X","",IF(AT$59&lt;&gt;"",AT$59,IF(IFERROR(INDEX(醫師週班表!$C$5:$T$44,$CU9,AT$57),"")=0,"",IF(MID(IFERROR(INDEX(醫師週班表!$C$5:$T$44,$CU9,AT$57),""),2,1)="/",MID(IFERROR(INDEX(醫師週班表!$C$5:$T$44,$CU9,AT$57),""),1+AT$58*2,1),IF(MID(IFERROR(INDEX(醫師週班表!$C$5:$T$44,$CU9,AT$57),""),3,1)="隔",IF(AT$58=0,LEFT(IFERROR(INDEX(醫師週班表!$C$5:$T$44,$CU9,AT$57),""),1),""),IF(MID(IFERROR(INDEX(醫師週班表!$C$5:$T$44,$CU9,AT$57),""),2,1)="(",LEFT(IFERROR(INDEX(醫師週班表!$C$5:$T$44,$CU9,AT$57),""),1),IFERROR(INDEX(醫師週班表!$C$5:$T$44,$CU9,AT$57),"")))))))</f>
        <v/>
      </c>
      <c r="AU9" s="71">
        <f>IF(AU$59="X","",IF(AU$59&lt;&gt;"",AU$59,IF(IFERROR(INDEX(醫師週班表!$C$5:$T$44,$CU9,AU$57),"")=0,"",IF(MID(IFERROR(INDEX(醫師週班表!$C$5:$T$44,$CU9,AU$57),""),2,1)="/",MID(IFERROR(INDEX(醫師週班表!$C$5:$T$44,$CU9,AU$57),""),1+AU$58*2,1),IF(MID(IFERROR(INDEX(醫師週班表!$C$5:$T$44,$CU9,AU$57),""),3,1)="隔",IF(AU$58=0,LEFT(IFERROR(INDEX(醫師週班表!$C$5:$T$44,$CU9,AU$57),""),1),""),IF(MID(IFERROR(INDEX(醫師週班表!$C$5:$T$44,$CU9,AU$57),""),2,1)="(",LEFT(IFERROR(INDEX(醫師週班表!$C$5:$T$44,$CU9,AU$57),""),1),IFERROR(INDEX(醫師週班表!$C$5:$T$44,$CU9,AU$57),"")))))))</f>
        <v/>
      </c>
      <c r="AV9" s="72">
        <f>IF(AV$59="X","",IF(AV$59&lt;&gt;"",AV$59,IF(IFERROR(INDEX(醫師週班表!$C$5:$T$44,$CU9,AV$57),"")=0,"",IF(MID(IFERROR(INDEX(醫師週班表!$C$5:$T$44,$CU9,AV$57),""),2,1)="/",MID(IFERROR(INDEX(醫師週班表!$C$5:$T$44,$CU9,AV$57),""),1+AV$58*2,1),IF(MID(IFERROR(INDEX(醫師週班表!$C$5:$T$44,$CU9,AV$57),""),3,1)="隔",IF(AV$58=0,LEFT(IFERROR(INDEX(醫師週班表!$C$5:$T$44,$CU9,AV$57),""),1),""),IF(MID(IFERROR(INDEX(醫師週班表!$C$5:$T$44,$CU9,AV$57),""),2,1)="(",LEFT(IFERROR(INDEX(醫師週班表!$C$5:$T$44,$CU9,AV$57),""),1),IFERROR(INDEX(醫師週班表!$C$5:$T$44,$CU9,AV$57),"")))))))</f>
        <v/>
      </c>
      <c r="AW9" s="72">
        <f>IF(AW$59="X","",IF(AW$59&lt;&gt;"",AW$59,IF(IFERROR(INDEX(醫師週班表!$C$5:$T$44,$CU9,AW$57),"")=0,"",IF(MID(IFERROR(INDEX(醫師週班表!$C$5:$T$44,$CU9,AW$57),""),2,1)="/",MID(IFERROR(INDEX(醫師週班表!$C$5:$T$44,$CU9,AW$57),""),1+AW$58*2,1),IF(MID(IFERROR(INDEX(醫師週班表!$C$5:$T$44,$CU9,AW$57),""),3,1)="隔",IF(AW$58=0,LEFT(IFERROR(INDEX(醫師週班表!$C$5:$T$44,$CU9,AW$57),""),1),""),IF(MID(IFERROR(INDEX(醫師週班表!$C$5:$T$44,$CU9,AW$57),""),2,1)="(",LEFT(IFERROR(INDEX(醫師週班表!$C$5:$T$44,$CU9,AW$57),""),1),IFERROR(INDEX(醫師週班表!$C$5:$T$44,$CU9,AW$57),"")))))))</f>
        <v/>
      </c>
      <c r="AX9" s="71">
        <f>IF(AX$59="X","",IF(AX$59&lt;&gt;"",AX$59,IF(IFERROR(INDEX(醫師週班表!$C$5:$T$44,$CU9,AX$57),"")=0,"",IF(MID(IFERROR(INDEX(醫師週班表!$C$5:$T$44,$CU9,AX$57),""),2,1)="/",MID(IFERROR(INDEX(醫師週班表!$C$5:$T$44,$CU9,AX$57),""),1+AX$58*2,1),IF(MID(IFERROR(INDEX(醫師週班表!$C$5:$T$44,$CU9,AX$57),""),3,1)="隔",IF(AX$58=0,LEFT(IFERROR(INDEX(醫師週班表!$C$5:$T$44,$CU9,AX$57),""),1),""),IF(MID(IFERROR(INDEX(醫師週班表!$C$5:$T$44,$CU9,AX$57),""),2,1)="(",LEFT(IFERROR(INDEX(醫師週班表!$C$5:$T$44,$CU9,AX$57),""),1),IFERROR(INDEX(醫師週班表!$C$5:$T$44,$CU9,AX$57),"")))))))</f>
        <v/>
      </c>
      <c r="AY9" s="72">
        <f>IF(AY$59="X","",IF(AY$59&lt;&gt;"",AY$59,IF(IFERROR(INDEX(醫師週班表!$C$5:$T$44,$CU9,AY$57),"")=0,"",IF(MID(IFERROR(INDEX(醫師週班表!$C$5:$T$44,$CU9,AY$57),""),2,1)="/",MID(IFERROR(INDEX(醫師週班表!$C$5:$T$44,$CU9,AY$57),""),1+AY$58*2,1),IF(MID(IFERROR(INDEX(醫師週班表!$C$5:$T$44,$CU9,AY$57),""),3,1)="隔",IF(AY$58=0,LEFT(IFERROR(INDEX(醫師週班表!$C$5:$T$44,$CU9,AY$57),""),1),""),IF(MID(IFERROR(INDEX(醫師週班表!$C$5:$T$44,$CU9,AY$57),""),2,1)="(",LEFT(IFERROR(INDEX(醫師週班表!$C$5:$T$44,$CU9,AY$57),""),1),IFERROR(INDEX(醫師週班表!$C$5:$T$44,$CU9,AY$57),"")))))))</f>
        <v/>
      </c>
      <c r="AZ9" s="72">
        <f>IF(AZ$59="X","",IF(AZ$59&lt;&gt;"",AZ$59,IF(IFERROR(INDEX(醫師週班表!$C$5:$T$44,$CU9,AZ$57),"")=0,"",IF(MID(IFERROR(INDEX(醫師週班表!$C$5:$T$44,$CU9,AZ$57),""),2,1)="/",MID(IFERROR(INDEX(醫師週班表!$C$5:$T$44,$CU9,AZ$57),""),1+AZ$58*2,1),IF(MID(IFERROR(INDEX(醫師週班表!$C$5:$T$44,$CU9,AZ$57),""),3,1)="隔",IF(AZ$58=0,LEFT(IFERROR(INDEX(醫師週班表!$C$5:$T$44,$CU9,AZ$57),""),1),""),IF(MID(IFERROR(INDEX(醫師週班表!$C$5:$T$44,$CU9,AZ$57),""),2,1)="(",LEFT(IFERROR(INDEX(醫師週班表!$C$5:$T$44,$CU9,AZ$57),""),1),IFERROR(INDEX(醫師週班表!$C$5:$T$44,$CU9,AZ$57),"")))))))</f>
        <v/>
      </c>
      <c r="BA9" s="71">
        <f>IF(BA$59="X","",IF(BA$59&lt;&gt;"",BA$59,IF(IFERROR(INDEX(醫師週班表!$C$5:$T$44,$CU9,BA$57),"")=0,"",IF(MID(IFERROR(INDEX(醫師週班表!$C$5:$T$44,$CU9,BA$57),""),2,1)="/",MID(IFERROR(INDEX(醫師週班表!$C$5:$T$44,$CU9,BA$57),""),1+BA$58*2,1),IF(MID(IFERROR(INDEX(醫師週班表!$C$5:$T$44,$CU9,BA$57),""),3,1)="隔",IF(BA$58=0,LEFT(IFERROR(INDEX(醫師週班表!$C$5:$T$44,$CU9,BA$57),""),1),""),IF(MID(IFERROR(INDEX(醫師週班表!$C$5:$T$44,$CU9,BA$57),""),2,1)="(",LEFT(IFERROR(INDEX(醫師週班表!$C$5:$T$44,$CU9,BA$57),""),1),IFERROR(INDEX(醫師週班表!$C$5:$T$44,$CU9,BA$57),"")))))))</f>
        <v/>
      </c>
      <c r="BB9" s="72">
        <f>IF(BB$59="X","",IF(BB$59&lt;&gt;"",BB$59,IF(IFERROR(INDEX(醫師週班表!$C$5:$T$44,$CU9,BB$57),"")=0,"",IF(MID(IFERROR(INDEX(醫師週班表!$C$5:$T$44,$CU9,BB$57),""),2,1)="/",MID(IFERROR(INDEX(醫師週班表!$C$5:$T$44,$CU9,BB$57),""),1+BB$58*2,1),IF(MID(IFERROR(INDEX(醫師週班表!$C$5:$T$44,$CU9,BB$57),""),3,1)="隔",IF(BB$58=0,LEFT(IFERROR(INDEX(醫師週班表!$C$5:$T$44,$CU9,BB$57),""),1),""),IF(MID(IFERROR(INDEX(醫師週班表!$C$5:$T$44,$CU9,BB$57),""),2,1)="(",LEFT(IFERROR(INDEX(醫師週班表!$C$5:$T$44,$CU9,BB$57),""),1),IFERROR(INDEX(醫師週班表!$C$5:$T$44,$CU9,BB$57),"")))))))</f>
        <v/>
      </c>
      <c r="BC9" s="72">
        <f>IF(BC$59="X","",IF(BC$59&lt;&gt;"",BC$59,IF(IFERROR(INDEX(醫師週班表!$C$5:$T$44,$CU9,BC$57),"")=0,"",IF(MID(IFERROR(INDEX(醫師週班表!$C$5:$T$44,$CU9,BC$57),""),2,1)="/",MID(IFERROR(INDEX(醫師週班表!$C$5:$T$44,$CU9,BC$57),""),1+BC$58*2,1),IF(MID(IFERROR(INDEX(醫師週班表!$C$5:$T$44,$CU9,BC$57),""),3,1)="隔",IF(BC$58=0,LEFT(IFERROR(INDEX(醫師週班表!$C$5:$T$44,$CU9,BC$57),""),1),""),IF(MID(IFERROR(INDEX(醫師週班表!$C$5:$T$44,$CU9,BC$57),""),2,1)="(",LEFT(IFERROR(INDEX(醫師週班表!$C$5:$T$44,$CU9,BC$57),""),1),IFERROR(INDEX(醫師週班表!$C$5:$T$44,$CU9,BC$57),"")))))))</f>
        <v/>
      </c>
      <c r="BD9" s="71">
        <f>IF(BD$59="X","",IF(BD$59&lt;&gt;"",BD$59,IF(IFERROR(INDEX(醫師週班表!$C$5:$T$44,$CU9,BD$57),"")=0,"",IF(MID(IFERROR(INDEX(醫師週班表!$C$5:$T$44,$CU9,BD$57),""),2,1)="/",MID(IFERROR(INDEX(醫師週班表!$C$5:$T$44,$CU9,BD$57),""),1+BD$58*2,1),IF(MID(IFERROR(INDEX(醫師週班表!$C$5:$T$44,$CU9,BD$57),""),3,1)="隔",IF(BD$58=0,LEFT(IFERROR(INDEX(醫師週班表!$C$5:$T$44,$CU9,BD$57),""),1),""),IF(MID(IFERROR(INDEX(醫師週班表!$C$5:$T$44,$CU9,BD$57),""),2,1)="(",LEFT(IFERROR(INDEX(醫師週班表!$C$5:$T$44,$CU9,BD$57),""),1),IFERROR(INDEX(醫師週班表!$C$5:$T$44,$CU9,BD$57),"")))))))</f>
        <v/>
      </c>
      <c r="BE9" s="72">
        <f>IF(BE$59="X","",IF(BE$59&lt;&gt;"",BE$59,IF(IFERROR(INDEX(醫師週班表!$C$5:$T$44,$CU9,BE$57),"")=0,"",IF(MID(IFERROR(INDEX(醫師週班表!$C$5:$T$44,$CU9,BE$57),""),2,1)="/",MID(IFERROR(INDEX(醫師週班表!$C$5:$T$44,$CU9,BE$57),""),1+BE$58*2,1),IF(MID(IFERROR(INDEX(醫師週班表!$C$5:$T$44,$CU9,BE$57),""),3,1)="隔",IF(BE$58=0,LEFT(IFERROR(INDEX(醫師週班表!$C$5:$T$44,$CU9,BE$57),""),1),""),IF(MID(IFERROR(INDEX(醫師週班表!$C$5:$T$44,$CU9,BE$57),""),2,1)="(",LEFT(IFERROR(INDEX(醫師週班表!$C$5:$T$44,$CU9,BE$57),""),1),IFERROR(INDEX(醫師週班表!$C$5:$T$44,$CU9,BE$57),"")))))))</f>
        <v/>
      </c>
      <c r="BF9" s="72">
        <f>IF(BF$59="X","",IF(BF$59&lt;&gt;"",BF$59,IF(IFERROR(INDEX(醫師週班表!$C$5:$T$44,$CU9,BF$57),"")=0,"",IF(MID(IFERROR(INDEX(醫師週班表!$C$5:$T$44,$CU9,BF$57),""),2,1)="/",MID(IFERROR(INDEX(醫師週班表!$C$5:$T$44,$CU9,BF$57),""),1+BF$58*2,1),IF(MID(IFERROR(INDEX(醫師週班表!$C$5:$T$44,$CU9,BF$57),""),3,1)="隔",IF(BF$58=0,LEFT(IFERROR(INDEX(醫師週班表!$C$5:$T$44,$CU9,BF$57),""),1),""),IF(MID(IFERROR(INDEX(醫師週班表!$C$5:$T$44,$CU9,BF$57),""),2,1)="(",LEFT(IFERROR(INDEX(醫師週班表!$C$5:$T$44,$CU9,BF$57),""),1),IFERROR(INDEX(醫師週班表!$C$5:$T$44,$CU9,BF$57),"")))))))</f>
        <v/>
      </c>
      <c r="BG9" s="71">
        <f>IF(BG$59="X","",IF(BG$59&lt;&gt;"",BG$59,IF(IFERROR(INDEX(醫師週班表!$C$5:$T$44,$CU9,BG$57),"")=0,"",IF(MID(IFERROR(INDEX(醫師週班表!$C$5:$T$44,$CU9,BG$57),""),2,1)="/",MID(IFERROR(INDEX(醫師週班表!$C$5:$T$44,$CU9,BG$57),""),1+BG$58*2,1),IF(MID(IFERROR(INDEX(醫師週班表!$C$5:$T$44,$CU9,BG$57),""),3,1)="隔",IF(BG$58=0,LEFT(IFERROR(INDEX(醫師週班表!$C$5:$T$44,$CU9,BG$57),""),1),""),IF(MID(IFERROR(INDEX(醫師週班表!$C$5:$T$44,$CU9,BG$57),""),2,1)="(",LEFT(IFERROR(INDEX(醫師週班表!$C$5:$T$44,$CU9,BG$57),""),1),IFERROR(INDEX(醫師週班表!$C$5:$T$44,$CU9,BG$57),"")))))))</f>
        <v/>
      </c>
      <c r="BH9" s="72">
        <f>IF(BH$59="X","",IF(BH$59&lt;&gt;"",BH$59,IF(IFERROR(INDEX(醫師週班表!$C$5:$T$44,$CU9,BH$57),"")=0,"",IF(MID(IFERROR(INDEX(醫師週班表!$C$5:$T$44,$CU9,BH$57),""),2,1)="/",MID(IFERROR(INDEX(醫師週班表!$C$5:$T$44,$CU9,BH$57),""),1+BH$58*2,1),IF(MID(IFERROR(INDEX(醫師週班表!$C$5:$T$44,$CU9,BH$57),""),3,1)="隔",IF(BH$58=0,LEFT(IFERROR(INDEX(醫師週班表!$C$5:$T$44,$CU9,BH$57),""),1),""),IF(MID(IFERROR(INDEX(醫師週班表!$C$5:$T$44,$CU9,BH$57),""),2,1)="(",LEFT(IFERROR(INDEX(醫師週班表!$C$5:$T$44,$CU9,BH$57),""),1),IFERROR(INDEX(醫師週班表!$C$5:$T$44,$CU9,BH$57),"")))))))</f>
        <v/>
      </c>
      <c r="BI9" s="72">
        <f>IF(BI$59="X","",IF(BI$59&lt;&gt;"",BI$59,IF(IFERROR(INDEX(醫師週班表!$C$5:$T$44,$CU9,BI$57),"")=0,"",IF(MID(IFERROR(INDEX(醫師週班表!$C$5:$T$44,$CU9,BI$57),""),2,1)="/",MID(IFERROR(INDEX(醫師週班表!$C$5:$T$44,$CU9,BI$57),""),1+BI$58*2,1),IF(MID(IFERROR(INDEX(醫師週班表!$C$5:$T$44,$CU9,BI$57),""),3,1)="隔",IF(BI$58=0,LEFT(IFERROR(INDEX(醫師週班表!$C$5:$T$44,$CU9,BI$57),""),1),""),IF(MID(IFERROR(INDEX(醫師週班表!$C$5:$T$44,$CU9,BI$57),""),2,1)="(",LEFT(IFERROR(INDEX(醫師週班表!$C$5:$T$44,$CU9,BI$57),""),1),IFERROR(INDEX(醫師週班表!$C$5:$T$44,$CU9,BI$57),"")))))))</f>
        <v/>
      </c>
      <c r="BJ9" s="71">
        <f>IF(BJ$59="X","",IF(BJ$59&lt;&gt;"",BJ$59,IF(IFERROR(INDEX(醫師週班表!$C$5:$T$44,$CU9,BJ$57),"")=0,"",IF(MID(IFERROR(INDEX(醫師週班表!$C$5:$T$44,$CU9,BJ$57),""),2,1)="/",MID(IFERROR(INDEX(醫師週班表!$C$5:$T$44,$CU9,BJ$57),""),1+BJ$58*2,1),IF(MID(IFERROR(INDEX(醫師週班表!$C$5:$T$44,$CU9,BJ$57),""),3,1)="隔",IF(BJ$58=0,LEFT(IFERROR(INDEX(醫師週班表!$C$5:$T$44,$CU9,BJ$57),""),1),""),IF(MID(IFERROR(INDEX(醫師週班表!$C$5:$T$44,$CU9,BJ$57),""),2,1)="(",LEFT(IFERROR(INDEX(醫師週班表!$C$5:$T$44,$CU9,BJ$57),""),1),IFERROR(INDEX(醫師週班表!$C$5:$T$44,$CU9,BJ$57),"")))))))</f>
        <v/>
      </c>
      <c r="BK9" s="72">
        <f>IF(BK$59="X","",IF(BK$59&lt;&gt;"",BK$59,IF(IFERROR(INDEX(醫師週班表!$C$5:$T$44,$CU9,BK$57),"")=0,"",IF(MID(IFERROR(INDEX(醫師週班表!$C$5:$T$44,$CU9,BK$57),""),2,1)="/",MID(IFERROR(INDEX(醫師週班表!$C$5:$T$44,$CU9,BK$57),""),1+BK$58*2,1),IF(MID(IFERROR(INDEX(醫師週班表!$C$5:$T$44,$CU9,BK$57),""),3,1)="隔",IF(BK$58=0,LEFT(IFERROR(INDEX(醫師週班表!$C$5:$T$44,$CU9,BK$57),""),1),""),IF(MID(IFERROR(INDEX(醫師週班表!$C$5:$T$44,$CU9,BK$57),""),2,1)="(",LEFT(IFERROR(INDEX(醫師週班表!$C$5:$T$44,$CU9,BK$57),""),1),IFERROR(INDEX(醫師週班表!$C$5:$T$44,$CU9,BK$57),"")))))))</f>
        <v/>
      </c>
      <c r="BL9" s="72">
        <f>IF(BL$59="X","",IF(BL$59&lt;&gt;"",BL$59,IF(IFERROR(INDEX(醫師週班表!$C$5:$T$44,$CU9,BL$57),"")=0,"",IF(MID(IFERROR(INDEX(醫師週班表!$C$5:$T$44,$CU9,BL$57),""),2,1)="/",MID(IFERROR(INDEX(醫師週班表!$C$5:$T$44,$CU9,BL$57),""),1+BL$58*2,1),IF(MID(IFERROR(INDEX(醫師週班表!$C$5:$T$44,$CU9,BL$57),""),3,1)="隔",IF(BL$58=0,LEFT(IFERROR(INDEX(醫師週班表!$C$5:$T$44,$CU9,BL$57),""),1),""),IF(MID(IFERROR(INDEX(醫師週班表!$C$5:$T$44,$CU9,BL$57),""),2,1)="(",LEFT(IFERROR(INDEX(醫師週班表!$C$5:$T$44,$CU9,BL$57),""),1),IFERROR(INDEX(醫師週班表!$C$5:$T$44,$CU9,BL$57),"")))))))</f>
        <v/>
      </c>
      <c r="BM9" s="71">
        <f>IF(BM$59="X","",IF(BM$59&lt;&gt;"",BM$59,IF(IFERROR(INDEX(醫師週班表!$C$5:$T$44,$CU9,BM$57),"")=0,"",IF(MID(IFERROR(INDEX(醫師週班表!$C$5:$T$44,$CU9,BM$57),""),2,1)="/",MID(IFERROR(INDEX(醫師週班表!$C$5:$T$44,$CU9,BM$57),""),1+BM$58*2,1),IF(MID(IFERROR(INDEX(醫師週班表!$C$5:$T$44,$CU9,BM$57),""),3,1)="隔",IF(BM$58=0,LEFT(IFERROR(INDEX(醫師週班表!$C$5:$T$44,$CU9,BM$57),""),1),""),IF(MID(IFERROR(INDEX(醫師週班表!$C$5:$T$44,$CU9,BM$57),""),2,1)="(",LEFT(IFERROR(INDEX(醫師週班表!$C$5:$T$44,$CU9,BM$57),""),1),IFERROR(INDEX(醫師週班表!$C$5:$T$44,$CU9,BM$57),"")))))))</f>
        <v/>
      </c>
      <c r="BN9" s="72">
        <f>IF(BN$59="X","",IF(BN$59&lt;&gt;"",BN$59,IF(IFERROR(INDEX(醫師週班表!$C$5:$T$44,$CU9,BN$57),"")=0,"",IF(MID(IFERROR(INDEX(醫師週班表!$C$5:$T$44,$CU9,BN$57),""),2,1)="/",MID(IFERROR(INDEX(醫師週班表!$C$5:$T$44,$CU9,BN$57),""),1+BN$58*2,1),IF(MID(IFERROR(INDEX(醫師週班表!$C$5:$T$44,$CU9,BN$57),""),3,1)="隔",IF(BN$58=0,LEFT(IFERROR(INDEX(醫師週班表!$C$5:$T$44,$CU9,BN$57),""),1),""),IF(MID(IFERROR(INDEX(醫師週班表!$C$5:$T$44,$CU9,BN$57),""),2,1)="(",LEFT(IFERROR(INDEX(醫師週班表!$C$5:$T$44,$CU9,BN$57),""),1),IFERROR(INDEX(醫師週班表!$C$5:$T$44,$CU9,BN$57),"")))))))</f>
        <v/>
      </c>
      <c r="BO9" s="72">
        <f>IF(BO$59="X","",IF(BO$59&lt;&gt;"",BO$59,IF(IFERROR(INDEX(醫師週班表!$C$5:$T$44,$CU9,BO$57),"")=0,"",IF(MID(IFERROR(INDEX(醫師週班表!$C$5:$T$44,$CU9,BO$57),""),2,1)="/",MID(IFERROR(INDEX(醫師週班表!$C$5:$T$44,$CU9,BO$57),""),1+BO$58*2,1),IF(MID(IFERROR(INDEX(醫師週班表!$C$5:$T$44,$CU9,BO$57),""),3,1)="隔",IF(BO$58=0,LEFT(IFERROR(INDEX(醫師週班表!$C$5:$T$44,$CU9,BO$57),""),1),""),IF(MID(IFERROR(INDEX(醫師週班表!$C$5:$T$44,$CU9,BO$57),""),2,1)="(",LEFT(IFERROR(INDEX(醫師週班表!$C$5:$T$44,$CU9,BO$57),""),1),IFERROR(INDEX(醫師週班表!$C$5:$T$44,$CU9,BO$57),"")))))))</f>
        <v/>
      </c>
      <c r="BP9" s="71">
        <f>IF(BP$59="X","",IF(BP$59&lt;&gt;"",BP$59,IF(IFERROR(INDEX(醫師週班表!$C$5:$T$44,$CU9,BP$57),"")=0,"",IF(MID(IFERROR(INDEX(醫師週班表!$C$5:$T$44,$CU9,BP$57),""),2,1)="/",MID(IFERROR(INDEX(醫師週班表!$C$5:$T$44,$CU9,BP$57),""),1+BP$58*2,1),IF(MID(IFERROR(INDEX(醫師週班表!$C$5:$T$44,$CU9,BP$57),""),3,1)="隔",IF(BP$58=0,LEFT(IFERROR(INDEX(醫師週班表!$C$5:$T$44,$CU9,BP$57),""),1),""),IF(MID(IFERROR(INDEX(醫師週班表!$C$5:$T$44,$CU9,BP$57),""),2,1)="(",LEFT(IFERROR(INDEX(醫師週班表!$C$5:$T$44,$CU9,BP$57),""),1),IFERROR(INDEX(醫師週班表!$C$5:$T$44,$CU9,BP$57),"")))))))</f>
        <v/>
      </c>
      <c r="BQ9" s="72">
        <f>IF(BQ$59="X","",IF(BQ$59&lt;&gt;"",BQ$59,IF(IFERROR(INDEX(醫師週班表!$C$5:$T$44,$CU9,BQ$57),"")=0,"",IF(MID(IFERROR(INDEX(醫師週班表!$C$5:$T$44,$CU9,BQ$57),""),2,1)="/",MID(IFERROR(INDEX(醫師週班表!$C$5:$T$44,$CU9,BQ$57),""),1+BQ$58*2,1),IF(MID(IFERROR(INDEX(醫師週班表!$C$5:$T$44,$CU9,BQ$57),""),3,1)="隔",IF(BQ$58=0,LEFT(IFERROR(INDEX(醫師週班表!$C$5:$T$44,$CU9,BQ$57),""),1),""),IF(MID(IFERROR(INDEX(醫師週班表!$C$5:$T$44,$CU9,BQ$57),""),2,1)="(",LEFT(IFERROR(INDEX(醫師週班表!$C$5:$T$44,$CU9,BQ$57),""),1),IFERROR(INDEX(醫師週班表!$C$5:$T$44,$CU9,BQ$57),"")))))))</f>
        <v/>
      </c>
      <c r="BR9" s="72">
        <f>IF(BR$59="X","",IF(BR$59&lt;&gt;"",BR$59,IF(IFERROR(INDEX(醫師週班表!$C$5:$T$44,$CU9,BR$57),"")=0,"",IF(MID(IFERROR(INDEX(醫師週班表!$C$5:$T$44,$CU9,BR$57),""),2,1)="/",MID(IFERROR(INDEX(醫師週班表!$C$5:$T$44,$CU9,BR$57),""),1+BR$58*2,1),IF(MID(IFERROR(INDEX(醫師週班表!$C$5:$T$44,$CU9,BR$57),""),3,1)="隔",IF(BR$58=0,LEFT(IFERROR(INDEX(醫師週班表!$C$5:$T$44,$CU9,BR$57),""),1),""),IF(MID(IFERROR(INDEX(醫師週班表!$C$5:$T$44,$CU9,BR$57),""),2,1)="(",LEFT(IFERROR(INDEX(醫師週班表!$C$5:$T$44,$CU9,BR$57),""),1),IFERROR(INDEX(醫師週班表!$C$5:$T$44,$CU9,BR$57),"")))))))</f>
        <v/>
      </c>
      <c r="BS9" s="71">
        <f>IF(BS$59="X","",IF(BS$59&lt;&gt;"",BS$59,IF(IFERROR(INDEX(醫師週班表!$C$5:$T$44,$CU9,BS$57),"")=0,"",IF(MID(IFERROR(INDEX(醫師週班表!$C$5:$T$44,$CU9,BS$57),""),2,1)="/",MID(IFERROR(INDEX(醫師週班表!$C$5:$T$44,$CU9,BS$57),""),1+BS$58*2,1),IF(MID(IFERROR(INDEX(醫師週班表!$C$5:$T$44,$CU9,BS$57),""),3,1)="隔",IF(BS$58=0,LEFT(IFERROR(INDEX(醫師週班表!$C$5:$T$44,$CU9,BS$57),""),1),""),IF(MID(IFERROR(INDEX(醫師週班表!$C$5:$T$44,$CU9,BS$57),""),2,1)="(",LEFT(IFERROR(INDEX(醫師週班表!$C$5:$T$44,$CU9,BS$57),""),1),IFERROR(INDEX(醫師週班表!$C$5:$T$44,$CU9,BS$57),"")))))))</f>
        <v/>
      </c>
      <c r="BT9" s="72">
        <f>IF(BT$59="X","",IF(BT$59&lt;&gt;"",BT$59,IF(IFERROR(INDEX(醫師週班表!$C$5:$T$44,$CU9,BT$57),"")=0,"",IF(MID(IFERROR(INDEX(醫師週班表!$C$5:$T$44,$CU9,BT$57),""),2,1)="/",MID(IFERROR(INDEX(醫師週班表!$C$5:$T$44,$CU9,BT$57),""),1+BT$58*2,1),IF(MID(IFERROR(INDEX(醫師週班表!$C$5:$T$44,$CU9,BT$57),""),3,1)="隔",IF(BT$58=0,LEFT(IFERROR(INDEX(醫師週班表!$C$5:$T$44,$CU9,BT$57),""),1),""),IF(MID(IFERROR(INDEX(醫師週班表!$C$5:$T$44,$CU9,BT$57),""),2,1)="(",LEFT(IFERROR(INDEX(醫師週班表!$C$5:$T$44,$CU9,BT$57),""),1),IFERROR(INDEX(醫師週班表!$C$5:$T$44,$CU9,BT$57),"")))))))</f>
        <v/>
      </c>
      <c r="BU9" s="72">
        <f>IF(BU$59="X","",IF(BU$59&lt;&gt;"",BU$59,IF(IFERROR(INDEX(醫師週班表!$C$5:$T$44,$CU9,BU$57),"")=0,"",IF(MID(IFERROR(INDEX(醫師週班表!$C$5:$T$44,$CU9,BU$57),""),2,1)="/",MID(IFERROR(INDEX(醫師週班表!$C$5:$T$44,$CU9,BU$57),""),1+BU$58*2,1),IF(MID(IFERROR(INDEX(醫師週班表!$C$5:$T$44,$CU9,BU$57),""),3,1)="隔",IF(BU$58=0,LEFT(IFERROR(INDEX(醫師週班表!$C$5:$T$44,$CU9,BU$57),""),1),""),IF(MID(IFERROR(INDEX(醫師週班表!$C$5:$T$44,$CU9,BU$57),""),2,1)="(",LEFT(IFERROR(INDEX(醫師週班表!$C$5:$T$44,$CU9,BU$57),""),1),IFERROR(INDEX(醫師週班表!$C$5:$T$44,$CU9,BU$57),"")))))))</f>
        <v/>
      </c>
      <c r="BV9" s="71">
        <f>IF(BV$59="X","",IF(BV$59&lt;&gt;"",BV$59,IF(IFERROR(INDEX(醫師週班表!$C$5:$T$44,$CU9,BV$57),"")=0,"",IF(MID(IFERROR(INDEX(醫師週班表!$C$5:$T$44,$CU9,BV$57),""),2,1)="/",MID(IFERROR(INDEX(醫師週班表!$C$5:$T$44,$CU9,BV$57),""),1+BV$58*2,1),IF(MID(IFERROR(INDEX(醫師週班表!$C$5:$T$44,$CU9,BV$57),""),3,1)="隔",IF(BV$58=0,LEFT(IFERROR(INDEX(醫師週班表!$C$5:$T$44,$CU9,BV$57),""),1),""),IF(MID(IFERROR(INDEX(醫師週班表!$C$5:$T$44,$CU9,BV$57),""),2,1)="(",LEFT(IFERROR(INDEX(醫師週班表!$C$5:$T$44,$CU9,BV$57),""),1),IFERROR(INDEX(醫師週班表!$C$5:$T$44,$CU9,BV$57),"")))))))</f>
        <v/>
      </c>
      <c r="BW9" s="72">
        <f>IF(BW$59="X","",IF(BW$59&lt;&gt;"",BW$59,IF(IFERROR(INDEX(醫師週班表!$C$5:$T$44,$CU9,BW$57),"")=0,"",IF(MID(IFERROR(INDEX(醫師週班表!$C$5:$T$44,$CU9,BW$57),""),2,1)="/",MID(IFERROR(INDEX(醫師週班表!$C$5:$T$44,$CU9,BW$57),""),1+BW$58*2,1),IF(MID(IFERROR(INDEX(醫師週班表!$C$5:$T$44,$CU9,BW$57),""),3,1)="隔",IF(BW$58=0,LEFT(IFERROR(INDEX(醫師週班表!$C$5:$T$44,$CU9,BW$57),""),1),""),IF(MID(IFERROR(INDEX(醫師週班表!$C$5:$T$44,$CU9,BW$57),""),2,1)="(",LEFT(IFERROR(INDEX(醫師週班表!$C$5:$T$44,$CU9,BW$57),""),1),IFERROR(INDEX(醫師週班表!$C$5:$T$44,$CU9,BW$57),"")))))))</f>
        <v/>
      </c>
      <c r="BX9" s="72">
        <f>IF(BX$59="X","",IF(BX$59&lt;&gt;"",BX$59,IF(IFERROR(INDEX(醫師週班表!$C$5:$T$44,$CU9,BX$57),"")=0,"",IF(MID(IFERROR(INDEX(醫師週班表!$C$5:$T$44,$CU9,BX$57),""),2,1)="/",MID(IFERROR(INDEX(醫師週班表!$C$5:$T$44,$CU9,BX$57),""),1+BX$58*2,1),IF(MID(IFERROR(INDEX(醫師週班表!$C$5:$T$44,$CU9,BX$57),""),3,1)="隔",IF(BX$58=0,LEFT(IFERROR(INDEX(醫師週班表!$C$5:$T$44,$CU9,BX$57),""),1),""),IF(MID(IFERROR(INDEX(醫師週班表!$C$5:$T$44,$CU9,BX$57),""),2,1)="(",LEFT(IFERROR(INDEX(醫師週班表!$C$5:$T$44,$CU9,BX$57),""),1),IFERROR(INDEX(醫師週班表!$C$5:$T$44,$CU9,BX$57),"")))))))</f>
        <v/>
      </c>
      <c r="BY9" s="71">
        <f>IF(BY$59="X","",IF(BY$59&lt;&gt;"",BY$59,IF(IFERROR(INDEX(醫師週班表!$C$5:$T$44,$CU9,BY$57),"")=0,"",IF(MID(IFERROR(INDEX(醫師週班表!$C$5:$T$44,$CU9,BY$57),""),2,1)="/",MID(IFERROR(INDEX(醫師週班表!$C$5:$T$44,$CU9,BY$57),""),1+BY$58*2,1),IF(MID(IFERROR(INDEX(醫師週班表!$C$5:$T$44,$CU9,BY$57),""),3,1)="隔",IF(BY$58=0,LEFT(IFERROR(INDEX(醫師週班表!$C$5:$T$44,$CU9,BY$57),""),1),""),IF(MID(IFERROR(INDEX(醫師週班表!$C$5:$T$44,$CU9,BY$57),""),2,1)="(",LEFT(IFERROR(INDEX(醫師週班表!$C$5:$T$44,$CU9,BY$57),""),1),IFERROR(INDEX(醫師週班表!$C$5:$T$44,$CU9,BY$57),"")))))))</f>
        <v/>
      </c>
      <c r="BZ9" s="72">
        <f>IF(BZ$59="X","",IF(BZ$59&lt;&gt;"",BZ$59,IF(IFERROR(INDEX(醫師週班表!$C$5:$T$44,$CU9,BZ$57),"")=0,"",IF(MID(IFERROR(INDEX(醫師週班表!$C$5:$T$44,$CU9,BZ$57),""),2,1)="/",MID(IFERROR(INDEX(醫師週班表!$C$5:$T$44,$CU9,BZ$57),""),1+BZ$58*2,1),IF(MID(IFERROR(INDEX(醫師週班表!$C$5:$T$44,$CU9,BZ$57),""),3,1)="隔",IF(BZ$58=0,LEFT(IFERROR(INDEX(醫師週班表!$C$5:$T$44,$CU9,BZ$57),""),1),""),IF(MID(IFERROR(INDEX(醫師週班表!$C$5:$T$44,$CU9,BZ$57),""),2,1)="(",LEFT(IFERROR(INDEX(醫師週班表!$C$5:$T$44,$CU9,BZ$57),""),1),IFERROR(INDEX(醫師週班表!$C$5:$T$44,$CU9,BZ$57),"")))))))</f>
        <v/>
      </c>
      <c r="CA9" s="72">
        <f>IF(CA$59="X","",IF(CA$59&lt;&gt;"",CA$59,IF(IFERROR(INDEX(醫師週班表!$C$5:$T$44,$CU9,CA$57),"")=0,"",IF(MID(IFERROR(INDEX(醫師週班表!$C$5:$T$44,$CU9,CA$57),""),2,1)="/",MID(IFERROR(INDEX(醫師週班表!$C$5:$T$44,$CU9,CA$57),""),1+CA$58*2,1),IF(MID(IFERROR(INDEX(醫師週班表!$C$5:$T$44,$CU9,CA$57),""),3,1)="隔",IF(CA$58=0,LEFT(IFERROR(INDEX(醫師週班表!$C$5:$T$44,$CU9,CA$57),""),1),""),IF(MID(IFERROR(INDEX(醫師週班表!$C$5:$T$44,$CU9,CA$57),""),2,1)="(",LEFT(IFERROR(INDEX(醫師週班表!$C$5:$T$44,$CU9,CA$57),""),1),IFERROR(INDEX(醫師週班表!$C$5:$T$44,$CU9,CA$57),"")))))))</f>
        <v/>
      </c>
      <c r="CB9" s="71">
        <f>IF(CB$59="X","",IF(CB$59&lt;&gt;"",CB$59,IF(IFERROR(INDEX(醫師週班表!$C$5:$T$44,$CU9,CB$57),"")=0,"",IF(MID(IFERROR(INDEX(醫師週班表!$C$5:$T$44,$CU9,CB$57),""),2,1)="/",MID(IFERROR(INDEX(醫師週班表!$C$5:$T$44,$CU9,CB$57),""),1+CB$58*2,1),IF(MID(IFERROR(INDEX(醫師週班表!$C$5:$T$44,$CU9,CB$57),""),3,1)="隔",IF(CB$58=0,LEFT(IFERROR(INDEX(醫師週班表!$C$5:$T$44,$CU9,CB$57),""),1),""),IF(MID(IFERROR(INDEX(醫師週班表!$C$5:$T$44,$CU9,CB$57),""),2,1)="(",LEFT(IFERROR(INDEX(醫師週班表!$C$5:$T$44,$CU9,CB$57),""),1),IFERROR(INDEX(醫師週班表!$C$5:$T$44,$CU9,CB$57),"")))))))</f>
        <v/>
      </c>
      <c r="CC9" s="72">
        <f>IF(CC$59="X","",IF(CC$59&lt;&gt;"",CC$59,IF(IFERROR(INDEX(醫師週班表!$C$5:$T$44,$CU9,CC$57),"")=0,"",IF(MID(IFERROR(INDEX(醫師週班表!$C$5:$T$44,$CU9,CC$57),""),2,1)="/",MID(IFERROR(INDEX(醫師週班表!$C$5:$T$44,$CU9,CC$57),""),1+CC$58*2,1),IF(MID(IFERROR(INDEX(醫師週班表!$C$5:$T$44,$CU9,CC$57),""),3,1)="隔",IF(CC$58=0,LEFT(IFERROR(INDEX(醫師週班表!$C$5:$T$44,$CU9,CC$57),""),1),""),IF(MID(IFERROR(INDEX(醫師週班表!$C$5:$T$44,$CU9,CC$57),""),2,1)="(",LEFT(IFERROR(INDEX(醫師週班表!$C$5:$T$44,$CU9,CC$57),""),1),IFERROR(INDEX(醫師週班表!$C$5:$T$44,$CU9,CC$57),"")))))))</f>
        <v/>
      </c>
      <c r="CD9" s="72">
        <f>IF(CD$59="X","",IF(CD$59&lt;&gt;"",CD$59,IF(IFERROR(INDEX(醫師週班表!$C$5:$T$44,$CU9,CD$57),"")=0,"",IF(MID(IFERROR(INDEX(醫師週班表!$C$5:$T$44,$CU9,CD$57),""),2,1)="/",MID(IFERROR(INDEX(醫師週班表!$C$5:$T$44,$CU9,CD$57),""),1+CD$58*2,1),IF(MID(IFERROR(INDEX(醫師週班表!$C$5:$T$44,$CU9,CD$57),""),3,1)="隔",IF(CD$58=0,LEFT(IFERROR(INDEX(醫師週班表!$C$5:$T$44,$CU9,CD$57),""),1),""),IF(MID(IFERROR(INDEX(醫師週班表!$C$5:$T$44,$CU9,CD$57),""),2,1)="(",LEFT(IFERROR(INDEX(醫師週班表!$C$5:$T$44,$CU9,CD$57),""),1),IFERROR(INDEX(醫師週班表!$C$5:$T$44,$CU9,CD$57),"")))))))</f>
        <v/>
      </c>
      <c r="CE9" s="71">
        <f>IF(CE$59="X","",IF(CE$59&lt;&gt;"",CE$59,IF(IFERROR(INDEX(醫師週班表!$C$5:$T$44,$CU9,CE$57),"")=0,"",IF(MID(IFERROR(INDEX(醫師週班表!$C$5:$T$44,$CU9,CE$57),""),2,1)="/",MID(IFERROR(INDEX(醫師週班表!$C$5:$T$44,$CU9,CE$57),""),1+CE$58*2,1),IF(MID(IFERROR(INDEX(醫師週班表!$C$5:$T$44,$CU9,CE$57),""),3,1)="隔",IF(CE$58=0,LEFT(IFERROR(INDEX(醫師週班表!$C$5:$T$44,$CU9,CE$57),""),1),""),IF(MID(IFERROR(INDEX(醫師週班表!$C$5:$T$44,$CU9,CE$57),""),2,1)="(",LEFT(IFERROR(INDEX(醫師週班表!$C$5:$T$44,$CU9,CE$57),""),1),IFERROR(INDEX(醫師週班表!$C$5:$T$44,$CU9,CE$57),"")))))))</f>
        <v/>
      </c>
      <c r="CF9" s="72">
        <f>IF(CF$59="X","",IF(CF$59&lt;&gt;"",CF$59,IF(IFERROR(INDEX(醫師週班表!$C$5:$T$44,$CU9,CF$57),"")=0,"",IF(MID(IFERROR(INDEX(醫師週班表!$C$5:$T$44,$CU9,CF$57),""),2,1)="/",MID(IFERROR(INDEX(醫師週班表!$C$5:$T$44,$CU9,CF$57),""),1+CF$58*2,1),IF(MID(IFERROR(INDEX(醫師週班表!$C$5:$T$44,$CU9,CF$57),""),3,1)="隔",IF(CF$58=0,LEFT(IFERROR(INDEX(醫師週班表!$C$5:$T$44,$CU9,CF$57),""),1),""),IF(MID(IFERROR(INDEX(醫師週班表!$C$5:$T$44,$CU9,CF$57),""),2,1)="(",LEFT(IFERROR(INDEX(醫師週班表!$C$5:$T$44,$CU9,CF$57),""),1),IFERROR(INDEX(醫師週班表!$C$5:$T$44,$CU9,CF$57),"")))))))</f>
        <v/>
      </c>
      <c r="CG9" s="72">
        <f>IF(CG$59="X","",IF(CG$59&lt;&gt;"",CG$59,IF(IFERROR(INDEX(醫師週班表!$C$5:$T$44,$CU9,CG$57),"")=0,"",IF(MID(IFERROR(INDEX(醫師週班表!$C$5:$T$44,$CU9,CG$57),""),2,1)="/",MID(IFERROR(INDEX(醫師週班表!$C$5:$T$44,$CU9,CG$57),""),1+CG$58*2,1),IF(MID(IFERROR(INDEX(醫師週班表!$C$5:$T$44,$CU9,CG$57),""),3,1)="隔",IF(CG$58=0,LEFT(IFERROR(INDEX(醫師週班表!$C$5:$T$44,$CU9,CG$57),""),1),""),IF(MID(IFERROR(INDEX(醫師週班表!$C$5:$T$44,$CU9,CG$57),""),2,1)="(",LEFT(IFERROR(INDEX(醫師週班表!$C$5:$T$44,$CU9,CG$57),""),1),IFERROR(INDEX(醫師週班表!$C$5:$T$44,$CU9,CG$57),"")))))))</f>
        <v/>
      </c>
      <c r="CH9" s="71">
        <f>IF(CH$59="X","",IF(CH$59&lt;&gt;"",CH$59,IF(IFERROR(INDEX(醫師週班表!$C$5:$T$44,$CU9,CH$57),"")=0,"",IF(MID(IFERROR(INDEX(醫師週班表!$C$5:$T$44,$CU9,CH$57),""),2,1)="/",MID(IFERROR(INDEX(醫師週班表!$C$5:$T$44,$CU9,CH$57),""),1+CH$58*2,1),IF(MID(IFERROR(INDEX(醫師週班表!$C$5:$T$44,$CU9,CH$57),""),3,1)="隔",IF(CH$58=0,LEFT(IFERROR(INDEX(醫師週班表!$C$5:$T$44,$CU9,CH$57),""),1),""),IF(MID(IFERROR(INDEX(醫師週班表!$C$5:$T$44,$CU9,CH$57),""),2,1)="(",LEFT(IFERROR(INDEX(醫師週班表!$C$5:$T$44,$CU9,CH$57),""),1),IFERROR(INDEX(醫師週班表!$C$5:$T$44,$CU9,CH$57),"")))))))</f>
        <v/>
      </c>
      <c r="CI9" s="72">
        <f>IF(CI$59="X","",IF(CI$59&lt;&gt;"",CI$59,IF(IFERROR(INDEX(醫師週班表!$C$5:$T$44,$CU9,CI$57),"")=0,"",IF(MID(IFERROR(INDEX(醫師週班表!$C$5:$T$44,$CU9,CI$57),""),2,1)="/",MID(IFERROR(INDEX(醫師週班表!$C$5:$T$44,$CU9,CI$57),""),1+CI$58*2,1),IF(MID(IFERROR(INDEX(醫師週班表!$C$5:$T$44,$CU9,CI$57),""),3,1)="隔",IF(CI$58=0,LEFT(IFERROR(INDEX(醫師週班表!$C$5:$T$44,$CU9,CI$57),""),1),""),IF(MID(IFERROR(INDEX(醫師週班表!$C$5:$T$44,$CU9,CI$57),""),2,1)="(",LEFT(IFERROR(INDEX(醫師週班表!$C$5:$T$44,$CU9,CI$57),""),1),IFERROR(INDEX(醫師週班表!$C$5:$T$44,$CU9,CI$57),"")))))))</f>
        <v/>
      </c>
      <c r="CJ9" s="72">
        <f>IF(CJ$59="X","",IF(CJ$59&lt;&gt;"",CJ$59,IF(IFERROR(INDEX(醫師週班表!$C$5:$T$44,$CU9,CJ$57),"")=0,"",IF(MID(IFERROR(INDEX(醫師週班表!$C$5:$T$44,$CU9,CJ$57),""),2,1)="/",MID(IFERROR(INDEX(醫師週班表!$C$5:$T$44,$CU9,CJ$57),""),1+CJ$58*2,1),IF(MID(IFERROR(INDEX(醫師週班表!$C$5:$T$44,$CU9,CJ$57),""),3,1)="隔",IF(CJ$58=0,LEFT(IFERROR(INDEX(醫師週班表!$C$5:$T$44,$CU9,CJ$57),""),1),""),IF(MID(IFERROR(INDEX(醫師週班表!$C$5:$T$44,$CU9,CJ$57),""),2,1)="(",LEFT(IFERROR(INDEX(醫師週班表!$C$5:$T$44,$CU9,CJ$57),""),1),IFERROR(INDEX(醫師週班表!$C$5:$T$44,$CU9,CJ$57),"")))))))</f>
        <v/>
      </c>
      <c r="CK9" s="71">
        <f>IF(CK$59="X","",IF(CK$59&lt;&gt;"",CK$59,IF(IFERROR(INDEX(醫師週班表!$C$5:$T$44,$CU9,CK$57),"")=0,"",IF(MID(IFERROR(INDEX(醫師週班表!$C$5:$T$44,$CU9,CK$57),""),2,1)="/",MID(IFERROR(INDEX(醫師週班表!$C$5:$T$44,$CU9,CK$57),""),1+CK$58*2,1),IF(MID(IFERROR(INDEX(醫師週班表!$C$5:$T$44,$CU9,CK$57),""),3,1)="隔",IF(CK$58=0,LEFT(IFERROR(INDEX(醫師週班表!$C$5:$T$44,$CU9,CK$57),""),1),""),IF(MID(IFERROR(INDEX(醫師週班表!$C$5:$T$44,$CU9,CK$57),""),2,1)="(",LEFT(IFERROR(INDEX(醫師週班表!$C$5:$T$44,$CU9,CK$57),""),1),IFERROR(INDEX(醫師週班表!$C$5:$T$44,$CU9,CK$57),"")))))))</f>
        <v/>
      </c>
      <c r="CL9" s="72">
        <f>IF(CL$59="X","",IF(CL$59&lt;&gt;"",CL$59,IF(IFERROR(INDEX(醫師週班表!$C$5:$T$44,$CU9,CL$57),"")=0,"",IF(MID(IFERROR(INDEX(醫師週班表!$C$5:$T$44,$CU9,CL$57),""),2,1)="/",MID(IFERROR(INDEX(醫師週班表!$C$5:$T$44,$CU9,CL$57),""),1+CL$58*2,1),IF(MID(IFERROR(INDEX(醫師週班表!$C$5:$T$44,$CU9,CL$57),""),3,1)="隔",IF(CL$58=0,LEFT(IFERROR(INDEX(醫師週班表!$C$5:$T$44,$CU9,CL$57),""),1),""),IF(MID(IFERROR(INDEX(醫師週班表!$C$5:$T$44,$CU9,CL$57),""),2,1)="(",LEFT(IFERROR(INDEX(醫師週班表!$C$5:$T$44,$CU9,CL$57),""),1),IFERROR(INDEX(醫師週班表!$C$5:$T$44,$CU9,CL$57),"")))))))</f>
        <v/>
      </c>
      <c r="CM9" s="72">
        <f>IF(CM$59="X","",IF(CM$59&lt;&gt;"",CM$59,IF(IFERROR(INDEX(醫師週班表!$C$5:$T$44,$CU9,CM$57),"")=0,"",IF(MID(IFERROR(INDEX(醫師週班表!$C$5:$T$44,$CU9,CM$57),""),2,1)="/",MID(IFERROR(INDEX(醫師週班表!$C$5:$T$44,$CU9,CM$57),""),1+CM$58*2,1),IF(MID(IFERROR(INDEX(醫師週班表!$C$5:$T$44,$CU9,CM$57),""),3,1)="隔",IF(CM$58=0,LEFT(IFERROR(INDEX(醫師週班表!$C$5:$T$44,$CU9,CM$57),""),1),""),IF(MID(IFERROR(INDEX(醫師週班表!$C$5:$T$44,$CU9,CM$57),""),2,1)="(",LEFT(IFERROR(INDEX(醫師週班表!$C$5:$T$44,$CU9,CM$57),""),1),IFERROR(INDEX(醫師週班表!$C$5:$T$44,$CU9,CM$57),"")))))))</f>
        <v/>
      </c>
      <c r="CN9" s="71">
        <f>IF(CN$59="X","",IF(CN$59&lt;&gt;"",CN$59,IF(IFERROR(INDEX(醫師週班表!$C$5:$T$44,$CU9,CN$57),"")=0,"",IF(MID(IFERROR(INDEX(醫師週班表!$C$5:$T$44,$CU9,CN$57),""),2,1)="/",MID(IFERROR(INDEX(醫師週班表!$C$5:$T$44,$CU9,CN$57),""),1+CN$58*2,1),IF(MID(IFERROR(INDEX(醫師週班表!$C$5:$T$44,$CU9,CN$57),""),3,1)="隔",IF(CN$58=0,LEFT(IFERROR(INDEX(醫師週班表!$C$5:$T$44,$CU9,CN$57),""),1),""),IF(MID(IFERROR(INDEX(醫師週班表!$C$5:$T$44,$CU9,CN$57),""),2,1)="(",LEFT(IFERROR(INDEX(醫師週班表!$C$5:$T$44,$CU9,CN$57),""),1),IFERROR(INDEX(醫師週班表!$C$5:$T$44,$CU9,CN$57),"")))))))</f>
        <v/>
      </c>
      <c r="CO9" s="72">
        <f>IF(CO$59="X","",IF(CO$59&lt;&gt;"",CO$59,IF(IFERROR(INDEX(醫師週班表!$C$5:$T$44,$CU9,CO$57),"")=0,"",IF(MID(IFERROR(INDEX(醫師週班表!$C$5:$T$44,$CU9,CO$57),""),2,1)="/",MID(IFERROR(INDEX(醫師週班表!$C$5:$T$44,$CU9,CO$57),""),1+CO$58*2,1),IF(MID(IFERROR(INDEX(醫師週班表!$C$5:$T$44,$CU9,CO$57),""),3,1)="隔",IF(CO$58=0,LEFT(IFERROR(INDEX(醫師週班表!$C$5:$T$44,$CU9,CO$57),""),1),""),IF(MID(IFERROR(INDEX(醫師週班表!$C$5:$T$44,$CU9,CO$57),""),2,1)="(",LEFT(IFERROR(INDEX(醫師週班表!$C$5:$T$44,$CU9,CO$57),""),1),IFERROR(INDEX(醫師週班表!$C$5:$T$44,$CU9,CO$57),"")))))))</f>
        <v/>
      </c>
      <c r="CP9" s="72">
        <f>IF(CP$59="X","",IF(CP$59&lt;&gt;"",CP$59,IF(IFERROR(INDEX(醫師週班表!$C$5:$T$44,$CU9,CP$57),"")=0,"",IF(MID(IFERROR(INDEX(醫師週班表!$C$5:$T$44,$CU9,CP$57),""),2,1)="/",MID(IFERROR(INDEX(醫師週班表!$C$5:$T$44,$CU9,CP$57),""),1+CP$58*2,1),IF(MID(IFERROR(INDEX(醫師週班表!$C$5:$T$44,$CU9,CP$57),""),3,1)="隔",IF(CP$58=0,LEFT(IFERROR(INDEX(醫師週班表!$C$5:$T$44,$CU9,CP$57),""),1),""),IF(MID(IFERROR(INDEX(醫師週班表!$C$5:$T$44,$CU9,CP$57),""),2,1)="(",LEFT(IFERROR(INDEX(醫師週班表!$C$5:$T$44,$CU9,CP$57),""),1),IFERROR(INDEX(醫師週班表!$C$5:$T$44,$CU9,CP$57),"")))))))</f>
        <v/>
      </c>
      <c r="CQ9" s="71">
        <f>IF(CQ$59="X","",IF(CQ$59&lt;&gt;"",CQ$59,IF(IFERROR(INDEX(醫師週班表!$C$5:$T$44,$CU9,CQ$57),"")=0,"",IF(MID(IFERROR(INDEX(醫師週班表!$C$5:$T$44,$CU9,CQ$57),""),2,1)="/",MID(IFERROR(INDEX(醫師週班表!$C$5:$T$44,$CU9,CQ$57),""),1+CQ$58*2,1),IF(MID(IFERROR(INDEX(醫師週班表!$C$5:$T$44,$CU9,CQ$57),""),3,1)="隔",IF(CQ$58=0,LEFT(IFERROR(INDEX(醫師週班表!$C$5:$T$44,$CU9,CQ$57),""),1),""),IF(MID(IFERROR(INDEX(醫師週班表!$C$5:$T$44,$CU9,CQ$57),""),2,1)="(",LEFT(IFERROR(INDEX(醫師週班表!$C$5:$T$44,$CU9,CQ$57),""),1),IFERROR(INDEX(醫師週班表!$C$5:$T$44,$CU9,CQ$57),"")))))))</f>
        <v/>
      </c>
      <c r="CR9" s="72">
        <f>IF(CR$59="X","",IF(CR$59&lt;&gt;"",CR$59,IF(IFERROR(INDEX(醫師週班表!$C$5:$T$44,$CU9,CR$57),"")=0,"",IF(MID(IFERROR(INDEX(醫師週班表!$C$5:$T$44,$CU9,CR$57),""),2,1)="/",MID(IFERROR(INDEX(醫師週班表!$C$5:$T$44,$CU9,CR$57),""),1+CR$58*2,1),IF(MID(IFERROR(INDEX(醫師週班表!$C$5:$T$44,$CU9,CR$57),""),3,1)="隔",IF(CR$58=0,LEFT(IFERROR(INDEX(醫師週班表!$C$5:$T$44,$CU9,CR$57),""),1),""),IF(MID(IFERROR(INDEX(醫師週班表!$C$5:$T$44,$CU9,CR$57),""),2,1)="(",LEFT(IFERROR(INDEX(醫師週班表!$C$5:$T$44,$CU9,CR$57),""),1),IFERROR(INDEX(醫師週班表!$C$5:$T$44,$CU9,CR$57),"")))))))</f>
        <v/>
      </c>
      <c r="CS9" s="72">
        <f>IF(CS$59="X","",IF(CS$59&lt;&gt;"",CS$59,IF(IFERROR(INDEX(醫師週班表!$C$5:$T$44,$CU9,CS$57),"")=0,"",IF(MID(IFERROR(INDEX(醫師週班表!$C$5:$T$44,$CU9,CS$57),""),2,1)="/",MID(IFERROR(INDEX(醫師週班表!$C$5:$T$44,$CU9,CS$57),""),1+CS$58*2,1),IF(MID(IFERROR(INDEX(醫師週班表!$C$5:$T$44,$CU9,CS$57),""),3,1)="隔",IF(CS$58=0,LEFT(IFERROR(INDEX(醫師週班表!$C$5:$T$44,$CU9,CS$57),""),1),""),IF(MID(IFERROR(INDEX(醫師週班表!$C$5:$T$44,$CU9,CS$57),""),2,1)="(",LEFT(IFERROR(INDEX(醫師週班表!$C$5:$T$44,$CU9,CS$57),""),1),IFERROR(INDEX(醫師週班表!$C$5:$T$44,$CU9,CS$57),"")))))))</f>
        <v/>
      </c>
      <c r="CU9" s="73">
        <f>IFERROR(MATCH($A9,醫師週班表!$A$5:$A$44,0),0)</f>
        <v/>
      </c>
    </row>
    <row r="10" ht="17" customHeight="1">
      <c r="A10" s="19" t="inlineStr">
        <is>
          <t>D005</t>
        </is>
      </c>
      <c r="B10" s="16" t="inlineStr">
        <is>
          <t>陳志僑</t>
        </is>
      </c>
      <c r="C10" s="70" t="inlineStr">
        <is>
          <t>口外專科</t>
        </is>
      </c>
      <c r="D10" s="16" t="inlineStr"/>
      <c r="E10" s="71">
        <f>IF(E$59="X","",IF(E$59&lt;&gt;"",E$59,IF(IFERROR(INDEX(醫師週班表!$C$5:$T$44,$CU10,E$57),"")=0,"",IF(MID(IFERROR(INDEX(醫師週班表!$C$5:$T$44,$CU10,E$57),""),2,1)="/",MID(IFERROR(INDEX(醫師週班表!$C$5:$T$44,$CU10,E$57),""),1+E$58*2,1),IF(MID(IFERROR(INDEX(醫師週班表!$C$5:$T$44,$CU10,E$57),""),3,1)="隔",IF(E$58=0,LEFT(IFERROR(INDEX(醫師週班表!$C$5:$T$44,$CU10,E$57),""),1),""),IF(MID(IFERROR(INDEX(醫師週班表!$C$5:$T$44,$CU10,E$57),""),2,1)="(",LEFT(IFERROR(INDEX(醫師週班表!$C$5:$T$44,$CU10,E$57),""),1),IFERROR(INDEX(醫師週班表!$C$5:$T$44,$CU10,E$57),"")))))))</f>
        <v/>
      </c>
      <c r="F10" s="72">
        <f>IF(F$59="X","",IF(F$59&lt;&gt;"",F$59,IF(IFERROR(INDEX(醫師週班表!$C$5:$T$44,$CU10,F$57),"")=0,"",IF(MID(IFERROR(INDEX(醫師週班表!$C$5:$T$44,$CU10,F$57),""),2,1)="/",MID(IFERROR(INDEX(醫師週班表!$C$5:$T$44,$CU10,F$57),""),1+F$58*2,1),IF(MID(IFERROR(INDEX(醫師週班表!$C$5:$T$44,$CU10,F$57),""),3,1)="隔",IF(F$58=0,LEFT(IFERROR(INDEX(醫師週班表!$C$5:$T$44,$CU10,F$57),""),1),""),IF(MID(IFERROR(INDEX(醫師週班表!$C$5:$T$44,$CU10,F$57),""),2,1)="(",LEFT(IFERROR(INDEX(醫師週班表!$C$5:$T$44,$CU10,F$57),""),1),IFERROR(INDEX(醫師週班表!$C$5:$T$44,$CU10,F$57),"")))))))</f>
        <v/>
      </c>
      <c r="G10" s="72">
        <f>IF(G$59="X","",IF(G$59&lt;&gt;"",G$59,IF(IFERROR(INDEX(醫師週班表!$C$5:$T$44,$CU10,G$57),"")=0,"",IF(MID(IFERROR(INDEX(醫師週班表!$C$5:$T$44,$CU10,G$57),""),2,1)="/",MID(IFERROR(INDEX(醫師週班表!$C$5:$T$44,$CU10,G$57),""),1+G$58*2,1),IF(MID(IFERROR(INDEX(醫師週班表!$C$5:$T$44,$CU10,G$57),""),3,1)="隔",IF(G$58=0,LEFT(IFERROR(INDEX(醫師週班表!$C$5:$T$44,$CU10,G$57),""),1),""),IF(MID(IFERROR(INDEX(醫師週班表!$C$5:$T$44,$CU10,G$57),""),2,1)="(",LEFT(IFERROR(INDEX(醫師週班表!$C$5:$T$44,$CU10,G$57),""),1),IFERROR(INDEX(醫師週班表!$C$5:$T$44,$CU10,G$57),"")))))))</f>
        <v/>
      </c>
      <c r="H10" s="71">
        <f>IF(H$59="X","",IF(H$59&lt;&gt;"",H$59,IF(IFERROR(INDEX(醫師週班表!$C$5:$T$44,$CU10,H$57),"")=0,"",IF(MID(IFERROR(INDEX(醫師週班表!$C$5:$T$44,$CU10,H$57),""),2,1)="/",MID(IFERROR(INDEX(醫師週班表!$C$5:$T$44,$CU10,H$57),""),1+H$58*2,1),IF(MID(IFERROR(INDEX(醫師週班表!$C$5:$T$44,$CU10,H$57),""),3,1)="隔",IF(H$58=0,LEFT(IFERROR(INDEX(醫師週班表!$C$5:$T$44,$CU10,H$57),""),1),""),IF(MID(IFERROR(INDEX(醫師週班表!$C$5:$T$44,$CU10,H$57),""),2,1)="(",LEFT(IFERROR(INDEX(醫師週班表!$C$5:$T$44,$CU10,H$57),""),1),IFERROR(INDEX(醫師週班表!$C$5:$T$44,$CU10,H$57),"")))))))</f>
        <v/>
      </c>
      <c r="I10" s="72">
        <f>IF(I$59="X","",IF(I$59&lt;&gt;"",I$59,IF(IFERROR(INDEX(醫師週班表!$C$5:$T$44,$CU10,I$57),"")=0,"",IF(MID(IFERROR(INDEX(醫師週班表!$C$5:$T$44,$CU10,I$57),""),2,1)="/",MID(IFERROR(INDEX(醫師週班表!$C$5:$T$44,$CU10,I$57),""),1+I$58*2,1),IF(MID(IFERROR(INDEX(醫師週班表!$C$5:$T$44,$CU10,I$57),""),3,1)="隔",IF(I$58=0,LEFT(IFERROR(INDEX(醫師週班表!$C$5:$T$44,$CU10,I$57),""),1),""),IF(MID(IFERROR(INDEX(醫師週班表!$C$5:$T$44,$CU10,I$57),""),2,1)="(",LEFT(IFERROR(INDEX(醫師週班表!$C$5:$T$44,$CU10,I$57),""),1),IFERROR(INDEX(醫師週班表!$C$5:$T$44,$CU10,I$57),"")))))))</f>
        <v/>
      </c>
      <c r="J10" s="72">
        <f>IF(J$59="X","",IF(J$59&lt;&gt;"",J$59,IF(IFERROR(INDEX(醫師週班表!$C$5:$T$44,$CU10,J$57),"")=0,"",IF(MID(IFERROR(INDEX(醫師週班表!$C$5:$T$44,$CU10,J$57),""),2,1)="/",MID(IFERROR(INDEX(醫師週班表!$C$5:$T$44,$CU10,J$57),""),1+J$58*2,1),IF(MID(IFERROR(INDEX(醫師週班表!$C$5:$T$44,$CU10,J$57),""),3,1)="隔",IF(J$58=0,LEFT(IFERROR(INDEX(醫師週班表!$C$5:$T$44,$CU10,J$57),""),1),""),IF(MID(IFERROR(INDEX(醫師週班表!$C$5:$T$44,$CU10,J$57),""),2,1)="(",LEFT(IFERROR(INDEX(醫師週班表!$C$5:$T$44,$CU10,J$57),""),1),IFERROR(INDEX(醫師週班表!$C$5:$T$44,$CU10,J$57),"")))))))</f>
        <v/>
      </c>
      <c r="K10" s="71">
        <f>IF(K$59="X","",IF(K$59&lt;&gt;"",K$59,IF(IFERROR(INDEX(醫師週班表!$C$5:$T$44,$CU10,K$57),"")=0,"",IF(MID(IFERROR(INDEX(醫師週班表!$C$5:$T$44,$CU10,K$57),""),2,1)="/",MID(IFERROR(INDEX(醫師週班表!$C$5:$T$44,$CU10,K$57),""),1+K$58*2,1),IF(MID(IFERROR(INDEX(醫師週班表!$C$5:$T$44,$CU10,K$57),""),3,1)="隔",IF(K$58=0,LEFT(IFERROR(INDEX(醫師週班表!$C$5:$T$44,$CU10,K$57),""),1),""),IF(MID(IFERROR(INDEX(醫師週班表!$C$5:$T$44,$CU10,K$57),""),2,1)="(",LEFT(IFERROR(INDEX(醫師週班表!$C$5:$T$44,$CU10,K$57),""),1),IFERROR(INDEX(醫師週班表!$C$5:$T$44,$CU10,K$57),"")))))))</f>
        <v/>
      </c>
      <c r="L10" s="72">
        <f>IF(L$59="X","",IF(L$59&lt;&gt;"",L$59,IF(IFERROR(INDEX(醫師週班表!$C$5:$T$44,$CU10,L$57),"")=0,"",IF(MID(IFERROR(INDEX(醫師週班表!$C$5:$T$44,$CU10,L$57),""),2,1)="/",MID(IFERROR(INDEX(醫師週班表!$C$5:$T$44,$CU10,L$57),""),1+L$58*2,1),IF(MID(IFERROR(INDEX(醫師週班表!$C$5:$T$44,$CU10,L$57),""),3,1)="隔",IF(L$58=0,LEFT(IFERROR(INDEX(醫師週班表!$C$5:$T$44,$CU10,L$57),""),1),""),IF(MID(IFERROR(INDEX(醫師週班表!$C$5:$T$44,$CU10,L$57),""),2,1)="(",LEFT(IFERROR(INDEX(醫師週班表!$C$5:$T$44,$CU10,L$57),""),1),IFERROR(INDEX(醫師週班表!$C$5:$T$44,$CU10,L$57),"")))))))</f>
        <v/>
      </c>
      <c r="M10" s="72">
        <f>IF(M$59="X","",IF(M$59&lt;&gt;"",M$59,IF(IFERROR(INDEX(醫師週班表!$C$5:$T$44,$CU10,M$57),"")=0,"",IF(MID(IFERROR(INDEX(醫師週班表!$C$5:$T$44,$CU10,M$57),""),2,1)="/",MID(IFERROR(INDEX(醫師週班表!$C$5:$T$44,$CU10,M$57),""),1+M$58*2,1),IF(MID(IFERROR(INDEX(醫師週班表!$C$5:$T$44,$CU10,M$57),""),3,1)="隔",IF(M$58=0,LEFT(IFERROR(INDEX(醫師週班表!$C$5:$T$44,$CU10,M$57),""),1),""),IF(MID(IFERROR(INDEX(醫師週班表!$C$5:$T$44,$CU10,M$57),""),2,1)="(",LEFT(IFERROR(INDEX(醫師週班表!$C$5:$T$44,$CU10,M$57),""),1),IFERROR(INDEX(醫師週班表!$C$5:$T$44,$CU10,M$57),"")))))))</f>
        <v/>
      </c>
      <c r="N10" s="71">
        <f>IF(N$59="X","",IF(N$59&lt;&gt;"",N$59,IF(IFERROR(INDEX(醫師週班表!$C$5:$T$44,$CU10,N$57),"")=0,"",IF(MID(IFERROR(INDEX(醫師週班表!$C$5:$T$44,$CU10,N$57),""),2,1)="/",MID(IFERROR(INDEX(醫師週班表!$C$5:$T$44,$CU10,N$57),""),1+N$58*2,1),IF(MID(IFERROR(INDEX(醫師週班表!$C$5:$T$44,$CU10,N$57),""),3,1)="隔",IF(N$58=0,LEFT(IFERROR(INDEX(醫師週班表!$C$5:$T$44,$CU10,N$57),""),1),""),IF(MID(IFERROR(INDEX(醫師週班表!$C$5:$T$44,$CU10,N$57),""),2,1)="(",LEFT(IFERROR(INDEX(醫師週班表!$C$5:$T$44,$CU10,N$57),""),1),IFERROR(INDEX(醫師週班表!$C$5:$T$44,$CU10,N$57),"")))))))</f>
        <v/>
      </c>
      <c r="O10" s="72">
        <f>IF(O$59="X","",IF(O$59&lt;&gt;"",O$59,IF(IFERROR(INDEX(醫師週班表!$C$5:$T$44,$CU10,O$57),"")=0,"",IF(MID(IFERROR(INDEX(醫師週班表!$C$5:$T$44,$CU10,O$57),""),2,1)="/",MID(IFERROR(INDEX(醫師週班表!$C$5:$T$44,$CU10,O$57),""),1+O$58*2,1),IF(MID(IFERROR(INDEX(醫師週班表!$C$5:$T$44,$CU10,O$57),""),3,1)="隔",IF(O$58=0,LEFT(IFERROR(INDEX(醫師週班表!$C$5:$T$44,$CU10,O$57),""),1),""),IF(MID(IFERROR(INDEX(醫師週班表!$C$5:$T$44,$CU10,O$57),""),2,1)="(",LEFT(IFERROR(INDEX(醫師週班表!$C$5:$T$44,$CU10,O$57),""),1),IFERROR(INDEX(醫師週班表!$C$5:$T$44,$CU10,O$57),"")))))))</f>
        <v/>
      </c>
      <c r="P10" s="72">
        <f>IF(P$59="X","",IF(P$59&lt;&gt;"",P$59,IF(IFERROR(INDEX(醫師週班表!$C$5:$T$44,$CU10,P$57),"")=0,"",IF(MID(IFERROR(INDEX(醫師週班表!$C$5:$T$44,$CU10,P$57),""),2,1)="/",MID(IFERROR(INDEX(醫師週班表!$C$5:$T$44,$CU10,P$57),""),1+P$58*2,1),IF(MID(IFERROR(INDEX(醫師週班表!$C$5:$T$44,$CU10,P$57),""),3,1)="隔",IF(P$58=0,LEFT(IFERROR(INDEX(醫師週班表!$C$5:$T$44,$CU10,P$57),""),1),""),IF(MID(IFERROR(INDEX(醫師週班表!$C$5:$T$44,$CU10,P$57),""),2,1)="(",LEFT(IFERROR(INDEX(醫師週班表!$C$5:$T$44,$CU10,P$57),""),1),IFERROR(INDEX(醫師週班表!$C$5:$T$44,$CU10,P$57),"")))))))</f>
        <v/>
      </c>
      <c r="Q10" s="71">
        <f>IF(Q$59="X","",IF(Q$59&lt;&gt;"",Q$59,IF(IFERROR(INDEX(醫師週班表!$C$5:$T$44,$CU10,Q$57),"")=0,"",IF(MID(IFERROR(INDEX(醫師週班表!$C$5:$T$44,$CU10,Q$57),""),2,1)="/",MID(IFERROR(INDEX(醫師週班表!$C$5:$T$44,$CU10,Q$57),""),1+Q$58*2,1),IF(MID(IFERROR(INDEX(醫師週班表!$C$5:$T$44,$CU10,Q$57),""),3,1)="隔",IF(Q$58=0,LEFT(IFERROR(INDEX(醫師週班表!$C$5:$T$44,$CU10,Q$57),""),1),""),IF(MID(IFERROR(INDEX(醫師週班表!$C$5:$T$44,$CU10,Q$57),""),2,1)="(",LEFT(IFERROR(INDEX(醫師週班表!$C$5:$T$44,$CU10,Q$57),""),1),IFERROR(INDEX(醫師週班表!$C$5:$T$44,$CU10,Q$57),"")))))))</f>
        <v/>
      </c>
      <c r="R10" s="72">
        <f>IF(R$59="X","",IF(R$59&lt;&gt;"",R$59,IF(IFERROR(INDEX(醫師週班表!$C$5:$T$44,$CU10,R$57),"")=0,"",IF(MID(IFERROR(INDEX(醫師週班表!$C$5:$T$44,$CU10,R$57),""),2,1)="/",MID(IFERROR(INDEX(醫師週班表!$C$5:$T$44,$CU10,R$57),""),1+R$58*2,1),IF(MID(IFERROR(INDEX(醫師週班表!$C$5:$T$44,$CU10,R$57),""),3,1)="隔",IF(R$58=0,LEFT(IFERROR(INDEX(醫師週班表!$C$5:$T$44,$CU10,R$57),""),1),""),IF(MID(IFERROR(INDEX(醫師週班表!$C$5:$T$44,$CU10,R$57),""),2,1)="(",LEFT(IFERROR(INDEX(醫師週班表!$C$5:$T$44,$CU10,R$57),""),1),IFERROR(INDEX(醫師週班表!$C$5:$T$44,$CU10,R$57),"")))))))</f>
        <v/>
      </c>
      <c r="S10" s="72">
        <f>IF(S$59="X","",IF(S$59&lt;&gt;"",S$59,IF(IFERROR(INDEX(醫師週班表!$C$5:$T$44,$CU10,S$57),"")=0,"",IF(MID(IFERROR(INDEX(醫師週班表!$C$5:$T$44,$CU10,S$57),""),2,1)="/",MID(IFERROR(INDEX(醫師週班表!$C$5:$T$44,$CU10,S$57),""),1+S$58*2,1),IF(MID(IFERROR(INDEX(醫師週班表!$C$5:$T$44,$CU10,S$57),""),3,1)="隔",IF(S$58=0,LEFT(IFERROR(INDEX(醫師週班表!$C$5:$T$44,$CU10,S$57),""),1),""),IF(MID(IFERROR(INDEX(醫師週班表!$C$5:$T$44,$CU10,S$57),""),2,1)="(",LEFT(IFERROR(INDEX(醫師週班表!$C$5:$T$44,$CU10,S$57),""),1),IFERROR(INDEX(醫師週班表!$C$5:$T$44,$CU10,S$57),"")))))))</f>
        <v/>
      </c>
      <c r="T10" s="71">
        <f>IF(T$59="X","",IF(T$59&lt;&gt;"",T$59,IF(IFERROR(INDEX(醫師週班表!$C$5:$T$44,$CU10,T$57),"")=0,"",IF(MID(IFERROR(INDEX(醫師週班表!$C$5:$T$44,$CU10,T$57),""),2,1)="/",MID(IFERROR(INDEX(醫師週班表!$C$5:$T$44,$CU10,T$57),""),1+T$58*2,1),IF(MID(IFERROR(INDEX(醫師週班表!$C$5:$T$44,$CU10,T$57),""),3,1)="隔",IF(T$58=0,LEFT(IFERROR(INDEX(醫師週班表!$C$5:$T$44,$CU10,T$57),""),1),""),IF(MID(IFERROR(INDEX(醫師週班表!$C$5:$T$44,$CU10,T$57),""),2,1)="(",LEFT(IFERROR(INDEX(醫師週班表!$C$5:$T$44,$CU10,T$57),""),1),IFERROR(INDEX(醫師週班表!$C$5:$T$44,$CU10,T$57),"")))))))</f>
        <v/>
      </c>
      <c r="U10" s="72">
        <f>IF(U$59="X","",IF(U$59&lt;&gt;"",U$59,IF(IFERROR(INDEX(醫師週班表!$C$5:$T$44,$CU10,U$57),"")=0,"",IF(MID(IFERROR(INDEX(醫師週班表!$C$5:$T$44,$CU10,U$57),""),2,1)="/",MID(IFERROR(INDEX(醫師週班表!$C$5:$T$44,$CU10,U$57),""),1+U$58*2,1),IF(MID(IFERROR(INDEX(醫師週班表!$C$5:$T$44,$CU10,U$57),""),3,1)="隔",IF(U$58=0,LEFT(IFERROR(INDEX(醫師週班表!$C$5:$T$44,$CU10,U$57),""),1),""),IF(MID(IFERROR(INDEX(醫師週班表!$C$5:$T$44,$CU10,U$57),""),2,1)="(",LEFT(IFERROR(INDEX(醫師週班表!$C$5:$T$44,$CU10,U$57),""),1),IFERROR(INDEX(醫師週班表!$C$5:$T$44,$CU10,U$57),"")))))))</f>
        <v/>
      </c>
      <c r="V10" s="72">
        <f>IF(V$59="X","",IF(V$59&lt;&gt;"",V$59,IF(IFERROR(INDEX(醫師週班表!$C$5:$T$44,$CU10,V$57),"")=0,"",IF(MID(IFERROR(INDEX(醫師週班表!$C$5:$T$44,$CU10,V$57),""),2,1)="/",MID(IFERROR(INDEX(醫師週班表!$C$5:$T$44,$CU10,V$57),""),1+V$58*2,1),IF(MID(IFERROR(INDEX(醫師週班表!$C$5:$T$44,$CU10,V$57),""),3,1)="隔",IF(V$58=0,LEFT(IFERROR(INDEX(醫師週班表!$C$5:$T$44,$CU10,V$57),""),1),""),IF(MID(IFERROR(INDEX(醫師週班表!$C$5:$T$44,$CU10,V$57),""),2,1)="(",LEFT(IFERROR(INDEX(醫師週班表!$C$5:$T$44,$CU10,V$57),""),1),IFERROR(INDEX(醫師週班表!$C$5:$T$44,$CU10,V$57),"")))))))</f>
        <v/>
      </c>
      <c r="W10" s="71">
        <f>IF(W$59="X","",IF(W$59&lt;&gt;"",W$59,IF(IFERROR(INDEX(醫師週班表!$C$5:$T$44,$CU10,W$57),"")=0,"",IF(MID(IFERROR(INDEX(醫師週班表!$C$5:$T$44,$CU10,W$57),""),2,1)="/",MID(IFERROR(INDEX(醫師週班表!$C$5:$T$44,$CU10,W$57),""),1+W$58*2,1),IF(MID(IFERROR(INDEX(醫師週班表!$C$5:$T$44,$CU10,W$57),""),3,1)="隔",IF(W$58=0,LEFT(IFERROR(INDEX(醫師週班表!$C$5:$T$44,$CU10,W$57),""),1),""),IF(MID(IFERROR(INDEX(醫師週班表!$C$5:$T$44,$CU10,W$57),""),2,1)="(",LEFT(IFERROR(INDEX(醫師週班表!$C$5:$T$44,$CU10,W$57),""),1),IFERROR(INDEX(醫師週班表!$C$5:$T$44,$CU10,W$57),"")))))))</f>
        <v/>
      </c>
      <c r="X10" s="72">
        <f>IF(X$59="X","",IF(X$59&lt;&gt;"",X$59,IF(IFERROR(INDEX(醫師週班表!$C$5:$T$44,$CU10,X$57),"")=0,"",IF(MID(IFERROR(INDEX(醫師週班表!$C$5:$T$44,$CU10,X$57),""),2,1)="/",MID(IFERROR(INDEX(醫師週班表!$C$5:$T$44,$CU10,X$57),""),1+X$58*2,1),IF(MID(IFERROR(INDEX(醫師週班表!$C$5:$T$44,$CU10,X$57),""),3,1)="隔",IF(X$58=0,LEFT(IFERROR(INDEX(醫師週班表!$C$5:$T$44,$CU10,X$57),""),1),""),IF(MID(IFERROR(INDEX(醫師週班表!$C$5:$T$44,$CU10,X$57),""),2,1)="(",LEFT(IFERROR(INDEX(醫師週班表!$C$5:$T$44,$CU10,X$57),""),1),IFERROR(INDEX(醫師週班表!$C$5:$T$44,$CU10,X$57),"")))))))</f>
        <v/>
      </c>
      <c r="Y10" s="72">
        <f>IF(Y$59="X","",IF(Y$59&lt;&gt;"",Y$59,IF(IFERROR(INDEX(醫師週班表!$C$5:$T$44,$CU10,Y$57),"")=0,"",IF(MID(IFERROR(INDEX(醫師週班表!$C$5:$T$44,$CU10,Y$57),""),2,1)="/",MID(IFERROR(INDEX(醫師週班表!$C$5:$T$44,$CU10,Y$57),""),1+Y$58*2,1),IF(MID(IFERROR(INDEX(醫師週班表!$C$5:$T$44,$CU10,Y$57),""),3,1)="隔",IF(Y$58=0,LEFT(IFERROR(INDEX(醫師週班表!$C$5:$T$44,$CU10,Y$57),""),1),""),IF(MID(IFERROR(INDEX(醫師週班表!$C$5:$T$44,$CU10,Y$57),""),2,1)="(",LEFT(IFERROR(INDEX(醫師週班表!$C$5:$T$44,$CU10,Y$57),""),1),IFERROR(INDEX(醫師週班表!$C$5:$T$44,$CU10,Y$57),"")))))))</f>
        <v/>
      </c>
      <c r="Z10" s="71">
        <f>IF(Z$59="X","",IF(Z$59&lt;&gt;"",Z$59,IF(IFERROR(INDEX(醫師週班表!$C$5:$T$44,$CU10,Z$57),"")=0,"",IF(MID(IFERROR(INDEX(醫師週班表!$C$5:$T$44,$CU10,Z$57),""),2,1)="/",MID(IFERROR(INDEX(醫師週班表!$C$5:$T$44,$CU10,Z$57),""),1+Z$58*2,1),IF(MID(IFERROR(INDEX(醫師週班表!$C$5:$T$44,$CU10,Z$57),""),3,1)="隔",IF(Z$58=0,LEFT(IFERROR(INDEX(醫師週班表!$C$5:$T$44,$CU10,Z$57),""),1),""),IF(MID(IFERROR(INDEX(醫師週班表!$C$5:$T$44,$CU10,Z$57),""),2,1)="(",LEFT(IFERROR(INDEX(醫師週班表!$C$5:$T$44,$CU10,Z$57),""),1),IFERROR(INDEX(醫師週班表!$C$5:$T$44,$CU10,Z$57),"")))))))</f>
        <v/>
      </c>
      <c r="AA10" s="72">
        <f>IF(AA$59="X","",IF(AA$59&lt;&gt;"",AA$59,IF(IFERROR(INDEX(醫師週班表!$C$5:$T$44,$CU10,AA$57),"")=0,"",IF(MID(IFERROR(INDEX(醫師週班表!$C$5:$T$44,$CU10,AA$57),""),2,1)="/",MID(IFERROR(INDEX(醫師週班表!$C$5:$T$44,$CU10,AA$57),""),1+AA$58*2,1),IF(MID(IFERROR(INDEX(醫師週班表!$C$5:$T$44,$CU10,AA$57),""),3,1)="隔",IF(AA$58=0,LEFT(IFERROR(INDEX(醫師週班表!$C$5:$T$44,$CU10,AA$57),""),1),""),IF(MID(IFERROR(INDEX(醫師週班表!$C$5:$T$44,$CU10,AA$57),""),2,1)="(",LEFT(IFERROR(INDEX(醫師週班表!$C$5:$T$44,$CU10,AA$57),""),1),IFERROR(INDEX(醫師週班表!$C$5:$T$44,$CU10,AA$57),"")))))))</f>
        <v/>
      </c>
      <c r="AB10" s="72">
        <f>IF(AB$59="X","",IF(AB$59&lt;&gt;"",AB$59,IF(IFERROR(INDEX(醫師週班表!$C$5:$T$44,$CU10,AB$57),"")=0,"",IF(MID(IFERROR(INDEX(醫師週班表!$C$5:$T$44,$CU10,AB$57),""),2,1)="/",MID(IFERROR(INDEX(醫師週班表!$C$5:$T$44,$CU10,AB$57),""),1+AB$58*2,1),IF(MID(IFERROR(INDEX(醫師週班表!$C$5:$T$44,$CU10,AB$57),""),3,1)="隔",IF(AB$58=0,LEFT(IFERROR(INDEX(醫師週班表!$C$5:$T$44,$CU10,AB$57),""),1),""),IF(MID(IFERROR(INDEX(醫師週班表!$C$5:$T$44,$CU10,AB$57),""),2,1)="(",LEFT(IFERROR(INDEX(醫師週班表!$C$5:$T$44,$CU10,AB$57),""),1),IFERROR(INDEX(醫師週班表!$C$5:$T$44,$CU10,AB$57),"")))))))</f>
        <v/>
      </c>
      <c r="AC10" s="71">
        <f>IF(AC$59="X","",IF(AC$59&lt;&gt;"",AC$59,IF(IFERROR(INDEX(醫師週班表!$C$5:$T$44,$CU10,AC$57),"")=0,"",IF(MID(IFERROR(INDEX(醫師週班表!$C$5:$T$44,$CU10,AC$57),""),2,1)="/",MID(IFERROR(INDEX(醫師週班表!$C$5:$T$44,$CU10,AC$57),""),1+AC$58*2,1),IF(MID(IFERROR(INDEX(醫師週班表!$C$5:$T$44,$CU10,AC$57),""),3,1)="隔",IF(AC$58=0,LEFT(IFERROR(INDEX(醫師週班表!$C$5:$T$44,$CU10,AC$57),""),1),""),IF(MID(IFERROR(INDEX(醫師週班表!$C$5:$T$44,$CU10,AC$57),""),2,1)="(",LEFT(IFERROR(INDEX(醫師週班表!$C$5:$T$44,$CU10,AC$57),""),1),IFERROR(INDEX(醫師週班表!$C$5:$T$44,$CU10,AC$57),"")))))))</f>
        <v/>
      </c>
      <c r="AD10" s="72">
        <f>IF(AD$59="X","",IF(AD$59&lt;&gt;"",AD$59,IF(IFERROR(INDEX(醫師週班表!$C$5:$T$44,$CU10,AD$57),"")=0,"",IF(MID(IFERROR(INDEX(醫師週班表!$C$5:$T$44,$CU10,AD$57),""),2,1)="/",MID(IFERROR(INDEX(醫師週班表!$C$5:$T$44,$CU10,AD$57),""),1+AD$58*2,1),IF(MID(IFERROR(INDEX(醫師週班表!$C$5:$T$44,$CU10,AD$57),""),3,1)="隔",IF(AD$58=0,LEFT(IFERROR(INDEX(醫師週班表!$C$5:$T$44,$CU10,AD$57),""),1),""),IF(MID(IFERROR(INDEX(醫師週班表!$C$5:$T$44,$CU10,AD$57),""),2,1)="(",LEFT(IFERROR(INDEX(醫師週班表!$C$5:$T$44,$CU10,AD$57),""),1),IFERROR(INDEX(醫師週班表!$C$5:$T$44,$CU10,AD$57),"")))))))</f>
        <v/>
      </c>
      <c r="AE10" s="72">
        <f>IF(AE$59="X","",IF(AE$59&lt;&gt;"",AE$59,IF(IFERROR(INDEX(醫師週班表!$C$5:$T$44,$CU10,AE$57),"")=0,"",IF(MID(IFERROR(INDEX(醫師週班表!$C$5:$T$44,$CU10,AE$57),""),2,1)="/",MID(IFERROR(INDEX(醫師週班表!$C$5:$T$44,$CU10,AE$57),""),1+AE$58*2,1),IF(MID(IFERROR(INDEX(醫師週班表!$C$5:$T$44,$CU10,AE$57),""),3,1)="隔",IF(AE$58=0,LEFT(IFERROR(INDEX(醫師週班表!$C$5:$T$44,$CU10,AE$57),""),1),""),IF(MID(IFERROR(INDEX(醫師週班表!$C$5:$T$44,$CU10,AE$57),""),2,1)="(",LEFT(IFERROR(INDEX(醫師週班表!$C$5:$T$44,$CU10,AE$57),""),1),IFERROR(INDEX(醫師週班表!$C$5:$T$44,$CU10,AE$57),"")))))))</f>
        <v/>
      </c>
      <c r="AF10" s="71">
        <f>IF(AF$59="X","",IF(AF$59&lt;&gt;"",AF$59,IF(IFERROR(INDEX(醫師週班表!$C$5:$T$44,$CU10,AF$57),"")=0,"",IF(MID(IFERROR(INDEX(醫師週班表!$C$5:$T$44,$CU10,AF$57),""),2,1)="/",MID(IFERROR(INDEX(醫師週班表!$C$5:$T$44,$CU10,AF$57),""),1+AF$58*2,1),IF(MID(IFERROR(INDEX(醫師週班表!$C$5:$T$44,$CU10,AF$57),""),3,1)="隔",IF(AF$58=0,LEFT(IFERROR(INDEX(醫師週班表!$C$5:$T$44,$CU10,AF$57),""),1),""),IF(MID(IFERROR(INDEX(醫師週班表!$C$5:$T$44,$CU10,AF$57),""),2,1)="(",LEFT(IFERROR(INDEX(醫師週班表!$C$5:$T$44,$CU10,AF$57),""),1),IFERROR(INDEX(醫師週班表!$C$5:$T$44,$CU10,AF$57),"")))))))</f>
        <v/>
      </c>
      <c r="AG10" s="72">
        <f>IF(AG$59="X","",IF(AG$59&lt;&gt;"",AG$59,IF(IFERROR(INDEX(醫師週班表!$C$5:$T$44,$CU10,AG$57),"")=0,"",IF(MID(IFERROR(INDEX(醫師週班表!$C$5:$T$44,$CU10,AG$57),""),2,1)="/",MID(IFERROR(INDEX(醫師週班表!$C$5:$T$44,$CU10,AG$57),""),1+AG$58*2,1),IF(MID(IFERROR(INDEX(醫師週班表!$C$5:$T$44,$CU10,AG$57),""),3,1)="隔",IF(AG$58=0,LEFT(IFERROR(INDEX(醫師週班表!$C$5:$T$44,$CU10,AG$57),""),1),""),IF(MID(IFERROR(INDEX(醫師週班表!$C$5:$T$44,$CU10,AG$57),""),2,1)="(",LEFT(IFERROR(INDEX(醫師週班表!$C$5:$T$44,$CU10,AG$57),""),1),IFERROR(INDEX(醫師週班表!$C$5:$T$44,$CU10,AG$57),"")))))))</f>
        <v/>
      </c>
      <c r="AH10" s="72">
        <f>IF(AH$59="X","",IF(AH$59&lt;&gt;"",AH$59,IF(IFERROR(INDEX(醫師週班表!$C$5:$T$44,$CU10,AH$57),"")=0,"",IF(MID(IFERROR(INDEX(醫師週班表!$C$5:$T$44,$CU10,AH$57),""),2,1)="/",MID(IFERROR(INDEX(醫師週班表!$C$5:$T$44,$CU10,AH$57),""),1+AH$58*2,1),IF(MID(IFERROR(INDEX(醫師週班表!$C$5:$T$44,$CU10,AH$57),""),3,1)="隔",IF(AH$58=0,LEFT(IFERROR(INDEX(醫師週班表!$C$5:$T$44,$CU10,AH$57),""),1),""),IF(MID(IFERROR(INDEX(醫師週班表!$C$5:$T$44,$CU10,AH$57),""),2,1)="(",LEFT(IFERROR(INDEX(醫師週班表!$C$5:$T$44,$CU10,AH$57),""),1),IFERROR(INDEX(醫師週班表!$C$5:$T$44,$CU10,AH$57),"")))))))</f>
        <v/>
      </c>
      <c r="AI10" s="71">
        <f>IF(AI$59="X","",IF(AI$59&lt;&gt;"",AI$59,IF(IFERROR(INDEX(醫師週班表!$C$5:$T$44,$CU10,AI$57),"")=0,"",IF(MID(IFERROR(INDEX(醫師週班表!$C$5:$T$44,$CU10,AI$57),""),2,1)="/",MID(IFERROR(INDEX(醫師週班表!$C$5:$T$44,$CU10,AI$57),""),1+AI$58*2,1),IF(MID(IFERROR(INDEX(醫師週班表!$C$5:$T$44,$CU10,AI$57),""),3,1)="隔",IF(AI$58=0,LEFT(IFERROR(INDEX(醫師週班表!$C$5:$T$44,$CU10,AI$57),""),1),""),IF(MID(IFERROR(INDEX(醫師週班表!$C$5:$T$44,$CU10,AI$57),""),2,1)="(",LEFT(IFERROR(INDEX(醫師週班表!$C$5:$T$44,$CU10,AI$57),""),1),IFERROR(INDEX(醫師週班表!$C$5:$T$44,$CU10,AI$57),"")))))))</f>
        <v/>
      </c>
      <c r="AJ10" s="72">
        <f>IF(AJ$59="X","",IF(AJ$59&lt;&gt;"",AJ$59,IF(IFERROR(INDEX(醫師週班表!$C$5:$T$44,$CU10,AJ$57),"")=0,"",IF(MID(IFERROR(INDEX(醫師週班表!$C$5:$T$44,$CU10,AJ$57),""),2,1)="/",MID(IFERROR(INDEX(醫師週班表!$C$5:$T$44,$CU10,AJ$57),""),1+AJ$58*2,1),IF(MID(IFERROR(INDEX(醫師週班表!$C$5:$T$44,$CU10,AJ$57),""),3,1)="隔",IF(AJ$58=0,LEFT(IFERROR(INDEX(醫師週班表!$C$5:$T$44,$CU10,AJ$57),""),1),""),IF(MID(IFERROR(INDEX(醫師週班表!$C$5:$T$44,$CU10,AJ$57),""),2,1)="(",LEFT(IFERROR(INDEX(醫師週班表!$C$5:$T$44,$CU10,AJ$57),""),1),IFERROR(INDEX(醫師週班表!$C$5:$T$44,$CU10,AJ$57),"")))))))</f>
        <v/>
      </c>
      <c r="AK10" s="72">
        <f>IF(AK$59="X","",IF(AK$59&lt;&gt;"",AK$59,IF(IFERROR(INDEX(醫師週班表!$C$5:$T$44,$CU10,AK$57),"")=0,"",IF(MID(IFERROR(INDEX(醫師週班表!$C$5:$T$44,$CU10,AK$57),""),2,1)="/",MID(IFERROR(INDEX(醫師週班表!$C$5:$T$44,$CU10,AK$57),""),1+AK$58*2,1),IF(MID(IFERROR(INDEX(醫師週班表!$C$5:$T$44,$CU10,AK$57),""),3,1)="隔",IF(AK$58=0,LEFT(IFERROR(INDEX(醫師週班表!$C$5:$T$44,$CU10,AK$57),""),1),""),IF(MID(IFERROR(INDEX(醫師週班表!$C$5:$T$44,$CU10,AK$57),""),2,1)="(",LEFT(IFERROR(INDEX(醫師週班表!$C$5:$T$44,$CU10,AK$57),""),1),IFERROR(INDEX(醫師週班表!$C$5:$T$44,$CU10,AK$57),"")))))))</f>
        <v/>
      </c>
      <c r="AL10" s="71">
        <f>IF(AL$59="X","",IF(AL$59&lt;&gt;"",AL$59,IF(IFERROR(INDEX(醫師週班表!$C$5:$T$44,$CU10,AL$57),"")=0,"",IF(MID(IFERROR(INDEX(醫師週班表!$C$5:$T$44,$CU10,AL$57),""),2,1)="/",MID(IFERROR(INDEX(醫師週班表!$C$5:$T$44,$CU10,AL$57),""),1+AL$58*2,1),IF(MID(IFERROR(INDEX(醫師週班表!$C$5:$T$44,$CU10,AL$57),""),3,1)="隔",IF(AL$58=0,LEFT(IFERROR(INDEX(醫師週班表!$C$5:$T$44,$CU10,AL$57),""),1),""),IF(MID(IFERROR(INDEX(醫師週班表!$C$5:$T$44,$CU10,AL$57),""),2,1)="(",LEFT(IFERROR(INDEX(醫師週班表!$C$5:$T$44,$CU10,AL$57),""),1),IFERROR(INDEX(醫師週班表!$C$5:$T$44,$CU10,AL$57),"")))))))</f>
        <v/>
      </c>
      <c r="AM10" s="72">
        <f>IF(AM$59="X","",IF(AM$59&lt;&gt;"",AM$59,IF(IFERROR(INDEX(醫師週班表!$C$5:$T$44,$CU10,AM$57),"")=0,"",IF(MID(IFERROR(INDEX(醫師週班表!$C$5:$T$44,$CU10,AM$57),""),2,1)="/",MID(IFERROR(INDEX(醫師週班表!$C$5:$T$44,$CU10,AM$57),""),1+AM$58*2,1),IF(MID(IFERROR(INDEX(醫師週班表!$C$5:$T$44,$CU10,AM$57),""),3,1)="隔",IF(AM$58=0,LEFT(IFERROR(INDEX(醫師週班表!$C$5:$T$44,$CU10,AM$57),""),1),""),IF(MID(IFERROR(INDEX(醫師週班表!$C$5:$T$44,$CU10,AM$57),""),2,1)="(",LEFT(IFERROR(INDEX(醫師週班表!$C$5:$T$44,$CU10,AM$57),""),1),IFERROR(INDEX(醫師週班表!$C$5:$T$44,$CU10,AM$57),"")))))))</f>
        <v/>
      </c>
      <c r="AN10" s="72">
        <f>IF(AN$59="X","",IF(AN$59&lt;&gt;"",AN$59,IF(IFERROR(INDEX(醫師週班表!$C$5:$T$44,$CU10,AN$57),"")=0,"",IF(MID(IFERROR(INDEX(醫師週班表!$C$5:$T$44,$CU10,AN$57),""),2,1)="/",MID(IFERROR(INDEX(醫師週班表!$C$5:$T$44,$CU10,AN$57),""),1+AN$58*2,1),IF(MID(IFERROR(INDEX(醫師週班表!$C$5:$T$44,$CU10,AN$57),""),3,1)="隔",IF(AN$58=0,LEFT(IFERROR(INDEX(醫師週班表!$C$5:$T$44,$CU10,AN$57),""),1),""),IF(MID(IFERROR(INDEX(醫師週班表!$C$5:$T$44,$CU10,AN$57),""),2,1)="(",LEFT(IFERROR(INDEX(醫師週班表!$C$5:$T$44,$CU10,AN$57),""),1),IFERROR(INDEX(醫師週班表!$C$5:$T$44,$CU10,AN$57),"")))))))</f>
        <v/>
      </c>
      <c r="AO10" s="71">
        <f>IF(AO$59="X","",IF(AO$59&lt;&gt;"",AO$59,IF(IFERROR(INDEX(醫師週班表!$C$5:$T$44,$CU10,AO$57),"")=0,"",IF(MID(IFERROR(INDEX(醫師週班表!$C$5:$T$44,$CU10,AO$57),""),2,1)="/",MID(IFERROR(INDEX(醫師週班表!$C$5:$T$44,$CU10,AO$57),""),1+AO$58*2,1),IF(MID(IFERROR(INDEX(醫師週班表!$C$5:$T$44,$CU10,AO$57),""),3,1)="隔",IF(AO$58=0,LEFT(IFERROR(INDEX(醫師週班表!$C$5:$T$44,$CU10,AO$57),""),1),""),IF(MID(IFERROR(INDEX(醫師週班表!$C$5:$T$44,$CU10,AO$57),""),2,1)="(",LEFT(IFERROR(INDEX(醫師週班表!$C$5:$T$44,$CU10,AO$57),""),1),IFERROR(INDEX(醫師週班表!$C$5:$T$44,$CU10,AO$57),"")))))))</f>
        <v/>
      </c>
      <c r="AP10" s="72">
        <f>IF(AP$59="X","",IF(AP$59&lt;&gt;"",AP$59,IF(IFERROR(INDEX(醫師週班表!$C$5:$T$44,$CU10,AP$57),"")=0,"",IF(MID(IFERROR(INDEX(醫師週班表!$C$5:$T$44,$CU10,AP$57),""),2,1)="/",MID(IFERROR(INDEX(醫師週班表!$C$5:$T$44,$CU10,AP$57),""),1+AP$58*2,1),IF(MID(IFERROR(INDEX(醫師週班表!$C$5:$T$44,$CU10,AP$57),""),3,1)="隔",IF(AP$58=0,LEFT(IFERROR(INDEX(醫師週班表!$C$5:$T$44,$CU10,AP$57),""),1),""),IF(MID(IFERROR(INDEX(醫師週班表!$C$5:$T$44,$CU10,AP$57),""),2,1)="(",LEFT(IFERROR(INDEX(醫師週班表!$C$5:$T$44,$CU10,AP$57),""),1),IFERROR(INDEX(醫師週班表!$C$5:$T$44,$CU10,AP$57),"")))))))</f>
        <v/>
      </c>
      <c r="AQ10" s="72">
        <f>IF(AQ$59="X","",IF(AQ$59&lt;&gt;"",AQ$59,IF(IFERROR(INDEX(醫師週班表!$C$5:$T$44,$CU10,AQ$57),"")=0,"",IF(MID(IFERROR(INDEX(醫師週班表!$C$5:$T$44,$CU10,AQ$57),""),2,1)="/",MID(IFERROR(INDEX(醫師週班表!$C$5:$T$44,$CU10,AQ$57),""),1+AQ$58*2,1),IF(MID(IFERROR(INDEX(醫師週班表!$C$5:$T$44,$CU10,AQ$57),""),3,1)="隔",IF(AQ$58=0,LEFT(IFERROR(INDEX(醫師週班表!$C$5:$T$44,$CU10,AQ$57),""),1),""),IF(MID(IFERROR(INDEX(醫師週班表!$C$5:$T$44,$CU10,AQ$57),""),2,1)="(",LEFT(IFERROR(INDEX(醫師週班表!$C$5:$T$44,$CU10,AQ$57),""),1),IFERROR(INDEX(醫師週班表!$C$5:$T$44,$CU10,AQ$57),"")))))))</f>
        <v/>
      </c>
      <c r="AR10" s="71">
        <f>IF(AR$59="X","",IF(AR$59&lt;&gt;"",AR$59,IF(IFERROR(INDEX(醫師週班表!$C$5:$T$44,$CU10,AR$57),"")=0,"",IF(MID(IFERROR(INDEX(醫師週班表!$C$5:$T$44,$CU10,AR$57),""),2,1)="/",MID(IFERROR(INDEX(醫師週班表!$C$5:$T$44,$CU10,AR$57),""),1+AR$58*2,1),IF(MID(IFERROR(INDEX(醫師週班表!$C$5:$T$44,$CU10,AR$57),""),3,1)="隔",IF(AR$58=0,LEFT(IFERROR(INDEX(醫師週班表!$C$5:$T$44,$CU10,AR$57),""),1),""),IF(MID(IFERROR(INDEX(醫師週班表!$C$5:$T$44,$CU10,AR$57),""),2,1)="(",LEFT(IFERROR(INDEX(醫師週班表!$C$5:$T$44,$CU10,AR$57),""),1),IFERROR(INDEX(醫師週班表!$C$5:$T$44,$CU10,AR$57),"")))))))</f>
        <v/>
      </c>
      <c r="AS10" s="72">
        <f>IF(AS$59="X","",IF(AS$59&lt;&gt;"",AS$59,IF(IFERROR(INDEX(醫師週班表!$C$5:$T$44,$CU10,AS$57),"")=0,"",IF(MID(IFERROR(INDEX(醫師週班表!$C$5:$T$44,$CU10,AS$57),""),2,1)="/",MID(IFERROR(INDEX(醫師週班表!$C$5:$T$44,$CU10,AS$57),""),1+AS$58*2,1),IF(MID(IFERROR(INDEX(醫師週班表!$C$5:$T$44,$CU10,AS$57),""),3,1)="隔",IF(AS$58=0,LEFT(IFERROR(INDEX(醫師週班表!$C$5:$T$44,$CU10,AS$57),""),1),""),IF(MID(IFERROR(INDEX(醫師週班表!$C$5:$T$44,$CU10,AS$57),""),2,1)="(",LEFT(IFERROR(INDEX(醫師週班表!$C$5:$T$44,$CU10,AS$57),""),1),IFERROR(INDEX(醫師週班表!$C$5:$T$44,$CU10,AS$57),"")))))))</f>
        <v/>
      </c>
      <c r="AT10" s="72">
        <f>IF(AT$59="X","",IF(AT$59&lt;&gt;"",AT$59,IF(IFERROR(INDEX(醫師週班表!$C$5:$T$44,$CU10,AT$57),"")=0,"",IF(MID(IFERROR(INDEX(醫師週班表!$C$5:$T$44,$CU10,AT$57),""),2,1)="/",MID(IFERROR(INDEX(醫師週班表!$C$5:$T$44,$CU10,AT$57),""),1+AT$58*2,1),IF(MID(IFERROR(INDEX(醫師週班表!$C$5:$T$44,$CU10,AT$57),""),3,1)="隔",IF(AT$58=0,LEFT(IFERROR(INDEX(醫師週班表!$C$5:$T$44,$CU10,AT$57),""),1),""),IF(MID(IFERROR(INDEX(醫師週班表!$C$5:$T$44,$CU10,AT$57),""),2,1)="(",LEFT(IFERROR(INDEX(醫師週班表!$C$5:$T$44,$CU10,AT$57),""),1),IFERROR(INDEX(醫師週班表!$C$5:$T$44,$CU10,AT$57),"")))))))</f>
        <v/>
      </c>
      <c r="AU10" s="71">
        <f>IF(AU$59="X","",IF(AU$59&lt;&gt;"",AU$59,IF(IFERROR(INDEX(醫師週班表!$C$5:$T$44,$CU10,AU$57),"")=0,"",IF(MID(IFERROR(INDEX(醫師週班表!$C$5:$T$44,$CU10,AU$57),""),2,1)="/",MID(IFERROR(INDEX(醫師週班表!$C$5:$T$44,$CU10,AU$57),""),1+AU$58*2,1),IF(MID(IFERROR(INDEX(醫師週班表!$C$5:$T$44,$CU10,AU$57),""),3,1)="隔",IF(AU$58=0,LEFT(IFERROR(INDEX(醫師週班表!$C$5:$T$44,$CU10,AU$57),""),1),""),IF(MID(IFERROR(INDEX(醫師週班表!$C$5:$T$44,$CU10,AU$57),""),2,1)="(",LEFT(IFERROR(INDEX(醫師週班表!$C$5:$T$44,$CU10,AU$57),""),1),IFERROR(INDEX(醫師週班表!$C$5:$T$44,$CU10,AU$57),"")))))))</f>
        <v/>
      </c>
      <c r="AV10" s="72">
        <f>IF(AV$59="X","",IF(AV$59&lt;&gt;"",AV$59,IF(IFERROR(INDEX(醫師週班表!$C$5:$T$44,$CU10,AV$57),"")=0,"",IF(MID(IFERROR(INDEX(醫師週班表!$C$5:$T$44,$CU10,AV$57),""),2,1)="/",MID(IFERROR(INDEX(醫師週班表!$C$5:$T$44,$CU10,AV$57),""),1+AV$58*2,1),IF(MID(IFERROR(INDEX(醫師週班表!$C$5:$T$44,$CU10,AV$57),""),3,1)="隔",IF(AV$58=0,LEFT(IFERROR(INDEX(醫師週班表!$C$5:$T$44,$CU10,AV$57),""),1),""),IF(MID(IFERROR(INDEX(醫師週班表!$C$5:$T$44,$CU10,AV$57),""),2,1)="(",LEFT(IFERROR(INDEX(醫師週班表!$C$5:$T$44,$CU10,AV$57),""),1),IFERROR(INDEX(醫師週班表!$C$5:$T$44,$CU10,AV$57),"")))))))</f>
        <v/>
      </c>
      <c r="AW10" s="72">
        <f>IF(AW$59="X","",IF(AW$59&lt;&gt;"",AW$59,IF(IFERROR(INDEX(醫師週班表!$C$5:$T$44,$CU10,AW$57),"")=0,"",IF(MID(IFERROR(INDEX(醫師週班表!$C$5:$T$44,$CU10,AW$57),""),2,1)="/",MID(IFERROR(INDEX(醫師週班表!$C$5:$T$44,$CU10,AW$57),""),1+AW$58*2,1),IF(MID(IFERROR(INDEX(醫師週班表!$C$5:$T$44,$CU10,AW$57),""),3,1)="隔",IF(AW$58=0,LEFT(IFERROR(INDEX(醫師週班表!$C$5:$T$44,$CU10,AW$57),""),1),""),IF(MID(IFERROR(INDEX(醫師週班表!$C$5:$T$44,$CU10,AW$57),""),2,1)="(",LEFT(IFERROR(INDEX(醫師週班表!$C$5:$T$44,$CU10,AW$57),""),1),IFERROR(INDEX(醫師週班表!$C$5:$T$44,$CU10,AW$57),"")))))))</f>
        <v/>
      </c>
      <c r="AX10" s="71">
        <f>IF(AX$59="X","",IF(AX$59&lt;&gt;"",AX$59,IF(IFERROR(INDEX(醫師週班表!$C$5:$T$44,$CU10,AX$57),"")=0,"",IF(MID(IFERROR(INDEX(醫師週班表!$C$5:$T$44,$CU10,AX$57),""),2,1)="/",MID(IFERROR(INDEX(醫師週班表!$C$5:$T$44,$CU10,AX$57),""),1+AX$58*2,1),IF(MID(IFERROR(INDEX(醫師週班表!$C$5:$T$44,$CU10,AX$57),""),3,1)="隔",IF(AX$58=0,LEFT(IFERROR(INDEX(醫師週班表!$C$5:$T$44,$CU10,AX$57),""),1),""),IF(MID(IFERROR(INDEX(醫師週班表!$C$5:$T$44,$CU10,AX$57),""),2,1)="(",LEFT(IFERROR(INDEX(醫師週班表!$C$5:$T$44,$CU10,AX$57),""),1),IFERROR(INDEX(醫師週班表!$C$5:$T$44,$CU10,AX$57),"")))))))</f>
        <v/>
      </c>
      <c r="AY10" s="72">
        <f>IF(AY$59="X","",IF(AY$59&lt;&gt;"",AY$59,IF(IFERROR(INDEX(醫師週班表!$C$5:$T$44,$CU10,AY$57),"")=0,"",IF(MID(IFERROR(INDEX(醫師週班表!$C$5:$T$44,$CU10,AY$57),""),2,1)="/",MID(IFERROR(INDEX(醫師週班表!$C$5:$T$44,$CU10,AY$57),""),1+AY$58*2,1),IF(MID(IFERROR(INDEX(醫師週班表!$C$5:$T$44,$CU10,AY$57),""),3,1)="隔",IF(AY$58=0,LEFT(IFERROR(INDEX(醫師週班表!$C$5:$T$44,$CU10,AY$57),""),1),""),IF(MID(IFERROR(INDEX(醫師週班表!$C$5:$T$44,$CU10,AY$57),""),2,1)="(",LEFT(IFERROR(INDEX(醫師週班表!$C$5:$T$44,$CU10,AY$57),""),1),IFERROR(INDEX(醫師週班表!$C$5:$T$44,$CU10,AY$57),"")))))))</f>
        <v/>
      </c>
      <c r="AZ10" s="72">
        <f>IF(AZ$59="X","",IF(AZ$59&lt;&gt;"",AZ$59,IF(IFERROR(INDEX(醫師週班表!$C$5:$T$44,$CU10,AZ$57),"")=0,"",IF(MID(IFERROR(INDEX(醫師週班表!$C$5:$T$44,$CU10,AZ$57),""),2,1)="/",MID(IFERROR(INDEX(醫師週班表!$C$5:$T$44,$CU10,AZ$57),""),1+AZ$58*2,1),IF(MID(IFERROR(INDEX(醫師週班表!$C$5:$T$44,$CU10,AZ$57),""),3,1)="隔",IF(AZ$58=0,LEFT(IFERROR(INDEX(醫師週班表!$C$5:$T$44,$CU10,AZ$57),""),1),""),IF(MID(IFERROR(INDEX(醫師週班表!$C$5:$T$44,$CU10,AZ$57),""),2,1)="(",LEFT(IFERROR(INDEX(醫師週班表!$C$5:$T$44,$CU10,AZ$57),""),1),IFERROR(INDEX(醫師週班表!$C$5:$T$44,$CU10,AZ$57),"")))))))</f>
        <v/>
      </c>
      <c r="BA10" s="71">
        <f>IF(BA$59="X","",IF(BA$59&lt;&gt;"",BA$59,IF(IFERROR(INDEX(醫師週班表!$C$5:$T$44,$CU10,BA$57),"")=0,"",IF(MID(IFERROR(INDEX(醫師週班表!$C$5:$T$44,$CU10,BA$57),""),2,1)="/",MID(IFERROR(INDEX(醫師週班表!$C$5:$T$44,$CU10,BA$57),""),1+BA$58*2,1),IF(MID(IFERROR(INDEX(醫師週班表!$C$5:$T$44,$CU10,BA$57),""),3,1)="隔",IF(BA$58=0,LEFT(IFERROR(INDEX(醫師週班表!$C$5:$T$44,$CU10,BA$57),""),1),""),IF(MID(IFERROR(INDEX(醫師週班表!$C$5:$T$44,$CU10,BA$57),""),2,1)="(",LEFT(IFERROR(INDEX(醫師週班表!$C$5:$T$44,$CU10,BA$57),""),1),IFERROR(INDEX(醫師週班表!$C$5:$T$44,$CU10,BA$57),"")))))))</f>
        <v/>
      </c>
      <c r="BB10" s="72">
        <f>IF(BB$59="X","",IF(BB$59&lt;&gt;"",BB$59,IF(IFERROR(INDEX(醫師週班表!$C$5:$T$44,$CU10,BB$57),"")=0,"",IF(MID(IFERROR(INDEX(醫師週班表!$C$5:$T$44,$CU10,BB$57),""),2,1)="/",MID(IFERROR(INDEX(醫師週班表!$C$5:$T$44,$CU10,BB$57),""),1+BB$58*2,1),IF(MID(IFERROR(INDEX(醫師週班表!$C$5:$T$44,$CU10,BB$57),""),3,1)="隔",IF(BB$58=0,LEFT(IFERROR(INDEX(醫師週班表!$C$5:$T$44,$CU10,BB$57),""),1),""),IF(MID(IFERROR(INDEX(醫師週班表!$C$5:$T$44,$CU10,BB$57),""),2,1)="(",LEFT(IFERROR(INDEX(醫師週班表!$C$5:$T$44,$CU10,BB$57),""),1),IFERROR(INDEX(醫師週班表!$C$5:$T$44,$CU10,BB$57),"")))))))</f>
        <v/>
      </c>
      <c r="BC10" s="72">
        <f>IF(BC$59="X","",IF(BC$59&lt;&gt;"",BC$59,IF(IFERROR(INDEX(醫師週班表!$C$5:$T$44,$CU10,BC$57),"")=0,"",IF(MID(IFERROR(INDEX(醫師週班表!$C$5:$T$44,$CU10,BC$57),""),2,1)="/",MID(IFERROR(INDEX(醫師週班表!$C$5:$T$44,$CU10,BC$57),""),1+BC$58*2,1),IF(MID(IFERROR(INDEX(醫師週班表!$C$5:$T$44,$CU10,BC$57),""),3,1)="隔",IF(BC$58=0,LEFT(IFERROR(INDEX(醫師週班表!$C$5:$T$44,$CU10,BC$57),""),1),""),IF(MID(IFERROR(INDEX(醫師週班表!$C$5:$T$44,$CU10,BC$57),""),2,1)="(",LEFT(IFERROR(INDEX(醫師週班表!$C$5:$T$44,$CU10,BC$57),""),1),IFERROR(INDEX(醫師週班表!$C$5:$T$44,$CU10,BC$57),"")))))))</f>
        <v/>
      </c>
      <c r="BD10" s="71">
        <f>IF(BD$59="X","",IF(BD$59&lt;&gt;"",BD$59,IF(IFERROR(INDEX(醫師週班表!$C$5:$T$44,$CU10,BD$57),"")=0,"",IF(MID(IFERROR(INDEX(醫師週班表!$C$5:$T$44,$CU10,BD$57),""),2,1)="/",MID(IFERROR(INDEX(醫師週班表!$C$5:$T$44,$CU10,BD$57),""),1+BD$58*2,1),IF(MID(IFERROR(INDEX(醫師週班表!$C$5:$T$44,$CU10,BD$57),""),3,1)="隔",IF(BD$58=0,LEFT(IFERROR(INDEX(醫師週班表!$C$5:$T$44,$CU10,BD$57),""),1),""),IF(MID(IFERROR(INDEX(醫師週班表!$C$5:$T$44,$CU10,BD$57),""),2,1)="(",LEFT(IFERROR(INDEX(醫師週班表!$C$5:$T$44,$CU10,BD$57),""),1),IFERROR(INDEX(醫師週班表!$C$5:$T$44,$CU10,BD$57),"")))))))</f>
        <v/>
      </c>
      <c r="BE10" s="72">
        <f>IF(BE$59="X","",IF(BE$59&lt;&gt;"",BE$59,IF(IFERROR(INDEX(醫師週班表!$C$5:$T$44,$CU10,BE$57),"")=0,"",IF(MID(IFERROR(INDEX(醫師週班表!$C$5:$T$44,$CU10,BE$57),""),2,1)="/",MID(IFERROR(INDEX(醫師週班表!$C$5:$T$44,$CU10,BE$57),""),1+BE$58*2,1),IF(MID(IFERROR(INDEX(醫師週班表!$C$5:$T$44,$CU10,BE$57),""),3,1)="隔",IF(BE$58=0,LEFT(IFERROR(INDEX(醫師週班表!$C$5:$T$44,$CU10,BE$57),""),1),""),IF(MID(IFERROR(INDEX(醫師週班表!$C$5:$T$44,$CU10,BE$57),""),2,1)="(",LEFT(IFERROR(INDEX(醫師週班表!$C$5:$T$44,$CU10,BE$57),""),1),IFERROR(INDEX(醫師週班表!$C$5:$T$44,$CU10,BE$57),"")))))))</f>
        <v/>
      </c>
      <c r="BF10" s="72">
        <f>IF(BF$59="X","",IF(BF$59&lt;&gt;"",BF$59,IF(IFERROR(INDEX(醫師週班表!$C$5:$T$44,$CU10,BF$57),"")=0,"",IF(MID(IFERROR(INDEX(醫師週班表!$C$5:$T$44,$CU10,BF$57),""),2,1)="/",MID(IFERROR(INDEX(醫師週班表!$C$5:$T$44,$CU10,BF$57),""),1+BF$58*2,1),IF(MID(IFERROR(INDEX(醫師週班表!$C$5:$T$44,$CU10,BF$57),""),3,1)="隔",IF(BF$58=0,LEFT(IFERROR(INDEX(醫師週班表!$C$5:$T$44,$CU10,BF$57),""),1),""),IF(MID(IFERROR(INDEX(醫師週班表!$C$5:$T$44,$CU10,BF$57),""),2,1)="(",LEFT(IFERROR(INDEX(醫師週班表!$C$5:$T$44,$CU10,BF$57),""),1),IFERROR(INDEX(醫師週班表!$C$5:$T$44,$CU10,BF$57),"")))))))</f>
        <v/>
      </c>
      <c r="BG10" s="71">
        <f>IF(BG$59="X","",IF(BG$59&lt;&gt;"",BG$59,IF(IFERROR(INDEX(醫師週班表!$C$5:$T$44,$CU10,BG$57),"")=0,"",IF(MID(IFERROR(INDEX(醫師週班表!$C$5:$T$44,$CU10,BG$57),""),2,1)="/",MID(IFERROR(INDEX(醫師週班表!$C$5:$T$44,$CU10,BG$57),""),1+BG$58*2,1),IF(MID(IFERROR(INDEX(醫師週班表!$C$5:$T$44,$CU10,BG$57),""),3,1)="隔",IF(BG$58=0,LEFT(IFERROR(INDEX(醫師週班表!$C$5:$T$44,$CU10,BG$57),""),1),""),IF(MID(IFERROR(INDEX(醫師週班表!$C$5:$T$44,$CU10,BG$57),""),2,1)="(",LEFT(IFERROR(INDEX(醫師週班表!$C$5:$T$44,$CU10,BG$57),""),1),IFERROR(INDEX(醫師週班表!$C$5:$T$44,$CU10,BG$57),"")))))))</f>
        <v/>
      </c>
      <c r="BH10" s="72">
        <f>IF(BH$59="X","",IF(BH$59&lt;&gt;"",BH$59,IF(IFERROR(INDEX(醫師週班表!$C$5:$T$44,$CU10,BH$57),"")=0,"",IF(MID(IFERROR(INDEX(醫師週班表!$C$5:$T$44,$CU10,BH$57),""),2,1)="/",MID(IFERROR(INDEX(醫師週班表!$C$5:$T$44,$CU10,BH$57),""),1+BH$58*2,1),IF(MID(IFERROR(INDEX(醫師週班表!$C$5:$T$44,$CU10,BH$57),""),3,1)="隔",IF(BH$58=0,LEFT(IFERROR(INDEX(醫師週班表!$C$5:$T$44,$CU10,BH$57),""),1),""),IF(MID(IFERROR(INDEX(醫師週班表!$C$5:$T$44,$CU10,BH$57),""),2,1)="(",LEFT(IFERROR(INDEX(醫師週班表!$C$5:$T$44,$CU10,BH$57),""),1),IFERROR(INDEX(醫師週班表!$C$5:$T$44,$CU10,BH$57),"")))))))</f>
        <v/>
      </c>
      <c r="BI10" s="72">
        <f>IF(BI$59="X","",IF(BI$59&lt;&gt;"",BI$59,IF(IFERROR(INDEX(醫師週班表!$C$5:$T$44,$CU10,BI$57),"")=0,"",IF(MID(IFERROR(INDEX(醫師週班表!$C$5:$T$44,$CU10,BI$57),""),2,1)="/",MID(IFERROR(INDEX(醫師週班表!$C$5:$T$44,$CU10,BI$57),""),1+BI$58*2,1),IF(MID(IFERROR(INDEX(醫師週班表!$C$5:$T$44,$CU10,BI$57),""),3,1)="隔",IF(BI$58=0,LEFT(IFERROR(INDEX(醫師週班表!$C$5:$T$44,$CU10,BI$57),""),1),""),IF(MID(IFERROR(INDEX(醫師週班表!$C$5:$T$44,$CU10,BI$57),""),2,1)="(",LEFT(IFERROR(INDEX(醫師週班表!$C$5:$T$44,$CU10,BI$57),""),1),IFERROR(INDEX(醫師週班表!$C$5:$T$44,$CU10,BI$57),"")))))))</f>
        <v/>
      </c>
      <c r="BJ10" s="71">
        <f>IF(BJ$59="X","",IF(BJ$59&lt;&gt;"",BJ$59,IF(IFERROR(INDEX(醫師週班表!$C$5:$T$44,$CU10,BJ$57),"")=0,"",IF(MID(IFERROR(INDEX(醫師週班表!$C$5:$T$44,$CU10,BJ$57),""),2,1)="/",MID(IFERROR(INDEX(醫師週班表!$C$5:$T$44,$CU10,BJ$57),""),1+BJ$58*2,1),IF(MID(IFERROR(INDEX(醫師週班表!$C$5:$T$44,$CU10,BJ$57),""),3,1)="隔",IF(BJ$58=0,LEFT(IFERROR(INDEX(醫師週班表!$C$5:$T$44,$CU10,BJ$57),""),1),""),IF(MID(IFERROR(INDEX(醫師週班表!$C$5:$T$44,$CU10,BJ$57),""),2,1)="(",LEFT(IFERROR(INDEX(醫師週班表!$C$5:$T$44,$CU10,BJ$57),""),1),IFERROR(INDEX(醫師週班表!$C$5:$T$44,$CU10,BJ$57),"")))))))</f>
        <v/>
      </c>
      <c r="BK10" s="72">
        <f>IF(BK$59="X","",IF(BK$59&lt;&gt;"",BK$59,IF(IFERROR(INDEX(醫師週班表!$C$5:$T$44,$CU10,BK$57),"")=0,"",IF(MID(IFERROR(INDEX(醫師週班表!$C$5:$T$44,$CU10,BK$57),""),2,1)="/",MID(IFERROR(INDEX(醫師週班表!$C$5:$T$44,$CU10,BK$57),""),1+BK$58*2,1),IF(MID(IFERROR(INDEX(醫師週班表!$C$5:$T$44,$CU10,BK$57),""),3,1)="隔",IF(BK$58=0,LEFT(IFERROR(INDEX(醫師週班表!$C$5:$T$44,$CU10,BK$57),""),1),""),IF(MID(IFERROR(INDEX(醫師週班表!$C$5:$T$44,$CU10,BK$57),""),2,1)="(",LEFT(IFERROR(INDEX(醫師週班表!$C$5:$T$44,$CU10,BK$57),""),1),IFERROR(INDEX(醫師週班表!$C$5:$T$44,$CU10,BK$57),"")))))))</f>
        <v/>
      </c>
      <c r="BL10" s="72">
        <f>IF(BL$59="X","",IF(BL$59&lt;&gt;"",BL$59,IF(IFERROR(INDEX(醫師週班表!$C$5:$T$44,$CU10,BL$57),"")=0,"",IF(MID(IFERROR(INDEX(醫師週班表!$C$5:$T$44,$CU10,BL$57),""),2,1)="/",MID(IFERROR(INDEX(醫師週班表!$C$5:$T$44,$CU10,BL$57),""),1+BL$58*2,1),IF(MID(IFERROR(INDEX(醫師週班表!$C$5:$T$44,$CU10,BL$57),""),3,1)="隔",IF(BL$58=0,LEFT(IFERROR(INDEX(醫師週班表!$C$5:$T$44,$CU10,BL$57),""),1),""),IF(MID(IFERROR(INDEX(醫師週班表!$C$5:$T$44,$CU10,BL$57),""),2,1)="(",LEFT(IFERROR(INDEX(醫師週班表!$C$5:$T$44,$CU10,BL$57),""),1),IFERROR(INDEX(醫師週班表!$C$5:$T$44,$CU10,BL$57),"")))))))</f>
        <v/>
      </c>
      <c r="BM10" s="71">
        <f>IF(BM$59="X","",IF(BM$59&lt;&gt;"",BM$59,IF(IFERROR(INDEX(醫師週班表!$C$5:$T$44,$CU10,BM$57),"")=0,"",IF(MID(IFERROR(INDEX(醫師週班表!$C$5:$T$44,$CU10,BM$57),""),2,1)="/",MID(IFERROR(INDEX(醫師週班表!$C$5:$T$44,$CU10,BM$57),""),1+BM$58*2,1),IF(MID(IFERROR(INDEX(醫師週班表!$C$5:$T$44,$CU10,BM$57),""),3,1)="隔",IF(BM$58=0,LEFT(IFERROR(INDEX(醫師週班表!$C$5:$T$44,$CU10,BM$57),""),1),""),IF(MID(IFERROR(INDEX(醫師週班表!$C$5:$T$44,$CU10,BM$57),""),2,1)="(",LEFT(IFERROR(INDEX(醫師週班表!$C$5:$T$44,$CU10,BM$57),""),1),IFERROR(INDEX(醫師週班表!$C$5:$T$44,$CU10,BM$57),"")))))))</f>
        <v/>
      </c>
      <c r="BN10" s="72">
        <f>IF(BN$59="X","",IF(BN$59&lt;&gt;"",BN$59,IF(IFERROR(INDEX(醫師週班表!$C$5:$T$44,$CU10,BN$57),"")=0,"",IF(MID(IFERROR(INDEX(醫師週班表!$C$5:$T$44,$CU10,BN$57),""),2,1)="/",MID(IFERROR(INDEX(醫師週班表!$C$5:$T$44,$CU10,BN$57),""),1+BN$58*2,1),IF(MID(IFERROR(INDEX(醫師週班表!$C$5:$T$44,$CU10,BN$57),""),3,1)="隔",IF(BN$58=0,LEFT(IFERROR(INDEX(醫師週班表!$C$5:$T$44,$CU10,BN$57),""),1),""),IF(MID(IFERROR(INDEX(醫師週班表!$C$5:$T$44,$CU10,BN$57),""),2,1)="(",LEFT(IFERROR(INDEX(醫師週班表!$C$5:$T$44,$CU10,BN$57),""),1),IFERROR(INDEX(醫師週班表!$C$5:$T$44,$CU10,BN$57),"")))))))</f>
        <v/>
      </c>
      <c r="BO10" s="72">
        <f>IF(BO$59="X","",IF(BO$59&lt;&gt;"",BO$59,IF(IFERROR(INDEX(醫師週班表!$C$5:$T$44,$CU10,BO$57),"")=0,"",IF(MID(IFERROR(INDEX(醫師週班表!$C$5:$T$44,$CU10,BO$57),""),2,1)="/",MID(IFERROR(INDEX(醫師週班表!$C$5:$T$44,$CU10,BO$57),""),1+BO$58*2,1),IF(MID(IFERROR(INDEX(醫師週班表!$C$5:$T$44,$CU10,BO$57),""),3,1)="隔",IF(BO$58=0,LEFT(IFERROR(INDEX(醫師週班表!$C$5:$T$44,$CU10,BO$57),""),1),""),IF(MID(IFERROR(INDEX(醫師週班表!$C$5:$T$44,$CU10,BO$57),""),2,1)="(",LEFT(IFERROR(INDEX(醫師週班表!$C$5:$T$44,$CU10,BO$57),""),1),IFERROR(INDEX(醫師週班表!$C$5:$T$44,$CU10,BO$57),"")))))))</f>
        <v/>
      </c>
      <c r="BP10" s="71">
        <f>IF(BP$59="X","",IF(BP$59&lt;&gt;"",BP$59,IF(IFERROR(INDEX(醫師週班表!$C$5:$T$44,$CU10,BP$57),"")=0,"",IF(MID(IFERROR(INDEX(醫師週班表!$C$5:$T$44,$CU10,BP$57),""),2,1)="/",MID(IFERROR(INDEX(醫師週班表!$C$5:$T$44,$CU10,BP$57),""),1+BP$58*2,1),IF(MID(IFERROR(INDEX(醫師週班表!$C$5:$T$44,$CU10,BP$57),""),3,1)="隔",IF(BP$58=0,LEFT(IFERROR(INDEX(醫師週班表!$C$5:$T$44,$CU10,BP$57),""),1),""),IF(MID(IFERROR(INDEX(醫師週班表!$C$5:$T$44,$CU10,BP$57),""),2,1)="(",LEFT(IFERROR(INDEX(醫師週班表!$C$5:$T$44,$CU10,BP$57),""),1),IFERROR(INDEX(醫師週班表!$C$5:$T$44,$CU10,BP$57),"")))))))</f>
        <v/>
      </c>
      <c r="BQ10" s="72">
        <f>IF(BQ$59="X","",IF(BQ$59&lt;&gt;"",BQ$59,IF(IFERROR(INDEX(醫師週班表!$C$5:$T$44,$CU10,BQ$57),"")=0,"",IF(MID(IFERROR(INDEX(醫師週班表!$C$5:$T$44,$CU10,BQ$57),""),2,1)="/",MID(IFERROR(INDEX(醫師週班表!$C$5:$T$44,$CU10,BQ$57),""),1+BQ$58*2,1),IF(MID(IFERROR(INDEX(醫師週班表!$C$5:$T$44,$CU10,BQ$57),""),3,1)="隔",IF(BQ$58=0,LEFT(IFERROR(INDEX(醫師週班表!$C$5:$T$44,$CU10,BQ$57),""),1),""),IF(MID(IFERROR(INDEX(醫師週班表!$C$5:$T$44,$CU10,BQ$57),""),2,1)="(",LEFT(IFERROR(INDEX(醫師週班表!$C$5:$T$44,$CU10,BQ$57),""),1),IFERROR(INDEX(醫師週班表!$C$5:$T$44,$CU10,BQ$57),"")))))))</f>
        <v/>
      </c>
      <c r="BR10" s="72">
        <f>IF(BR$59="X","",IF(BR$59&lt;&gt;"",BR$59,IF(IFERROR(INDEX(醫師週班表!$C$5:$T$44,$CU10,BR$57),"")=0,"",IF(MID(IFERROR(INDEX(醫師週班表!$C$5:$T$44,$CU10,BR$57),""),2,1)="/",MID(IFERROR(INDEX(醫師週班表!$C$5:$T$44,$CU10,BR$57),""),1+BR$58*2,1),IF(MID(IFERROR(INDEX(醫師週班表!$C$5:$T$44,$CU10,BR$57),""),3,1)="隔",IF(BR$58=0,LEFT(IFERROR(INDEX(醫師週班表!$C$5:$T$44,$CU10,BR$57),""),1),""),IF(MID(IFERROR(INDEX(醫師週班表!$C$5:$T$44,$CU10,BR$57),""),2,1)="(",LEFT(IFERROR(INDEX(醫師週班表!$C$5:$T$44,$CU10,BR$57),""),1),IFERROR(INDEX(醫師週班表!$C$5:$T$44,$CU10,BR$57),"")))))))</f>
        <v/>
      </c>
      <c r="BS10" s="71">
        <f>IF(BS$59="X","",IF(BS$59&lt;&gt;"",BS$59,IF(IFERROR(INDEX(醫師週班表!$C$5:$T$44,$CU10,BS$57),"")=0,"",IF(MID(IFERROR(INDEX(醫師週班表!$C$5:$T$44,$CU10,BS$57),""),2,1)="/",MID(IFERROR(INDEX(醫師週班表!$C$5:$T$44,$CU10,BS$57),""),1+BS$58*2,1),IF(MID(IFERROR(INDEX(醫師週班表!$C$5:$T$44,$CU10,BS$57),""),3,1)="隔",IF(BS$58=0,LEFT(IFERROR(INDEX(醫師週班表!$C$5:$T$44,$CU10,BS$57),""),1),""),IF(MID(IFERROR(INDEX(醫師週班表!$C$5:$T$44,$CU10,BS$57),""),2,1)="(",LEFT(IFERROR(INDEX(醫師週班表!$C$5:$T$44,$CU10,BS$57),""),1),IFERROR(INDEX(醫師週班表!$C$5:$T$44,$CU10,BS$57),"")))))))</f>
        <v/>
      </c>
      <c r="BT10" s="72">
        <f>IF(BT$59="X","",IF(BT$59&lt;&gt;"",BT$59,IF(IFERROR(INDEX(醫師週班表!$C$5:$T$44,$CU10,BT$57),"")=0,"",IF(MID(IFERROR(INDEX(醫師週班表!$C$5:$T$44,$CU10,BT$57),""),2,1)="/",MID(IFERROR(INDEX(醫師週班表!$C$5:$T$44,$CU10,BT$57),""),1+BT$58*2,1),IF(MID(IFERROR(INDEX(醫師週班表!$C$5:$T$44,$CU10,BT$57),""),3,1)="隔",IF(BT$58=0,LEFT(IFERROR(INDEX(醫師週班表!$C$5:$T$44,$CU10,BT$57),""),1),""),IF(MID(IFERROR(INDEX(醫師週班表!$C$5:$T$44,$CU10,BT$57),""),2,1)="(",LEFT(IFERROR(INDEX(醫師週班表!$C$5:$T$44,$CU10,BT$57),""),1),IFERROR(INDEX(醫師週班表!$C$5:$T$44,$CU10,BT$57),"")))))))</f>
        <v/>
      </c>
      <c r="BU10" s="72">
        <f>IF(BU$59="X","",IF(BU$59&lt;&gt;"",BU$59,IF(IFERROR(INDEX(醫師週班表!$C$5:$T$44,$CU10,BU$57),"")=0,"",IF(MID(IFERROR(INDEX(醫師週班表!$C$5:$T$44,$CU10,BU$57),""),2,1)="/",MID(IFERROR(INDEX(醫師週班表!$C$5:$T$44,$CU10,BU$57),""),1+BU$58*2,1),IF(MID(IFERROR(INDEX(醫師週班表!$C$5:$T$44,$CU10,BU$57),""),3,1)="隔",IF(BU$58=0,LEFT(IFERROR(INDEX(醫師週班表!$C$5:$T$44,$CU10,BU$57),""),1),""),IF(MID(IFERROR(INDEX(醫師週班表!$C$5:$T$44,$CU10,BU$57),""),2,1)="(",LEFT(IFERROR(INDEX(醫師週班表!$C$5:$T$44,$CU10,BU$57),""),1),IFERROR(INDEX(醫師週班表!$C$5:$T$44,$CU10,BU$57),"")))))))</f>
        <v/>
      </c>
      <c r="BV10" s="71">
        <f>IF(BV$59="X","",IF(BV$59&lt;&gt;"",BV$59,IF(IFERROR(INDEX(醫師週班表!$C$5:$T$44,$CU10,BV$57),"")=0,"",IF(MID(IFERROR(INDEX(醫師週班表!$C$5:$T$44,$CU10,BV$57),""),2,1)="/",MID(IFERROR(INDEX(醫師週班表!$C$5:$T$44,$CU10,BV$57),""),1+BV$58*2,1),IF(MID(IFERROR(INDEX(醫師週班表!$C$5:$T$44,$CU10,BV$57),""),3,1)="隔",IF(BV$58=0,LEFT(IFERROR(INDEX(醫師週班表!$C$5:$T$44,$CU10,BV$57),""),1),""),IF(MID(IFERROR(INDEX(醫師週班表!$C$5:$T$44,$CU10,BV$57),""),2,1)="(",LEFT(IFERROR(INDEX(醫師週班表!$C$5:$T$44,$CU10,BV$57),""),1),IFERROR(INDEX(醫師週班表!$C$5:$T$44,$CU10,BV$57),"")))))))</f>
        <v/>
      </c>
      <c r="BW10" s="72">
        <f>IF(BW$59="X","",IF(BW$59&lt;&gt;"",BW$59,IF(IFERROR(INDEX(醫師週班表!$C$5:$T$44,$CU10,BW$57),"")=0,"",IF(MID(IFERROR(INDEX(醫師週班表!$C$5:$T$44,$CU10,BW$57),""),2,1)="/",MID(IFERROR(INDEX(醫師週班表!$C$5:$T$44,$CU10,BW$57),""),1+BW$58*2,1),IF(MID(IFERROR(INDEX(醫師週班表!$C$5:$T$44,$CU10,BW$57),""),3,1)="隔",IF(BW$58=0,LEFT(IFERROR(INDEX(醫師週班表!$C$5:$T$44,$CU10,BW$57),""),1),""),IF(MID(IFERROR(INDEX(醫師週班表!$C$5:$T$44,$CU10,BW$57),""),2,1)="(",LEFT(IFERROR(INDEX(醫師週班表!$C$5:$T$44,$CU10,BW$57),""),1),IFERROR(INDEX(醫師週班表!$C$5:$T$44,$CU10,BW$57),"")))))))</f>
        <v/>
      </c>
      <c r="BX10" s="72">
        <f>IF(BX$59="X","",IF(BX$59&lt;&gt;"",BX$59,IF(IFERROR(INDEX(醫師週班表!$C$5:$T$44,$CU10,BX$57),"")=0,"",IF(MID(IFERROR(INDEX(醫師週班表!$C$5:$T$44,$CU10,BX$57),""),2,1)="/",MID(IFERROR(INDEX(醫師週班表!$C$5:$T$44,$CU10,BX$57),""),1+BX$58*2,1),IF(MID(IFERROR(INDEX(醫師週班表!$C$5:$T$44,$CU10,BX$57),""),3,1)="隔",IF(BX$58=0,LEFT(IFERROR(INDEX(醫師週班表!$C$5:$T$44,$CU10,BX$57),""),1),""),IF(MID(IFERROR(INDEX(醫師週班表!$C$5:$T$44,$CU10,BX$57),""),2,1)="(",LEFT(IFERROR(INDEX(醫師週班表!$C$5:$T$44,$CU10,BX$57),""),1),IFERROR(INDEX(醫師週班表!$C$5:$T$44,$CU10,BX$57),"")))))))</f>
        <v/>
      </c>
      <c r="BY10" s="71">
        <f>IF(BY$59="X","",IF(BY$59&lt;&gt;"",BY$59,IF(IFERROR(INDEX(醫師週班表!$C$5:$T$44,$CU10,BY$57),"")=0,"",IF(MID(IFERROR(INDEX(醫師週班表!$C$5:$T$44,$CU10,BY$57),""),2,1)="/",MID(IFERROR(INDEX(醫師週班表!$C$5:$T$44,$CU10,BY$57),""),1+BY$58*2,1),IF(MID(IFERROR(INDEX(醫師週班表!$C$5:$T$44,$CU10,BY$57),""),3,1)="隔",IF(BY$58=0,LEFT(IFERROR(INDEX(醫師週班表!$C$5:$T$44,$CU10,BY$57),""),1),""),IF(MID(IFERROR(INDEX(醫師週班表!$C$5:$T$44,$CU10,BY$57),""),2,1)="(",LEFT(IFERROR(INDEX(醫師週班表!$C$5:$T$44,$CU10,BY$57),""),1),IFERROR(INDEX(醫師週班表!$C$5:$T$44,$CU10,BY$57),"")))))))</f>
        <v/>
      </c>
      <c r="BZ10" s="72">
        <f>IF(BZ$59="X","",IF(BZ$59&lt;&gt;"",BZ$59,IF(IFERROR(INDEX(醫師週班表!$C$5:$T$44,$CU10,BZ$57),"")=0,"",IF(MID(IFERROR(INDEX(醫師週班表!$C$5:$T$44,$CU10,BZ$57),""),2,1)="/",MID(IFERROR(INDEX(醫師週班表!$C$5:$T$44,$CU10,BZ$57),""),1+BZ$58*2,1),IF(MID(IFERROR(INDEX(醫師週班表!$C$5:$T$44,$CU10,BZ$57),""),3,1)="隔",IF(BZ$58=0,LEFT(IFERROR(INDEX(醫師週班表!$C$5:$T$44,$CU10,BZ$57),""),1),""),IF(MID(IFERROR(INDEX(醫師週班表!$C$5:$T$44,$CU10,BZ$57),""),2,1)="(",LEFT(IFERROR(INDEX(醫師週班表!$C$5:$T$44,$CU10,BZ$57),""),1),IFERROR(INDEX(醫師週班表!$C$5:$T$44,$CU10,BZ$57),"")))))))</f>
        <v/>
      </c>
      <c r="CA10" s="72">
        <f>IF(CA$59="X","",IF(CA$59&lt;&gt;"",CA$59,IF(IFERROR(INDEX(醫師週班表!$C$5:$T$44,$CU10,CA$57),"")=0,"",IF(MID(IFERROR(INDEX(醫師週班表!$C$5:$T$44,$CU10,CA$57),""),2,1)="/",MID(IFERROR(INDEX(醫師週班表!$C$5:$T$44,$CU10,CA$57),""),1+CA$58*2,1),IF(MID(IFERROR(INDEX(醫師週班表!$C$5:$T$44,$CU10,CA$57),""),3,1)="隔",IF(CA$58=0,LEFT(IFERROR(INDEX(醫師週班表!$C$5:$T$44,$CU10,CA$57),""),1),""),IF(MID(IFERROR(INDEX(醫師週班表!$C$5:$T$44,$CU10,CA$57),""),2,1)="(",LEFT(IFERROR(INDEX(醫師週班表!$C$5:$T$44,$CU10,CA$57),""),1),IFERROR(INDEX(醫師週班表!$C$5:$T$44,$CU10,CA$57),"")))))))</f>
        <v/>
      </c>
      <c r="CB10" s="71">
        <f>IF(CB$59="X","",IF(CB$59&lt;&gt;"",CB$59,IF(IFERROR(INDEX(醫師週班表!$C$5:$T$44,$CU10,CB$57),"")=0,"",IF(MID(IFERROR(INDEX(醫師週班表!$C$5:$T$44,$CU10,CB$57),""),2,1)="/",MID(IFERROR(INDEX(醫師週班表!$C$5:$T$44,$CU10,CB$57),""),1+CB$58*2,1),IF(MID(IFERROR(INDEX(醫師週班表!$C$5:$T$44,$CU10,CB$57),""),3,1)="隔",IF(CB$58=0,LEFT(IFERROR(INDEX(醫師週班表!$C$5:$T$44,$CU10,CB$57),""),1),""),IF(MID(IFERROR(INDEX(醫師週班表!$C$5:$T$44,$CU10,CB$57),""),2,1)="(",LEFT(IFERROR(INDEX(醫師週班表!$C$5:$T$44,$CU10,CB$57),""),1),IFERROR(INDEX(醫師週班表!$C$5:$T$44,$CU10,CB$57),"")))))))</f>
        <v/>
      </c>
      <c r="CC10" s="72">
        <f>IF(CC$59="X","",IF(CC$59&lt;&gt;"",CC$59,IF(IFERROR(INDEX(醫師週班表!$C$5:$T$44,$CU10,CC$57),"")=0,"",IF(MID(IFERROR(INDEX(醫師週班表!$C$5:$T$44,$CU10,CC$57),""),2,1)="/",MID(IFERROR(INDEX(醫師週班表!$C$5:$T$44,$CU10,CC$57),""),1+CC$58*2,1),IF(MID(IFERROR(INDEX(醫師週班表!$C$5:$T$44,$CU10,CC$57),""),3,1)="隔",IF(CC$58=0,LEFT(IFERROR(INDEX(醫師週班表!$C$5:$T$44,$CU10,CC$57),""),1),""),IF(MID(IFERROR(INDEX(醫師週班表!$C$5:$T$44,$CU10,CC$57),""),2,1)="(",LEFT(IFERROR(INDEX(醫師週班表!$C$5:$T$44,$CU10,CC$57),""),1),IFERROR(INDEX(醫師週班表!$C$5:$T$44,$CU10,CC$57),"")))))))</f>
        <v/>
      </c>
      <c r="CD10" s="72">
        <f>IF(CD$59="X","",IF(CD$59&lt;&gt;"",CD$59,IF(IFERROR(INDEX(醫師週班表!$C$5:$T$44,$CU10,CD$57),"")=0,"",IF(MID(IFERROR(INDEX(醫師週班表!$C$5:$T$44,$CU10,CD$57),""),2,1)="/",MID(IFERROR(INDEX(醫師週班表!$C$5:$T$44,$CU10,CD$57),""),1+CD$58*2,1),IF(MID(IFERROR(INDEX(醫師週班表!$C$5:$T$44,$CU10,CD$57),""),3,1)="隔",IF(CD$58=0,LEFT(IFERROR(INDEX(醫師週班表!$C$5:$T$44,$CU10,CD$57),""),1),""),IF(MID(IFERROR(INDEX(醫師週班表!$C$5:$T$44,$CU10,CD$57),""),2,1)="(",LEFT(IFERROR(INDEX(醫師週班表!$C$5:$T$44,$CU10,CD$57),""),1),IFERROR(INDEX(醫師週班表!$C$5:$T$44,$CU10,CD$57),"")))))))</f>
        <v/>
      </c>
      <c r="CE10" s="71">
        <f>IF(CE$59="X","",IF(CE$59&lt;&gt;"",CE$59,IF(IFERROR(INDEX(醫師週班表!$C$5:$T$44,$CU10,CE$57),"")=0,"",IF(MID(IFERROR(INDEX(醫師週班表!$C$5:$T$44,$CU10,CE$57),""),2,1)="/",MID(IFERROR(INDEX(醫師週班表!$C$5:$T$44,$CU10,CE$57),""),1+CE$58*2,1),IF(MID(IFERROR(INDEX(醫師週班表!$C$5:$T$44,$CU10,CE$57),""),3,1)="隔",IF(CE$58=0,LEFT(IFERROR(INDEX(醫師週班表!$C$5:$T$44,$CU10,CE$57),""),1),""),IF(MID(IFERROR(INDEX(醫師週班表!$C$5:$T$44,$CU10,CE$57),""),2,1)="(",LEFT(IFERROR(INDEX(醫師週班表!$C$5:$T$44,$CU10,CE$57),""),1),IFERROR(INDEX(醫師週班表!$C$5:$T$44,$CU10,CE$57),"")))))))</f>
        <v/>
      </c>
      <c r="CF10" s="72">
        <f>IF(CF$59="X","",IF(CF$59&lt;&gt;"",CF$59,IF(IFERROR(INDEX(醫師週班表!$C$5:$T$44,$CU10,CF$57),"")=0,"",IF(MID(IFERROR(INDEX(醫師週班表!$C$5:$T$44,$CU10,CF$57),""),2,1)="/",MID(IFERROR(INDEX(醫師週班表!$C$5:$T$44,$CU10,CF$57),""),1+CF$58*2,1),IF(MID(IFERROR(INDEX(醫師週班表!$C$5:$T$44,$CU10,CF$57),""),3,1)="隔",IF(CF$58=0,LEFT(IFERROR(INDEX(醫師週班表!$C$5:$T$44,$CU10,CF$57),""),1),""),IF(MID(IFERROR(INDEX(醫師週班表!$C$5:$T$44,$CU10,CF$57),""),2,1)="(",LEFT(IFERROR(INDEX(醫師週班表!$C$5:$T$44,$CU10,CF$57),""),1),IFERROR(INDEX(醫師週班表!$C$5:$T$44,$CU10,CF$57),"")))))))</f>
        <v/>
      </c>
      <c r="CG10" s="72">
        <f>IF(CG$59="X","",IF(CG$59&lt;&gt;"",CG$59,IF(IFERROR(INDEX(醫師週班表!$C$5:$T$44,$CU10,CG$57),"")=0,"",IF(MID(IFERROR(INDEX(醫師週班表!$C$5:$T$44,$CU10,CG$57),""),2,1)="/",MID(IFERROR(INDEX(醫師週班表!$C$5:$T$44,$CU10,CG$57),""),1+CG$58*2,1),IF(MID(IFERROR(INDEX(醫師週班表!$C$5:$T$44,$CU10,CG$57),""),3,1)="隔",IF(CG$58=0,LEFT(IFERROR(INDEX(醫師週班表!$C$5:$T$44,$CU10,CG$57),""),1),""),IF(MID(IFERROR(INDEX(醫師週班表!$C$5:$T$44,$CU10,CG$57),""),2,1)="(",LEFT(IFERROR(INDEX(醫師週班表!$C$5:$T$44,$CU10,CG$57),""),1),IFERROR(INDEX(醫師週班表!$C$5:$T$44,$CU10,CG$57),"")))))))</f>
        <v/>
      </c>
      <c r="CH10" s="71">
        <f>IF(CH$59="X","",IF(CH$59&lt;&gt;"",CH$59,IF(IFERROR(INDEX(醫師週班表!$C$5:$T$44,$CU10,CH$57),"")=0,"",IF(MID(IFERROR(INDEX(醫師週班表!$C$5:$T$44,$CU10,CH$57),""),2,1)="/",MID(IFERROR(INDEX(醫師週班表!$C$5:$T$44,$CU10,CH$57),""),1+CH$58*2,1),IF(MID(IFERROR(INDEX(醫師週班表!$C$5:$T$44,$CU10,CH$57),""),3,1)="隔",IF(CH$58=0,LEFT(IFERROR(INDEX(醫師週班表!$C$5:$T$44,$CU10,CH$57),""),1),""),IF(MID(IFERROR(INDEX(醫師週班表!$C$5:$T$44,$CU10,CH$57),""),2,1)="(",LEFT(IFERROR(INDEX(醫師週班表!$C$5:$T$44,$CU10,CH$57),""),1),IFERROR(INDEX(醫師週班表!$C$5:$T$44,$CU10,CH$57),"")))))))</f>
        <v/>
      </c>
      <c r="CI10" s="72">
        <f>IF(CI$59="X","",IF(CI$59&lt;&gt;"",CI$59,IF(IFERROR(INDEX(醫師週班表!$C$5:$T$44,$CU10,CI$57),"")=0,"",IF(MID(IFERROR(INDEX(醫師週班表!$C$5:$T$44,$CU10,CI$57),""),2,1)="/",MID(IFERROR(INDEX(醫師週班表!$C$5:$T$44,$CU10,CI$57),""),1+CI$58*2,1),IF(MID(IFERROR(INDEX(醫師週班表!$C$5:$T$44,$CU10,CI$57),""),3,1)="隔",IF(CI$58=0,LEFT(IFERROR(INDEX(醫師週班表!$C$5:$T$44,$CU10,CI$57),""),1),""),IF(MID(IFERROR(INDEX(醫師週班表!$C$5:$T$44,$CU10,CI$57),""),2,1)="(",LEFT(IFERROR(INDEX(醫師週班表!$C$5:$T$44,$CU10,CI$57),""),1),IFERROR(INDEX(醫師週班表!$C$5:$T$44,$CU10,CI$57),"")))))))</f>
        <v/>
      </c>
      <c r="CJ10" s="72">
        <f>IF(CJ$59="X","",IF(CJ$59&lt;&gt;"",CJ$59,IF(IFERROR(INDEX(醫師週班表!$C$5:$T$44,$CU10,CJ$57),"")=0,"",IF(MID(IFERROR(INDEX(醫師週班表!$C$5:$T$44,$CU10,CJ$57),""),2,1)="/",MID(IFERROR(INDEX(醫師週班表!$C$5:$T$44,$CU10,CJ$57),""),1+CJ$58*2,1),IF(MID(IFERROR(INDEX(醫師週班表!$C$5:$T$44,$CU10,CJ$57),""),3,1)="隔",IF(CJ$58=0,LEFT(IFERROR(INDEX(醫師週班表!$C$5:$T$44,$CU10,CJ$57),""),1),""),IF(MID(IFERROR(INDEX(醫師週班表!$C$5:$T$44,$CU10,CJ$57),""),2,1)="(",LEFT(IFERROR(INDEX(醫師週班表!$C$5:$T$44,$CU10,CJ$57),""),1),IFERROR(INDEX(醫師週班表!$C$5:$T$44,$CU10,CJ$57),"")))))))</f>
        <v/>
      </c>
      <c r="CK10" s="71">
        <f>IF(CK$59="X","",IF(CK$59&lt;&gt;"",CK$59,IF(IFERROR(INDEX(醫師週班表!$C$5:$T$44,$CU10,CK$57),"")=0,"",IF(MID(IFERROR(INDEX(醫師週班表!$C$5:$T$44,$CU10,CK$57),""),2,1)="/",MID(IFERROR(INDEX(醫師週班表!$C$5:$T$44,$CU10,CK$57),""),1+CK$58*2,1),IF(MID(IFERROR(INDEX(醫師週班表!$C$5:$T$44,$CU10,CK$57),""),3,1)="隔",IF(CK$58=0,LEFT(IFERROR(INDEX(醫師週班表!$C$5:$T$44,$CU10,CK$57),""),1),""),IF(MID(IFERROR(INDEX(醫師週班表!$C$5:$T$44,$CU10,CK$57),""),2,1)="(",LEFT(IFERROR(INDEX(醫師週班表!$C$5:$T$44,$CU10,CK$57),""),1),IFERROR(INDEX(醫師週班表!$C$5:$T$44,$CU10,CK$57),"")))))))</f>
        <v/>
      </c>
      <c r="CL10" s="72">
        <f>IF(CL$59="X","",IF(CL$59&lt;&gt;"",CL$59,IF(IFERROR(INDEX(醫師週班表!$C$5:$T$44,$CU10,CL$57),"")=0,"",IF(MID(IFERROR(INDEX(醫師週班表!$C$5:$T$44,$CU10,CL$57),""),2,1)="/",MID(IFERROR(INDEX(醫師週班表!$C$5:$T$44,$CU10,CL$57),""),1+CL$58*2,1),IF(MID(IFERROR(INDEX(醫師週班表!$C$5:$T$44,$CU10,CL$57),""),3,1)="隔",IF(CL$58=0,LEFT(IFERROR(INDEX(醫師週班表!$C$5:$T$44,$CU10,CL$57),""),1),""),IF(MID(IFERROR(INDEX(醫師週班表!$C$5:$T$44,$CU10,CL$57),""),2,1)="(",LEFT(IFERROR(INDEX(醫師週班表!$C$5:$T$44,$CU10,CL$57),""),1),IFERROR(INDEX(醫師週班表!$C$5:$T$44,$CU10,CL$57),"")))))))</f>
        <v/>
      </c>
      <c r="CM10" s="72">
        <f>IF(CM$59="X","",IF(CM$59&lt;&gt;"",CM$59,IF(IFERROR(INDEX(醫師週班表!$C$5:$T$44,$CU10,CM$57),"")=0,"",IF(MID(IFERROR(INDEX(醫師週班表!$C$5:$T$44,$CU10,CM$57),""),2,1)="/",MID(IFERROR(INDEX(醫師週班表!$C$5:$T$44,$CU10,CM$57),""),1+CM$58*2,1),IF(MID(IFERROR(INDEX(醫師週班表!$C$5:$T$44,$CU10,CM$57),""),3,1)="隔",IF(CM$58=0,LEFT(IFERROR(INDEX(醫師週班表!$C$5:$T$44,$CU10,CM$57),""),1),""),IF(MID(IFERROR(INDEX(醫師週班表!$C$5:$T$44,$CU10,CM$57),""),2,1)="(",LEFT(IFERROR(INDEX(醫師週班表!$C$5:$T$44,$CU10,CM$57),""),1),IFERROR(INDEX(醫師週班表!$C$5:$T$44,$CU10,CM$57),"")))))))</f>
        <v/>
      </c>
      <c r="CN10" s="71">
        <f>IF(CN$59="X","",IF(CN$59&lt;&gt;"",CN$59,IF(IFERROR(INDEX(醫師週班表!$C$5:$T$44,$CU10,CN$57),"")=0,"",IF(MID(IFERROR(INDEX(醫師週班表!$C$5:$T$44,$CU10,CN$57),""),2,1)="/",MID(IFERROR(INDEX(醫師週班表!$C$5:$T$44,$CU10,CN$57),""),1+CN$58*2,1),IF(MID(IFERROR(INDEX(醫師週班表!$C$5:$T$44,$CU10,CN$57),""),3,1)="隔",IF(CN$58=0,LEFT(IFERROR(INDEX(醫師週班表!$C$5:$T$44,$CU10,CN$57),""),1),""),IF(MID(IFERROR(INDEX(醫師週班表!$C$5:$T$44,$CU10,CN$57),""),2,1)="(",LEFT(IFERROR(INDEX(醫師週班表!$C$5:$T$44,$CU10,CN$57),""),1),IFERROR(INDEX(醫師週班表!$C$5:$T$44,$CU10,CN$57),"")))))))</f>
        <v/>
      </c>
      <c r="CO10" s="72">
        <f>IF(CO$59="X","",IF(CO$59&lt;&gt;"",CO$59,IF(IFERROR(INDEX(醫師週班表!$C$5:$T$44,$CU10,CO$57),"")=0,"",IF(MID(IFERROR(INDEX(醫師週班表!$C$5:$T$44,$CU10,CO$57),""),2,1)="/",MID(IFERROR(INDEX(醫師週班表!$C$5:$T$44,$CU10,CO$57),""),1+CO$58*2,1),IF(MID(IFERROR(INDEX(醫師週班表!$C$5:$T$44,$CU10,CO$57),""),3,1)="隔",IF(CO$58=0,LEFT(IFERROR(INDEX(醫師週班表!$C$5:$T$44,$CU10,CO$57),""),1),""),IF(MID(IFERROR(INDEX(醫師週班表!$C$5:$T$44,$CU10,CO$57),""),2,1)="(",LEFT(IFERROR(INDEX(醫師週班表!$C$5:$T$44,$CU10,CO$57),""),1),IFERROR(INDEX(醫師週班表!$C$5:$T$44,$CU10,CO$57),"")))))))</f>
        <v/>
      </c>
      <c r="CP10" s="72">
        <f>IF(CP$59="X","",IF(CP$59&lt;&gt;"",CP$59,IF(IFERROR(INDEX(醫師週班表!$C$5:$T$44,$CU10,CP$57),"")=0,"",IF(MID(IFERROR(INDEX(醫師週班表!$C$5:$T$44,$CU10,CP$57),""),2,1)="/",MID(IFERROR(INDEX(醫師週班表!$C$5:$T$44,$CU10,CP$57),""),1+CP$58*2,1),IF(MID(IFERROR(INDEX(醫師週班表!$C$5:$T$44,$CU10,CP$57),""),3,1)="隔",IF(CP$58=0,LEFT(IFERROR(INDEX(醫師週班表!$C$5:$T$44,$CU10,CP$57),""),1),""),IF(MID(IFERROR(INDEX(醫師週班表!$C$5:$T$44,$CU10,CP$57),""),2,1)="(",LEFT(IFERROR(INDEX(醫師週班表!$C$5:$T$44,$CU10,CP$57),""),1),IFERROR(INDEX(醫師週班表!$C$5:$T$44,$CU10,CP$57),"")))))))</f>
        <v/>
      </c>
      <c r="CQ10" s="71">
        <f>IF(CQ$59="X","",IF(CQ$59&lt;&gt;"",CQ$59,IF(IFERROR(INDEX(醫師週班表!$C$5:$T$44,$CU10,CQ$57),"")=0,"",IF(MID(IFERROR(INDEX(醫師週班表!$C$5:$T$44,$CU10,CQ$57),""),2,1)="/",MID(IFERROR(INDEX(醫師週班表!$C$5:$T$44,$CU10,CQ$57),""),1+CQ$58*2,1),IF(MID(IFERROR(INDEX(醫師週班表!$C$5:$T$44,$CU10,CQ$57),""),3,1)="隔",IF(CQ$58=0,LEFT(IFERROR(INDEX(醫師週班表!$C$5:$T$44,$CU10,CQ$57),""),1),""),IF(MID(IFERROR(INDEX(醫師週班表!$C$5:$T$44,$CU10,CQ$57),""),2,1)="(",LEFT(IFERROR(INDEX(醫師週班表!$C$5:$T$44,$CU10,CQ$57),""),1),IFERROR(INDEX(醫師週班表!$C$5:$T$44,$CU10,CQ$57),"")))))))</f>
        <v/>
      </c>
      <c r="CR10" s="72">
        <f>IF(CR$59="X","",IF(CR$59&lt;&gt;"",CR$59,IF(IFERROR(INDEX(醫師週班表!$C$5:$T$44,$CU10,CR$57),"")=0,"",IF(MID(IFERROR(INDEX(醫師週班表!$C$5:$T$44,$CU10,CR$57),""),2,1)="/",MID(IFERROR(INDEX(醫師週班表!$C$5:$T$44,$CU10,CR$57),""),1+CR$58*2,1),IF(MID(IFERROR(INDEX(醫師週班表!$C$5:$T$44,$CU10,CR$57),""),3,1)="隔",IF(CR$58=0,LEFT(IFERROR(INDEX(醫師週班表!$C$5:$T$44,$CU10,CR$57),""),1),""),IF(MID(IFERROR(INDEX(醫師週班表!$C$5:$T$44,$CU10,CR$57),""),2,1)="(",LEFT(IFERROR(INDEX(醫師週班表!$C$5:$T$44,$CU10,CR$57),""),1),IFERROR(INDEX(醫師週班表!$C$5:$T$44,$CU10,CR$57),"")))))))</f>
        <v/>
      </c>
      <c r="CS10" s="72">
        <f>IF(CS$59="X","",IF(CS$59&lt;&gt;"",CS$59,IF(IFERROR(INDEX(醫師週班表!$C$5:$T$44,$CU10,CS$57),"")=0,"",IF(MID(IFERROR(INDEX(醫師週班表!$C$5:$T$44,$CU10,CS$57),""),2,1)="/",MID(IFERROR(INDEX(醫師週班表!$C$5:$T$44,$CU10,CS$57),""),1+CS$58*2,1),IF(MID(IFERROR(INDEX(醫師週班表!$C$5:$T$44,$CU10,CS$57),""),3,1)="隔",IF(CS$58=0,LEFT(IFERROR(INDEX(醫師週班表!$C$5:$T$44,$CU10,CS$57),""),1),""),IF(MID(IFERROR(INDEX(醫師週班表!$C$5:$T$44,$CU10,CS$57),""),2,1)="(",LEFT(IFERROR(INDEX(醫師週班表!$C$5:$T$44,$CU10,CS$57),""),1),IFERROR(INDEX(醫師週班表!$C$5:$T$44,$CU10,CS$57),"")))))))</f>
        <v/>
      </c>
      <c r="CU10" s="73">
        <f>IFERROR(MATCH($A10,醫師週班表!$A$5:$A$44,0),0)</f>
        <v/>
      </c>
    </row>
    <row r="11" ht="17" customHeight="1">
      <c r="A11" s="19" t="inlineStr">
        <is>
          <t>D006</t>
        </is>
      </c>
      <c r="B11" s="16" t="inlineStr">
        <is>
          <t>黃榆鈞</t>
        </is>
      </c>
      <c r="C11" s="70" t="inlineStr">
        <is>
          <t>矯正專科</t>
        </is>
      </c>
      <c r="D11" s="16" t="inlineStr"/>
      <c r="E11" s="71">
        <f>IF(E$59="X","",IF(E$59&lt;&gt;"",E$59,IF(IFERROR(INDEX(醫師週班表!$C$5:$T$44,$CU11,E$57),"")=0,"",IF(MID(IFERROR(INDEX(醫師週班表!$C$5:$T$44,$CU11,E$57),""),2,1)="/",MID(IFERROR(INDEX(醫師週班表!$C$5:$T$44,$CU11,E$57),""),1+E$58*2,1),IF(MID(IFERROR(INDEX(醫師週班表!$C$5:$T$44,$CU11,E$57),""),3,1)="隔",IF(E$58=0,LEFT(IFERROR(INDEX(醫師週班表!$C$5:$T$44,$CU11,E$57),""),1),""),IF(MID(IFERROR(INDEX(醫師週班表!$C$5:$T$44,$CU11,E$57),""),2,1)="(",LEFT(IFERROR(INDEX(醫師週班表!$C$5:$T$44,$CU11,E$57),""),1),IFERROR(INDEX(醫師週班表!$C$5:$T$44,$CU11,E$57),"")))))))</f>
        <v/>
      </c>
      <c r="F11" s="72">
        <f>IF(F$59="X","",IF(F$59&lt;&gt;"",F$59,IF(IFERROR(INDEX(醫師週班表!$C$5:$T$44,$CU11,F$57),"")=0,"",IF(MID(IFERROR(INDEX(醫師週班表!$C$5:$T$44,$CU11,F$57),""),2,1)="/",MID(IFERROR(INDEX(醫師週班表!$C$5:$T$44,$CU11,F$57),""),1+F$58*2,1),IF(MID(IFERROR(INDEX(醫師週班表!$C$5:$T$44,$CU11,F$57),""),3,1)="隔",IF(F$58=0,LEFT(IFERROR(INDEX(醫師週班表!$C$5:$T$44,$CU11,F$57),""),1),""),IF(MID(IFERROR(INDEX(醫師週班表!$C$5:$T$44,$CU11,F$57),""),2,1)="(",LEFT(IFERROR(INDEX(醫師週班表!$C$5:$T$44,$CU11,F$57),""),1),IFERROR(INDEX(醫師週班表!$C$5:$T$44,$CU11,F$57),"")))))))</f>
        <v/>
      </c>
      <c r="G11" s="72">
        <f>IF(G$59="X","",IF(G$59&lt;&gt;"",G$59,IF(IFERROR(INDEX(醫師週班表!$C$5:$T$44,$CU11,G$57),"")=0,"",IF(MID(IFERROR(INDEX(醫師週班表!$C$5:$T$44,$CU11,G$57),""),2,1)="/",MID(IFERROR(INDEX(醫師週班表!$C$5:$T$44,$CU11,G$57),""),1+G$58*2,1),IF(MID(IFERROR(INDEX(醫師週班表!$C$5:$T$44,$CU11,G$57),""),3,1)="隔",IF(G$58=0,LEFT(IFERROR(INDEX(醫師週班表!$C$5:$T$44,$CU11,G$57),""),1),""),IF(MID(IFERROR(INDEX(醫師週班表!$C$5:$T$44,$CU11,G$57),""),2,1)="(",LEFT(IFERROR(INDEX(醫師週班表!$C$5:$T$44,$CU11,G$57),""),1),IFERROR(INDEX(醫師週班表!$C$5:$T$44,$CU11,G$57),"")))))))</f>
        <v/>
      </c>
      <c r="H11" s="71">
        <f>IF(H$59="X","",IF(H$59&lt;&gt;"",H$59,IF(IFERROR(INDEX(醫師週班表!$C$5:$T$44,$CU11,H$57),"")=0,"",IF(MID(IFERROR(INDEX(醫師週班表!$C$5:$T$44,$CU11,H$57),""),2,1)="/",MID(IFERROR(INDEX(醫師週班表!$C$5:$T$44,$CU11,H$57),""),1+H$58*2,1),IF(MID(IFERROR(INDEX(醫師週班表!$C$5:$T$44,$CU11,H$57),""),3,1)="隔",IF(H$58=0,LEFT(IFERROR(INDEX(醫師週班表!$C$5:$T$44,$CU11,H$57),""),1),""),IF(MID(IFERROR(INDEX(醫師週班表!$C$5:$T$44,$CU11,H$57),""),2,1)="(",LEFT(IFERROR(INDEX(醫師週班表!$C$5:$T$44,$CU11,H$57),""),1),IFERROR(INDEX(醫師週班表!$C$5:$T$44,$CU11,H$57),"")))))))</f>
        <v/>
      </c>
      <c r="I11" s="72">
        <f>IF(I$59="X","",IF(I$59&lt;&gt;"",I$59,IF(IFERROR(INDEX(醫師週班表!$C$5:$T$44,$CU11,I$57),"")=0,"",IF(MID(IFERROR(INDEX(醫師週班表!$C$5:$T$44,$CU11,I$57),""),2,1)="/",MID(IFERROR(INDEX(醫師週班表!$C$5:$T$44,$CU11,I$57),""),1+I$58*2,1),IF(MID(IFERROR(INDEX(醫師週班表!$C$5:$T$44,$CU11,I$57),""),3,1)="隔",IF(I$58=0,LEFT(IFERROR(INDEX(醫師週班表!$C$5:$T$44,$CU11,I$57),""),1),""),IF(MID(IFERROR(INDEX(醫師週班表!$C$5:$T$44,$CU11,I$57),""),2,1)="(",LEFT(IFERROR(INDEX(醫師週班表!$C$5:$T$44,$CU11,I$57),""),1),IFERROR(INDEX(醫師週班表!$C$5:$T$44,$CU11,I$57),"")))))))</f>
        <v/>
      </c>
      <c r="J11" s="72">
        <f>IF(J$59="X","",IF(J$59&lt;&gt;"",J$59,IF(IFERROR(INDEX(醫師週班表!$C$5:$T$44,$CU11,J$57),"")=0,"",IF(MID(IFERROR(INDEX(醫師週班表!$C$5:$T$44,$CU11,J$57),""),2,1)="/",MID(IFERROR(INDEX(醫師週班表!$C$5:$T$44,$CU11,J$57),""),1+J$58*2,1),IF(MID(IFERROR(INDEX(醫師週班表!$C$5:$T$44,$CU11,J$57),""),3,1)="隔",IF(J$58=0,LEFT(IFERROR(INDEX(醫師週班表!$C$5:$T$44,$CU11,J$57),""),1),""),IF(MID(IFERROR(INDEX(醫師週班表!$C$5:$T$44,$CU11,J$57),""),2,1)="(",LEFT(IFERROR(INDEX(醫師週班表!$C$5:$T$44,$CU11,J$57),""),1),IFERROR(INDEX(醫師週班表!$C$5:$T$44,$CU11,J$57),"")))))))</f>
        <v/>
      </c>
      <c r="K11" s="71">
        <f>IF(K$59="X","",IF(K$59&lt;&gt;"",K$59,IF(IFERROR(INDEX(醫師週班表!$C$5:$T$44,$CU11,K$57),"")=0,"",IF(MID(IFERROR(INDEX(醫師週班表!$C$5:$T$44,$CU11,K$57),""),2,1)="/",MID(IFERROR(INDEX(醫師週班表!$C$5:$T$44,$CU11,K$57),""),1+K$58*2,1),IF(MID(IFERROR(INDEX(醫師週班表!$C$5:$T$44,$CU11,K$57),""),3,1)="隔",IF(K$58=0,LEFT(IFERROR(INDEX(醫師週班表!$C$5:$T$44,$CU11,K$57),""),1),""),IF(MID(IFERROR(INDEX(醫師週班表!$C$5:$T$44,$CU11,K$57),""),2,1)="(",LEFT(IFERROR(INDEX(醫師週班表!$C$5:$T$44,$CU11,K$57),""),1),IFERROR(INDEX(醫師週班表!$C$5:$T$44,$CU11,K$57),"")))))))</f>
        <v/>
      </c>
      <c r="L11" s="72">
        <f>IF(L$59="X","",IF(L$59&lt;&gt;"",L$59,IF(IFERROR(INDEX(醫師週班表!$C$5:$T$44,$CU11,L$57),"")=0,"",IF(MID(IFERROR(INDEX(醫師週班表!$C$5:$T$44,$CU11,L$57),""),2,1)="/",MID(IFERROR(INDEX(醫師週班表!$C$5:$T$44,$CU11,L$57),""),1+L$58*2,1),IF(MID(IFERROR(INDEX(醫師週班表!$C$5:$T$44,$CU11,L$57),""),3,1)="隔",IF(L$58=0,LEFT(IFERROR(INDEX(醫師週班表!$C$5:$T$44,$CU11,L$57),""),1),""),IF(MID(IFERROR(INDEX(醫師週班表!$C$5:$T$44,$CU11,L$57),""),2,1)="(",LEFT(IFERROR(INDEX(醫師週班表!$C$5:$T$44,$CU11,L$57),""),1),IFERROR(INDEX(醫師週班表!$C$5:$T$44,$CU11,L$57),"")))))))</f>
        <v/>
      </c>
      <c r="M11" s="72">
        <f>IF(M$59="X","",IF(M$59&lt;&gt;"",M$59,IF(IFERROR(INDEX(醫師週班表!$C$5:$T$44,$CU11,M$57),"")=0,"",IF(MID(IFERROR(INDEX(醫師週班表!$C$5:$T$44,$CU11,M$57),""),2,1)="/",MID(IFERROR(INDEX(醫師週班表!$C$5:$T$44,$CU11,M$57),""),1+M$58*2,1),IF(MID(IFERROR(INDEX(醫師週班表!$C$5:$T$44,$CU11,M$57),""),3,1)="隔",IF(M$58=0,LEFT(IFERROR(INDEX(醫師週班表!$C$5:$T$44,$CU11,M$57),""),1),""),IF(MID(IFERROR(INDEX(醫師週班表!$C$5:$T$44,$CU11,M$57),""),2,1)="(",LEFT(IFERROR(INDEX(醫師週班表!$C$5:$T$44,$CU11,M$57),""),1),IFERROR(INDEX(醫師週班表!$C$5:$T$44,$CU11,M$57),"")))))))</f>
        <v/>
      </c>
      <c r="N11" s="71">
        <f>IF(N$59="X","",IF(N$59&lt;&gt;"",N$59,IF(IFERROR(INDEX(醫師週班表!$C$5:$T$44,$CU11,N$57),"")=0,"",IF(MID(IFERROR(INDEX(醫師週班表!$C$5:$T$44,$CU11,N$57),""),2,1)="/",MID(IFERROR(INDEX(醫師週班表!$C$5:$T$44,$CU11,N$57),""),1+N$58*2,1),IF(MID(IFERROR(INDEX(醫師週班表!$C$5:$T$44,$CU11,N$57),""),3,1)="隔",IF(N$58=0,LEFT(IFERROR(INDEX(醫師週班表!$C$5:$T$44,$CU11,N$57),""),1),""),IF(MID(IFERROR(INDEX(醫師週班表!$C$5:$T$44,$CU11,N$57),""),2,1)="(",LEFT(IFERROR(INDEX(醫師週班表!$C$5:$T$44,$CU11,N$57),""),1),IFERROR(INDEX(醫師週班表!$C$5:$T$44,$CU11,N$57),"")))))))</f>
        <v/>
      </c>
      <c r="O11" s="72">
        <f>IF(O$59="X","",IF(O$59&lt;&gt;"",O$59,IF(IFERROR(INDEX(醫師週班表!$C$5:$T$44,$CU11,O$57),"")=0,"",IF(MID(IFERROR(INDEX(醫師週班表!$C$5:$T$44,$CU11,O$57),""),2,1)="/",MID(IFERROR(INDEX(醫師週班表!$C$5:$T$44,$CU11,O$57),""),1+O$58*2,1),IF(MID(IFERROR(INDEX(醫師週班表!$C$5:$T$44,$CU11,O$57),""),3,1)="隔",IF(O$58=0,LEFT(IFERROR(INDEX(醫師週班表!$C$5:$T$44,$CU11,O$57),""),1),""),IF(MID(IFERROR(INDEX(醫師週班表!$C$5:$T$44,$CU11,O$57),""),2,1)="(",LEFT(IFERROR(INDEX(醫師週班表!$C$5:$T$44,$CU11,O$57),""),1),IFERROR(INDEX(醫師週班表!$C$5:$T$44,$CU11,O$57),"")))))))</f>
        <v/>
      </c>
      <c r="P11" s="72">
        <f>IF(P$59="X","",IF(P$59&lt;&gt;"",P$59,IF(IFERROR(INDEX(醫師週班表!$C$5:$T$44,$CU11,P$57),"")=0,"",IF(MID(IFERROR(INDEX(醫師週班表!$C$5:$T$44,$CU11,P$57),""),2,1)="/",MID(IFERROR(INDEX(醫師週班表!$C$5:$T$44,$CU11,P$57),""),1+P$58*2,1),IF(MID(IFERROR(INDEX(醫師週班表!$C$5:$T$44,$CU11,P$57),""),3,1)="隔",IF(P$58=0,LEFT(IFERROR(INDEX(醫師週班表!$C$5:$T$44,$CU11,P$57),""),1),""),IF(MID(IFERROR(INDEX(醫師週班表!$C$5:$T$44,$CU11,P$57),""),2,1)="(",LEFT(IFERROR(INDEX(醫師週班表!$C$5:$T$44,$CU11,P$57),""),1),IFERROR(INDEX(醫師週班表!$C$5:$T$44,$CU11,P$57),"")))))))</f>
        <v/>
      </c>
      <c r="Q11" s="71">
        <f>IF(Q$59="X","",IF(Q$59&lt;&gt;"",Q$59,IF(IFERROR(INDEX(醫師週班表!$C$5:$T$44,$CU11,Q$57),"")=0,"",IF(MID(IFERROR(INDEX(醫師週班表!$C$5:$T$44,$CU11,Q$57),""),2,1)="/",MID(IFERROR(INDEX(醫師週班表!$C$5:$T$44,$CU11,Q$57),""),1+Q$58*2,1),IF(MID(IFERROR(INDEX(醫師週班表!$C$5:$T$44,$CU11,Q$57),""),3,1)="隔",IF(Q$58=0,LEFT(IFERROR(INDEX(醫師週班表!$C$5:$T$44,$CU11,Q$57),""),1),""),IF(MID(IFERROR(INDEX(醫師週班表!$C$5:$T$44,$CU11,Q$57),""),2,1)="(",LEFT(IFERROR(INDEX(醫師週班表!$C$5:$T$44,$CU11,Q$57),""),1),IFERROR(INDEX(醫師週班表!$C$5:$T$44,$CU11,Q$57),"")))))))</f>
        <v/>
      </c>
      <c r="R11" s="72">
        <f>IF(R$59="X","",IF(R$59&lt;&gt;"",R$59,IF(IFERROR(INDEX(醫師週班表!$C$5:$T$44,$CU11,R$57),"")=0,"",IF(MID(IFERROR(INDEX(醫師週班表!$C$5:$T$44,$CU11,R$57),""),2,1)="/",MID(IFERROR(INDEX(醫師週班表!$C$5:$T$44,$CU11,R$57),""),1+R$58*2,1),IF(MID(IFERROR(INDEX(醫師週班表!$C$5:$T$44,$CU11,R$57),""),3,1)="隔",IF(R$58=0,LEFT(IFERROR(INDEX(醫師週班表!$C$5:$T$44,$CU11,R$57),""),1),""),IF(MID(IFERROR(INDEX(醫師週班表!$C$5:$T$44,$CU11,R$57),""),2,1)="(",LEFT(IFERROR(INDEX(醫師週班表!$C$5:$T$44,$CU11,R$57),""),1),IFERROR(INDEX(醫師週班表!$C$5:$T$44,$CU11,R$57),"")))))))</f>
        <v/>
      </c>
      <c r="S11" s="72">
        <f>IF(S$59="X","",IF(S$59&lt;&gt;"",S$59,IF(IFERROR(INDEX(醫師週班表!$C$5:$T$44,$CU11,S$57),"")=0,"",IF(MID(IFERROR(INDEX(醫師週班表!$C$5:$T$44,$CU11,S$57),""),2,1)="/",MID(IFERROR(INDEX(醫師週班表!$C$5:$T$44,$CU11,S$57),""),1+S$58*2,1),IF(MID(IFERROR(INDEX(醫師週班表!$C$5:$T$44,$CU11,S$57),""),3,1)="隔",IF(S$58=0,LEFT(IFERROR(INDEX(醫師週班表!$C$5:$T$44,$CU11,S$57),""),1),""),IF(MID(IFERROR(INDEX(醫師週班表!$C$5:$T$44,$CU11,S$57),""),2,1)="(",LEFT(IFERROR(INDEX(醫師週班表!$C$5:$T$44,$CU11,S$57),""),1),IFERROR(INDEX(醫師週班表!$C$5:$T$44,$CU11,S$57),"")))))))</f>
        <v/>
      </c>
      <c r="T11" s="71">
        <f>IF(T$59="X","",IF(T$59&lt;&gt;"",T$59,IF(IFERROR(INDEX(醫師週班表!$C$5:$T$44,$CU11,T$57),"")=0,"",IF(MID(IFERROR(INDEX(醫師週班表!$C$5:$T$44,$CU11,T$57),""),2,1)="/",MID(IFERROR(INDEX(醫師週班表!$C$5:$T$44,$CU11,T$57),""),1+T$58*2,1),IF(MID(IFERROR(INDEX(醫師週班表!$C$5:$T$44,$CU11,T$57),""),3,1)="隔",IF(T$58=0,LEFT(IFERROR(INDEX(醫師週班表!$C$5:$T$44,$CU11,T$57),""),1),""),IF(MID(IFERROR(INDEX(醫師週班表!$C$5:$T$44,$CU11,T$57),""),2,1)="(",LEFT(IFERROR(INDEX(醫師週班表!$C$5:$T$44,$CU11,T$57),""),1),IFERROR(INDEX(醫師週班表!$C$5:$T$44,$CU11,T$57),"")))))))</f>
        <v/>
      </c>
      <c r="U11" s="72">
        <f>IF(U$59="X","",IF(U$59&lt;&gt;"",U$59,IF(IFERROR(INDEX(醫師週班表!$C$5:$T$44,$CU11,U$57),"")=0,"",IF(MID(IFERROR(INDEX(醫師週班表!$C$5:$T$44,$CU11,U$57),""),2,1)="/",MID(IFERROR(INDEX(醫師週班表!$C$5:$T$44,$CU11,U$57),""),1+U$58*2,1),IF(MID(IFERROR(INDEX(醫師週班表!$C$5:$T$44,$CU11,U$57),""),3,1)="隔",IF(U$58=0,LEFT(IFERROR(INDEX(醫師週班表!$C$5:$T$44,$CU11,U$57),""),1),""),IF(MID(IFERROR(INDEX(醫師週班表!$C$5:$T$44,$CU11,U$57),""),2,1)="(",LEFT(IFERROR(INDEX(醫師週班表!$C$5:$T$44,$CU11,U$57),""),1),IFERROR(INDEX(醫師週班表!$C$5:$T$44,$CU11,U$57),"")))))))</f>
        <v/>
      </c>
      <c r="V11" s="72">
        <f>IF(V$59="X","",IF(V$59&lt;&gt;"",V$59,IF(IFERROR(INDEX(醫師週班表!$C$5:$T$44,$CU11,V$57),"")=0,"",IF(MID(IFERROR(INDEX(醫師週班表!$C$5:$T$44,$CU11,V$57),""),2,1)="/",MID(IFERROR(INDEX(醫師週班表!$C$5:$T$44,$CU11,V$57),""),1+V$58*2,1),IF(MID(IFERROR(INDEX(醫師週班表!$C$5:$T$44,$CU11,V$57),""),3,1)="隔",IF(V$58=0,LEFT(IFERROR(INDEX(醫師週班表!$C$5:$T$44,$CU11,V$57),""),1),""),IF(MID(IFERROR(INDEX(醫師週班表!$C$5:$T$44,$CU11,V$57),""),2,1)="(",LEFT(IFERROR(INDEX(醫師週班表!$C$5:$T$44,$CU11,V$57),""),1),IFERROR(INDEX(醫師週班表!$C$5:$T$44,$CU11,V$57),"")))))))</f>
        <v/>
      </c>
      <c r="W11" s="71">
        <f>IF(W$59="X","",IF(W$59&lt;&gt;"",W$59,IF(IFERROR(INDEX(醫師週班表!$C$5:$T$44,$CU11,W$57),"")=0,"",IF(MID(IFERROR(INDEX(醫師週班表!$C$5:$T$44,$CU11,W$57),""),2,1)="/",MID(IFERROR(INDEX(醫師週班表!$C$5:$T$44,$CU11,W$57),""),1+W$58*2,1),IF(MID(IFERROR(INDEX(醫師週班表!$C$5:$T$44,$CU11,W$57),""),3,1)="隔",IF(W$58=0,LEFT(IFERROR(INDEX(醫師週班表!$C$5:$T$44,$CU11,W$57),""),1),""),IF(MID(IFERROR(INDEX(醫師週班表!$C$5:$T$44,$CU11,W$57),""),2,1)="(",LEFT(IFERROR(INDEX(醫師週班表!$C$5:$T$44,$CU11,W$57),""),1),IFERROR(INDEX(醫師週班表!$C$5:$T$44,$CU11,W$57),"")))))))</f>
        <v/>
      </c>
      <c r="X11" s="72">
        <f>IF(X$59="X","",IF(X$59&lt;&gt;"",X$59,IF(IFERROR(INDEX(醫師週班表!$C$5:$T$44,$CU11,X$57),"")=0,"",IF(MID(IFERROR(INDEX(醫師週班表!$C$5:$T$44,$CU11,X$57),""),2,1)="/",MID(IFERROR(INDEX(醫師週班表!$C$5:$T$44,$CU11,X$57),""),1+X$58*2,1),IF(MID(IFERROR(INDEX(醫師週班表!$C$5:$T$44,$CU11,X$57),""),3,1)="隔",IF(X$58=0,LEFT(IFERROR(INDEX(醫師週班表!$C$5:$T$44,$CU11,X$57),""),1),""),IF(MID(IFERROR(INDEX(醫師週班表!$C$5:$T$44,$CU11,X$57),""),2,1)="(",LEFT(IFERROR(INDEX(醫師週班表!$C$5:$T$44,$CU11,X$57),""),1),IFERROR(INDEX(醫師週班表!$C$5:$T$44,$CU11,X$57),"")))))))</f>
        <v/>
      </c>
      <c r="Y11" s="72">
        <f>IF(Y$59="X","",IF(Y$59&lt;&gt;"",Y$59,IF(IFERROR(INDEX(醫師週班表!$C$5:$T$44,$CU11,Y$57),"")=0,"",IF(MID(IFERROR(INDEX(醫師週班表!$C$5:$T$44,$CU11,Y$57),""),2,1)="/",MID(IFERROR(INDEX(醫師週班表!$C$5:$T$44,$CU11,Y$57),""),1+Y$58*2,1),IF(MID(IFERROR(INDEX(醫師週班表!$C$5:$T$44,$CU11,Y$57),""),3,1)="隔",IF(Y$58=0,LEFT(IFERROR(INDEX(醫師週班表!$C$5:$T$44,$CU11,Y$57),""),1),""),IF(MID(IFERROR(INDEX(醫師週班表!$C$5:$T$44,$CU11,Y$57),""),2,1)="(",LEFT(IFERROR(INDEX(醫師週班表!$C$5:$T$44,$CU11,Y$57),""),1),IFERROR(INDEX(醫師週班表!$C$5:$T$44,$CU11,Y$57),"")))))))</f>
        <v/>
      </c>
      <c r="Z11" s="71">
        <f>IF(Z$59="X","",IF(Z$59&lt;&gt;"",Z$59,IF(IFERROR(INDEX(醫師週班表!$C$5:$T$44,$CU11,Z$57),"")=0,"",IF(MID(IFERROR(INDEX(醫師週班表!$C$5:$T$44,$CU11,Z$57),""),2,1)="/",MID(IFERROR(INDEX(醫師週班表!$C$5:$T$44,$CU11,Z$57),""),1+Z$58*2,1),IF(MID(IFERROR(INDEX(醫師週班表!$C$5:$T$44,$CU11,Z$57),""),3,1)="隔",IF(Z$58=0,LEFT(IFERROR(INDEX(醫師週班表!$C$5:$T$44,$CU11,Z$57),""),1),""),IF(MID(IFERROR(INDEX(醫師週班表!$C$5:$T$44,$CU11,Z$57),""),2,1)="(",LEFT(IFERROR(INDEX(醫師週班表!$C$5:$T$44,$CU11,Z$57),""),1),IFERROR(INDEX(醫師週班表!$C$5:$T$44,$CU11,Z$57),"")))))))</f>
        <v/>
      </c>
      <c r="AA11" s="72">
        <f>IF(AA$59="X","",IF(AA$59&lt;&gt;"",AA$59,IF(IFERROR(INDEX(醫師週班表!$C$5:$T$44,$CU11,AA$57),"")=0,"",IF(MID(IFERROR(INDEX(醫師週班表!$C$5:$T$44,$CU11,AA$57),""),2,1)="/",MID(IFERROR(INDEX(醫師週班表!$C$5:$T$44,$CU11,AA$57),""),1+AA$58*2,1),IF(MID(IFERROR(INDEX(醫師週班表!$C$5:$T$44,$CU11,AA$57),""),3,1)="隔",IF(AA$58=0,LEFT(IFERROR(INDEX(醫師週班表!$C$5:$T$44,$CU11,AA$57),""),1),""),IF(MID(IFERROR(INDEX(醫師週班表!$C$5:$T$44,$CU11,AA$57),""),2,1)="(",LEFT(IFERROR(INDEX(醫師週班表!$C$5:$T$44,$CU11,AA$57),""),1),IFERROR(INDEX(醫師週班表!$C$5:$T$44,$CU11,AA$57),"")))))))</f>
        <v/>
      </c>
      <c r="AB11" s="72">
        <f>IF(AB$59="X","",IF(AB$59&lt;&gt;"",AB$59,IF(IFERROR(INDEX(醫師週班表!$C$5:$T$44,$CU11,AB$57),"")=0,"",IF(MID(IFERROR(INDEX(醫師週班表!$C$5:$T$44,$CU11,AB$57),""),2,1)="/",MID(IFERROR(INDEX(醫師週班表!$C$5:$T$44,$CU11,AB$57),""),1+AB$58*2,1),IF(MID(IFERROR(INDEX(醫師週班表!$C$5:$T$44,$CU11,AB$57),""),3,1)="隔",IF(AB$58=0,LEFT(IFERROR(INDEX(醫師週班表!$C$5:$T$44,$CU11,AB$57),""),1),""),IF(MID(IFERROR(INDEX(醫師週班表!$C$5:$T$44,$CU11,AB$57),""),2,1)="(",LEFT(IFERROR(INDEX(醫師週班表!$C$5:$T$44,$CU11,AB$57),""),1),IFERROR(INDEX(醫師週班表!$C$5:$T$44,$CU11,AB$57),"")))))))</f>
        <v/>
      </c>
      <c r="AC11" s="71">
        <f>IF(AC$59="X","",IF(AC$59&lt;&gt;"",AC$59,IF(IFERROR(INDEX(醫師週班表!$C$5:$T$44,$CU11,AC$57),"")=0,"",IF(MID(IFERROR(INDEX(醫師週班表!$C$5:$T$44,$CU11,AC$57),""),2,1)="/",MID(IFERROR(INDEX(醫師週班表!$C$5:$T$44,$CU11,AC$57),""),1+AC$58*2,1),IF(MID(IFERROR(INDEX(醫師週班表!$C$5:$T$44,$CU11,AC$57),""),3,1)="隔",IF(AC$58=0,LEFT(IFERROR(INDEX(醫師週班表!$C$5:$T$44,$CU11,AC$57),""),1),""),IF(MID(IFERROR(INDEX(醫師週班表!$C$5:$T$44,$CU11,AC$57),""),2,1)="(",LEFT(IFERROR(INDEX(醫師週班表!$C$5:$T$44,$CU11,AC$57),""),1),IFERROR(INDEX(醫師週班表!$C$5:$T$44,$CU11,AC$57),"")))))))</f>
        <v/>
      </c>
      <c r="AD11" s="72">
        <f>IF(AD$59="X","",IF(AD$59&lt;&gt;"",AD$59,IF(IFERROR(INDEX(醫師週班表!$C$5:$T$44,$CU11,AD$57),"")=0,"",IF(MID(IFERROR(INDEX(醫師週班表!$C$5:$T$44,$CU11,AD$57),""),2,1)="/",MID(IFERROR(INDEX(醫師週班表!$C$5:$T$44,$CU11,AD$57),""),1+AD$58*2,1),IF(MID(IFERROR(INDEX(醫師週班表!$C$5:$T$44,$CU11,AD$57),""),3,1)="隔",IF(AD$58=0,LEFT(IFERROR(INDEX(醫師週班表!$C$5:$T$44,$CU11,AD$57),""),1),""),IF(MID(IFERROR(INDEX(醫師週班表!$C$5:$T$44,$CU11,AD$57),""),2,1)="(",LEFT(IFERROR(INDEX(醫師週班表!$C$5:$T$44,$CU11,AD$57),""),1),IFERROR(INDEX(醫師週班表!$C$5:$T$44,$CU11,AD$57),"")))))))</f>
        <v/>
      </c>
      <c r="AE11" s="72">
        <f>IF(AE$59="X","",IF(AE$59&lt;&gt;"",AE$59,IF(IFERROR(INDEX(醫師週班表!$C$5:$T$44,$CU11,AE$57),"")=0,"",IF(MID(IFERROR(INDEX(醫師週班表!$C$5:$T$44,$CU11,AE$57),""),2,1)="/",MID(IFERROR(INDEX(醫師週班表!$C$5:$T$44,$CU11,AE$57),""),1+AE$58*2,1),IF(MID(IFERROR(INDEX(醫師週班表!$C$5:$T$44,$CU11,AE$57),""),3,1)="隔",IF(AE$58=0,LEFT(IFERROR(INDEX(醫師週班表!$C$5:$T$44,$CU11,AE$57),""),1),""),IF(MID(IFERROR(INDEX(醫師週班表!$C$5:$T$44,$CU11,AE$57),""),2,1)="(",LEFT(IFERROR(INDEX(醫師週班表!$C$5:$T$44,$CU11,AE$57),""),1),IFERROR(INDEX(醫師週班表!$C$5:$T$44,$CU11,AE$57),"")))))))</f>
        <v/>
      </c>
      <c r="AF11" s="71">
        <f>IF(AF$59="X","",IF(AF$59&lt;&gt;"",AF$59,IF(IFERROR(INDEX(醫師週班表!$C$5:$T$44,$CU11,AF$57),"")=0,"",IF(MID(IFERROR(INDEX(醫師週班表!$C$5:$T$44,$CU11,AF$57),""),2,1)="/",MID(IFERROR(INDEX(醫師週班表!$C$5:$T$44,$CU11,AF$57),""),1+AF$58*2,1),IF(MID(IFERROR(INDEX(醫師週班表!$C$5:$T$44,$CU11,AF$57),""),3,1)="隔",IF(AF$58=0,LEFT(IFERROR(INDEX(醫師週班表!$C$5:$T$44,$CU11,AF$57),""),1),""),IF(MID(IFERROR(INDEX(醫師週班表!$C$5:$T$44,$CU11,AF$57),""),2,1)="(",LEFT(IFERROR(INDEX(醫師週班表!$C$5:$T$44,$CU11,AF$57),""),1),IFERROR(INDEX(醫師週班表!$C$5:$T$44,$CU11,AF$57),"")))))))</f>
        <v/>
      </c>
      <c r="AG11" s="72">
        <f>IF(AG$59="X","",IF(AG$59&lt;&gt;"",AG$59,IF(IFERROR(INDEX(醫師週班表!$C$5:$T$44,$CU11,AG$57),"")=0,"",IF(MID(IFERROR(INDEX(醫師週班表!$C$5:$T$44,$CU11,AG$57),""),2,1)="/",MID(IFERROR(INDEX(醫師週班表!$C$5:$T$44,$CU11,AG$57),""),1+AG$58*2,1),IF(MID(IFERROR(INDEX(醫師週班表!$C$5:$T$44,$CU11,AG$57),""),3,1)="隔",IF(AG$58=0,LEFT(IFERROR(INDEX(醫師週班表!$C$5:$T$44,$CU11,AG$57),""),1),""),IF(MID(IFERROR(INDEX(醫師週班表!$C$5:$T$44,$CU11,AG$57),""),2,1)="(",LEFT(IFERROR(INDEX(醫師週班表!$C$5:$T$44,$CU11,AG$57),""),1),IFERROR(INDEX(醫師週班表!$C$5:$T$44,$CU11,AG$57),"")))))))</f>
        <v/>
      </c>
      <c r="AH11" s="72">
        <f>IF(AH$59="X","",IF(AH$59&lt;&gt;"",AH$59,IF(IFERROR(INDEX(醫師週班表!$C$5:$T$44,$CU11,AH$57),"")=0,"",IF(MID(IFERROR(INDEX(醫師週班表!$C$5:$T$44,$CU11,AH$57),""),2,1)="/",MID(IFERROR(INDEX(醫師週班表!$C$5:$T$44,$CU11,AH$57),""),1+AH$58*2,1),IF(MID(IFERROR(INDEX(醫師週班表!$C$5:$T$44,$CU11,AH$57),""),3,1)="隔",IF(AH$58=0,LEFT(IFERROR(INDEX(醫師週班表!$C$5:$T$44,$CU11,AH$57),""),1),""),IF(MID(IFERROR(INDEX(醫師週班表!$C$5:$T$44,$CU11,AH$57),""),2,1)="(",LEFT(IFERROR(INDEX(醫師週班表!$C$5:$T$44,$CU11,AH$57),""),1),IFERROR(INDEX(醫師週班表!$C$5:$T$44,$CU11,AH$57),"")))))))</f>
        <v/>
      </c>
      <c r="AI11" s="71">
        <f>IF(AI$59="X","",IF(AI$59&lt;&gt;"",AI$59,IF(IFERROR(INDEX(醫師週班表!$C$5:$T$44,$CU11,AI$57),"")=0,"",IF(MID(IFERROR(INDEX(醫師週班表!$C$5:$T$44,$CU11,AI$57),""),2,1)="/",MID(IFERROR(INDEX(醫師週班表!$C$5:$T$44,$CU11,AI$57),""),1+AI$58*2,1),IF(MID(IFERROR(INDEX(醫師週班表!$C$5:$T$44,$CU11,AI$57),""),3,1)="隔",IF(AI$58=0,LEFT(IFERROR(INDEX(醫師週班表!$C$5:$T$44,$CU11,AI$57),""),1),""),IF(MID(IFERROR(INDEX(醫師週班表!$C$5:$T$44,$CU11,AI$57),""),2,1)="(",LEFT(IFERROR(INDEX(醫師週班表!$C$5:$T$44,$CU11,AI$57),""),1),IFERROR(INDEX(醫師週班表!$C$5:$T$44,$CU11,AI$57),"")))))))</f>
        <v/>
      </c>
      <c r="AJ11" s="72">
        <f>IF(AJ$59="X","",IF(AJ$59&lt;&gt;"",AJ$59,IF(IFERROR(INDEX(醫師週班表!$C$5:$T$44,$CU11,AJ$57),"")=0,"",IF(MID(IFERROR(INDEX(醫師週班表!$C$5:$T$44,$CU11,AJ$57),""),2,1)="/",MID(IFERROR(INDEX(醫師週班表!$C$5:$T$44,$CU11,AJ$57),""),1+AJ$58*2,1),IF(MID(IFERROR(INDEX(醫師週班表!$C$5:$T$44,$CU11,AJ$57),""),3,1)="隔",IF(AJ$58=0,LEFT(IFERROR(INDEX(醫師週班表!$C$5:$T$44,$CU11,AJ$57),""),1),""),IF(MID(IFERROR(INDEX(醫師週班表!$C$5:$T$44,$CU11,AJ$57),""),2,1)="(",LEFT(IFERROR(INDEX(醫師週班表!$C$5:$T$44,$CU11,AJ$57),""),1),IFERROR(INDEX(醫師週班表!$C$5:$T$44,$CU11,AJ$57),"")))))))</f>
        <v/>
      </c>
      <c r="AK11" s="72">
        <f>IF(AK$59="X","",IF(AK$59&lt;&gt;"",AK$59,IF(IFERROR(INDEX(醫師週班表!$C$5:$T$44,$CU11,AK$57),"")=0,"",IF(MID(IFERROR(INDEX(醫師週班表!$C$5:$T$44,$CU11,AK$57),""),2,1)="/",MID(IFERROR(INDEX(醫師週班表!$C$5:$T$44,$CU11,AK$57),""),1+AK$58*2,1),IF(MID(IFERROR(INDEX(醫師週班表!$C$5:$T$44,$CU11,AK$57),""),3,1)="隔",IF(AK$58=0,LEFT(IFERROR(INDEX(醫師週班表!$C$5:$T$44,$CU11,AK$57),""),1),""),IF(MID(IFERROR(INDEX(醫師週班表!$C$5:$T$44,$CU11,AK$57),""),2,1)="(",LEFT(IFERROR(INDEX(醫師週班表!$C$5:$T$44,$CU11,AK$57),""),1),IFERROR(INDEX(醫師週班表!$C$5:$T$44,$CU11,AK$57),"")))))))</f>
        <v/>
      </c>
      <c r="AL11" s="71">
        <f>IF(AL$59="X","",IF(AL$59&lt;&gt;"",AL$59,IF(IFERROR(INDEX(醫師週班表!$C$5:$T$44,$CU11,AL$57),"")=0,"",IF(MID(IFERROR(INDEX(醫師週班表!$C$5:$T$44,$CU11,AL$57),""),2,1)="/",MID(IFERROR(INDEX(醫師週班表!$C$5:$T$44,$CU11,AL$57),""),1+AL$58*2,1),IF(MID(IFERROR(INDEX(醫師週班表!$C$5:$T$44,$CU11,AL$57),""),3,1)="隔",IF(AL$58=0,LEFT(IFERROR(INDEX(醫師週班表!$C$5:$T$44,$CU11,AL$57),""),1),""),IF(MID(IFERROR(INDEX(醫師週班表!$C$5:$T$44,$CU11,AL$57),""),2,1)="(",LEFT(IFERROR(INDEX(醫師週班表!$C$5:$T$44,$CU11,AL$57),""),1),IFERROR(INDEX(醫師週班表!$C$5:$T$44,$CU11,AL$57),"")))))))</f>
        <v/>
      </c>
      <c r="AM11" s="72">
        <f>IF(AM$59="X","",IF(AM$59&lt;&gt;"",AM$59,IF(IFERROR(INDEX(醫師週班表!$C$5:$T$44,$CU11,AM$57),"")=0,"",IF(MID(IFERROR(INDEX(醫師週班表!$C$5:$T$44,$CU11,AM$57),""),2,1)="/",MID(IFERROR(INDEX(醫師週班表!$C$5:$T$44,$CU11,AM$57),""),1+AM$58*2,1),IF(MID(IFERROR(INDEX(醫師週班表!$C$5:$T$44,$CU11,AM$57),""),3,1)="隔",IF(AM$58=0,LEFT(IFERROR(INDEX(醫師週班表!$C$5:$T$44,$CU11,AM$57),""),1),""),IF(MID(IFERROR(INDEX(醫師週班表!$C$5:$T$44,$CU11,AM$57),""),2,1)="(",LEFT(IFERROR(INDEX(醫師週班表!$C$5:$T$44,$CU11,AM$57),""),1),IFERROR(INDEX(醫師週班表!$C$5:$T$44,$CU11,AM$57),"")))))))</f>
        <v/>
      </c>
      <c r="AN11" s="72">
        <f>IF(AN$59="X","",IF(AN$59&lt;&gt;"",AN$59,IF(IFERROR(INDEX(醫師週班表!$C$5:$T$44,$CU11,AN$57),"")=0,"",IF(MID(IFERROR(INDEX(醫師週班表!$C$5:$T$44,$CU11,AN$57),""),2,1)="/",MID(IFERROR(INDEX(醫師週班表!$C$5:$T$44,$CU11,AN$57),""),1+AN$58*2,1),IF(MID(IFERROR(INDEX(醫師週班表!$C$5:$T$44,$CU11,AN$57),""),3,1)="隔",IF(AN$58=0,LEFT(IFERROR(INDEX(醫師週班表!$C$5:$T$44,$CU11,AN$57),""),1),""),IF(MID(IFERROR(INDEX(醫師週班表!$C$5:$T$44,$CU11,AN$57),""),2,1)="(",LEFT(IFERROR(INDEX(醫師週班表!$C$5:$T$44,$CU11,AN$57),""),1),IFERROR(INDEX(醫師週班表!$C$5:$T$44,$CU11,AN$57),"")))))))</f>
        <v/>
      </c>
      <c r="AO11" s="71">
        <f>IF(AO$59="X","",IF(AO$59&lt;&gt;"",AO$59,IF(IFERROR(INDEX(醫師週班表!$C$5:$T$44,$CU11,AO$57),"")=0,"",IF(MID(IFERROR(INDEX(醫師週班表!$C$5:$T$44,$CU11,AO$57),""),2,1)="/",MID(IFERROR(INDEX(醫師週班表!$C$5:$T$44,$CU11,AO$57),""),1+AO$58*2,1),IF(MID(IFERROR(INDEX(醫師週班表!$C$5:$T$44,$CU11,AO$57),""),3,1)="隔",IF(AO$58=0,LEFT(IFERROR(INDEX(醫師週班表!$C$5:$T$44,$CU11,AO$57),""),1),""),IF(MID(IFERROR(INDEX(醫師週班表!$C$5:$T$44,$CU11,AO$57),""),2,1)="(",LEFT(IFERROR(INDEX(醫師週班表!$C$5:$T$44,$CU11,AO$57),""),1),IFERROR(INDEX(醫師週班表!$C$5:$T$44,$CU11,AO$57),"")))))))</f>
        <v/>
      </c>
      <c r="AP11" s="72">
        <f>IF(AP$59="X","",IF(AP$59&lt;&gt;"",AP$59,IF(IFERROR(INDEX(醫師週班表!$C$5:$T$44,$CU11,AP$57),"")=0,"",IF(MID(IFERROR(INDEX(醫師週班表!$C$5:$T$44,$CU11,AP$57),""),2,1)="/",MID(IFERROR(INDEX(醫師週班表!$C$5:$T$44,$CU11,AP$57),""),1+AP$58*2,1),IF(MID(IFERROR(INDEX(醫師週班表!$C$5:$T$44,$CU11,AP$57),""),3,1)="隔",IF(AP$58=0,LEFT(IFERROR(INDEX(醫師週班表!$C$5:$T$44,$CU11,AP$57),""),1),""),IF(MID(IFERROR(INDEX(醫師週班表!$C$5:$T$44,$CU11,AP$57),""),2,1)="(",LEFT(IFERROR(INDEX(醫師週班表!$C$5:$T$44,$CU11,AP$57),""),1),IFERROR(INDEX(醫師週班表!$C$5:$T$44,$CU11,AP$57),"")))))))</f>
        <v/>
      </c>
      <c r="AQ11" s="72">
        <f>IF(AQ$59="X","",IF(AQ$59&lt;&gt;"",AQ$59,IF(IFERROR(INDEX(醫師週班表!$C$5:$T$44,$CU11,AQ$57),"")=0,"",IF(MID(IFERROR(INDEX(醫師週班表!$C$5:$T$44,$CU11,AQ$57),""),2,1)="/",MID(IFERROR(INDEX(醫師週班表!$C$5:$T$44,$CU11,AQ$57),""),1+AQ$58*2,1),IF(MID(IFERROR(INDEX(醫師週班表!$C$5:$T$44,$CU11,AQ$57),""),3,1)="隔",IF(AQ$58=0,LEFT(IFERROR(INDEX(醫師週班表!$C$5:$T$44,$CU11,AQ$57),""),1),""),IF(MID(IFERROR(INDEX(醫師週班表!$C$5:$T$44,$CU11,AQ$57),""),2,1)="(",LEFT(IFERROR(INDEX(醫師週班表!$C$5:$T$44,$CU11,AQ$57),""),1),IFERROR(INDEX(醫師週班表!$C$5:$T$44,$CU11,AQ$57),"")))))))</f>
        <v/>
      </c>
      <c r="AR11" s="71">
        <f>IF(AR$59="X","",IF(AR$59&lt;&gt;"",AR$59,IF(IFERROR(INDEX(醫師週班表!$C$5:$T$44,$CU11,AR$57),"")=0,"",IF(MID(IFERROR(INDEX(醫師週班表!$C$5:$T$44,$CU11,AR$57),""),2,1)="/",MID(IFERROR(INDEX(醫師週班表!$C$5:$T$44,$CU11,AR$57),""),1+AR$58*2,1),IF(MID(IFERROR(INDEX(醫師週班表!$C$5:$T$44,$CU11,AR$57),""),3,1)="隔",IF(AR$58=0,LEFT(IFERROR(INDEX(醫師週班表!$C$5:$T$44,$CU11,AR$57),""),1),""),IF(MID(IFERROR(INDEX(醫師週班表!$C$5:$T$44,$CU11,AR$57),""),2,1)="(",LEFT(IFERROR(INDEX(醫師週班表!$C$5:$T$44,$CU11,AR$57),""),1),IFERROR(INDEX(醫師週班表!$C$5:$T$44,$CU11,AR$57),"")))))))</f>
        <v/>
      </c>
      <c r="AS11" s="72">
        <f>IF(AS$59="X","",IF(AS$59&lt;&gt;"",AS$59,IF(IFERROR(INDEX(醫師週班表!$C$5:$T$44,$CU11,AS$57),"")=0,"",IF(MID(IFERROR(INDEX(醫師週班表!$C$5:$T$44,$CU11,AS$57),""),2,1)="/",MID(IFERROR(INDEX(醫師週班表!$C$5:$T$44,$CU11,AS$57),""),1+AS$58*2,1),IF(MID(IFERROR(INDEX(醫師週班表!$C$5:$T$44,$CU11,AS$57),""),3,1)="隔",IF(AS$58=0,LEFT(IFERROR(INDEX(醫師週班表!$C$5:$T$44,$CU11,AS$57),""),1),""),IF(MID(IFERROR(INDEX(醫師週班表!$C$5:$T$44,$CU11,AS$57),""),2,1)="(",LEFT(IFERROR(INDEX(醫師週班表!$C$5:$T$44,$CU11,AS$57),""),1),IFERROR(INDEX(醫師週班表!$C$5:$T$44,$CU11,AS$57),"")))))))</f>
        <v/>
      </c>
      <c r="AT11" s="72">
        <f>IF(AT$59="X","",IF(AT$59&lt;&gt;"",AT$59,IF(IFERROR(INDEX(醫師週班表!$C$5:$T$44,$CU11,AT$57),"")=0,"",IF(MID(IFERROR(INDEX(醫師週班表!$C$5:$T$44,$CU11,AT$57),""),2,1)="/",MID(IFERROR(INDEX(醫師週班表!$C$5:$T$44,$CU11,AT$57),""),1+AT$58*2,1),IF(MID(IFERROR(INDEX(醫師週班表!$C$5:$T$44,$CU11,AT$57),""),3,1)="隔",IF(AT$58=0,LEFT(IFERROR(INDEX(醫師週班表!$C$5:$T$44,$CU11,AT$57),""),1),""),IF(MID(IFERROR(INDEX(醫師週班表!$C$5:$T$44,$CU11,AT$57),""),2,1)="(",LEFT(IFERROR(INDEX(醫師週班表!$C$5:$T$44,$CU11,AT$57),""),1),IFERROR(INDEX(醫師週班表!$C$5:$T$44,$CU11,AT$57),"")))))))</f>
        <v/>
      </c>
      <c r="AU11" s="71">
        <f>IF(AU$59="X","",IF(AU$59&lt;&gt;"",AU$59,IF(IFERROR(INDEX(醫師週班表!$C$5:$T$44,$CU11,AU$57),"")=0,"",IF(MID(IFERROR(INDEX(醫師週班表!$C$5:$T$44,$CU11,AU$57),""),2,1)="/",MID(IFERROR(INDEX(醫師週班表!$C$5:$T$44,$CU11,AU$57),""),1+AU$58*2,1),IF(MID(IFERROR(INDEX(醫師週班表!$C$5:$T$44,$CU11,AU$57),""),3,1)="隔",IF(AU$58=0,LEFT(IFERROR(INDEX(醫師週班表!$C$5:$T$44,$CU11,AU$57),""),1),""),IF(MID(IFERROR(INDEX(醫師週班表!$C$5:$T$44,$CU11,AU$57),""),2,1)="(",LEFT(IFERROR(INDEX(醫師週班表!$C$5:$T$44,$CU11,AU$57),""),1),IFERROR(INDEX(醫師週班表!$C$5:$T$44,$CU11,AU$57),"")))))))</f>
        <v/>
      </c>
      <c r="AV11" s="72">
        <f>IF(AV$59="X","",IF(AV$59&lt;&gt;"",AV$59,IF(IFERROR(INDEX(醫師週班表!$C$5:$T$44,$CU11,AV$57),"")=0,"",IF(MID(IFERROR(INDEX(醫師週班表!$C$5:$T$44,$CU11,AV$57),""),2,1)="/",MID(IFERROR(INDEX(醫師週班表!$C$5:$T$44,$CU11,AV$57),""),1+AV$58*2,1),IF(MID(IFERROR(INDEX(醫師週班表!$C$5:$T$44,$CU11,AV$57),""),3,1)="隔",IF(AV$58=0,LEFT(IFERROR(INDEX(醫師週班表!$C$5:$T$44,$CU11,AV$57),""),1),""),IF(MID(IFERROR(INDEX(醫師週班表!$C$5:$T$44,$CU11,AV$57),""),2,1)="(",LEFT(IFERROR(INDEX(醫師週班表!$C$5:$T$44,$CU11,AV$57),""),1),IFERROR(INDEX(醫師週班表!$C$5:$T$44,$CU11,AV$57),"")))))))</f>
        <v/>
      </c>
      <c r="AW11" s="72">
        <f>IF(AW$59="X","",IF(AW$59&lt;&gt;"",AW$59,IF(IFERROR(INDEX(醫師週班表!$C$5:$T$44,$CU11,AW$57),"")=0,"",IF(MID(IFERROR(INDEX(醫師週班表!$C$5:$T$44,$CU11,AW$57),""),2,1)="/",MID(IFERROR(INDEX(醫師週班表!$C$5:$T$44,$CU11,AW$57),""),1+AW$58*2,1),IF(MID(IFERROR(INDEX(醫師週班表!$C$5:$T$44,$CU11,AW$57),""),3,1)="隔",IF(AW$58=0,LEFT(IFERROR(INDEX(醫師週班表!$C$5:$T$44,$CU11,AW$57),""),1),""),IF(MID(IFERROR(INDEX(醫師週班表!$C$5:$T$44,$CU11,AW$57),""),2,1)="(",LEFT(IFERROR(INDEX(醫師週班表!$C$5:$T$44,$CU11,AW$57),""),1),IFERROR(INDEX(醫師週班表!$C$5:$T$44,$CU11,AW$57),"")))))))</f>
        <v/>
      </c>
      <c r="AX11" s="71">
        <f>IF(AX$59="X","",IF(AX$59&lt;&gt;"",AX$59,IF(IFERROR(INDEX(醫師週班表!$C$5:$T$44,$CU11,AX$57),"")=0,"",IF(MID(IFERROR(INDEX(醫師週班表!$C$5:$T$44,$CU11,AX$57),""),2,1)="/",MID(IFERROR(INDEX(醫師週班表!$C$5:$T$44,$CU11,AX$57),""),1+AX$58*2,1),IF(MID(IFERROR(INDEX(醫師週班表!$C$5:$T$44,$CU11,AX$57),""),3,1)="隔",IF(AX$58=0,LEFT(IFERROR(INDEX(醫師週班表!$C$5:$T$44,$CU11,AX$57),""),1),""),IF(MID(IFERROR(INDEX(醫師週班表!$C$5:$T$44,$CU11,AX$57),""),2,1)="(",LEFT(IFERROR(INDEX(醫師週班表!$C$5:$T$44,$CU11,AX$57),""),1),IFERROR(INDEX(醫師週班表!$C$5:$T$44,$CU11,AX$57),"")))))))</f>
        <v/>
      </c>
      <c r="AY11" s="72">
        <f>IF(AY$59="X","",IF(AY$59&lt;&gt;"",AY$59,IF(IFERROR(INDEX(醫師週班表!$C$5:$T$44,$CU11,AY$57),"")=0,"",IF(MID(IFERROR(INDEX(醫師週班表!$C$5:$T$44,$CU11,AY$57),""),2,1)="/",MID(IFERROR(INDEX(醫師週班表!$C$5:$T$44,$CU11,AY$57),""),1+AY$58*2,1),IF(MID(IFERROR(INDEX(醫師週班表!$C$5:$T$44,$CU11,AY$57),""),3,1)="隔",IF(AY$58=0,LEFT(IFERROR(INDEX(醫師週班表!$C$5:$T$44,$CU11,AY$57),""),1),""),IF(MID(IFERROR(INDEX(醫師週班表!$C$5:$T$44,$CU11,AY$57),""),2,1)="(",LEFT(IFERROR(INDEX(醫師週班表!$C$5:$T$44,$CU11,AY$57),""),1),IFERROR(INDEX(醫師週班表!$C$5:$T$44,$CU11,AY$57),"")))))))</f>
        <v/>
      </c>
      <c r="AZ11" s="72">
        <f>IF(AZ$59="X","",IF(AZ$59&lt;&gt;"",AZ$59,IF(IFERROR(INDEX(醫師週班表!$C$5:$T$44,$CU11,AZ$57),"")=0,"",IF(MID(IFERROR(INDEX(醫師週班表!$C$5:$T$44,$CU11,AZ$57),""),2,1)="/",MID(IFERROR(INDEX(醫師週班表!$C$5:$T$44,$CU11,AZ$57),""),1+AZ$58*2,1),IF(MID(IFERROR(INDEX(醫師週班表!$C$5:$T$44,$CU11,AZ$57),""),3,1)="隔",IF(AZ$58=0,LEFT(IFERROR(INDEX(醫師週班表!$C$5:$T$44,$CU11,AZ$57),""),1),""),IF(MID(IFERROR(INDEX(醫師週班表!$C$5:$T$44,$CU11,AZ$57),""),2,1)="(",LEFT(IFERROR(INDEX(醫師週班表!$C$5:$T$44,$CU11,AZ$57),""),1),IFERROR(INDEX(醫師週班表!$C$5:$T$44,$CU11,AZ$57),"")))))))</f>
        <v/>
      </c>
      <c r="BA11" s="71">
        <f>IF(BA$59="X","",IF(BA$59&lt;&gt;"",BA$59,IF(IFERROR(INDEX(醫師週班表!$C$5:$T$44,$CU11,BA$57),"")=0,"",IF(MID(IFERROR(INDEX(醫師週班表!$C$5:$T$44,$CU11,BA$57),""),2,1)="/",MID(IFERROR(INDEX(醫師週班表!$C$5:$T$44,$CU11,BA$57),""),1+BA$58*2,1),IF(MID(IFERROR(INDEX(醫師週班表!$C$5:$T$44,$CU11,BA$57),""),3,1)="隔",IF(BA$58=0,LEFT(IFERROR(INDEX(醫師週班表!$C$5:$T$44,$CU11,BA$57),""),1),""),IF(MID(IFERROR(INDEX(醫師週班表!$C$5:$T$44,$CU11,BA$57),""),2,1)="(",LEFT(IFERROR(INDEX(醫師週班表!$C$5:$T$44,$CU11,BA$57),""),1),IFERROR(INDEX(醫師週班表!$C$5:$T$44,$CU11,BA$57),"")))))))</f>
        <v/>
      </c>
      <c r="BB11" s="72">
        <f>IF(BB$59="X","",IF(BB$59&lt;&gt;"",BB$59,IF(IFERROR(INDEX(醫師週班表!$C$5:$T$44,$CU11,BB$57),"")=0,"",IF(MID(IFERROR(INDEX(醫師週班表!$C$5:$T$44,$CU11,BB$57),""),2,1)="/",MID(IFERROR(INDEX(醫師週班表!$C$5:$T$44,$CU11,BB$57),""),1+BB$58*2,1),IF(MID(IFERROR(INDEX(醫師週班表!$C$5:$T$44,$CU11,BB$57),""),3,1)="隔",IF(BB$58=0,LEFT(IFERROR(INDEX(醫師週班表!$C$5:$T$44,$CU11,BB$57),""),1),""),IF(MID(IFERROR(INDEX(醫師週班表!$C$5:$T$44,$CU11,BB$57),""),2,1)="(",LEFT(IFERROR(INDEX(醫師週班表!$C$5:$T$44,$CU11,BB$57),""),1),IFERROR(INDEX(醫師週班表!$C$5:$T$44,$CU11,BB$57),"")))))))</f>
        <v/>
      </c>
      <c r="BC11" s="72">
        <f>IF(BC$59="X","",IF(BC$59&lt;&gt;"",BC$59,IF(IFERROR(INDEX(醫師週班表!$C$5:$T$44,$CU11,BC$57),"")=0,"",IF(MID(IFERROR(INDEX(醫師週班表!$C$5:$T$44,$CU11,BC$57),""),2,1)="/",MID(IFERROR(INDEX(醫師週班表!$C$5:$T$44,$CU11,BC$57),""),1+BC$58*2,1),IF(MID(IFERROR(INDEX(醫師週班表!$C$5:$T$44,$CU11,BC$57),""),3,1)="隔",IF(BC$58=0,LEFT(IFERROR(INDEX(醫師週班表!$C$5:$T$44,$CU11,BC$57),""),1),""),IF(MID(IFERROR(INDEX(醫師週班表!$C$5:$T$44,$CU11,BC$57),""),2,1)="(",LEFT(IFERROR(INDEX(醫師週班表!$C$5:$T$44,$CU11,BC$57),""),1),IFERROR(INDEX(醫師週班表!$C$5:$T$44,$CU11,BC$57),"")))))))</f>
        <v/>
      </c>
      <c r="BD11" s="71">
        <f>IF(BD$59="X","",IF(BD$59&lt;&gt;"",BD$59,IF(IFERROR(INDEX(醫師週班表!$C$5:$T$44,$CU11,BD$57),"")=0,"",IF(MID(IFERROR(INDEX(醫師週班表!$C$5:$T$44,$CU11,BD$57),""),2,1)="/",MID(IFERROR(INDEX(醫師週班表!$C$5:$T$44,$CU11,BD$57),""),1+BD$58*2,1),IF(MID(IFERROR(INDEX(醫師週班表!$C$5:$T$44,$CU11,BD$57),""),3,1)="隔",IF(BD$58=0,LEFT(IFERROR(INDEX(醫師週班表!$C$5:$T$44,$CU11,BD$57),""),1),""),IF(MID(IFERROR(INDEX(醫師週班表!$C$5:$T$44,$CU11,BD$57),""),2,1)="(",LEFT(IFERROR(INDEX(醫師週班表!$C$5:$T$44,$CU11,BD$57),""),1),IFERROR(INDEX(醫師週班表!$C$5:$T$44,$CU11,BD$57),"")))))))</f>
        <v/>
      </c>
      <c r="BE11" s="72">
        <f>IF(BE$59="X","",IF(BE$59&lt;&gt;"",BE$59,IF(IFERROR(INDEX(醫師週班表!$C$5:$T$44,$CU11,BE$57),"")=0,"",IF(MID(IFERROR(INDEX(醫師週班表!$C$5:$T$44,$CU11,BE$57),""),2,1)="/",MID(IFERROR(INDEX(醫師週班表!$C$5:$T$44,$CU11,BE$57),""),1+BE$58*2,1),IF(MID(IFERROR(INDEX(醫師週班表!$C$5:$T$44,$CU11,BE$57),""),3,1)="隔",IF(BE$58=0,LEFT(IFERROR(INDEX(醫師週班表!$C$5:$T$44,$CU11,BE$57),""),1),""),IF(MID(IFERROR(INDEX(醫師週班表!$C$5:$T$44,$CU11,BE$57),""),2,1)="(",LEFT(IFERROR(INDEX(醫師週班表!$C$5:$T$44,$CU11,BE$57),""),1),IFERROR(INDEX(醫師週班表!$C$5:$T$44,$CU11,BE$57),"")))))))</f>
        <v/>
      </c>
      <c r="BF11" s="72">
        <f>IF(BF$59="X","",IF(BF$59&lt;&gt;"",BF$59,IF(IFERROR(INDEX(醫師週班表!$C$5:$T$44,$CU11,BF$57),"")=0,"",IF(MID(IFERROR(INDEX(醫師週班表!$C$5:$T$44,$CU11,BF$57),""),2,1)="/",MID(IFERROR(INDEX(醫師週班表!$C$5:$T$44,$CU11,BF$57),""),1+BF$58*2,1),IF(MID(IFERROR(INDEX(醫師週班表!$C$5:$T$44,$CU11,BF$57),""),3,1)="隔",IF(BF$58=0,LEFT(IFERROR(INDEX(醫師週班表!$C$5:$T$44,$CU11,BF$57),""),1),""),IF(MID(IFERROR(INDEX(醫師週班表!$C$5:$T$44,$CU11,BF$57),""),2,1)="(",LEFT(IFERROR(INDEX(醫師週班表!$C$5:$T$44,$CU11,BF$57),""),1),IFERROR(INDEX(醫師週班表!$C$5:$T$44,$CU11,BF$57),"")))))))</f>
        <v/>
      </c>
      <c r="BG11" s="71">
        <f>IF(BG$59="X","",IF(BG$59&lt;&gt;"",BG$59,IF(IFERROR(INDEX(醫師週班表!$C$5:$T$44,$CU11,BG$57),"")=0,"",IF(MID(IFERROR(INDEX(醫師週班表!$C$5:$T$44,$CU11,BG$57),""),2,1)="/",MID(IFERROR(INDEX(醫師週班表!$C$5:$T$44,$CU11,BG$57),""),1+BG$58*2,1),IF(MID(IFERROR(INDEX(醫師週班表!$C$5:$T$44,$CU11,BG$57),""),3,1)="隔",IF(BG$58=0,LEFT(IFERROR(INDEX(醫師週班表!$C$5:$T$44,$CU11,BG$57),""),1),""),IF(MID(IFERROR(INDEX(醫師週班表!$C$5:$T$44,$CU11,BG$57),""),2,1)="(",LEFT(IFERROR(INDEX(醫師週班表!$C$5:$T$44,$CU11,BG$57),""),1),IFERROR(INDEX(醫師週班表!$C$5:$T$44,$CU11,BG$57),"")))))))</f>
        <v/>
      </c>
      <c r="BH11" s="72">
        <f>IF(BH$59="X","",IF(BH$59&lt;&gt;"",BH$59,IF(IFERROR(INDEX(醫師週班表!$C$5:$T$44,$CU11,BH$57),"")=0,"",IF(MID(IFERROR(INDEX(醫師週班表!$C$5:$T$44,$CU11,BH$57),""),2,1)="/",MID(IFERROR(INDEX(醫師週班表!$C$5:$T$44,$CU11,BH$57),""),1+BH$58*2,1),IF(MID(IFERROR(INDEX(醫師週班表!$C$5:$T$44,$CU11,BH$57),""),3,1)="隔",IF(BH$58=0,LEFT(IFERROR(INDEX(醫師週班表!$C$5:$T$44,$CU11,BH$57),""),1),""),IF(MID(IFERROR(INDEX(醫師週班表!$C$5:$T$44,$CU11,BH$57),""),2,1)="(",LEFT(IFERROR(INDEX(醫師週班表!$C$5:$T$44,$CU11,BH$57),""),1),IFERROR(INDEX(醫師週班表!$C$5:$T$44,$CU11,BH$57),"")))))))</f>
        <v/>
      </c>
      <c r="BI11" s="72">
        <f>IF(BI$59="X","",IF(BI$59&lt;&gt;"",BI$59,IF(IFERROR(INDEX(醫師週班表!$C$5:$T$44,$CU11,BI$57),"")=0,"",IF(MID(IFERROR(INDEX(醫師週班表!$C$5:$T$44,$CU11,BI$57),""),2,1)="/",MID(IFERROR(INDEX(醫師週班表!$C$5:$T$44,$CU11,BI$57),""),1+BI$58*2,1),IF(MID(IFERROR(INDEX(醫師週班表!$C$5:$T$44,$CU11,BI$57),""),3,1)="隔",IF(BI$58=0,LEFT(IFERROR(INDEX(醫師週班表!$C$5:$T$44,$CU11,BI$57),""),1),""),IF(MID(IFERROR(INDEX(醫師週班表!$C$5:$T$44,$CU11,BI$57),""),2,1)="(",LEFT(IFERROR(INDEX(醫師週班表!$C$5:$T$44,$CU11,BI$57),""),1),IFERROR(INDEX(醫師週班表!$C$5:$T$44,$CU11,BI$57),"")))))))</f>
        <v/>
      </c>
      <c r="BJ11" s="71">
        <f>IF(BJ$59="X","",IF(BJ$59&lt;&gt;"",BJ$59,IF(IFERROR(INDEX(醫師週班表!$C$5:$T$44,$CU11,BJ$57),"")=0,"",IF(MID(IFERROR(INDEX(醫師週班表!$C$5:$T$44,$CU11,BJ$57),""),2,1)="/",MID(IFERROR(INDEX(醫師週班表!$C$5:$T$44,$CU11,BJ$57),""),1+BJ$58*2,1),IF(MID(IFERROR(INDEX(醫師週班表!$C$5:$T$44,$CU11,BJ$57),""),3,1)="隔",IF(BJ$58=0,LEFT(IFERROR(INDEX(醫師週班表!$C$5:$T$44,$CU11,BJ$57),""),1),""),IF(MID(IFERROR(INDEX(醫師週班表!$C$5:$T$44,$CU11,BJ$57),""),2,1)="(",LEFT(IFERROR(INDEX(醫師週班表!$C$5:$T$44,$CU11,BJ$57),""),1),IFERROR(INDEX(醫師週班表!$C$5:$T$44,$CU11,BJ$57),"")))))))</f>
        <v/>
      </c>
      <c r="BK11" s="72">
        <f>IF(BK$59="X","",IF(BK$59&lt;&gt;"",BK$59,IF(IFERROR(INDEX(醫師週班表!$C$5:$T$44,$CU11,BK$57),"")=0,"",IF(MID(IFERROR(INDEX(醫師週班表!$C$5:$T$44,$CU11,BK$57),""),2,1)="/",MID(IFERROR(INDEX(醫師週班表!$C$5:$T$44,$CU11,BK$57),""),1+BK$58*2,1),IF(MID(IFERROR(INDEX(醫師週班表!$C$5:$T$44,$CU11,BK$57),""),3,1)="隔",IF(BK$58=0,LEFT(IFERROR(INDEX(醫師週班表!$C$5:$T$44,$CU11,BK$57),""),1),""),IF(MID(IFERROR(INDEX(醫師週班表!$C$5:$T$44,$CU11,BK$57),""),2,1)="(",LEFT(IFERROR(INDEX(醫師週班表!$C$5:$T$44,$CU11,BK$57),""),1),IFERROR(INDEX(醫師週班表!$C$5:$T$44,$CU11,BK$57),"")))))))</f>
        <v/>
      </c>
      <c r="BL11" s="72">
        <f>IF(BL$59="X","",IF(BL$59&lt;&gt;"",BL$59,IF(IFERROR(INDEX(醫師週班表!$C$5:$T$44,$CU11,BL$57),"")=0,"",IF(MID(IFERROR(INDEX(醫師週班表!$C$5:$T$44,$CU11,BL$57),""),2,1)="/",MID(IFERROR(INDEX(醫師週班表!$C$5:$T$44,$CU11,BL$57),""),1+BL$58*2,1),IF(MID(IFERROR(INDEX(醫師週班表!$C$5:$T$44,$CU11,BL$57),""),3,1)="隔",IF(BL$58=0,LEFT(IFERROR(INDEX(醫師週班表!$C$5:$T$44,$CU11,BL$57),""),1),""),IF(MID(IFERROR(INDEX(醫師週班表!$C$5:$T$44,$CU11,BL$57),""),2,1)="(",LEFT(IFERROR(INDEX(醫師週班表!$C$5:$T$44,$CU11,BL$57),""),1),IFERROR(INDEX(醫師週班表!$C$5:$T$44,$CU11,BL$57),"")))))))</f>
        <v/>
      </c>
      <c r="BM11" s="71">
        <f>IF(BM$59="X","",IF(BM$59&lt;&gt;"",BM$59,IF(IFERROR(INDEX(醫師週班表!$C$5:$T$44,$CU11,BM$57),"")=0,"",IF(MID(IFERROR(INDEX(醫師週班表!$C$5:$T$44,$CU11,BM$57),""),2,1)="/",MID(IFERROR(INDEX(醫師週班表!$C$5:$T$44,$CU11,BM$57),""),1+BM$58*2,1),IF(MID(IFERROR(INDEX(醫師週班表!$C$5:$T$44,$CU11,BM$57),""),3,1)="隔",IF(BM$58=0,LEFT(IFERROR(INDEX(醫師週班表!$C$5:$T$44,$CU11,BM$57),""),1),""),IF(MID(IFERROR(INDEX(醫師週班表!$C$5:$T$44,$CU11,BM$57),""),2,1)="(",LEFT(IFERROR(INDEX(醫師週班表!$C$5:$T$44,$CU11,BM$57),""),1),IFERROR(INDEX(醫師週班表!$C$5:$T$44,$CU11,BM$57),"")))))))</f>
        <v/>
      </c>
      <c r="BN11" s="72">
        <f>IF(BN$59="X","",IF(BN$59&lt;&gt;"",BN$59,IF(IFERROR(INDEX(醫師週班表!$C$5:$T$44,$CU11,BN$57),"")=0,"",IF(MID(IFERROR(INDEX(醫師週班表!$C$5:$T$44,$CU11,BN$57),""),2,1)="/",MID(IFERROR(INDEX(醫師週班表!$C$5:$T$44,$CU11,BN$57),""),1+BN$58*2,1),IF(MID(IFERROR(INDEX(醫師週班表!$C$5:$T$44,$CU11,BN$57),""),3,1)="隔",IF(BN$58=0,LEFT(IFERROR(INDEX(醫師週班表!$C$5:$T$44,$CU11,BN$57),""),1),""),IF(MID(IFERROR(INDEX(醫師週班表!$C$5:$T$44,$CU11,BN$57),""),2,1)="(",LEFT(IFERROR(INDEX(醫師週班表!$C$5:$T$44,$CU11,BN$57),""),1),IFERROR(INDEX(醫師週班表!$C$5:$T$44,$CU11,BN$57),"")))))))</f>
        <v/>
      </c>
      <c r="BO11" s="72">
        <f>IF(BO$59="X","",IF(BO$59&lt;&gt;"",BO$59,IF(IFERROR(INDEX(醫師週班表!$C$5:$T$44,$CU11,BO$57),"")=0,"",IF(MID(IFERROR(INDEX(醫師週班表!$C$5:$T$44,$CU11,BO$57),""),2,1)="/",MID(IFERROR(INDEX(醫師週班表!$C$5:$T$44,$CU11,BO$57),""),1+BO$58*2,1),IF(MID(IFERROR(INDEX(醫師週班表!$C$5:$T$44,$CU11,BO$57),""),3,1)="隔",IF(BO$58=0,LEFT(IFERROR(INDEX(醫師週班表!$C$5:$T$44,$CU11,BO$57),""),1),""),IF(MID(IFERROR(INDEX(醫師週班表!$C$5:$T$44,$CU11,BO$57),""),2,1)="(",LEFT(IFERROR(INDEX(醫師週班表!$C$5:$T$44,$CU11,BO$57),""),1),IFERROR(INDEX(醫師週班表!$C$5:$T$44,$CU11,BO$57),"")))))))</f>
        <v/>
      </c>
      <c r="BP11" s="71">
        <f>IF(BP$59="X","",IF(BP$59&lt;&gt;"",BP$59,IF(IFERROR(INDEX(醫師週班表!$C$5:$T$44,$CU11,BP$57),"")=0,"",IF(MID(IFERROR(INDEX(醫師週班表!$C$5:$T$44,$CU11,BP$57),""),2,1)="/",MID(IFERROR(INDEX(醫師週班表!$C$5:$T$44,$CU11,BP$57),""),1+BP$58*2,1),IF(MID(IFERROR(INDEX(醫師週班表!$C$5:$T$44,$CU11,BP$57),""),3,1)="隔",IF(BP$58=0,LEFT(IFERROR(INDEX(醫師週班表!$C$5:$T$44,$CU11,BP$57),""),1),""),IF(MID(IFERROR(INDEX(醫師週班表!$C$5:$T$44,$CU11,BP$57),""),2,1)="(",LEFT(IFERROR(INDEX(醫師週班表!$C$5:$T$44,$CU11,BP$57),""),1),IFERROR(INDEX(醫師週班表!$C$5:$T$44,$CU11,BP$57),"")))))))</f>
        <v/>
      </c>
      <c r="BQ11" s="72">
        <f>IF(BQ$59="X","",IF(BQ$59&lt;&gt;"",BQ$59,IF(IFERROR(INDEX(醫師週班表!$C$5:$T$44,$CU11,BQ$57),"")=0,"",IF(MID(IFERROR(INDEX(醫師週班表!$C$5:$T$44,$CU11,BQ$57),""),2,1)="/",MID(IFERROR(INDEX(醫師週班表!$C$5:$T$44,$CU11,BQ$57),""),1+BQ$58*2,1),IF(MID(IFERROR(INDEX(醫師週班表!$C$5:$T$44,$CU11,BQ$57),""),3,1)="隔",IF(BQ$58=0,LEFT(IFERROR(INDEX(醫師週班表!$C$5:$T$44,$CU11,BQ$57),""),1),""),IF(MID(IFERROR(INDEX(醫師週班表!$C$5:$T$44,$CU11,BQ$57),""),2,1)="(",LEFT(IFERROR(INDEX(醫師週班表!$C$5:$T$44,$CU11,BQ$57),""),1),IFERROR(INDEX(醫師週班表!$C$5:$T$44,$CU11,BQ$57),"")))))))</f>
        <v/>
      </c>
      <c r="BR11" s="72">
        <f>IF(BR$59="X","",IF(BR$59&lt;&gt;"",BR$59,IF(IFERROR(INDEX(醫師週班表!$C$5:$T$44,$CU11,BR$57),"")=0,"",IF(MID(IFERROR(INDEX(醫師週班表!$C$5:$T$44,$CU11,BR$57),""),2,1)="/",MID(IFERROR(INDEX(醫師週班表!$C$5:$T$44,$CU11,BR$57),""),1+BR$58*2,1),IF(MID(IFERROR(INDEX(醫師週班表!$C$5:$T$44,$CU11,BR$57),""),3,1)="隔",IF(BR$58=0,LEFT(IFERROR(INDEX(醫師週班表!$C$5:$T$44,$CU11,BR$57),""),1),""),IF(MID(IFERROR(INDEX(醫師週班表!$C$5:$T$44,$CU11,BR$57),""),2,1)="(",LEFT(IFERROR(INDEX(醫師週班表!$C$5:$T$44,$CU11,BR$57),""),1),IFERROR(INDEX(醫師週班表!$C$5:$T$44,$CU11,BR$57),"")))))))</f>
        <v/>
      </c>
      <c r="BS11" s="71">
        <f>IF(BS$59="X","",IF(BS$59&lt;&gt;"",BS$59,IF(IFERROR(INDEX(醫師週班表!$C$5:$T$44,$CU11,BS$57),"")=0,"",IF(MID(IFERROR(INDEX(醫師週班表!$C$5:$T$44,$CU11,BS$57),""),2,1)="/",MID(IFERROR(INDEX(醫師週班表!$C$5:$T$44,$CU11,BS$57),""),1+BS$58*2,1),IF(MID(IFERROR(INDEX(醫師週班表!$C$5:$T$44,$CU11,BS$57),""),3,1)="隔",IF(BS$58=0,LEFT(IFERROR(INDEX(醫師週班表!$C$5:$T$44,$CU11,BS$57),""),1),""),IF(MID(IFERROR(INDEX(醫師週班表!$C$5:$T$44,$CU11,BS$57),""),2,1)="(",LEFT(IFERROR(INDEX(醫師週班表!$C$5:$T$44,$CU11,BS$57),""),1),IFERROR(INDEX(醫師週班表!$C$5:$T$44,$CU11,BS$57),"")))))))</f>
        <v/>
      </c>
      <c r="BT11" s="72">
        <f>IF(BT$59="X","",IF(BT$59&lt;&gt;"",BT$59,IF(IFERROR(INDEX(醫師週班表!$C$5:$T$44,$CU11,BT$57),"")=0,"",IF(MID(IFERROR(INDEX(醫師週班表!$C$5:$T$44,$CU11,BT$57),""),2,1)="/",MID(IFERROR(INDEX(醫師週班表!$C$5:$T$44,$CU11,BT$57),""),1+BT$58*2,1),IF(MID(IFERROR(INDEX(醫師週班表!$C$5:$T$44,$CU11,BT$57),""),3,1)="隔",IF(BT$58=0,LEFT(IFERROR(INDEX(醫師週班表!$C$5:$T$44,$CU11,BT$57),""),1),""),IF(MID(IFERROR(INDEX(醫師週班表!$C$5:$T$44,$CU11,BT$57),""),2,1)="(",LEFT(IFERROR(INDEX(醫師週班表!$C$5:$T$44,$CU11,BT$57),""),1),IFERROR(INDEX(醫師週班表!$C$5:$T$44,$CU11,BT$57),"")))))))</f>
        <v/>
      </c>
      <c r="BU11" s="72">
        <f>IF(BU$59="X","",IF(BU$59&lt;&gt;"",BU$59,IF(IFERROR(INDEX(醫師週班表!$C$5:$T$44,$CU11,BU$57),"")=0,"",IF(MID(IFERROR(INDEX(醫師週班表!$C$5:$T$44,$CU11,BU$57),""),2,1)="/",MID(IFERROR(INDEX(醫師週班表!$C$5:$T$44,$CU11,BU$57),""),1+BU$58*2,1),IF(MID(IFERROR(INDEX(醫師週班表!$C$5:$T$44,$CU11,BU$57),""),3,1)="隔",IF(BU$58=0,LEFT(IFERROR(INDEX(醫師週班表!$C$5:$T$44,$CU11,BU$57),""),1),""),IF(MID(IFERROR(INDEX(醫師週班表!$C$5:$T$44,$CU11,BU$57),""),2,1)="(",LEFT(IFERROR(INDEX(醫師週班表!$C$5:$T$44,$CU11,BU$57),""),1),IFERROR(INDEX(醫師週班表!$C$5:$T$44,$CU11,BU$57),"")))))))</f>
        <v/>
      </c>
      <c r="BV11" s="71">
        <f>IF(BV$59="X","",IF(BV$59&lt;&gt;"",BV$59,IF(IFERROR(INDEX(醫師週班表!$C$5:$T$44,$CU11,BV$57),"")=0,"",IF(MID(IFERROR(INDEX(醫師週班表!$C$5:$T$44,$CU11,BV$57),""),2,1)="/",MID(IFERROR(INDEX(醫師週班表!$C$5:$T$44,$CU11,BV$57),""),1+BV$58*2,1),IF(MID(IFERROR(INDEX(醫師週班表!$C$5:$T$44,$CU11,BV$57),""),3,1)="隔",IF(BV$58=0,LEFT(IFERROR(INDEX(醫師週班表!$C$5:$T$44,$CU11,BV$57),""),1),""),IF(MID(IFERROR(INDEX(醫師週班表!$C$5:$T$44,$CU11,BV$57),""),2,1)="(",LEFT(IFERROR(INDEX(醫師週班表!$C$5:$T$44,$CU11,BV$57),""),1),IFERROR(INDEX(醫師週班表!$C$5:$T$44,$CU11,BV$57),"")))))))</f>
        <v/>
      </c>
      <c r="BW11" s="72">
        <f>IF(BW$59="X","",IF(BW$59&lt;&gt;"",BW$59,IF(IFERROR(INDEX(醫師週班表!$C$5:$T$44,$CU11,BW$57),"")=0,"",IF(MID(IFERROR(INDEX(醫師週班表!$C$5:$T$44,$CU11,BW$57),""),2,1)="/",MID(IFERROR(INDEX(醫師週班表!$C$5:$T$44,$CU11,BW$57),""),1+BW$58*2,1),IF(MID(IFERROR(INDEX(醫師週班表!$C$5:$T$44,$CU11,BW$57),""),3,1)="隔",IF(BW$58=0,LEFT(IFERROR(INDEX(醫師週班表!$C$5:$T$44,$CU11,BW$57),""),1),""),IF(MID(IFERROR(INDEX(醫師週班表!$C$5:$T$44,$CU11,BW$57),""),2,1)="(",LEFT(IFERROR(INDEX(醫師週班表!$C$5:$T$44,$CU11,BW$57),""),1),IFERROR(INDEX(醫師週班表!$C$5:$T$44,$CU11,BW$57),"")))))))</f>
        <v/>
      </c>
      <c r="BX11" s="72">
        <f>IF(BX$59="X","",IF(BX$59&lt;&gt;"",BX$59,IF(IFERROR(INDEX(醫師週班表!$C$5:$T$44,$CU11,BX$57),"")=0,"",IF(MID(IFERROR(INDEX(醫師週班表!$C$5:$T$44,$CU11,BX$57),""),2,1)="/",MID(IFERROR(INDEX(醫師週班表!$C$5:$T$44,$CU11,BX$57),""),1+BX$58*2,1),IF(MID(IFERROR(INDEX(醫師週班表!$C$5:$T$44,$CU11,BX$57),""),3,1)="隔",IF(BX$58=0,LEFT(IFERROR(INDEX(醫師週班表!$C$5:$T$44,$CU11,BX$57),""),1),""),IF(MID(IFERROR(INDEX(醫師週班表!$C$5:$T$44,$CU11,BX$57),""),2,1)="(",LEFT(IFERROR(INDEX(醫師週班表!$C$5:$T$44,$CU11,BX$57),""),1),IFERROR(INDEX(醫師週班表!$C$5:$T$44,$CU11,BX$57),"")))))))</f>
        <v/>
      </c>
      <c r="BY11" s="71">
        <f>IF(BY$59="X","",IF(BY$59&lt;&gt;"",BY$59,IF(IFERROR(INDEX(醫師週班表!$C$5:$T$44,$CU11,BY$57),"")=0,"",IF(MID(IFERROR(INDEX(醫師週班表!$C$5:$T$44,$CU11,BY$57),""),2,1)="/",MID(IFERROR(INDEX(醫師週班表!$C$5:$T$44,$CU11,BY$57),""),1+BY$58*2,1),IF(MID(IFERROR(INDEX(醫師週班表!$C$5:$T$44,$CU11,BY$57),""),3,1)="隔",IF(BY$58=0,LEFT(IFERROR(INDEX(醫師週班表!$C$5:$T$44,$CU11,BY$57),""),1),""),IF(MID(IFERROR(INDEX(醫師週班表!$C$5:$T$44,$CU11,BY$57),""),2,1)="(",LEFT(IFERROR(INDEX(醫師週班表!$C$5:$T$44,$CU11,BY$57),""),1),IFERROR(INDEX(醫師週班表!$C$5:$T$44,$CU11,BY$57),"")))))))</f>
        <v/>
      </c>
      <c r="BZ11" s="72">
        <f>IF(BZ$59="X","",IF(BZ$59&lt;&gt;"",BZ$59,IF(IFERROR(INDEX(醫師週班表!$C$5:$T$44,$CU11,BZ$57),"")=0,"",IF(MID(IFERROR(INDEX(醫師週班表!$C$5:$T$44,$CU11,BZ$57),""),2,1)="/",MID(IFERROR(INDEX(醫師週班表!$C$5:$T$44,$CU11,BZ$57),""),1+BZ$58*2,1),IF(MID(IFERROR(INDEX(醫師週班表!$C$5:$T$44,$CU11,BZ$57),""),3,1)="隔",IF(BZ$58=0,LEFT(IFERROR(INDEX(醫師週班表!$C$5:$T$44,$CU11,BZ$57),""),1),""),IF(MID(IFERROR(INDEX(醫師週班表!$C$5:$T$44,$CU11,BZ$57),""),2,1)="(",LEFT(IFERROR(INDEX(醫師週班表!$C$5:$T$44,$CU11,BZ$57),""),1),IFERROR(INDEX(醫師週班表!$C$5:$T$44,$CU11,BZ$57),"")))))))</f>
        <v/>
      </c>
      <c r="CA11" s="72">
        <f>IF(CA$59="X","",IF(CA$59&lt;&gt;"",CA$59,IF(IFERROR(INDEX(醫師週班表!$C$5:$T$44,$CU11,CA$57),"")=0,"",IF(MID(IFERROR(INDEX(醫師週班表!$C$5:$T$44,$CU11,CA$57),""),2,1)="/",MID(IFERROR(INDEX(醫師週班表!$C$5:$T$44,$CU11,CA$57),""),1+CA$58*2,1),IF(MID(IFERROR(INDEX(醫師週班表!$C$5:$T$44,$CU11,CA$57),""),3,1)="隔",IF(CA$58=0,LEFT(IFERROR(INDEX(醫師週班表!$C$5:$T$44,$CU11,CA$57),""),1),""),IF(MID(IFERROR(INDEX(醫師週班表!$C$5:$T$44,$CU11,CA$57),""),2,1)="(",LEFT(IFERROR(INDEX(醫師週班表!$C$5:$T$44,$CU11,CA$57),""),1),IFERROR(INDEX(醫師週班表!$C$5:$T$44,$CU11,CA$57),"")))))))</f>
        <v/>
      </c>
      <c r="CB11" s="71">
        <f>IF(CB$59="X","",IF(CB$59&lt;&gt;"",CB$59,IF(IFERROR(INDEX(醫師週班表!$C$5:$T$44,$CU11,CB$57),"")=0,"",IF(MID(IFERROR(INDEX(醫師週班表!$C$5:$T$44,$CU11,CB$57),""),2,1)="/",MID(IFERROR(INDEX(醫師週班表!$C$5:$T$44,$CU11,CB$57),""),1+CB$58*2,1),IF(MID(IFERROR(INDEX(醫師週班表!$C$5:$T$44,$CU11,CB$57),""),3,1)="隔",IF(CB$58=0,LEFT(IFERROR(INDEX(醫師週班表!$C$5:$T$44,$CU11,CB$57),""),1),""),IF(MID(IFERROR(INDEX(醫師週班表!$C$5:$T$44,$CU11,CB$57),""),2,1)="(",LEFT(IFERROR(INDEX(醫師週班表!$C$5:$T$44,$CU11,CB$57),""),1),IFERROR(INDEX(醫師週班表!$C$5:$T$44,$CU11,CB$57),"")))))))</f>
        <v/>
      </c>
      <c r="CC11" s="72">
        <f>IF(CC$59="X","",IF(CC$59&lt;&gt;"",CC$59,IF(IFERROR(INDEX(醫師週班表!$C$5:$T$44,$CU11,CC$57),"")=0,"",IF(MID(IFERROR(INDEX(醫師週班表!$C$5:$T$44,$CU11,CC$57),""),2,1)="/",MID(IFERROR(INDEX(醫師週班表!$C$5:$T$44,$CU11,CC$57),""),1+CC$58*2,1),IF(MID(IFERROR(INDEX(醫師週班表!$C$5:$T$44,$CU11,CC$57),""),3,1)="隔",IF(CC$58=0,LEFT(IFERROR(INDEX(醫師週班表!$C$5:$T$44,$CU11,CC$57),""),1),""),IF(MID(IFERROR(INDEX(醫師週班表!$C$5:$T$44,$CU11,CC$57),""),2,1)="(",LEFT(IFERROR(INDEX(醫師週班表!$C$5:$T$44,$CU11,CC$57),""),1),IFERROR(INDEX(醫師週班表!$C$5:$T$44,$CU11,CC$57),"")))))))</f>
        <v/>
      </c>
      <c r="CD11" s="72">
        <f>IF(CD$59="X","",IF(CD$59&lt;&gt;"",CD$59,IF(IFERROR(INDEX(醫師週班表!$C$5:$T$44,$CU11,CD$57),"")=0,"",IF(MID(IFERROR(INDEX(醫師週班表!$C$5:$T$44,$CU11,CD$57),""),2,1)="/",MID(IFERROR(INDEX(醫師週班表!$C$5:$T$44,$CU11,CD$57),""),1+CD$58*2,1),IF(MID(IFERROR(INDEX(醫師週班表!$C$5:$T$44,$CU11,CD$57),""),3,1)="隔",IF(CD$58=0,LEFT(IFERROR(INDEX(醫師週班表!$C$5:$T$44,$CU11,CD$57),""),1),""),IF(MID(IFERROR(INDEX(醫師週班表!$C$5:$T$44,$CU11,CD$57),""),2,1)="(",LEFT(IFERROR(INDEX(醫師週班表!$C$5:$T$44,$CU11,CD$57),""),1),IFERROR(INDEX(醫師週班表!$C$5:$T$44,$CU11,CD$57),"")))))))</f>
        <v/>
      </c>
      <c r="CE11" s="71">
        <f>IF(CE$59="X","",IF(CE$59&lt;&gt;"",CE$59,IF(IFERROR(INDEX(醫師週班表!$C$5:$T$44,$CU11,CE$57),"")=0,"",IF(MID(IFERROR(INDEX(醫師週班表!$C$5:$T$44,$CU11,CE$57),""),2,1)="/",MID(IFERROR(INDEX(醫師週班表!$C$5:$T$44,$CU11,CE$57),""),1+CE$58*2,1),IF(MID(IFERROR(INDEX(醫師週班表!$C$5:$T$44,$CU11,CE$57),""),3,1)="隔",IF(CE$58=0,LEFT(IFERROR(INDEX(醫師週班表!$C$5:$T$44,$CU11,CE$57),""),1),""),IF(MID(IFERROR(INDEX(醫師週班表!$C$5:$T$44,$CU11,CE$57),""),2,1)="(",LEFT(IFERROR(INDEX(醫師週班表!$C$5:$T$44,$CU11,CE$57),""),1),IFERROR(INDEX(醫師週班表!$C$5:$T$44,$CU11,CE$57),"")))))))</f>
        <v/>
      </c>
      <c r="CF11" s="72">
        <f>IF(CF$59="X","",IF(CF$59&lt;&gt;"",CF$59,IF(IFERROR(INDEX(醫師週班表!$C$5:$T$44,$CU11,CF$57),"")=0,"",IF(MID(IFERROR(INDEX(醫師週班表!$C$5:$T$44,$CU11,CF$57),""),2,1)="/",MID(IFERROR(INDEX(醫師週班表!$C$5:$T$44,$CU11,CF$57),""),1+CF$58*2,1),IF(MID(IFERROR(INDEX(醫師週班表!$C$5:$T$44,$CU11,CF$57),""),3,1)="隔",IF(CF$58=0,LEFT(IFERROR(INDEX(醫師週班表!$C$5:$T$44,$CU11,CF$57),""),1),""),IF(MID(IFERROR(INDEX(醫師週班表!$C$5:$T$44,$CU11,CF$57),""),2,1)="(",LEFT(IFERROR(INDEX(醫師週班表!$C$5:$T$44,$CU11,CF$57),""),1),IFERROR(INDEX(醫師週班表!$C$5:$T$44,$CU11,CF$57),"")))))))</f>
        <v/>
      </c>
      <c r="CG11" s="72">
        <f>IF(CG$59="X","",IF(CG$59&lt;&gt;"",CG$59,IF(IFERROR(INDEX(醫師週班表!$C$5:$T$44,$CU11,CG$57),"")=0,"",IF(MID(IFERROR(INDEX(醫師週班表!$C$5:$T$44,$CU11,CG$57),""),2,1)="/",MID(IFERROR(INDEX(醫師週班表!$C$5:$T$44,$CU11,CG$57),""),1+CG$58*2,1),IF(MID(IFERROR(INDEX(醫師週班表!$C$5:$T$44,$CU11,CG$57),""),3,1)="隔",IF(CG$58=0,LEFT(IFERROR(INDEX(醫師週班表!$C$5:$T$44,$CU11,CG$57),""),1),""),IF(MID(IFERROR(INDEX(醫師週班表!$C$5:$T$44,$CU11,CG$57),""),2,1)="(",LEFT(IFERROR(INDEX(醫師週班表!$C$5:$T$44,$CU11,CG$57),""),1),IFERROR(INDEX(醫師週班表!$C$5:$T$44,$CU11,CG$57),"")))))))</f>
        <v/>
      </c>
      <c r="CH11" s="71">
        <f>IF(CH$59="X","",IF(CH$59&lt;&gt;"",CH$59,IF(IFERROR(INDEX(醫師週班表!$C$5:$T$44,$CU11,CH$57),"")=0,"",IF(MID(IFERROR(INDEX(醫師週班表!$C$5:$T$44,$CU11,CH$57),""),2,1)="/",MID(IFERROR(INDEX(醫師週班表!$C$5:$T$44,$CU11,CH$57),""),1+CH$58*2,1),IF(MID(IFERROR(INDEX(醫師週班表!$C$5:$T$44,$CU11,CH$57),""),3,1)="隔",IF(CH$58=0,LEFT(IFERROR(INDEX(醫師週班表!$C$5:$T$44,$CU11,CH$57),""),1),""),IF(MID(IFERROR(INDEX(醫師週班表!$C$5:$T$44,$CU11,CH$57),""),2,1)="(",LEFT(IFERROR(INDEX(醫師週班表!$C$5:$T$44,$CU11,CH$57),""),1),IFERROR(INDEX(醫師週班表!$C$5:$T$44,$CU11,CH$57),"")))))))</f>
        <v/>
      </c>
      <c r="CI11" s="72">
        <f>IF(CI$59="X","",IF(CI$59&lt;&gt;"",CI$59,IF(IFERROR(INDEX(醫師週班表!$C$5:$T$44,$CU11,CI$57),"")=0,"",IF(MID(IFERROR(INDEX(醫師週班表!$C$5:$T$44,$CU11,CI$57),""),2,1)="/",MID(IFERROR(INDEX(醫師週班表!$C$5:$T$44,$CU11,CI$57),""),1+CI$58*2,1),IF(MID(IFERROR(INDEX(醫師週班表!$C$5:$T$44,$CU11,CI$57),""),3,1)="隔",IF(CI$58=0,LEFT(IFERROR(INDEX(醫師週班表!$C$5:$T$44,$CU11,CI$57),""),1),""),IF(MID(IFERROR(INDEX(醫師週班表!$C$5:$T$44,$CU11,CI$57),""),2,1)="(",LEFT(IFERROR(INDEX(醫師週班表!$C$5:$T$44,$CU11,CI$57),""),1),IFERROR(INDEX(醫師週班表!$C$5:$T$44,$CU11,CI$57),"")))))))</f>
        <v/>
      </c>
      <c r="CJ11" s="72">
        <f>IF(CJ$59="X","",IF(CJ$59&lt;&gt;"",CJ$59,IF(IFERROR(INDEX(醫師週班表!$C$5:$T$44,$CU11,CJ$57),"")=0,"",IF(MID(IFERROR(INDEX(醫師週班表!$C$5:$T$44,$CU11,CJ$57),""),2,1)="/",MID(IFERROR(INDEX(醫師週班表!$C$5:$T$44,$CU11,CJ$57),""),1+CJ$58*2,1),IF(MID(IFERROR(INDEX(醫師週班表!$C$5:$T$44,$CU11,CJ$57),""),3,1)="隔",IF(CJ$58=0,LEFT(IFERROR(INDEX(醫師週班表!$C$5:$T$44,$CU11,CJ$57),""),1),""),IF(MID(IFERROR(INDEX(醫師週班表!$C$5:$T$44,$CU11,CJ$57),""),2,1)="(",LEFT(IFERROR(INDEX(醫師週班表!$C$5:$T$44,$CU11,CJ$57),""),1),IFERROR(INDEX(醫師週班表!$C$5:$T$44,$CU11,CJ$57),"")))))))</f>
        <v/>
      </c>
      <c r="CK11" s="71">
        <f>IF(CK$59="X","",IF(CK$59&lt;&gt;"",CK$59,IF(IFERROR(INDEX(醫師週班表!$C$5:$T$44,$CU11,CK$57),"")=0,"",IF(MID(IFERROR(INDEX(醫師週班表!$C$5:$T$44,$CU11,CK$57),""),2,1)="/",MID(IFERROR(INDEX(醫師週班表!$C$5:$T$44,$CU11,CK$57),""),1+CK$58*2,1),IF(MID(IFERROR(INDEX(醫師週班表!$C$5:$T$44,$CU11,CK$57),""),3,1)="隔",IF(CK$58=0,LEFT(IFERROR(INDEX(醫師週班表!$C$5:$T$44,$CU11,CK$57),""),1),""),IF(MID(IFERROR(INDEX(醫師週班表!$C$5:$T$44,$CU11,CK$57),""),2,1)="(",LEFT(IFERROR(INDEX(醫師週班表!$C$5:$T$44,$CU11,CK$57),""),1),IFERROR(INDEX(醫師週班表!$C$5:$T$44,$CU11,CK$57),"")))))))</f>
        <v/>
      </c>
      <c r="CL11" s="72">
        <f>IF(CL$59="X","",IF(CL$59&lt;&gt;"",CL$59,IF(IFERROR(INDEX(醫師週班表!$C$5:$T$44,$CU11,CL$57),"")=0,"",IF(MID(IFERROR(INDEX(醫師週班表!$C$5:$T$44,$CU11,CL$57),""),2,1)="/",MID(IFERROR(INDEX(醫師週班表!$C$5:$T$44,$CU11,CL$57),""),1+CL$58*2,1),IF(MID(IFERROR(INDEX(醫師週班表!$C$5:$T$44,$CU11,CL$57),""),3,1)="隔",IF(CL$58=0,LEFT(IFERROR(INDEX(醫師週班表!$C$5:$T$44,$CU11,CL$57),""),1),""),IF(MID(IFERROR(INDEX(醫師週班表!$C$5:$T$44,$CU11,CL$57),""),2,1)="(",LEFT(IFERROR(INDEX(醫師週班表!$C$5:$T$44,$CU11,CL$57),""),1),IFERROR(INDEX(醫師週班表!$C$5:$T$44,$CU11,CL$57),"")))))))</f>
        <v/>
      </c>
      <c r="CM11" s="72">
        <f>IF(CM$59="X","",IF(CM$59&lt;&gt;"",CM$59,IF(IFERROR(INDEX(醫師週班表!$C$5:$T$44,$CU11,CM$57),"")=0,"",IF(MID(IFERROR(INDEX(醫師週班表!$C$5:$T$44,$CU11,CM$57),""),2,1)="/",MID(IFERROR(INDEX(醫師週班表!$C$5:$T$44,$CU11,CM$57),""),1+CM$58*2,1),IF(MID(IFERROR(INDEX(醫師週班表!$C$5:$T$44,$CU11,CM$57),""),3,1)="隔",IF(CM$58=0,LEFT(IFERROR(INDEX(醫師週班表!$C$5:$T$44,$CU11,CM$57),""),1),""),IF(MID(IFERROR(INDEX(醫師週班表!$C$5:$T$44,$CU11,CM$57),""),2,1)="(",LEFT(IFERROR(INDEX(醫師週班表!$C$5:$T$44,$CU11,CM$57),""),1),IFERROR(INDEX(醫師週班表!$C$5:$T$44,$CU11,CM$57),"")))))))</f>
        <v/>
      </c>
      <c r="CN11" s="71">
        <f>IF(CN$59="X","",IF(CN$59&lt;&gt;"",CN$59,IF(IFERROR(INDEX(醫師週班表!$C$5:$T$44,$CU11,CN$57),"")=0,"",IF(MID(IFERROR(INDEX(醫師週班表!$C$5:$T$44,$CU11,CN$57),""),2,1)="/",MID(IFERROR(INDEX(醫師週班表!$C$5:$T$44,$CU11,CN$57),""),1+CN$58*2,1),IF(MID(IFERROR(INDEX(醫師週班表!$C$5:$T$44,$CU11,CN$57),""),3,1)="隔",IF(CN$58=0,LEFT(IFERROR(INDEX(醫師週班表!$C$5:$T$44,$CU11,CN$57),""),1),""),IF(MID(IFERROR(INDEX(醫師週班表!$C$5:$T$44,$CU11,CN$57),""),2,1)="(",LEFT(IFERROR(INDEX(醫師週班表!$C$5:$T$44,$CU11,CN$57),""),1),IFERROR(INDEX(醫師週班表!$C$5:$T$44,$CU11,CN$57),"")))))))</f>
        <v/>
      </c>
      <c r="CO11" s="72">
        <f>IF(CO$59="X","",IF(CO$59&lt;&gt;"",CO$59,IF(IFERROR(INDEX(醫師週班表!$C$5:$T$44,$CU11,CO$57),"")=0,"",IF(MID(IFERROR(INDEX(醫師週班表!$C$5:$T$44,$CU11,CO$57),""),2,1)="/",MID(IFERROR(INDEX(醫師週班表!$C$5:$T$44,$CU11,CO$57),""),1+CO$58*2,1),IF(MID(IFERROR(INDEX(醫師週班表!$C$5:$T$44,$CU11,CO$57),""),3,1)="隔",IF(CO$58=0,LEFT(IFERROR(INDEX(醫師週班表!$C$5:$T$44,$CU11,CO$57),""),1),""),IF(MID(IFERROR(INDEX(醫師週班表!$C$5:$T$44,$CU11,CO$57),""),2,1)="(",LEFT(IFERROR(INDEX(醫師週班表!$C$5:$T$44,$CU11,CO$57),""),1),IFERROR(INDEX(醫師週班表!$C$5:$T$44,$CU11,CO$57),"")))))))</f>
        <v/>
      </c>
      <c r="CP11" s="72">
        <f>IF(CP$59="X","",IF(CP$59&lt;&gt;"",CP$59,IF(IFERROR(INDEX(醫師週班表!$C$5:$T$44,$CU11,CP$57),"")=0,"",IF(MID(IFERROR(INDEX(醫師週班表!$C$5:$T$44,$CU11,CP$57),""),2,1)="/",MID(IFERROR(INDEX(醫師週班表!$C$5:$T$44,$CU11,CP$57),""),1+CP$58*2,1),IF(MID(IFERROR(INDEX(醫師週班表!$C$5:$T$44,$CU11,CP$57),""),3,1)="隔",IF(CP$58=0,LEFT(IFERROR(INDEX(醫師週班表!$C$5:$T$44,$CU11,CP$57),""),1),""),IF(MID(IFERROR(INDEX(醫師週班表!$C$5:$T$44,$CU11,CP$57),""),2,1)="(",LEFT(IFERROR(INDEX(醫師週班表!$C$5:$T$44,$CU11,CP$57),""),1),IFERROR(INDEX(醫師週班表!$C$5:$T$44,$CU11,CP$57),"")))))))</f>
        <v/>
      </c>
      <c r="CQ11" s="71">
        <f>IF(CQ$59="X","",IF(CQ$59&lt;&gt;"",CQ$59,IF(IFERROR(INDEX(醫師週班表!$C$5:$T$44,$CU11,CQ$57),"")=0,"",IF(MID(IFERROR(INDEX(醫師週班表!$C$5:$T$44,$CU11,CQ$57),""),2,1)="/",MID(IFERROR(INDEX(醫師週班表!$C$5:$T$44,$CU11,CQ$57),""),1+CQ$58*2,1),IF(MID(IFERROR(INDEX(醫師週班表!$C$5:$T$44,$CU11,CQ$57),""),3,1)="隔",IF(CQ$58=0,LEFT(IFERROR(INDEX(醫師週班表!$C$5:$T$44,$CU11,CQ$57),""),1),""),IF(MID(IFERROR(INDEX(醫師週班表!$C$5:$T$44,$CU11,CQ$57),""),2,1)="(",LEFT(IFERROR(INDEX(醫師週班表!$C$5:$T$44,$CU11,CQ$57),""),1),IFERROR(INDEX(醫師週班表!$C$5:$T$44,$CU11,CQ$57),"")))))))</f>
        <v/>
      </c>
      <c r="CR11" s="72">
        <f>IF(CR$59="X","",IF(CR$59&lt;&gt;"",CR$59,IF(IFERROR(INDEX(醫師週班表!$C$5:$T$44,$CU11,CR$57),"")=0,"",IF(MID(IFERROR(INDEX(醫師週班表!$C$5:$T$44,$CU11,CR$57),""),2,1)="/",MID(IFERROR(INDEX(醫師週班表!$C$5:$T$44,$CU11,CR$57),""),1+CR$58*2,1),IF(MID(IFERROR(INDEX(醫師週班表!$C$5:$T$44,$CU11,CR$57),""),3,1)="隔",IF(CR$58=0,LEFT(IFERROR(INDEX(醫師週班表!$C$5:$T$44,$CU11,CR$57),""),1),""),IF(MID(IFERROR(INDEX(醫師週班表!$C$5:$T$44,$CU11,CR$57),""),2,1)="(",LEFT(IFERROR(INDEX(醫師週班表!$C$5:$T$44,$CU11,CR$57),""),1),IFERROR(INDEX(醫師週班表!$C$5:$T$44,$CU11,CR$57),"")))))))</f>
        <v/>
      </c>
      <c r="CS11" s="72">
        <f>IF(CS$59="X","",IF(CS$59&lt;&gt;"",CS$59,IF(IFERROR(INDEX(醫師週班表!$C$5:$T$44,$CU11,CS$57),"")=0,"",IF(MID(IFERROR(INDEX(醫師週班表!$C$5:$T$44,$CU11,CS$57),""),2,1)="/",MID(IFERROR(INDEX(醫師週班表!$C$5:$T$44,$CU11,CS$57),""),1+CS$58*2,1),IF(MID(IFERROR(INDEX(醫師週班表!$C$5:$T$44,$CU11,CS$57),""),3,1)="隔",IF(CS$58=0,LEFT(IFERROR(INDEX(醫師週班表!$C$5:$T$44,$CU11,CS$57),""),1),""),IF(MID(IFERROR(INDEX(醫師週班表!$C$5:$T$44,$CU11,CS$57),""),2,1)="(",LEFT(IFERROR(INDEX(醫師週班表!$C$5:$T$44,$CU11,CS$57),""),1),IFERROR(INDEX(醫師週班表!$C$5:$T$44,$CU11,CS$57),"")))))))</f>
        <v/>
      </c>
      <c r="CU11" s="73">
        <f>IFERROR(MATCH($A11,醫師週班表!$A$5:$A$44,0),0)</f>
        <v/>
      </c>
    </row>
    <row r="12" ht="17" customHeight="1">
      <c r="A12" s="19" t="inlineStr">
        <is>
          <t>D007</t>
        </is>
      </c>
      <c r="B12" s="16" t="inlineStr">
        <is>
          <t>温翊君</t>
        </is>
      </c>
      <c r="C12" s="70" t="inlineStr">
        <is>
          <t>根管治療專科</t>
        </is>
      </c>
      <c r="D12" s="16" t="inlineStr"/>
      <c r="E12" s="71">
        <f>IF(E$59="X","",IF(E$59&lt;&gt;"",E$59,IF(IFERROR(INDEX(醫師週班表!$C$5:$T$44,$CU12,E$57),"")=0,"",IF(MID(IFERROR(INDEX(醫師週班表!$C$5:$T$44,$CU12,E$57),""),2,1)="/",MID(IFERROR(INDEX(醫師週班表!$C$5:$T$44,$CU12,E$57),""),1+E$58*2,1),IF(MID(IFERROR(INDEX(醫師週班表!$C$5:$T$44,$CU12,E$57),""),3,1)="隔",IF(E$58=0,LEFT(IFERROR(INDEX(醫師週班表!$C$5:$T$44,$CU12,E$57),""),1),""),IF(MID(IFERROR(INDEX(醫師週班表!$C$5:$T$44,$CU12,E$57),""),2,1)="(",LEFT(IFERROR(INDEX(醫師週班表!$C$5:$T$44,$CU12,E$57),""),1),IFERROR(INDEX(醫師週班表!$C$5:$T$44,$CU12,E$57),"")))))))</f>
        <v/>
      </c>
      <c r="F12" s="72">
        <f>IF(F$59="X","",IF(F$59&lt;&gt;"",F$59,IF(IFERROR(INDEX(醫師週班表!$C$5:$T$44,$CU12,F$57),"")=0,"",IF(MID(IFERROR(INDEX(醫師週班表!$C$5:$T$44,$CU12,F$57),""),2,1)="/",MID(IFERROR(INDEX(醫師週班表!$C$5:$T$44,$CU12,F$57),""),1+F$58*2,1),IF(MID(IFERROR(INDEX(醫師週班表!$C$5:$T$44,$CU12,F$57),""),3,1)="隔",IF(F$58=0,LEFT(IFERROR(INDEX(醫師週班表!$C$5:$T$44,$CU12,F$57),""),1),""),IF(MID(IFERROR(INDEX(醫師週班表!$C$5:$T$44,$CU12,F$57),""),2,1)="(",LEFT(IFERROR(INDEX(醫師週班表!$C$5:$T$44,$CU12,F$57),""),1),IFERROR(INDEX(醫師週班表!$C$5:$T$44,$CU12,F$57),"")))))))</f>
        <v/>
      </c>
      <c r="G12" s="72">
        <f>IF(G$59="X","",IF(G$59&lt;&gt;"",G$59,IF(IFERROR(INDEX(醫師週班表!$C$5:$T$44,$CU12,G$57),"")=0,"",IF(MID(IFERROR(INDEX(醫師週班表!$C$5:$T$44,$CU12,G$57),""),2,1)="/",MID(IFERROR(INDEX(醫師週班表!$C$5:$T$44,$CU12,G$57),""),1+G$58*2,1),IF(MID(IFERROR(INDEX(醫師週班表!$C$5:$T$44,$CU12,G$57),""),3,1)="隔",IF(G$58=0,LEFT(IFERROR(INDEX(醫師週班表!$C$5:$T$44,$CU12,G$57),""),1),""),IF(MID(IFERROR(INDEX(醫師週班表!$C$5:$T$44,$CU12,G$57),""),2,1)="(",LEFT(IFERROR(INDEX(醫師週班表!$C$5:$T$44,$CU12,G$57),""),1),IFERROR(INDEX(醫師週班表!$C$5:$T$44,$CU12,G$57),"")))))))</f>
        <v/>
      </c>
      <c r="H12" s="71">
        <f>IF(H$59="X","",IF(H$59&lt;&gt;"",H$59,IF(IFERROR(INDEX(醫師週班表!$C$5:$T$44,$CU12,H$57),"")=0,"",IF(MID(IFERROR(INDEX(醫師週班表!$C$5:$T$44,$CU12,H$57),""),2,1)="/",MID(IFERROR(INDEX(醫師週班表!$C$5:$T$44,$CU12,H$57),""),1+H$58*2,1),IF(MID(IFERROR(INDEX(醫師週班表!$C$5:$T$44,$CU12,H$57),""),3,1)="隔",IF(H$58=0,LEFT(IFERROR(INDEX(醫師週班表!$C$5:$T$44,$CU12,H$57),""),1),""),IF(MID(IFERROR(INDEX(醫師週班表!$C$5:$T$44,$CU12,H$57),""),2,1)="(",LEFT(IFERROR(INDEX(醫師週班表!$C$5:$T$44,$CU12,H$57),""),1),IFERROR(INDEX(醫師週班表!$C$5:$T$44,$CU12,H$57),"")))))))</f>
        <v/>
      </c>
      <c r="I12" s="72">
        <f>IF(I$59="X","",IF(I$59&lt;&gt;"",I$59,IF(IFERROR(INDEX(醫師週班表!$C$5:$T$44,$CU12,I$57),"")=0,"",IF(MID(IFERROR(INDEX(醫師週班表!$C$5:$T$44,$CU12,I$57),""),2,1)="/",MID(IFERROR(INDEX(醫師週班表!$C$5:$T$44,$CU12,I$57),""),1+I$58*2,1),IF(MID(IFERROR(INDEX(醫師週班表!$C$5:$T$44,$CU12,I$57),""),3,1)="隔",IF(I$58=0,LEFT(IFERROR(INDEX(醫師週班表!$C$5:$T$44,$CU12,I$57),""),1),""),IF(MID(IFERROR(INDEX(醫師週班表!$C$5:$T$44,$CU12,I$57),""),2,1)="(",LEFT(IFERROR(INDEX(醫師週班表!$C$5:$T$44,$CU12,I$57),""),1),IFERROR(INDEX(醫師週班表!$C$5:$T$44,$CU12,I$57),"")))))))</f>
        <v/>
      </c>
      <c r="J12" s="72">
        <f>IF(J$59="X","",IF(J$59&lt;&gt;"",J$59,IF(IFERROR(INDEX(醫師週班表!$C$5:$T$44,$CU12,J$57),"")=0,"",IF(MID(IFERROR(INDEX(醫師週班表!$C$5:$T$44,$CU12,J$57),""),2,1)="/",MID(IFERROR(INDEX(醫師週班表!$C$5:$T$44,$CU12,J$57),""),1+J$58*2,1),IF(MID(IFERROR(INDEX(醫師週班表!$C$5:$T$44,$CU12,J$57),""),3,1)="隔",IF(J$58=0,LEFT(IFERROR(INDEX(醫師週班表!$C$5:$T$44,$CU12,J$57),""),1),""),IF(MID(IFERROR(INDEX(醫師週班表!$C$5:$T$44,$CU12,J$57),""),2,1)="(",LEFT(IFERROR(INDEX(醫師週班表!$C$5:$T$44,$CU12,J$57),""),1),IFERROR(INDEX(醫師週班表!$C$5:$T$44,$CU12,J$57),"")))))))</f>
        <v/>
      </c>
      <c r="K12" s="71">
        <f>IF(K$59="X","",IF(K$59&lt;&gt;"",K$59,IF(IFERROR(INDEX(醫師週班表!$C$5:$T$44,$CU12,K$57),"")=0,"",IF(MID(IFERROR(INDEX(醫師週班表!$C$5:$T$44,$CU12,K$57),""),2,1)="/",MID(IFERROR(INDEX(醫師週班表!$C$5:$T$44,$CU12,K$57),""),1+K$58*2,1),IF(MID(IFERROR(INDEX(醫師週班表!$C$5:$T$44,$CU12,K$57),""),3,1)="隔",IF(K$58=0,LEFT(IFERROR(INDEX(醫師週班表!$C$5:$T$44,$CU12,K$57),""),1),""),IF(MID(IFERROR(INDEX(醫師週班表!$C$5:$T$44,$CU12,K$57),""),2,1)="(",LEFT(IFERROR(INDEX(醫師週班表!$C$5:$T$44,$CU12,K$57),""),1),IFERROR(INDEX(醫師週班表!$C$5:$T$44,$CU12,K$57),"")))))))</f>
        <v/>
      </c>
      <c r="L12" s="72">
        <f>IF(L$59="X","",IF(L$59&lt;&gt;"",L$59,IF(IFERROR(INDEX(醫師週班表!$C$5:$T$44,$CU12,L$57),"")=0,"",IF(MID(IFERROR(INDEX(醫師週班表!$C$5:$T$44,$CU12,L$57),""),2,1)="/",MID(IFERROR(INDEX(醫師週班表!$C$5:$T$44,$CU12,L$57),""),1+L$58*2,1),IF(MID(IFERROR(INDEX(醫師週班表!$C$5:$T$44,$CU12,L$57),""),3,1)="隔",IF(L$58=0,LEFT(IFERROR(INDEX(醫師週班表!$C$5:$T$44,$CU12,L$57),""),1),""),IF(MID(IFERROR(INDEX(醫師週班表!$C$5:$T$44,$CU12,L$57),""),2,1)="(",LEFT(IFERROR(INDEX(醫師週班表!$C$5:$T$44,$CU12,L$57),""),1),IFERROR(INDEX(醫師週班表!$C$5:$T$44,$CU12,L$57),"")))))))</f>
        <v/>
      </c>
      <c r="M12" s="72">
        <f>IF(M$59="X","",IF(M$59&lt;&gt;"",M$59,IF(IFERROR(INDEX(醫師週班表!$C$5:$T$44,$CU12,M$57),"")=0,"",IF(MID(IFERROR(INDEX(醫師週班表!$C$5:$T$44,$CU12,M$57),""),2,1)="/",MID(IFERROR(INDEX(醫師週班表!$C$5:$T$44,$CU12,M$57),""),1+M$58*2,1),IF(MID(IFERROR(INDEX(醫師週班表!$C$5:$T$44,$CU12,M$57),""),3,1)="隔",IF(M$58=0,LEFT(IFERROR(INDEX(醫師週班表!$C$5:$T$44,$CU12,M$57),""),1),""),IF(MID(IFERROR(INDEX(醫師週班表!$C$5:$T$44,$CU12,M$57),""),2,1)="(",LEFT(IFERROR(INDEX(醫師週班表!$C$5:$T$44,$CU12,M$57),""),1),IFERROR(INDEX(醫師週班表!$C$5:$T$44,$CU12,M$57),"")))))))</f>
        <v/>
      </c>
      <c r="N12" s="71">
        <f>IF(N$59="X","",IF(N$59&lt;&gt;"",N$59,IF(IFERROR(INDEX(醫師週班表!$C$5:$T$44,$CU12,N$57),"")=0,"",IF(MID(IFERROR(INDEX(醫師週班表!$C$5:$T$44,$CU12,N$57),""),2,1)="/",MID(IFERROR(INDEX(醫師週班表!$C$5:$T$44,$CU12,N$57),""),1+N$58*2,1),IF(MID(IFERROR(INDEX(醫師週班表!$C$5:$T$44,$CU12,N$57),""),3,1)="隔",IF(N$58=0,LEFT(IFERROR(INDEX(醫師週班表!$C$5:$T$44,$CU12,N$57),""),1),""),IF(MID(IFERROR(INDEX(醫師週班表!$C$5:$T$44,$CU12,N$57),""),2,1)="(",LEFT(IFERROR(INDEX(醫師週班表!$C$5:$T$44,$CU12,N$57),""),1),IFERROR(INDEX(醫師週班表!$C$5:$T$44,$CU12,N$57),"")))))))</f>
        <v/>
      </c>
      <c r="O12" s="72">
        <f>IF(O$59="X","",IF(O$59&lt;&gt;"",O$59,IF(IFERROR(INDEX(醫師週班表!$C$5:$T$44,$CU12,O$57),"")=0,"",IF(MID(IFERROR(INDEX(醫師週班表!$C$5:$T$44,$CU12,O$57),""),2,1)="/",MID(IFERROR(INDEX(醫師週班表!$C$5:$T$44,$CU12,O$57),""),1+O$58*2,1),IF(MID(IFERROR(INDEX(醫師週班表!$C$5:$T$44,$CU12,O$57),""),3,1)="隔",IF(O$58=0,LEFT(IFERROR(INDEX(醫師週班表!$C$5:$T$44,$CU12,O$57),""),1),""),IF(MID(IFERROR(INDEX(醫師週班表!$C$5:$T$44,$CU12,O$57),""),2,1)="(",LEFT(IFERROR(INDEX(醫師週班表!$C$5:$T$44,$CU12,O$57),""),1),IFERROR(INDEX(醫師週班表!$C$5:$T$44,$CU12,O$57),"")))))))</f>
        <v/>
      </c>
      <c r="P12" s="72">
        <f>IF(P$59="X","",IF(P$59&lt;&gt;"",P$59,IF(IFERROR(INDEX(醫師週班表!$C$5:$T$44,$CU12,P$57),"")=0,"",IF(MID(IFERROR(INDEX(醫師週班表!$C$5:$T$44,$CU12,P$57),""),2,1)="/",MID(IFERROR(INDEX(醫師週班表!$C$5:$T$44,$CU12,P$57),""),1+P$58*2,1),IF(MID(IFERROR(INDEX(醫師週班表!$C$5:$T$44,$CU12,P$57),""),3,1)="隔",IF(P$58=0,LEFT(IFERROR(INDEX(醫師週班表!$C$5:$T$44,$CU12,P$57),""),1),""),IF(MID(IFERROR(INDEX(醫師週班表!$C$5:$T$44,$CU12,P$57),""),2,1)="(",LEFT(IFERROR(INDEX(醫師週班表!$C$5:$T$44,$CU12,P$57),""),1),IFERROR(INDEX(醫師週班表!$C$5:$T$44,$CU12,P$57),"")))))))</f>
        <v/>
      </c>
      <c r="Q12" s="71">
        <f>IF(Q$59="X","",IF(Q$59&lt;&gt;"",Q$59,IF(IFERROR(INDEX(醫師週班表!$C$5:$T$44,$CU12,Q$57),"")=0,"",IF(MID(IFERROR(INDEX(醫師週班表!$C$5:$T$44,$CU12,Q$57),""),2,1)="/",MID(IFERROR(INDEX(醫師週班表!$C$5:$T$44,$CU12,Q$57),""),1+Q$58*2,1),IF(MID(IFERROR(INDEX(醫師週班表!$C$5:$T$44,$CU12,Q$57),""),3,1)="隔",IF(Q$58=0,LEFT(IFERROR(INDEX(醫師週班表!$C$5:$T$44,$CU12,Q$57),""),1),""),IF(MID(IFERROR(INDEX(醫師週班表!$C$5:$T$44,$CU12,Q$57),""),2,1)="(",LEFT(IFERROR(INDEX(醫師週班表!$C$5:$T$44,$CU12,Q$57),""),1),IFERROR(INDEX(醫師週班表!$C$5:$T$44,$CU12,Q$57),"")))))))</f>
        <v/>
      </c>
      <c r="R12" s="72">
        <f>IF(R$59="X","",IF(R$59&lt;&gt;"",R$59,IF(IFERROR(INDEX(醫師週班表!$C$5:$T$44,$CU12,R$57),"")=0,"",IF(MID(IFERROR(INDEX(醫師週班表!$C$5:$T$44,$CU12,R$57),""),2,1)="/",MID(IFERROR(INDEX(醫師週班表!$C$5:$T$44,$CU12,R$57),""),1+R$58*2,1),IF(MID(IFERROR(INDEX(醫師週班表!$C$5:$T$44,$CU12,R$57),""),3,1)="隔",IF(R$58=0,LEFT(IFERROR(INDEX(醫師週班表!$C$5:$T$44,$CU12,R$57),""),1),""),IF(MID(IFERROR(INDEX(醫師週班表!$C$5:$T$44,$CU12,R$57),""),2,1)="(",LEFT(IFERROR(INDEX(醫師週班表!$C$5:$T$44,$CU12,R$57),""),1),IFERROR(INDEX(醫師週班表!$C$5:$T$44,$CU12,R$57),"")))))))</f>
        <v/>
      </c>
      <c r="S12" s="72">
        <f>IF(S$59="X","",IF(S$59&lt;&gt;"",S$59,IF(IFERROR(INDEX(醫師週班表!$C$5:$T$44,$CU12,S$57),"")=0,"",IF(MID(IFERROR(INDEX(醫師週班表!$C$5:$T$44,$CU12,S$57),""),2,1)="/",MID(IFERROR(INDEX(醫師週班表!$C$5:$T$44,$CU12,S$57),""),1+S$58*2,1),IF(MID(IFERROR(INDEX(醫師週班表!$C$5:$T$44,$CU12,S$57),""),3,1)="隔",IF(S$58=0,LEFT(IFERROR(INDEX(醫師週班表!$C$5:$T$44,$CU12,S$57),""),1),""),IF(MID(IFERROR(INDEX(醫師週班表!$C$5:$T$44,$CU12,S$57),""),2,1)="(",LEFT(IFERROR(INDEX(醫師週班表!$C$5:$T$44,$CU12,S$57),""),1),IFERROR(INDEX(醫師週班表!$C$5:$T$44,$CU12,S$57),"")))))))</f>
        <v/>
      </c>
      <c r="T12" s="71">
        <f>IF(T$59="X","",IF(T$59&lt;&gt;"",T$59,IF(IFERROR(INDEX(醫師週班表!$C$5:$T$44,$CU12,T$57),"")=0,"",IF(MID(IFERROR(INDEX(醫師週班表!$C$5:$T$44,$CU12,T$57),""),2,1)="/",MID(IFERROR(INDEX(醫師週班表!$C$5:$T$44,$CU12,T$57),""),1+T$58*2,1),IF(MID(IFERROR(INDEX(醫師週班表!$C$5:$T$44,$CU12,T$57),""),3,1)="隔",IF(T$58=0,LEFT(IFERROR(INDEX(醫師週班表!$C$5:$T$44,$CU12,T$57),""),1),""),IF(MID(IFERROR(INDEX(醫師週班表!$C$5:$T$44,$CU12,T$57),""),2,1)="(",LEFT(IFERROR(INDEX(醫師週班表!$C$5:$T$44,$CU12,T$57),""),1),IFERROR(INDEX(醫師週班表!$C$5:$T$44,$CU12,T$57),"")))))))</f>
        <v/>
      </c>
      <c r="U12" s="72">
        <f>IF(U$59="X","",IF(U$59&lt;&gt;"",U$59,IF(IFERROR(INDEX(醫師週班表!$C$5:$T$44,$CU12,U$57),"")=0,"",IF(MID(IFERROR(INDEX(醫師週班表!$C$5:$T$44,$CU12,U$57),""),2,1)="/",MID(IFERROR(INDEX(醫師週班表!$C$5:$T$44,$CU12,U$57),""),1+U$58*2,1),IF(MID(IFERROR(INDEX(醫師週班表!$C$5:$T$44,$CU12,U$57),""),3,1)="隔",IF(U$58=0,LEFT(IFERROR(INDEX(醫師週班表!$C$5:$T$44,$CU12,U$57),""),1),""),IF(MID(IFERROR(INDEX(醫師週班表!$C$5:$T$44,$CU12,U$57),""),2,1)="(",LEFT(IFERROR(INDEX(醫師週班表!$C$5:$T$44,$CU12,U$57),""),1),IFERROR(INDEX(醫師週班表!$C$5:$T$44,$CU12,U$57),"")))))))</f>
        <v/>
      </c>
      <c r="V12" s="72">
        <f>IF(V$59="X","",IF(V$59&lt;&gt;"",V$59,IF(IFERROR(INDEX(醫師週班表!$C$5:$T$44,$CU12,V$57),"")=0,"",IF(MID(IFERROR(INDEX(醫師週班表!$C$5:$T$44,$CU12,V$57),""),2,1)="/",MID(IFERROR(INDEX(醫師週班表!$C$5:$T$44,$CU12,V$57),""),1+V$58*2,1),IF(MID(IFERROR(INDEX(醫師週班表!$C$5:$T$44,$CU12,V$57),""),3,1)="隔",IF(V$58=0,LEFT(IFERROR(INDEX(醫師週班表!$C$5:$T$44,$CU12,V$57),""),1),""),IF(MID(IFERROR(INDEX(醫師週班表!$C$5:$T$44,$CU12,V$57),""),2,1)="(",LEFT(IFERROR(INDEX(醫師週班表!$C$5:$T$44,$CU12,V$57),""),1),IFERROR(INDEX(醫師週班表!$C$5:$T$44,$CU12,V$57),"")))))))</f>
        <v/>
      </c>
      <c r="W12" s="71">
        <f>IF(W$59="X","",IF(W$59&lt;&gt;"",W$59,IF(IFERROR(INDEX(醫師週班表!$C$5:$T$44,$CU12,W$57),"")=0,"",IF(MID(IFERROR(INDEX(醫師週班表!$C$5:$T$44,$CU12,W$57),""),2,1)="/",MID(IFERROR(INDEX(醫師週班表!$C$5:$T$44,$CU12,W$57),""),1+W$58*2,1),IF(MID(IFERROR(INDEX(醫師週班表!$C$5:$T$44,$CU12,W$57),""),3,1)="隔",IF(W$58=0,LEFT(IFERROR(INDEX(醫師週班表!$C$5:$T$44,$CU12,W$57),""),1),""),IF(MID(IFERROR(INDEX(醫師週班表!$C$5:$T$44,$CU12,W$57),""),2,1)="(",LEFT(IFERROR(INDEX(醫師週班表!$C$5:$T$44,$CU12,W$57),""),1),IFERROR(INDEX(醫師週班表!$C$5:$T$44,$CU12,W$57),"")))))))</f>
        <v/>
      </c>
      <c r="X12" s="72">
        <f>IF(X$59="X","",IF(X$59&lt;&gt;"",X$59,IF(IFERROR(INDEX(醫師週班表!$C$5:$T$44,$CU12,X$57),"")=0,"",IF(MID(IFERROR(INDEX(醫師週班表!$C$5:$T$44,$CU12,X$57),""),2,1)="/",MID(IFERROR(INDEX(醫師週班表!$C$5:$T$44,$CU12,X$57),""),1+X$58*2,1),IF(MID(IFERROR(INDEX(醫師週班表!$C$5:$T$44,$CU12,X$57),""),3,1)="隔",IF(X$58=0,LEFT(IFERROR(INDEX(醫師週班表!$C$5:$T$44,$CU12,X$57),""),1),""),IF(MID(IFERROR(INDEX(醫師週班表!$C$5:$T$44,$CU12,X$57),""),2,1)="(",LEFT(IFERROR(INDEX(醫師週班表!$C$5:$T$44,$CU12,X$57),""),1),IFERROR(INDEX(醫師週班表!$C$5:$T$44,$CU12,X$57),"")))))))</f>
        <v/>
      </c>
      <c r="Y12" s="72">
        <f>IF(Y$59="X","",IF(Y$59&lt;&gt;"",Y$59,IF(IFERROR(INDEX(醫師週班表!$C$5:$T$44,$CU12,Y$57),"")=0,"",IF(MID(IFERROR(INDEX(醫師週班表!$C$5:$T$44,$CU12,Y$57),""),2,1)="/",MID(IFERROR(INDEX(醫師週班表!$C$5:$T$44,$CU12,Y$57),""),1+Y$58*2,1),IF(MID(IFERROR(INDEX(醫師週班表!$C$5:$T$44,$CU12,Y$57),""),3,1)="隔",IF(Y$58=0,LEFT(IFERROR(INDEX(醫師週班表!$C$5:$T$44,$CU12,Y$57),""),1),""),IF(MID(IFERROR(INDEX(醫師週班表!$C$5:$T$44,$CU12,Y$57),""),2,1)="(",LEFT(IFERROR(INDEX(醫師週班表!$C$5:$T$44,$CU12,Y$57),""),1),IFERROR(INDEX(醫師週班表!$C$5:$T$44,$CU12,Y$57),"")))))))</f>
        <v/>
      </c>
      <c r="Z12" s="71">
        <f>IF(Z$59="X","",IF(Z$59&lt;&gt;"",Z$59,IF(IFERROR(INDEX(醫師週班表!$C$5:$T$44,$CU12,Z$57),"")=0,"",IF(MID(IFERROR(INDEX(醫師週班表!$C$5:$T$44,$CU12,Z$57),""),2,1)="/",MID(IFERROR(INDEX(醫師週班表!$C$5:$T$44,$CU12,Z$57),""),1+Z$58*2,1),IF(MID(IFERROR(INDEX(醫師週班表!$C$5:$T$44,$CU12,Z$57),""),3,1)="隔",IF(Z$58=0,LEFT(IFERROR(INDEX(醫師週班表!$C$5:$T$44,$CU12,Z$57),""),1),""),IF(MID(IFERROR(INDEX(醫師週班表!$C$5:$T$44,$CU12,Z$57),""),2,1)="(",LEFT(IFERROR(INDEX(醫師週班表!$C$5:$T$44,$CU12,Z$57),""),1),IFERROR(INDEX(醫師週班表!$C$5:$T$44,$CU12,Z$57),"")))))))</f>
        <v/>
      </c>
      <c r="AA12" s="72">
        <f>IF(AA$59="X","",IF(AA$59&lt;&gt;"",AA$59,IF(IFERROR(INDEX(醫師週班表!$C$5:$T$44,$CU12,AA$57),"")=0,"",IF(MID(IFERROR(INDEX(醫師週班表!$C$5:$T$44,$CU12,AA$57),""),2,1)="/",MID(IFERROR(INDEX(醫師週班表!$C$5:$T$44,$CU12,AA$57),""),1+AA$58*2,1),IF(MID(IFERROR(INDEX(醫師週班表!$C$5:$T$44,$CU12,AA$57),""),3,1)="隔",IF(AA$58=0,LEFT(IFERROR(INDEX(醫師週班表!$C$5:$T$44,$CU12,AA$57),""),1),""),IF(MID(IFERROR(INDEX(醫師週班表!$C$5:$T$44,$CU12,AA$57),""),2,1)="(",LEFT(IFERROR(INDEX(醫師週班表!$C$5:$T$44,$CU12,AA$57),""),1),IFERROR(INDEX(醫師週班表!$C$5:$T$44,$CU12,AA$57),"")))))))</f>
        <v/>
      </c>
      <c r="AB12" s="72">
        <f>IF(AB$59="X","",IF(AB$59&lt;&gt;"",AB$59,IF(IFERROR(INDEX(醫師週班表!$C$5:$T$44,$CU12,AB$57),"")=0,"",IF(MID(IFERROR(INDEX(醫師週班表!$C$5:$T$44,$CU12,AB$57),""),2,1)="/",MID(IFERROR(INDEX(醫師週班表!$C$5:$T$44,$CU12,AB$57),""),1+AB$58*2,1),IF(MID(IFERROR(INDEX(醫師週班表!$C$5:$T$44,$CU12,AB$57),""),3,1)="隔",IF(AB$58=0,LEFT(IFERROR(INDEX(醫師週班表!$C$5:$T$44,$CU12,AB$57),""),1),""),IF(MID(IFERROR(INDEX(醫師週班表!$C$5:$T$44,$CU12,AB$57),""),2,1)="(",LEFT(IFERROR(INDEX(醫師週班表!$C$5:$T$44,$CU12,AB$57),""),1),IFERROR(INDEX(醫師週班表!$C$5:$T$44,$CU12,AB$57),"")))))))</f>
        <v/>
      </c>
      <c r="AC12" s="71">
        <f>IF(AC$59="X","",IF(AC$59&lt;&gt;"",AC$59,IF(IFERROR(INDEX(醫師週班表!$C$5:$T$44,$CU12,AC$57),"")=0,"",IF(MID(IFERROR(INDEX(醫師週班表!$C$5:$T$44,$CU12,AC$57),""),2,1)="/",MID(IFERROR(INDEX(醫師週班表!$C$5:$T$44,$CU12,AC$57),""),1+AC$58*2,1),IF(MID(IFERROR(INDEX(醫師週班表!$C$5:$T$44,$CU12,AC$57),""),3,1)="隔",IF(AC$58=0,LEFT(IFERROR(INDEX(醫師週班表!$C$5:$T$44,$CU12,AC$57),""),1),""),IF(MID(IFERROR(INDEX(醫師週班表!$C$5:$T$44,$CU12,AC$57),""),2,1)="(",LEFT(IFERROR(INDEX(醫師週班表!$C$5:$T$44,$CU12,AC$57),""),1),IFERROR(INDEX(醫師週班表!$C$5:$T$44,$CU12,AC$57),"")))))))</f>
        <v/>
      </c>
      <c r="AD12" s="72">
        <f>IF(AD$59="X","",IF(AD$59&lt;&gt;"",AD$59,IF(IFERROR(INDEX(醫師週班表!$C$5:$T$44,$CU12,AD$57),"")=0,"",IF(MID(IFERROR(INDEX(醫師週班表!$C$5:$T$44,$CU12,AD$57),""),2,1)="/",MID(IFERROR(INDEX(醫師週班表!$C$5:$T$44,$CU12,AD$57),""),1+AD$58*2,1),IF(MID(IFERROR(INDEX(醫師週班表!$C$5:$T$44,$CU12,AD$57),""),3,1)="隔",IF(AD$58=0,LEFT(IFERROR(INDEX(醫師週班表!$C$5:$T$44,$CU12,AD$57),""),1),""),IF(MID(IFERROR(INDEX(醫師週班表!$C$5:$T$44,$CU12,AD$57),""),2,1)="(",LEFT(IFERROR(INDEX(醫師週班表!$C$5:$T$44,$CU12,AD$57),""),1),IFERROR(INDEX(醫師週班表!$C$5:$T$44,$CU12,AD$57),"")))))))</f>
        <v/>
      </c>
      <c r="AE12" s="72">
        <f>IF(AE$59="X","",IF(AE$59&lt;&gt;"",AE$59,IF(IFERROR(INDEX(醫師週班表!$C$5:$T$44,$CU12,AE$57),"")=0,"",IF(MID(IFERROR(INDEX(醫師週班表!$C$5:$T$44,$CU12,AE$57),""),2,1)="/",MID(IFERROR(INDEX(醫師週班表!$C$5:$T$44,$CU12,AE$57),""),1+AE$58*2,1),IF(MID(IFERROR(INDEX(醫師週班表!$C$5:$T$44,$CU12,AE$57),""),3,1)="隔",IF(AE$58=0,LEFT(IFERROR(INDEX(醫師週班表!$C$5:$T$44,$CU12,AE$57),""),1),""),IF(MID(IFERROR(INDEX(醫師週班表!$C$5:$T$44,$CU12,AE$57),""),2,1)="(",LEFT(IFERROR(INDEX(醫師週班表!$C$5:$T$44,$CU12,AE$57),""),1),IFERROR(INDEX(醫師週班表!$C$5:$T$44,$CU12,AE$57),"")))))))</f>
        <v/>
      </c>
      <c r="AF12" s="71">
        <f>IF(AF$59="X","",IF(AF$59&lt;&gt;"",AF$59,IF(IFERROR(INDEX(醫師週班表!$C$5:$T$44,$CU12,AF$57),"")=0,"",IF(MID(IFERROR(INDEX(醫師週班表!$C$5:$T$44,$CU12,AF$57),""),2,1)="/",MID(IFERROR(INDEX(醫師週班表!$C$5:$T$44,$CU12,AF$57),""),1+AF$58*2,1),IF(MID(IFERROR(INDEX(醫師週班表!$C$5:$T$44,$CU12,AF$57),""),3,1)="隔",IF(AF$58=0,LEFT(IFERROR(INDEX(醫師週班表!$C$5:$T$44,$CU12,AF$57),""),1),""),IF(MID(IFERROR(INDEX(醫師週班表!$C$5:$T$44,$CU12,AF$57),""),2,1)="(",LEFT(IFERROR(INDEX(醫師週班表!$C$5:$T$44,$CU12,AF$57),""),1),IFERROR(INDEX(醫師週班表!$C$5:$T$44,$CU12,AF$57),"")))))))</f>
        <v/>
      </c>
      <c r="AG12" s="72">
        <f>IF(AG$59="X","",IF(AG$59&lt;&gt;"",AG$59,IF(IFERROR(INDEX(醫師週班表!$C$5:$T$44,$CU12,AG$57),"")=0,"",IF(MID(IFERROR(INDEX(醫師週班表!$C$5:$T$44,$CU12,AG$57),""),2,1)="/",MID(IFERROR(INDEX(醫師週班表!$C$5:$T$44,$CU12,AG$57),""),1+AG$58*2,1),IF(MID(IFERROR(INDEX(醫師週班表!$C$5:$T$44,$CU12,AG$57),""),3,1)="隔",IF(AG$58=0,LEFT(IFERROR(INDEX(醫師週班表!$C$5:$T$44,$CU12,AG$57),""),1),""),IF(MID(IFERROR(INDEX(醫師週班表!$C$5:$T$44,$CU12,AG$57),""),2,1)="(",LEFT(IFERROR(INDEX(醫師週班表!$C$5:$T$44,$CU12,AG$57),""),1),IFERROR(INDEX(醫師週班表!$C$5:$T$44,$CU12,AG$57),"")))))))</f>
        <v/>
      </c>
      <c r="AH12" s="72">
        <f>IF(AH$59="X","",IF(AH$59&lt;&gt;"",AH$59,IF(IFERROR(INDEX(醫師週班表!$C$5:$T$44,$CU12,AH$57),"")=0,"",IF(MID(IFERROR(INDEX(醫師週班表!$C$5:$T$44,$CU12,AH$57),""),2,1)="/",MID(IFERROR(INDEX(醫師週班表!$C$5:$T$44,$CU12,AH$57),""),1+AH$58*2,1),IF(MID(IFERROR(INDEX(醫師週班表!$C$5:$T$44,$CU12,AH$57),""),3,1)="隔",IF(AH$58=0,LEFT(IFERROR(INDEX(醫師週班表!$C$5:$T$44,$CU12,AH$57),""),1),""),IF(MID(IFERROR(INDEX(醫師週班表!$C$5:$T$44,$CU12,AH$57),""),2,1)="(",LEFT(IFERROR(INDEX(醫師週班表!$C$5:$T$44,$CU12,AH$57),""),1),IFERROR(INDEX(醫師週班表!$C$5:$T$44,$CU12,AH$57),"")))))))</f>
        <v/>
      </c>
      <c r="AI12" s="71">
        <f>IF(AI$59="X","",IF(AI$59&lt;&gt;"",AI$59,IF(IFERROR(INDEX(醫師週班表!$C$5:$T$44,$CU12,AI$57),"")=0,"",IF(MID(IFERROR(INDEX(醫師週班表!$C$5:$T$44,$CU12,AI$57),""),2,1)="/",MID(IFERROR(INDEX(醫師週班表!$C$5:$T$44,$CU12,AI$57),""),1+AI$58*2,1),IF(MID(IFERROR(INDEX(醫師週班表!$C$5:$T$44,$CU12,AI$57),""),3,1)="隔",IF(AI$58=0,LEFT(IFERROR(INDEX(醫師週班表!$C$5:$T$44,$CU12,AI$57),""),1),""),IF(MID(IFERROR(INDEX(醫師週班表!$C$5:$T$44,$CU12,AI$57),""),2,1)="(",LEFT(IFERROR(INDEX(醫師週班表!$C$5:$T$44,$CU12,AI$57),""),1),IFERROR(INDEX(醫師週班表!$C$5:$T$44,$CU12,AI$57),"")))))))</f>
        <v/>
      </c>
      <c r="AJ12" s="72">
        <f>IF(AJ$59="X","",IF(AJ$59&lt;&gt;"",AJ$59,IF(IFERROR(INDEX(醫師週班表!$C$5:$T$44,$CU12,AJ$57),"")=0,"",IF(MID(IFERROR(INDEX(醫師週班表!$C$5:$T$44,$CU12,AJ$57),""),2,1)="/",MID(IFERROR(INDEX(醫師週班表!$C$5:$T$44,$CU12,AJ$57),""),1+AJ$58*2,1),IF(MID(IFERROR(INDEX(醫師週班表!$C$5:$T$44,$CU12,AJ$57),""),3,1)="隔",IF(AJ$58=0,LEFT(IFERROR(INDEX(醫師週班表!$C$5:$T$44,$CU12,AJ$57),""),1),""),IF(MID(IFERROR(INDEX(醫師週班表!$C$5:$T$44,$CU12,AJ$57),""),2,1)="(",LEFT(IFERROR(INDEX(醫師週班表!$C$5:$T$44,$CU12,AJ$57),""),1),IFERROR(INDEX(醫師週班表!$C$5:$T$44,$CU12,AJ$57),"")))))))</f>
        <v/>
      </c>
      <c r="AK12" s="72">
        <f>IF(AK$59="X","",IF(AK$59&lt;&gt;"",AK$59,IF(IFERROR(INDEX(醫師週班表!$C$5:$T$44,$CU12,AK$57),"")=0,"",IF(MID(IFERROR(INDEX(醫師週班表!$C$5:$T$44,$CU12,AK$57),""),2,1)="/",MID(IFERROR(INDEX(醫師週班表!$C$5:$T$44,$CU12,AK$57),""),1+AK$58*2,1),IF(MID(IFERROR(INDEX(醫師週班表!$C$5:$T$44,$CU12,AK$57),""),3,1)="隔",IF(AK$58=0,LEFT(IFERROR(INDEX(醫師週班表!$C$5:$T$44,$CU12,AK$57),""),1),""),IF(MID(IFERROR(INDEX(醫師週班表!$C$5:$T$44,$CU12,AK$57),""),2,1)="(",LEFT(IFERROR(INDEX(醫師週班表!$C$5:$T$44,$CU12,AK$57),""),1),IFERROR(INDEX(醫師週班表!$C$5:$T$44,$CU12,AK$57),"")))))))</f>
        <v/>
      </c>
      <c r="AL12" s="71">
        <f>IF(AL$59="X","",IF(AL$59&lt;&gt;"",AL$59,IF(IFERROR(INDEX(醫師週班表!$C$5:$T$44,$CU12,AL$57),"")=0,"",IF(MID(IFERROR(INDEX(醫師週班表!$C$5:$T$44,$CU12,AL$57),""),2,1)="/",MID(IFERROR(INDEX(醫師週班表!$C$5:$T$44,$CU12,AL$57),""),1+AL$58*2,1),IF(MID(IFERROR(INDEX(醫師週班表!$C$5:$T$44,$CU12,AL$57),""),3,1)="隔",IF(AL$58=0,LEFT(IFERROR(INDEX(醫師週班表!$C$5:$T$44,$CU12,AL$57),""),1),""),IF(MID(IFERROR(INDEX(醫師週班表!$C$5:$T$44,$CU12,AL$57),""),2,1)="(",LEFT(IFERROR(INDEX(醫師週班表!$C$5:$T$44,$CU12,AL$57),""),1),IFERROR(INDEX(醫師週班表!$C$5:$T$44,$CU12,AL$57),"")))))))</f>
        <v/>
      </c>
      <c r="AM12" s="72">
        <f>IF(AM$59="X","",IF(AM$59&lt;&gt;"",AM$59,IF(IFERROR(INDEX(醫師週班表!$C$5:$T$44,$CU12,AM$57),"")=0,"",IF(MID(IFERROR(INDEX(醫師週班表!$C$5:$T$44,$CU12,AM$57),""),2,1)="/",MID(IFERROR(INDEX(醫師週班表!$C$5:$T$44,$CU12,AM$57),""),1+AM$58*2,1),IF(MID(IFERROR(INDEX(醫師週班表!$C$5:$T$44,$CU12,AM$57),""),3,1)="隔",IF(AM$58=0,LEFT(IFERROR(INDEX(醫師週班表!$C$5:$T$44,$CU12,AM$57),""),1),""),IF(MID(IFERROR(INDEX(醫師週班表!$C$5:$T$44,$CU12,AM$57),""),2,1)="(",LEFT(IFERROR(INDEX(醫師週班表!$C$5:$T$44,$CU12,AM$57),""),1),IFERROR(INDEX(醫師週班表!$C$5:$T$44,$CU12,AM$57),"")))))))</f>
        <v/>
      </c>
      <c r="AN12" s="72">
        <f>IF(AN$59="X","",IF(AN$59&lt;&gt;"",AN$59,IF(IFERROR(INDEX(醫師週班表!$C$5:$T$44,$CU12,AN$57),"")=0,"",IF(MID(IFERROR(INDEX(醫師週班表!$C$5:$T$44,$CU12,AN$57),""),2,1)="/",MID(IFERROR(INDEX(醫師週班表!$C$5:$T$44,$CU12,AN$57),""),1+AN$58*2,1),IF(MID(IFERROR(INDEX(醫師週班表!$C$5:$T$44,$CU12,AN$57),""),3,1)="隔",IF(AN$58=0,LEFT(IFERROR(INDEX(醫師週班表!$C$5:$T$44,$CU12,AN$57),""),1),""),IF(MID(IFERROR(INDEX(醫師週班表!$C$5:$T$44,$CU12,AN$57),""),2,1)="(",LEFT(IFERROR(INDEX(醫師週班表!$C$5:$T$44,$CU12,AN$57),""),1),IFERROR(INDEX(醫師週班表!$C$5:$T$44,$CU12,AN$57),"")))))))</f>
        <v/>
      </c>
      <c r="AO12" s="71">
        <f>IF(AO$59="X","",IF(AO$59&lt;&gt;"",AO$59,IF(IFERROR(INDEX(醫師週班表!$C$5:$T$44,$CU12,AO$57),"")=0,"",IF(MID(IFERROR(INDEX(醫師週班表!$C$5:$T$44,$CU12,AO$57),""),2,1)="/",MID(IFERROR(INDEX(醫師週班表!$C$5:$T$44,$CU12,AO$57),""),1+AO$58*2,1),IF(MID(IFERROR(INDEX(醫師週班表!$C$5:$T$44,$CU12,AO$57),""),3,1)="隔",IF(AO$58=0,LEFT(IFERROR(INDEX(醫師週班表!$C$5:$T$44,$CU12,AO$57),""),1),""),IF(MID(IFERROR(INDEX(醫師週班表!$C$5:$T$44,$CU12,AO$57),""),2,1)="(",LEFT(IFERROR(INDEX(醫師週班表!$C$5:$T$44,$CU12,AO$57),""),1),IFERROR(INDEX(醫師週班表!$C$5:$T$44,$CU12,AO$57),"")))))))</f>
        <v/>
      </c>
      <c r="AP12" s="72">
        <f>IF(AP$59="X","",IF(AP$59&lt;&gt;"",AP$59,IF(IFERROR(INDEX(醫師週班表!$C$5:$T$44,$CU12,AP$57),"")=0,"",IF(MID(IFERROR(INDEX(醫師週班表!$C$5:$T$44,$CU12,AP$57),""),2,1)="/",MID(IFERROR(INDEX(醫師週班表!$C$5:$T$44,$CU12,AP$57),""),1+AP$58*2,1),IF(MID(IFERROR(INDEX(醫師週班表!$C$5:$T$44,$CU12,AP$57),""),3,1)="隔",IF(AP$58=0,LEFT(IFERROR(INDEX(醫師週班表!$C$5:$T$44,$CU12,AP$57),""),1),""),IF(MID(IFERROR(INDEX(醫師週班表!$C$5:$T$44,$CU12,AP$57),""),2,1)="(",LEFT(IFERROR(INDEX(醫師週班表!$C$5:$T$44,$CU12,AP$57),""),1),IFERROR(INDEX(醫師週班表!$C$5:$T$44,$CU12,AP$57),"")))))))</f>
        <v/>
      </c>
      <c r="AQ12" s="72">
        <f>IF(AQ$59="X","",IF(AQ$59&lt;&gt;"",AQ$59,IF(IFERROR(INDEX(醫師週班表!$C$5:$T$44,$CU12,AQ$57),"")=0,"",IF(MID(IFERROR(INDEX(醫師週班表!$C$5:$T$44,$CU12,AQ$57),""),2,1)="/",MID(IFERROR(INDEX(醫師週班表!$C$5:$T$44,$CU12,AQ$57),""),1+AQ$58*2,1),IF(MID(IFERROR(INDEX(醫師週班表!$C$5:$T$44,$CU12,AQ$57),""),3,1)="隔",IF(AQ$58=0,LEFT(IFERROR(INDEX(醫師週班表!$C$5:$T$44,$CU12,AQ$57),""),1),""),IF(MID(IFERROR(INDEX(醫師週班表!$C$5:$T$44,$CU12,AQ$57),""),2,1)="(",LEFT(IFERROR(INDEX(醫師週班表!$C$5:$T$44,$CU12,AQ$57),""),1),IFERROR(INDEX(醫師週班表!$C$5:$T$44,$CU12,AQ$57),"")))))))</f>
        <v/>
      </c>
      <c r="AR12" s="71">
        <f>IF(AR$59="X","",IF(AR$59&lt;&gt;"",AR$59,IF(IFERROR(INDEX(醫師週班表!$C$5:$T$44,$CU12,AR$57),"")=0,"",IF(MID(IFERROR(INDEX(醫師週班表!$C$5:$T$44,$CU12,AR$57),""),2,1)="/",MID(IFERROR(INDEX(醫師週班表!$C$5:$T$44,$CU12,AR$57),""),1+AR$58*2,1),IF(MID(IFERROR(INDEX(醫師週班表!$C$5:$T$44,$CU12,AR$57),""),3,1)="隔",IF(AR$58=0,LEFT(IFERROR(INDEX(醫師週班表!$C$5:$T$44,$CU12,AR$57),""),1),""),IF(MID(IFERROR(INDEX(醫師週班表!$C$5:$T$44,$CU12,AR$57),""),2,1)="(",LEFT(IFERROR(INDEX(醫師週班表!$C$5:$T$44,$CU12,AR$57),""),1),IFERROR(INDEX(醫師週班表!$C$5:$T$44,$CU12,AR$57),"")))))))</f>
        <v/>
      </c>
      <c r="AS12" s="72">
        <f>IF(AS$59="X","",IF(AS$59&lt;&gt;"",AS$59,IF(IFERROR(INDEX(醫師週班表!$C$5:$T$44,$CU12,AS$57),"")=0,"",IF(MID(IFERROR(INDEX(醫師週班表!$C$5:$T$44,$CU12,AS$57),""),2,1)="/",MID(IFERROR(INDEX(醫師週班表!$C$5:$T$44,$CU12,AS$57),""),1+AS$58*2,1),IF(MID(IFERROR(INDEX(醫師週班表!$C$5:$T$44,$CU12,AS$57),""),3,1)="隔",IF(AS$58=0,LEFT(IFERROR(INDEX(醫師週班表!$C$5:$T$44,$CU12,AS$57),""),1),""),IF(MID(IFERROR(INDEX(醫師週班表!$C$5:$T$44,$CU12,AS$57),""),2,1)="(",LEFT(IFERROR(INDEX(醫師週班表!$C$5:$T$44,$CU12,AS$57),""),1),IFERROR(INDEX(醫師週班表!$C$5:$T$44,$CU12,AS$57),"")))))))</f>
        <v/>
      </c>
      <c r="AT12" s="72">
        <f>IF(AT$59="X","",IF(AT$59&lt;&gt;"",AT$59,IF(IFERROR(INDEX(醫師週班表!$C$5:$T$44,$CU12,AT$57),"")=0,"",IF(MID(IFERROR(INDEX(醫師週班表!$C$5:$T$44,$CU12,AT$57),""),2,1)="/",MID(IFERROR(INDEX(醫師週班表!$C$5:$T$44,$CU12,AT$57),""),1+AT$58*2,1),IF(MID(IFERROR(INDEX(醫師週班表!$C$5:$T$44,$CU12,AT$57),""),3,1)="隔",IF(AT$58=0,LEFT(IFERROR(INDEX(醫師週班表!$C$5:$T$44,$CU12,AT$57),""),1),""),IF(MID(IFERROR(INDEX(醫師週班表!$C$5:$T$44,$CU12,AT$57),""),2,1)="(",LEFT(IFERROR(INDEX(醫師週班表!$C$5:$T$44,$CU12,AT$57),""),1),IFERROR(INDEX(醫師週班表!$C$5:$T$44,$CU12,AT$57),"")))))))</f>
        <v/>
      </c>
      <c r="AU12" s="71">
        <f>IF(AU$59="X","",IF(AU$59&lt;&gt;"",AU$59,IF(IFERROR(INDEX(醫師週班表!$C$5:$T$44,$CU12,AU$57),"")=0,"",IF(MID(IFERROR(INDEX(醫師週班表!$C$5:$T$44,$CU12,AU$57),""),2,1)="/",MID(IFERROR(INDEX(醫師週班表!$C$5:$T$44,$CU12,AU$57),""),1+AU$58*2,1),IF(MID(IFERROR(INDEX(醫師週班表!$C$5:$T$44,$CU12,AU$57),""),3,1)="隔",IF(AU$58=0,LEFT(IFERROR(INDEX(醫師週班表!$C$5:$T$44,$CU12,AU$57),""),1),""),IF(MID(IFERROR(INDEX(醫師週班表!$C$5:$T$44,$CU12,AU$57),""),2,1)="(",LEFT(IFERROR(INDEX(醫師週班表!$C$5:$T$44,$CU12,AU$57),""),1),IFERROR(INDEX(醫師週班表!$C$5:$T$44,$CU12,AU$57),"")))))))</f>
        <v/>
      </c>
      <c r="AV12" s="72">
        <f>IF(AV$59="X","",IF(AV$59&lt;&gt;"",AV$59,IF(IFERROR(INDEX(醫師週班表!$C$5:$T$44,$CU12,AV$57),"")=0,"",IF(MID(IFERROR(INDEX(醫師週班表!$C$5:$T$44,$CU12,AV$57),""),2,1)="/",MID(IFERROR(INDEX(醫師週班表!$C$5:$T$44,$CU12,AV$57),""),1+AV$58*2,1),IF(MID(IFERROR(INDEX(醫師週班表!$C$5:$T$44,$CU12,AV$57),""),3,1)="隔",IF(AV$58=0,LEFT(IFERROR(INDEX(醫師週班表!$C$5:$T$44,$CU12,AV$57),""),1),""),IF(MID(IFERROR(INDEX(醫師週班表!$C$5:$T$44,$CU12,AV$57),""),2,1)="(",LEFT(IFERROR(INDEX(醫師週班表!$C$5:$T$44,$CU12,AV$57),""),1),IFERROR(INDEX(醫師週班表!$C$5:$T$44,$CU12,AV$57),"")))))))</f>
        <v/>
      </c>
      <c r="AW12" s="72">
        <f>IF(AW$59="X","",IF(AW$59&lt;&gt;"",AW$59,IF(IFERROR(INDEX(醫師週班表!$C$5:$T$44,$CU12,AW$57),"")=0,"",IF(MID(IFERROR(INDEX(醫師週班表!$C$5:$T$44,$CU12,AW$57),""),2,1)="/",MID(IFERROR(INDEX(醫師週班表!$C$5:$T$44,$CU12,AW$57),""),1+AW$58*2,1),IF(MID(IFERROR(INDEX(醫師週班表!$C$5:$T$44,$CU12,AW$57),""),3,1)="隔",IF(AW$58=0,LEFT(IFERROR(INDEX(醫師週班表!$C$5:$T$44,$CU12,AW$57),""),1),""),IF(MID(IFERROR(INDEX(醫師週班表!$C$5:$T$44,$CU12,AW$57),""),2,1)="(",LEFT(IFERROR(INDEX(醫師週班表!$C$5:$T$44,$CU12,AW$57),""),1),IFERROR(INDEX(醫師週班表!$C$5:$T$44,$CU12,AW$57),"")))))))</f>
        <v/>
      </c>
      <c r="AX12" s="71">
        <f>IF(AX$59="X","",IF(AX$59&lt;&gt;"",AX$59,IF(IFERROR(INDEX(醫師週班表!$C$5:$T$44,$CU12,AX$57),"")=0,"",IF(MID(IFERROR(INDEX(醫師週班表!$C$5:$T$44,$CU12,AX$57),""),2,1)="/",MID(IFERROR(INDEX(醫師週班表!$C$5:$T$44,$CU12,AX$57),""),1+AX$58*2,1),IF(MID(IFERROR(INDEX(醫師週班表!$C$5:$T$44,$CU12,AX$57),""),3,1)="隔",IF(AX$58=0,LEFT(IFERROR(INDEX(醫師週班表!$C$5:$T$44,$CU12,AX$57),""),1),""),IF(MID(IFERROR(INDEX(醫師週班表!$C$5:$T$44,$CU12,AX$57),""),2,1)="(",LEFT(IFERROR(INDEX(醫師週班表!$C$5:$T$44,$CU12,AX$57),""),1),IFERROR(INDEX(醫師週班表!$C$5:$T$44,$CU12,AX$57),"")))))))</f>
        <v/>
      </c>
      <c r="AY12" s="72">
        <f>IF(AY$59="X","",IF(AY$59&lt;&gt;"",AY$59,IF(IFERROR(INDEX(醫師週班表!$C$5:$T$44,$CU12,AY$57),"")=0,"",IF(MID(IFERROR(INDEX(醫師週班表!$C$5:$T$44,$CU12,AY$57),""),2,1)="/",MID(IFERROR(INDEX(醫師週班表!$C$5:$T$44,$CU12,AY$57),""),1+AY$58*2,1),IF(MID(IFERROR(INDEX(醫師週班表!$C$5:$T$44,$CU12,AY$57),""),3,1)="隔",IF(AY$58=0,LEFT(IFERROR(INDEX(醫師週班表!$C$5:$T$44,$CU12,AY$57),""),1),""),IF(MID(IFERROR(INDEX(醫師週班表!$C$5:$T$44,$CU12,AY$57),""),2,1)="(",LEFT(IFERROR(INDEX(醫師週班表!$C$5:$T$44,$CU12,AY$57),""),1),IFERROR(INDEX(醫師週班表!$C$5:$T$44,$CU12,AY$57),"")))))))</f>
        <v/>
      </c>
      <c r="AZ12" s="72">
        <f>IF(AZ$59="X","",IF(AZ$59&lt;&gt;"",AZ$59,IF(IFERROR(INDEX(醫師週班表!$C$5:$T$44,$CU12,AZ$57),"")=0,"",IF(MID(IFERROR(INDEX(醫師週班表!$C$5:$T$44,$CU12,AZ$57),""),2,1)="/",MID(IFERROR(INDEX(醫師週班表!$C$5:$T$44,$CU12,AZ$57),""),1+AZ$58*2,1),IF(MID(IFERROR(INDEX(醫師週班表!$C$5:$T$44,$CU12,AZ$57),""),3,1)="隔",IF(AZ$58=0,LEFT(IFERROR(INDEX(醫師週班表!$C$5:$T$44,$CU12,AZ$57),""),1),""),IF(MID(IFERROR(INDEX(醫師週班表!$C$5:$T$44,$CU12,AZ$57),""),2,1)="(",LEFT(IFERROR(INDEX(醫師週班表!$C$5:$T$44,$CU12,AZ$57),""),1),IFERROR(INDEX(醫師週班表!$C$5:$T$44,$CU12,AZ$57),"")))))))</f>
        <v/>
      </c>
      <c r="BA12" s="71">
        <f>IF(BA$59="X","",IF(BA$59&lt;&gt;"",BA$59,IF(IFERROR(INDEX(醫師週班表!$C$5:$T$44,$CU12,BA$57),"")=0,"",IF(MID(IFERROR(INDEX(醫師週班表!$C$5:$T$44,$CU12,BA$57),""),2,1)="/",MID(IFERROR(INDEX(醫師週班表!$C$5:$T$44,$CU12,BA$57),""),1+BA$58*2,1),IF(MID(IFERROR(INDEX(醫師週班表!$C$5:$T$44,$CU12,BA$57),""),3,1)="隔",IF(BA$58=0,LEFT(IFERROR(INDEX(醫師週班表!$C$5:$T$44,$CU12,BA$57),""),1),""),IF(MID(IFERROR(INDEX(醫師週班表!$C$5:$T$44,$CU12,BA$57),""),2,1)="(",LEFT(IFERROR(INDEX(醫師週班表!$C$5:$T$44,$CU12,BA$57),""),1),IFERROR(INDEX(醫師週班表!$C$5:$T$44,$CU12,BA$57),"")))))))</f>
        <v/>
      </c>
      <c r="BB12" s="72">
        <f>IF(BB$59="X","",IF(BB$59&lt;&gt;"",BB$59,IF(IFERROR(INDEX(醫師週班表!$C$5:$T$44,$CU12,BB$57),"")=0,"",IF(MID(IFERROR(INDEX(醫師週班表!$C$5:$T$44,$CU12,BB$57),""),2,1)="/",MID(IFERROR(INDEX(醫師週班表!$C$5:$T$44,$CU12,BB$57),""),1+BB$58*2,1),IF(MID(IFERROR(INDEX(醫師週班表!$C$5:$T$44,$CU12,BB$57),""),3,1)="隔",IF(BB$58=0,LEFT(IFERROR(INDEX(醫師週班表!$C$5:$T$44,$CU12,BB$57),""),1),""),IF(MID(IFERROR(INDEX(醫師週班表!$C$5:$T$44,$CU12,BB$57),""),2,1)="(",LEFT(IFERROR(INDEX(醫師週班表!$C$5:$T$44,$CU12,BB$57),""),1),IFERROR(INDEX(醫師週班表!$C$5:$T$44,$CU12,BB$57),"")))))))</f>
        <v/>
      </c>
      <c r="BC12" s="72">
        <f>IF(BC$59="X","",IF(BC$59&lt;&gt;"",BC$59,IF(IFERROR(INDEX(醫師週班表!$C$5:$T$44,$CU12,BC$57),"")=0,"",IF(MID(IFERROR(INDEX(醫師週班表!$C$5:$T$44,$CU12,BC$57),""),2,1)="/",MID(IFERROR(INDEX(醫師週班表!$C$5:$T$44,$CU12,BC$57),""),1+BC$58*2,1),IF(MID(IFERROR(INDEX(醫師週班表!$C$5:$T$44,$CU12,BC$57),""),3,1)="隔",IF(BC$58=0,LEFT(IFERROR(INDEX(醫師週班表!$C$5:$T$44,$CU12,BC$57),""),1),""),IF(MID(IFERROR(INDEX(醫師週班表!$C$5:$T$44,$CU12,BC$57),""),2,1)="(",LEFT(IFERROR(INDEX(醫師週班表!$C$5:$T$44,$CU12,BC$57),""),1),IFERROR(INDEX(醫師週班表!$C$5:$T$44,$CU12,BC$57),"")))))))</f>
        <v/>
      </c>
      <c r="BD12" s="71">
        <f>IF(BD$59="X","",IF(BD$59&lt;&gt;"",BD$59,IF(IFERROR(INDEX(醫師週班表!$C$5:$T$44,$CU12,BD$57),"")=0,"",IF(MID(IFERROR(INDEX(醫師週班表!$C$5:$T$44,$CU12,BD$57),""),2,1)="/",MID(IFERROR(INDEX(醫師週班表!$C$5:$T$44,$CU12,BD$57),""),1+BD$58*2,1),IF(MID(IFERROR(INDEX(醫師週班表!$C$5:$T$44,$CU12,BD$57),""),3,1)="隔",IF(BD$58=0,LEFT(IFERROR(INDEX(醫師週班表!$C$5:$T$44,$CU12,BD$57),""),1),""),IF(MID(IFERROR(INDEX(醫師週班表!$C$5:$T$44,$CU12,BD$57),""),2,1)="(",LEFT(IFERROR(INDEX(醫師週班表!$C$5:$T$44,$CU12,BD$57),""),1),IFERROR(INDEX(醫師週班表!$C$5:$T$44,$CU12,BD$57),"")))))))</f>
        <v/>
      </c>
      <c r="BE12" s="72">
        <f>IF(BE$59="X","",IF(BE$59&lt;&gt;"",BE$59,IF(IFERROR(INDEX(醫師週班表!$C$5:$T$44,$CU12,BE$57),"")=0,"",IF(MID(IFERROR(INDEX(醫師週班表!$C$5:$T$44,$CU12,BE$57),""),2,1)="/",MID(IFERROR(INDEX(醫師週班表!$C$5:$T$44,$CU12,BE$57),""),1+BE$58*2,1),IF(MID(IFERROR(INDEX(醫師週班表!$C$5:$T$44,$CU12,BE$57),""),3,1)="隔",IF(BE$58=0,LEFT(IFERROR(INDEX(醫師週班表!$C$5:$T$44,$CU12,BE$57),""),1),""),IF(MID(IFERROR(INDEX(醫師週班表!$C$5:$T$44,$CU12,BE$57),""),2,1)="(",LEFT(IFERROR(INDEX(醫師週班表!$C$5:$T$44,$CU12,BE$57),""),1),IFERROR(INDEX(醫師週班表!$C$5:$T$44,$CU12,BE$57),"")))))))</f>
        <v/>
      </c>
      <c r="BF12" s="72">
        <f>IF(BF$59="X","",IF(BF$59&lt;&gt;"",BF$59,IF(IFERROR(INDEX(醫師週班表!$C$5:$T$44,$CU12,BF$57),"")=0,"",IF(MID(IFERROR(INDEX(醫師週班表!$C$5:$T$44,$CU12,BF$57),""),2,1)="/",MID(IFERROR(INDEX(醫師週班表!$C$5:$T$44,$CU12,BF$57),""),1+BF$58*2,1),IF(MID(IFERROR(INDEX(醫師週班表!$C$5:$T$44,$CU12,BF$57),""),3,1)="隔",IF(BF$58=0,LEFT(IFERROR(INDEX(醫師週班表!$C$5:$T$44,$CU12,BF$57),""),1),""),IF(MID(IFERROR(INDEX(醫師週班表!$C$5:$T$44,$CU12,BF$57),""),2,1)="(",LEFT(IFERROR(INDEX(醫師週班表!$C$5:$T$44,$CU12,BF$57),""),1),IFERROR(INDEX(醫師週班表!$C$5:$T$44,$CU12,BF$57),"")))))))</f>
        <v/>
      </c>
      <c r="BG12" s="71">
        <f>IF(BG$59="X","",IF(BG$59&lt;&gt;"",BG$59,IF(IFERROR(INDEX(醫師週班表!$C$5:$T$44,$CU12,BG$57),"")=0,"",IF(MID(IFERROR(INDEX(醫師週班表!$C$5:$T$44,$CU12,BG$57),""),2,1)="/",MID(IFERROR(INDEX(醫師週班表!$C$5:$T$44,$CU12,BG$57),""),1+BG$58*2,1),IF(MID(IFERROR(INDEX(醫師週班表!$C$5:$T$44,$CU12,BG$57),""),3,1)="隔",IF(BG$58=0,LEFT(IFERROR(INDEX(醫師週班表!$C$5:$T$44,$CU12,BG$57),""),1),""),IF(MID(IFERROR(INDEX(醫師週班表!$C$5:$T$44,$CU12,BG$57),""),2,1)="(",LEFT(IFERROR(INDEX(醫師週班表!$C$5:$T$44,$CU12,BG$57),""),1),IFERROR(INDEX(醫師週班表!$C$5:$T$44,$CU12,BG$57),"")))))))</f>
        <v/>
      </c>
      <c r="BH12" s="72">
        <f>IF(BH$59="X","",IF(BH$59&lt;&gt;"",BH$59,IF(IFERROR(INDEX(醫師週班表!$C$5:$T$44,$CU12,BH$57),"")=0,"",IF(MID(IFERROR(INDEX(醫師週班表!$C$5:$T$44,$CU12,BH$57),""),2,1)="/",MID(IFERROR(INDEX(醫師週班表!$C$5:$T$44,$CU12,BH$57),""),1+BH$58*2,1),IF(MID(IFERROR(INDEX(醫師週班表!$C$5:$T$44,$CU12,BH$57),""),3,1)="隔",IF(BH$58=0,LEFT(IFERROR(INDEX(醫師週班表!$C$5:$T$44,$CU12,BH$57),""),1),""),IF(MID(IFERROR(INDEX(醫師週班表!$C$5:$T$44,$CU12,BH$57),""),2,1)="(",LEFT(IFERROR(INDEX(醫師週班表!$C$5:$T$44,$CU12,BH$57),""),1),IFERROR(INDEX(醫師週班表!$C$5:$T$44,$CU12,BH$57),"")))))))</f>
        <v/>
      </c>
      <c r="BI12" s="72">
        <f>IF(BI$59="X","",IF(BI$59&lt;&gt;"",BI$59,IF(IFERROR(INDEX(醫師週班表!$C$5:$T$44,$CU12,BI$57),"")=0,"",IF(MID(IFERROR(INDEX(醫師週班表!$C$5:$T$44,$CU12,BI$57),""),2,1)="/",MID(IFERROR(INDEX(醫師週班表!$C$5:$T$44,$CU12,BI$57),""),1+BI$58*2,1),IF(MID(IFERROR(INDEX(醫師週班表!$C$5:$T$44,$CU12,BI$57),""),3,1)="隔",IF(BI$58=0,LEFT(IFERROR(INDEX(醫師週班表!$C$5:$T$44,$CU12,BI$57),""),1),""),IF(MID(IFERROR(INDEX(醫師週班表!$C$5:$T$44,$CU12,BI$57),""),2,1)="(",LEFT(IFERROR(INDEX(醫師週班表!$C$5:$T$44,$CU12,BI$57),""),1),IFERROR(INDEX(醫師週班表!$C$5:$T$44,$CU12,BI$57),"")))))))</f>
        <v/>
      </c>
      <c r="BJ12" s="71">
        <f>IF(BJ$59="X","",IF(BJ$59&lt;&gt;"",BJ$59,IF(IFERROR(INDEX(醫師週班表!$C$5:$T$44,$CU12,BJ$57),"")=0,"",IF(MID(IFERROR(INDEX(醫師週班表!$C$5:$T$44,$CU12,BJ$57),""),2,1)="/",MID(IFERROR(INDEX(醫師週班表!$C$5:$T$44,$CU12,BJ$57),""),1+BJ$58*2,1),IF(MID(IFERROR(INDEX(醫師週班表!$C$5:$T$44,$CU12,BJ$57),""),3,1)="隔",IF(BJ$58=0,LEFT(IFERROR(INDEX(醫師週班表!$C$5:$T$44,$CU12,BJ$57),""),1),""),IF(MID(IFERROR(INDEX(醫師週班表!$C$5:$T$44,$CU12,BJ$57),""),2,1)="(",LEFT(IFERROR(INDEX(醫師週班表!$C$5:$T$44,$CU12,BJ$57),""),1),IFERROR(INDEX(醫師週班表!$C$5:$T$44,$CU12,BJ$57),"")))))))</f>
        <v/>
      </c>
      <c r="BK12" s="72">
        <f>IF(BK$59="X","",IF(BK$59&lt;&gt;"",BK$59,IF(IFERROR(INDEX(醫師週班表!$C$5:$T$44,$CU12,BK$57),"")=0,"",IF(MID(IFERROR(INDEX(醫師週班表!$C$5:$T$44,$CU12,BK$57),""),2,1)="/",MID(IFERROR(INDEX(醫師週班表!$C$5:$T$44,$CU12,BK$57),""),1+BK$58*2,1),IF(MID(IFERROR(INDEX(醫師週班表!$C$5:$T$44,$CU12,BK$57),""),3,1)="隔",IF(BK$58=0,LEFT(IFERROR(INDEX(醫師週班表!$C$5:$T$44,$CU12,BK$57),""),1),""),IF(MID(IFERROR(INDEX(醫師週班表!$C$5:$T$44,$CU12,BK$57),""),2,1)="(",LEFT(IFERROR(INDEX(醫師週班表!$C$5:$T$44,$CU12,BK$57),""),1),IFERROR(INDEX(醫師週班表!$C$5:$T$44,$CU12,BK$57),"")))))))</f>
        <v/>
      </c>
      <c r="BL12" s="72">
        <f>IF(BL$59="X","",IF(BL$59&lt;&gt;"",BL$59,IF(IFERROR(INDEX(醫師週班表!$C$5:$T$44,$CU12,BL$57),"")=0,"",IF(MID(IFERROR(INDEX(醫師週班表!$C$5:$T$44,$CU12,BL$57),""),2,1)="/",MID(IFERROR(INDEX(醫師週班表!$C$5:$T$44,$CU12,BL$57),""),1+BL$58*2,1),IF(MID(IFERROR(INDEX(醫師週班表!$C$5:$T$44,$CU12,BL$57),""),3,1)="隔",IF(BL$58=0,LEFT(IFERROR(INDEX(醫師週班表!$C$5:$T$44,$CU12,BL$57),""),1),""),IF(MID(IFERROR(INDEX(醫師週班表!$C$5:$T$44,$CU12,BL$57),""),2,1)="(",LEFT(IFERROR(INDEX(醫師週班表!$C$5:$T$44,$CU12,BL$57),""),1),IFERROR(INDEX(醫師週班表!$C$5:$T$44,$CU12,BL$57),"")))))))</f>
        <v/>
      </c>
      <c r="BM12" s="71">
        <f>IF(BM$59="X","",IF(BM$59&lt;&gt;"",BM$59,IF(IFERROR(INDEX(醫師週班表!$C$5:$T$44,$CU12,BM$57),"")=0,"",IF(MID(IFERROR(INDEX(醫師週班表!$C$5:$T$44,$CU12,BM$57),""),2,1)="/",MID(IFERROR(INDEX(醫師週班表!$C$5:$T$44,$CU12,BM$57),""),1+BM$58*2,1),IF(MID(IFERROR(INDEX(醫師週班表!$C$5:$T$44,$CU12,BM$57),""),3,1)="隔",IF(BM$58=0,LEFT(IFERROR(INDEX(醫師週班表!$C$5:$T$44,$CU12,BM$57),""),1),""),IF(MID(IFERROR(INDEX(醫師週班表!$C$5:$T$44,$CU12,BM$57),""),2,1)="(",LEFT(IFERROR(INDEX(醫師週班表!$C$5:$T$44,$CU12,BM$57),""),1),IFERROR(INDEX(醫師週班表!$C$5:$T$44,$CU12,BM$57),"")))))))</f>
        <v/>
      </c>
      <c r="BN12" s="72">
        <f>IF(BN$59="X","",IF(BN$59&lt;&gt;"",BN$59,IF(IFERROR(INDEX(醫師週班表!$C$5:$T$44,$CU12,BN$57),"")=0,"",IF(MID(IFERROR(INDEX(醫師週班表!$C$5:$T$44,$CU12,BN$57),""),2,1)="/",MID(IFERROR(INDEX(醫師週班表!$C$5:$T$44,$CU12,BN$57),""),1+BN$58*2,1),IF(MID(IFERROR(INDEX(醫師週班表!$C$5:$T$44,$CU12,BN$57),""),3,1)="隔",IF(BN$58=0,LEFT(IFERROR(INDEX(醫師週班表!$C$5:$T$44,$CU12,BN$57),""),1),""),IF(MID(IFERROR(INDEX(醫師週班表!$C$5:$T$44,$CU12,BN$57),""),2,1)="(",LEFT(IFERROR(INDEX(醫師週班表!$C$5:$T$44,$CU12,BN$57),""),1),IFERROR(INDEX(醫師週班表!$C$5:$T$44,$CU12,BN$57),"")))))))</f>
        <v/>
      </c>
      <c r="BO12" s="72">
        <f>IF(BO$59="X","",IF(BO$59&lt;&gt;"",BO$59,IF(IFERROR(INDEX(醫師週班表!$C$5:$T$44,$CU12,BO$57),"")=0,"",IF(MID(IFERROR(INDEX(醫師週班表!$C$5:$T$44,$CU12,BO$57),""),2,1)="/",MID(IFERROR(INDEX(醫師週班表!$C$5:$T$44,$CU12,BO$57),""),1+BO$58*2,1),IF(MID(IFERROR(INDEX(醫師週班表!$C$5:$T$44,$CU12,BO$57),""),3,1)="隔",IF(BO$58=0,LEFT(IFERROR(INDEX(醫師週班表!$C$5:$T$44,$CU12,BO$57),""),1),""),IF(MID(IFERROR(INDEX(醫師週班表!$C$5:$T$44,$CU12,BO$57),""),2,1)="(",LEFT(IFERROR(INDEX(醫師週班表!$C$5:$T$44,$CU12,BO$57),""),1),IFERROR(INDEX(醫師週班表!$C$5:$T$44,$CU12,BO$57),"")))))))</f>
        <v/>
      </c>
      <c r="BP12" s="71">
        <f>IF(BP$59="X","",IF(BP$59&lt;&gt;"",BP$59,IF(IFERROR(INDEX(醫師週班表!$C$5:$T$44,$CU12,BP$57),"")=0,"",IF(MID(IFERROR(INDEX(醫師週班表!$C$5:$T$44,$CU12,BP$57),""),2,1)="/",MID(IFERROR(INDEX(醫師週班表!$C$5:$T$44,$CU12,BP$57),""),1+BP$58*2,1),IF(MID(IFERROR(INDEX(醫師週班表!$C$5:$T$44,$CU12,BP$57),""),3,1)="隔",IF(BP$58=0,LEFT(IFERROR(INDEX(醫師週班表!$C$5:$T$44,$CU12,BP$57),""),1),""),IF(MID(IFERROR(INDEX(醫師週班表!$C$5:$T$44,$CU12,BP$57),""),2,1)="(",LEFT(IFERROR(INDEX(醫師週班表!$C$5:$T$44,$CU12,BP$57),""),1),IFERROR(INDEX(醫師週班表!$C$5:$T$44,$CU12,BP$57),"")))))))</f>
        <v/>
      </c>
      <c r="BQ12" s="72">
        <f>IF(BQ$59="X","",IF(BQ$59&lt;&gt;"",BQ$59,IF(IFERROR(INDEX(醫師週班表!$C$5:$T$44,$CU12,BQ$57),"")=0,"",IF(MID(IFERROR(INDEX(醫師週班表!$C$5:$T$44,$CU12,BQ$57),""),2,1)="/",MID(IFERROR(INDEX(醫師週班表!$C$5:$T$44,$CU12,BQ$57),""),1+BQ$58*2,1),IF(MID(IFERROR(INDEX(醫師週班表!$C$5:$T$44,$CU12,BQ$57),""),3,1)="隔",IF(BQ$58=0,LEFT(IFERROR(INDEX(醫師週班表!$C$5:$T$44,$CU12,BQ$57),""),1),""),IF(MID(IFERROR(INDEX(醫師週班表!$C$5:$T$44,$CU12,BQ$57),""),2,1)="(",LEFT(IFERROR(INDEX(醫師週班表!$C$5:$T$44,$CU12,BQ$57),""),1),IFERROR(INDEX(醫師週班表!$C$5:$T$44,$CU12,BQ$57),"")))))))</f>
        <v/>
      </c>
      <c r="BR12" s="72">
        <f>IF(BR$59="X","",IF(BR$59&lt;&gt;"",BR$59,IF(IFERROR(INDEX(醫師週班表!$C$5:$T$44,$CU12,BR$57),"")=0,"",IF(MID(IFERROR(INDEX(醫師週班表!$C$5:$T$44,$CU12,BR$57),""),2,1)="/",MID(IFERROR(INDEX(醫師週班表!$C$5:$T$44,$CU12,BR$57),""),1+BR$58*2,1),IF(MID(IFERROR(INDEX(醫師週班表!$C$5:$T$44,$CU12,BR$57),""),3,1)="隔",IF(BR$58=0,LEFT(IFERROR(INDEX(醫師週班表!$C$5:$T$44,$CU12,BR$57),""),1),""),IF(MID(IFERROR(INDEX(醫師週班表!$C$5:$T$44,$CU12,BR$57),""),2,1)="(",LEFT(IFERROR(INDEX(醫師週班表!$C$5:$T$44,$CU12,BR$57),""),1),IFERROR(INDEX(醫師週班表!$C$5:$T$44,$CU12,BR$57),"")))))))</f>
        <v/>
      </c>
      <c r="BS12" s="71">
        <f>IF(BS$59="X","",IF(BS$59&lt;&gt;"",BS$59,IF(IFERROR(INDEX(醫師週班表!$C$5:$T$44,$CU12,BS$57),"")=0,"",IF(MID(IFERROR(INDEX(醫師週班表!$C$5:$T$44,$CU12,BS$57),""),2,1)="/",MID(IFERROR(INDEX(醫師週班表!$C$5:$T$44,$CU12,BS$57),""),1+BS$58*2,1),IF(MID(IFERROR(INDEX(醫師週班表!$C$5:$T$44,$CU12,BS$57),""),3,1)="隔",IF(BS$58=0,LEFT(IFERROR(INDEX(醫師週班表!$C$5:$T$44,$CU12,BS$57),""),1),""),IF(MID(IFERROR(INDEX(醫師週班表!$C$5:$T$44,$CU12,BS$57),""),2,1)="(",LEFT(IFERROR(INDEX(醫師週班表!$C$5:$T$44,$CU12,BS$57),""),1),IFERROR(INDEX(醫師週班表!$C$5:$T$44,$CU12,BS$57),"")))))))</f>
        <v/>
      </c>
      <c r="BT12" s="72">
        <f>IF(BT$59="X","",IF(BT$59&lt;&gt;"",BT$59,IF(IFERROR(INDEX(醫師週班表!$C$5:$T$44,$CU12,BT$57),"")=0,"",IF(MID(IFERROR(INDEX(醫師週班表!$C$5:$T$44,$CU12,BT$57),""),2,1)="/",MID(IFERROR(INDEX(醫師週班表!$C$5:$T$44,$CU12,BT$57),""),1+BT$58*2,1),IF(MID(IFERROR(INDEX(醫師週班表!$C$5:$T$44,$CU12,BT$57),""),3,1)="隔",IF(BT$58=0,LEFT(IFERROR(INDEX(醫師週班表!$C$5:$T$44,$CU12,BT$57),""),1),""),IF(MID(IFERROR(INDEX(醫師週班表!$C$5:$T$44,$CU12,BT$57),""),2,1)="(",LEFT(IFERROR(INDEX(醫師週班表!$C$5:$T$44,$CU12,BT$57),""),1),IFERROR(INDEX(醫師週班表!$C$5:$T$44,$CU12,BT$57),"")))))))</f>
        <v/>
      </c>
      <c r="BU12" s="72">
        <f>IF(BU$59="X","",IF(BU$59&lt;&gt;"",BU$59,IF(IFERROR(INDEX(醫師週班表!$C$5:$T$44,$CU12,BU$57),"")=0,"",IF(MID(IFERROR(INDEX(醫師週班表!$C$5:$T$44,$CU12,BU$57),""),2,1)="/",MID(IFERROR(INDEX(醫師週班表!$C$5:$T$44,$CU12,BU$57),""),1+BU$58*2,1),IF(MID(IFERROR(INDEX(醫師週班表!$C$5:$T$44,$CU12,BU$57),""),3,1)="隔",IF(BU$58=0,LEFT(IFERROR(INDEX(醫師週班表!$C$5:$T$44,$CU12,BU$57),""),1),""),IF(MID(IFERROR(INDEX(醫師週班表!$C$5:$T$44,$CU12,BU$57),""),2,1)="(",LEFT(IFERROR(INDEX(醫師週班表!$C$5:$T$44,$CU12,BU$57),""),1),IFERROR(INDEX(醫師週班表!$C$5:$T$44,$CU12,BU$57),"")))))))</f>
        <v/>
      </c>
      <c r="BV12" s="71">
        <f>IF(BV$59="X","",IF(BV$59&lt;&gt;"",BV$59,IF(IFERROR(INDEX(醫師週班表!$C$5:$T$44,$CU12,BV$57),"")=0,"",IF(MID(IFERROR(INDEX(醫師週班表!$C$5:$T$44,$CU12,BV$57),""),2,1)="/",MID(IFERROR(INDEX(醫師週班表!$C$5:$T$44,$CU12,BV$57),""),1+BV$58*2,1),IF(MID(IFERROR(INDEX(醫師週班表!$C$5:$T$44,$CU12,BV$57),""),3,1)="隔",IF(BV$58=0,LEFT(IFERROR(INDEX(醫師週班表!$C$5:$T$44,$CU12,BV$57),""),1),""),IF(MID(IFERROR(INDEX(醫師週班表!$C$5:$T$44,$CU12,BV$57),""),2,1)="(",LEFT(IFERROR(INDEX(醫師週班表!$C$5:$T$44,$CU12,BV$57),""),1),IFERROR(INDEX(醫師週班表!$C$5:$T$44,$CU12,BV$57),"")))))))</f>
        <v/>
      </c>
      <c r="BW12" s="72">
        <f>IF(BW$59="X","",IF(BW$59&lt;&gt;"",BW$59,IF(IFERROR(INDEX(醫師週班表!$C$5:$T$44,$CU12,BW$57),"")=0,"",IF(MID(IFERROR(INDEX(醫師週班表!$C$5:$T$44,$CU12,BW$57),""),2,1)="/",MID(IFERROR(INDEX(醫師週班表!$C$5:$T$44,$CU12,BW$57),""),1+BW$58*2,1),IF(MID(IFERROR(INDEX(醫師週班表!$C$5:$T$44,$CU12,BW$57),""),3,1)="隔",IF(BW$58=0,LEFT(IFERROR(INDEX(醫師週班表!$C$5:$T$44,$CU12,BW$57),""),1),""),IF(MID(IFERROR(INDEX(醫師週班表!$C$5:$T$44,$CU12,BW$57),""),2,1)="(",LEFT(IFERROR(INDEX(醫師週班表!$C$5:$T$44,$CU12,BW$57),""),1),IFERROR(INDEX(醫師週班表!$C$5:$T$44,$CU12,BW$57),"")))))))</f>
        <v/>
      </c>
      <c r="BX12" s="72">
        <f>IF(BX$59="X","",IF(BX$59&lt;&gt;"",BX$59,IF(IFERROR(INDEX(醫師週班表!$C$5:$T$44,$CU12,BX$57),"")=0,"",IF(MID(IFERROR(INDEX(醫師週班表!$C$5:$T$44,$CU12,BX$57),""),2,1)="/",MID(IFERROR(INDEX(醫師週班表!$C$5:$T$44,$CU12,BX$57),""),1+BX$58*2,1),IF(MID(IFERROR(INDEX(醫師週班表!$C$5:$T$44,$CU12,BX$57),""),3,1)="隔",IF(BX$58=0,LEFT(IFERROR(INDEX(醫師週班表!$C$5:$T$44,$CU12,BX$57),""),1),""),IF(MID(IFERROR(INDEX(醫師週班表!$C$5:$T$44,$CU12,BX$57),""),2,1)="(",LEFT(IFERROR(INDEX(醫師週班表!$C$5:$T$44,$CU12,BX$57),""),1),IFERROR(INDEX(醫師週班表!$C$5:$T$44,$CU12,BX$57),"")))))))</f>
        <v/>
      </c>
      <c r="BY12" s="71">
        <f>IF(BY$59="X","",IF(BY$59&lt;&gt;"",BY$59,IF(IFERROR(INDEX(醫師週班表!$C$5:$T$44,$CU12,BY$57),"")=0,"",IF(MID(IFERROR(INDEX(醫師週班表!$C$5:$T$44,$CU12,BY$57),""),2,1)="/",MID(IFERROR(INDEX(醫師週班表!$C$5:$T$44,$CU12,BY$57),""),1+BY$58*2,1),IF(MID(IFERROR(INDEX(醫師週班表!$C$5:$T$44,$CU12,BY$57),""),3,1)="隔",IF(BY$58=0,LEFT(IFERROR(INDEX(醫師週班表!$C$5:$T$44,$CU12,BY$57),""),1),""),IF(MID(IFERROR(INDEX(醫師週班表!$C$5:$T$44,$CU12,BY$57),""),2,1)="(",LEFT(IFERROR(INDEX(醫師週班表!$C$5:$T$44,$CU12,BY$57),""),1),IFERROR(INDEX(醫師週班表!$C$5:$T$44,$CU12,BY$57),"")))))))</f>
        <v/>
      </c>
      <c r="BZ12" s="72">
        <f>IF(BZ$59="X","",IF(BZ$59&lt;&gt;"",BZ$59,IF(IFERROR(INDEX(醫師週班表!$C$5:$T$44,$CU12,BZ$57),"")=0,"",IF(MID(IFERROR(INDEX(醫師週班表!$C$5:$T$44,$CU12,BZ$57),""),2,1)="/",MID(IFERROR(INDEX(醫師週班表!$C$5:$T$44,$CU12,BZ$57),""),1+BZ$58*2,1),IF(MID(IFERROR(INDEX(醫師週班表!$C$5:$T$44,$CU12,BZ$57),""),3,1)="隔",IF(BZ$58=0,LEFT(IFERROR(INDEX(醫師週班表!$C$5:$T$44,$CU12,BZ$57),""),1),""),IF(MID(IFERROR(INDEX(醫師週班表!$C$5:$T$44,$CU12,BZ$57),""),2,1)="(",LEFT(IFERROR(INDEX(醫師週班表!$C$5:$T$44,$CU12,BZ$57),""),1),IFERROR(INDEX(醫師週班表!$C$5:$T$44,$CU12,BZ$57),"")))))))</f>
        <v/>
      </c>
      <c r="CA12" s="72">
        <f>IF(CA$59="X","",IF(CA$59&lt;&gt;"",CA$59,IF(IFERROR(INDEX(醫師週班表!$C$5:$T$44,$CU12,CA$57),"")=0,"",IF(MID(IFERROR(INDEX(醫師週班表!$C$5:$T$44,$CU12,CA$57),""),2,1)="/",MID(IFERROR(INDEX(醫師週班表!$C$5:$T$44,$CU12,CA$57),""),1+CA$58*2,1),IF(MID(IFERROR(INDEX(醫師週班表!$C$5:$T$44,$CU12,CA$57),""),3,1)="隔",IF(CA$58=0,LEFT(IFERROR(INDEX(醫師週班表!$C$5:$T$44,$CU12,CA$57),""),1),""),IF(MID(IFERROR(INDEX(醫師週班表!$C$5:$T$44,$CU12,CA$57),""),2,1)="(",LEFT(IFERROR(INDEX(醫師週班表!$C$5:$T$44,$CU12,CA$57),""),1),IFERROR(INDEX(醫師週班表!$C$5:$T$44,$CU12,CA$57),"")))))))</f>
        <v/>
      </c>
      <c r="CB12" s="71">
        <f>IF(CB$59="X","",IF(CB$59&lt;&gt;"",CB$59,IF(IFERROR(INDEX(醫師週班表!$C$5:$T$44,$CU12,CB$57),"")=0,"",IF(MID(IFERROR(INDEX(醫師週班表!$C$5:$T$44,$CU12,CB$57),""),2,1)="/",MID(IFERROR(INDEX(醫師週班表!$C$5:$T$44,$CU12,CB$57),""),1+CB$58*2,1),IF(MID(IFERROR(INDEX(醫師週班表!$C$5:$T$44,$CU12,CB$57),""),3,1)="隔",IF(CB$58=0,LEFT(IFERROR(INDEX(醫師週班表!$C$5:$T$44,$CU12,CB$57),""),1),""),IF(MID(IFERROR(INDEX(醫師週班表!$C$5:$T$44,$CU12,CB$57),""),2,1)="(",LEFT(IFERROR(INDEX(醫師週班表!$C$5:$T$44,$CU12,CB$57),""),1),IFERROR(INDEX(醫師週班表!$C$5:$T$44,$CU12,CB$57),"")))))))</f>
        <v/>
      </c>
      <c r="CC12" s="72">
        <f>IF(CC$59="X","",IF(CC$59&lt;&gt;"",CC$59,IF(IFERROR(INDEX(醫師週班表!$C$5:$T$44,$CU12,CC$57),"")=0,"",IF(MID(IFERROR(INDEX(醫師週班表!$C$5:$T$44,$CU12,CC$57),""),2,1)="/",MID(IFERROR(INDEX(醫師週班表!$C$5:$T$44,$CU12,CC$57),""),1+CC$58*2,1),IF(MID(IFERROR(INDEX(醫師週班表!$C$5:$T$44,$CU12,CC$57),""),3,1)="隔",IF(CC$58=0,LEFT(IFERROR(INDEX(醫師週班表!$C$5:$T$44,$CU12,CC$57),""),1),""),IF(MID(IFERROR(INDEX(醫師週班表!$C$5:$T$44,$CU12,CC$57),""),2,1)="(",LEFT(IFERROR(INDEX(醫師週班表!$C$5:$T$44,$CU12,CC$57),""),1),IFERROR(INDEX(醫師週班表!$C$5:$T$44,$CU12,CC$57),"")))))))</f>
        <v/>
      </c>
      <c r="CD12" s="72">
        <f>IF(CD$59="X","",IF(CD$59&lt;&gt;"",CD$59,IF(IFERROR(INDEX(醫師週班表!$C$5:$T$44,$CU12,CD$57),"")=0,"",IF(MID(IFERROR(INDEX(醫師週班表!$C$5:$T$44,$CU12,CD$57),""),2,1)="/",MID(IFERROR(INDEX(醫師週班表!$C$5:$T$44,$CU12,CD$57),""),1+CD$58*2,1),IF(MID(IFERROR(INDEX(醫師週班表!$C$5:$T$44,$CU12,CD$57),""),3,1)="隔",IF(CD$58=0,LEFT(IFERROR(INDEX(醫師週班表!$C$5:$T$44,$CU12,CD$57),""),1),""),IF(MID(IFERROR(INDEX(醫師週班表!$C$5:$T$44,$CU12,CD$57),""),2,1)="(",LEFT(IFERROR(INDEX(醫師週班表!$C$5:$T$44,$CU12,CD$57),""),1),IFERROR(INDEX(醫師週班表!$C$5:$T$44,$CU12,CD$57),"")))))))</f>
        <v/>
      </c>
      <c r="CE12" s="71">
        <f>IF(CE$59="X","",IF(CE$59&lt;&gt;"",CE$59,IF(IFERROR(INDEX(醫師週班表!$C$5:$T$44,$CU12,CE$57),"")=0,"",IF(MID(IFERROR(INDEX(醫師週班表!$C$5:$T$44,$CU12,CE$57),""),2,1)="/",MID(IFERROR(INDEX(醫師週班表!$C$5:$T$44,$CU12,CE$57),""),1+CE$58*2,1),IF(MID(IFERROR(INDEX(醫師週班表!$C$5:$T$44,$CU12,CE$57),""),3,1)="隔",IF(CE$58=0,LEFT(IFERROR(INDEX(醫師週班表!$C$5:$T$44,$CU12,CE$57),""),1),""),IF(MID(IFERROR(INDEX(醫師週班表!$C$5:$T$44,$CU12,CE$57),""),2,1)="(",LEFT(IFERROR(INDEX(醫師週班表!$C$5:$T$44,$CU12,CE$57),""),1),IFERROR(INDEX(醫師週班表!$C$5:$T$44,$CU12,CE$57),"")))))))</f>
        <v/>
      </c>
      <c r="CF12" s="72">
        <f>IF(CF$59="X","",IF(CF$59&lt;&gt;"",CF$59,IF(IFERROR(INDEX(醫師週班表!$C$5:$T$44,$CU12,CF$57),"")=0,"",IF(MID(IFERROR(INDEX(醫師週班表!$C$5:$T$44,$CU12,CF$57),""),2,1)="/",MID(IFERROR(INDEX(醫師週班表!$C$5:$T$44,$CU12,CF$57),""),1+CF$58*2,1),IF(MID(IFERROR(INDEX(醫師週班表!$C$5:$T$44,$CU12,CF$57),""),3,1)="隔",IF(CF$58=0,LEFT(IFERROR(INDEX(醫師週班表!$C$5:$T$44,$CU12,CF$57),""),1),""),IF(MID(IFERROR(INDEX(醫師週班表!$C$5:$T$44,$CU12,CF$57),""),2,1)="(",LEFT(IFERROR(INDEX(醫師週班表!$C$5:$T$44,$CU12,CF$57),""),1),IFERROR(INDEX(醫師週班表!$C$5:$T$44,$CU12,CF$57),"")))))))</f>
        <v/>
      </c>
      <c r="CG12" s="72">
        <f>IF(CG$59="X","",IF(CG$59&lt;&gt;"",CG$59,IF(IFERROR(INDEX(醫師週班表!$C$5:$T$44,$CU12,CG$57),"")=0,"",IF(MID(IFERROR(INDEX(醫師週班表!$C$5:$T$44,$CU12,CG$57),""),2,1)="/",MID(IFERROR(INDEX(醫師週班表!$C$5:$T$44,$CU12,CG$57),""),1+CG$58*2,1),IF(MID(IFERROR(INDEX(醫師週班表!$C$5:$T$44,$CU12,CG$57),""),3,1)="隔",IF(CG$58=0,LEFT(IFERROR(INDEX(醫師週班表!$C$5:$T$44,$CU12,CG$57),""),1),""),IF(MID(IFERROR(INDEX(醫師週班表!$C$5:$T$44,$CU12,CG$57),""),2,1)="(",LEFT(IFERROR(INDEX(醫師週班表!$C$5:$T$44,$CU12,CG$57),""),1),IFERROR(INDEX(醫師週班表!$C$5:$T$44,$CU12,CG$57),"")))))))</f>
        <v/>
      </c>
      <c r="CH12" s="71">
        <f>IF(CH$59="X","",IF(CH$59&lt;&gt;"",CH$59,IF(IFERROR(INDEX(醫師週班表!$C$5:$T$44,$CU12,CH$57),"")=0,"",IF(MID(IFERROR(INDEX(醫師週班表!$C$5:$T$44,$CU12,CH$57),""),2,1)="/",MID(IFERROR(INDEX(醫師週班表!$C$5:$T$44,$CU12,CH$57),""),1+CH$58*2,1),IF(MID(IFERROR(INDEX(醫師週班表!$C$5:$T$44,$CU12,CH$57),""),3,1)="隔",IF(CH$58=0,LEFT(IFERROR(INDEX(醫師週班表!$C$5:$T$44,$CU12,CH$57),""),1),""),IF(MID(IFERROR(INDEX(醫師週班表!$C$5:$T$44,$CU12,CH$57),""),2,1)="(",LEFT(IFERROR(INDEX(醫師週班表!$C$5:$T$44,$CU12,CH$57),""),1),IFERROR(INDEX(醫師週班表!$C$5:$T$44,$CU12,CH$57),"")))))))</f>
        <v/>
      </c>
      <c r="CI12" s="72">
        <f>IF(CI$59="X","",IF(CI$59&lt;&gt;"",CI$59,IF(IFERROR(INDEX(醫師週班表!$C$5:$T$44,$CU12,CI$57),"")=0,"",IF(MID(IFERROR(INDEX(醫師週班表!$C$5:$T$44,$CU12,CI$57),""),2,1)="/",MID(IFERROR(INDEX(醫師週班表!$C$5:$T$44,$CU12,CI$57),""),1+CI$58*2,1),IF(MID(IFERROR(INDEX(醫師週班表!$C$5:$T$44,$CU12,CI$57),""),3,1)="隔",IF(CI$58=0,LEFT(IFERROR(INDEX(醫師週班表!$C$5:$T$44,$CU12,CI$57),""),1),""),IF(MID(IFERROR(INDEX(醫師週班表!$C$5:$T$44,$CU12,CI$57),""),2,1)="(",LEFT(IFERROR(INDEX(醫師週班表!$C$5:$T$44,$CU12,CI$57),""),1),IFERROR(INDEX(醫師週班表!$C$5:$T$44,$CU12,CI$57),"")))))))</f>
        <v/>
      </c>
      <c r="CJ12" s="72">
        <f>IF(CJ$59="X","",IF(CJ$59&lt;&gt;"",CJ$59,IF(IFERROR(INDEX(醫師週班表!$C$5:$T$44,$CU12,CJ$57),"")=0,"",IF(MID(IFERROR(INDEX(醫師週班表!$C$5:$T$44,$CU12,CJ$57),""),2,1)="/",MID(IFERROR(INDEX(醫師週班表!$C$5:$T$44,$CU12,CJ$57),""),1+CJ$58*2,1),IF(MID(IFERROR(INDEX(醫師週班表!$C$5:$T$44,$CU12,CJ$57),""),3,1)="隔",IF(CJ$58=0,LEFT(IFERROR(INDEX(醫師週班表!$C$5:$T$44,$CU12,CJ$57),""),1),""),IF(MID(IFERROR(INDEX(醫師週班表!$C$5:$T$44,$CU12,CJ$57),""),2,1)="(",LEFT(IFERROR(INDEX(醫師週班表!$C$5:$T$44,$CU12,CJ$57),""),1),IFERROR(INDEX(醫師週班表!$C$5:$T$44,$CU12,CJ$57),"")))))))</f>
        <v/>
      </c>
      <c r="CK12" s="71">
        <f>IF(CK$59="X","",IF(CK$59&lt;&gt;"",CK$59,IF(IFERROR(INDEX(醫師週班表!$C$5:$T$44,$CU12,CK$57),"")=0,"",IF(MID(IFERROR(INDEX(醫師週班表!$C$5:$T$44,$CU12,CK$57),""),2,1)="/",MID(IFERROR(INDEX(醫師週班表!$C$5:$T$44,$CU12,CK$57),""),1+CK$58*2,1),IF(MID(IFERROR(INDEX(醫師週班表!$C$5:$T$44,$CU12,CK$57),""),3,1)="隔",IF(CK$58=0,LEFT(IFERROR(INDEX(醫師週班表!$C$5:$T$44,$CU12,CK$57),""),1),""),IF(MID(IFERROR(INDEX(醫師週班表!$C$5:$T$44,$CU12,CK$57),""),2,1)="(",LEFT(IFERROR(INDEX(醫師週班表!$C$5:$T$44,$CU12,CK$57),""),1),IFERROR(INDEX(醫師週班表!$C$5:$T$44,$CU12,CK$57),"")))))))</f>
        <v/>
      </c>
      <c r="CL12" s="72">
        <f>IF(CL$59="X","",IF(CL$59&lt;&gt;"",CL$59,IF(IFERROR(INDEX(醫師週班表!$C$5:$T$44,$CU12,CL$57),"")=0,"",IF(MID(IFERROR(INDEX(醫師週班表!$C$5:$T$44,$CU12,CL$57),""),2,1)="/",MID(IFERROR(INDEX(醫師週班表!$C$5:$T$44,$CU12,CL$57),""),1+CL$58*2,1),IF(MID(IFERROR(INDEX(醫師週班表!$C$5:$T$44,$CU12,CL$57),""),3,1)="隔",IF(CL$58=0,LEFT(IFERROR(INDEX(醫師週班表!$C$5:$T$44,$CU12,CL$57),""),1),""),IF(MID(IFERROR(INDEX(醫師週班表!$C$5:$T$44,$CU12,CL$57),""),2,1)="(",LEFT(IFERROR(INDEX(醫師週班表!$C$5:$T$44,$CU12,CL$57),""),1),IFERROR(INDEX(醫師週班表!$C$5:$T$44,$CU12,CL$57),"")))))))</f>
        <v/>
      </c>
      <c r="CM12" s="72">
        <f>IF(CM$59="X","",IF(CM$59&lt;&gt;"",CM$59,IF(IFERROR(INDEX(醫師週班表!$C$5:$T$44,$CU12,CM$57),"")=0,"",IF(MID(IFERROR(INDEX(醫師週班表!$C$5:$T$44,$CU12,CM$57),""),2,1)="/",MID(IFERROR(INDEX(醫師週班表!$C$5:$T$44,$CU12,CM$57),""),1+CM$58*2,1),IF(MID(IFERROR(INDEX(醫師週班表!$C$5:$T$44,$CU12,CM$57),""),3,1)="隔",IF(CM$58=0,LEFT(IFERROR(INDEX(醫師週班表!$C$5:$T$44,$CU12,CM$57),""),1),""),IF(MID(IFERROR(INDEX(醫師週班表!$C$5:$T$44,$CU12,CM$57),""),2,1)="(",LEFT(IFERROR(INDEX(醫師週班表!$C$5:$T$44,$CU12,CM$57),""),1),IFERROR(INDEX(醫師週班表!$C$5:$T$44,$CU12,CM$57),"")))))))</f>
        <v/>
      </c>
      <c r="CN12" s="71">
        <f>IF(CN$59="X","",IF(CN$59&lt;&gt;"",CN$59,IF(IFERROR(INDEX(醫師週班表!$C$5:$T$44,$CU12,CN$57),"")=0,"",IF(MID(IFERROR(INDEX(醫師週班表!$C$5:$T$44,$CU12,CN$57),""),2,1)="/",MID(IFERROR(INDEX(醫師週班表!$C$5:$T$44,$CU12,CN$57),""),1+CN$58*2,1),IF(MID(IFERROR(INDEX(醫師週班表!$C$5:$T$44,$CU12,CN$57),""),3,1)="隔",IF(CN$58=0,LEFT(IFERROR(INDEX(醫師週班表!$C$5:$T$44,$CU12,CN$57),""),1),""),IF(MID(IFERROR(INDEX(醫師週班表!$C$5:$T$44,$CU12,CN$57),""),2,1)="(",LEFT(IFERROR(INDEX(醫師週班表!$C$5:$T$44,$CU12,CN$57),""),1),IFERROR(INDEX(醫師週班表!$C$5:$T$44,$CU12,CN$57),"")))))))</f>
        <v/>
      </c>
      <c r="CO12" s="72">
        <f>IF(CO$59="X","",IF(CO$59&lt;&gt;"",CO$59,IF(IFERROR(INDEX(醫師週班表!$C$5:$T$44,$CU12,CO$57),"")=0,"",IF(MID(IFERROR(INDEX(醫師週班表!$C$5:$T$44,$CU12,CO$57),""),2,1)="/",MID(IFERROR(INDEX(醫師週班表!$C$5:$T$44,$CU12,CO$57),""),1+CO$58*2,1),IF(MID(IFERROR(INDEX(醫師週班表!$C$5:$T$44,$CU12,CO$57),""),3,1)="隔",IF(CO$58=0,LEFT(IFERROR(INDEX(醫師週班表!$C$5:$T$44,$CU12,CO$57),""),1),""),IF(MID(IFERROR(INDEX(醫師週班表!$C$5:$T$44,$CU12,CO$57),""),2,1)="(",LEFT(IFERROR(INDEX(醫師週班表!$C$5:$T$44,$CU12,CO$57),""),1),IFERROR(INDEX(醫師週班表!$C$5:$T$44,$CU12,CO$57),"")))))))</f>
        <v/>
      </c>
      <c r="CP12" s="72">
        <f>IF(CP$59="X","",IF(CP$59&lt;&gt;"",CP$59,IF(IFERROR(INDEX(醫師週班表!$C$5:$T$44,$CU12,CP$57),"")=0,"",IF(MID(IFERROR(INDEX(醫師週班表!$C$5:$T$44,$CU12,CP$57),""),2,1)="/",MID(IFERROR(INDEX(醫師週班表!$C$5:$T$44,$CU12,CP$57),""),1+CP$58*2,1),IF(MID(IFERROR(INDEX(醫師週班表!$C$5:$T$44,$CU12,CP$57),""),3,1)="隔",IF(CP$58=0,LEFT(IFERROR(INDEX(醫師週班表!$C$5:$T$44,$CU12,CP$57),""),1),""),IF(MID(IFERROR(INDEX(醫師週班表!$C$5:$T$44,$CU12,CP$57),""),2,1)="(",LEFT(IFERROR(INDEX(醫師週班表!$C$5:$T$44,$CU12,CP$57),""),1),IFERROR(INDEX(醫師週班表!$C$5:$T$44,$CU12,CP$57),"")))))))</f>
        <v/>
      </c>
      <c r="CQ12" s="71">
        <f>IF(CQ$59="X","",IF(CQ$59&lt;&gt;"",CQ$59,IF(IFERROR(INDEX(醫師週班表!$C$5:$T$44,$CU12,CQ$57),"")=0,"",IF(MID(IFERROR(INDEX(醫師週班表!$C$5:$T$44,$CU12,CQ$57),""),2,1)="/",MID(IFERROR(INDEX(醫師週班表!$C$5:$T$44,$CU12,CQ$57),""),1+CQ$58*2,1),IF(MID(IFERROR(INDEX(醫師週班表!$C$5:$T$44,$CU12,CQ$57),""),3,1)="隔",IF(CQ$58=0,LEFT(IFERROR(INDEX(醫師週班表!$C$5:$T$44,$CU12,CQ$57),""),1),""),IF(MID(IFERROR(INDEX(醫師週班表!$C$5:$T$44,$CU12,CQ$57),""),2,1)="(",LEFT(IFERROR(INDEX(醫師週班表!$C$5:$T$44,$CU12,CQ$57),""),1),IFERROR(INDEX(醫師週班表!$C$5:$T$44,$CU12,CQ$57),"")))))))</f>
        <v/>
      </c>
      <c r="CR12" s="72">
        <f>IF(CR$59="X","",IF(CR$59&lt;&gt;"",CR$59,IF(IFERROR(INDEX(醫師週班表!$C$5:$T$44,$CU12,CR$57),"")=0,"",IF(MID(IFERROR(INDEX(醫師週班表!$C$5:$T$44,$CU12,CR$57),""),2,1)="/",MID(IFERROR(INDEX(醫師週班表!$C$5:$T$44,$CU12,CR$57),""),1+CR$58*2,1),IF(MID(IFERROR(INDEX(醫師週班表!$C$5:$T$44,$CU12,CR$57),""),3,1)="隔",IF(CR$58=0,LEFT(IFERROR(INDEX(醫師週班表!$C$5:$T$44,$CU12,CR$57),""),1),""),IF(MID(IFERROR(INDEX(醫師週班表!$C$5:$T$44,$CU12,CR$57),""),2,1)="(",LEFT(IFERROR(INDEX(醫師週班表!$C$5:$T$44,$CU12,CR$57),""),1),IFERROR(INDEX(醫師週班表!$C$5:$T$44,$CU12,CR$57),"")))))))</f>
        <v/>
      </c>
      <c r="CS12" s="72">
        <f>IF(CS$59="X","",IF(CS$59&lt;&gt;"",CS$59,IF(IFERROR(INDEX(醫師週班表!$C$5:$T$44,$CU12,CS$57),"")=0,"",IF(MID(IFERROR(INDEX(醫師週班表!$C$5:$T$44,$CU12,CS$57),""),2,1)="/",MID(IFERROR(INDEX(醫師週班表!$C$5:$T$44,$CU12,CS$57),""),1+CS$58*2,1),IF(MID(IFERROR(INDEX(醫師週班表!$C$5:$T$44,$CU12,CS$57),""),3,1)="隔",IF(CS$58=0,LEFT(IFERROR(INDEX(醫師週班表!$C$5:$T$44,$CU12,CS$57),""),1),""),IF(MID(IFERROR(INDEX(醫師週班表!$C$5:$T$44,$CU12,CS$57),""),2,1)="(",LEFT(IFERROR(INDEX(醫師週班表!$C$5:$T$44,$CU12,CS$57),""),1),IFERROR(INDEX(醫師週班表!$C$5:$T$44,$CU12,CS$57),"")))))))</f>
        <v/>
      </c>
      <c r="CU12" s="73">
        <f>IFERROR(MATCH($A12,醫師週班表!$A$5:$A$44,0),0)</f>
        <v/>
      </c>
    </row>
    <row r="13" ht="17" customHeight="1">
      <c r="A13" s="19" t="inlineStr">
        <is>
          <t>D008</t>
        </is>
      </c>
      <c r="B13" s="16" t="inlineStr">
        <is>
          <t>林紫亭</t>
        </is>
      </c>
      <c r="C13" s="70" t="inlineStr"/>
      <c r="D13" s="16" t="inlineStr"/>
      <c r="E13" s="71">
        <f>IF(E$59="X","",IF(E$59&lt;&gt;"",E$59,IF(IFERROR(INDEX(醫師週班表!$C$5:$T$44,$CU13,E$57),"")=0,"",IF(MID(IFERROR(INDEX(醫師週班表!$C$5:$T$44,$CU13,E$57),""),2,1)="/",MID(IFERROR(INDEX(醫師週班表!$C$5:$T$44,$CU13,E$57),""),1+E$58*2,1),IF(MID(IFERROR(INDEX(醫師週班表!$C$5:$T$44,$CU13,E$57),""),3,1)="隔",IF(E$58=0,LEFT(IFERROR(INDEX(醫師週班表!$C$5:$T$44,$CU13,E$57),""),1),""),IF(MID(IFERROR(INDEX(醫師週班表!$C$5:$T$44,$CU13,E$57),""),2,1)="(",LEFT(IFERROR(INDEX(醫師週班表!$C$5:$T$44,$CU13,E$57),""),1),IFERROR(INDEX(醫師週班表!$C$5:$T$44,$CU13,E$57),"")))))))</f>
        <v/>
      </c>
      <c r="F13" s="72">
        <f>IF(F$59="X","",IF(F$59&lt;&gt;"",F$59,IF(IFERROR(INDEX(醫師週班表!$C$5:$T$44,$CU13,F$57),"")=0,"",IF(MID(IFERROR(INDEX(醫師週班表!$C$5:$T$44,$CU13,F$57),""),2,1)="/",MID(IFERROR(INDEX(醫師週班表!$C$5:$T$44,$CU13,F$57),""),1+F$58*2,1),IF(MID(IFERROR(INDEX(醫師週班表!$C$5:$T$44,$CU13,F$57),""),3,1)="隔",IF(F$58=0,LEFT(IFERROR(INDEX(醫師週班表!$C$5:$T$44,$CU13,F$57),""),1),""),IF(MID(IFERROR(INDEX(醫師週班表!$C$5:$T$44,$CU13,F$57),""),2,1)="(",LEFT(IFERROR(INDEX(醫師週班表!$C$5:$T$44,$CU13,F$57),""),1),IFERROR(INDEX(醫師週班表!$C$5:$T$44,$CU13,F$57),"")))))))</f>
        <v/>
      </c>
      <c r="G13" s="72">
        <f>IF(G$59="X","",IF(G$59&lt;&gt;"",G$59,IF(IFERROR(INDEX(醫師週班表!$C$5:$T$44,$CU13,G$57),"")=0,"",IF(MID(IFERROR(INDEX(醫師週班表!$C$5:$T$44,$CU13,G$57),""),2,1)="/",MID(IFERROR(INDEX(醫師週班表!$C$5:$T$44,$CU13,G$57),""),1+G$58*2,1),IF(MID(IFERROR(INDEX(醫師週班表!$C$5:$T$44,$CU13,G$57),""),3,1)="隔",IF(G$58=0,LEFT(IFERROR(INDEX(醫師週班表!$C$5:$T$44,$CU13,G$57),""),1),""),IF(MID(IFERROR(INDEX(醫師週班表!$C$5:$T$44,$CU13,G$57),""),2,1)="(",LEFT(IFERROR(INDEX(醫師週班表!$C$5:$T$44,$CU13,G$57),""),1),IFERROR(INDEX(醫師週班表!$C$5:$T$44,$CU13,G$57),"")))))))</f>
        <v/>
      </c>
      <c r="H13" s="71">
        <f>IF(H$59="X","",IF(H$59&lt;&gt;"",H$59,IF(IFERROR(INDEX(醫師週班表!$C$5:$T$44,$CU13,H$57),"")=0,"",IF(MID(IFERROR(INDEX(醫師週班表!$C$5:$T$44,$CU13,H$57),""),2,1)="/",MID(IFERROR(INDEX(醫師週班表!$C$5:$T$44,$CU13,H$57),""),1+H$58*2,1),IF(MID(IFERROR(INDEX(醫師週班表!$C$5:$T$44,$CU13,H$57),""),3,1)="隔",IF(H$58=0,LEFT(IFERROR(INDEX(醫師週班表!$C$5:$T$44,$CU13,H$57),""),1),""),IF(MID(IFERROR(INDEX(醫師週班表!$C$5:$T$44,$CU13,H$57),""),2,1)="(",LEFT(IFERROR(INDEX(醫師週班表!$C$5:$T$44,$CU13,H$57),""),1),IFERROR(INDEX(醫師週班表!$C$5:$T$44,$CU13,H$57),"")))))))</f>
        <v/>
      </c>
      <c r="I13" s="72">
        <f>IF(I$59="X","",IF(I$59&lt;&gt;"",I$59,IF(IFERROR(INDEX(醫師週班表!$C$5:$T$44,$CU13,I$57),"")=0,"",IF(MID(IFERROR(INDEX(醫師週班表!$C$5:$T$44,$CU13,I$57),""),2,1)="/",MID(IFERROR(INDEX(醫師週班表!$C$5:$T$44,$CU13,I$57),""),1+I$58*2,1),IF(MID(IFERROR(INDEX(醫師週班表!$C$5:$T$44,$CU13,I$57),""),3,1)="隔",IF(I$58=0,LEFT(IFERROR(INDEX(醫師週班表!$C$5:$T$44,$CU13,I$57),""),1),""),IF(MID(IFERROR(INDEX(醫師週班表!$C$5:$T$44,$CU13,I$57),""),2,1)="(",LEFT(IFERROR(INDEX(醫師週班表!$C$5:$T$44,$CU13,I$57),""),1),IFERROR(INDEX(醫師週班表!$C$5:$T$44,$CU13,I$57),"")))))))</f>
        <v/>
      </c>
      <c r="J13" s="72">
        <f>IF(J$59="X","",IF(J$59&lt;&gt;"",J$59,IF(IFERROR(INDEX(醫師週班表!$C$5:$T$44,$CU13,J$57),"")=0,"",IF(MID(IFERROR(INDEX(醫師週班表!$C$5:$T$44,$CU13,J$57),""),2,1)="/",MID(IFERROR(INDEX(醫師週班表!$C$5:$T$44,$CU13,J$57),""),1+J$58*2,1),IF(MID(IFERROR(INDEX(醫師週班表!$C$5:$T$44,$CU13,J$57),""),3,1)="隔",IF(J$58=0,LEFT(IFERROR(INDEX(醫師週班表!$C$5:$T$44,$CU13,J$57),""),1),""),IF(MID(IFERROR(INDEX(醫師週班表!$C$5:$T$44,$CU13,J$57),""),2,1)="(",LEFT(IFERROR(INDEX(醫師週班表!$C$5:$T$44,$CU13,J$57),""),1),IFERROR(INDEX(醫師週班表!$C$5:$T$44,$CU13,J$57),"")))))))</f>
        <v/>
      </c>
      <c r="K13" s="71">
        <f>IF(K$59="X","",IF(K$59&lt;&gt;"",K$59,IF(IFERROR(INDEX(醫師週班表!$C$5:$T$44,$CU13,K$57),"")=0,"",IF(MID(IFERROR(INDEX(醫師週班表!$C$5:$T$44,$CU13,K$57),""),2,1)="/",MID(IFERROR(INDEX(醫師週班表!$C$5:$T$44,$CU13,K$57),""),1+K$58*2,1),IF(MID(IFERROR(INDEX(醫師週班表!$C$5:$T$44,$CU13,K$57),""),3,1)="隔",IF(K$58=0,LEFT(IFERROR(INDEX(醫師週班表!$C$5:$T$44,$CU13,K$57),""),1),""),IF(MID(IFERROR(INDEX(醫師週班表!$C$5:$T$44,$CU13,K$57),""),2,1)="(",LEFT(IFERROR(INDEX(醫師週班表!$C$5:$T$44,$CU13,K$57),""),1),IFERROR(INDEX(醫師週班表!$C$5:$T$44,$CU13,K$57),"")))))))</f>
        <v/>
      </c>
      <c r="L13" s="72">
        <f>IF(L$59="X","",IF(L$59&lt;&gt;"",L$59,IF(IFERROR(INDEX(醫師週班表!$C$5:$T$44,$CU13,L$57),"")=0,"",IF(MID(IFERROR(INDEX(醫師週班表!$C$5:$T$44,$CU13,L$57),""),2,1)="/",MID(IFERROR(INDEX(醫師週班表!$C$5:$T$44,$CU13,L$57),""),1+L$58*2,1),IF(MID(IFERROR(INDEX(醫師週班表!$C$5:$T$44,$CU13,L$57),""),3,1)="隔",IF(L$58=0,LEFT(IFERROR(INDEX(醫師週班表!$C$5:$T$44,$CU13,L$57),""),1),""),IF(MID(IFERROR(INDEX(醫師週班表!$C$5:$T$44,$CU13,L$57),""),2,1)="(",LEFT(IFERROR(INDEX(醫師週班表!$C$5:$T$44,$CU13,L$57),""),1),IFERROR(INDEX(醫師週班表!$C$5:$T$44,$CU13,L$57),"")))))))</f>
        <v/>
      </c>
      <c r="M13" s="72">
        <f>IF(M$59="X","",IF(M$59&lt;&gt;"",M$59,IF(IFERROR(INDEX(醫師週班表!$C$5:$T$44,$CU13,M$57),"")=0,"",IF(MID(IFERROR(INDEX(醫師週班表!$C$5:$T$44,$CU13,M$57),""),2,1)="/",MID(IFERROR(INDEX(醫師週班表!$C$5:$T$44,$CU13,M$57),""),1+M$58*2,1),IF(MID(IFERROR(INDEX(醫師週班表!$C$5:$T$44,$CU13,M$57),""),3,1)="隔",IF(M$58=0,LEFT(IFERROR(INDEX(醫師週班表!$C$5:$T$44,$CU13,M$57),""),1),""),IF(MID(IFERROR(INDEX(醫師週班表!$C$5:$T$44,$CU13,M$57),""),2,1)="(",LEFT(IFERROR(INDEX(醫師週班表!$C$5:$T$44,$CU13,M$57),""),1),IFERROR(INDEX(醫師週班表!$C$5:$T$44,$CU13,M$57),"")))))))</f>
        <v/>
      </c>
      <c r="N13" s="71">
        <f>IF(N$59="X","",IF(N$59&lt;&gt;"",N$59,IF(IFERROR(INDEX(醫師週班表!$C$5:$T$44,$CU13,N$57),"")=0,"",IF(MID(IFERROR(INDEX(醫師週班表!$C$5:$T$44,$CU13,N$57),""),2,1)="/",MID(IFERROR(INDEX(醫師週班表!$C$5:$T$44,$CU13,N$57),""),1+N$58*2,1),IF(MID(IFERROR(INDEX(醫師週班表!$C$5:$T$44,$CU13,N$57),""),3,1)="隔",IF(N$58=0,LEFT(IFERROR(INDEX(醫師週班表!$C$5:$T$44,$CU13,N$57),""),1),""),IF(MID(IFERROR(INDEX(醫師週班表!$C$5:$T$44,$CU13,N$57),""),2,1)="(",LEFT(IFERROR(INDEX(醫師週班表!$C$5:$T$44,$CU13,N$57),""),1),IFERROR(INDEX(醫師週班表!$C$5:$T$44,$CU13,N$57),"")))))))</f>
        <v/>
      </c>
      <c r="O13" s="72">
        <f>IF(O$59="X","",IF(O$59&lt;&gt;"",O$59,IF(IFERROR(INDEX(醫師週班表!$C$5:$T$44,$CU13,O$57),"")=0,"",IF(MID(IFERROR(INDEX(醫師週班表!$C$5:$T$44,$CU13,O$57),""),2,1)="/",MID(IFERROR(INDEX(醫師週班表!$C$5:$T$44,$CU13,O$57),""),1+O$58*2,1),IF(MID(IFERROR(INDEX(醫師週班表!$C$5:$T$44,$CU13,O$57),""),3,1)="隔",IF(O$58=0,LEFT(IFERROR(INDEX(醫師週班表!$C$5:$T$44,$CU13,O$57),""),1),""),IF(MID(IFERROR(INDEX(醫師週班表!$C$5:$T$44,$CU13,O$57),""),2,1)="(",LEFT(IFERROR(INDEX(醫師週班表!$C$5:$T$44,$CU13,O$57),""),1),IFERROR(INDEX(醫師週班表!$C$5:$T$44,$CU13,O$57),"")))))))</f>
        <v/>
      </c>
      <c r="P13" s="72">
        <f>IF(P$59="X","",IF(P$59&lt;&gt;"",P$59,IF(IFERROR(INDEX(醫師週班表!$C$5:$T$44,$CU13,P$57),"")=0,"",IF(MID(IFERROR(INDEX(醫師週班表!$C$5:$T$44,$CU13,P$57),""),2,1)="/",MID(IFERROR(INDEX(醫師週班表!$C$5:$T$44,$CU13,P$57),""),1+P$58*2,1),IF(MID(IFERROR(INDEX(醫師週班表!$C$5:$T$44,$CU13,P$57),""),3,1)="隔",IF(P$58=0,LEFT(IFERROR(INDEX(醫師週班表!$C$5:$T$44,$CU13,P$57),""),1),""),IF(MID(IFERROR(INDEX(醫師週班表!$C$5:$T$44,$CU13,P$57),""),2,1)="(",LEFT(IFERROR(INDEX(醫師週班表!$C$5:$T$44,$CU13,P$57),""),1),IFERROR(INDEX(醫師週班表!$C$5:$T$44,$CU13,P$57),"")))))))</f>
        <v/>
      </c>
      <c r="Q13" s="71">
        <f>IF(Q$59="X","",IF(Q$59&lt;&gt;"",Q$59,IF(IFERROR(INDEX(醫師週班表!$C$5:$T$44,$CU13,Q$57),"")=0,"",IF(MID(IFERROR(INDEX(醫師週班表!$C$5:$T$44,$CU13,Q$57),""),2,1)="/",MID(IFERROR(INDEX(醫師週班表!$C$5:$T$44,$CU13,Q$57),""),1+Q$58*2,1),IF(MID(IFERROR(INDEX(醫師週班表!$C$5:$T$44,$CU13,Q$57),""),3,1)="隔",IF(Q$58=0,LEFT(IFERROR(INDEX(醫師週班表!$C$5:$T$44,$CU13,Q$57),""),1),""),IF(MID(IFERROR(INDEX(醫師週班表!$C$5:$T$44,$CU13,Q$57),""),2,1)="(",LEFT(IFERROR(INDEX(醫師週班表!$C$5:$T$44,$CU13,Q$57),""),1),IFERROR(INDEX(醫師週班表!$C$5:$T$44,$CU13,Q$57),"")))))))</f>
        <v/>
      </c>
      <c r="R13" s="72">
        <f>IF(R$59="X","",IF(R$59&lt;&gt;"",R$59,IF(IFERROR(INDEX(醫師週班表!$C$5:$T$44,$CU13,R$57),"")=0,"",IF(MID(IFERROR(INDEX(醫師週班表!$C$5:$T$44,$CU13,R$57),""),2,1)="/",MID(IFERROR(INDEX(醫師週班表!$C$5:$T$44,$CU13,R$57),""),1+R$58*2,1),IF(MID(IFERROR(INDEX(醫師週班表!$C$5:$T$44,$CU13,R$57),""),3,1)="隔",IF(R$58=0,LEFT(IFERROR(INDEX(醫師週班表!$C$5:$T$44,$CU13,R$57),""),1),""),IF(MID(IFERROR(INDEX(醫師週班表!$C$5:$T$44,$CU13,R$57),""),2,1)="(",LEFT(IFERROR(INDEX(醫師週班表!$C$5:$T$44,$CU13,R$57),""),1),IFERROR(INDEX(醫師週班表!$C$5:$T$44,$CU13,R$57),"")))))))</f>
        <v/>
      </c>
      <c r="S13" s="72">
        <f>IF(S$59="X","",IF(S$59&lt;&gt;"",S$59,IF(IFERROR(INDEX(醫師週班表!$C$5:$T$44,$CU13,S$57),"")=0,"",IF(MID(IFERROR(INDEX(醫師週班表!$C$5:$T$44,$CU13,S$57),""),2,1)="/",MID(IFERROR(INDEX(醫師週班表!$C$5:$T$44,$CU13,S$57),""),1+S$58*2,1),IF(MID(IFERROR(INDEX(醫師週班表!$C$5:$T$44,$CU13,S$57),""),3,1)="隔",IF(S$58=0,LEFT(IFERROR(INDEX(醫師週班表!$C$5:$T$44,$CU13,S$57),""),1),""),IF(MID(IFERROR(INDEX(醫師週班表!$C$5:$T$44,$CU13,S$57),""),2,1)="(",LEFT(IFERROR(INDEX(醫師週班表!$C$5:$T$44,$CU13,S$57),""),1),IFERROR(INDEX(醫師週班表!$C$5:$T$44,$CU13,S$57),"")))))))</f>
        <v/>
      </c>
      <c r="T13" s="71">
        <f>IF(T$59="X","",IF(T$59&lt;&gt;"",T$59,IF(IFERROR(INDEX(醫師週班表!$C$5:$T$44,$CU13,T$57),"")=0,"",IF(MID(IFERROR(INDEX(醫師週班表!$C$5:$T$44,$CU13,T$57),""),2,1)="/",MID(IFERROR(INDEX(醫師週班表!$C$5:$T$44,$CU13,T$57),""),1+T$58*2,1),IF(MID(IFERROR(INDEX(醫師週班表!$C$5:$T$44,$CU13,T$57),""),3,1)="隔",IF(T$58=0,LEFT(IFERROR(INDEX(醫師週班表!$C$5:$T$44,$CU13,T$57),""),1),""),IF(MID(IFERROR(INDEX(醫師週班表!$C$5:$T$44,$CU13,T$57),""),2,1)="(",LEFT(IFERROR(INDEX(醫師週班表!$C$5:$T$44,$CU13,T$57),""),1),IFERROR(INDEX(醫師週班表!$C$5:$T$44,$CU13,T$57),"")))))))</f>
        <v/>
      </c>
      <c r="U13" s="72">
        <f>IF(U$59="X","",IF(U$59&lt;&gt;"",U$59,IF(IFERROR(INDEX(醫師週班表!$C$5:$T$44,$CU13,U$57),"")=0,"",IF(MID(IFERROR(INDEX(醫師週班表!$C$5:$T$44,$CU13,U$57),""),2,1)="/",MID(IFERROR(INDEX(醫師週班表!$C$5:$T$44,$CU13,U$57),""),1+U$58*2,1),IF(MID(IFERROR(INDEX(醫師週班表!$C$5:$T$44,$CU13,U$57),""),3,1)="隔",IF(U$58=0,LEFT(IFERROR(INDEX(醫師週班表!$C$5:$T$44,$CU13,U$57),""),1),""),IF(MID(IFERROR(INDEX(醫師週班表!$C$5:$T$44,$CU13,U$57),""),2,1)="(",LEFT(IFERROR(INDEX(醫師週班表!$C$5:$T$44,$CU13,U$57),""),1),IFERROR(INDEX(醫師週班表!$C$5:$T$44,$CU13,U$57),"")))))))</f>
        <v/>
      </c>
      <c r="V13" s="72">
        <f>IF(V$59="X","",IF(V$59&lt;&gt;"",V$59,IF(IFERROR(INDEX(醫師週班表!$C$5:$T$44,$CU13,V$57),"")=0,"",IF(MID(IFERROR(INDEX(醫師週班表!$C$5:$T$44,$CU13,V$57),""),2,1)="/",MID(IFERROR(INDEX(醫師週班表!$C$5:$T$44,$CU13,V$57),""),1+V$58*2,1),IF(MID(IFERROR(INDEX(醫師週班表!$C$5:$T$44,$CU13,V$57),""),3,1)="隔",IF(V$58=0,LEFT(IFERROR(INDEX(醫師週班表!$C$5:$T$44,$CU13,V$57),""),1),""),IF(MID(IFERROR(INDEX(醫師週班表!$C$5:$T$44,$CU13,V$57),""),2,1)="(",LEFT(IFERROR(INDEX(醫師週班表!$C$5:$T$44,$CU13,V$57),""),1),IFERROR(INDEX(醫師週班表!$C$5:$T$44,$CU13,V$57),"")))))))</f>
        <v/>
      </c>
      <c r="W13" s="71">
        <f>IF(W$59="X","",IF(W$59&lt;&gt;"",W$59,IF(IFERROR(INDEX(醫師週班表!$C$5:$T$44,$CU13,W$57),"")=0,"",IF(MID(IFERROR(INDEX(醫師週班表!$C$5:$T$44,$CU13,W$57),""),2,1)="/",MID(IFERROR(INDEX(醫師週班表!$C$5:$T$44,$CU13,W$57),""),1+W$58*2,1),IF(MID(IFERROR(INDEX(醫師週班表!$C$5:$T$44,$CU13,W$57),""),3,1)="隔",IF(W$58=0,LEFT(IFERROR(INDEX(醫師週班表!$C$5:$T$44,$CU13,W$57),""),1),""),IF(MID(IFERROR(INDEX(醫師週班表!$C$5:$T$44,$CU13,W$57),""),2,1)="(",LEFT(IFERROR(INDEX(醫師週班表!$C$5:$T$44,$CU13,W$57),""),1),IFERROR(INDEX(醫師週班表!$C$5:$T$44,$CU13,W$57),"")))))))</f>
        <v/>
      </c>
      <c r="X13" s="72">
        <f>IF(X$59="X","",IF(X$59&lt;&gt;"",X$59,IF(IFERROR(INDEX(醫師週班表!$C$5:$T$44,$CU13,X$57),"")=0,"",IF(MID(IFERROR(INDEX(醫師週班表!$C$5:$T$44,$CU13,X$57),""),2,1)="/",MID(IFERROR(INDEX(醫師週班表!$C$5:$T$44,$CU13,X$57),""),1+X$58*2,1),IF(MID(IFERROR(INDEX(醫師週班表!$C$5:$T$44,$CU13,X$57),""),3,1)="隔",IF(X$58=0,LEFT(IFERROR(INDEX(醫師週班表!$C$5:$T$44,$CU13,X$57),""),1),""),IF(MID(IFERROR(INDEX(醫師週班表!$C$5:$T$44,$CU13,X$57),""),2,1)="(",LEFT(IFERROR(INDEX(醫師週班表!$C$5:$T$44,$CU13,X$57),""),1),IFERROR(INDEX(醫師週班表!$C$5:$T$44,$CU13,X$57),"")))))))</f>
        <v/>
      </c>
      <c r="Y13" s="72">
        <f>IF(Y$59="X","",IF(Y$59&lt;&gt;"",Y$59,IF(IFERROR(INDEX(醫師週班表!$C$5:$T$44,$CU13,Y$57),"")=0,"",IF(MID(IFERROR(INDEX(醫師週班表!$C$5:$T$44,$CU13,Y$57),""),2,1)="/",MID(IFERROR(INDEX(醫師週班表!$C$5:$T$44,$CU13,Y$57),""),1+Y$58*2,1),IF(MID(IFERROR(INDEX(醫師週班表!$C$5:$T$44,$CU13,Y$57),""),3,1)="隔",IF(Y$58=0,LEFT(IFERROR(INDEX(醫師週班表!$C$5:$T$44,$CU13,Y$57),""),1),""),IF(MID(IFERROR(INDEX(醫師週班表!$C$5:$T$44,$CU13,Y$57),""),2,1)="(",LEFT(IFERROR(INDEX(醫師週班表!$C$5:$T$44,$CU13,Y$57),""),1),IFERROR(INDEX(醫師週班表!$C$5:$T$44,$CU13,Y$57),"")))))))</f>
        <v/>
      </c>
      <c r="Z13" s="71">
        <f>IF(Z$59="X","",IF(Z$59&lt;&gt;"",Z$59,IF(IFERROR(INDEX(醫師週班表!$C$5:$T$44,$CU13,Z$57),"")=0,"",IF(MID(IFERROR(INDEX(醫師週班表!$C$5:$T$44,$CU13,Z$57),""),2,1)="/",MID(IFERROR(INDEX(醫師週班表!$C$5:$T$44,$CU13,Z$57),""),1+Z$58*2,1),IF(MID(IFERROR(INDEX(醫師週班表!$C$5:$T$44,$CU13,Z$57),""),3,1)="隔",IF(Z$58=0,LEFT(IFERROR(INDEX(醫師週班表!$C$5:$T$44,$CU13,Z$57),""),1),""),IF(MID(IFERROR(INDEX(醫師週班表!$C$5:$T$44,$CU13,Z$57),""),2,1)="(",LEFT(IFERROR(INDEX(醫師週班表!$C$5:$T$44,$CU13,Z$57),""),1),IFERROR(INDEX(醫師週班表!$C$5:$T$44,$CU13,Z$57),"")))))))</f>
        <v/>
      </c>
      <c r="AA13" s="72">
        <f>IF(AA$59="X","",IF(AA$59&lt;&gt;"",AA$59,IF(IFERROR(INDEX(醫師週班表!$C$5:$T$44,$CU13,AA$57),"")=0,"",IF(MID(IFERROR(INDEX(醫師週班表!$C$5:$T$44,$CU13,AA$57),""),2,1)="/",MID(IFERROR(INDEX(醫師週班表!$C$5:$T$44,$CU13,AA$57),""),1+AA$58*2,1),IF(MID(IFERROR(INDEX(醫師週班表!$C$5:$T$44,$CU13,AA$57),""),3,1)="隔",IF(AA$58=0,LEFT(IFERROR(INDEX(醫師週班表!$C$5:$T$44,$CU13,AA$57),""),1),""),IF(MID(IFERROR(INDEX(醫師週班表!$C$5:$T$44,$CU13,AA$57),""),2,1)="(",LEFT(IFERROR(INDEX(醫師週班表!$C$5:$T$44,$CU13,AA$57),""),1),IFERROR(INDEX(醫師週班表!$C$5:$T$44,$CU13,AA$57),"")))))))</f>
        <v/>
      </c>
      <c r="AB13" s="72">
        <f>IF(AB$59="X","",IF(AB$59&lt;&gt;"",AB$59,IF(IFERROR(INDEX(醫師週班表!$C$5:$T$44,$CU13,AB$57),"")=0,"",IF(MID(IFERROR(INDEX(醫師週班表!$C$5:$T$44,$CU13,AB$57),""),2,1)="/",MID(IFERROR(INDEX(醫師週班表!$C$5:$T$44,$CU13,AB$57),""),1+AB$58*2,1),IF(MID(IFERROR(INDEX(醫師週班表!$C$5:$T$44,$CU13,AB$57),""),3,1)="隔",IF(AB$58=0,LEFT(IFERROR(INDEX(醫師週班表!$C$5:$T$44,$CU13,AB$57),""),1),""),IF(MID(IFERROR(INDEX(醫師週班表!$C$5:$T$44,$CU13,AB$57),""),2,1)="(",LEFT(IFERROR(INDEX(醫師週班表!$C$5:$T$44,$CU13,AB$57),""),1),IFERROR(INDEX(醫師週班表!$C$5:$T$44,$CU13,AB$57),"")))))))</f>
        <v/>
      </c>
      <c r="AC13" s="71">
        <f>IF(AC$59="X","",IF(AC$59&lt;&gt;"",AC$59,IF(IFERROR(INDEX(醫師週班表!$C$5:$T$44,$CU13,AC$57),"")=0,"",IF(MID(IFERROR(INDEX(醫師週班表!$C$5:$T$44,$CU13,AC$57),""),2,1)="/",MID(IFERROR(INDEX(醫師週班表!$C$5:$T$44,$CU13,AC$57),""),1+AC$58*2,1),IF(MID(IFERROR(INDEX(醫師週班表!$C$5:$T$44,$CU13,AC$57),""),3,1)="隔",IF(AC$58=0,LEFT(IFERROR(INDEX(醫師週班表!$C$5:$T$44,$CU13,AC$57),""),1),""),IF(MID(IFERROR(INDEX(醫師週班表!$C$5:$T$44,$CU13,AC$57),""),2,1)="(",LEFT(IFERROR(INDEX(醫師週班表!$C$5:$T$44,$CU13,AC$57),""),1),IFERROR(INDEX(醫師週班表!$C$5:$T$44,$CU13,AC$57),"")))))))</f>
        <v/>
      </c>
      <c r="AD13" s="72">
        <f>IF(AD$59="X","",IF(AD$59&lt;&gt;"",AD$59,IF(IFERROR(INDEX(醫師週班表!$C$5:$T$44,$CU13,AD$57),"")=0,"",IF(MID(IFERROR(INDEX(醫師週班表!$C$5:$T$44,$CU13,AD$57),""),2,1)="/",MID(IFERROR(INDEX(醫師週班表!$C$5:$T$44,$CU13,AD$57),""),1+AD$58*2,1),IF(MID(IFERROR(INDEX(醫師週班表!$C$5:$T$44,$CU13,AD$57),""),3,1)="隔",IF(AD$58=0,LEFT(IFERROR(INDEX(醫師週班表!$C$5:$T$44,$CU13,AD$57),""),1),""),IF(MID(IFERROR(INDEX(醫師週班表!$C$5:$T$44,$CU13,AD$57),""),2,1)="(",LEFT(IFERROR(INDEX(醫師週班表!$C$5:$T$44,$CU13,AD$57),""),1),IFERROR(INDEX(醫師週班表!$C$5:$T$44,$CU13,AD$57),"")))))))</f>
        <v/>
      </c>
      <c r="AE13" s="72">
        <f>IF(AE$59="X","",IF(AE$59&lt;&gt;"",AE$59,IF(IFERROR(INDEX(醫師週班表!$C$5:$T$44,$CU13,AE$57),"")=0,"",IF(MID(IFERROR(INDEX(醫師週班表!$C$5:$T$44,$CU13,AE$57),""),2,1)="/",MID(IFERROR(INDEX(醫師週班表!$C$5:$T$44,$CU13,AE$57),""),1+AE$58*2,1),IF(MID(IFERROR(INDEX(醫師週班表!$C$5:$T$44,$CU13,AE$57),""),3,1)="隔",IF(AE$58=0,LEFT(IFERROR(INDEX(醫師週班表!$C$5:$T$44,$CU13,AE$57),""),1),""),IF(MID(IFERROR(INDEX(醫師週班表!$C$5:$T$44,$CU13,AE$57),""),2,1)="(",LEFT(IFERROR(INDEX(醫師週班表!$C$5:$T$44,$CU13,AE$57),""),1),IFERROR(INDEX(醫師週班表!$C$5:$T$44,$CU13,AE$57),"")))))))</f>
        <v/>
      </c>
      <c r="AF13" s="71">
        <f>IF(AF$59="X","",IF(AF$59&lt;&gt;"",AF$59,IF(IFERROR(INDEX(醫師週班表!$C$5:$T$44,$CU13,AF$57),"")=0,"",IF(MID(IFERROR(INDEX(醫師週班表!$C$5:$T$44,$CU13,AF$57),""),2,1)="/",MID(IFERROR(INDEX(醫師週班表!$C$5:$T$44,$CU13,AF$57),""),1+AF$58*2,1),IF(MID(IFERROR(INDEX(醫師週班表!$C$5:$T$44,$CU13,AF$57),""),3,1)="隔",IF(AF$58=0,LEFT(IFERROR(INDEX(醫師週班表!$C$5:$T$44,$CU13,AF$57),""),1),""),IF(MID(IFERROR(INDEX(醫師週班表!$C$5:$T$44,$CU13,AF$57),""),2,1)="(",LEFT(IFERROR(INDEX(醫師週班表!$C$5:$T$44,$CU13,AF$57),""),1),IFERROR(INDEX(醫師週班表!$C$5:$T$44,$CU13,AF$57),"")))))))</f>
        <v/>
      </c>
      <c r="AG13" s="72">
        <f>IF(AG$59="X","",IF(AG$59&lt;&gt;"",AG$59,IF(IFERROR(INDEX(醫師週班表!$C$5:$T$44,$CU13,AG$57),"")=0,"",IF(MID(IFERROR(INDEX(醫師週班表!$C$5:$T$44,$CU13,AG$57),""),2,1)="/",MID(IFERROR(INDEX(醫師週班表!$C$5:$T$44,$CU13,AG$57),""),1+AG$58*2,1),IF(MID(IFERROR(INDEX(醫師週班表!$C$5:$T$44,$CU13,AG$57),""),3,1)="隔",IF(AG$58=0,LEFT(IFERROR(INDEX(醫師週班表!$C$5:$T$44,$CU13,AG$57),""),1),""),IF(MID(IFERROR(INDEX(醫師週班表!$C$5:$T$44,$CU13,AG$57),""),2,1)="(",LEFT(IFERROR(INDEX(醫師週班表!$C$5:$T$44,$CU13,AG$57),""),1),IFERROR(INDEX(醫師週班表!$C$5:$T$44,$CU13,AG$57),"")))))))</f>
        <v/>
      </c>
      <c r="AH13" s="72">
        <f>IF(AH$59="X","",IF(AH$59&lt;&gt;"",AH$59,IF(IFERROR(INDEX(醫師週班表!$C$5:$T$44,$CU13,AH$57),"")=0,"",IF(MID(IFERROR(INDEX(醫師週班表!$C$5:$T$44,$CU13,AH$57),""),2,1)="/",MID(IFERROR(INDEX(醫師週班表!$C$5:$T$44,$CU13,AH$57),""),1+AH$58*2,1),IF(MID(IFERROR(INDEX(醫師週班表!$C$5:$T$44,$CU13,AH$57),""),3,1)="隔",IF(AH$58=0,LEFT(IFERROR(INDE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</c>
      <c r="AI13" s="71">
        <f>IF(AI$59="X","",IF(AI$59&lt;&gt;"",AI$59,IF(IFERROR(INDEX(醫師週班表!$C$5:$T$44,$CU13,AI$57),"")=0,"",IF(MID(IFERROR(INDEX(醫師週班表!$C$5:$T$44,$CU13,AI$57),""),2,1)="/",MID(IFERROR(INDEX(醫師週班表!$C$5:$T$44,$CU13,AI$57),""),1+AI$58*2,1),IF(MID(IFERROR(INDEX(醫師週班表!$C$5:$T$44,$CU13,AI$57),""),3,1)="隔",IF(AI$58=0,LEFT(IFERROR(INDEX(醫師週班表!$C$5:$T$44,$CU13,AI$57),""),1),""),IF(MID(IFERROR(INDEX(醫師週班表!$C$5:$T$44,$CU13,AI$57),""),2,1)="(",LEFT(IFERROR(INDEX(醫師週班表!$C$5:$T$44,$CU13,AI$57),""),1),IFERROR(INDEX(醫師週班表!$C$5:$T$44,$CU13,AI$57),"")))))))</f>
        <v/>
      </c>
      <c r="AJ13" s="72">
        <f>IF(AJ$59="X","",IF(AJ$59&lt;&gt;"",AJ$59,IF(IFERROR(INDEX(醫師週班表!$C$5:$T$44,$CU13,AJ$57),"")=0,"",IF(MID(IFERROR(INDEX(醫師週班表!$C$5:$T$44,$CU13,AJ$57),""),2,1)="/",MID(IFERROR(INDEX(醫師週班表!$C$5:$T$44,$CU13,AJ$57),""),1+AJ$58*2,1),IF(MID(IFERROR(INDEX(醫師週班表!$C$5:$T$44,$CU13,AJ$57),""),3,1)="隔",IF(AJ$58=0,LEFT(IFERROR(INDEX(醫師週班表!$C$5:$T$44,$CU13,AJ$57),""),1),""),IF(MID(IFERROR(INDEX(醫師週班表!$C$5:$T$44,$CU13,AJ$57),""),2,1)="(",LEFT(IFERROR(INDEX(醫師週班表!$C$5:$T$44,$CU13,AJ$57),""),1),IFERROR(INDEX(醫師週班表!$C$5:$T$44,$CU13,AJ$57),"")))))))</f>
        <v/>
      </c>
      <c r="AK13" s="72">
        <f>IF(AK$59="X","",IF(AK$59&lt;&gt;"",AK$59,IF(IFERROR(INDEX(醫師週班表!$C$5:$T$44,$CU13,AK$57),"")=0,"",IF(MID(IFERROR(INDEX(醫師週班表!$C$5:$T$44,$CU13,AK$57),""),2,1)="/",MID(IFERROR(INDEX(醫師週班表!$C$5:$T$44,$CU13,AK$57),""),1+AK$58*2,1),IF(MID(IFERROR(INDEX(醫師週班表!$C$5:$T$44,$CU13,AK$57),""),3,1)="隔",IF(AK$58=0,LEFT(IFERROR(INDEX(醫師週班表!$C$5:$T$44,$CU13,AK$57),""),1),""),IF(MID(IFERROR(INDEX(醫師週班表!$C$5:$T$44,$CU13,AK$57),""),2,1)="(",LEFT(IFERROR(INDEX(醫師週班表!$C$5:$T$44,$CU13,AK$57),""),1),IFERROR(INDEX(醫師週班表!$C$5:$T$44,$CU13,AK$57),"")))))))</f>
        <v/>
      </c>
      <c r="AL13" s="71">
        <f>IF(AL$59="X","",IF(AL$59&lt;&gt;"",AL$59,IF(IFERROR(INDEX(醫師週班表!$C$5:$T$44,$CU13,AL$57),"")=0,"",IF(MID(IFERROR(INDEX(醫師週班表!$C$5:$T$44,$CU13,AL$57),""),2,1)="/",MID(IFERROR(INDEX(醫師週班表!$C$5:$T$44,$CU13,AL$57),""),1+AL$58*2,1),IF(MID(IFERROR(INDEX(醫師週班表!$C$5:$T$44,$CU13,AL$57),""),3,1)="隔",IF(AL$58=0,LEFT(IFERROR(INDEX(醫師週班表!$C$5:$T$44,$CU13,AL$57),""),1),""),IF(MID(IFERROR(INDEX(醫師週班表!$C$5:$T$44,$CU13,AL$57),""),2,1)="(",LEFT(IFERROR(INDEX(醫師週班表!$C$5:$T$44,$CU13,AL$57),""),1),IFERROR(INDEX(醫師週班表!$C$5:$T$44,$CU13,AL$57),"")))))))</f>
        <v/>
      </c>
      <c r="AM13" s="72">
        <f>IF(AM$59="X","",IF(AM$59&lt;&gt;"",AM$59,IF(IFERROR(INDEX(醫師週班表!$C$5:$T$44,$CU13,AM$57),"")=0,"",IF(MID(IFERROR(INDEX(醫師週班表!$C$5:$T$44,$CU13,AM$57),""),2,1)="/",MID(IFERROR(INDEX(醫師週班表!$C$5:$T$44,$CU13,AM$57),""),1+AM$58*2,1),IF(MID(IFERROR(INDEX(醫師週班表!$C$5:$T$44,$CU13,AM$57),""),3,1)="隔",IF(AM$58=0,LEFT(IFERROR(INDEX(醫師週班表!$C$5:$T$44,$CU13,AM$57),""),1),""),IF(MID(IFERROR(INDEX(醫師週班表!$C$5:$T$44,$CU13,AM$57),""),2,1)="(",LEFT(IFERROR(INDEX(醫師週班表!$C$5:$T$44,$CU13,AM$57),""),1),IFERROR(INDEX(醫師週班表!$C$5:$T$44,$CU13,AM$57),"")))))))</f>
        <v/>
      </c>
      <c r="AN13" s="72">
        <f>IF(AN$59="X","",IF(AN$59&lt;&gt;"",AN$59,IF(IFERROR(INDEX(醫師週班表!$C$5:$T$44,$CU13,AN$57),"")=0,"",IF(MID(IFERROR(INDEX(醫師週班表!$C$5:$T$44,$CU13,AN$57),""),2,1)="/",MID(IFERROR(INDEX(醫師週班表!$C$5:$T$44,$CU13,AN$57),""),1+AN$58*2,1),IF(MID(IFERROR(INDEX(醫師週班表!$C$5:$T$44,$CU13,AN$57),""),3,1)="隔",IF(AN$58=0,LEFT(IFERROR(INDEX(醫師週班表!$C$5:$T$44,$CU13,AN$57),""),1),""),IF(MID(IFERROR(INDEX(醫師週班表!$C$5:$T$44,$CU13,AN$57),""),2,1)="(",LEFT(IFERROR(INDEX(醫師週班表!$C$5:$T$44,$CU13,AN$57),""),1),IFERROR(INDEX(醫師週班表!$C$5:$T$44,$CU13,AN$57),"")))))))</f>
        <v/>
      </c>
      <c r="AO13" s="71">
        <f>IF(AO$59="X","",IF(AO$59&lt;&gt;"",AO$59,IF(IFERROR(INDEX(醫師週班表!$C$5:$T$44,$CU13,AO$57),"")=0,"",IF(MID(IFERROR(INDEX(醫師週班表!$C$5:$T$44,$CU13,AO$57),""),2,1)="/",MID(IFERROR(INDEX(醫師週班表!$C$5:$T$44,$CU13,AO$57),""),1+AO$58*2,1),IF(MID(IFERROR(INDEX(醫師週班表!$C$5:$T$44,$CU13,AO$57),""),3,1)="隔",IF(AO$58=0,LEFT(IFERROR(INDEX(醫師週班表!$C$5:$T$44,$CU13,AO$57),""),1),""),IF(MID(IFERROR(INDEX(醫師週班表!$C$5:$T$44,$CU13,AO$57),""),2,1)="(",LEFT(IFERROR(INDEX(醫師週班表!$C$5:$T$44,$CU13,AO$57),""),1),IFERROR(INDEX(醫師週班表!$C$5:$T$44,$CU13,AO$57),"")))))))</f>
        <v/>
      </c>
      <c r="AP13" s="72">
        <f>IF(AP$59="X","",IF(AP$59&lt;&gt;"",AP$59,IF(IFERROR(INDEX(醫師週班表!$C$5:$T$44,$CU13,AP$57),"")=0,"",IF(MID(IFERROR(INDEX(醫師週班表!$C$5:$T$44,$CU13,AP$57),""),2,1)="/",MID(IFERROR(INDEX(醫師週班表!$C$5:$T$44,$CU13,AP$57),""),1+AP$58*2,1),IF(MID(IFERROR(INDEX(醫師週班表!$C$5:$T$44,$CU13,AP$57),""),3,1)="隔",IF(AP$58=0,LEFT(IFERROR(INDEX(醫師週班表!$C$5:$T$44,$CU13,AP$57),""),1),""),IF(MID(IFERROR(INDEX(醫師週班表!$C$5:$T$44,$CU13,AP$57),""),2,1)="(",LEFT(IFERROR(INDEX(醫師週班表!$C$5:$T$44,$CU13,AP$57),""),1),IFERROR(INDEX(醫師週班表!$C$5:$T$44,$CU13,AP$57),"")))))))</f>
        <v/>
      </c>
      <c r="AQ13" s="72">
        <f>IF(AQ$59="X","",IF(AQ$59&lt;&gt;"",AQ$59,IF(IFERROR(INDEX(醫師週班表!$C$5:$T$44,$CU13,AQ$57),"")=0,"",IF(MID(IFERROR(INDEX(醫師週班表!$C$5:$T$44,$CU13,AQ$57),""),2,1)="/",MID(IFERROR(INDEX(醫師週班表!$C$5:$T$44,$CU13,AQ$57),""),1+AQ$58*2,1),IF(MID(IFERROR(INDEX(醫師週班表!$C$5:$T$44,$CU13,AQ$57),""),3,1)="隔",IF(AQ$58=0,LEFT(IFERROR(INDEX(醫師週班表!$C$5:$T$44,$CU13,AQ$57),""),1),""),IF(MID(IFERROR(INDEX(醫師週班表!$C$5:$T$44,$CU13,AQ$57),""),2,1)="(",LEFT(IFERROR(INDEX(醫師週班表!$C$5:$T$44,$CU13,AQ$57),""),1),IFERROR(INDEX(醫師週班表!$C$5:$T$44,$CU13,AQ$57),"")))))))</f>
        <v/>
      </c>
      <c r="AR13" s="71">
        <f>IF(AR$59="X","",IF(AR$59&lt;&gt;"",AR$59,IF(IFERROR(INDEX(醫師週班表!$C$5:$T$44,$CU13,AR$57),"")=0,"",IF(MID(IFERROR(INDEX(醫師週班表!$C$5:$T$44,$CU13,AR$57),""),2,1)="/",MID(IFERROR(INDEX(醫師週班表!$C$5:$T$44,$CU13,AR$57),""),1+AR$58*2,1),IF(MID(IFERROR(INDEX(醫師週班表!$C$5:$T$44,$CU13,AR$57),""),3,1)="隔",IF(AR$58=0,LEFT(IFERROR(INDEX(醫師週班表!$C$5:$T$44,$CU13,AR$57),""),1),""),IF(MID(IFERROR(INDEX(醫師週班表!$C$5:$T$44,$CU13,AR$57),""),2,1)="(",LEFT(IFERROR(INDEX(醫師週班表!$C$5:$T$44,$CU13,AR$57),""),1),IFERROR(INDEX(醫師週班表!$C$5:$T$44,$CU13,AR$57),"")))))))</f>
        <v/>
      </c>
      <c r="AS13" s="72">
        <f>IF(AS$59="X","",IF(AS$59&lt;&gt;"",AS$59,IF(IFERROR(INDEX(醫師週班表!$C$5:$T$44,$CU13,AS$57),"")=0,"",IF(MID(IFERROR(INDEX(醫師週班表!$C$5:$T$44,$CU13,AS$57),""),2,1)="/",MID(IFERROR(INDEX(醫師週班表!$C$5:$T$44,$CU13,AS$57),""),1+AS$58*2,1),IF(MID(IFERROR(INDEX(醫師週班表!$C$5:$T$44,$CU13,AS$57),""),3,1)="隔",IF(AS$58=0,LEFT(IFERROR(INDEX(醫師週班表!$C$5:$T$44,$CU13,AS$57),""),1),""),IF(MID(IFERROR(INDEX(醫師週班表!$C$5:$T$44,$CU13,AS$57),""),2,1)="(",LEFT(IFERROR(INDEX(醫師週班表!$C$5:$T$44,$CU13,AS$57),""),1),IFERROR(INDEX(醫師週班表!$C$5:$T$44,$CU13,AS$57),"")))))))</f>
        <v/>
      </c>
      <c r="AT13" s="72">
        <f>IF(AT$59="X","",IF(AT$59&lt;&gt;"",AT$59,IF(IFERROR(INDEX(醫師週班表!$C$5:$T$44,$CU13,AT$57),"")=0,"",IF(MID(IFERROR(INDEX(醫師週班表!$C$5:$T$44,$CU13,AT$57),""),2,1)="/",MID(IFERROR(INDEX(醫師週班表!$C$5:$T$44,$CU13,AT$57),""),1+AT$58*2,1),IF(MID(IFERROR(INDEX(醫師週班表!$C$5:$T$44,$CU13,AT$57),""),3,1)="隔",IF(AT$58=0,LEFT(IFERROR(INDEX(醫師週班表!$C$5:$T$44,$CU13,AT$57),""),1),""),IF(MID(IFERROR(INDEX(醫師週班表!$C$5:$T$44,$CU13,AT$57),""),2,1)="(",LEFT(IFERROR(INDEX(醫師週班表!$C$5:$T$44,$CU13,AT$57),""),1),IFERROR(INDEX(醫師週班表!$C$5:$T$44,$CU13,AT$57),"")))))))</f>
        <v/>
      </c>
      <c r="AU13" s="71">
        <f>IF(AU$59="X","",IF(AU$59&lt;&gt;"",AU$59,IF(IFERROR(INDEX(醫師週班表!$C$5:$T$44,$CU13,AU$57),"")=0,"",IF(MID(IFERROR(INDEX(醫師週班表!$C$5:$T$44,$CU13,AU$57),""),2,1)="/",MID(IFERROR(INDEX(醫師週班表!$C$5:$T$44,$CU13,AU$57),""),1+AU$58*2,1),IF(MID(IFERROR(INDEX(醫師週班表!$C$5:$T$44,$CU13,AU$57),""),3,1)="隔",IF(AU$58=0,LEFT(IFERROR(INDEX(醫師週班表!$C$5:$T$44,$CU13,AU$57),""),1),""),IF(MID(IFERROR(INDEX(醫師週班表!$C$5:$T$44,$CU13,AU$57),""),2,1)="(",LEFT(IFERROR(INDEX(醫師週班表!$C$5:$T$44,$CU13,AU$57),""),1),IFERROR(INDEX(醫師週班表!$C$5:$T$44,$CU13,AU$57),"")))))))</f>
        <v/>
      </c>
      <c r="AV13" s="72">
        <f>IF(AV$59="X","",IF(AV$59&lt;&gt;"",AV$59,IF(IFERROR(INDEX(醫師週班表!$C$5:$T$44,$CU13,AV$57),"")=0,"",IF(MID(IFERROR(INDEX(醫師週班表!$C$5:$T$44,$CU13,AV$57),""),2,1)="/",MID(IFERROR(INDEX(醫師週班表!$C$5:$T$44,$CU13,AV$57),""),1+AV$58*2,1),IF(MID(IFERROR(INDEX(醫師週班表!$C$5:$T$44,$CU13,AV$57),""),3,1)="隔",IF(AV$58=0,LEFT(IFERROR(INDEX(醫師週班表!$C$5:$T$44,$CU13,AV$57),""),1),""),IF(MID(IFERROR(INDEX(醫師週班表!$C$5:$T$44,$CU13,AV$57),""),2,1)="(",LEFT(IFERROR(INDEX(醫師週班表!$C$5:$T$44,$CU13,AV$57),""),1),IFERROR(INDEX(醫師週班表!$C$5:$T$44,$CU13,AV$57),"")))))))</f>
        <v/>
      </c>
      <c r="AW13" s="72">
        <f>IF(AW$59="X","",IF(AW$59&lt;&gt;"",AW$59,IF(IFERROR(INDEX(醫師週班表!$C$5:$T$44,$CU13,AW$57),"")=0,"",IF(MID(IFERROR(INDEX(醫師週班表!$C$5:$T$44,$CU13,AW$57),""),2,1)="/",MID(IFERROR(INDEX(醫師週班表!$C$5:$T$44,$CU13,AW$57),""),1+AW$58*2,1),IF(MID(IFERROR(INDEX(醫師週班表!$C$5:$T$44,$CU13,AW$57),""),3,1)="隔",IF(AW$58=0,LEFT(IFERROR(INDEX(醫師週班表!$C$5:$T$44,$CU13,AW$57),""),1),""),IF(MID(IFERROR(INDEX(醫師週班表!$C$5:$T$44,$CU13,AW$57),""),2,1)="(",LEFT(IFERROR(INDEX(醫師週班表!$C$5:$T$44,$CU13,AW$57),""),1),IFERROR(INDEX(醫師週班表!$C$5:$T$44,$CU13,AW$57),"")))))))</f>
        <v/>
      </c>
      <c r="AX13" s="71">
        <f>IF(AX$59="X","",IF(AX$59&lt;&gt;"",AX$59,IF(IFERROR(INDEX(醫師週班表!$C$5:$T$44,$CU13,AX$57),"")=0,"",IF(MID(IFERROR(INDEX(醫師週班表!$C$5:$T$44,$CU13,AX$57),""),2,1)="/",MID(IFERROR(INDEX(醫師週班表!$C$5:$T$44,$CU13,AX$57),""),1+AX$58*2,1),IF(MID(IFERROR(INDEX(醫師週班表!$C$5:$T$44,$CU13,AX$57),""),3,1)="隔",IF(AX$58=0,LEFT(IFERROR(INDEX(醫師週班表!$C$5:$T$44,$CU13,AX$57),""),1),""),IF(MID(IFERROR(INDEX(醫師週班表!$C$5:$T$44,$CU13,AX$57),""),2,1)="(",LEFT(IFERROR(INDEX(醫師週班表!$C$5:$T$44,$CU13,AX$57),""),1),IFERROR(INDEX(醫師週班表!$C$5:$T$44,$CU13,AX$57),"")))))))</f>
        <v/>
      </c>
      <c r="AY13" s="72">
        <f>IF(AY$59="X","",IF(AY$59&lt;&gt;"",AY$59,IF(IFERROR(INDEX(醫師週班表!$C$5:$T$44,$CU13,AY$57),"")=0,"",IF(MID(IFERROR(INDEX(醫師週班表!$C$5:$T$44,$CU13,AY$57),""),2,1)="/",MID(IFERROR(INDEX(醫師週班表!$C$5:$T$44,$CU13,AY$57),""),1+AY$58*2,1),IF(MID(IFERROR(INDEX(醫師週班表!$C$5:$T$44,$CU13,AY$57),""),3,1)="隔",IF(AY$58=0,LEFT(IFERROR(INDEX(醫師週班表!$C$5:$T$44,$CU13,AY$57),""),1),""),IF(MID(IFERROR(INDEX(醫師週班表!$C$5:$T$44,$CU13,AY$57),""),2,1)="(",LEFT(IFERROR(INDEX(醫師週班表!$C$5:$T$44,$CU13,AY$57),""),1),IFERROR(INDEX(醫師週班表!$C$5:$T$44,$CU13,AY$57),"")))))))</f>
        <v/>
      </c>
      <c r="AZ13" s="72">
        <f>IF(AZ$59="X","",IF(AZ$59&lt;&gt;"",AZ$59,IF(IFERROR(INDEX(醫師週班表!$C$5:$T$44,$CU13,AZ$57),"")=0,"",IF(MID(IFERROR(INDEX(醫師週班表!$C$5:$T$44,$CU13,AZ$57),""),2,1)="/",MID(IFERROR(INDEX(醫師週班表!$C$5:$T$44,$CU13,AZ$57),""),1+AZ$58*2,1),IF(MID(IFERROR(INDEX(醫師週班表!$C$5:$T$44,$CU13,AZ$57),""),3,1)="隔",IF(AZ$58=0,LEFT(IFERROR(INDEX(醫師週班表!$C$5:$T$44,$CU13,AZ$57),""),1),""),IF(MID(IFERROR(INDEX(醫師週班表!$C$5:$T$44,$CU13,AZ$57),""),2,1)="(",LEFT(IFERROR(INDEX(醫師週班表!$C$5:$T$44,$CU13,AZ$57),""),1),IFERROR(INDEX(醫師週班表!$C$5:$T$44,$CU13,AZ$57),"")))))))</f>
        <v/>
      </c>
      <c r="BA13" s="71">
        <f>IF(BA$59="X","",IF(BA$59&lt;&gt;"",BA$59,IF(IFERROR(INDEX(醫師週班表!$C$5:$T$44,$CU13,BA$57),"")=0,"",IF(MID(IFERROR(INDEX(醫師週班表!$C$5:$T$44,$CU13,BA$57),""),2,1)="/",MID(IFERROR(INDEX(醫師週班表!$C$5:$T$44,$CU13,BA$57),""),1+BA$58*2,1),IF(MID(IFERROR(INDEX(醫師週班表!$C$5:$T$44,$CU13,BA$57),""),3,1)="隔",IF(BA$58=0,LEFT(IFERROR(INDEX(醫師週班表!$C$5:$T$44,$CU13,BA$57),""),1),""),IF(MID(IFERROR(INDEX(醫師週班表!$C$5:$T$44,$CU13,BA$57),""),2,1)="(",LEFT(IFERROR(INDEX(醫師週班表!$C$5:$T$44,$CU13,BA$57),""),1),IFERROR(INDEX(醫師週班表!$C$5:$T$44,$CU13,BA$57),"")))))))</f>
        <v/>
      </c>
      <c r="BB13" s="72">
        <f>IF(BB$59="X","",IF(BB$59&lt;&gt;"",BB$59,IF(IFERROR(INDEX(醫師週班表!$C$5:$T$44,$CU13,BB$57),"")=0,"",IF(MID(IFERROR(INDEX(醫師週班表!$C$5:$T$44,$CU13,BB$57),""),2,1)="/",MID(IFERROR(INDEX(醫師週班表!$C$5:$T$44,$CU13,BB$57),""),1+BB$58*2,1),IF(MID(IFERROR(INDEX(醫師週班表!$C$5:$T$44,$CU13,BB$57),""),3,1)="隔",IF(BB$58=0,LEFT(IFERROR(INDEX(醫師週班表!$C$5:$T$44,$CU13,BB$57),""),1),""),IF(MID(IFERROR(INDEX(醫師週班表!$C$5:$T$44,$CU13,BB$57),""),2,1)="(",LEFT(IFERROR(INDEX(醫師週班表!$C$5:$T$44,$CU13,BB$57),""),1),IFERROR(INDEX(醫師週班表!$C$5:$T$44,$CU13,BB$57),"")))))))</f>
        <v/>
      </c>
      <c r="BC13" s="72">
        <f>IF(BC$59="X","",IF(BC$59&lt;&gt;"",BC$59,IF(IFERROR(INDEX(醫師週班表!$C$5:$T$44,$CU13,BC$57),"")=0,"",IF(MID(IFERROR(INDEX(醫師週班表!$C$5:$T$44,$CU13,BC$57),""),2,1)="/",MID(IFERROR(INDEX(醫師週班表!$C$5:$T$44,$CU13,BC$57),""),1+BC$58*2,1),IF(MID(IFERROR(INDEX(醫師週班表!$C$5:$T$44,$CU13,BC$57),""),3,1)="隔",IF(BC$58=0,LEFT(IFERROR(INDEX(醫師週班表!$C$5:$T$44,$CU13,BC$57),""),1),""),IF(MID(IFERROR(INDEX(醫師週班表!$C$5:$T$44,$CU13,BC$57),""),2,1)="(",LEFT(IFERROR(INDEX(醫師週班表!$C$5:$T$44,$CU13,BC$57),""),1),IFERROR(INDEX(醫師週班表!$C$5:$T$44,$CU13,BC$57),"")))))))</f>
        <v/>
      </c>
      <c r="BD13" s="71">
        <f>IF(BD$59="X","",IF(BD$59&lt;&gt;"",BD$59,IF(IFERROR(INDEX(醫師週班表!$C$5:$T$44,$CU13,BD$57),"")=0,"",IF(MID(IFERROR(INDEX(醫師週班表!$C$5:$T$44,$CU13,BD$57),""),2,1)="/",MID(IFERROR(INDEX(醫師週班表!$C$5:$T$44,$CU13,BD$57),""),1+BD$58*2,1),IF(MID(IFERROR(INDEX(醫師週班表!$C$5:$T$44,$CU13,BD$57),""),3,1)="隔",IF(BD$58=0,LEFT(IFERROR(INDEX(醫師週班表!$C$5:$T$44,$CU13,BD$57),""),1),""),IF(MID(IFERROR(INDEX(醫師週班表!$C$5:$T$44,$CU13,BD$57),""),2,1)="(",LEFT(IFERROR(INDEX(醫師週班表!$C$5:$T$44,$CU13,BD$57),""),1),IFERROR(INDEX(醫師週班表!$C$5:$T$44,$CU13,BD$57),"")))))))</f>
        <v/>
      </c>
      <c r="BE13" s="72">
        <f>IF(BE$59="X","",IF(BE$59&lt;&gt;"",BE$59,IF(IFERROR(INDEX(醫師週班表!$C$5:$T$44,$CU13,BE$57),"")=0,"",IF(MID(IFERROR(INDEX(醫師週班表!$C$5:$T$44,$CU13,BE$57),""),2,1)="/",MID(IFERROR(INDEX(醫師週班表!$C$5:$T$44,$CU13,BE$57),""),1+BE$58*2,1),IF(MID(IFERROR(INDEX(醫師週班表!$C$5:$T$44,$CU13,BE$57),""),3,1)="隔",IF(BE$58=0,LEFT(IFERROR(INDEX(醫師週班表!$C$5:$T$44,$CU13,BE$57),""),1),""),IF(MID(IFERROR(INDEX(醫師週班表!$C$5:$T$44,$CU13,BE$57),""),2,1)="(",LEFT(IFERROR(INDEX(醫師週班表!$C$5:$T$44,$CU13,BE$57),""),1),IFERROR(INDEX(醫師週班表!$C$5:$T$44,$CU13,BE$57),"")))))))</f>
        <v/>
      </c>
      <c r="BF13" s="72">
        <f>IF(BF$59="X","",IF(BF$59&lt;&gt;"",BF$59,IF(IFERROR(INDEX(醫師週班表!$C$5:$T$44,$CU13,BF$57),"")=0,"",IF(MID(IFERROR(INDEX(醫師週班表!$C$5:$T$44,$CU13,BF$57),""),2,1)="/",MID(IFERROR(INDEX(醫師週班表!$C$5:$T$44,$CU13,BF$57),""),1+BF$58*2,1),IF(MID(IFERROR(INDEX(醫師週班表!$C$5:$T$44,$CU13,BF$57),""),3,1)="隔",IF(BF$58=0,LEFT(IFERROR(INDEX(醫師週班表!$C$5:$T$44,$CU13,BF$57),""),1),""),IF(MID(IFERROR(INDEX(醫師週班表!$C$5:$T$44,$CU13,BF$57),""),2,1)="(",LEFT(IFERROR(INDEX(醫師週班表!$C$5:$T$44,$CU13,BF$57),""),1),IFERROR(INDEX(醫師週班表!$C$5:$T$44,$CU13,BF$57),"")))))))</f>
        <v/>
      </c>
      <c r="BG13" s="71">
        <f>IF(BG$59="X","",IF(BG$59&lt;&gt;"",BG$59,IF(IFERROR(INDEX(醫師週班表!$C$5:$T$44,$CU13,BG$57),"")=0,"",IF(MID(IFERROR(INDEX(醫師週班表!$C$5:$T$44,$CU13,BG$57),""),2,1)="/",MID(IFERROR(INDEX(醫師週班表!$C$5:$T$44,$CU13,BG$57),""),1+BG$58*2,1),IF(MID(IFERROR(INDEX(醫師週班表!$C$5:$T$44,$CU13,BG$57),""),3,1)="隔",IF(BG$58=0,LEFT(IFERROR(INDEX(醫師週班表!$C$5:$T$44,$CU13,BG$57),""),1),""),IF(MID(IFERROR(INDEX(醫師週班表!$C$5:$T$44,$CU13,BG$57),""),2,1)="(",LEFT(IFERROR(INDEX(醫師週班表!$C$5:$T$44,$CU13,BG$57),""),1),IFERROR(INDEX(醫師週班表!$C$5:$T$44,$CU13,BG$57),"")))))))</f>
        <v/>
      </c>
      <c r="BH13" s="72">
        <f>IF(BH$59="X","",IF(BH$59&lt;&gt;"",BH$59,IF(IFERROR(INDEX(醫師週班表!$C$5:$T$44,$CU13,BH$57),"")=0,"",IF(MID(IFERROR(INDEX(醫師週班表!$C$5:$T$44,$CU13,BH$57),""),2,1)="/",MID(IFERROR(INDEX(醫師週班表!$C$5:$T$44,$CU13,BH$57),""),1+BH$58*2,1),IF(MID(IFERROR(INDEX(醫師週班表!$C$5:$T$44,$CU13,BH$57),""),3,1)="隔",IF(BH$58=0,LEFT(IFERROR(INDEX(醫師週班表!$C$5:$T$44,$CU13,BH$57),""),1),""),IF(MID(IFERROR(INDEX(醫師週班表!$C$5:$T$44,$CU13,BH$57),""),2,1)="(",LEFT(IFERROR(INDEX(醫師週班表!$C$5:$T$44,$CU13,BH$57),""),1),IFERROR(INDEX(醫師週班表!$C$5:$T$44,$CU13,BH$57),"")))))))</f>
        <v/>
      </c>
      <c r="BI13" s="72">
        <f>IF(BI$59="X","",IF(BI$59&lt;&gt;"",BI$59,IF(IFERROR(INDEX(醫師週班表!$C$5:$T$44,$CU13,BI$57),"")=0,"",IF(MID(IFERROR(INDEX(醫師週班表!$C$5:$T$44,$CU13,BI$57),""),2,1)="/",MID(IFERROR(INDEX(醫師週班表!$C$5:$T$44,$CU13,BI$57),""),1+BI$58*2,1),IF(MID(IFERROR(INDEX(醫師週班表!$C$5:$T$44,$CU13,BI$57),""),3,1)="隔",IF(BI$58=0,LEFT(IFERROR(INDEX(醫師週班表!$C$5:$T$44,$CU13,BI$57),""),1),""),IF(MID(IFERROR(INDEX(醫師週班表!$C$5:$T$44,$CU13,BI$57),""),2,1)="(",LEFT(IFERROR(INDEX(醫師週班表!$C$5:$T$44,$CU13,BI$57),""),1),IFERROR(INDEX(醫師週班表!$C$5:$T$44,$CU13,BI$57),"")))))))</f>
        <v/>
      </c>
      <c r="BJ13" s="71">
        <f>IF(BJ$59="X","",IF(BJ$59&lt;&gt;"",BJ$59,IF(IFERROR(INDEX(醫師週班表!$C$5:$T$44,$CU13,BJ$57),"")=0,"",IF(MID(IFERROR(INDEX(醫師週班表!$C$5:$T$44,$CU13,BJ$57),""),2,1)="/",MID(IFERROR(INDEX(醫師週班表!$C$5:$T$44,$CU13,BJ$57),""),1+BJ$58*2,1),IF(MID(IFERROR(INDEX(醫師週班表!$C$5:$T$44,$CU13,BJ$57),""),3,1)="隔",IF(BJ$58=0,LEFT(IFERROR(INDEX(醫師週班表!$C$5:$T$44,$CU13,BJ$57),""),1),""),IF(MID(IFERROR(INDEX(醫師週班表!$C$5:$T$44,$CU13,BJ$57),""),2,1)="(",LEFT(IFERROR(INDEX(醫師週班表!$C$5:$T$44,$CU13,BJ$57),""),1),IFERROR(INDEX(醫師週班表!$C$5:$T$44,$CU13,BJ$57),"")))))))</f>
        <v/>
      </c>
      <c r="BK13" s="72">
        <f>IF(BK$59="X","",IF(BK$59&lt;&gt;"",BK$59,IF(IFERROR(INDEX(醫師週班表!$C$5:$T$44,$CU13,BK$57),"")=0,"",IF(MID(IFERROR(INDEX(醫師週班表!$C$5:$T$44,$CU13,BK$57),""),2,1)="/",MID(IFERROR(INDEX(醫師週班表!$C$5:$T$44,$CU13,BK$57),""),1+BK$58*2,1),IF(MID(IFERROR(INDEX(醫師週班表!$C$5:$T$44,$CU13,BK$57),""),3,1)="隔",IF(BK$58=0,LEFT(IFERROR(INDEX(醫師週班表!$C$5:$T$44,$CU13,BK$57),""),1),""),IF(MID(IFERROR(INDEX(醫師週班表!$C$5:$T$44,$CU13,BK$57),""),2,1)="(",LEFT(IFERROR(INDEX(醫師週班表!$C$5:$T$44,$CU13,BK$57),""),1),IFERROR(INDEX(醫師週班表!$C$5:$T$44,$CU13,BK$57),"")))))))</f>
        <v/>
      </c>
      <c r="BL13" s="72">
        <f>IF(BL$59="X","",IF(BL$59&lt;&gt;"",BL$59,IF(IFERROR(INDEX(醫師週班表!$C$5:$T$44,$CU13,BL$57),"")=0,"",IF(MID(IFERROR(INDEX(醫師週班表!$C$5:$T$44,$CU13,BL$57),""),2,1)="/",MID(IFERROR(INDEX(醫師週班表!$C$5:$T$44,$CU13,BL$57),""),1+BL$58*2,1),IF(MID(IFERROR(INDEX(醫師週班表!$C$5:$T$44,$CU13,BL$57),""),3,1)="隔",IF(BL$58=0,LEFT(IFERROR(INDEX(醫師週班表!$C$5:$T$44,$CU13,BL$57),""),1),""),IF(MID(IFERROR(INDEX(醫師週班表!$C$5:$T$44,$CU13,BL$57),""),2,1)="(",LEFT(IFERROR(INDEX(醫師週班表!$C$5:$T$44,$CU13,BL$57),""),1),IFERROR(INDEX(醫師週班表!$C$5:$T$44,$CU13,BL$57),"")))))))</f>
        <v/>
      </c>
      <c r="BM13" s="71">
        <f>IF(BM$59="X","",IF(BM$59&lt;&gt;"",BM$59,IF(IFERROR(INDEX(醫師週班表!$C$5:$T$44,$CU13,BM$57),"")=0,"",IF(MID(IFERROR(INDEX(醫師週班表!$C$5:$T$44,$CU13,BM$57),""),2,1)="/",MID(IFERROR(INDEX(醫師週班表!$C$5:$T$44,$CU13,BM$57),""),1+BM$58*2,1),IF(MID(IFERROR(INDEX(醫師週班表!$C$5:$T$44,$CU13,BM$57),""),3,1)="隔",IF(BM$58=0,LEFT(IFERROR(INDEX(醫師週班表!$C$5:$T$44,$CU13,BM$57),""),1),""),IF(MID(IFERROR(INDEX(醫師週班表!$C$5:$T$44,$CU13,BM$57),""),2,1)="(",LEFT(IFERROR(INDEX(醫師週班表!$C$5:$T$44,$CU13,BM$57),""),1),IFERROR(INDEX(醫師週班表!$C$5:$T$44,$CU13,BM$57),"")))))))</f>
        <v/>
      </c>
      <c r="BN13" s="72">
        <f>IF(BN$59="X","",IF(BN$59&lt;&gt;"",BN$59,IF(IFERROR(INDEX(醫師週班表!$C$5:$T$44,$CU13,BN$57),"")=0,"",IF(MID(IFERROR(INDEX(醫師週班表!$C$5:$T$44,$CU13,BN$57),""),2,1)="/",MID(IFERROR(INDEX(醫師週班表!$C$5:$T$44,$CU13,BN$57),""),1+BN$58*2,1),IF(MID(IFERROR(INDEX(醫師週班表!$C$5:$T$44,$CU13,BN$57),""),3,1)="隔",IF(BN$58=0,LEFT(IFERROR(INDEX(醫師週班表!$C$5:$T$44,$CU13,BN$57),""),1),""),IF(MID(IFERROR(INDEX(醫師週班表!$C$5:$T$44,$CU13,BN$57),""),2,1)="(",LEFT(IFERROR(INDEX(醫師週班表!$C$5:$T$44,$CU13,BN$57),""),1),IFERROR(INDEX(醫師週班表!$C$5:$T$44,$CU13,BN$57),"")))))))</f>
        <v/>
      </c>
      <c r="BO13" s="72">
        <f>IF(BO$59="X","",IF(BO$59&lt;&gt;"",BO$59,IF(IFERROR(INDEX(醫師週班表!$C$5:$T$44,$CU13,BO$57),"")=0,"",IF(MID(IFERROR(INDEX(醫師週班表!$C$5:$T$44,$CU13,BO$57),""),2,1)="/",MID(IFERROR(INDEX(醫師週班表!$C$5:$T$44,$CU13,BO$57),""),1+BO$58*2,1),IF(MID(IFERROR(INDEX(醫師週班表!$C$5:$T$44,$CU13,BO$57),""),3,1)="隔",IF(BO$58=0,LEFT(IFERROR(INDEX(醫師週班表!$C$5:$T$44,$CU13,BO$57),""),1),""),IF(MID(IFERROR(INDEX(醫師週班表!$C$5:$T$44,$CU13,BO$57),""),2,1)="(",LEFT(IFERROR(INDEX(醫師週班表!$C$5:$T$44,$CU13,BO$57),""),1),IFERROR(INDEX(醫師週班表!$C$5:$T$44,$CU13,BO$57),"")))))))</f>
        <v/>
      </c>
      <c r="BP13" s="71">
        <f>IF(BP$59="X","",IF(BP$59&lt;&gt;"",BP$59,IF(IFERROR(INDEX(醫師週班表!$C$5:$T$44,$CU13,BP$57),"")=0,"",IF(MID(IFERROR(INDEX(醫師週班表!$C$5:$T$44,$CU13,BP$57),""),2,1)="/",MID(IFERROR(INDEX(醫師週班表!$C$5:$T$44,$CU13,BP$57),""),1+BP$58*2,1),IF(MID(IFERROR(INDEX(醫師週班表!$C$5:$T$44,$CU13,BP$57),""),3,1)="隔",IF(BP$58=0,LEFT(IFERROR(INDEX(醫師週班表!$C$5:$T$44,$CU13,BP$57),""),1),""),IF(MID(IFERROR(INDEX(醫師週班表!$C$5:$T$44,$CU13,BP$57),""),2,1)="(",LEFT(IFERROR(INDEX(醫師週班表!$C$5:$T$44,$CU13,BP$57),""),1),IFERROR(INDEX(醫師週班表!$C$5:$T$44,$CU13,BP$57),"")))))))</f>
        <v/>
      </c>
      <c r="BQ13" s="72">
        <f>IF(BQ$59="X","",IF(BQ$59&lt;&gt;"",BQ$59,IF(IFERROR(INDEX(醫師週班表!$C$5:$T$44,$CU13,BQ$57),"")=0,"",IF(MID(IFERROR(INDEX(醫師週班表!$C$5:$T$44,$CU13,BQ$57),""),2,1)="/",MID(IFERROR(INDEX(醫師週班表!$C$5:$T$44,$CU13,BQ$57),""),1+BQ$58*2,1),IF(MID(IFERROR(INDEX(醫師週班表!$C$5:$T$44,$CU13,BQ$57),""),3,1)="隔",IF(BQ$58=0,LEFT(IFERROR(INDEX(醫師週班表!$C$5:$T$44,$CU13,BQ$57),""),1),""),IF(MID(IFERROR(INDEX(醫師週班表!$C$5:$T$44,$CU13,BQ$57),""),2,1)="(",LEFT(IFERROR(INDEX(醫師週班表!$C$5:$T$44,$CU13,BQ$57),""),1),IFERROR(INDEX(醫師週班表!$C$5:$T$44,$CU13,BQ$57),"")))))))</f>
        <v/>
      </c>
      <c r="BR13" s="72">
        <f>IF(BR$59="X","",IF(BR$59&lt;&gt;"",BR$59,IF(IFERROR(INDEX(醫師週班表!$C$5:$T$44,$CU13,BR$57),"")=0,"",IF(MID(IFERROR(INDEX(醫師週班表!$C$5:$T$44,$CU13,BR$57),""),2,1)="/",MID(IFERROR(INDEX(醫師週班表!$C$5:$T$44,$CU13,BR$57),""),1+BR$58*2,1),IF(MID(IFERROR(INDEX(醫師週班表!$C$5:$T$44,$CU13,BR$57),""),3,1)="隔",IF(BR$58=0,LEFT(IFERROR(INDEX(醫師週班表!$C$5:$T$44,$CU13,BR$57),""),1),""),IF(MID(IFERROR(INDEX(醫師週班表!$C$5:$T$44,$CU13,BR$57),""),2,1)="(",LEFT(IFERROR(INDEX(醫師週班表!$C$5:$T$44,$CU13,BR$57),""),1),IFERROR(INDEX(醫師週班表!$C$5:$T$44,$CU13,BR$57),"")))))))</f>
        <v/>
      </c>
      <c r="BS13" s="71">
        <f>IF(BS$59="X","",IF(BS$59&lt;&gt;"",BS$59,IF(IFERROR(INDEX(醫師週班表!$C$5:$T$44,$CU13,BS$57),"")=0,"",IF(MID(IFERROR(INDEX(醫師週班表!$C$5:$T$44,$CU13,BS$57),""),2,1)="/",MID(IFERROR(INDEX(醫師週班表!$C$5:$T$44,$CU13,BS$57),""),1+BS$58*2,1),IF(MID(IFERROR(INDEX(醫師週班表!$C$5:$T$44,$CU13,BS$57),""),3,1)="隔",IF(BS$58=0,LEFT(IFERROR(INDEX(醫師週班表!$C$5:$T$44,$CU13,BS$57),""),1),""),IF(MID(IFERROR(INDEX(醫師週班表!$C$5:$T$44,$CU13,BS$57),""),2,1)="(",LEFT(IFERROR(INDEX(醫師週班表!$C$5:$T$44,$CU13,BS$57),""),1),IFERROR(INDEX(醫師週班表!$C$5:$T$44,$CU13,BS$57),"")))))))</f>
        <v/>
      </c>
      <c r="BT13" s="72">
        <f>IF(BT$59="X","",IF(BT$59&lt;&gt;"",BT$59,IF(IFERROR(INDEX(醫師週班表!$C$5:$T$44,$CU13,BT$57),"")=0,"",IF(MID(IFERROR(INDEX(醫師週班表!$C$5:$T$44,$CU13,BT$57),""),2,1)="/",MID(IFERROR(INDEX(醫師週班表!$C$5:$T$44,$CU13,BT$57),""),1+BT$58*2,1),IF(MID(IFERROR(INDEX(醫師週班表!$C$5:$T$44,$CU13,BT$57),""),3,1)="隔",IF(BT$58=0,LEFT(IFERROR(INDEX(醫師週班表!$C$5:$T$44,$CU13,BT$57),""),1),""),IF(MID(IFERROR(INDEX(醫師週班表!$C$5:$T$44,$CU13,BT$57),""),2,1)="(",LEFT(IFERROR(INDEX(醫師週班表!$C$5:$T$44,$CU13,BT$57),""),1),IFERROR(INDEX(醫師週班表!$C$5:$T$44,$CU13,BT$57),"")))))))</f>
        <v/>
      </c>
      <c r="BU13" s="72">
        <f>IF(BU$59="X","",IF(BU$59&lt;&gt;"",BU$59,IF(IFERROR(INDEX(醫師週班表!$C$5:$T$44,$CU13,BU$57),"")=0,"",IF(MID(IFERROR(INDEX(醫師週班表!$C$5:$T$44,$CU13,BU$57),""),2,1)="/",MID(IFERROR(INDEX(醫師週班表!$C$5:$T$44,$CU13,BU$57),""),1+BU$58*2,1),IF(MID(IFERROR(INDEX(醫師週班表!$C$5:$T$44,$CU13,BU$57),""),3,1)="隔",IF(BU$58=0,LEFT(IFERROR(INDEX(醫師週班表!$C$5:$T$44,$CU13,BU$57),""),1),""),IF(MID(IFERROR(INDEX(醫師週班表!$C$5:$T$44,$CU13,BU$57),""),2,1)="(",LEFT(IFERROR(INDEX(醫師週班表!$C$5:$T$44,$CU13,BU$57),""),1),IFERROR(INDEX(醫師週班表!$C$5:$T$44,$CU13,BU$57),"")))))))</f>
        <v/>
      </c>
      <c r="BV13" s="71">
        <f>IF(BV$59="X","",IF(BV$59&lt;&gt;"",BV$59,IF(IFERROR(INDEX(醫師週班表!$C$5:$T$44,$CU13,BV$57),"")=0,"",IF(MID(IFERROR(INDEX(醫師週班表!$C$5:$T$44,$CU13,BV$57),""),2,1)="/",MID(IFERROR(INDEX(醫師週班表!$C$5:$T$44,$CU13,BV$57),""),1+BV$58*2,1),IF(MID(IFERROR(INDEX(醫師週班表!$C$5:$T$44,$CU13,BV$57),""),3,1)="隔",IF(BV$58=0,LEFT(IFERROR(INDEX(醫師週班表!$C$5:$T$44,$CU13,BV$57),""),1),""),IF(MID(IFERROR(INDEX(醫師週班表!$C$5:$T$44,$CU13,BV$57),""),2,1)="(",LEFT(IFERROR(INDEX(醫師週班表!$C$5:$T$44,$CU13,BV$57),""),1),IFERROR(INDEX(醫師週班表!$C$5:$T$44,$CU13,BV$57),"")))))))</f>
        <v/>
      </c>
      <c r="BW13" s="72">
        <f>IF(BW$59="X","",IF(BW$59&lt;&gt;"",BW$59,IF(IFERROR(INDEX(醫師週班表!$C$5:$T$44,$CU13,BW$57),"")=0,"",IF(MID(IFERROR(INDEX(醫師週班表!$C$5:$T$44,$CU13,BW$57),""),2,1)="/",MID(IFERROR(INDEX(醫師週班表!$C$5:$T$44,$CU13,BW$57),""),1+BW$58*2,1),IF(MID(IFERROR(INDEX(醫師週班表!$C$5:$T$44,$CU13,BW$57),""),3,1)="隔",IF(BW$58=0,LEFT(IFERROR(INDEX(醫師週班表!$C$5:$T$44,$CU13,BW$57),""),1),""),IF(MID(IFERROR(INDEX(醫師週班表!$C$5:$T$44,$CU13,BW$57),""),2,1)="(",LEFT(IFERROR(INDEX(醫師週班表!$C$5:$T$44,$CU13,BW$57),""),1),IFERROR(INDEX(醫師週班表!$C$5:$T$44,$CU13,BW$57),"")))))))</f>
        <v/>
      </c>
      <c r="BX13" s="72">
        <f>IF(BX$59="X","",IF(BX$59&lt;&gt;"",BX$59,IF(IFERROR(INDEX(醫師週班表!$C$5:$T$44,$CU13,BX$57),"")=0,"",IF(MID(IFERROR(INDEX(醫師週班表!$C$5:$T$44,$CU13,BX$57),""),2,1)="/",MID(IFERROR(INDEX(醫師週班表!$C$5:$T$44,$CU13,BX$57),""),1+BX$58*2,1),IF(MID(IFERROR(INDEX(醫師週班表!$C$5:$T$44,$CU13,BX$57),""),3,1)="隔",IF(BX$58=0,LEFT(IFERROR(INDEX(醫師週班表!$C$5:$T$44,$CU13,BX$57),""),1),""),IF(MID(IFERROR(INDEX(醫師週班表!$C$5:$T$44,$CU13,BX$57),""),2,1)="(",LEFT(IFERROR(INDEX(醫師週班表!$C$5:$T$44,$CU13,BX$57),""),1),IFERROR(INDEX(醫師週班表!$C$5:$T$44,$CU13,BX$57),"")))))))</f>
        <v/>
      </c>
      <c r="BY13" s="71">
        <f>IF(BY$59="X","",IF(BY$59&lt;&gt;"",BY$59,IF(IFERROR(INDEX(醫師週班表!$C$5:$T$44,$CU13,BY$57),"")=0,"",IF(MID(IFERROR(INDEX(醫師週班表!$C$5:$T$44,$CU13,BY$57),""),2,1)="/",MID(IFERROR(INDEX(醫師週班表!$C$5:$T$44,$CU13,BY$57),""),1+BY$58*2,1),IF(MID(IFERROR(INDEX(醫師週班表!$C$5:$T$44,$CU13,BY$57),""),3,1)="隔",IF(BY$58=0,LEFT(IFERROR(INDEX(醫師週班表!$C$5:$T$44,$CU13,BY$57),""),1),""),IF(MID(IFERROR(INDEX(醫師週班表!$C$5:$T$44,$CU13,BY$57),""),2,1)="(",LEFT(IFERROR(INDEX(醫師週班表!$C$5:$T$44,$CU13,BY$57),""),1),IFERROR(INDEX(醫師週班表!$C$5:$T$44,$CU13,BY$57),"")))))))</f>
        <v/>
      </c>
      <c r="BZ13" s="72">
        <f>IF(BZ$59="X","",IF(BZ$59&lt;&gt;"",BZ$59,IF(IFERROR(INDEX(醫師週班表!$C$5:$T$44,$CU13,BZ$57),"")=0,"",IF(MID(IFERROR(INDEX(醫師週班表!$C$5:$T$44,$CU13,BZ$57),""),2,1)="/",MID(IFERROR(INDEX(醫師週班表!$C$5:$T$44,$CU13,BZ$57),""),1+BZ$58*2,1),IF(MID(IFERROR(INDEX(醫師週班表!$C$5:$T$44,$CU13,BZ$57),""),3,1)="隔",IF(BZ$58=0,LEFT(IFERROR(INDEX(醫師週班表!$C$5:$T$44,$CU13,BZ$57),""),1),""),IF(MID(IFERROR(INDEX(醫師週班表!$C$5:$T$44,$CU13,BZ$57),""),2,1)="(",LEFT(IFERROR(INDEX(醫師週班表!$C$5:$T$44,$CU13,BZ$57),""),1),IFERROR(INDEX(醫師週班表!$C$5:$T$44,$CU13,BZ$57),"")))))))</f>
        <v/>
      </c>
      <c r="CA13" s="72">
        <f>IF(CA$59="X","",IF(CA$59&lt;&gt;"",CA$59,IF(IFERROR(INDEX(醫師週班表!$C$5:$T$44,$CU13,CA$57),"")=0,"",IF(MID(IFERROR(INDEX(醫師週班表!$C$5:$T$44,$CU13,CA$57),""),2,1)="/",MID(IFERROR(INDEX(醫師週班表!$C$5:$T$44,$CU13,CA$57),""),1+CA$58*2,1),IF(MID(IFERROR(INDEX(醫師週班表!$C$5:$T$44,$CU13,CA$57),""),3,1)="隔",IF(CA$58=0,LEFT(IFERROR(INDEX(醫師週班表!$C$5:$T$44,$CU13,CA$57),""),1),""),IF(MID(IFERROR(INDEX(醫師週班表!$C$5:$T$44,$CU13,CA$57),""),2,1)="(",LEFT(IFERROR(INDEX(醫師週班表!$C$5:$T$44,$CU13,CA$57),""),1),IFERROR(INDEX(醫師週班表!$C$5:$T$44,$CU13,CA$57),"")))))))</f>
        <v/>
      </c>
      <c r="CB13" s="71">
        <f>IF(CB$59="X","",IF(CB$59&lt;&gt;"",CB$59,IF(IFERROR(INDEX(醫師週班表!$C$5:$T$44,$CU13,CB$57),"")=0,"",IF(MID(IFERROR(INDEX(醫師週班表!$C$5:$T$44,$CU13,CB$57),""),2,1)="/",MID(IFERROR(INDEX(醫師週班表!$C$5:$T$44,$CU13,CB$57),""),1+CB$58*2,1),IF(MID(IFERROR(INDEX(醫師週班表!$C$5:$T$44,$CU13,CB$57),""),3,1)="隔",IF(CB$58=0,LEFT(IFERROR(INDEX(醫師週班表!$C$5:$T$44,$CU13,CB$57),""),1),""),IF(MID(IFERROR(INDEX(醫師週班表!$C$5:$T$44,$CU13,CB$57),""),2,1)="(",LEFT(IFERROR(INDEX(醫師週班表!$C$5:$T$44,$CU13,CB$57),""),1),IFERROR(INDEX(醫師週班表!$C$5:$T$44,$CU13,CB$57),"")))))))</f>
        <v/>
      </c>
      <c r="CC13" s="72">
        <f>IF(CC$59="X","",IF(CC$59&lt;&gt;"",CC$59,IF(IFERROR(INDEX(醫師週班表!$C$5:$T$44,$CU13,CC$57),"")=0,"",IF(MID(IFERROR(INDEX(醫師週班表!$C$5:$T$44,$CU13,CC$57),""),2,1)="/",MID(IFERROR(INDEX(醫師週班表!$C$5:$T$44,$CU13,CC$57),""),1+CC$58*2,1),IF(MID(IFERROR(INDEX(醫師週班表!$C$5:$T$44,$CU13,CC$57),""),3,1)="隔",IF(CC$58=0,LEFT(IFERROR(INDEX(醫師週班表!$C$5:$T$44,$CU13,CC$57),""),1),""),IF(MID(IFERROR(INDEX(醫師週班表!$C$5:$T$44,$CU13,CC$57),""),2,1)="(",LEFT(IFERROR(INDEX(醫師週班表!$C$5:$T$44,$CU13,CC$57),""),1),IFERROR(INDEX(醫師週班表!$C$5:$T$44,$CU13,CC$57),"")))))))</f>
        <v/>
      </c>
      <c r="CD13" s="72">
        <f>IF(CD$59="X","",IF(CD$59&lt;&gt;"",CD$59,IF(IFERROR(INDEX(醫師週班表!$C$5:$T$44,$CU13,CD$57),"")=0,"",IF(MID(IFERROR(INDEX(醫師週班表!$C$5:$T$44,$CU13,CD$57),""),2,1)="/",MID(IFERROR(INDEX(醫師週班表!$C$5:$T$44,$CU13,CD$57),""),1+CD$58*2,1),IF(MID(IFERROR(INDEX(醫師週班表!$C$5:$T$44,$CU13,CD$57),""),3,1)="隔",IF(CD$58=0,LEFT(IFERROR(INDEX(醫師週班表!$C$5:$T$44,$CU13,CD$57),""),1),""),IF(MID(IFERROR(INDEX(醫師週班表!$C$5:$T$44,$CU13,CD$57),""),2,1)="(",LEFT(IFERROR(INDEX(醫師週班表!$C$5:$T$44,$CU13,CD$57),""),1),IFERROR(INDEX(醫師週班表!$C$5:$T$44,$CU13,CD$57),"")))))))</f>
        <v/>
      </c>
      <c r="CE13" s="71">
        <f>IF(CE$59="X","",IF(CE$59&lt;&gt;"",CE$59,IF(IFERROR(INDEX(醫師週班表!$C$5:$T$44,$CU13,CE$57),"")=0,"",IF(MID(IFERROR(INDEX(醫師週班表!$C$5:$T$44,$CU13,CE$57),""),2,1)="/",MID(IFERROR(INDEX(醫師週班表!$C$5:$T$44,$CU13,CE$57),""),1+CE$58*2,1),IF(MID(IFERROR(INDEX(醫師週班表!$C$5:$T$44,$CU13,CE$57),""),3,1)="隔",IF(CE$58=0,LEFT(IFERROR(INDEX(醫師週班表!$C$5:$T$44,$CU13,CE$57),""),1),""),IF(MID(IFERROR(INDEX(醫師週班表!$C$5:$T$44,$CU13,CE$57),""),2,1)="(",LEFT(IFERROR(INDEX(醫師週班表!$C$5:$T$44,$CU13,CE$57),""),1),IFERROR(INDEX(醫師週班表!$C$5:$T$44,$CU13,CE$57),"")))))))</f>
        <v/>
      </c>
      <c r="CF13" s="72">
        <f>IF(CF$59="X","",IF(CF$59&lt;&gt;"",CF$59,IF(IFERROR(INDEX(醫師週班表!$C$5:$T$44,$CU13,CF$57),"")=0,"",IF(MID(IFERROR(INDEX(醫師週班表!$C$5:$T$44,$CU13,CF$57),""),2,1)="/",MID(IFERROR(INDEX(醫師週班表!$C$5:$T$44,$CU13,CF$57),""),1+CF$58*2,1),IF(MID(IFERROR(INDEX(醫師週班表!$C$5:$T$44,$CU13,CF$57),""),3,1)="隔",IF(CF$58=0,LEFT(IFERROR(INDEX(醫師週班表!$C$5:$T$44,$CU13,CF$57),""),1),""),IF(MID(IFERROR(INDEX(醫師週班表!$C$5:$T$44,$CU13,CF$57),""),2,1)="(",LEFT(IFERROR(INDEX(醫師週班表!$C$5:$T$44,$CU13,CF$57),""),1),IFERROR(INDEX(醫師週班表!$C$5:$T$44,$CU13,CF$57),"")))))))</f>
        <v/>
      </c>
      <c r="CG13" s="72">
        <f>IF(CG$59="X","",IF(CG$59&lt;&gt;"",CG$59,IF(IFERROR(INDEX(醫師週班表!$C$5:$T$44,$CU13,CG$57),"")=0,"",IF(MID(IFERROR(INDEX(醫師週班表!$C$5:$T$44,$CU13,CG$57),""),2,1)="/",MID(IFERROR(INDEX(醫師週班表!$C$5:$T$44,$CU13,CG$57),""),1+CG$58*2,1),IF(MID(IFERROR(INDEX(醫師週班表!$C$5:$T$44,$CU13,CG$57),""),3,1)="隔",IF(CG$58=0,LEFT(IFERROR(INDEX(醫師週班表!$C$5:$T$44,$CU13,CG$57),""),1),""),IF(MID(IFERROR(INDEX(醫師週班表!$C$5:$T$44,$CU13,CG$57),""),2,1)="(",LEFT(IFERROR(INDEX(醫師週班表!$C$5:$T$44,$CU13,CG$57),""),1),IFERROR(INDEX(醫師週班表!$C$5:$T$44,$CU13,CG$57),"")))))))</f>
        <v/>
      </c>
      <c r="CH13" s="71">
        <f>IF(CH$59="X","",IF(CH$59&lt;&gt;"",CH$59,IF(IFERROR(INDEX(醫師週班表!$C$5:$T$44,$CU13,CH$57),"")=0,"",IF(MID(IFERROR(INDEX(醫師週班表!$C$5:$T$44,$CU13,CH$57),""),2,1)="/",MID(IFERROR(INDEX(醫師週班表!$C$5:$T$44,$CU13,CH$57),""),1+CH$58*2,1),IF(MID(IFERROR(INDEX(醫師週班表!$C$5:$T$44,$CU13,CH$57),""),3,1)="隔",IF(CH$58=0,LEFT(IFERROR(INDEX(醫師週班表!$C$5:$T$44,$CU13,CH$57),""),1),""),IF(MID(IFERROR(INDEX(醫師週班表!$C$5:$T$44,$CU13,CH$57),""),2,1)="(",LEFT(IFERROR(INDEX(醫師週班表!$C$5:$T$44,$CU13,CH$57),""),1),IFERROR(INDEX(醫師週班表!$C$5:$T$44,$CU13,CH$57),"")))))))</f>
        <v/>
      </c>
      <c r="CI13" s="72">
        <f>IF(CI$59="X","",IF(CI$59&lt;&gt;"",CI$59,IF(IFERROR(INDEX(醫師週班表!$C$5:$T$44,$CU13,CI$57),"")=0,"",IF(MID(IFERROR(INDEX(醫師週班表!$C$5:$T$44,$CU13,CI$57),""),2,1)="/",MID(IFERROR(INDEX(醫師週班表!$C$5:$T$44,$CU13,CI$57),""),1+CI$58*2,1),IF(MID(IFERROR(INDEX(醫師週班表!$C$5:$T$44,$CU13,CI$57),""),3,1)="隔",IF(CI$58=0,LEFT(IFERROR(INDEX(醫師週班表!$C$5:$T$44,$CU13,CI$57),""),1),""),IF(MID(IFERROR(INDEX(醫師週班表!$C$5:$T$44,$CU13,CI$57),""),2,1)="(",LEFT(IFERROR(INDEX(醫師週班表!$C$5:$T$44,$CU13,CI$57),""),1),IFERROR(INDEX(醫師週班表!$C$5:$T$44,$CU13,CI$57),"")))))))</f>
        <v/>
      </c>
      <c r="CJ13" s="72">
        <f>IF(CJ$59="X","",IF(CJ$59&lt;&gt;"",CJ$59,IF(IFERROR(INDEX(醫師週班表!$C$5:$T$44,$CU13,CJ$57),"")=0,"",IF(MID(IFERROR(INDEX(醫師週班表!$C$5:$T$44,$CU13,CJ$57),""),2,1)="/",MID(IFERROR(INDEX(醫師週班表!$C$5:$T$44,$CU13,CJ$57),""),1+CJ$58*2,1),IF(MID(IFERROR(INDEX(醫師週班表!$C$5:$T$44,$CU13,CJ$57),""),3,1)="隔",IF(CJ$58=0,LEFT(IFERROR(INDEX(醫師週班表!$C$5:$T$44,$CU13,CJ$57),""),1),""),IF(MID(IFERROR(INDEX(醫師週班表!$C$5:$T$44,$CU13,CJ$57),""),2,1)="(",LEFT(IFERROR(INDEX(醫師週班表!$C$5:$T$44,$CU13,CJ$57),""),1),IFERROR(INDEX(醫師週班表!$C$5:$T$44,$CU13,CJ$57),"")))))))</f>
        <v/>
      </c>
      <c r="CK13" s="71">
        <f>IF(CK$59="X","",IF(CK$59&lt;&gt;"",CK$59,IF(IFERROR(INDEX(醫師週班表!$C$5:$T$44,$CU13,CK$57),"")=0,"",IF(MID(IFERROR(INDEX(醫師週班表!$C$5:$T$44,$CU13,CK$57),""),2,1)="/",MID(IFERROR(INDEX(醫師週班表!$C$5:$T$44,$CU13,CK$57),""),1+CK$58*2,1),IF(MID(IFERROR(INDEX(醫師週班表!$C$5:$T$44,$CU13,CK$57),""),3,1)="隔",IF(CK$58=0,LEFT(IFERROR(INDEX(醫師週班表!$C$5:$T$44,$CU13,CK$57),""),1),""),IF(MID(IFERROR(INDEX(醫師週班表!$C$5:$T$44,$CU13,CK$57),""),2,1)="(",LEFT(IFERROR(INDEX(醫師週班表!$C$5:$T$44,$CU13,CK$57),""),1),IFERROR(INDEX(醫師週班表!$C$5:$T$44,$CU13,CK$57),"")))))))</f>
        <v/>
      </c>
      <c r="CL13" s="72">
        <f>IF(CL$59="X","",IF(CL$59&lt;&gt;"",CL$59,IF(IFERROR(INDEX(醫師週班表!$C$5:$T$44,$CU13,CL$57),"")=0,"",IF(MID(IFERROR(INDEX(醫師週班表!$C$5:$T$44,$CU13,CL$57),""),2,1)="/",MID(IFERROR(INDEX(醫師週班表!$C$5:$T$44,$CU13,CL$57),""),1+CL$58*2,1),IF(MID(IFERROR(INDEX(醫師週班表!$C$5:$T$44,$CU13,CL$57),""),3,1)="隔",IF(CL$58=0,LEFT(IFERROR(INDEX(醫師週班表!$C$5:$T$44,$CU13,CL$57),""),1),""),IF(MID(IFERROR(INDEX(醫師週班表!$C$5:$T$44,$CU13,CL$57),""),2,1)="(",LEFT(IFERROR(INDEX(醫師週班表!$C$5:$T$44,$CU13,CL$57),""),1),IFERROR(INDEX(醫師週班表!$C$5:$T$44,$CU13,CL$57),"")))))))</f>
        <v/>
      </c>
      <c r="CM13" s="72">
        <f>IF(CM$59="X","",IF(CM$59&lt;&gt;"",CM$59,IF(IFERROR(INDEX(醫師週班表!$C$5:$T$44,$CU13,CM$57),"")=0,"",IF(MID(IFERROR(INDEX(醫師週班表!$C$5:$T$44,$CU13,CM$57),""),2,1)="/",MID(IFERROR(INDEX(醫師週班表!$C$5:$T$44,$CU13,CM$57),""),1+CM$58*2,1),IF(MID(IFERROR(INDEX(醫師週班表!$C$5:$T$44,$CU13,CM$57),""),3,1)="隔",IF(CM$58=0,LEFT(IFERROR(INDEX(醫師週班表!$C$5:$T$44,$CU13,CM$57),""),1),""),IF(MID(IFERROR(INDEX(醫師週班表!$C$5:$T$44,$CU13,CM$57),""),2,1)="(",LEFT(IFERROR(INDEX(醫師週班表!$C$5:$T$44,$CU13,CM$57),""),1),IFERROR(INDEX(醫師週班表!$C$5:$T$44,$CU13,CM$57),"")))))))</f>
        <v/>
      </c>
      <c r="CN13" s="71">
        <f>IF(CN$59="X","",IF(CN$59&lt;&gt;"",CN$59,IF(IFERROR(INDEX(醫師週班表!$C$5:$T$44,$CU13,CN$57),"")=0,"",IF(MID(IFERROR(INDEX(醫師週班表!$C$5:$T$44,$CU13,CN$57),""),2,1)="/",MID(IFERROR(INDEX(醫師週班表!$C$5:$T$44,$CU13,CN$57),""),1+CN$58*2,1),IF(MID(IFERROR(INDEX(醫師週班表!$C$5:$T$44,$CU13,CN$57),""),3,1)="隔",IF(CN$58=0,LEFT(IFERROR(INDEX(醫師週班表!$C$5:$T$44,$CU13,CN$57),""),1),""),IF(MID(IFERROR(INDEX(醫師週班表!$C$5:$T$44,$CU13,CN$57),""),2,1)="(",LEFT(IFERROR(INDEX(醫師週班表!$C$5:$T$44,$CU13,CN$57),""),1),IFERROR(INDEX(醫師週班表!$C$5:$T$44,$CU13,CN$57),"")))))))</f>
        <v/>
      </c>
      <c r="CO13" s="72">
        <f>IF(CO$59="X","",IF(CO$59&lt;&gt;"",CO$59,IF(IFERROR(INDEX(醫師週班表!$C$5:$T$44,$CU13,CO$57),"")=0,"",IF(MID(IFERROR(INDEX(醫師週班表!$C$5:$T$44,$CU13,CO$57),""),2,1)="/",MID(IFERROR(INDEX(醫師週班表!$C$5:$T$44,$CU13,CO$57),""),1+CO$58*2,1),IF(MID(IFERROR(INDEX(醫師週班表!$C$5:$T$44,$CU13,CO$57),""),3,1)="隔",IF(CO$58=0,LEFT(IFERROR(INDEX(醫師週班表!$C$5:$T$44,$CU13,CO$57),""),1),""),IF(MID(IFERROR(INDEX(醫師週班表!$C$5:$T$44,$CU13,CO$57),""),2,1)="(",LEFT(IFERROR(INDEX(醫師週班表!$C$5:$T$44,$CU13,CO$57),""),1),IFERROR(INDEX(醫師週班表!$C$5:$T$44,$CU13,CO$57),"")))))))</f>
        <v/>
      </c>
      <c r="CP13" s="72">
        <f>IF(CP$59="X","",IF(CP$59&lt;&gt;"",CP$59,IF(IFERROR(INDEX(醫師週班表!$C$5:$T$44,$CU13,CP$57),"")=0,"",IF(MID(IFERROR(INDEX(醫師週班表!$C$5:$T$44,$CU13,CP$57),""),2,1)="/",MID(IFERROR(INDEX(醫師週班表!$C$5:$T$44,$CU13,CP$57),""),1+CP$58*2,1),IF(MID(IFERROR(INDEX(醫師週班表!$C$5:$T$44,$CU13,CP$57),""),3,1)="隔",IF(CP$58=0,LEFT(IFERROR(INDEX(醫師週班表!$C$5:$T$44,$CU13,CP$57),""),1),""),IF(MID(IFERROR(INDEX(醫師週班表!$C$5:$T$44,$CU13,CP$57),""),2,1)="(",LEFT(IFERROR(INDEX(醫師週班表!$C$5:$T$44,$CU13,CP$57),""),1),IFERROR(INDEX(醫師週班表!$C$5:$T$44,$CU13,CP$57),"")))))))</f>
        <v/>
      </c>
      <c r="CQ13" s="71">
        <f>IF(CQ$59="X","",IF(CQ$59&lt;&gt;"",CQ$59,IF(IFERROR(INDEX(醫師週班表!$C$5:$T$44,$CU13,CQ$57),"")=0,"",IF(MID(IFERROR(INDEX(醫師週班表!$C$5:$T$44,$CU13,CQ$57),""),2,1)="/",MID(IFERROR(INDEX(醫師週班表!$C$5:$T$44,$CU13,CQ$57),""),1+CQ$58*2,1),IF(MID(IFERROR(INDEX(醫師週班表!$C$5:$T$44,$CU13,CQ$57),""),3,1)="隔",IF(CQ$58=0,LEFT(IFERROR(INDEX(醫師週班表!$C$5:$T$44,$CU13,CQ$57),""),1),""),IF(MID(IFERROR(INDEX(醫師週班表!$C$5:$T$44,$CU13,CQ$57),""),2,1)="(",LEFT(IFERROR(INDEX(醫師週班表!$C$5:$T$44,$CU13,CQ$57),""),1),IFERROR(INDEX(醫師週班表!$C$5:$T$44,$CU13,CQ$57),"")))))))</f>
        <v/>
      </c>
      <c r="CR13" s="72">
        <f>IF(CR$59="X","",IF(CR$59&lt;&gt;"",CR$59,IF(IFERROR(INDEX(醫師週班表!$C$5:$T$44,$CU13,CR$57),"")=0,"",IF(MID(IFERROR(INDEX(醫師週班表!$C$5:$T$44,$CU13,CR$57),""),2,1)="/",MID(IFERROR(INDEX(醫師週班表!$C$5:$T$44,$CU13,CR$57),""),1+CR$58*2,1),IF(MID(IFERROR(INDEX(醫師週班表!$C$5:$T$44,$CU13,CR$57),""),3,1)="隔",IF(CR$58=0,LEFT(IFERROR(INDEX(醫師週班表!$C$5:$T$44,$CU13,CR$57),""),1),""),IF(MID(IFERROR(INDEX(醫師週班表!$C$5:$T$44,$CU13,CR$57),""),2,1)="(",LEFT(IFERROR(INDEX(醫師週班表!$C$5:$T$44,$CU13,CR$57),""),1),IFERROR(INDEX(醫師週班表!$C$5:$T$44,$CU13,CR$57),"")))))))</f>
        <v/>
      </c>
      <c r="CS13" s="72">
        <f>IF(CS$59="X","",IF(CS$59&lt;&gt;"",CS$59,IF(IFERROR(INDEX(醫師週班表!$C$5:$T$44,$CU13,CS$57),"")=0,"",IF(MID(IFERROR(INDEX(醫師週班表!$C$5:$T$44,$CU13,CS$57),""),2,1)="/",MID(IFERROR(INDEX(醫師週班表!$C$5:$T$44,$CU13,CS$57),""),1+CS$58*2,1),IF(MID(IFERROR(INDEX(醫師週班表!$C$5:$T$44,$CU13,CS$57),""),3,1)="隔",IF(CS$58=0,LEFT(IFERROR(INDEX(醫師週班表!$C$5:$T$44,$CU13,CS$57),""),1),""),IF(MID(IFERROR(INDEX(醫師週班表!$C$5:$T$44,$CU13,CS$57),""),2,1)="(",LEFT(IFERROR(INDEX(醫師週班表!$C$5:$T$44,$CU13,CS$57),""),1),IFERROR(INDEX(醫師週班表!$C$5:$T$44,$CU13,CS$57),"")))))))</f>
        <v/>
      </c>
      <c r="CU13" s="73">
        <f>IFERROR(MATCH($A13,醫師週班表!$A$5:$A$44,0),0)</f>
        <v/>
      </c>
    </row>
    <row r="14" ht="17" customHeight="1">
      <c r="A14" s="19" t="inlineStr">
        <is>
          <t>D009</t>
        </is>
      </c>
      <c r="B14" s="16" t="inlineStr">
        <is>
          <t>陳昺元</t>
        </is>
      </c>
      <c r="C14" s="70" t="inlineStr">
        <is>
          <t>美學植牙專科</t>
        </is>
      </c>
      <c r="D14" s="16" t="inlineStr">
        <is>
          <t>晶匯院長</t>
        </is>
      </c>
      <c r="E14" s="71">
        <f>IF(E$59="X","",IF(E$59&lt;&gt;"",E$59,IF(IFERROR(INDEX(醫師週班表!$C$5:$T$44,$CU14,E$57),"")=0,"",IF(MID(IFERROR(INDEX(醫師週班表!$C$5:$T$44,$CU14,E$57),""),2,1)="/",MID(IFERROR(INDEX(醫師週班表!$C$5:$T$44,$CU14,E$57),""),1+E$58*2,1),IF(MID(IFERROR(INDEX(醫師週班表!$C$5:$T$44,$CU14,E$57),""),3,1)="隔",IF(E$58=0,LEFT(IFERROR(INDEX(醫師週班表!$C$5:$T$44,$CU14,E$57),""),1),""),IF(MID(IFERROR(INDEX(醫師週班表!$C$5:$T$44,$CU14,E$57),""),2,1)="(",LEFT(IFERROR(INDEX(醫師週班表!$C$5:$T$44,$CU14,E$57),""),1),IFERROR(INDEX(醫師週班表!$C$5:$T$44,$CU14,E$57),"")))))))</f>
        <v/>
      </c>
      <c r="F14" s="72">
        <f>IF(F$59="X","",IF(F$59&lt;&gt;"",F$59,IF(IFERROR(INDEX(醫師週班表!$C$5:$T$44,$CU14,F$57),"")=0,"",IF(MID(IFERROR(INDEX(醫師週班表!$C$5:$T$44,$CU14,F$57),""),2,1)="/",MID(IFERROR(INDEX(醫師週班表!$C$5:$T$44,$CU14,F$57),""),1+F$58*2,1),IF(MID(IFERROR(INDEX(醫師週班表!$C$5:$T$44,$CU14,F$57),""),3,1)="隔",IF(F$58=0,LEFT(IFERROR(INDEX(醫師週班表!$C$5:$T$44,$CU14,F$57),""),1),""),IF(MID(IFERROR(INDEX(醫師週班表!$C$5:$T$44,$CU14,F$57),""),2,1)="(",LEFT(IFERROR(INDEX(醫師週班表!$C$5:$T$44,$CU14,F$57),""),1),IFERROR(INDEX(醫師週班表!$C$5:$T$44,$CU14,F$57),"")))))))</f>
        <v/>
      </c>
      <c r="G14" s="72">
        <f>IF(G$59="X","",IF(G$59&lt;&gt;"",G$59,IF(IFERROR(INDEX(醫師週班表!$C$5:$T$44,$CU14,G$57),"")=0,"",IF(MID(IFERROR(INDEX(醫師週班表!$C$5:$T$44,$CU14,G$57),""),2,1)="/",MID(IFERROR(INDEX(醫師週班表!$C$5:$T$44,$CU14,G$57),""),1+G$58*2,1),IF(MID(IFERROR(INDEX(醫師週班表!$C$5:$T$44,$CU14,G$57),""),3,1)="隔",IF(G$58=0,LEFT(IFERROR(INDEX(醫師週班表!$C$5:$T$44,$CU14,G$57),""),1),""),IF(MID(IFERROR(INDEX(醫師週班表!$C$5:$T$44,$CU14,G$57),""),2,1)="(",LEFT(IFERROR(INDEX(醫師週班表!$C$5:$T$44,$CU14,G$57),""),1),IFERROR(INDEX(醫師週班表!$C$5:$T$44,$CU14,G$57),"")))))))</f>
        <v/>
      </c>
      <c r="H14" s="71">
        <f>IF(H$59="X","",IF(H$59&lt;&gt;"",H$59,IF(IFERROR(INDEX(醫師週班表!$C$5:$T$44,$CU14,H$57),"")=0,"",IF(MID(IFERROR(INDEX(醫師週班表!$C$5:$T$44,$CU14,H$57),""),2,1)="/",MID(IFERROR(INDEX(醫師週班表!$C$5:$T$44,$CU14,H$57),""),1+H$58*2,1),IF(MID(IFERROR(INDEX(醫師週班表!$C$5:$T$44,$CU14,H$57),""),3,1)="隔",IF(H$58=0,LEFT(IFERROR(INDEX(醫師週班表!$C$5:$T$44,$CU14,H$57),""),1),""),IF(MID(IFERROR(INDEX(醫師週班表!$C$5:$T$44,$CU14,H$57),""),2,1)="(",LEFT(IFERROR(INDEX(醫師週班表!$C$5:$T$44,$CU14,H$57),""),1),IFERROR(INDEX(醫師週班表!$C$5:$T$44,$CU14,H$57),"")))))))</f>
        <v/>
      </c>
      <c r="I14" s="72">
        <f>IF(I$59="X","",IF(I$59&lt;&gt;"",I$59,IF(IFERROR(INDEX(醫師週班表!$C$5:$T$44,$CU14,I$57),"")=0,"",IF(MID(IFERROR(INDEX(醫師週班表!$C$5:$T$44,$CU14,I$57),""),2,1)="/",MID(IFERROR(INDEX(醫師週班表!$C$5:$T$44,$CU14,I$57),""),1+I$58*2,1),IF(MID(IFERROR(INDEX(醫師週班表!$C$5:$T$44,$CU14,I$57),""),3,1)="隔",IF(I$58=0,LEFT(IFERROR(INDEX(醫師週班表!$C$5:$T$44,$CU14,I$57),""),1),""),IF(MID(IFERROR(INDEX(醫師週班表!$C$5:$T$44,$CU14,I$57),""),2,1)="(",LEFT(IFERROR(INDEX(醫師週班表!$C$5:$T$44,$CU14,I$57),""),1),IFERROR(INDEX(醫師週班表!$C$5:$T$44,$CU14,I$57),"")))))))</f>
        <v/>
      </c>
      <c r="J14" s="72">
        <f>IF(J$59="X","",IF(J$59&lt;&gt;"",J$59,IF(IFERROR(INDEX(醫師週班表!$C$5:$T$44,$CU14,J$57),"")=0,"",IF(MID(IFERROR(INDEX(醫師週班表!$C$5:$T$44,$CU14,J$57),""),2,1)="/",MID(IFERROR(INDEX(醫師週班表!$C$5:$T$44,$CU14,J$57),""),1+J$58*2,1),IF(MID(IFERROR(INDEX(醫師週班表!$C$5:$T$44,$CU14,J$57),""),3,1)="隔",IF(J$58=0,LEFT(IFERROR(INDEX(醫師週班表!$C$5:$T$44,$CU14,J$57),""),1),""),IF(MID(IFERROR(INDEX(醫師週班表!$C$5:$T$44,$CU14,J$57),""),2,1)="(",LEFT(IFERROR(INDEX(醫師週班表!$C$5:$T$44,$CU14,J$57),""),1),IFERROR(INDEX(醫師週班表!$C$5:$T$44,$CU14,J$57),"")))))))</f>
        <v/>
      </c>
      <c r="K14" s="71">
        <f>IF(K$59="X","",IF(K$59&lt;&gt;"",K$59,IF(IFERROR(INDEX(醫師週班表!$C$5:$T$44,$CU14,K$57),"")=0,"",IF(MID(IFERROR(INDEX(醫師週班表!$C$5:$T$44,$CU14,K$57),""),2,1)="/",MID(IFERROR(INDEX(醫師週班表!$C$5:$T$44,$CU14,K$57),""),1+K$58*2,1),IF(MID(IFERROR(INDEX(醫師週班表!$C$5:$T$44,$CU14,K$57),""),3,1)="隔",IF(K$58=0,LEFT(IFERROR(INDEX(醫師週班表!$C$5:$T$44,$CU14,K$57),""),1),""),IF(MID(IFERROR(INDEX(醫師週班表!$C$5:$T$44,$CU14,K$57),""),2,1)="(",LEFT(IFERROR(INDEX(醫師週班表!$C$5:$T$44,$CU14,K$57),""),1),IFERROR(INDEX(醫師週班表!$C$5:$T$44,$CU14,K$57),"")))))))</f>
        <v/>
      </c>
      <c r="L14" s="72">
        <f>IF(L$59="X","",IF(L$59&lt;&gt;"",L$59,IF(IFERROR(INDEX(醫師週班表!$C$5:$T$44,$CU14,L$57),"")=0,"",IF(MID(IFERROR(INDEX(醫師週班表!$C$5:$T$44,$CU14,L$57),""),2,1)="/",MID(IFERROR(INDEX(醫師週班表!$C$5:$T$44,$CU14,L$57),""),1+L$58*2,1),IF(MID(IFERROR(INDEX(醫師週班表!$C$5:$T$44,$CU14,L$57),""),3,1)="隔",IF(L$58=0,LEFT(IFERROR(INDEX(醫師週班表!$C$5:$T$44,$CU14,L$57),""),1),""),IF(MID(IFERROR(INDEX(醫師週班表!$C$5:$T$44,$CU14,L$57),""),2,1)="(",LEFT(IFERROR(INDEX(醫師週班表!$C$5:$T$44,$CU14,L$57),""),1),IFERROR(INDEX(醫師週班表!$C$5:$T$44,$CU14,L$57),"")))))))</f>
        <v/>
      </c>
      <c r="M14" s="72">
        <f>IF(M$59="X","",IF(M$59&lt;&gt;"",M$59,IF(IFERROR(INDEX(醫師週班表!$C$5:$T$44,$CU14,M$57),"")=0,"",IF(MID(IFERROR(INDEX(醫師週班表!$C$5:$T$44,$CU14,M$57),""),2,1)="/",MID(IFERROR(INDEX(醫師週班表!$C$5:$T$44,$CU14,M$57),""),1+M$58*2,1),IF(MID(IFERROR(INDEX(醫師週班表!$C$5:$T$44,$CU14,M$57),""),3,1)="隔",IF(M$58=0,LEFT(IFERROR(INDEX(醫師週班表!$C$5:$T$44,$CU14,M$57),""),1),""),IF(MID(IFERROR(INDEX(醫師週班表!$C$5:$T$44,$CU14,M$57),""),2,1)="(",LEFT(IFERROR(INDEX(醫師週班表!$C$5:$T$44,$CU14,M$57),""),1),IFERROR(INDEX(醫師週班表!$C$5:$T$44,$CU14,M$57),"")))))))</f>
        <v/>
      </c>
      <c r="N14" s="71">
        <f>IF(N$59="X","",IF(N$59&lt;&gt;"",N$59,IF(IFERROR(INDEX(醫師週班表!$C$5:$T$44,$CU14,N$57),"")=0,"",IF(MID(IFERROR(INDEX(醫師週班表!$C$5:$T$44,$CU14,N$57),""),2,1)="/",MID(IFERROR(INDEX(醫師週班表!$C$5:$T$44,$CU14,N$57),""),1+N$58*2,1),IF(MID(IFERROR(INDEX(醫師週班表!$C$5:$T$44,$CU14,N$57),""),3,1)="隔",IF(N$58=0,LEFT(IFERROR(INDEX(醫師週班表!$C$5:$T$44,$CU14,N$57),""),1),""),IF(MID(IFERROR(INDEX(醫師週班表!$C$5:$T$44,$CU14,N$57),""),2,1)="(",LEFT(IFERROR(INDEX(醫師週班表!$C$5:$T$44,$CU14,N$57),""),1),IFERROR(INDEX(醫師週班表!$C$5:$T$44,$CU14,N$57),"")))))))</f>
        <v/>
      </c>
      <c r="O14" s="72">
        <f>IF(O$59="X","",IF(O$59&lt;&gt;"",O$59,IF(IFERROR(INDEX(醫師週班表!$C$5:$T$44,$CU14,O$57),"")=0,"",IF(MID(IFERROR(INDEX(醫師週班表!$C$5:$T$44,$CU14,O$57),""),2,1)="/",MID(IFERROR(INDEX(醫師週班表!$C$5:$T$44,$CU14,O$57),""),1+O$58*2,1),IF(MID(IFERROR(INDEX(醫師週班表!$C$5:$T$44,$CU14,O$57),""),3,1)="隔",IF(O$58=0,LEFT(IFERROR(INDEX(醫師週班表!$C$5:$T$44,$CU14,O$57),""),1),""),IF(MID(IFERROR(INDEX(醫師週班表!$C$5:$T$44,$CU14,O$57),""),2,1)="(",LEFT(IFERROR(INDEX(醫師週班表!$C$5:$T$44,$CU14,O$57),""),1),IFERROR(INDEX(醫師週班表!$C$5:$T$44,$CU14,O$57),"")))))))</f>
        <v/>
      </c>
      <c r="P14" s="72">
        <f>IF(P$59="X","",IF(P$59&lt;&gt;"",P$59,IF(IFERROR(INDEX(醫師週班表!$C$5:$T$44,$CU14,P$57),"")=0,"",IF(MID(IFERROR(INDEX(醫師週班表!$C$5:$T$44,$CU14,P$57),""),2,1)="/",MID(IFERROR(INDEX(醫師週班表!$C$5:$T$44,$CU14,P$57),""),1+P$58*2,1),IF(MID(IFERROR(INDEX(醫師週班表!$C$5:$T$44,$CU14,P$57),""),3,1)="隔",IF(P$58=0,LEFT(IFERROR(INDEX(醫師週班表!$C$5:$T$44,$CU14,P$57),""),1),""),IF(MID(IFERROR(INDEX(醫師週班表!$C$5:$T$44,$CU14,P$57),""),2,1)="(",LEFT(IFERROR(INDEX(醫師週班表!$C$5:$T$44,$CU14,P$57),""),1),IFERROR(INDEX(醫師週班表!$C$5:$T$44,$CU14,P$57),"")))))))</f>
        <v/>
      </c>
      <c r="Q14" s="71">
        <f>IF(Q$59="X","",IF(Q$59&lt;&gt;"",Q$59,IF(IFERROR(INDEX(醫師週班表!$C$5:$T$44,$CU14,Q$57),"")=0,"",IF(MID(IFERROR(INDEX(醫師週班表!$C$5:$T$44,$CU14,Q$57),""),2,1)="/",MID(IFERROR(INDEX(醫師週班表!$C$5:$T$44,$CU14,Q$57),""),1+Q$58*2,1),IF(MID(IFERROR(INDEX(醫師週班表!$C$5:$T$44,$CU14,Q$57),""),3,1)="隔",IF(Q$58=0,LEFT(IFERROR(INDEX(醫師週班表!$C$5:$T$44,$CU14,Q$57),""),1),""),IF(MID(IFERROR(INDEX(醫師週班表!$C$5:$T$44,$CU14,Q$57),""),2,1)="(",LEFT(IFERROR(INDEX(醫師週班表!$C$5:$T$44,$CU14,Q$57),""),1),IFERROR(INDEX(醫師週班表!$C$5:$T$44,$CU14,Q$57),"")))))))</f>
        <v/>
      </c>
      <c r="R14" s="72">
        <f>IF(R$59="X","",IF(R$59&lt;&gt;"",R$59,IF(IFERROR(INDEX(醫師週班表!$C$5:$T$44,$CU14,R$57),"")=0,"",IF(MID(IFERROR(INDEX(醫師週班表!$C$5:$T$44,$CU14,R$57),""),2,1)="/",MID(IFERROR(INDEX(醫師週班表!$C$5:$T$44,$CU14,R$57),""),1+R$58*2,1),IF(MID(IFERROR(INDEX(醫師週班表!$C$5:$T$44,$CU14,R$57),""),3,1)="隔",IF(R$58=0,LEFT(IFERROR(INDEX(醫師週班表!$C$5:$T$44,$CU14,R$57),""),1),""),IF(MID(IFERROR(INDEX(醫師週班表!$C$5:$T$44,$CU14,R$57),""),2,1)="(",LEFT(IFERROR(INDEX(醫師週班表!$C$5:$T$44,$CU14,R$57),""),1),IFERROR(INDEX(醫師週班表!$C$5:$T$44,$CU14,R$57),"")))))))</f>
        <v/>
      </c>
      <c r="S14" s="72">
        <f>IF(S$59="X","",IF(S$59&lt;&gt;"",S$59,IF(IFERROR(INDEX(醫師週班表!$C$5:$T$44,$CU14,S$57),"")=0,"",IF(MID(IFERROR(INDEX(醫師週班表!$C$5:$T$44,$CU14,S$57),""),2,1)="/",MID(IFERROR(INDEX(醫師週班表!$C$5:$T$44,$CU14,S$57),""),1+S$58*2,1),IF(MID(IFERROR(INDEX(醫師週班表!$C$5:$T$44,$CU14,S$57),""),3,1)="隔",IF(S$58=0,LEFT(IFERROR(INDEX(醫師週班表!$C$5:$T$44,$CU14,S$57),""),1),""),IF(MID(IFERROR(INDEX(醫師週班表!$C$5:$T$44,$CU14,S$57),""),2,1)="(",LEFT(IFERROR(INDEX(醫師週班表!$C$5:$T$44,$CU14,S$57),""),1),IFERROR(INDEX(醫師週班表!$C$5:$T$44,$CU14,S$57),"")))))))</f>
        <v/>
      </c>
      <c r="T14" s="71">
        <f>IF(T$59="X","",IF(T$59&lt;&gt;"",T$59,IF(IFERROR(INDEX(醫師週班表!$C$5:$T$44,$CU14,T$57),"")=0,"",IF(MID(IFERROR(INDEX(醫師週班表!$C$5:$T$44,$CU14,T$57),""),2,1)="/",MID(IFERROR(INDEX(醫師週班表!$C$5:$T$44,$CU14,T$57),""),1+T$58*2,1),IF(MID(IFERROR(INDEX(醫師週班表!$C$5:$T$44,$CU14,T$57),""),3,1)="隔",IF(T$58=0,LEFT(IFERROR(INDEX(醫師週班表!$C$5:$T$44,$CU14,T$57),""),1),""),IF(MID(IFERROR(INDEX(醫師週班表!$C$5:$T$44,$CU14,T$57),""),2,1)="(",LEFT(IFERROR(INDEX(醫師週班表!$C$5:$T$44,$CU14,T$57),""),1),IFERROR(INDEX(醫師週班表!$C$5:$T$44,$CU14,T$57),"")))))))</f>
        <v/>
      </c>
      <c r="U14" s="72">
        <f>IF(U$59="X","",IF(U$59&lt;&gt;"",U$59,IF(IFERROR(INDEX(醫師週班表!$C$5:$T$44,$CU14,U$57),"")=0,"",IF(MID(IFERROR(INDEX(醫師週班表!$C$5:$T$44,$CU14,U$57),""),2,1)="/",MID(IFERROR(INDEX(醫師週班表!$C$5:$T$44,$CU14,U$57),""),1+U$58*2,1),IF(MID(IFERROR(INDEX(醫師週班表!$C$5:$T$44,$CU14,U$57),""),3,1)="隔",IF(U$58=0,LEFT(IFERROR(INDEX(醫師週班表!$C$5:$T$44,$CU14,U$57),""),1),""),IF(MID(IFERROR(INDEX(醫師週班表!$C$5:$T$44,$CU14,U$57),""),2,1)="(",LEFT(IFERROR(INDEX(醫師週班表!$C$5:$T$44,$CU14,U$57),""),1),IFERROR(INDEX(醫師週班表!$C$5:$T$44,$CU14,U$57),"")))))))</f>
        <v/>
      </c>
      <c r="V14" s="72">
        <f>IF(V$59="X","",IF(V$59&lt;&gt;"",V$59,IF(IFERROR(INDEX(醫師週班表!$C$5:$T$44,$CU14,V$57),"")=0,"",IF(MID(IFERROR(INDEX(醫師週班表!$C$5:$T$44,$CU14,V$57),""),2,1)="/",MID(IFERROR(INDEX(醫師週班表!$C$5:$T$44,$CU14,V$57),""),1+V$58*2,1),IF(MID(IFERROR(INDEX(醫師週班表!$C$5:$T$44,$CU14,V$57),""),3,1)="隔",IF(V$58=0,LEFT(IFERROR(INDEX(醫師週班表!$C$5:$T$44,$CU14,V$57),""),1),""),IF(MID(IFERROR(INDEX(醫師週班表!$C$5:$T$44,$CU14,V$57),""),2,1)="(",LEFT(IFERROR(INDEX(醫師週班表!$C$5:$T$44,$CU14,V$57),""),1),IFERROR(INDEX(醫師週班表!$C$5:$T$44,$CU14,V$57),"")))))))</f>
        <v/>
      </c>
      <c r="W14" s="71">
        <f>IF(W$59="X","",IF(W$59&lt;&gt;"",W$59,IF(IFERROR(INDEX(醫師週班表!$C$5:$T$44,$CU14,W$57),"")=0,"",IF(MID(IFERROR(INDEX(醫師週班表!$C$5:$T$44,$CU14,W$57),""),2,1)="/",MID(IFERROR(INDEX(醫師週班表!$C$5:$T$44,$CU14,W$57),""),1+W$58*2,1),IF(MID(IFERROR(INDEX(醫師週班表!$C$5:$T$44,$CU14,W$57),""),3,1)="隔",IF(W$58=0,LEFT(IFERROR(INDEX(醫師週班表!$C$5:$T$44,$CU14,W$57),""),1),""),IF(MID(IFERROR(INDEX(醫師週班表!$C$5:$T$44,$CU14,W$57),""),2,1)="(",LEFT(IFERROR(INDEX(醫師週班表!$C$5:$T$44,$CU14,W$57),""),1),IFERROR(INDEX(醫師週班表!$C$5:$T$44,$CU14,W$57),"")))))))</f>
        <v/>
      </c>
      <c r="X14" s="72">
        <f>IF(X$59="X","",IF(X$59&lt;&gt;"",X$59,IF(IFERROR(INDEX(醫師週班表!$C$5:$T$44,$CU14,X$57),"")=0,"",IF(MID(IFERROR(INDEX(醫師週班表!$C$5:$T$44,$CU14,X$57),""),2,1)="/",MID(IFERROR(INDEX(醫師週班表!$C$5:$T$44,$CU14,X$57),""),1+X$58*2,1),IF(MID(IFERROR(INDEX(醫師週班表!$C$5:$T$44,$CU14,X$57),""),3,1)="隔",IF(X$58=0,LEFT(IFERROR(INDEX(醫師週班表!$C$5:$T$44,$CU14,X$57),""),1),""),IF(MID(IFERROR(INDEX(醫師週班表!$C$5:$T$44,$CU14,X$57),""),2,1)="(",LEFT(IFERROR(INDEX(醫師週班表!$C$5:$T$44,$CU14,X$57),""),1),IFERROR(INDEX(醫師週班表!$C$5:$T$44,$CU14,X$57),"")))))))</f>
        <v/>
      </c>
      <c r="Y14" s="72">
        <f>IF(Y$59="X","",IF(Y$59&lt;&gt;"",Y$59,IF(IFERROR(INDEX(醫師週班表!$C$5:$T$44,$CU14,Y$57),"")=0,"",IF(MID(IFERROR(INDEX(醫師週班表!$C$5:$T$44,$CU14,Y$57),""),2,1)="/",MID(IFERROR(INDEX(醫師週班表!$C$5:$T$44,$CU14,Y$57),""),1+Y$58*2,1),IF(MID(IFERROR(INDEX(醫師週班表!$C$5:$T$44,$CU14,Y$57),""),3,1)="隔",IF(Y$58=0,LEFT(IFERROR(INDEX(醫師週班表!$C$5:$T$44,$CU14,Y$57),""),1),""),IF(MID(IFERROR(INDEX(醫師週班表!$C$5:$T$44,$CU14,Y$57),""),2,1)="(",LEFT(IFERROR(INDEX(醫師週班表!$C$5:$T$44,$CU14,Y$57),""),1),IFERROR(INDEX(醫師週班表!$C$5:$T$44,$CU14,Y$57),"")))))))</f>
        <v/>
      </c>
      <c r="Z14" s="71">
        <f>IF(Z$59="X","",IF(Z$59&lt;&gt;"",Z$59,IF(IFERROR(INDEX(醫師週班表!$C$5:$T$44,$CU14,Z$57),"")=0,"",IF(MID(IFERROR(INDEX(醫師週班表!$C$5:$T$44,$CU14,Z$57),""),2,1)="/",MID(IFERROR(INDEX(醫師週班表!$C$5:$T$44,$CU14,Z$57),""),1+Z$58*2,1),IF(MID(IFERROR(INDEX(醫師週班表!$C$5:$T$44,$CU14,Z$57),""),3,1)="隔",IF(Z$58=0,LEFT(IFERROR(INDEX(醫師週班表!$C$5:$T$44,$CU14,Z$57),""),1),""),IF(MID(IFERROR(INDEX(醫師週班表!$C$5:$T$44,$CU14,Z$57),""),2,1)="(",LEFT(IFERROR(INDEX(醫師週班表!$C$5:$T$44,$CU14,Z$57),""),1),IFERROR(INDEX(醫師週班表!$C$5:$T$44,$CU14,Z$57),"")))))))</f>
        <v/>
      </c>
      <c r="AA14" s="72">
        <f>IF(AA$59="X","",IF(AA$59&lt;&gt;"",AA$59,IF(IFERROR(INDEX(醫師週班表!$C$5:$T$44,$CU14,AA$57),"")=0,"",IF(MID(IFERROR(INDEX(醫師週班表!$C$5:$T$44,$CU14,AA$57),""),2,1)="/",MID(IFERROR(INDEX(醫師週班表!$C$5:$T$44,$CU14,AA$57),""),1+AA$58*2,1),IF(MID(IFERROR(INDEX(醫師週班表!$C$5:$T$44,$CU14,AA$57),""),3,1)="隔",IF(AA$58=0,LEFT(IFERROR(INDEX(醫師週班表!$C$5:$T$44,$CU14,AA$57),""),1),""),IF(MID(IFERROR(INDEX(醫師週班表!$C$5:$T$44,$CU14,AA$57),""),2,1)="(",LEFT(IFERROR(INDEX(醫師週班表!$C$5:$T$44,$CU14,AA$57),""),1),IFERROR(INDEX(醫師週班表!$C$5:$T$44,$CU14,AA$57),"")))))))</f>
        <v/>
      </c>
      <c r="AB14" s="72">
        <f>IF(AB$59="X","",IF(AB$59&lt;&gt;"",AB$59,IF(IFERROR(INDEX(醫師週班表!$C$5:$T$44,$CU14,AB$57),"")=0,"",IF(MID(IFERROR(INDEX(醫師週班表!$C$5:$T$44,$CU14,AB$57),""),2,1)="/",MID(IFERROR(INDEX(醫師週班表!$C$5:$T$44,$CU14,AB$57),""),1+AB$58*2,1),IF(MID(IFERROR(INDEX(醫師週班表!$C$5:$T$44,$CU14,AB$57),""),3,1)="隔",IF(AB$58=0,LEFT(IFERROR(INDEX(醫師週班表!$C$5:$T$44,$CU14,AB$57),""),1),""),IF(MID(IFERROR(INDEX(醫師週班表!$C$5:$T$44,$CU14,AB$57),""),2,1)="(",LEFT(IFERROR(INDEX(醫師週班表!$C$5:$T$44,$CU14,AB$57),""),1),IFERROR(INDEX(醫師週班表!$C$5:$T$44,$CU14,AB$57),"")))))))</f>
        <v/>
      </c>
      <c r="AC14" s="71">
        <f>IF(AC$59="X","",IF(AC$59&lt;&gt;"",AC$59,IF(IFERROR(INDEX(醫師週班表!$C$5:$T$44,$CU14,AC$57),"")=0,"",IF(MID(IFERROR(INDEX(醫師週班表!$C$5:$T$44,$CU14,AC$57),""),2,1)="/",MID(IFERROR(INDEX(醫師週班表!$C$5:$T$44,$CU14,AC$57),""),1+AC$58*2,1),IF(MID(IFERROR(INDEX(醫師週班表!$C$5:$T$44,$CU14,AC$57),""),3,1)="隔",IF(AC$58=0,LEFT(IFERROR(INDEX(醫師週班表!$C$5:$T$44,$CU14,AC$57),""),1),""),IF(MID(IFERROR(INDEX(醫師週班表!$C$5:$T$44,$CU14,AC$57),""),2,1)="(",LEFT(IFERROR(INDEX(醫師週班表!$C$5:$T$44,$CU14,AC$57),""),1),IFERROR(INDEX(醫師週班表!$C$5:$T$44,$CU14,AC$57),"")))))))</f>
        <v/>
      </c>
      <c r="AD14" s="72">
        <f>IF(AD$59="X","",IF(AD$59&lt;&gt;"",AD$59,IF(IFERROR(INDEX(醫師週班表!$C$5:$T$44,$CU14,AD$57),"")=0,"",IF(MID(IFERROR(INDEX(醫師週班表!$C$5:$T$44,$CU14,AD$57),""),2,1)="/",MID(IFERROR(INDEX(醫師週班表!$C$5:$T$44,$CU14,AD$57),""),1+AD$58*2,1),IF(MID(IFERROR(INDEX(醫師週班表!$C$5:$T$44,$CU14,AD$57),""),3,1)="隔",IF(AD$58=0,LEFT(IFERROR(INDEX(醫師週班表!$C$5:$T$44,$CU14,AD$57),""),1),""),IF(MID(IFERROR(INDEX(醫師週班表!$C$5:$T$44,$CU14,AD$57),""),2,1)="(",LEFT(IFERROR(INDEX(醫師週班表!$C$5:$T$44,$CU14,AD$57),""),1),IFERROR(INDEX(醫師週班表!$C$5:$T$44,$CU14,AD$57),"")))))))</f>
        <v/>
      </c>
      <c r="AE14" s="72">
        <f>IF(AE$59="X","",IF(AE$59&lt;&gt;"",AE$59,IF(IFERROR(INDEX(醫師週班表!$C$5:$T$44,$CU14,AE$57),"")=0,"",IF(MID(IFERROR(INDEX(醫師週班表!$C$5:$T$44,$CU14,AE$57),""),2,1)="/",MID(IFERROR(INDEX(醫師週班表!$C$5:$T$44,$CU14,AE$57),""),1+AE$58*2,1),IF(MID(IFERROR(INDEX(醫師週班表!$C$5:$T$44,$CU14,AE$57),""),3,1)="隔",IF(AE$58=0,LEFT(IFERROR(INDEX(醫師週班表!$C$5:$T$44,$CU14,AE$57),""),1),""),IF(MID(IFERROR(INDEX(醫師週班表!$C$5:$T$44,$CU14,AE$57),""),2,1)="(",LEFT(IFERROR(INDEX(醫師週班表!$C$5:$T$44,$CU14,AE$57),""),1),IFERROR(INDEX(醫師週班表!$C$5:$T$44,$CU14,AE$57),"")))))))</f>
        <v/>
      </c>
      <c r="AF14" s="71">
        <f>IF(AF$59="X","",IF(AF$59&lt;&gt;"",AF$59,IF(IFERROR(INDEX(醫師週班表!$C$5:$T$44,$CU14,AF$57),"")=0,"",IF(MID(IFERROR(INDEX(醫師週班表!$C$5:$T$44,$CU14,AF$57),""),2,1)="/",MID(IFERROR(INDEX(醫師週班表!$C$5:$T$44,$CU14,AF$57),""),1+AF$58*2,1),IF(MID(IFERROR(INDEX(醫師週班表!$C$5:$T$44,$CU14,AF$57),""),3,1)="隔",IF(AF$58=0,LEFT(IFERROR(INDEX(醫師週班表!$C$5:$T$44,$CU14,AF$57),""),1),""),IF(MID(IFERROR(INDEX(醫師週班表!$C$5:$T$44,$CU14,AF$57),""),2,1)="(",LEFT(IFERROR(INDEX(醫師週班表!$C$5:$T$44,$CU14,AF$57),""),1),IFERROR(INDEX(醫師週班表!$C$5:$T$44,$CU14,AF$57),"")))))))</f>
        <v/>
      </c>
      <c r="AG14" s="72">
        <f>IF(AG$59="X","",IF(AG$59&lt;&gt;"",AG$59,IF(IFERROR(INDEX(醫師週班表!$C$5:$T$44,$CU14,AG$57),"")=0,"",IF(MID(IFERROR(INDEX(醫師週班表!$C$5:$T$44,$CU14,AG$57),""),2,1)="/",MID(IFERROR(INDEX(醫師週班表!$C$5:$T$44,$CU14,AG$57),""),1+AG$58*2,1),IF(MID(IFERROR(INDEX(醫師週班表!$C$5:$T$44,$CU14,AG$57),""),3,1)="隔",IF(AG$58=0,LEFT(IFERROR(INDEX(醫師週班表!$C$5:$T$44,$CU14,AG$57),""),1),""),IF(MID(IFERROR(INDEX(醫師週班表!$C$5:$T$44,$CU14,AG$57),""),2,1)="(",LEFT(IFERROR(INDEX(醫師週班表!$C$5:$T$44,$CU14,AG$57),""),1),IFERROR(INDEX(醫師週班表!$C$5:$T$44,$CU14,AG$57),"")))))))</f>
        <v/>
      </c>
      <c r="AH14" s="72">
        <f>IF(AH$59="X","",IF(AH$59&lt;&gt;"",AH$59,IF(IFERROR(INDEX(醫師週班表!$C$5:$T$44,$CU14,AH$57),"")=0,"",IF(MID(IFERROR(INDEX(醫師週班表!$C$5:$T$44,$CU14,AH$57),""),2,1)="/",MID(IFERROR(INDEX(醫師週班表!$C$5:$T$44,$CU14,AH$57),""),1+AH$58*2,1),IF(MID(IFERROR(INDEX(醫師週班表!$C$5:$T$44,$CU14,AH$57),""),3,1)="隔",IF(AH$58=0,LEFT(IFERROR(INDEX(醫師週班表!$C$5:$T$44,$CU14,AH$57),""),1),""),IF(MID(IFERROR(INDEX(醫師週班表!$C$5:$T$44,$CU14,AH$57),""),2,1)="(",LEFT(IFERROR(INDEX(醫師週班表!$C$5:$T$44,$CU14,AH$57),""),1),IFERROR(INDEX(醫師週班表!$C$5:$T$44,$CU14,AH$57),"")))))))</f>
        <v/>
      </c>
      <c r="AI14" s="71">
        <f>IF(AI$59="X","",IF(AI$59&lt;&gt;"",AI$59,IF(IFERROR(INDEX(醫師週班表!$C$5:$T$44,$CU14,AI$57),"")=0,"",IF(MID(IFERROR(INDEX(醫師週班表!$C$5:$T$44,$CU14,AI$57),""),2,1)="/",MID(IFERROR(INDEX(醫師週班表!$C$5:$T$44,$CU14,AI$57),""),1+AI$58*2,1),IF(MID(IFERROR(INDEX(醫師週班表!$C$5:$T$44,$CU14,AI$57),""),3,1)="隔",IF(AI$58=0,LEFT(IFERROR(INDEX(醫師週班表!$C$5:$T$44,$CU14,AI$57),""),1),""),IF(MID(IFERROR(INDEX(醫師週班表!$C$5:$T$44,$CU14,AI$57),""),2,1)="(",LEFT(IFERROR(INDEX(醫師週班表!$C$5:$T$44,$CU14,AI$57),""),1),IFERROR(INDEX(醫師週班表!$C$5:$T$44,$CU14,AI$57),"")))))))</f>
        <v/>
      </c>
      <c r="AJ14" s="72">
        <f>IF(AJ$59="X","",IF(AJ$59&lt;&gt;"",AJ$59,IF(IFERROR(INDEX(醫師週班表!$C$5:$T$44,$CU14,AJ$57),"")=0,"",IF(MID(IFERROR(INDEX(醫師週班表!$C$5:$T$44,$CU14,AJ$57),""),2,1)="/",MID(IFERROR(INDEX(醫師週班表!$C$5:$T$44,$CU14,AJ$57),""),1+AJ$58*2,1),IF(MID(IFERROR(INDEX(醫師週班表!$C$5:$T$44,$CU14,AJ$57),""),3,1)="隔",IF(AJ$58=0,LEFT(IFERROR(INDEX(醫師週班表!$C$5:$T$44,$CU14,AJ$57),""),1),""),IF(MID(IFERROR(INDEX(醫師週班表!$C$5:$T$44,$CU14,AJ$57),""),2,1)="(",LEFT(IFERROR(INDEX(醫師週班表!$C$5:$T$44,$CU14,AJ$57),""),1),IFERROR(INDEX(醫師週班表!$C$5:$T$44,$CU14,AJ$57),"")))))))</f>
        <v/>
      </c>
      <c r="AK14" s="72">
        <f>IF(AK$59="X","",IF(AK$59&lt;&gt;"",AK$59,IF(IFERROR(INDEX(醫師週班表!$C$5:$T$44,$CU14,AK$57),"")=0,"",IF(MID(IFERROR(INDEX(醫師週班表!$C$5:$T$44,$CU14,AK$57),""),2,1)="/",MID(IFERROR(INDEX(醫師週班表!$C$5:$T$44,$CU14,AK$57),""),1+AK$58*2,1),IF(MID(IFERROR(INDEX(醫師週班表!$C$5:$T$44,$CU14,AK$57),""),3,1)="隔",IF(AK$58=0,LEFT(IFERROR(INDEX(醫師週班表!$C$5:$T$44,$CU14,AK$57),""),1),""),IF(MID(IFERROR(INDEX(醫師週班表!$C$5:$T$44,$CU14,AK$57),""),2,1)="(",LEFT(IFERROR(INDEX(醫師週班表!$C$5:$T$44,$CU14,AK$57),""),1),IFERROR(INDEX(醫師週班表!$C$5:$T$44,$CU14,AK$57),"")))))))</f>
        <v/>
      </c>
      <c r="AL14" s="71">
        <f>IF(AL$59="X","",IF(AL$59&lt;&gt;"",AL$59,IF(IFERROR(INDEX(醫師週班表!$C$5:$T$44,$CU14,AL$57),"")=0,"",IF(MID(IFERROR(INDEX(醫師週班表!$C$5:$T$44,$CU14,AL$57),""),2,1)="/",MID(IFERROR(INDEX(醫師週班表!$C$5:$T$44,$CU14,AL$57),""),1+AL$58*2,1),IF(MID(IFERROR(INDEX(醫師週班表!$C$5:$T$44,$CU14,AL$57),""),3,1)="隔",IF(AL$58=0,LEFT(IFERROR(INDEX(醫師週班表!$C$5:$T$44,$CU14,AL$57),""),1),""),IF(MID(IFERROR(INDEX(醫師週班表!$C$5:$T$44,$CU14,AL$57),""),2,1)="(",LEFT(IFERROR(INDEX(醫師週班表!$C$5:$T$44,$CU14,AL$57),""),1),IFERROR(INDEX(醫師週班表!$C$5:$T$44,$CU14,AL$57),"")))))))</f>
        <v/>
      </c>
      <c r="AM14" s="72">
        <f>IF(AM$59="X","",IF(AM$59&lt;&gt;"",AM$59,IF(IFERROR(INDEX(醫師週班表!$C$5:$T$44,$CU14,AM$57),"")=0,"",IF(MID(IFERROR(INDEX(醫師週班表!$C$5:$T$44,$CU14,AM$57),""),2,1)="/",MID(IFERROR(INDEX(醫師週班表!$C$5:$T$44,$CU14,AM$57),""),1+AM$58*2,1),IF(MID(IFERROR(INDEX(醫師週班表!$C$5:$T$44,$CU14,AM$57),""),3,1)="隔",IF(AM$58=0,LEFT(IFERROR(INDEX(醫師週班表!$C$5:$T$44,$CU14,AM$57),""),1),""),IF(MID(IFERROR(INDEX(醫師週班表!$C$5:$T$44,$CU14,AM$57),""),2,1)="(",LEFT(IFERROR(INDEX(醫師週班表!$C$5:$T$44,$CU14,AM$57),""),1),IFERROR(INDEX(醫師週班表!$C$5:$T$44,$CU14,AM$57),"")))))))</f>
        <v/>
      </c>
      <c r="AN14" s="72">
        <f>IF(AN$59="X","",IF(AN$59&lt;&gt;"",AN$59,IF(IFERROR(INDEX(醫師週班表!$C$5:$T$44,$CU14,AN$57),"")=0,"",IF(MID(IFERROR(INDEX(醫師週班表!$C$5:$T$44,$CU14,AN$57),""),2,1)="/",MID(IFERROR(INDEX(醫師週班表!$C$5:$T$44,$CU14,AN$57),""),1+AN$58*2,1),IF(MID(IFERROR(INDEX(醫師週班表!$C$5:$T$44,$CU14,AN$57),""),3,1)="隔",IF(AN$58=0,LEFT(IFERROR(INDEX(醫師週班表!$C$5:$T$44,$CU14,AN$57),""),1),""),IF(MID(IFERROR(INDEX(醫師週班表!$C$5:$T$44,$CU14,AN$57),""),2,1)="(",LEFT(IFERROR(INDEX(醫師週班表!$C$5:$T$44,$CU14,AN$57),""),1),IFERROR(INDEX(醫師週班表!$C$5:$T$44,$CU14,AN$57),"")))))))</f>
        <v/>
      </c>
      <c r="AO14" s="71">
        <f>IF(AO$59="X","",IF(AO$59&lt;&gt;"",AO$59,IF(IFERROR(INDEX(醫師週班表!$C$5:$T$44,$CU14,AO$57),"")=0,"",IF(MID(IFERROR(INDEX(醫師週班表!$C$5:$T$44,$CU14,AO$57),""),2,1)="/",MID(IFERROR(INDEX(醫師週班表!$C$5:$T$44,$CU14,AO$57),""),1+AO$58*2,1),IF(MID(IFERROR(INDEX(醫師週班表!$C$5:$T$44,$CU14,AO$57),""),3,1)="隔",IF(AO$58=0,LEFT(IFERROR(INDEX(醫師週班表!$C$5:$T$44,$CU14,AO$57),""),1),""),IF(MID(IFERROR(INDEX(醫師週班表!$C$5:$T$44,$CU14,AO$57),""),2,1)="(",LEFT(IFERROR(INDEX(醫師週班表!$C$5:$T$44,$CU14,AO$57),""),1),IFERROR(INDEX(醫師週班表!$C$5:$T$44,$CU14,AO$57),"")))))))</f>
        <v/>
      </c>
      <c r="AP14" s="72">
        <f>IF(AP$59="X","",IF(AP$59&lt;&gt;"",AP$59,IF(IFERROR(INDEX(醫師週班表!$C$5:$T$44,$CU14,AP$57),"")=0,"",IF(MID(IFERROR(INDEX(醫師週班表!$C$5:$T$44,$CU14,AP$57),""),2,1)="/",MID(IFERROR(INDEX(醫師週班表!$C$5:$T$44,$CU14,AP$57),""),1+AP$58*2,1),IF(MID(IFERROR(INDEX(醫師週班表!$C$5:$T$44,$CU14,AP$57),""),3,1)="隔",IF(AP$58=0,LEFT(IFERROR(INDEX(醫師週班表!$C$5:$T$44,$CU14,AP$57),""),1),""),IF(MID(IFERROR(INDEX(醫師週班表!$C$5:$T$44,$CU14,AP$57),""),2,1)="(",LEFT(IFERROR(INDEX(醫師週班表!$C$5:$T$44,$CU14,AP$57),""),1),IFERROR(INDEX(醫師週班表!$C$5:$T$44,$CU14,AP$57),"")))))))</f>
        <v/>
      </c>
      <c r="AQ14" s="72">
        <f>IF(AQ$59="X","",IF(AQ$59&lt;&gt;"",AQ$59,IF(IFERROR(INDEX(醫師週班表!$C$5:$T$44,$CU14,AQ$57),"")=0,"",IF(MID(IFERROR(INDEX(醫師週班表!$C$5:$T$44,$CU14,AQ$57),""),2,1)="/",MID(IFERROR(INDEX(醫師週班表!$C$5:$T$44,$CU14,AQ$57),""),1+AQ$58*2,1),IF(MID(IFERROR(INDEX(醫師週班表!$C$5:$T$44,$CU14,AQ$57),""),3,1)="隔",IF(AQ$58=0,LEFT(IFERROR(INDEX(醫師週班表!$C$5:$T$44,$CU14,AQ$57),""),1),""),IF(MID(IFERROR(INDEX(醫師週班表!$C$5:$T$44,$CU14,AQ$57),""),2,1)="(",LEFT(IFERROR(INDEX(醫師週班表!$C$5:$T$44,$CU14,AQ$57),""),1),IFERROR(INDEX(醫師週班表!$C$5:$T$44,$CU14,AQ$57),"")))))))</f>
        <v/>
      </c>
      <c r="AR14" s="71">
        <f>IF(AR$59="X","",IF(AR$59&lt;&gt;"",AR$59,IF(IFERROR(INDEX(醫師週班表!$C$5:$T$44,$CU14,AR$57),"")=0,"",IF(MID(IFERROR(INDEX(醫師週班表!$C$5:$T$44,$CU14,AR$57),""),2,1)="/",MID(IFERROR(INDEX(醫師週班表!$C$5:$T$44,$CU14,AR$57),""),1+AR$58*2,1),IF(MID(IFERROR(INDEX(醫師週班表!$C$5:$T$44,$CU14,AR$57),""),3,1)="隔",IF(AR$58=0,LEFT(IFERROR(INDEX(醫師週班表!$C$5:$T$44,$CU14,AR$57),""),1),""),IF(MID(IFERROR(INDEX(醫師週班表!$C$5:$T$44,$CU14,AR$57),""),2,1)="(",LEFT(IFERROR(INDEX(醫師週班表!$C$5:$T$44,$CU14,AR$57),""),1),IFERROR(INDEX(醫師週班表!$C$5:$T$44,$CU14,AR$57),"")))))))</f>
        <v/>
      </c>
      <c r="AS14" s="72">
        <f>IF(AS$59="X","",IF(AS$59&lt;&gt;"",AS$59,IF(IFERROR(INDEX(醫師週班表!$C$5:$T$44,$CU14,AS$57),"")=0,"",IF(MID(IFERROR(INDEX(醫師週班表!$C$5:$T$44,$CU14,AS$57),""),2,1)="/",MID(IFERROR(INDEX(醫師週班表!$C$5:$T$44,$CU14,AS$57),""),1+AS$58*2,1),IF(MID(IFERROR(INDEX(醫師週班表!$C$5:$T$44,$CU14,AS$57),""),3,1)="隔",IF(AS$58=0,LEFT(IFERROR(INDEX(醫師週班表!$C$5:$T$44,$CU14,AS$57),""),1),""),IF(MID(IFERROR(INDEX(醫師週班表!$C$5:$T$44,$CU14,AS$57),""),2,1)="(",LEFT(IFERROR(INDEX(醫師週班表!$C$5:$T$44,$CU14,AS$57),""),1),IFERROR(INDEX(醫師週班表!$C$5:$T$44,$CU14,AS$57),"")))))))</f>
        <v/>
      </c>
      <c r="AT14" s="72">
        <f>IF(AT$59="X","",IF(AT$59&lt;&gt;"",AT$59,IF(IFERROR(INDEX(醫師週班表!$C$5:$T$44,$CU14,AT$57),"")=0,"",IF(MID(IFERROR(INDEX(醫師週班表!$C$5:$T$44,$CU14,AT$57),""),2,1)="/",MID(IFERROR(INDEX(醫師週班表!$C$5:$T$44,$CU14,AT$57),""),1+AT$58*2,1),IF(MID(IFERROR(INDEX(醫師週班表!$C$5:$T$44,$CU14,AT$57),""),3,1)="隔",IF(AT$58=0,LEFT(IFERROR(INDEX(醫師週班表!$C$5:$T$44,$CU14,AT$57),""),1),""),IF(MID(IFERROR(INDEX(醫師週班表!$C$5:$T$44,$CU14,AT$57),""),2,1)="(",LEFT(IFERROR(INDEX(醫師週班表!$C$5:$T$44,$CU14,AT$57),""),1),IFERROR(INDEX(醫師週班表!$C$5:$T$44,$CU14,AT$57),"")))))))</f>
        <v/>
      </c>
      <c r="AU14" s="71">
        <f>IF(AU$59="X","",IF(AU$59&lt;&gt;"",AU$59,IF(IFERROR(INDEX(醫師週班表!$C$5:$T$44,$CU14,AU$57),"")=0,"",IF(MID(IFERROR(INDEX(醫師週班表!$C$5:$T$44,$CU14,AU$57),""),2,1)="/",MID(IFERROR(INDEX(醫師週班表!$C$5:$T$44,$CU14,AU$57),""),1+AU$58*2,1),IF(MID(IFERROR(INDEX(醫師週班表!$C$5:$T$44,$CU14,AU$57),""),3,1)="隔",IF(AU$58=0,LEFT(IFERROR(INDEX(醫師週班表!$C$5:$T$44,$CU14,AU$57),""),1),""),IF(MID(IFERROR(INDEX(醫師週班表!$C$5:$T$44,$CU14,AU$57),""),2,1)="(",LEFT(IFERROR(INDEX(醫師週班表!$C$5:$T$44,$CU14,AU$57),""),1),IFERROR(INDEX(醫師週班表!$C$5:$T$44,$CU14,AU$57),"")))))))</f>
        <v/>
      </c>
      <c r="AV14" s="72">
        <f>IF(AV$59="X","",IF(AV$59&lt;&gt;"",AV$59,IF(IFERROR(INDEX(醫師週班表!$C$5:$T$44,$CU14,AV$57),"")=0,"",IF(MID(IFERROR(INDEX(醫師週班表!$C$5:$T$44,$CU14,AV$57),""),2,1)="/",MID(IFERROR(INDEX(醫師週班表!$C$5:$T$44,$CU14,AV$57),""),1+AV$58*2,1),IF(MID(IFERROR(INDEX(醫師週班表!$C$5:$T$44,$CU14,AV$57),""),3,1)="隔",IF(AV$58=0,LEFT(IFERROR(INDEX(醫師週班表!$C$5:$T$44,$CU14,AV$57),""),1),""),IF(MID(IFERROR(INDEX(醫師週班表!$C$5:$T$44,$CU14,AV$57),""),2,1)="(",LEFT(IFERROR(INDEX(醫師週班表!$C$5:$T$44,$CU14,AV$57),""),1),IFERROR(INDEX(醫師週班表!$C$5:$T$44,$CU14,AV$57),"")))))))</f>
        <v/>
      </c>
      <c r="AW14" s="72">
        <f>IF(AW$59="X","",IF(AW$59&lt;&gt;"",AW$59,IF(IFERROR(INDEX(醫師週班表!$C$5:$T$44,$CU14,AW$57),"")=0,"",IF(MID(IFERROR(INDEX(醫師週班表!$C$5:$T$44,$CU14,AW$57),""),2,1)="/",MID(IFERROR(INDEX(醫師週班表!$C$5:$T$44,$CU14,AW$57),""),1+AW$58*2,1),IF(MID(IFERROR(INDEX(醫師週班表!$C$5:$T$44,$CU14,AW$57),""),3,1)="隔",IF(AW$58=0,LEFT(IFERROR(INDEX(醫師週班表!$C$5:$T$44,$CU14,AW$57),""),1),""),IF(MID(IFERROR(INDEX(醫師週班表!$C$5:$T$44,$CU14,AW$57),""),2,1)="(",LEFT(IFERROR(INDEX(醫師週班表!$C$5:$T$44,$CU14,AW$57),""),1),IFERROR(INDEX(醫師週班表!$C$5:$T$44,$CU14,AW$57),"")))))))</f>
        <v/>
      </c>
      <c r="AX14" s="71">
        <f>IF(AX$59="X","",IF(AX$59&lt;&gt;"",AX$59,IF(IFERROR(INDEX(醫師週班表!$C$5:$T$44,$CU14,AX$57),"")=0,"",IF(MID(IFERROR(INDEX(醫師週班表!$C$5:$T$44,$CU14,AX$57),""),2,1)="/",MID(IFERROR(INDEX(醫師週班表!$C$5:$T$44,$CU14,AX$57),""),1+AX$58*2,1),IF(MID(IFERROR(INDEX(醫師週班表!$C$5:$T$44,$CU14,AX$57),""),3,1)="隔",IF(AX$58=0,LEFT(IFERROR(INDEX(醫師週班表!$C$5:$T$44,$CU14,AX$57),""),1),""),IF(MID(IFERROR(INDEX(醫師週班表!$C$5:$T$44,$CU14,AX$57),""),2,1)="(",LEFT(IFERROR(INDEX(醫師週班表!$C$5:$T$44,$CU14,AX$57),""),1),IFERROR(INDEX(醫師週班表!$C$5:$T$44,$CU14,AX$57),"")))))))</f>
        <v/>
      </c>
      <c r="AY14" s="72">
        <f>IF(AY$59="X","",IF(AY$59&lt;&gt;"",AY$59,IF(IFERROR(INDEX(醫師週班表!$C$5:$T$44,$CU14,AY$57),"")=0,"",IF(MID(IFERROR(INDEX(醫師週班表!$C$5:$T$44,$CU14,AY$57),""),2,1)="/",MID(IFERROR(INDEX(醫師週班表!$C$5:$T$44,$CU14,AY$57),""),1+AY$58*2,1),IF(MID(IFERROR(INDEX(醫師週班表!$C$5:$T$44,$CU14,AY$57),""),3,1)="隔",IF(AY$58=0,LEFT(IFERROR(INDEX(醫師週班表!$C$5:$T$44,$CU14,AY$57),""),1),""),IF(MID(IFERROR(INDEX(醫師週班表!$C$5:$T$44,$CU14,AY$57),""),2,1)="(",LEFT(IFERROR(INDEX(醫師週班表!$C$5:$T$44,$CU14,AY$57),""),1),IFERROR(INDEX(醫師週班表!$C$5:$T$44,$CU14,AY$57),"")))))))</f>
        <v/>
      </c>
      <c r="AZ14" s="72">
        <f>IF(AZ$59="X","",IF(AZ$59&lt;&gt;"",AZ$59,IF(IFERROR(INDEX(醫師週班表!$C$5:$T$44,$CU14,AZ$57),"")=0,"",IF(MID(IFERROR(INDEX(醫師週班表!$C$5:$T$44,$CU14,AZ$57),""),2,1)="/",MID(IFERROR(INDEX(醫師週班表!$C$5:$T$44,$CU14,AZ$57),""),1+AZ$58*2,1),IF(MID(IFERROR(INDEX(醫師週班表!$C$5:$T$44,$CU14,AZ$57),""),3,1)="隔",IF(AZ$58=0,LEFT(IFERROR(INDEX(醫師週班表!$C$5:$T$44,$CU14,AZ$57),""),1),""),IF(MID(IFERROR(INDEX(醫師週班表!$C$5:$T$44,$CU14,AZ$57),""),2,1)="(",LEFT(IFERROR(INDEX(醫師週班表!$C$5:$T$44,$CU14,AZ$57),""),1),IFERROR(INDEX(醫師週班表!$C$5:$T$44,$CU14,AZ$57),"")))))))</f>
        <v/>
      </c>
      <c r="BA14" s="71">
        <f>IF(BA$59="X","",IF(BA$59&lt;&gt;"",BA$59,IF(IFERROR(INDEX(醫師週班表!$C$5:$T$44,$CU14,BA$57),"")=0,"",IF(MID(IFERROR(INDEX(醫師週班表!$C$5:$T$44,$CU14,BA$57),""),2,1)="/",MID(IFERROR(INDEX(醫師週班表!$C$5:$T$44,$CU14,BA$57),""),1+BA$58*2,1),IF(MID(IFERROR(INDEX(醫師週班表!$C$5:$T$44,$CU14,BA$57),""),3,1)="隔",IF(BA$58=0,LEFT(IFERROR(INDEX(醫師週班表!$C$5:$T$44,$CU14,BA$57),""),1),""),IF(MID(IFERROR(INDEX(醫師週班表!$C$5:$T$44,$CU14,BA$57),""),2,1)="(",LEFT(IFERROR(INDEX(醫師週班表!$C$5:$T$44,$CU14,BA$57),""),1),IFERROR(INDEX(醫師週班表!$C$5:$T$44,$CU14,BA$57),"")))))))</f>
        <v/>
      </c>
      <c r="BB14" s="72">
        <f>IF(BB$59="X","",IF(BB$59&lt;&gt;"",BB$59,IF(IFERROR(INDEX(醫師週班表!$C$5:$T$44,$CU14,BB$57),"")=0,"",IF(MID(IFERROR(INDEX(醫師週班表!$C$5:$T$44,$CU14,BB$57),""),2,1)="/",MID(IFERROR(INDEX(醫師週班表!$C$5:$T$44,$CU14,BB$57),""),1+BB$58*2,1),IF(MID(IFERROR(INDEX(醫師週班表!$C$5:$T$44,$CU14,BB$57),""),3,1)="隔",IF(BB$58=0,LEFT(IFERROR(INDEX(醫師週班表!$C$5:$T$44,$CU14,BB$57),""),1),""),IF(MID(IFERROR(INDEX(醫師週班表!$C$5:$T$44,$CU14,BB$57),""),2,1)="(",LEFT(IFERROR(INDEX(醫師週班表!$C$5:$T$44,$CU14,BB$57),""),1),IFERROR(INDEX(醫師週班表!$C$5:$T$44,$CU14,BB$57),"")))))))</f>
        <v/>
      </c>
      <c r="BC14" s="72">
        <f>IF(BC$59="X","",IF(BC$59&lt;&gt;"",BC$59,IF(IFERROR(INDEX(醫師週班表!$C$5:$T$44,$CU14,BC$57),"")=0,"",IF(MID(IFERROR(INDEX(醫師週班表!$C$5:$T$44,$CU14,BC$57),""),2,1)="/",MID(IFERROR(INDEX(醫師週班表!$C$5:$T$44,$CU14,BC$57),""),1+BC$58*2,1),IF(MID(IFERROR(INDEX(醫師週班表!$C$5:$T$44,$CU14,BC$57),""),3,1)="隔",IF(BC$58=0,LEFT(IFERROR(INDEX(醫師週班表!$C$5:$T$44,$CU14,BC$57),""),1),""),IF(MID(IFERROR(INDEX(醫師週班表!$C$5:$T$44,$CU14,BC$57),""),2,1)="(",LEFT(IFERROR(INDEX(醫師週班表!$C$5:$T$44,$CU14,BC$57),""),1),IFERROR(INDEX(醫師週班表!$C$5:$T$44,$CU14,BC$57),"")))))))</f>
        <v/>
      </c>
      <c r="BD14" s="71">
        <f>IF(BD$59="X","",IF(BD$59&lt;&gt;"",BD$59,IF(IFERROR(INDEX(醫師週班表!$C$5:$T$44,$CU14,BD$57),"")=0,"",IF(MID(IFERROR(INDEX(醫師週班表!$C$5:$T$44,$CU14,BD$57),""),2,1)="/",MID(IFERROR(INDEX(醫師週班表!$C$5:$T$44,$CU14,BD$57),""),1+BD$58*2,1),IF(MID(IFERROR(INDEX(醫師週班表!$C$5:$T$44,$CU14,BD$57),""),3,1)="隔",IF(BD$58=0,LEFT(IFERROR(INDEX(醫師週班表!$C$5:$T$44,$CU14,BD$57),""),1),""),IF(MID(IFERROR(INDEX(醫師週班表!$C$5:$T$44,$CU14,BD$57),""),2,1)="(",LEFT(IFERROR(INDEX(醫師週班表!$C$5:$T$44,$CU14,BD$57),""),1),IFERROR(INDEX(醫師週班表!$C$5:$T$44,$CU14,BD$57),"")))))))</f>
        <v/>
      </c>
      <c r="BE14" s="72">
        <f>IF(BE$59="X","",IF(BE$59&lt;&gt;"",BE$59,IF(IFERROR(INDEX(醫師週班表!$C$5:$T$44,$CU14,BE$57),"")=0,"",IF(MID(IFERROR(INDEX(醫師週班表!$C$5:$T$44,$CU14,BE$57),""),2,1)="/",MID(IFERROR(INDEX(醫師週班表!$C$5:$T$44,$CU14,BE$57),""),1+BE$58*2,1),IF(MID(IFERROR(INDEX(醫師週班表!$C$5:$T$44,$CU14,BE$57),""),3,1)="隔",IF(BE$58=0,LEFT(IFERROR(INDEX(醫師週班表!$C$5:$T$44,$CU14,BE$57),""),1),""),IF(MID(IFERROR(INDEX(醫師週班表!$C$5:$T$44,$CU14,BE$57),""),2,1)="(",LEFT(IFERROR(INDEX(醫師週班表!$C$5:$T$44,$CU14,BE$57),""),1),IFERROR(INDEX(醫師週班表!$C$5:$T$44,$CU14,BE$57),"")))))))</f>
        <v/>
      </c>
      <c r="BF14" s="72">
        <f>IF(BF$59="X","",IF(BF$59&lt;&gt;"",BF$59,IF(IFERROR(INDEX(醫師週班表!$C$5:$T$44,$CU14,BF$57),"")=0,"",IF(MID(IFERROR(INDEX(醫師週班表!$C$5:$T$44,$CU14,BF$57),""),2,1)="/",MID(IFERROR(INDEX(醫師週班表!$C$5:$T$44,$CU14,BF$57),""),1+BF$58*2,1),IF(MID(IFERROR(INDEX(醫師週班表!$C$5:$T$44,$CU14,BF$57),""),3,1)="隔",IF(BF$58=0,LEFT(IFERROR(INDEX(醫師週班表!$C$5:$T$44,$CU14,BF$57),""),1),""),IF(MID(IFERROR(INDEX(醫師週班表!$C$5:$T$44,$CU14,BF$57),""),2,1)="(",LEFT(IFERROR(INDEX(醫師週班表!$C$5:$T$44,$CU14,BF$57),""),1),IFERROR(INDEX(醫師週班表!$C$5:$T$44,$CU14,BF$57),"")))))))</f>
        <v/>
      </c>
      <c r="BG14" s="71">
        <f>IF(BG$59="X","",IF(BG$59&lt;&gt;"",BG$59,IF(IFERROR(INDEX(醫師週班表!$C$5:$T$44,$CU14,BG$57),"")=0,"",IF(MID(IFERROR(INDEX(醫師週班表!$C$5:$T$44,$CU14,BG$57),""),2,1)="/",MID(IFERROR(INDEX(醫師週班表!$C$5:$T$44,$CU14,BG$57),""),1+BG$58*2,1),IF(MID(IFERROR(INDEX(醫師週班表!$C$5:$T$44,$CU14,BG$57),""),3,1)="隔",IF(BG$58=0,LEFT(IFERROR(INDEX(醫師週班表!$C$5:$T$44,$CU14,BG$57),""),1),""),IF(MID(IFERROR(INDEX(醫師週班表!$C$5:$T$44,$CU14,BG$57),""),2,1)="(",LEFT(IFERROR(INDEX(醫師週班表!$C$5:$T$44,$CU14,BG$57),""),1),IFERROR(INDEX(醫師週班表!$C$5:$T$44,$CU14,BG$57),"")))))))</f>
        <v/>
      </c>
      <c r="BH14" s="72">
        <f>IF(BH$59="X","",IF(BH$59&lt;&gt;"",BH$59,IF(IFERROR(INDEX(醫師週班表!$C$5:$T$44,$CU14,BH$57),"")=0,"",IF(MID(IFERROR(INDEX(醫師週班表!$C$5:$T$44,$CU14,BH$57),""),2,1)="/",MID(IFERROR(INDEX(醫師週班表!$C$5:$T$44,$CU14,BH$57),""),1+BH$58*2,1),IF(MID(IFERROR(INDEX(醫師週班表!$C$5:$T$44,$CU14,BH$57),""),3,1)="隔",IF(BH$58=0,LEFT(IFERROR(INDEX(醫師週班表!$C$5:$T$44,$CU14,BH$57),""),1),""),IF(MID(IFERROR(INDEX(醫師週班表!$C$5:$T$44,$CU14,BH$57),""),2,1)="(",LEFT(IFERROR(INDEX(醫師週班表!$C$5:$T$44,$CU14,BH$57),""),1),IFERROR(INDEX(醫師週班表!$C$5:$T$44,$CU14,BH$57),"")))))))</f>
        <v/>
      </c>
      <c r="BI14" s="72">
        <f>IF(BI$59="X","",IF(BI$59&lt;&gt;"",BI$59,IF(IFERROR(INDEX(醫師週班表!$C$5:$T$44,$CU14,BI$57),"")=0,"",IF(MID(IFERROR(INDEX(醫師週班表!$C$5:$T$44,$CU14,BI$57),""),2,1)="/",MID(IFERROR(INDEX(醫師週班表!$C$5:$T$44,$CU14,BI$57),""),1+BI$58*2,1),IF(MID(IFERROR(INDEX(醫師週班表!$C$5:$T$44,$CU14,BI$57),""),3,1)="隔",IF(BI$58=0,LEFT(IFERROR(INDEX(醫師週班表!$C$5:$T$44,$CU14,BI$57),""),1),""),IF(MID(IFERROR(INDEX(醫師週班表!$C$5:$T$44,$CU14,BI$57),""),2,1)="(",LEFT(IFERROR(INDEX(醫師週班表!$C$5:$T$44,$CU14,BI$57),""),1),IFERROR(INDEX(醫師週班表!$C$5:$T$44,$CU14,BI$57),"")))))))</f>
        <v/>
      </c>
      <c r="BJ14" s="71">
        <f>IF(BJ$59="X","",IF(BJ$59&lt;&gt;"",BJ$59,IF(IFERROR(INDEX(醫師週班表!$C$5:$T$44,$CU14,BJ$57),"")=0,"",IF(MID(IFERROR(INDEX(醫師週班表!$C$5:$T$44,$CU14,BJ$57),""),2,1)="/",MID(IFERROR(INDEX(醫師週班表!$C$5:$T$44,$CU14,BJ$57),""),1+BJ$58*2,1),IF(MID(IFERROR(INDEX(醫師週班表!$C$5:$T$44,$CU14,BJ$57),""),3,1)="隔",IF(BJ$58=0,LEFT(IFERROR(INDEX(醫師週班表!$C$5:$T$44,$CU14,BJ$57),""),1),""),IF(MID(IFERROR(INDEX(醫師週班表!$C$5:$T$44,$CU14,BJ$57),""),2,1)="(",LEFT(IFERROR(INDEX(醫師週班表!$C$5:$T$44,$CU14,BJ$57),""),1),IFERROR(INDEX(醫師週班表!$C$5:$T$44,$CU14,BJ$57),"")))))))</f>
        <v/>
      </c>
      <c r="BK14" s="72">
        <f>IF(BK$59="X","",IF(BK$59&lt;&gt;"",BK$59,IF(IFERROR(INDEX(醫師週班表!$C$5:$T$44,$CU14,BK$57),"")=0,"",IF(MID(IFERROR(INDEX(醫師週班表!$C$5:$T$44,$CU14,BK$57),""),2,1)="/",MID(IFERROR(INDEX(醫師週班表!$C$5:$T$44,$CU14,BK$57),""),1+BK$58*2,1),IF(MID(IFERROR(INDEX(醫師週班表!$C$5:$T$44,$CU14,BK$57),""),3,1)="隔",IF(BK$58=0,LEFT(IFERROR(INDEX(醫師週班表!$C$5:$T$44,$CU14,BK$57),""),1),""),IF(MID(IFERROR(INDEX(醫師週班表!$C$5:$T$44,$CU14,BK$57),""),2,1)="(",LEFT(IFERROR(INDEX(醫師週班表!$C$5:$T$44,$CU14,BK$57),""),1),IFERROR(INDEX(醫師週班表!$C$5:$T$44,$CU14,BK$57),"")))))))</f>
        <v/>
      </c>
      <c r="BL14" s="72">
        <f>IF(BL$59="X","",IF(BL$59&lt;&gt;"",BL$59,IF(IFERROR(INDEX(醫師週班表!$C$5:$T$44,$CU14,BL$57),"")=0,"",IF(MID(IFERROR(INDEX(醫師週班表!$C$5:$T$44,$CU14,BL$57),""),2,1)="/",MID(IFERROR(INDEX(醫師週班表!$C$5:$T$44,$CU14,BL$57),""),1+BL$58*2,1),IF(MID(IFERROR(INDEX(醫師週班表!$C$5:$T$44,$CU14,BL$57),""),3,1)="隔",IF(BL$58=0,LEFT(IFERROR(INDEX(醫師週班表!$C$5:$T$44,$CU14,BL$57),""),1),""),IF(MID(IFERROR(INDEX(醫師週班表!$C$5:$T$44,$CU14,BL$57),""),2,1)="(",LEFT(IFERROR(INDEX(醫師週班表!$C$5:$T$44,$CU14,BL$57),""),1),IFERROR(INDEX(醫師週班表!$C$5:$T$44,$CU14,BL$57),"")))))))</f>
        <v/>
      </c>
      <c r="BM14" s="71">
        <f>IF(BM$59="X","",IF(BM$59&lt;&gt;"",BM$59,IF(IFERROR(INDEX(醫師週班表!$C$5:$T$44,$CU14,BM$57),"")=0,"",IF(MID(IFERROR(INDEX(醫師週班表!$C$5:$T$44,$CU14,BM$57),""),2,1)="/",MID(IFERROR(INDEX(醫師週班表!$C$5:$T$44,$CU14,BM$57),""),1+BM$58*2,1),IF(MID(IFERROR(INDEX(醫師週班表!$C$5:$T$44,$CU14,BM$57),""),3,1)="隔",IF(BM$58=0,LEFT(IFERROR(INDEX(醫師週班表!$C$5:$T$44,$CU14,BM$57),""),1),""),IF(MID(IFERROR(INDEX(醫師週班表!$C$5:$T$44,$CU14,BM$57),""),2,1)="(",LEFT(IFERROR(INDEX(醫師週班表!$C$5:$T$44,$CU14,BM$57),""),1),IFERROR(INDEX(醫師週班表!$C$5:$T$44,$CU14,BM$57),"")))))))</f>
        <v/>
      </c>
      <c r="BN14" s="72">
        <f>IF(BN$59="X","",IF(BN$59&lt;&gt;"",BN$59,IF(IFERROR(INDEX(醫師週班表!$C$5:$T$44,$CU14,BN$57),"")=0,"",IF(MID(IFERROR(INDEX(醫師週班表!$C$5:$T$44,$CU14,BN$57),""),2,1)="/",MID(IFERROR(INDEX(醫師週班表!$C$5:$T$44,$CU14,BN$57),""),1+BN$58*2,1),IF(MID(IFERROR(INDEX(醫師週班表!$C$5:$T$44,$CU14,BN$57),""),3,1)="隔",IF(BN$58=0,LEFT(IFERROR(INDEX(醫師週班表!$C$5:$T$44,$CU14,BN$57),""),1),""),IF(MID(IFERROR(INDEX(醫師週班表!$C$5:$T$44,$CU14,BN$57),""),2,1)="(",LEFT(IFERROR(INDEX(醫師週班表!$C$5:$T$44,$CU14,BN$57),""),1),IFERROR(INDEX(醫師週班表!$C$5:$T$44,$CU14,BN$57),"")))))))</f>
        <v/>
      </c>
      <c r="BO14" s="72">
        <f>IF(BO$59="X","",IF(BO$59&lt;&gt;"",BO$59,IF(IFERROR(INDEX(醫師週班表!$C$5:$T$44,$CU14,BO$57),"")=0,"",IF(MID(IFERROR(INDEX(醫師週班表!$C$5:$T$44,$CU14,BO$57),""),2,1)="/",MID(IFERROR(INDEX(醫師週班表!$C$5:$T$44,$CU14,BO$57),""),1+BO$58*2,1),IF(MID(IFERROR(INDEX(醫師週班表!$C$5:$T$44,$CU14,BO$57),""),3,1)="隔",IF(BO$58=0,LEFT(IFERROR(INDEX(醫師週班表!$C$5:$T$44,$CU14,BO$57),""),1),""),IF(MID(IFERROR(INDEX(醫師週班表!$C$5:$T$44,$CU14,BO$57),""),2,1)="(",LEFT(IFERROR(INDEX(醫師週班表!$C$5:$T$44,$CU14,BO$57),""),1),IFERROR(INDEX(醫師週班表!$C$5:$T$44,$CU14,BO$57),"")))))))</f>
        <v/>
      </c>
      <c r="BP14" s="71">
        <f>IF(BP$59="X","",IF(BP$59&lt;&gt;"",BP$59,IF(IFERROR(INDEX(醫師週班表!$C$5:$T$44,$CU14,BP$57),"")=0,"",IF(MID(IFERROR(INDEX(醫師週班表!$C$5:$T$44,$CU14,BP$57),""),2,1)="/",MID(IFERROR(INDEX(醫師週班表!$C$5:$T$44,$CU14,BP$57),""),1+BP$58*2,1),IF(MID(IFERROR(INDEX(醫師週班表!$C$5:$T$44,$CU14,BP$57),""),3,1)="隔",IF(BP$58=0,LEFT(IFERROR(INDEX(醫師週班表!$C$5:$T$44,$CU14,BP$57),""),1),""),IF(MID(IFERROR(INDEX(醫師週班表!$C$5:$T$44,$CU14,BP$57),""),2,1)="(",LEFT(IFERROR(INDEX(醫師週班表!$C$5:$T$44,$CU14,BP$57),""),1),IFERROR(INDEX(醫師週班表!$C$5:$T$44,$CU14,BP$57),"")))))))</f>
        <v/>
      </c>
      <c r="BQ14" s="72">
        <f>IF(BQ$59="X","",IF(BQ$59&lt;&gt;"",BQ$59,IF(IFERROR(INDEX(醫師週班表!$C$5:$T$44,$CU14,BQ$57),"")=0,"",IF(MID(IFERROR(INDEX(醫師週班表!$C$5:$T$44,$CU14,BQ$57),""),2,1)="/",MID(IFERROR(INDEX(醫師週班表!$C$5:$T$44,$CU14,BQ$57),""),1+BQ$58*2,1),IF(MID(IFERROR(INDEX(醫師週班表!$C$5:$T$44,$CU14,BQ$57),""),3,1)="隔",IF(BQ$58=0,LEFT(IFERROR(INDEX(醫師週班表!$C$5:$T$44,$CU14,BQ$57),""),1),""),IF(MID(IFERROR(INDEX(醫師週班表!$C$5:$T$44,$CU14,BQ$57),""),2,1)="(",LEFT(IFERROR(INDEX(醫師週班表!$C$5:$T$44,$CU14,BQ$57),""),1),IFERROR(INDEX(醫師週班表!$C$5:$T$44,$CU14,BQ$57),"")))))))</f>
        <v/>
      </c>
      <c r="BR14" s="72">
        <f>IF(BR$59="X","",IF(BR$59&lt;&gt;"",BR$59,IF(IFERROR(INDEX(醫師週班表!$C$5:$T$44,$CU14,BR$57),"")=0,"",IF(MID(IFERROR(INDEX(醫師週班表!$C$5:$T$44,$CU14,BR$57),""),2,1)="/",MID(IFERROR(INDEX(醫師週班表!$C$5:$T$44,$CU14,BR$57),""),1+BR$58*2,1),IF(MID(IFERROR(INDEX(醫師週班表!$C$5:$T$44,$CU14,BR$57),""),3,1)="隔",IF(BR$58=0,LEFT(IFERROR(INDEX(醫師週班表!$C$5:$T$44,$CU14,BR$57),""),1),""),IF(MID(IFERROR(INDEX(醫師週班表!$C$5:$T$44,$CU14,BR$57),""),2,1)="(",LEFT(IFERROR(INDEX(醫師週班表!$C$5:$T$44,$CU14,BR$57),""),1),IFERROR(INDEX(醫師週班表!$C$5:$T$44,$CU14,BR$57),"")))))))</f>
        <v/>
      </c>
      <c r="BS14" s="71">
        <f>IF(BS$59="X","",IF(BS$59&lt;&gt;"",BS$59,IF(IFERROR(INDEX(醫師週班表!$C$5:$T$44,$CU14,BS$57),"")=0,"",IF(MID(IFERROR(INDEX(醫師週班表!$C$5:$T$44,$CU14,BS$57),""),2,1)="/",MID(IFERROR(INDEX(醫師週班表!$C$5:$T$44,$CU14,BS$57),""),1+BS$58*2,1),IF(MID(IFERROR(INDEX(醫師週班表!$C$5:$T$44,$CU14,BS$57),""),3,1)="隔",IF(BS$58=0,LEFT(IFERROR(INDEX(醫師週班表!$C$5:$T$44,$CU14,BS$57),""),1),""),IF(MID(IFERROR(INDEX(醫師週班表!$C$5:$T$44,$CU14,BS$57),""),2,1)="(",LEFT(IFERROR(INDEX(醫師週班表!$C$5:$T$44,$CU14,BS$57),""),1),IFERROR(INDEX(醫師週班表!$C$5:$T$44,$CU14,BS$57),"")))))))</f>
        <v/>
      </c>
      <c r="BT14" s="72">
        <f>IF(BT$59="X","",IF(BT$59&lt;&gt;"",BT$59,IF(IFERROR(INDEX(醫師週班表!$C$5:$T$44,$CU14,BT$57),"")=0,"",IF(MID(IFERROR(INDEX(醫師週班表!$C$5:$T$44,$CU14,BT$57),""),2,1)="/",MID(IFERROR(INDEX(醫師週班表!$C$5:$T$44,$CU14,BT$57),""),1+BT$58*2,1),IF(MID(IFERROR(INDEX(醫師週班表!$C$5:$T$44,$CU14,BT$57),""),3,1)="隔",IF(BT$58=0,LEFT(IFERROR(INDEX(醫師週班表!$C$5:$T$44,$CU14,BT$57),""),1),""),IF(MID(IFERROR(INDEX(醫師週班表!$C$5:$T$44,$CU14,BT$57),""),2,1)="(",LEFT(IFERROR(INDEX(醫師週班表!$C$5:$T$44,$CU14,BT$57),""),1),IFERROR(INDEX(醫師週班表!$C$5:$T$44,$CU14,BT$57),"")))))))</f>
        <v/>
      </c>
      <c r="BU14" s="72">
        <f>IF(BU$59="X","",IF(BU$59&lt;&gt;"",BU$59,IF(IFERROR(INDEX(醫師週班表!$C$5:$T$44,$CU14,BU$57),"")=0,"",IF(MID(IFERROR(INDEX(醫師週班表!$C$5:$T$44,$CU14,BU$57),""),2,1)="/",MID(IFERROR(INDEX(醫師週班表!$C$5:$T$44,$CU14,BU$57),""),1+BU$58*2,1),IF(MID(IFERROR(INDEX(醫師週班表!$C$5:$T$44,$CU14,BU$57),""),3,1)="隔",IF(BU$58=0,LEFT(IFERROR(INDEX(醫師週班表!$C$5:$T$44,$CU14,BU$57),""),1),""),IF(MID(IFERROR(INDEX(醫師週班表!$C$5:$T$44,$CU14,BU$57),""),2,1)="(",LEFT(IFERROR(INDEX(醫師週班表!$C$5:$T$44,$CU14,BU$57),""),1),IFERROR(INDEX(醫師週班表!$C$5:$T$44,$CU14,BU$57),"")))))))</f>
        <v/>
      </c>
      <c r="BV14" s="71">
        <f>IF(BV$59="X","",IF(BV$59&lt;&gt;"",BV$59,IF(IFERROR(INDEX(醫師週班表!$C$5:$T$44,$CU14,BV$57),"")=0,"",IF(MID(IFERROR(INDEX(醫師週班表!$C$5:$T$44,$CU14,BV$57),""),2,1)="/",MID(IFERROR(INDEX(醫師週班表!$C$5:$T$44,$CU14,BV$57),""),1+BV$58*2,1),IF(MID(IFERROR(INDEX(醫師週班表!$C$5:$T$44,$CU14,BV$57),""),3,1)="隔",IF(BV$58=0,LEFT(IFERROR(INDEX(醫師週班表!$C$5:$T$44,$CU14,BV$57),""),1),""),IF(MID(IFERROR(INDEX(醫師週班表!$C$5:$T$44,$CU14,BV$57),""),2,1)="(",LEFT(IFERROR(INDEX(醫師週班表!$C$5:$T$44,$CU14,BV$57),""),1),IFERROR(INDEX(醫師週班表!$C$5:$T$44,$CU14,BV$57),"")))))))</f>
        <v/>
      </c>
      <c r="BW14" s="72">
        <f>IF(BW$59="X","",IF(BW$59&lt;&gt;"",BW$59,IF(IFERROR(INDEX(醫師週班表!$C$5:$T$44,$CU14,BW$57),"")=0,"",IF(MID(IFERROR(INDEX(醫師週班表!$C$5:$T$44,$CU14,BW$57),""),2,1)="/",MID(IFERROR(INDEX(醫師週班表!$C$5:$T$44,$CU14,BW$57),""),1+BW$58*2,1),IF(MID(IFERROR(INDEX(醫師週班表!$C$5:$T$44,$CU14,BW$57),""),3,1)="隔",IF(BW$58=0,LEFT(IFERROR(INDEX(醫師週班表!$C$5:$T$44,$CU14,BW$57),""),1),""),IF(MID(IFERROR(INDEX(醫師週班表!$C$5:$T$44,$CU14,BW$57),""),2,1)="(",LEFT(IFERROR(INDEX(醫師週班表!$C$5:$T$44,$CU14,BW$57),""),1),IFERROR(INDEX(醫師週班表!$C$5:$T$44,$CU14,BW$57),"")))))))</f>
        <v/>
      </c>
      <c r="BX14" s="72">
        <f>IF(BX$59="X","",IF(BX$59&lt;&gt;"",BX$59,IF(IFERROR(INDEX(醫師週班表!$C$5:$T$44,$CU14,BX$57),"")=0,"",IF(MID(IFERROR(INDEX(醫師週班表!$C$5:$T$44,$CU14,BX$57),""),2,1)="/",MID(IFERROR(INDEX(醫師週班表!$C$5:$T$44,$CU14,BX$57),""),1+BX$58*2,1),IF(MID(IFERROR(INDEX(醫師週班表!$C$5:$T$44,$CU14,BX$57),""),3,1)="隔",IF(BX$58=0,LEFT(IFERROR(INDEX(醫師週班表!$C$5:$T$44,$CU14,BX$57),""),1),""),IF(MID(IFERROR(INDEX(醫師週班表!$C$5:$T$44,$CU14,BX$57),""),2,1)="(",LEFT(IFERROR(INDEX(醫師週班表!$C$5:$T$44,$CU14,BX$57),""),1),IFERROR(INDEX(醫師週班表!$C$5:$T$44,$CU14,BX$57),"")))))))</f>
        <v/>
      </c>
      <c r="BY14" s="71">
        <f>IF(BY$59="X","",IF(BY$59&lt;&gt;"",BY$59,IF(IFERROR(INDEX(醫師週班表!$C$5:$T$44,$CU14,BY$57),"")=0,"",IF(MID(IFERROR(INDEX(醫師週班表!$C$5:$T$44,$CU14,BY$57),""),2,1)="/",MID(IFERROR(INDEX(醫師週班表!$C$5:$T$44,$CU14,BY$57),""),1+BY$58*2,1),IF(MID(IFERROR(INDEX(醫師週班表!$C$5:$T$44,$CU14,BY$57),""),3,1)="隔",IF(BY$58=0,LEFT(IFERROR(INDEX(醫師週班表!$C$5:$T$44,$CU14,BY$57),""),1),""),IF(MID(IFERROR(INDEX(醫師週班表!$C$5:$T$44,$CU14,BY$57),""),2,1)="(",LEFT(IFERROR(INDEX(醫師週班表!$C$5:$T$44,$CU14,BY$57),""),1),IFERROR(INDEX(醫師週班表!$C$5:$T$44,$CU14,BY$57),"")))))))</f>
        <v/>
      </c>
      <c r="BZ14" s="72">
        <f>IF(BZ$59="X","",IF(BZ$59&lt;&gt;"",BZ$59,IF(IFERROR(INDEX(醫師週班表!$C$5:$T$44,$CU14,BZ$57),"")=0,"",IF(MID(IFERROR(INDEX(醫師週班表!$C$5:$T$44,$CU14,BZ$57),""),2,1)="/",MID(IFERROR(INDEX(醫師週班表!$C$5:$T$44,$CU14,BZ$57),""),1+BZ$58*2,1),IF(MID(IFERROR(INDEX(醫師週班表!$C$5:$T$44,$CU14,BZ$57),""),3,1)="隔",IF(BZ$58=0,LEFT(IFERROR(INDEX(醫師週班表!$C$5:$T$44,$CU14,BZ$57),""),1),""),IF(MID(IFERROR(INDEX(醫師週班表!$C$5:$T$44,$CU14,BZ$57),""),2,1)="(",LEFT(IFERROR(INDEX(醫師週班表!$C$5:$T$44,$CU14,BZ$57),""),1),IFERROR(INDEX(醫師週班表!$C$5:$T$44,$CU14,BZ$57),"")))))))</f>
        <v/>
      </c>
      <c r="CA14" s="72">
        <f>IF(CA$59="X","",IF(CA$59&lt;&gt;"",CA$59,IF(IFERROR(INDEX(醫師週班表!$C$5:$T$44,$CU14,CA$57),"")=0,"",IF(MID(IFERROR(INDEX(醫師週班表!$C$5:$T$44,$CU14,CA$57),""),2,1)="/",MID(IFERROR(INDEX(醫師週班表!$C$5:$T$44,$CU14,CA$57),""),1+CA$58*2,1),IF(MID(IFERROR(INDEX(醫師週班表!$C$5:$T$44,$CU14,CA$57),""),3,1)="隔",IF(CA$58=0,LEFT(IFERROR(INDEX(醫師週班表!$C$5:$T$44,$CU14,CA$57),""),1),""),IF(MID(IFERROR(INDEX(醫師週班表!$C$5:$T$44,$CU14,CA$57),""),2,1)="(",LEFT(IFERROR(INDEX(醫師週班表!$C$5:$T$44,$CU14,CA$57),""),1),IFERROR(INDEX(醫師週班表!$C$5:$T$44,$CU14,CA$57),"")))))))</f>
        <v/>
      </c>
      <c r="CB14" s="71">
        <f>IF(CB$59="X","",IF(CB$59&lt;&gt;"",CB$59,IF(IFERROR(INDEX(醫師週班表!$C$5:$T$44,$CU14,CB$57),"")=0,"",IF(MID(IFERROR(INDEX(醫師週班表!$C$5:$T$44,$CU14,CB$57),""),2,1)="/",MID(IFERROR(INDEX(醫師週班表!$C$5:$T$44,$CU14,CB$57),""),1+CB$58*2,1),IF(MID(IFERROR(INDEX(醫師週班表!$C$5:$T$44,$CU14,CB$57),""),3,1)="隔",IF(CB$58=0,LEFT(IFERROR(INDEX(醫師週班表!$C$5:$T$44,$CU14,CB$57),""),1),""),IF(MID(IFERROR(INDEX(醫師週班表!$C$5:$T$44,$CU14,CB$57),""),2,1)="(",LEFT(IFERROR(INDEX(醫師週班表!$C$5:$T$44,$CU14,CB$57),""),1),IFERROR(INDEX(醫師週班表!$C$5:$T$44,$CU14,CB$57),"")))))))</f>
        <v/>
      </c>
      <c r="CC14" s="72">
        <f>IF(CC$59="X","",IF(CC$59&lt;&gt;"",CC$59,IF(IFERROR(INDEX(醫師週班表!$C$5:$T$44,$CU14,CC$57),"")=0,"",IF(MID(IFERROR(INDEX(醫師週班表!$C$5:$T$44,$CU14,CC$57),""),2,1)="/",MID(IFERROR(INDEX(醫師週班表!$C$5:$T$44,$CU14,CC$57),""),1+CC$58*2,1),IF(MID(IFERROR(INDEX(醫師週班表!$C$5:$T$44,$CU14,CC$57),""),3,1)="隔",IF(CC$58=0,LEFT(IFERROR(INDEX(醫師週班表!$C$5:$T$44,$CU14,CC$57),""),1),""),IF(MID(IFERROR(INDEX(醫師週班表!$C$5:$T$44,$CU14,CC$57),""),2,1)="(",LEFT(IFERROR(INDEX(醫師週班表!$C$5:$T$44,$CU14,CC$57),""),1),IFERROR(INDEX(醫師週班表!$C$5:$T$44,$CU14,CC$57),"")))))))</f>
        <v/>
      </c>
      <c r="CD14" s="72">
        <f>IF(CD$59="X","",IF(CD$59&lt;&gt;"",CD$59,IF(IFERROR(INDEX(醫師週班表!$C$5:$T$44,$CU14,CD$57),"")=0,"",IF(MID(IFERROR(INDEX(醫師週班表!$C$5:$T$44,$CU14,CD$57),""),2,1)="/",MID(IFERROR(INDEX(醫師週班表!$C$5:$T$44,$CU14,CD$57),""),1+CD$58*2,1),IF(MID(IFERROR(INDEX(醫師週班表!$C$5:$T$44,$CU14,CD$57),""),3,1)="隔",IF(CD$58=0,LEFT(IFERROR(INDEX(醫師週班表!$C$5:$T$44,$CU14,CD$57),""),1),""),IF(MID(IFERROR(INDEX(醫師週班表!$C$5:$T$44,$CU14,CD$57),""),2,1)="(",LEFT(IFERROR(INDEX(醫師週班表!$C$5:$T$44,$CU14,CD$57),""),1),IFERROR(INDEX(醫師週班表!$C$5:$T$44,$CU14,CD$57),"")))))))</f>
        <v/>
      </c>
      <c r="CE14" s="71">
        <f>IF(CE$59="X","",IF(CE$59&lt;&gt;"",CE$59,IF(IFERROR(INDEX(醫師週班表!$C$5:$T$44,$CU14,CE$57),"")=0,"",IF(MID(IFERROR(INDEX(醫師週班表!$C$5:$T$44,$CU14,CE$57),""),2,1)="/",MID(IFERROR(INDEX(醫師週班表!$C$5:$T$44,$CU14,CE$57),""),1+CE$58*2,1),IF(MID(IFERROR(INDEX(醫師週班表!$C$5:$T$44,$CU14,CE$57),""),3,1)="隔",IF(CE$58=0,LEFT(IFERROR(INDEX(醫師週班表!$C$5:$T$44,$CU14,CE$57),""),1),""),IF(MID(IFERROR(INDEX(醫師週班表!$C$5:$T$44,$CU14,CE$57),""),2,1)="(",LEFT(IFERROR(INDEX(醫師週班表!$C$5:$T$44,$CU14,CE$57),""),1),IFERROR(INDEX(醫師週班表!$C$5:$T$44,$CU14,CE$57),"")))))))</f>
        <v/>
      </c>
      <c r="CF14" s="72">
        <f>IF(CF$59="X","",IF(CF$59&lt;&gt;"",CF$59,IF(IFERROR(INDEX(醫師週班表!$C$5:$T$44,$CU14,CF$57),"")=0,"",IF(MID(IFERROR(INDEX(醫師週班表!$C$5:$T$44,$CU14,CF$57),""),2,1)="/",MID(IFERROR(INDEX(醫師週班表!$C$5:$T$44,$CU14,CF$57),""),1+CF$58*2,1),IF(MID(IFERROR(INDEX(醫師週班表!$C$5:$T$44,$CU14,CF$57),""),3,1)="隔",IF(CF$58=0,LEFT(IFERROR(INDEX(醫師週班表!$C$5:$T$44,$CU14,CF$57),""),1),""),IF(MID(IFERROR(INDEX(醫師週班表!$C$5:$T$44,$CU14,CF$57),""),2,1)="(",LEFT(IFERROR(INDEX(醫師週班表!$C$5:$T$44,$CU14,CF$57),""),1),IFERROR(INDEX(醫師週班表!$C$5:$T$44,$CU14,CF$57),"")))))))</f>
        <v/>
      </c>
      <c r="CG14" s="72">
        <f>IF(CG$59="X","",IF(CG$59&lt;&gt;"",CG$59,IF(IFERROR(INDEX(醫師週班表!$C$5:$T$44,$CU14,CG$57),"")=0,"",IF(MID(IFERROR(INDEX(醫師週班表!$C$5:$T$44,$CU14,CG$57),""),2,1)="/",MID(IFERROR(INDEX(醫師週班表!$C$5:$T$44,$CU14,CG$57),""),1+CG$58*2,1),IF(MID(IFERROR(INDEX(醫師週班表!$C$5:$T$44,$CU14,CG$57),""),3,1)="隔",IF(CG$58=0,LEFT(IFERROR(INDEX(醫師週班表!$C$5:$T$44,$CU14,CG$57),""),1),""),IF(MID(IFERROR(INDEX(醫師週班表!$C$5:$T$44,$CU14,CG$57),""),2,1)="(",LEFT(IFERROR(INDEX(醫師週班表!$C$5:$T$44,$CU14,CG$57),""),1),IFERROR(INDEX(醫師週班表!$C$5:$T$44,$CU14,CG$57),"")))))))</f>
        <v/>
      </c>
      <c r="CH14" s="71">
        <f>IF(CH$59="X","",IF(CH$59&lt;&gt;"",CH$59,IF(IFERROR(INDEX(醫師週班表!$C$5:$T$44,$CU14,CH$57),"")=0,"",IF(MID(IFERROR(INDEX(醫師週班表!$C$5:$T$44,$CU14,CH$57),""),2,1)="/",MID(IFERROR(INDEX(醫師週班表!$C$5:$T$44,$CU14,CH$57),""),1+CH$58*2,1),IF(MID(IFERROR(INDEX(醫師週班表!$C$5:$T$44,$CU14,CH$57),""),3,1)="隔",IF(CH$58=0,LEFT(IFERROR(INDEX(醫師週班表!$C$5:$T$44,$CU14,CH$57),""),1),""),IF(MID(IFERROR(INDEX(醫師週班表!$C$5:$T$44,$CU14,CH$57),""),2,1)="(",LEFT(IFERROR(INDEX(醫師週班表!$C$5:$T$44,$CU14,CH$57),""),1),IFERROR(INDEX(醫師週班表!$C$5:$T$44,$CU14,CH$57),"")))))))</f>
        <v/>
      </c>
      <c r="CI14" s="72">
        <f>IF(CI$59="X","",IF(CI$59&lt;&gt;"",CI$59,IF(IFERROR(INDEX(醫師週班表!$C$5:$T$44,$CU14,CI$57),"")=0,"",IF(MID(IFERROR(INDEX(醫師週班表!$C$5:$T$44,$CU14,CI$57),""),2,1)="/",MID(IFERROR(INDEX(醫師週班表!$C$5:$T$44,$CU14,CI$57),""),1+CI$58*2,1),IF(MID(IFERROR(INDEX(醫師週班表!$C$5:$T$44,$CU14,CI$57),""),3,1)="隔",IF(CI$58=0,LEFT(IFERROR(INDEX(醫師週班表!$C$5:$T$44,$CU14,CI$57),""),1),""),IF(MID(IFERROR(INDEX(醫師週班表!$C$5:$T$44,$CU14,CI$57),""),2,1)="(",LEFT(IFERROR(INDEX(醫師週班表!$C$5:$T$44,$CU14,CI$57),""),1),IFERROR(INDEX(醫師週班表!$C$5:$T$44,$CU14,CI$57),"")))))))</f>
        <v/>
      </c>
      <c r="CJ14" s="72">
        <f>IF(CJ$59="X","",IF(CJ$59&lt;&gt;"",CJ$59,IF(IFERROR(INDEX(醫師週班表!$C$5:$T$44,$CU14,CJ$57),"")=0,"",IF(MID(IFERROR(INDEX(醫師週班表!$C$5:$T$44,$CU14,CJ$57),""),2,1)="/",MID(IFERROR(INDEX(醫師週班表!$C$5:$T$44,$CU14,CJ$57),""),1+CJ$58*2,1),IF(MID(IFERROR(INDEX(醫師週班表!$C$5:$T$44,$CU14,CJ$57),""),3,1)="隔",IF(CJ$58=0,LEFT(IFERROR(INDEX(醫師週班表!$C$5:$T$44,$CU14,CJ$57),""),1),""),IF(MID(IFERROR(INDEX(醫師週班表!$C$5:$T$44,$CU14,CJ$57),""),2,1)="(",LEFT(IFERROR(INDEX(醫師週班表!$C$5:$T$44,$CU14,CJ$57),""),1),IFERROR(INDEX(醫師週班表!$C$5:$T$44,$CU14,CJ$57),"")))))))</f>
        <v/>
      </c>
      <c r="CK14" s="71">
        <f>IF(CK$59="X","",IF(CK$59&lt;&gt;"",CK$59,IF(IFERROR(INDEX(醫師週班表!$C$5:$T$44,$CU14,CK$57),"")=0,"",IF(MID(IFERROR(INDEX(醫師週班表!$C$5:$T$44,$CU14,CK$57),""),2,1)="/",MID(IFERROR(INDEX(醫師週班表!$C$5:$T$44,$CU14,CK$57),""),1+CK$58*2,1),IF(MID(IFERROR(INDEX(醫師週班表!$C$5:$T$44,$CU14,CK$57),""),3,1)="隔",IF(CK$58=0,LEFT(IFERROR(INDEX(醫師週班表!$C$5:$T$44,$CU14,CK$57),""),1),""),IF(MID(IFERROR(INDEX(醫師週班表!$C$5:$T$44,$CU14,CK$57),""),2,1)="(",LEFT(IFERROR(INDEX(醫師週班表!$C$5:$T$44,$CU14,CK$57),""),1),IFERROR(INDEX(醫師週班表!$C$5:$T$44,$CU14,CK$57),"")))))))</f>
        <v/>
      </c>
      <c r="CL14" s="72">
        <f>IF(CL$59="X","",IF(CL$59&lt;&gt;"",CL$59,IF(IFERROR(INDEX(醫師週班表!$C$5:$T$44,$CU14,CL$57),"")=0,"",IF(MID(IFERROR(INDEX(醫師週班表!$C$5:$T$44,$CU14,CL$57),""),2,1)="/",MID(IFERROR(INDEX(醫師週班表!$C$5:$T$44,$CU14,CL$57),""),1+CL$58*2,1),IF(MID(IFERROR(INDEX(醫師週班表!$C$5:$T$44,$CU14,CL$57),""),3,1)="隔",IF(CL$58=0,LEFT(IFERROR(INDEX(醫師週班表!$C$5:$T$44,$CU14,CL$57),""),1),""),IF(MID(IFERROR(INDEX(醫師週班表!$C$5:$T$44,$CU14,CL$57),""),2,1)="(",LEFT(IFERROR(INDEX(醫師週班表!$C$5:$T$44,$CU14,CL$57),""),1),IFERROR(INDEX(醫師週班表!$C$5:$T$44,$CU14,CL$57),"")))))))</f>
        <v/>
      </c>
      <c r="CM14" s="72">
        <f>IF(CM$59="X","",IF(CM$59&lt;&gt;"",CM$59,IF(IFERROR(INDEX(醫師週班表!$C$5:$T$44,$CU14,CM$57),"")=0,"",IF(MID(IFERROR(INDEX(醫師週班表!$C$5:$T$44,$CU14,CM$57),""),2,1)="/",MID(IFERROR(INDEX(醫師週班表!$C$5:$T$44,$CU14,CM$57),""),1+CM$58*2,1),IF(MID(IFERROR(INDEX(醫師週班表!$C$5:$T$44,$CU14,CM$57),""),3,1)="隔",IF(CM$58=0,LEFT(IFERROR(INDEX(醫師週班表!$C$5:$T$44,$CU14,CM$57),""),1),""),IF(MID(IFERROR(INDEX(醫師週班表!$C$5:$T$44,$CU14,CM$57),""),2,1)="(",LEFT(IFERROR(INDEX(醫師週班表!$C$5:$T$44,$CU14,CM$57),""),1),IFERROR(INDEX(醫師週班表!$C$5:$T$44,$CU14,CM$57),"")))))))</f>
        <v/>
      </c>
      <c r="CN14" s="71">
        <f>IF(CN$59="X","",IF(CN$59&lt;&gt;"",CN$59,IF(IFERROR(INDEX(醫師週班表!$C$5:$T$44,$CU14,CN$57),"")=0,"",IF(MID(IFERROR(INDEX(醫師週班表!$C$5:$T$44,$CU14,CN$57),""),2,1)="/",MID(IFERROR(INDEX(醫師週班表!$C$5:$T$44,$CU14,CN$57),""),1+CN$58*2,1),IF(MID(IFERROR(INDEX(醫師週班表!$C$5:$T$44,$CU14,CN$57),""),3,1)="隔",IF(CN$58=0,LEFT(IFERROR(INDEX(醫師週班表!$C$5:$T$44,$CU14,CN$57),""),1),""),IF(MID(IFERROR(INDEX(醫師週班表!$C$5:$T$44,$CU14,CN$57),""),2,1)="(",LEFT(IFERROR(INDEX(醫師週班表!$C$5:$T$44,$CU14,CN$57),""),1),IFERROR(INDEX(醫師週班表!$C$5:$T$44,$CU14,CN$57),"")))))))</f>
        <v/>
      </c>
      <c r="CO14" s="72">
        <f>IF(CO$59="X","",IF(CO$59&lt;&gt;"",CO$59,IF(IFERROR(INDEX(醫師週班表!$C$5:$T$44,$CU14,CO$57),"")=0,"",IF(MID(IFERROR(INDEX(醫師週班表!$C$5:$T$44,$CU14,CO$57),""),2,1)="/",MID(IFERROR(INDEX(醫師週班表!$C$5:$T$44,$CU14,CO$57),""),1+CO$58*2,1),IF(MID(IFERROR(INDEX(醫師週班表!$C$5:$T$44,$CU14,CO$57),""),3,1)="隔",IF(CO$58=0,LEFT(IFERROR(INDEX(醫師週班表!$C$5:$T$44,$CU14,CO$57),""),1),""),IF(MID(IFERROR(INDEX(醫師週班表!$C$5:$T$44,$CU14,CO$57),""),2,1)="(",LEFT(IFERROR(INDEX(醫師週班表!$C$5:$T$44,$CU14,CO$57),""),1),IFERROR(INDEX(醫師週班表!$C$5:$T$44,$CU14,CO$57),"")))))))</f>
        <v/>
      </c>
      <c r="CP14" s="72">
        <f>IF(CP$59="X","",IF(CP$59&lt;&gt;"",CP$59,IF(IFERROR(INDEX(醫師週班表!$C$5:$T$44,$CU14,CP$57),"")=0,"",IF(MID(IFERROR(INDEX(醫師週班表!$C$5:$T$44,$CU14,CP$57),""),2,1)="/",MID(IFERROR(INDEX(醫師週班表!$C$5:$T$44,$CU14,CP$57),""),1+CP$58*2,1),IF(MID(IFERROR(INDEX(醫師週班表!$C$5:$T$44,$CU14,CP$57),""),3,1)="隔",IF(CP$58=0,LEFT(IFERROR(INDEX(醫師週班表!$C$5:$T$44,$CU14,CP$57),""),1),""),IF(MID(IFERROR(INDEX(醫師週班表!$C$5:$T$44,$CU14,CP$57),""),2,1)="(",LEFT(IFERROR(INDEX(醫師週班表!$C$5:$T$44,$CU14,CP$57),""),1),IFERROR(INDEX(醫師週班表!$C$5:$T$44,$CU14,CP$57),"")))))))</f>
        <v/>
      </c>
      <c r="CQ14" s="71">
        <f>IF(CQ$59="X","",IF(CQ$59&lt;&gt;"",CQ$59,IF(IFERROR(INDEX(醫師週班表!$C$5:$T$44,$CU14,CQ$57),"")=0,"",IF(MID(IFERROR(INDEX(醫師週班表!$C$5:$T$44,$CU14,CQ$57),""),2,1)="/",MID(IFERROR(INDEX(醫師週班表!$C$5:$T$44,$CU14,CQ$57),""),1+CQ$58*2,1),IF(MID(IFERROR(INDEX(醫師週班表!$C$5:$T$44,$CU14,CQ$57),""),3,1)="隔",IF(CQ$58=0,LEFT(IFERROR(INDEX(醫師週班表!$C$5:$T$44,$CU14,CQ$57),""),1),""),IF(MID(IFERROR(INDEX(醫師週班表!$C$5:$T$44,$CU14,CQ$57),""),2,1)="(",LEFT(IFERROR(INDEX(醫師週班表!$C$5:$T$44,$CU14,CQ$57),""),1),IFERROR(INDEX(醫師週班表!$C$5:$T$44,$CU14,CQ$57),"")))))))</f>
        <v/>
      </c>
      <c r="CR14" s="72">
        <f>IF(CR$59="X","",IF(CR$59&lt;&gt;"",CR$59,IF(IFERROR(INDEX(醫師週班表!$C$5:$T$44,$CU14,CR$57),"")=0,"",IF(MID(IFERROR(INDEX(醫師週班表!$C$5:$T$44,$CU14,CR$57),""),2,1)="/",MID(IFERROR(INDEX(醫師週班表!$C$5:$T$44,$CU14,CR$57),""),1+CR$58*2,1),IF(MID(IFERROR(INDEX(醫師週班表!$C$5:$T$44,$CU14,CR$57),""),3,1)="隔",IF(CR$58=0,LEFT(IFERROR(INDEX(醫師週班表!$C$5:$T$44,$CU14,CR$57),""),1),""),IF(MID(IFERROR(INDEX(醫師週班表!$C$5:$T$44,$CU14,CR$57),""),2,1)="(",LEFT(IFERROR(INDEX(醫師週班表!$C$5:$T$44,$CU14,CR$57),""),1),IFERROR(INDEX(醫師週班表!$C$5:$T$44,$CU14,CR$57),"")))))))</f>
        <v/>
      </c>
      <c r="CS14" s="72">
        <f>IF(CS$59="X","",IF(CS$59&lt;&gt;"",CS$59,IF(IFERROR(INDEX(醫師週班表!$C$5:$T$44,$CU14,CS$57),"")=0,"",IF(MID(IFERROR(INDEX(醫師週班表!$C$5:$T$44,$CU14,CS$57),""),2,1)="/",MID(IFERROR(INDEX(醫師週班表!$C$5:$T$44,$CU14,CS$57),""),1+CS$58*2,1),IF(MID(IFERROR(INDEX(醫師週班表!$C$5:$T$44,$CU14,CS$57),""),3,1)="隔",IF(CS$58=0,LEFT(IFERROR(INDEX(醫師週班表!$C$5:$T$44,$CU14,CS$57),""),1),""),IF(MID(IFERROR(INDEX(醫師週班表!$C$5:$T$44,$CU14,CS$57),""),2,1)="(",LEFT(IFERROR(INDEX(醫師週班表!$C$5:$T$44,$CU14,CS$57),""),1),IFERROR(INDEX(醫師週班表!$C$5:$T$44,$CU14,CS$57),"")))))))</f>
        <v/>
      </c>
      <c r="CU14" s="73">
        <f>IFERROR(MATCH($A14,醫師週班表!$A$5:$A$44,0),0)</f>
        <v/>
      </c>
    </row>
    <row r="15" ht="17" customHeight="1">
      <c r="A15" s="19" t="inlineStr">
        <is>
          <t>D010</t>
        </is>
      </c>
      <c r="B15" s="16" t="inlineStr">
        <is>
          <t>蔡季軒</t>
        </is>
      </c>
      <c r="C15" s="70" t="inlineStr"/>
      <c r="D15" s="16" t="inlineStr"/>
      <c r="E15" s="71">
        <f>IF(E$59="X","",IF(E$59&lt;&gt;"",E$59,IF(IFERROR(INDEX(醫師週班表!$C$5:$T$44,$CU15,E$57),"")=0,"",IF(MID(IFERROR(INDEX(醫師週班表!$C$5:$T$44,$CU15,E$57),""),2,1)="/",MID(IFERROR(INDEX(醫師週班表!$C$5:$T$44,$CU15,E$57),""),1+E$58*2,1),IF(MID(IFERROR(INDEX(醫師週班表!$C$5:$T$44,$CU15,E$57),""),3,1)="隔",IF(E$58=0,LEFT(IFERROR(INDEX(醫師週班表!$C$5:$T$44,$CU15,E$57),""),1),""),IF(MID(IFERROR(INDEX(醫師週班表!$C$5:$T$44,$CU15,E$57),""),2,1)="(",LEFT(IFERROR(INDEX(醫師週班表!$C$5:$T$44,$CU15,E$57),""),1),IFERROR(INDEX(醫師週班表!$C$5:$T$44,$CU15,E$57),"")))))))</f>
        <v/>
      </c>
      <c r="F15" s="72">
        <f>IF(F$59="X","",IF(F$59&lt;&gt;"",F$59,IF(IFERROR(INDEX(醫師週班表!$C$5:$T$44,$CU15,F$57),"")=0,"",IF(MID(IFERROR(INDEX(醫師週班表!$C$5:$T$44,$CU15,F$57),""),2,1)="/",MID(IFERROR(INDEX(醫師週班表!$C$5:$T$44,$CU15,F$57),""),1+F$58*2,1),IF(MID(IFERROR(INDEX(醫師週班表!$C$5:$T$44,$CU15,F$57),""),3,1)="隔",IF(F$58=0,LEFT(IFERROR(INDEX(醫師週班表!$C$5:$T$44,$CU15,F$57),""),1),""),IF(MID(IFERROR(INDEX(醫師週班表!$C$5:$T$44,$CU15,F$57),""),2,1)="(",LEFT(IFERROR(INDEX(醫師週班表!$C$5:$T$44,$CU15,F$57),""),1),IFERROR(INDEX(醫師週班表!$C$5:$T$44,$CU15,F$57),"")))))))</f>
        <v/>
      </c>
      <c r="G15" s="72">
        <f>IF(G$59="X","",IF(G$59&lt;&gt;"",G$59,IF(IFERROR(INDEX(醫師週班表!$C$5:$T$44,$CU15,G$57),"")=0,"",IF(MID(IFERROR(INDEX(醫師週班表!$C$5:$T$44,$CU15,G$57),""),2,1)="/",MID(IFERROR(INDEX(醫師週班表!$C$5:$T$44,$CU15,G$57),""),1+G$58*2,1),IF(MID(IFERROR(INDEX(醫師週班表!$C$5:$T$44,$CU15,G$57),""),3,1)="隔",IF(G$58=0,LEFT(IFERROR(INDEX(醫師週班表!$C$5:$T$44,$CU15,G$57),""),1),""),IF(MID(IFERROR(INDEX(醫師週班表!$C$5:$T$44,$CU15,G$57),""),2,1)="(",LEFT(IFERROR(INDEX(醫師週班表!$C$5:$T$44,$CU15,G$57),""),1),IFERROR(INDEX(醫師週班表!$C$5:$T$44,$CU15,G$57),"")))))))</f>
        <v/>
      </c>
      <c r="H15" s="71">
        <f>IF(H$59="X","",IF(H$59&lt;&gt;"",H$59,IF(IFERROR(INDEX(醫師週班表!$C$5:$T$44,$CU15,H$57),"")=0,"",IF(MID(IFERROR(INDEX(醫師週班表!$C$5:$T$44,$CU15,H$57),""),2,1)="/",MID(IFERROR(INDEX(醫師週班表!$C$5:$T$44,$CU15,H$57),""),1+H$58*2,1),IF(MID(IFERROR(INDEX(醫師週班表!$C$5:$T$44,$CU15,H$57),""),3,1)="隔",IF(H$58=0,LEFT(IFERROR(INDEX(醫師週班表!$C$5:$T$44,$CU15,H$57),""),1),""),IF(MID(IFERROR(INDEX(醫師週班表!$C$5:$T$44,$CU15,H$57),""),2,1)="(",LEFT(IFERROR(INDEX(醫師週班表!$C$5:$T$44,$CU15,H$57),""),1),IFERROR(INDEX(醫師週班表!$C$5:$T$44,$CU15,H$57),"")))))))</f>
        <v/>
      </c>
      <c r="I15" s="72">
        <f>IF(I$59="X","",IF(I$59&lt;&gt;"",I$59,IF(IFERROR(INDEX(醫師週班表!$C$5:$T$44,$CU15,I$57),"")=0,"",IF(MID(IFERROR(INDEX(醫師週班表!$C$5:$T$44,$CU15,I$57),""),2,1)="/",MID(IFERROR(INDEX(醫師週班表!$C$5:$T$44,$CU15,I$57),""),1+I$58*2,1),IF(MID(IFERROR(INDEX(醫師週班表!$C$5:$T$44,$CU15,I$57),""),3,1)="隔",IF(I$58=0,LEFT(IFERROR(INDEX(醫師週班表!$C$5:$T$44,$CU15,I$57),""),1),""),IF(MID(IFERROR(INDEX(醫師週班表!$C$5:$T$44,$CU15,I$57),""),2,1)="(",LEFT(IFERROR(INDEX(醫師週班表!$C$5:$T$44,$CU15,I$57),""),1),IFERROR(INDEX(醫師週班表!$C$5:$T$44,$CU15,I$57),"")))))))</f>
        <v/>
      </c>
      <c r="J15" s="72">
        <f>IF(J$59="X","",IF(J$59&lt;&gt;"",J$59,IF(IFERROR(INDEX(醫師週班表!$C$5:$T$44,$CU15,J$57),"")=0,"",IF(MID(IFERROR(INDEX(醫師週班表!$C$5:$T$44,$CU15,J$57),""),2,1)="/",MID(IFERROR(INDEX(醫師週班表!$C$5:$T$44,$CU15,J$57),""),1+J$58*2,1),IF(MID(IFERROR(INDEX(醫師週班表!$C$5:$T$44,$CU15,J$57),""),3,1)="隔",IF(J$58=0,LEFT(IFERROR(INDEX(醫師週班表!$C$5:$T$44,$CU15,J$57),""),1),""),IF(MID(IFERROR(INDEX(醫師週班表!$C$5:$T$44,$CU15,J$57),""),2,1)="(",LEFT(IFERROR(INDEX(醫師週班表!$C$5:$T$44,$CU15,J$57),""),1),IFERROR(INDEX(醫師週班表!$C$5:$T$44,$CU15,J$57),"")))))))</f>
        <v/>
      </c>
      <c r="K15" s="71">
        <f>IF(K$59="X","",IF(K$59&lt;&gt;"",K$59,IF(IFERROR(INDEX(醫師週班表!$C$5:$T$44,$CU15,K$57),"")=0,"",IF(MID(IFERROR(INDEX(醫師週班表!$C$5:$T$44,$CU15,K$57),""),2,1)="/",MID(IFERROR(INDEX(醫師週班表!$C$5:$T$44,$CU15,K$57),""),1+K$58*2,1),IF(MID(IFERROR(INDEX(醫師週班表!$C$5:$T$44,$CU15,K$57),""),3,1)="隔",IF(K$58=0,LEFT(IFERROR(INDEX(醫師週班表!$C$5:$T$44,$CU15,K$57),""),1),""),IF(MID(IFERROR(INDEX(醫師週班表!$C$5:$T$44,$CU15,K$57),""),2,1)="(",LEFT(IFERROR(INDEX(醫師週班表!$C$5:$T$44,$CU15,K$57),""),1),IFERROR(INDEX(醫師週班表!$C$5:$T$44,$CU15,K$57),"")))))))</f>
        <v/>
      </c>
      <c r="L15" s="72">
        <f>IF(L$59="X","",IF(L$59&lt;&gt;"",L$59,IF(IFERROR(INDEX(醫師週班表!$C$5:$T$44,$CU15,L$57),"")=0,"",IF(MID(IFERROR(INDEX(醫師週班表!$C$5:$T$44,$CU15,L$57),""),2,1)="/",MID(IFERROR(INDEX(醫師週班表!$C$5:$T$44,$CU15,L$57),""),1+L$58*2,1),IF(MID(IFERROR(INDEX(醫師週班表!$C$5:$T$44,$CU15,L$57),""),3,1)="隔",IF(L$58=0,LEFT(IFERROR(INDEX(醫師週班表!$C$5:$T$44,$CU15,L$57),""),1),""),IF(MID(IFERROR(INDEX(醫師週班表!$C$5:$T$44,$CU15,L$57),""),2,1)="(",LEFT(IFERROR(INDEX(醫師週班表!$C$5:$T$44,$CU15,L$57),""),1),IFERROR(INDEX(醫師週班表!$C$5:$T$44,$CU15,L$57),"")))))))</f>
        <v/>
      </c>
      <c r="M15" s="72">
        <f>IF(M$59="X","",IF(M$59&lt;&gt;"",M$59,IF(IFERROR(INDEX(醫師週班表!$C$5:$T$44,$CU15,M$57),"")=0,"",IF(MID(IFERROR(INDEX(醫師週班表!$C$5:$T$44,$CU15,M$57),""),2,1)="/",MID(IFERROR(INDEX(醫師週班表!$C$5:$T$44,$CU15,M$57),""),1+M$58*2,1),IF(MID(IFERROR(INDEX(醫師週班表!$C$5:$T$44,$CU15,M$57),""),3,1)="隔",IF(M$58=0,LEFT(IFERROR(INDEX(醫師週班表!$C$5:$T$44,$CU15,M$57),""),1),""),IF(MID(IFERROR(INDEX(醫師週班表!$C$5:$T$44,$CU15,M$57),""),2,1)="(",LEFT(IFERROR(INDEX(醫師週班表!$C$5:$T$44,$CU15,M$57),""),1),IFERROR(INDEX(醫師週班表!$C$5:$T$44,$CU15,M$57),"")))))))</f>
        <v/>
      </c>
      <c r="N15" s="71">
        <f>IF(N$59="X","",IF(N$59&lt;&gt;"",N$59,IF(IFERROR(INDEX(醫師週班表!$C$5:$T$44,$CU15,N$57),"")=0,"",IF(MID(IFERROR(INDEX(醫師週班表!$C$5:$T$44,$CU15,N$57),""),2,1)="/",MID(IFERROR(INDEX(醫師週班表!$C$5:$T$44,$CU15,N$57),""),1+N$58*2,1),IF(MID(IFERROR(INDEX(醫師週班表!$C$5:$T$44,$CU15,N$57),""),3,1)="隔",IF(N$58=0,LEFT(IFERROR(INDEX(醫師週班表!$C$5:$T$44,$CU15,N$57),""),1),""),IF(MID(IFERROR(INDEX(醫師週班表!$C$5:$T$44,$CU15,N$57),""),2,1)="(",LEFT(IFERROR(INDEX(醫師週班表!$C$5:$T$44,$CU15,N$57),""),1),IFERROR(INDEX(醫師週班表!$C$5:$T$44,$CU15,N$57),"")))))))</f>
        <v/>
      </c>
      <c r="O15" s="72">
        <f>IF(O$59="X","",IF(O$59&lt;&gt;"",O$59,IF(IFERROR(INDEX(醫師週班表!$C$5:$T$44,$CU15,O$57),"")=0,"",IF(MID(IFERROR(INDEX(醫師週班表!$C$5:$T$44,$CU15,O$57),""),2,1)="/",MID(IFERROR(INDEX(醫師週班表!$C$5:$T$44,$CU15,O$57),""),1+O$58*2,1),IF(MID(IFERROR(INDEX(醫師週班表!$C$5:$T$44,$CU15,O$57),""),3,1)="隔",IF(O$58=0,LEFT(IFERROR(INDEX(醫師週班表!$C$5:$T$44,$CU15,O$57),""),1),""),IF(MID(IFERROR(INDEX(醫師週班表!$C$5:$T$44,$CU15,O$57),""),2,1)="(",LEFT(IFERROR(INDEX(醫師週班表!$C$5:$T$44,$CU15,O$57),""),1),IFERROR(INDEX(醫師週班表!$C$5:$T$44,$CU15,O$57),"")))))))</f>
        <v/>
      </c>
      <c r="P15" s="72">
        <f>IF(P$59="X","",IF(P$59&lt;&gt;"",P$59,IF(IFERROR(INDEX(醫師週班表!$C$5:$T$44,$CU15,P$57),"")=0,"",IF(MID(IFERROR(INDEX(醫師週班表!$C$5:$T$44,$CU15,P$57),""),2,1)="/",MID(IFERROR(INDEX(醫師週班表!$C$5:$T$44,$CU15,P$57),""),1+P$58*2,1),IF(MID(IFERROR(INDEX(醫師週班表!$C$5:$T$44,$CU15,P$57),""),3,1)="隔",IF(P$58=0,LEFT(IFERROR(INDEX(醫師週班表!$C$5:$T$44,$CU15,P$57),""),1),""),IF(MID(IFERROR(INDEX(醫師週班表!$C$5:$T$44,$CU15,P$57),""),2,1)="(",LEFT(IFERROR(INDEX(醫師週班表!$C$5:$T$44,$CU15,P$57),""),1),IFERROR(INDEX(醫師週班表!$C$5:$T$44,$CU15,P$57),"")))))))</f>
        <v/>
      </c>
      <c r="Q15" s="71">
        <f>IF(Q$59="X","",IF(Q$59&lt;&gt;"",Q$59,IF(IFERROR(INDEX(醫師週班表!$C$5:$T$44,$CU15,Q$57),"")=0,"",IF(MID(IFERROR(INDEX(醫師週班表!$C$5:$T$44,$CU15,Q$57),""),2,1)="/",MID(IFERROR(INDEX(醫師週班表!$C$5:$T$44,$CU15,Q$57),""),1+Q$58*2,1),IF(MID(IFERROR(INDEX(醫師週班表!$C$5:$T$44,$CU15,Q$57),""),3,1)="隔",IF(Q$58=0,LEFT(IFERROR(INDEX(醫師週班表!$C$5:$T$44,$CU15,Q$57),""),1),""),IF(MID(IFERROR(INDEX(醫師週班表!$C$5:$T$44,$CU15,Q$57),""),2,1)="(",LEFT(IFERROR(INDEX(醫師週班表!$C$5:$T$44,$CU15,Q$57),""),1),IFERROR(INDEX(醫師週班表!$C$5:$T$44,$CU15,Q$57),"")))))))</f>
        <v/>
      </c>
      <c r="R15" s="72">
        <f>IF(R$59="X","",IF(R$59&lt;&gt;"",R$59,IF(IFERROR(INDEX(醫師週班表!$C$5:$T$44,$CU15,R$57),"")=0,"",IF(MID(IFERROR(INDEX(醫師週班表!$C$5:$T$44,$CU15,R$57),""),2,1)="/",MID(IFERROR(INDEX(醫師週班表!$C$5:$T$44,$CU15,R$57),""),1+R$58*2,1),IF(MID(IFERROR(INDEX(醫師週班表!$C$5:$T$44,$CU15,R$57),""),3,1)="隔",IF(R$58=0,LEFT(IFERROR(INDEX(醫師週班表!$C$5:$T$44,$CU15,R$57),""),1),""),IF(MID(IFERROR(INDEX(醫師週班表!$C$5:$T$44,$CU15,R$57),""),2,1)="(",LEFT(IFERROR(INDEX(醫師週班表!$C$5:$T$44,$CU15,R$57),""),1),IFERROR(INDEX(醫師週班表!$C$5:$T$44,$CU15,R$57),"")))))))</f>
        <v/>
      </c>
      <c r="S15" s="72">
        <f>IF(S$59="X","",IF(S$59&lt;&gt;"",S$59,IF(IFERROR(INDEX(醫師週班表!$C$5:$T$44,$CU15,S$57),"")=0,"",IF(MID(IFERROR(INDEX(醫師週班表!$C$5:$T$44,$CU15,S$57),""),2,1)="/",MID(IFERROR(INDEX(醫師週班表!$C$5:$T$44,$CU15,S$57),""),1+S$58*2,1),IF(MID(IFERROR(INDEX(醫師週班表!$C$5:$T$44,$CU15,S$57),""),3,1)="隔",IF(S$58=0,LEFT(IFERROR(INDEX(醫師週班表!$C$5:$T$44,$CU15,S$57),""),1),""),IF(MID(IFERROR(INDEX(醫師週班表!$C$5:$T$44,$CU15,S$57),""),2,1)="(",LEFT(IFERROR(INDEX(醫師週班表!$C$5:$T$44,$CU15,S$57),""),1),IFERROR(INDEX(醫師週班表!$C$5:$T$44,$CU15,S$57),"")))))))</f>
        <v/>
      </c>
      <c r="T15" s="71">
        <f>IF(T$59="X","",IF(T$59&lt;&gt;"",T$59,IF(IFERROR(INDEX(醫師週班表!$C$5:$T$44,$CU15,T$57),"")=0,"",IF(MID(IFERROR(INDEX(醫師週班表!$C$5:$T$44,$CU15,T$57),""),2,1)="/",MID(IFERROR(INDEX(醫師週班表!$C$5:$T$44,$CU15,T$57),""),1+T$58*2,1),IF(MID(IFERROR(INDEX(醫師週班表!$C$5:$T$44,$CU15,T$57),""),3,1)="隔",IF(T$58=0,LEFT(IFERROR(INDEX(醫師週班表!$C$5:$T$44,$CU15,T$57),""),1),""),IF(MID(IFERROR(INDEX(醫師週班表!$C$5:$T$44,$CU15,T$57),""),2,1)="(",LEFT(IFERROR(INDEX(醫師週班表!$C$5:$T$44,$CU15,T$57),""),1),IFERROR(INDEX(醫師週班表!$C$5:$T$44,$CU15,T$57),"")))))))</f>
        <v/>
      </c>
      <c r="U15" s="72">
        <f>IF(U$59="X","",IF(U$59&lt;&gt;"",U$59,IF(IFERROR(INDEX(醫師週班表!$C$5:$T$44,$CU15,U$57),"")=0,"",IF(MID(IFERROR(INDEX(醫師週班表!$C$5:$T$44,$CU15,U$57),""),2,1)="/",MID(IFERROR(INDEX(醫師週班表!$C$5:$T$44,$CU15,U$57),""),1+U$58*2,1),IF(MID(IFERROR(INDEX(醫師週班表!$C$5:$T$44,$CU15,U$57),""),3,1)="隔",IF(U$58=0,LEFT(IFERROR(INDEX(醫師週班表!$C$5:$T$44,$CU15,U$57),""),1),""),IF(MID(IFERROR(INDEX(醫師週班表!$C$5:$T$44,$CU15,U$57),""),2,1)="(",LEFT(IFERROR(INDEX(醫師週班表!$C$5:$T$44,$CU15,U$57),""),1),IFERROR(INDEX(醫師週班表!$C$5:$T$44,$CU15,U$57),"")))))))</f>
        <v/>
      </c>
      <c r="V15" s="72">
        <f>IF(V$59="X","",IF(V$59&lt;&gt;"",V$59,IF(IFERROR(INDEX(醫師週班表!$C$5:$T$44,$CU15,V$57),"")=0,"",IF(MID(IFERROR(INDEX(醫師週班表!$C$5:$T$44,$CU15,V$57),""),2,1)="/",MID(IFERROR(INDEX(醫師週班表!$C$5:$T$44,$CU15,V$57),""),1+V$58*2,1),IF(MID(IFERROR(INDEX(醫師週班表!$C$5:$T$44,$CU15,V$57),""),3,1)="隔",IF(V$58=0,LEFT(IFERROR(INDEX(醫師週班表!$C$5:$T$44,$CU15,V$57),""),1),""),IF(MID(IFERROR(INDEX(醫師週班表!$C$5:$T$44,$CU15,V$57),""),2,1)="(",LEFT(IFERROR(INDEX(醫師週班表!$C$5:$T$44,$CU15,V$57),""),1),IFERROR(INDEX(醫師週班表!$C$5:$T$44,$CU15,V$57),"")))))))</f>
        <v/>
      </c>
      <c r="W15" s="71">
        <f>IF(W$59="X","",IF(W$59&lt;&gt;"",W$59,IF(IFERROR(INDEX(醫師週班表!$C$5:$T$44,$CU15,W$57),"")=0,"",IF(MID(IFERROR(INDEX(醫師週班表!$C$5:$T$44,$CU15,W$57),""),2,1)="/",MID(IFERROR(INDEX(醫師週班表!$C$5:$T$44,$CU15,W$57),""),1+W$58*2,1),IF(MID(IFERROR(INDEX(醫師週班表!$C$5:$T$44,$CU15,W$57),""),3,1)="隔",IF(W$58=0,LEFT(IFERROR(INDEX(醫師週班表!$C$5:$T$44,$CU15,W$57),""),1),""),IF(MID(IFERROR(INDEX(醫師週班表!$C$5:$T$44,$CU15,W$57),""),2,1)="(",LEFT(IFERROR(INDEX(醫師週班表!$C$5:$T$44,$CU15,W$57),""),1),IFERROR(INDEX(醫師週班表!$C$5:$T$44,$CU15,W$57),"")))))))</f>
        <v/>
      </c>
      <c r="X15" s="72">
        <f>IF(X$59="X","",IF(X$59&lt;&gt;"",X$59,IF(IFERROR(INDEX(醫師週班表!$C$5:$T$44,$CU15,X$57),"")=0,"",IF(MID(IFERROR(INDEX(醫師週班表!$C$5:$T$44,$CU15,X$57),""),2,1)="/",MID(IFERROR(INDEX(醫師週班表!$C$5:$T$44,$CU15,X$57),""),1+X$58*2,1),IF(MID(IFERROR(INDEX(醫師週班表!$C$5:$T$44,$CU15,X$57),""),3,1)="隔",IF(X$58=0,LEFT(IFERROR(INDEX(醫師週班表!$C$5:$T$44,$CU15,X$57),""),1),""),IF(MID(IFERROR(INDEX(醫師週班表!$C$5:$T$44,$CU15,X$57),""),2,1)="(",LEFT(IFERROR(INDEX(醫師週班表!$C$5:$T$44,$CU15,X$57),""),1),IFERROR(INDEX(醫師週班表!$C$5:$T$44,$CU15,X$57),"")))))))</f>
        <v/>
      </c>
      <c r="Y15" s="72">
        <f>IF(Y$59="X","",IF(Y$59&lt;&gt;"",Y$59,IF(IFERROR(INDEX(醫師週班表!$C$5:$T$44,$CU15,Y$57),"")=0,"",IF(MID(IFERROR(INDEX(醫師週班表!$C$5:$T$44,$CU15,Y$57),""),2,1)="/",MID(IFERROR(INDEX(醫師週班表!$C$5:$T$44,$CU15,Y$57),""),1+Y$58*2,1),IF(MID(IFERROR(INDEX(醫師週班表!$C$5:$T$44,$CU15,Y$57),""),3,1)="隔",IF(Y$58=0,LEFT(IFERROR(INDEX(醫師週班表!$C$5:$T$44,$CU15,Y$57),""),1),""),IF(MID(IFERROR(INDEX(醫師週班表!$C$5:$T$44,$CU15,Y$57),""),2,1)="(",LEFT(IFERROR(INDEX(醫師週班表!$C$5:$T$44,$CU15,Y$57),""),1),IFERROR(INDEX(醫師週班表!$C$5:$T$44,$CU15,Y$57),"")))))))</f>
        <v/>
      </c>
      <c r="Z15" s="71">
        <f>IF(Z$59="X","",IF(Z$59&lt;&gt;"",Z$59,IF(IFERROR(INDEX(醫師週班表!$C$5:$T$44,$CU15,Z$57),"")=0,"",IF(MID(IFERROR(INDEX(醫師週班表!$C$5:$T$44,$CU15,Z$57),""),2,1)="/",MID(IFERROR(INDEX(醫師週班表!$C$5:$T$44,$CU15,Z$57),""),1+Z$58*2,1),IF(MID(IFERROR(INDEX(醫師週班表!$C$5:$T$44,$CU15,Z$57),""),3,1)="隔",IF(Z$58=0,LEFT(IFERROR(INDEX(醫師週班表!$C$5:$T$44,$CU15,Z$57),""),1),""),IF(MID(IFERROR(INDEX(醫師週班表!$C$5:$T$44,$CU15,Z$57),""),2,1)="(",LEFT(IFERROR(INDEX(醫師週班表!$C$5:$T$44,$CU15,Z$57),""),1),IFERROR(INDEX(醫師週班表!$C$5:$T$44,$CU15,Z$57),"")))))))</f>
        <v/>
      </c>
      <c r="AA15" s="72">
        <f>IF(AA$59="X","",IF(AA$59&lt;&gt;"",AA$59,IF(IFERROR(INDEX(醫師週班表!$C$5:$T$44,$CU15,AA$57),"")=0,"",IF(MID(IFERROR(INDEX(醫師週班表!$C$5:$T$44,$CU15,AA$57),""),2,1)="/",MID(IFERROR(INDEX(醫師週班表!$C$5:$T$44,$CU15,AA$57),""),1+AA$58*2,1),IF(MID(IFERROR(INDEX(醫師週班表!$C$5:$T$44,$CU15,AA$57),""),3,1)="隔",IF(AA$58=0,LEFT(IFERROR(INDEX(醫師週班表!$C$5:$T$44,$CU15,AA$57),""),1),""),IF(MID(IFERROR(INDEX(醫師週班表!$C$5:$T$44,$CU15,AA$57),""),2,1)="(",LEFT(IFERROR(INDEX(醫師週班表!$C$5:$T$44,$CU15,AA$57),""),1),IFERROR(INDEX(醫師週班表!$C$5:$T$44,$CU15,AA$57),"")))))))</f>
        <v/>
      </c>
      <c r="AB15" s="72">
        <f>IF(AB$59="X","",IF(AB$59&lt;&gt;"",AB$59,IF(IFERROR(INDEX(醫師週班表!$C$5:$T$44,$CU15,AB$57),"")=0,"",IF(MID(IFERROR(INDEX(醫師週班表!$C$5:$T$44,$CU15,AB$57),""),2,1)="/",MID(IFERROR(INDEX(醫師週班表!$C$5:$T$44,$CU15,AB$57),""),1+AB$58*2,1),IF(MID(IFERROR(INDEX(醫師週班表!$C$5:$T$44,$CU15,AB$57),""),3,1)="隔",IF(AB$58=0,LEFT(IFERROR(INDEX(醫師週班表!$C$5:$T$44,$CU15,AB$57),""),1),""),IF(MID(IFERROR(INDEX(醫師週班表!$C$5:$T$44,$CU15,AB$57),""),2,1)="(",LEFT(IFERROR(INDEX(醫師週班表!$C$5:$T$44,$CU15,AB$57),""),1),IFERROR(INDEX(醫師週班表!$C$5:$T$44,$CU15,AB$57),"")))))))</f>
        <v/>
      </c>
      <c r="AC15" s="71">
        <f>IF(AC$59="X","",IF(AC$59&lt;&gt;"",AC$59,IF(IFERROR(INDEX(醫師週班表!$C$5:$T$44,$CU15,AC$57),"")=0,"",IF(MID(IFERROR(INDEX(醫師週班表!$C$5:$T$44,$CU15,AC$57),""),2,1)="/",MID(IFERROR(INDEX(醫師週班表!$C$5:$T$44,$CU15,AC$57),""),1+AC$58*2,1),IF(MID(IFERROR(INDEX(醫師週班表!$C$5:$T$44,$CU15,AC$57),""),3,1)="隔",IF(AC$58=0,LEFT(IFERROR(INDEX(醫師週班表!$C$5:$T$44,$CU15,AC$57),""),1),""),IF(MID(IFERROR(INDEX(醫師週班表!$C$5:$T$44,$CU15,AC$57),""),2,1)="(",LEFT(IFERROR(INDEX(醫師週班表!$C$5:$T$44,$CU15,AC$57),""),1),IFERROR(INDEX(醫師週班表!$C$5:$T$44,$CU15,AC$57),"")))))))</f>
        <v/>
      </c>
      <c r="AD15" s="72">
        <f>IF(AD$59="X","",IF(AD$59&lt;&gt;"",AD$59,IF(IFERROR(INDEX(醫師週班表!$C$5:$T$44,$CU15,AD$57),"")=0,"",IF(MID(IFERROR(INDEX(醫師週班表!$C$5:$T$44,$CU15,AD$57),""),2,1)="/",MID(IFERROR(INDEX(醫師週班表!$C$5:$T$44,$CU15,AD$57),""),1+AD$58*2,1),IF(MID(IFERROR(INDEX(醫師週班表!$C$5:$T$44,$CU15,AD$57),""),3,1)="隔",IF(AD$58=0,LEFT(IFERROR(INDEX(醫師週班表!$C$5:$T$44,$CU15,AD$57),""),1),""),IF(MID(IFERROR(INDEX(醫師週班表!$C$5:$T$44,$CU15,AD$57),""),2,1)="(",LEFT(IFERROR(INDEX(醫師週班表!$C$5:$T$44,$CU15,AD$57),""),1),IFERROR(INDEX(醫師週班表!$C$5:$T$44,$CU15,AD$57),"")))))))</f>
        <v/>
      </c>
      <c r="AE15" s="72">
        <f>IF(AE$59="X","",IF(AE$59&lt;&gt;"",AE$59,IF(IFERROR(INDEX(醫師週班表!$C$5:$T$44,$CU15,AE$57),"")=0,"",IF(MID(IFERROR(INDEX(醫師週班表!$C$5:$T$44,$CU15,AE$57),""),2,1)="/",MID(IFERROR(INDEX(醫師週班表!$C$5:$T$44,$CU15,AE$57),""),1+AE$58*2,1),IF(MID(IFERROR(INDEX(醫師週班表!$C$5:$T$44,$CU15,AE$57),""),3,1)="隔",IF(AE$58=0,LEFT(IFERROR(INDEX(醫師週班表!$C$5:$T$44,$CU15,AE$57),""),1),""),IF(MID(IFERROR(INDEX(醫師週班表!$C$5:$T$44,$CU15,AE$57),""),2,1)="(",LEFT(IFERROR(INDEX(醫師週班表!$C$5:$T$44,$CU15,AE$57),""),1),IFERROR(INDEX(醫師週班表!$C$5:$T$44,$CU15,AE$57),"")))))))</f>
        <v/>
      </c>
      <c r="AF15" s="71">
        <f>IF(AF$59="X","",IF(AF$59&lt;&gt;"",AF$59,IF(IFERROR(INDEX(醫師週班表!$C$5:$T$44,$CU15,AF$57),"")=0,"",IF(MID(IFERROR(INDEX(醫師週班表!$C$5:$T$44,$CU15,AF$57),""),2,1)="/",MID(IFERROR(INDEX(醫師週班表!$C$5:$T$44,$CU15,AF$57),""),1+AF$58*2,1),IF(MID(IFERROR(INDEX(醫師週班表!$C$5:$T$44,$CU15,AF$57),""),3,1)="隔",IF(AF$58=0,LEFT(IFERROR(INDEX(醫師週班表!$C$5:$T$44,$CU15,AF$57),""),1),""),IF(MID(IFERROR(INDEX(醫師週班表!$C$5:$T$44,$CU15,AF$57),""),2,1)="(",LEFT(IFERROR(INDEX(醫師週班表!$C$5:$T$44,$CU15,AF$57),""),1),IFERROR(INDEX(醫師週班表!$C$5:$T$44,$CU15,AF$57),"")))))))</f>
        <v/>
      </c>
      <c r="AG15" s="72">
        <f>IF(AG$59="X","",IF(AG$59&lt;&gt;"",AG$59,IF(IFERROR(INDEX(醫師週班表!$C$5:$T$44,$CU15,AG$57),"")=0,"",IF(MID(IFERROR(INDEX(醫師週班表!$C$5:$T$44,$CU15,AG$57),""),2,1)="/",MID(IFERROR(INDEX(醫師週班表!$C$5:$T$44,$CU15,AG$57),""),1+AG$58*2,1),IF(MID(IFERROR(INDEX(醫師週班表!$C$5:$T$44,$CU15,AG$57),""),3,1)="隔",IF(AG$58=0,LEFT(IFERROR(INDEX(醫師週班表!$C$5:$T$44,$CU15,AG$57),""),1),""),IF(MID(IFERROR(INDEX(醫師週班表!$C$5:$T$44,$CU15,AG$57),""),2,1)="(",LEFT(IFERROR(INDEX(醫師週班表!$C$5:$T$44,$CU15,AG$57),""),1),IFERROR(INDEX(醫師週班表!$C$5:$T$44,$CU15,AG$57),"")))))))</f>
        <v/>
      </c>
      <c r="AH15" s="72">
        <f>IF(AH$59="X","",IF(AH$59&lt;&gt;"",AH$59,IF(IFERROR(INDEX(醫師週班表!$C$5:$T$44,$CU15,AH$57),"")=0,"",IF(MID(IFERROR(INDEX(醫師週班表!$C$5:$T$44,$CU15,AH$57),""),2,1)="/",MID(IFERROR(INDEX(醫師週班表!$C$5:$T$44,$CU15,AH$57),""),1+AH$58*2,1),IF(MID(IFERROR(INDEX(醫師週班表!$C$5:$T$44,$CU15,AH$57),""),3,1)="隔",IF(AH$58=0,LEFT(IFERROR(INDEX(醫師週班表!$C$5:$T$44,$CU15,AH$57),""),1),""),IF(MID(IFERROR(INDEX(醫師週班表!$C$5:$T$44,$CU15,AH$57),""),2,1)="(",LEFT(IFERROR(INDEX(醫師週班表!$C$5:$T$44,$CU15,AH$57),""),1),IFERROR(INDEX(醫師週班表!$C$5:$T$44,$CU15,AH$57),"")))))))</f>
        <v/>
      </c>
      <c r="AI15" s="71">
        <f>IF(AI$59="X","",IF(AI$59&lt;&gt;"",AI$59,IF(IFERROR(INDEX(醫師週班表!$C$5:$T$44,$CU15,AI$57),"")=0,"",IF(MID(IFERROR(INDEX(醫師週班表!$C$5:$T$44,$CU15,AI$57),""),2,1)="/",MID(IFERROR(INDEX(醫師週班表!$C$5:$T$44,$CU15,AI$57),""),1+AI$58*2,1),IF(MID(IFERROR(INDEX(醫師週班表!$C$5:$T$44,$CU15,AI$57),""),3,1)="隔",IF(AI$58=0,LEFT(IFERROR(INDEX(醫師週班表!$C$5:$T$44,$CU15,AI$57),""),1),""),IF(MID(IFERROR(INDEX(醫師週班表!$C$5:$T$44,$CU15,AI$57),""),2,1)="(",LEFT(IFERROR(INDEX(醫師週班表!$C$5:$T$44,$CU15,AI$57),""),1),IFERROR(INDEX(醫師週班表!$C$5:$T$44,$CU15,AI$57),"")))))))</f>
        <v/>
      </c>
      <c r="AJ15" s="72">
        <f>IF(AJ$59="X","",IF(AJ$59&lt;&gt;"",AJ$59,IF(IFERROR(INDEX(醫師週班表!$C$5:$T$44,$CU15,AJ$57),"")=0,"",IF(MID(IFERROR(INDEX(醫師週班表!$C$5:$T$44,$CU15,AJ$57),""),2,1)="/",MID(IFERROR(INDEX(醫師週班表!$C$5:$T$44,$CU15,AJ$57),""),1+AJ$58*2,1),IF(MID(IFERROR(INDEX(醫師週班表!$C$5:$T$44,$CU15,AJ$57),""),3,1)="隔",IF(AJ$58=0,LEFT(IFERROR(INDEX(醫師週班表!$C$5:$T$44,$CU15,AJ$57),""),1),""),IF(MID(IFERROR(INDEX(醫師週班表!$C$5:$T$44,$CU15,AJ$57),""),2,1)="(",LEFT(IFERROR(INDEX(醫師週班表!$C$5:$T$44,$CU15,AJ$57),""),1),IFERROR(INDEX(醫師週班表!$C$5:$T$44,$CU15,AJ$57),"")))))))</f>
        <v/>
      </c>
      <c r="AK15" s="72">
        <f>IF(AK$59="X","",IF(AK$59&lt;&gt;"",AK$59,IF(IFERROR(INDEX(醫師週班表!$C$5:$T$44,$CU15,AK$57),"")=0,"",IF(MID(IFERROR(INDEX(醫師週班表!$C$5:$T$44,$CU15,AK$57),""),2,1)="/",MID(IFERROR(INDEX(醫師週班表!$C$5:$T$44,$CU15,AK$57),""),1+AK$58*2,1),IF(MID(IFERROR(INDEX(醫師週班表!$C$5:$T$44,$CU15,AK$57),""),3,1)="隔",IF(AK$58=0,LEFT(IFERROR(INDEX(醫師週班表!$C$5:$T$44,$CU15,AK$57),""),1),""),IF(MID(IFERROR(INDEX(醫師週班表!$C$5:$T$44,$CU15,AK$57),""),2,1)="(",LEFT(IFERROR(INDEX(醫師週班表!$C$5:$T$44,$CU15,AK$57),""),1),IFERROR(INDEX(醫師週班表!$C$5:$T$44,$CU15,AK$57),"")))))))</f>
        <v/>
      </c>
      <c r="AL15" s="71">
        <f>IF(AL$59="X","",IF(AL$59&lt;&gt;"",AL$59,IF(IFERROR(INDEX(醫師週班表!$C$5:$T$44,$CU15,AL$57),"")=0,"",IF(MID(IFERROR(INDEX(醫師週班表!$C$5:$T$44,$CU15,AL$57),""),2,1)="/",MID(IFERROR(INDEX(醫師週班表!$C$5:$T$44,$CU15,AL$57),""),1+AL$58*2,1),IF(MID(IFERROR(INDEX(醫師週班表!$C$5:$T$44,$CU15,AL$57),""),3,1)="隔",IF(AL$58=0,LEFT(IFERROR(INDEX(醫師週班表!$C$5:$T$44,$CU15,AL$57),""),1),""),IF(MID(IFERROR(INDEX(醫師週班表!$C$5:$T$44,$CU15,AL$57),""),2,1)="(",LEFT(IFERROR(INDEX(醫師週班表!$C$5:$T$44,$CU15,AL$57),""),1),IFERROR(INDEX(醫師週班表!$C$5:$T$44,$CU15,AL$57),"")))))))</f>
        <v/>
      </c>
      <c r="AM15" s="72">
        <f>IF(AM$59="X","",IF(AM$59&lt;&gt;"",AM$59,IF(IFERROR(INDEX(醫師週班表!$C$5:$T$44,$CU15,AM$57),"")=0,"",IF(MID(IFERROR(INDEX(醫師週班表!$C$5:$T$44,$CU15,AM$57),""),2,1)="/",MID(IFERROR(INDEX(醫師週班表!$C$5:$T$44,$CU15,AM$57),""),1+AM$58*2,1),IF(MID(IFERROR(INDEX(醫師週班表!$C$5:$T$44,$CU15,AM$57),""),3,1)="隔",IF(AM$58=0,LEFT(IFERROR(INDEX(醫師週班表!$C$5:$T$44,$CU15,AM$57),""),1),""),IF(MID(IFERROR(INDEX(醫師週班表!$C$5:$T$44,$CU15,AM$57),""),2,1)="(",LEFT(IFERROR(INDEX(醫師週班表!$C$5:$T$44,$CU15,AM$57),""),1),IFERROR(INDEX(醫師週班表!$C$5:$T$44,$CU15,AM$57),"")))))))</f>
        <v/>
      </c>
      <c r="AN15" s="72">
        <f>IF(AN$59="X","",IF(AN$59&lt;&gt;"",AN$59,IF(IFERROR(INDEX(醫師週班表!$C$5:$T$44,$CU15,AN$57),"")=0,"",IF(MID(IFERROR(INDEX(醫師週班表!$C$5:$T$44,$CU15,AN$57),""),2,1)="/",MID(IFERROR(INDEX(醫師週班表!$C$5:$T$44,$CU15,AN$57),""),1+AN$58*2,1),IF(MID(IFERROR(INDEX(醫師週班表!$C$5:$T$44,$CU15,AN$57),""),3,1)="隔",IF(AN$58=0,LEFT(IFERROR(INDEX(醫師週班表!$C$5:$T$44,$CU15,AN$57),""),1),""),IF(MID(IFERROR(INDEX(醫師週班表!$C$5:$T$44,$CU15,AN$57),""),2,1)="(",LEFT(IFERROR(INDEX(醫師週班表!$C$5:$T$44,$CU15,AN$57),""),1),IFERROR(INDEX(醫師週班表!$C$5:$T$44,$CU15,AN$57),"")))))))</f>
        <v/>
      </c>
      <c r="AO15" s="71">
        <f>IF(AO$59="X","",IF(AO$59&lt;&gt;"",AO$59,IF(IFERROR(INDEX(醫師週班表!$C$5:$T$44,$CU15,AO$57),"")=0,"",IF(MID(IFERROR(INDEX(醫師週班表!$C$5:$T$44,$CU15,AO$57),""),2,1)="/",MID(IFERROR(INDEX(醫師週班表!$C$5:$T$44,$CU15,AO$57),""),1+AO$58*2,1),IF(MID(IFERROR(INDEX(醫師週班表!$C$5:$T$44,$CU15,AO$57),""),3,1)="隔",IF(AO$58=0,LEFT(IFERROR(INDEX(醫師週班表!$C$5:$T$44,$CU15,AO$57),""),1),""),IF(MID(IFERROR(INDEX(醫師週班表!$C$5:$T$44,$CU15,AO$57),""),2,1)="(",LEFT(IFERROR(INDEX(醫師週班表!$C$5:$T$44,$CU15,AO$57),""),1),IFERROR(INDEX(醫師週班表!$C$5:$T$44,$CU15,AO$57),"")))))))</f>
        <v/>
      </c>
      <c r="AP15" s="72">
        <f>IF(AP$59="X","",IF(AP$59&lt;&gt;"",AP$59,IF(IFERROR(INDEX(醫師週班表!$C$5:$T$44,$CU15,AP$57),"")=0,"",IF(MID(IFERROR(INDEX(醫師週班表!$C$5:$T$44,$CU15,AP$57),""),2,1)="/",MID(IFERROR(INDEX(醫師週班表!$C$5:$T$44,$CU15,AP$57),""),1+AP$58*2,1),IF(MID(IFERROR(INDEX(醫師週班表!$C$5:$T$44,$CU15,AP$57),""),3,1)="隔",IF(AP$58=0,LEFT(IFERROR(INDEX(醫師週班表!$C$5:$T$44,$CU15,AP$57),""),1),""),IF(MID(IFERROR(INDEX(醫師週班表!$C$5:$T$44,$CU15,AP$57),""),2,1)="(",LEFT(IFERROR(INDEX(醫師週班表!$C$5:$T$44,$CU15,AP$57),""),1),IFERROR(INDEX(醫師週班表!$C$5:$T$44,$CU15,AP$57),"")))))))</f>
        <v/>
      </c>
      <c r="AQ15" s="72">
        <f>IF(AQ$59="X","",IF(AQ$59&lt;&gt;"",AQ$59,IF(IFERROR(INDEX(醫師週班表!$C$5:$T$44,$CU15,AQ$57),"")=0,"",IF(MID(IFERROR(INDEX(醫師週班表!$C$5:$T$44,$CU15,AQ$57),""),2,1)="/",MID(IFERROR(INDEX(醫師週班表!$C$5:$T$44,$CU15,AQ$57),""),1+AQ$58*2,1),IF(MID(IFERROR(INDEX(醫師週班表!$C$5:$T$44,$CU15,AQ$57),""),3,1)="隔",IF(AQ$58=0,LEFT(IFERROR(INDEX(醫師週班表!$C$5:$T$44,$CU15,AQ$57),""),1),""),IF(MID(IFERROR(INDEX(醫師週班表!$C$5:$T$44,$CU15,AQ$57),""),2,1)="(",LEFT(IFERROR(INDEX(醫師週班表!$C$5:$T$44,$CU15,AQ$57),""),1),IFERROR(INDEX(醫師週班表!$C$5:$T$44,$CU15,AQ$57),"")))))))</f>
        <v/>
      </c>
      <c r="AR15" s="71">
        <f>IF(AR$59="X","",IF(AR$59&lt;&gt;"",AR$59,IF(IFERROR(INDEX(醫師週班表!$C$5:$T$44,$CU15,AR$57),"")=0,"",IF(MID(IFERROR(INDEX(醫師週班表!$C$5:$T$44,$CU15,AR$57),""),2,1)="/",MID(IFERROR(INDEX(醫師週班表!$C$5:$T$44,$CU15,AR$57),""),1+AR$58*2,1),IF(MID(IFERROR(INDEX(醫師週班表!$C$5:$T$44,$CU15,AR$57),""),3,1)="隔",IF(AR$58=0,LEFT(IFERROR(INDEX(醫師週班表!$C$5:$T$44,$CU15,AR$57),""),1),""),IF(MID(IFERROR(INDEX(醫師週班表!$C$5:$T$44,$CU15,AR$57),""),2,1)="(",LEFT(IFERROR(INDEX(醫師週班表!$C$5:$T$44,$CU15,AR$57),""),1),IFERROR(INDEX(醫師週班表!$C$5:$T$44,$CU15,AR$57),"")))))))</f>
        <v/>
      </c>
      <c r="AS15" s="72">
        <f>IF(AS$59="X","",IF(AS$59&lt;&gt;"",AS$59,IF(IFERROR(INDEX(醫師週班表!$C$5:$T$44,$CU15,AS$57),"")=0,"",IF(MID(IFERROR(INDEX(醫師週班表!$C$5:$T$44,$CU15,AS$57),""),2,1)="/",MID(IFERROR(INDEX(醫師週班表!$C$5:$T$44,$CU15,AS$57),""),1+AS$58*2,1),IF(MID(IFERROR(INDEX(醫師週班表!$C$5:$T$44,$CU15,AS$57),""),3,1)="隔",IF(AS$58=0,LEFT(IFERROR(INDEX(醫師週班表!$C$5:$T$44,$CU15,AS$57),""),1),""),IF(MID(IFERROR(INDEX(醫師週班表!$C$5:$T$44,$CU15,AS$57),""),2,1)="(",LEFT(IFERROR(INDEX(醫師週班表!$C$5:$T$44,$CU15,AS$57),""),1),IFERROR(INDEX(醫師週班表!$C$5:$T$44,$CU15,AS$57),"")))))))</f>
        <v/>
      </c>
      <c r="AT15" s="72">
        <f>IF(AT$59="X","",IF(AT$59&lt;&gt;"",AT$59,IF(IFERROR(INDEX(醫師週班表!$C$5:$T$44,$CU15,AT$57),"")=0,"",IF(MID(IFERROR(INDEX(醫師週班表!$C$5:$T$44,$CU15,AT$57),""),2,1)="/",MID(IFERROR(INDEX(醫師週班表!$C$5:$T$44,$CU15,AT$57),""),1+AT$58*2,1),IF(MID(IFERROR(INDEX(醫師週班表!$C$5:$T$44,$CU15,AT$57),""),3,1)="隔",IF(AT$58=0,LEFT(IFERROR(INDEX(醫師週班表!$C$5:$T$44,$CU15,AT$57),""),1),""),IF(MID(IFERROR(INDEX(醫師週班表!$C$5:$T$44,$CU15,AT$57),""),2,1)="(",LEFT(IFERROR(INDEX(醫師週班表!$C$5:$T$44,$CU15,AT$57),""),1),IFERROR(INDEX(醫師週班表!$C$5:$T$44,$CU15,AT$57),"")))))))</f>
        <v/>
      </c>
      <c r="AU15" s="71">
        <f>IF(AU$59="X","",IF(AU$59&lt;&gt;"",AU$59,IF(IFERROR(INDEX(醫師週班表!$C$5:$T$44,$CU15,AU$57),"")=0,"",IF(MID(IFERROR(INDEX(醫師週班表!$C$5:$T$44,$CU15,AU$57),""),2,1)="/",MID(IFERROR(INDEX(醫師週班表!$C$5:$T$44,$CU15,AU$57),""),1+AU$58*2,1),IF(MID(IFERROR(INDEX(醫師週班表!$C$5:$T$44,$CU15,AU$57),""),3,1)="隔",IF(AU$58=0,LEFT(IFERROR(INDEX(醫師週班表!$C$5:$T$44,$CU15,AU$57),""),1),""),IF(MID(IFERROR(INDEX(醫師週班表!$C$5:$T$44,$CU15,AU$57),""),2,1)="(",LEFT(IFERROR(INDEX(醫師週班表!$C$5:$T$44,$CU15,AU$57),""),1),IFERROR(INDEX(醫師週班表!$C$5:$T$44,$CU15,AU$57),"")))))))</f>
        <v/>
      </c>
      <c r="AV15" s="72">
        <f>IF(AV$59="X","",IF(AV$59&lt;&gt;"",AV$59,IF(IFERROR(INDEX(醫師週班表!$C$5:$T$44,$CU15,AV$57),"")=0,"",IF(MID(IFERROR(INDEX(醫師週班表!$C$5:$T$44,$CU15,AV$57),""),2,1)="/",MID(IFERROR(INDEX(醫師週班表!$C$5:$T$44,$CU15,AV$57),""),1+AV$58*2,1),IF(MID(IFERROR(INDEX(醫師週班表!$C$5:$T$44,$CU15,AV$57),""),3,1)="隔",IF(AV$58=0,LEFT(IFERROR(INDEX(醫師週班表!$C$5:$T$44,$CU15,AV$57),""),1),""),IF(MID(IFERROR(INDEX(醫師週班表!$C$5:$T$44,$CU15,AV$57),""),2,1)="(",LEFT(IFERROR(INDEX(醫師週班表!$C$5:$T$44,$CU15,AV$57),""),1),IFERROR(INDEX(醫師週班表!$C$5:$T$44,$CU15,AV$57),"")))))))</f>
        <v/>
      </c>
      <c r="AW15" s="72">
        <f>IF(AW$59="X","",IF(AW$59&lt;&gt;"",AW$59,IF(IFERROR(INDEX(醫師週班表!$C$5:$T$44,$CU15,AW$57),"")=0,"",IF(MID(IFERROR(INDEX(醫師週班表!$C$5:$T$44,$CU15,AW$57),""),2,1)="/",MID(IFERROR(INDEX(醫師週班表!$C$5:$T$44,$CU15,AW$57),""),1+AW$58*2,1),IF(MID(IFERROR(INDEX(醫師週班表!$C$5:$T$44,$CU15,AW$57),""),3,1)="隔",IF(AW$58=0,LEFT(IFERROR(INDEX(醫師週班表!$C$5:$T$44,$CU15,AW$57),""),1),""),IF(MID(IFERROR(INDEX(醫師週班表!$C$5:$T$44,$CU15,AW$57),""),2,1)="(",LEFT(IFERROR(INDEX(醫師週班表!$C$5:$T$44,$CU15,AW$57),""),1),IFERROR(INDEX(醫師週班表!$C$5:$T$44,$CU15,AW$57),"")))))))</f>
        <v/>
      </c>
      <c r="AX15" s="71">
        <f>IF(AX$59="X","",IF(AX$59&lt;&gt;"",AX$59,IF(IFERROR(INDEX(醫師週班表!$C$5:$T$44,$CU15,AX$57),"")=0,"",IF(MID(IFERROR(INDEX(醫師週班表!$C$5:$T$44,$CU15,AX$57),""),2,1)="/",MID(IFERROR(INDEX(醫師週班表!$C$5:$T$44,$CU15,AX$57),""),1+AX$58*2,1),IF(MID(IFERROR(INDEX(醫師週班表!$C$5:$T$44,$CU15,AX$57),""),3,1)="隔",IF(AX$58=0,LEFT(IFERROR(INDEX(醫師週班表!$C$5:$T$44,$CU15,AX$57),""),1),""),IF(MID(IFERROR(INDEX(醫師週班表!$C$5:$T$44,$CU15,AX$57),""),2,1)="(",LEFT(IFERROR(INDEX(醫師週班表!$C$5:$T$44,$CU15,AX$57),""),1),IFERROR(INDEX(醫師週班表!$C$5:$T$44,$CU15,AX$57),"")))))))</f>
        <v/>
      </c>
      <c r="AY15" s="72">
        <f>IF(AY$59="X","",IF(AY$59&lt;&gt;"",AY$59,IF(IFERROR(INDEX(醫師週班表!$C$5:$T$44,$CU15,AY$57),"")=0,"",IF(MID(IFERROR(INDEX(醫師週班表!$C$5:$T$44,$CU15,AY$57),""),2,1)="/",MID(IFERROR(INDEX(醫師週班表!$C$5:$T$44,$CU15,AY$57),""),1+AY$58*2,1),IF(MID(IFERROR(INDEX(醫師週班表!$C$5:$T$44,$CU15,AY$57),""),3,1)="隔",IF(AY$58=0,LEFT(IFERROR(INDEX(醫師週班表!$C$5:$T$44,$CU15,AY$57),""),1),""),IF(MID(IFERROR(INDEX(醫師週班表!$C$5:$T$44,$CU15,AY$57),""),2,1)="(",LEFT(IFERROR(INDEX(醫師週班表!$C$5:$T$44,$CU15,AY$57),""),1),IFERROR(INDEX(醫師週班表!$C$5:$T$44,$CU15,AY$57),"")))))))</f>
        <v/>
      </c>
      <c r="AZ15" s="72">
        <f>IF(AZ$59="X","",IF(AZ$59&lt;&gt;"",AZ$59,IF(IFERROR(INDEX(醫師週班表!$C$5:$T$44,$CU15,AZ$57),"")=0,"",IF(MID(IFERROR(INDEX(醫師週班表!$C$5:$T$44,$CU15,AZ$57),""),2,1)="/",MID(IFERROR(INDEX(醫師週班表!$C$5:$T$44,$CU15,AZ$57),""),1+AZ$58*2,1),IF(MID(IFERROR(INDEX(醫師週班表!$C$5:$T$44,$CU15,AZ$57),""),3,1)="隔",IF(AZ$58=0,LEFT(IFERROR(INDEX(醫師週班表!$C$5:$T$44,$CU15,AZ$57),""),1),""),IF(MID(IFERROR(INDEX(醫師週班表!$C$5:$T$44,$CU15,AZ$57),""),2,1)="(",LEFT(IFERROR(INDEX(醫師週班表!$C$5:$T$44,$CU15,AZ$57),""),1),IFERROR(INDEX(醫師週班表!$C$5:$T$44,$CU15,AZ$57),"")))))))</f>
        <v/>
      </c>
      <c r="BA15" s="71">
        <f>IF(BA$59="X","",IF(BA$59&lt;&gt;"",BA$59,IF(IFERROR(INDEX(醫師週班表!$C$5:$T$44,$CU15,BA$57),"")=0,"",IF(MID(IFERROR(INDEX(醫師週班表!$C$5:$T$44,$CU15,BA$57),""),2,1)="/",MID(IFERROR(INDEX(醫師週班表!$C$5:$T$44,$CU15,BA$57),""),1+BA$58*2,1),IF(MID(IFERROR(INDEX(醫師週班表!$C$5:$T$44,$CU15,BA$57),""),3,1)="隔",IF(BA$58=0,LEFT(IFERROR(INDEX(醫師週班表!$C$5:$T$44,$CU15,BA$57),""),1),""),IF(MID(IFERROR(INDEX(醫師週班表!$C$5:$T$44,$CU15,BA$57),""),2,1)="(",LEFT(IFERROR(INDEX(醫師週班表!$C$5:$T$44,$CU15,BA$57),""),1),IFERROR(INDEX(醫師週班表!$C$5:$T$44,$CU15,BA$57),"")))))))</f>
        <v/>
      </c>
      <c r="BB15" s="72">
        <f>IF(BB$59="X","",IF(BB$59&lt;&gt;"",BB$59,IF(IFERROR(INDEX(醫師週班表!$C$5:$T$44,$CU15,BB$57),"")=0,"",IF(MID(IFERROR(INDEX(醫師週班表!$C$5:$T$44,$CU15,BB$57),""),2,1)="/",MID(IFERROR(INDEX(醫師週班表!$C$5:$T$44,$CU15,BB$57),""),1+BB$58*2,1),IF(MID(IFERROR(INDEX(醫師週班表!$C$5:$T$44,$CU15,BB$57),""),3,1)="隔",IF(BB$58=0,LEFT(IFERROR(INDEX(醫師週班表!$C$5:$T$44,$CU15,BB$57),""),1),""),IF(MID(IFERROR(INDEX(醫師週班表!$C$5:$T$44,$CU15,BB$57),""),2,1)="(",LEFT(IFERROR(INDEX(醫師週班表!$C$5:$T$44,$CU15,BB$57),""),1),IFERROR(INDEX(醫師週班表!$C$5:$T$44,$CU15,BB$57),"")))))))</f>
        <v/>
      </c>
      <c r="BC15" s="72">
        <f>IF(BC$59="X","",IF(BC$59&lt;&gt;"",BC$59,IF(IFERROR(INDEX(醫師週班表!$C$5:$T$44,$CU15,BC$57),"")=0,"",IF(MID(IFERROR(INDEX(醫師週班表!$C$5:$T$44,$CU15,BC$57),""),2,1)="/",MID(IFERROR(INDEX(醫師週班表!$C$5:$T$44,$CU15,BC$57),""),1+BC$58*2,1),IF(MID(IFERROR(INDEX(醫師週班表!$C$5:$T$44,$CU15,BC$57),""),3,1)="隔",IF(BC$58=0,LEFT(IFERROR(INDEX(醫師週班表!$C$5:$T$44,$CU15,BC$57),""),1),""),IF(MID(IFERROR(INDEX(醫師週班表!$C$5:$T$44,$CU15,BC$57),""),2,1)="(",LEFT(IFERROR(INDEX(醫師週班表!$C$5:$T$44,$CU15,BC$57),""),1),IFERROR(INDEX(醫師週班表!$C$5:$T$44,$CU15,BC$57),"")))))))</f>
        <v/>
      </c>
      <c r="BD15" s="71">
        <f>IF(BD$59="X","",IF(BD$59&lt;&gt;"",BD$59,IF(IFERROR(INDEX(醫師週班表!$C$5:$T$44,$CU15,BD$57),"")=0,"",IF(MID(IFERROR(INDEX(醫師週班表!$C$5:$T$44,$CU15,BD$57),""),2,1)="/",MID(IFERROR(INDEX(醫師週班表!$C$5:$T$44,$CU15,BD$57),""),1+BD$58*2,1),IF(MID(IFERROR(INDEX(醫師週班表!$C$5:$T$44,$CU15,BD$57),""),3,1)="隔",IF(BD$58=0,LEFT(IFERROR(INDEX(醫師週班表!$C$5:$T$44,$CU15,BD$57),""),1),""),IF(MID(IFERROR(INDEX(醫師週班表!$C$5:$T$44,$CU15,BD$57),""),2,1)="(",LEFT(IFERROR(INDEX(醫師週班表!$C$5:$T$44,$CU15,BD$57),""),1),IFERROR(INDEX(醫師週班表!$C$5:$T$44,$CU15,BD$57),"")))))))</f>
        <v/>
      </c>
      <c r="BE15" s="72">
        <f>IF(BE$59="X","",IF(BE$59&lt;&gt;"",BE$59,IF(IFERROR(INDEX(醫師週班表!$C$5:$T$44,$CU15,BE$57),"")=0,"",IF(MID(IFERROR(INDEX(醫師週班表!$C$5:$T$44,$CU15,BE$57),""),2,1)="/",MID(IFERROR(INDEX(醫師週班表!$C$5:$T$44,$CU15,BE$57),""),1+BE$58*2,1),IF(MID(IFERROR(INDEX(醫師週班表!$C$5:$T$44,$CU15,BE$57),""),3,1)="隔",IF(BE$58=0,LEFT(IFERROR(INDEX(醫師週班表!$C$5:$T$44,$CU15,BE$57),""),1),""),IF(MID(IFERROR(INDEX(醫師週班表!$C$5:$T$44,$CU15,BE$57),""),2,1)="(",LEFT(IFERROR(INDEX(醫師週班表!$C$5:$T$44,$CU15,BE$57),""),1),IFERROR(INDEX(醫師週班表!$C$5:$T$44,$CU15,BE$57),"")))))))</f>
        <v/>
      </c>
      <c r="BF15" s="72">
        <f>IF(BF$59="X","",IF(BF$59&lt;&gt;"",BF$59,IF(IFERROR(INDEX(醫師週班表!$C$5:$T$44,$CU15,BF$57),"")=0,"",IF(MID(IFERROR(INDEX(醫師週班表!$C$5:$T$44,$CU15,BF$57),""),2,1)="/",MID(IFERROR(INDEX(醫師週班表!$C$5:$T$44,$CU15,BF$57),""),1+BF$58*2,1),IF(MID(IFERROR(INDEX(醫師週班表!$C$5:$T$44,$CU15,BF$57),""),3,1)="隔",IF(BF$58=0,LEFT(IFERROR(INDEX(醫師週班表!$C$5:$T$44,$CU15,BF$57),""),1),""),IF(MID(IFERROR(INDEX(醫師週班表!$C$5:$T$44,$CU15,BF$57),""),2,1)="(",LEFT(IFERROR(INDEX(醫師週班表!$C$5:$T$44,$CU15,BF$57),""),1),IFERROR(INDEX(醫師週班表!$C$5:$T$44,$CU15,BF$57),"")))))))</f>
        <v/>
      </c>
      <c r="BG15" s="71">
        <f>IF(BG$59="X","",IF(BG$59&lt;&gt;"",BG$59,IF(IFERROR(INDEX(醫師週班表!$C$5:$T$44,$CU15,BG$57),"")=0,"",IF(MID(IFERROR(INDEX(醫師週班表!$C$5:$T$44,$CU15,BG$57),""),2,1)="/",MID(IFERROR(INDEX(醫師週班表!$C$5:$T$44,$CU15,BG$57),""),1+BG$58*2,1),IF(MID(IFERROR(INDEX(醫師週班表!$C$5:$T$44,$CU15,BG$57),""),3,1)="隔",IF(BG$58=0,LEFT(IFERROR(INDEX(醫師週班表!$C$5:$T$44,$CU15,BG$57),""),1),""),IF(MID(IFERROR(INDEX(醫師週班表!$C$5:$T$44,$CU15,BG$57),""),2,1)="(",LEFT(IFERROR(INDEX(醫師週班表!$C$5:$T$44,$CU15,BG$57),""),1),IFERROR(INDEX(醫師週班表!$C$5:$T$44,$CU15,BG$57),"")))))))</f>
        <v/>
      </c>
      <c r="BH15" s="72">
        <f>IF(BH$59="X","",IF(BH$59&lt;&gt;"",BH$59,IF(IFERROR(INDEX(醫師週班表!$C$5:$T$44,$CU15,BH$57),"")=0,"",IF(MID(IFERROR(INDEX(醫師週班表!$C$5:$T$44,$CU15,BH$57),""),2,1)="/",MID(IFERROR(INDEX(醫師週班表!$C$5:$T$44,$CU15,BH$57),""),1+BH$58*2,1),IF(MID(IFERROR(INDEX(醫師週班表!$C$5:$T$44,$CU15,BH$57),""),3,1)="隔",IF(BH$58=0,LEFT(IFERROR(INDEX(醫師週班表!$C$5:$T$44,$CU15,BH$57),""),1),""),IF(MID(IFERROR(INDEX(醫師週班表!$C$5:$T$44,$CU15,BH$57),""),2,1)="(",LEFT(IFERROR(INDEX(醫師週班表!$C$5:$T$44,$CU15,BH$57),""),1),IFERROR(INDEX(醫師週班表!$C$5:$T$44,$CU15,BH$57),"")))))))</f>
        <v/>
      </c>
      <c r="BI15" s="72">
        <f>IF(BI$59="X","",IF(BI$59&lt;&gt;"",BI$59,IF(IFERROR(INDEX(醫師週班表!$C$5:$T$44,$CU15,BI$57),"")=0,"",IF(MID(IFERROR(INDEX(醫師週班表!$C$5:$T$44,$CU15,BI$57),""),2,1)="/",MID(IFERROR(INDEX(醫師週班表!$C$5:$T$44,$CU15,BI$57),""),1+BI$58*2,1),IF(MID(IFERROR(INDEX(醫師週班表!$C$5:$T$44,$CU15,BI$57),""),3,1)="隔",IF(BI$58=0,LEFT(IFERROR(INDEX(醫師週班表!$C$5:$T$44,$CU15,BI$57),""),1),""),IF(MID(IFERROR(INDEX(醫師週班表!$C$5:$T$44,$CU15,BI$57),""),2,1)="(",LEFT(IFERROR(INDEX(醫師週班表!$C$5:$T$44,$CU15,BI$57),""),1),IFERROR(INDEX(醫師週班表!$C$5:$T$44,$CU15,BI$57),"")))))))</f>
        <v/>
      </c>
      <c r="BJ15" s="71">
        <f>IF(BJ$59="X","",IF(BJ$59&lt;&gt;"",BJ$59,IF(IFERROR(INDEX(醫師週班表!$C$5:$T$44,$CU15,BJ$57),"")=0,"",IF(MID(IFERROR(INDEX(醫師週班表!$C$5:$T$44,$CU15,BJ$57),""),2,1)="/",MID(IFERROR(INDEX(醫師週班表!$C$5:$T$44,$CU15,BJ$57),""),1+BJ$58*2,1),IF(MID(IFERROR(INDEX(醫師週班表!$C$5:$T$44,$CU15,BJ$57),""),3,1)="隔",IF(BJ$58=0,LEFT(IFERROR(INDEX(醫師週班表!$C$5:$T$44,$CU15,BJ$57),""),1),""),IF(MID(IFERROR(INDEX(醫師週班表!$C$5:$T$44,$CU15,BJ$57),""),2,1)="(",LEFT(IFERROR(INDEX(醫師週班表!$C$5:$T$44,$CU15,BJ$57),""),1),IFERROR(INDEX(醫師週班表!$C$5:$T$44,$CU15,BJ$57),"")))))))</f>
        <v/>
      </c>
      <c r="BK15" s="72">
        <f>IF(BK$59="X","",IF(BK$59&lt;&gt;"",BK$59,IF(IFERROR(INDEX(醫師週班表!$C$5:$T$44,$CU15,BK$57),"")=0,"",IF(MID(IFERROR(INDEX(醫師週班表!$C$5:$T$44,$CU15,BK$57),""),2,1)="/",MID(IFERROR(INDEX(醫師週班表!$C$5:$T$44,$CU15,BK$57),""),1+BK$58*2,1),IF(MID(IFERROR(INDEX(醫師週班表!$C$5:$T$44,$CU15,BK$57),""),3,1)="隔",IF(BK$58=0,LEFT(IFERROR(INDEX(醫師週班表!$C$5:$T$44,$CU15,BK$57),""),1),""),IF(MID(IFERROR(INDEX(醫師週班表!$C$5:$T$44,$CU15,BK$57),""),2,1)="(",LEFT(IFERROR(INDEX(醫師週班表!$C$5:$T$44,$CU15,BK$57),""),1),IFERROR(INDEX(醫師週班表!$C$5:$T$44,$CU15,BK$57),"")))))))</f>
        <v/>
      </c>
      <c r="BL15" s="72">
        <f>IF(BL$59="X","",IF(BL$59&lt;&gt;"",BL$59,IF(IFERROR(INDEX(醫師週班表!$C$5:$T$44,$CU15,BL$57),"")=0,"",IF(MID(IFERROR(INDEX(醫師週班表!$C$5:$T$44,$CU15,BL$57),""),2,1)="/",MID(IFERROR(INDEX(醫師週班表!$C$5:$T$44,$CU15,BL$57),""),1+BL$58*2,1),IF(MID(IFERROR(INDEX(醫師週班表!$C$5:$T$44,$CU15,BL$57),""),3,1)="隔",IF(BL$58=0,LEFT(IFERROR(INDEX(醫師週班表!$C$5:$T$44,$CU15,BL$57),""),1),""),IF(MID(IFERROR(INDEX(醫師週班表!$C$5:$T$44,$CU15,BL$57),""),2,1)="(",LEFT(IFERROR(INDEX(醫師週班表!$C$5:$T$44,$CU15,BL$57),""),1),IFERROR(INDEX(醫師週班表!$C$5:$T$44,$CU15,BL$57),"")))))))</f>
        <v/>
      </c>
      <c r="BM15" s="71">
        <f>IF(BM$59="X","",IF(BM$59&lt;&gt;"",BM$59,IF(IFERROR(INDEX(醫師週班表!$C$5:$T$44,$CU15,BM$57),"")=0,"",IF(MID(IFERROR(INDEX(醫師週班表!$C$5:$T$44,$CU15,BM$57),""),2,1)="/",MID(IFERROR(INDEX(醫師週班表!$C$5:$T$44,$CU15,BM$57),""),1+BM$58*2,1),IF(MID(IFERROR(INDEX(醫師週班表!$C$5:$T$44,$CU15,BM$57),""),3,1)="隔",IF(BM$58=0,LEFT(IFERROR(INDEX(醫師週班表!$C$5:$T$44,$CU15,BM$57),""),1),""),IF(MID(IFERROR(INDEX(醫師週班表!$C$5:$T$44,$CU15,BM$57),""),2,1)="(",LEFT(IFERROR(INDEX(醫師週班表!$C$5:$T$44,$CU15,BM$57),""),1),IFERROR(INDEX(醫師週班表!$C$5:$T$44,$CU15,BM$57),"")))))))</f>
        <v/>
      </c>
      <c r="BN15" s="72">
        <f>IF(BN$59="X","",IF(BN$59&lt;&gt;"",BN$59,IF(IFERROR(INDEX(醫師週班表!$C$5:$T$44,$CU15,BN$57),"")=0,"",IF(MID(IFERROR(INDEX(醫師週班表!$C$5:$T$44,$CU15,BN$57),""),2,1)="/",MID(IFERROR(INDEX(醫師週班表!$C$5:$T$44,$CU15,BN$57),""),1+BN$58*2,1),IF(MID(IFERROR(INDEX(醫師週班表!$C$5:$T$44,$CU15,BN$57),""),3,1)="隔",IF(BN$58=0,LEFT(IFERROR(INDEX(醫師週班表!$C$5:$T$44,$CU15,BN$57),""),1),""),IF(MID(IFERROR(INDEX(醫師週班表!$C$5:$T$44,$CU15,BN$57),""),2,1)="(",LEFT(IFERROR(INDEX(醫師週班表!$C$5:$T$44,$CU15,BN$57),""),1),IFERROR(INDEX(醫師週班表!$C$5:$T$44,$CU15,BN$57),"")))))))</f>
        <v/>
      </c>
      <c r="BO15" s="72">
        <f>IF(BO$59="X","",IF(BO$59&lt;&gt;"",BO$59,IF(IFERROR(INDEX(醫師週班表!$C$5:$T$44,$CU15,BO$57),"")=0,"",IF(MID(IFERROR(INDEX(醫師週班表!$C$5:$T$44,$CU15,BO$57),""),2,1)="/",MID(IFERROR(INDEX(醫師週班表!$C$5:$T$44,$CU15,BO$57),""),1+BO$58*2,1),IF(MID(IFERROR(INDEX(醫師週班表!$C$5:$T$44,$CU15,BO$57),""),3,1)="隔",IF(BO$58=0,LEFT(IFERROR(INDEX(醫師週班表!$C$5:$T$44,$CU15,BO$57),""),1),""),IF(MID(IFERROR(INDEX(醫師週班表!$C$5:$T$44,$CU15,BO$57),""),2,1)="(",LEFT(IFERROR(INDEX(醫師週班表!$C$5:$T$44,$CU15,BO$57),""),1),IFERROR(INDEX(醫師週班表!$C$5:$T$44,$CU15,BO$57),"")))))))</f>
        <v/>
      </c>
      <c r="BP15" s="71">
        <f>IF(BP$59="X","",IF(BP$59&lt;&gt;"",BP$59,IF(IFERROR(INDEX(醫師週班表!$C$5:$T$44,$CU15,BP$57),"")=0,"",IF(MID(IFERROR(INDEX(醫師週班表!$C$5:$T$44,$CU15,BP$57),""),2,1)="/",MID(IFERROR(INDEX(醫師週班表!$C$5:$T$44,$CU15,BP$57),""),1+BP$58*2,1),IF(MID(IFERROR(INDEX(醫師週班表!$C$5:$T$44,$CU15,BP$57),""),3,1)="隔",IF(BP$58=0,LEFT(IFERROR(INDEX(醫師週班表!$C$5:$T$44,$CU15,BP$57),""),1),""),IF(MID(IFERROR(INDEX(醫師週班表!$C$5:$T$44,$CU15,BP$57),""),2,1)="(",LEFT(IFERROR(INDEX(醫師週班表!$C$5:$T$44,$CU15,BP$57),""),1),IFERROR(INDEX(醫師週班表!$C$5:$T$44,$CU15,BP$57),"")))))))</f>
        <v/>
      </c>
      <c r="BQ15" s="72">
        <f>IF(BQ$59="X","",IF(BQ$59&lt;&gt;"",BQ$59,IF(IFERROR(INDEX(醫師週班表!$C$5:$T$44,$CU15,BQ$57),"")=0,"",IF(MID(IFERROR(INDEX(醫師週班表!$C$5:$T$44,$CU15,BQ$57),""),2,1)="/",MID(IFERROR(INDEX(醫師週班表!$C$5:$T$44,$CU15,BQ$57),""),1+BQ$58*2,1),IF(MID(IFERROR(INDEX(醫師週班表!$C$5:$T$44,$CU15,BQ$57),""),3,1)="隔",IF(BQ$58=0,LEFT(IFERROR(INDEX(醫師週班表!$C$5:$T$44,$CU15,BQ$57),""),1),""),IF(MID(IFERROR(INDEX(醫師週班表!$C$5:$T$44,$CU15,BQ$57),""),2,1)="(",LEFT(IFERROR(INDEX(醫師週班表!$C$5:$T$44,$CU15,BQ$57),""),1),IFERROR(INDEX(醫師週班表!$C$5:$T$44,$CU15,BQ$57),"")))))))</f>
        <v/>
      </c>
      <c r="BR15" s="72">
        <f>IF(BR$59="X","",IF(BR$59&lt;&gt;"",BR$59,IF(IFERROR(INDEX(醫師週班表!$C$5:$T$44,$CU15,BR$57),"")=0,"",IF(MID(IFERROR(INDEX(醫師週班表!$C$5:$T$44,$CU15,BR$57),""),2,1)="/",MID(IFERROR(INDEX(醫師週班表!$C$5:$T$44,$CU15,BR$57),""),1+BR$58*2,1),IF(MID(IFERROR(INDEX(醫師週班表!$C$5:$T$44,$CU15,BR$57),""),3,1)="隔",IF(BR$58=0,LEFT(IFERROR(INDEX(醫師週班表!$C$5:$T$44,$CU15,BR$57),""),1),""),IF(MID(IFERROR(INDEX(醫師週班表!$C$5:$T$44,$CU15,BR$57),""),2,1)="(",LEFT(IFERROR(INDEX(醫師週班表!$C$5:$T$44,$CU15,BR$57),""),1),IFERROR(INDEX(醫師週班表!$C$5:$T$44,$CU15,BR$57),"")))))))</f>
        <v/>
      </c>
      <c r="BS15" s="71">
        <f>IF(BS$59="X","",IF(BS$59&lt;&gt;"",BS$59,IF(IFERROR(INDEX(醫師週班表!$C$5:$T$44,$CU15,BS$57),"")=0,"",IF(MID(IFERROR(INDEX(醫師週班表!$C$5:$T$44,$CU15,BS$57),""),2,1)="/",MID(IFERROR(INDEX(醫師週班表!$C$5:$T$44,$CU15,BS$57),""),1+BS$58*2,1),IF(MID(IFERROR(INDEX(醫師週班表!$C$5:$T$44,$CU15,BS$57),""),3,1)="隔",IF(BS$58=0,LEFT(IFERROR(INDEX(醫師週班表!$C$5:$T$44,$CU15,BS$57),""),1),""),IF(MID(IFERROR(INDEX(醫師週班表!$C$5:$T$44,$CU15,BS$57),""),2,1)="(",LEFT(IFERROR(INDEX(醫師週班表!$C$5:$T$44,$CU15,BS$57),""),1),IFERROR(INDEX(醫師週班表!$C$5:$T$44,$CU15,BS$57),"")))))))</f>
        <v/>
      </c>
      <c r="BT15" s="72">
        <f>IF(BT$59="X","",IF(BT$59&lt;&gt;"",BT$59,IF(IFERROR(INDEX(醫師週班表!$C$5:$T$44,$CU15,BT$57),"")=0,"",IF(MID(IFERROR(INDEX(醫師週班表!$C$5:$T$44,$CU15,BT$57),""),2,1)="/",MID(IFERROR(INDEX(醫師週班表!$C$5:$T$44,$CU15,BT$57),""),1+BT$58*2,1),IF(MID(IFERROR(INDEX(醫師週班表!$C$5:$T$44,$CU15,BT$57),""),3,1)="隔",IF(BT$58=0,LEFT(IFERROR(INDEX(醫師週班表!$C$5:$T$44,$CU15,BT$57),""),1),""),IF(MID(IFERROR(INDEX(醫師週班表!$C$5:$T$44,$CU15,BT$57),""),2,1)="(",LEFT(IFERROR(INDEX(醫師週班表!$C$5:$T$44,$CU15,BT$57),""),1),IFERROR(INDEX(醫師週班表!$C$5:$T$44,$CU15,BT$57),"")))))))</f>
        <v/>
      </c>
      <c r="BU15" s="72">
        <f>IF(BU$59="X","",IF(BU$59&lt;&gt;"",BU$59,IF(IFERROR(INDEX(醫師週班表!$C$5:$T$44,$CU15,BU$57),"")=0,"",IF(MID(IFERROR(INDEX(醫師週班表!$C$5:$T$44,$CU15,BU$57),""),2,1)="/",MID(IFERROR(INDEX(醫師週班表!$C$5:$T$44,$CU15,BU$57),""),1+BU$58*2,1),IF(MID(IFERROR(INDEX(醫師週班表!$C$5:$T$44,$CU15,BU$57),""),3,1)="隔",IF(BU$58=0,LEFT(IFERROR(INDEX(醫師週班表!$C$5:$T$44,$CU15,BU$57),""),1),""),IF(MID(IFERROR(INDEX(醫師週班表!$C$5:$T$44,$CU15,BU$57),""),2,1)="(",LEFT(IFERROR(INDEX(醫師週班表!$C$5:$T$44,$CU15,BU$57),""),1),IFERROR(INDEX(醫師週班表!$C$5:$T$44,$CU15,BU$57),"")))))))</f>
        <v/>
      </c>
      <c r="BV15" s="71">
        <f>IF(BV$59="X","",IF(BV$59&lt;&gt;"",BV$59,IF(IFERROR(INDEX(醫師週班表!$C$5:$T$44,$CU15,BV$57),"")=0,"",IF(MID(IFERROR(INDEX(醫師週班表!$C$5:$T$44,$CU15,BV$57),""),2,1)="/",MID(IFERROR(INDEX(醫師週班表!$C$5:$T$44,$CU15,BV$57),""),1+BV$58*2,1),IF(MID(IFERROR(INDEX(醫師週班表!$C$5:$T$44,$CU15,BV$57),""),3,1)="隔",IF(BV$58=0,LEFT(IFERROR(INDEX(醫師週班表!$C$5:$T$44,$CU15,BV$57),""),1),""),IF(MID(IFERROR(INDEX(醫師週班表!$C$5:$T$44,$CU15,BV$57),""),2,1)="(",LEFT(IFERROR(INDEX(醫師週班表!$C$5:$T$44,$CU15,BV$57),""),1),IFERROR(INDEX(醫師週班表!$C$5:$T$44,$CU15,BV$57),"")))))))</f>
        <v/>
      </c>
      <c r="BW15" s="72">
        <f>IF(BW$59="X","",IF(BW$59&lt;&gt;"",BW$59,IF(IFERROR(INDEX(醫師週班表!$C$5:$T$44,$CU15,BW$57),"")=0,"",IF(MID(IFERROR(INDEX(醫師週班表!$C$5:$T$44,$CU15,BW$57),""),2,1)="/",MID(IFERROR(INDEX(醫師週班表!$C$5:$T$44,$CU15,BW$57),""),1+BW$58*2,1),IF(MID(IFERROR(INDEX(醫師週班表!$C$5:$T$44,$CU15,BW$57),""),3,1)="隔",IF(BW$58=0,LEFT(IFERROR(INDEX(醫師週班表!$C$5:$T$44,$CU15,BW$57),""),1),""),IF(MID(IFERROR(INDEX(醫師週班表!$C$5:$T$44,$CU15,BW$57),""),2,1)="(",LEFT(IFERROR(INDEX(醫師週班表!$C$5:$T$44,$CU15,BW$57),""),1),IFERROR(INDEX(醫師週班表!$C$5:$T$44,$CU15,BW$57),"")))))))</f>
        <v/>
      </c>
      <c r="BX15" s="72">
        <f>IF(BX$59="X","",IF(BX$59&lt;&gt;"",BX$59,IF(IFERROR(INDEX(醫師週班表!$C$5:$T$44,$CU15,BX$57),"")=0,"",IF(MID(IFERROR(INDEX(醫師週班表!$C$5:$T$44,$CU15,BX$57),""),2,1)="/",MID(IFERROR(INDEX(醫師週班表!$C$5:$T$44,$CU15,BX$57),""),1+BX$58*2,1),IF(MID(IFERROR(INDEX(醫師週班表!$C$5:$T$44,$CU15,BX$57),""),3,1)="隔",IF(BX$58=0,LEFT(IFERROR(INDEX(醫師週班表!$C$5:$T$44,$CU15,BX$57),""),1),""),IF(MID(IFERROR(INDEX(醫師週班表!$C$5:$T$44,$CU15,BX$57),""),2,1)="(",LEFT(IFERROR(INDEX(醫師週班表!$C$5:$T$44,$CU15,BX$57),""),1),IFERROR(INDEX(醫師週班表!$C$5:$T$44,$CU15,BX$57),"")))))))</f>
        <v/>
      </c>
      <c r="BY15" s="71">
        <f>IF(BY$59="X","",IF(BY$59&lt;&gt;"",BY$59,IF(IFERROR(INDEX(醫師週班表!$C$5:$T$44,$CU15,BY$57),"")=0,"",IF(MID(IFERROR(INDEX(醫師週班表!$C$5:$T$44,$CU15,BY$57),""),2,1)="/",MID(IFERROR(INDEX(醫師週班表!$C$5:$T$44,$CU15,BY$57),""),1+BY$58*2,1),IF(MID(IFERROR(INDEX(醫師週班表!$C$5:$T$44,$CU15,BY$57),""),3,1)="隔",IF(BY$58=0,LEFT(IFERROR(INDEX(醫師週班表!$C$5:$T$44,$CU15,BY$57),""),1),""),IF(MID(IFERROR(INDEX(醫師週班表!$C$5:$T$44,$CU15,BY$57),""),2,1)="(",LEFT(IFERROR(INDEX(醫師週班表!$C$5:$T$44,$CU15,BY$57),""),1),IFERROR(INDEX(醫師週班表!$C$5:$T$44,$CU15,BY$57),"")))))))</f>
        <v/>
      </c>
      <c r="BZ15" s="72">
        <f>IF(BZ$59="X","",IF(BZ$59&lt;&gt;"",BZ$59,IF(IFERROR(INDEX(醫師週班表!$C$5:$T$44,$CU15,BZ$57),"")=0,"",IF(MID(IFERROR(INDEX(醫師週班表!$C$5:$T$44,$CU15,BZ$57),""),2,1)="/",MID(IFERROR(INDEX(醫師週班表!$C$5:$T$44,$CU15,BZ$57),""),1+BZ$58*2,1),IF(MID(IFERROR(INDEX(醫師週班表!$C$5:$T$44,$CU15,BZ$57),""),3,1)="隔",IF(BZ$58=0,LEFT(IFERROR(INDEX(醫師週班表!$C$5:$T$44,$CU15,BZ$57),""),1),""),IF(MID(IFERROR(INDEX(醫師週班表!$C$5:$T$44,$CU15,BZ$57),""),2,1)="(",LEFT(IFERROR(INDEX(醫師週班表!$C$5:$T$44,$CU15,BZ$57),""),1),IFERROR(INDEX(醫師週班表!$C$5:$T$44,$CU15,BZ$57),"")))))))</f>
        <v/>
      </c>
      <c r="CA15" s="72">
        <f>IF(CA$59="X","",IF(CA$59&lt;&gt;"",CA$59,IF(IFERROR(INDEX(醫師週班表!$C$5:$T$44,$CU15,CA$57),"")=0,"",IF(MID(IFERROR(INDEX(醫師週班表!$C$5:$T$44,$CU15,CA$57),""),2,1)="/",MID(IFERROR(INDEX(醫師週班表!$C$5:$T$44,$CU15,CA$57),""),1+CA$58*2,1),IF(MID(IFERROR(INDEX(醫師週班表!$C$5:$T$44,$CU15,CA$57),""),3,1)="隔",IF(CA$58=0,LEFT(IFERROR(INDEX(醫師週班表!$C$5:$T$44,$CU15,CA$57),""),1),""),IF(MID(IFERROR(INDEX(醫師週班表!$C$5:$T$44,$CU15,CA$57),""),2,1)="(",LEFT(IFERROR(INDEX(醫師週班表!$C$5:$T$44,$CU15,CA$57),""),1),IFERROR(INDEX(醫師週班表!$C$5:$T$44,$CU15,CA$57),"")))))))</f>
        <v/>
      </c>
      <c r="CB15" s="71">
        <f>IF(CB$59="X","",IF(CB$59&lt;&gt;"",CB$59,IF(IFERROR(INDEX(醫師週班表!$C$5:$T$44,$CU15,CB$57),"")=0,"",IF(MID(IFERROR(INDEX(醫師週班表!$C$5:$T$44,$CU15,CB$57),""),2,1)="/",MID(IFERROR(INDEX(醫師週班表!$C$5:$T$44,$CU15,CB$57),""),1+CB$58*2,1),IF(MID(IFERROR(INDEX(醫師週班表!$C$5:$T$44,$CU15,CB$57),""),3,1)="隔",IF(CB$58=0,LEFT(IFERROR(INDEX(醫師週班表!$C$5:$T$44,$CU15,CB$57),""),1),""),IF(MID(IFERROR(INDEX(醫師週班表!$C$5:$T$44,$CU15,CB$57),""),2,1)="(",LEFT(IFERROR(INDEX(醫師週班表!$C$5:$T$44,$CU15,CB$57),""),1),IFERROR(INDEX(醫師週班表!$C$5:$T$44,$CU15,CB$57),"")))))))</f>
        <v/>
      </c>
      <c r="CC15" s="72">
        <f>IF(CC$59="X","",IF(CC$59&lt;&gt;"",CC$59,IF(IFERROR(INDEX(醫師週班表!$C$5:$T$44,$CU15,CC$57),"")=0,"",IF(MID(IFERROR(INDEX(醫師週班表!$C$5:$T$44,$CU15,CC$57),""),2,1)="/",MID(IFERROR(INDEX(醫師週班表!$C$5:$T$44,$CU15,CC$57),""),1+CC$58*2,1),IF(MID(IFERROR(INDEX(醫師週班表!$C$5:$T$44,$CU15,CC$57),""),3,1)="隔",IF(CC$58=0,LEFT(IFERROR(INDEX(醫師週班表!$C$5:$T$44,$CU15,CC$57),""),1),""),IF(MID(IFERROR(INDEX(醫師週班表!$C$5:$T$44,$CU15,CC$57),""),2,1)="(",LEFT(IFERROR(INDEX(醫師週班表!$C$5:$T$44,$CU15,CC$57),""),1),IFERROR(INDEX(醫師週班表!$C$5:$T$44,$CU15,CC$57),"")))))))</f>
        <v/>
      </c>
      <c r="CD15" s="72">
        <f>IF(CD$59="X","",IF(CD$59&lt;&gt;"",CD$59,IF(IFERROR(INDEX(醫師週班表!$C$5:$T$44,$CU15,CD$57),"")=0,"",IF(MID(IFERROR(INDEX(醫師週班表!$C$5:$T$44,$CU15,CD$57),""),2,1)="/",MID(IFERROR(INDEX(醫師週班表!$C$5:$T$44,$CU15,CD$57),""),1+CD$58*2,1),IF(MID(IFERROR(INDEX(醫師週班表!$C$5:$T$44,$CU15,CD$57),""),3,1)="隔",IF(CD$58=0,LEFT(IFERROR(INDEX(醫師週班表!$C$5:$T$44,$CU15,CD$57),""),1),""),IF(MID(IFERROR(INDEX(醫師週班表!$C$5:$T$44,$CU15,CD$57),""),2,1)="(",LEFT(IFERROR(INDEX(醫師週班表!$C$5:$T$44,$CU15,CD$57),""),1),IFERROR(INDEX(醫師週班表!$C$5:$T$44,$CU15,CD$57),"")))))))</f>
        <v/>
      </c>
      <c r="CE15" s="71">
        <f>IF(CE$59="X","",IF(CE$59&lt;&gt;"",CE$59,IF(IFERROR(INDEX(醫師週班表!$C$5:$T$44,$CU15,CE$57),"")=0,"",IF(MID(IFERROR(INDEX(醫師週班表!$C$5:$T$44,$CU15,CE$57),""),2,1)="/",MID(IFERROR(INDEX(醫師週班表!$C$5:$T$44,$CU15,CE$57),""),1+CE$58*2,1),IF(MID(IFERROR(INDEX(醫師週班表!$C$5:$T$44,$CU15,CE$57),""),3,1)="隔",IF(CE$58=0,LEFT(IFERROR(INDEX(醫師週班表!$C$5:$T$44,$CU15,CE$57),""),1),""),IF(MID(IFERROR(INDEX(醫師週班表!$C$5:$T$44,$CU15,CE$57),""),2,1)="(",LEFT(IFERROR(INDEX(醫師週班表!$C$5:$T$44,$CU15,CE$57),""),1),IFERROR(INDEX(醫師週班表!$C$5:$T$44,$CU15,CE$57),"")))))))</f>
        <v/>
      </c>
      <c r="CF15" s="72">
        <f>IF(CF$59="X","",IF(CF$59&lt;&gt;"",CF$59,IF(IFERROR(INDEX(醫師週班表!$C$5:$T$44,$CU15,CF$57),"")=0,"",IF(MID(IFERROR(INDEX(醫師週班表!$C$5:$T$44,$CU15,CF$57),""),2,1)="/",MID(IFERROR(INDEX(醫師週班表!$C$5:$T$44,$CU15,CF$57),""),1+CF$58*2,1),IF(MID(IFERROR(INDEX(醫師週班表!$C$5:$T$44,$CU15,CF$57),""),3,1)="隔",IF(CF$58=0,LEFT(IFERROR(INDEX(醫師週班表!$C$5:$T$44,$CU15,CF$57),""),1),""),IF(MID(IFERROR(INDEX(醫師週班表!$C$5:$T$44,$CU15,CF$57),""),2,1)="(",LEFT(IFERROR(INDEX(醫師週班表!$C$5:$T$44,$CU15,CF$57),""),1),IFERROR(INDEX(醫師週班表!$C$5:$T$44,$CU15,CF$57),"")))))))</f>
        <v/>
      </c>
      <c r="CG15" s="72">
        <f>IF(CG$59="X","",IF(CG$59&lt;&gt;"",CG$59,IF(IFERROR(INDEX(醫師週班表!$C$5:$T$44,$CU15,CG$57),"")=0,"",IF(MID(IFERROR(INDEX(醫師週班表!$C$5:$T$44,$CU15,CG$57),""),2,1)="/",MID(IFERROR(INDEX(醫師週班表!$C$5:$T$44,$CU15,CG$57),""),1+CG$58*2,1),IF(MID(IFERROR(INDEX(醫師週班表!$C$5:$T$44,$CU15,CG$57),""),3,1)="隔",IF(CG$58=0,LEFT(IFERROR(INDEX(醫師週班表!$C$5:$T$44,$CU15,CG$57),""),1),""),IF(MID(IFERROR(INDEX(醫師週班表!$C$5:$T$44,$CU15,CG$57),""),2,1)="(",LEFT(IFERROR(INDEX(醫師週班表!$C$5:$T$44,$CU15,CG$57),""),1),IFERROR(INDEX(醫師週班表!$C$5:$T$44,$CU15,CG$57),"")))))))</f>
        <v/>
      </c>
      <c r="CH15" s="71">
        <f>IF(CH$59="X","",IF(CH$59&lt;&gt;"",CH$59,IF(IFERROR(INDEX(醫師週班表!$C$5:$T$44,$CU15,CH$57),"")=0,"",IF(MID(IFERROR(INDEX(醫師週班表!$C$5:$T$44,$CU15,CH$57),""),2,1)="/",MID(IFERROR(INDEX(醫師週班表!$C$5:$T$44,$CU15,CH$57),""),1+CH$58*2,1),IF(MID(IFERROR(INDEX(醫師週班表!$C$5:$T$44,$CU15,CH$57),""),3,1)="隔",IF(CH$58=0,LEFT(IFERROR(INDEX(醫師週班表!$C$5:$T$44,$CU15,CH$57),""),1),""),IF(MID(IFERROR(INDEX(醫師週班表!$C$5:$T$44,$CU15,CH$57),""),2,1)="(",LEFT(IFERROR(INDEX(醫師週班表!$C$5:$T$44,$CU15,CH$57),""),1),IFERROR(INDEX(醫師週班表!$C$5:$T$44,$CU15,CH$57),"")))))))</f>
        <v/>
      </c>
      <c r="CI15" s="72">
        <f>IF(CI$59="X","",IF(CI$59&lt;&gt;"",CI$59,IF(IFERROR(INDEX(醫師週班表!$C$5:$T$44,$CU15,CI$57),"")=0,"",IF(MID(IFERROR(INDEX(醫師週班表!$C$5:$T$44,$CU15,CI$57),""),2,1)="/",MID(IFERROR(INDEX(醫師週班表!$C$5:$T$44,$CU15,CI$57),""),1+CI$58*2,1),IF(MID(IFERROR(INDEX(醫師週班表!$C$5:$T$44,$CU15,CI$57),""),3,1)="隔",IF(CI$58=0,LEFT(IFERROR(INDEX(醫師週班表!$C$5:$T$44,$CU15,CI$57),""),1),""),IF(MID(IFERROR(INDEX(醫師週班表!$C$5:$T$44,$CU15,CI$57),""),2,1)="(",LEFT(IFERROR(INDEX(醫師週班表!$C$5:$T$44,$CU15,CI$57),""),1),IFERROR(INDEX(醫師週班表!$C$5:$T$44,$CU15,CI$57),"")))))))</f>
        <v/>
      </c>
      <c r="CJ15" s="72">
        <f>IF(CJ$59="X","",IF(CJ$59&lt;&gt;"",CJ$59,IF(IFERROR(INDEX(醫師週班表!$C$5:$T$44,$CU15,CJ$57),"")=0,"",IF(MID(IFERROR(INDEX(醫師週班表!$C$5:$T$44,$CU15,CJ$57),""),2,1)="/",MID(IFERROR(INDEX(醫師週班表!$C$5:$T$44,$CU15,CJ$57),""),1+CJ$58*2,1),IF(MID(IFERROR(INDEX(醫師週班表!$C$5:$T$44,$CU15,CJ$57),""),3,1)="隔",IF(CJ$58=0,LEFT(IFERROR(INDEX(醫師週班表!$C$5:$T$44,$CU15,CJ$57),""),1),""),IF(MID(IFERROR(INDEX(醫師週班表!$C$5:$T$44,$CU15,CJ$57),""),2,1)="(",LEFT(IFERROR(INDEX(醫師週班表!$C$5:$T$44,$CU15,CJ$57),""),1),IFERROR(INDEX(醫師週班表!$C$5:$T$44,$CU15,CJ$57),"")))))))</f>
        <v/>
      </c>
      <c r="CK15" s="71">
        <f>IF(CK$59="X","",IF(CK$59&lt;&gt;"",CK$59,IF(IFERROR(INDEX(醫師週班表!$C$5:$T$44,$CU15,CK$57),"")=0,"",IF(MID(IFERROR(INDEX(醫師週班表!$C$5:$T$44,$CU15,CK$57),""),2,1)="/",MID(IFERROR(INDEX(醫師週班表!$C$5:$T$44,$CU15,CK$57),""),1+CK$58*2,1),IF(MID(IFERROR(INDEX(醫師週班表!$C$5:$T$44,$CU15,CK$57),""),3,1)="隔",IF(CK$58=0,LEFT(IFERROR(INDEX(醫師週班表!$C$5:$T$44,$CU15,CK$57),""),1),""),IF(MID(IFERROR(INDEX(醫師週班表!$C$5:$T$44,$CU15,CK$57),""),2,1)="(",LEFT(IFERROR(INDEX(醫師週班表!$C$5:$T$44,$CU15,CK$57),""),1),IFERROR(INDEX(醫師週班表!$C$5:$T$44,$CU15,CK$57),"")))))))</f>
        <v/>
      </c>
      <c r="CL15" s="72">
        <f>IF(CL$59="X","",IF(CL$59&lt;&gt;"",CL$59,IF(IFERROR(INDEX(醫師週班表!$C$5:$T$44,$CU15,CL$57),"")=0,"",IF(MID(IFERROR(INDEX(醫師週班表!$C$5:$T$44,$CU15,CL$57),""),2,1)="/",MID(IFERROR(INDEX(醫師週班表!$C$5:$T$44,$CU15,CL$57),""),1+CL$58*2,1),IF(MID(IFERROR(INDEX(醫師週班表!$C$5:$T$44,$CU15,CL$57),""),3,1)="隔",IF(CL$58=0,LEFT(IFERROR(INDEX(醫師週班表!$C$5:$T$44,$CU15,CL$57),""),1),""),IF(MID(IFERROR(INDEX(醫師週班表!$C$5:$T$44,$CU15,CL$57),""),2,1)="(",LEFT(IFERROR(INDEX(醫師週班表!$C$5:$T$44,$CU15,CL$57),""),1),IFERROR(INDEX(醫師週班表!$C$5:$T$44,$CU15,CL$57),"")))))))</f>
        <v/>
      </c>
      <c r="CM15" s="72">
        <f>IF(CM$59="X","",IF(CM$59&lt;&gt;"",CM$59,IF(IFERROR(INDEX(醫師週班表!$C$5:$T$44,$CU15,CM$57),"")=0,"",IF(MID(IFERROR(INDEX(醫師週班表!$C$5:$T$44,$CU15,CM$57),""),2,1)="/",MID(IFERROR(INDEX(醫師週班表!$C$5:$T$44,$CU15,CM$57),""),1+CM$58*2,1),IF(MID(IFERROR(INDEX(醫師週班表!$C$5:$T$44,$CU15,CM$57),""),3,1)="隔",IF(CM$58=0,LEFT(IFERROR(INDEX(醫師週班表!$C$5:$T$44,$CU15,CM$57),""),1),""),IF(MID(IFERROR(INDEX(醫師週班表!$C$5:$T$44,$CU15,CM$57),""),2,1)="(",LEFT(IFERROR(INDEX(醫師週班表!$C$5:$T$44,$CU15,CM$57),""),1),IFERROR(INDEX(醫師週班表!$C$5:$T$44,$CU15,CM$57),"")))))))</f>
        <v/>
      </c>
      <c r="CN15" s="71">
        <f>IF(CN$59="X","",IF(CN$59&lt;&gt;"",CN$59,IF(IFERROR(INDEX(醫師週班表!$C$5:$T$44,$CU15,CN$57),"")=0,"",IF(MID(IFERROR(INDEX(醫師週班表!$C$5:$T$44,$CU15,CN$57),""),2,1)="/",MID(IFERROR(INDEX(醫師週班表!$C$5:$T$44,$CU15,CN$57),""),1+CN$58*2,1),IF(MID(IFERROR(INDEX(醫師週班表!$C$5:$T$44,$CU15,CN$57),""),3,1)="隔",IF(CN$58=0,LEFT(IFERROR(INDEX(醫師週班表!$C$5:$T$44,$CU15,CN$57),""),1),""),IF(MID(IFERROR(INDEX(醫師週班表!$C$5:$T$44,$CU15,CN$57),""),2,1)="(",LEFT(IFERROR(INDEX(醫師週班表!$C$5:$T$44,$CU15,CN$57),""),1),IFERROR(INDEX(醫師週班表!$C$5:$T$44,$CU15,CN$57),"")))))))</f>
        <v/>
      </c>
      <c r="CO15" s="72">
        <f>IF(CO$59="X","",IF(CO$59&lt;&gt;"",CO$59,IF(IFERROR(INDEX(醫師週班表!$C$5:$T$44,$CU15,CO$57),"")=0,"",IF(MID(IFERROR(INDEX(醫師週班表!$C$5:$T$44,$CU15,CO$57),""),2,1)="/",MID(IFERROR(INDEX(醫師週班表!$C$5:$T$44,$CU15,CO$57),""),1+CO$58*2,1),IF(MID(IFERROR(INDEX(醫師週班表!$C$5:$T$44,$CU15,CO$57),""),3,1)="隔",IF(CO$58=0,LEFT(IFERROR(INDEX(醫師週班表!$C$5:$T$44,$CU15,CO$57),""),1),""),IF(MID(IFERROR(INDEX(醫師週班表!$C$5:$T$44,$CU15,CO$57),""),2,1)="(",LEFT(IFERROR(INDEX(醫師週班表!$C$5:$T$44,$CU15,CO$57),""),1),IFERROR(INDEX(醫師週班表!$C$5:$T$44,$CU15,CO$57),"")))))))</f>
        <v/>
      </c>
      <c r="CP15" s="72">
        <f>IF(CP$59="X","",IF(CP$59&lt;&gt;"",CP$59,IF(IFERROR(INDEX(醫師週班表!$C$5:$T$44,$CU15,CP$57),"")=0,"",IF(MID(IFERROR(INDEX(醫師週班表!$C$5:$T$44,$CU15,CP$57),""),2,1)="/",MID(IFERROR(INDEX(醫師週班表!$C$5:$T$44,$CU15,CP$57),""),1+CP$58*2,1),IF(MID(IFERROR(INDEX(醫師週班表!$C$5:$T$44,$CU15,CP$57),""),3,1)="隔",IF(CP$58=0,LEFT(IFERROR(INDEX(醫師週班表!$C$5:$T$44,$CU15,CP$57),""),1),""),IF(MID(IFERROR(INDEX(醫師週班表!$C$5:$T$44,$CU15,CP$57),""),2,1)="(",LEFT(IFERROR(INDEX(醫師週班表!$C$5:$T$44,$CU15,CP$57),""),1),IFERROR(INDEX(醫師週班表!$C$5:$T$44,$CU15,CP$57),"")))))))</f>
        <v/>
      </c>
      <c r="CQ15" s="71">
        <f>IF(CQ$59="X","",IF(CQ$59&lt;&gt;"",CQ$59,IF(IFERROR(INDEX(醫師週班表!$C$5:$T$44,$CU15,CQ$57),"")=0,"",IF(MID(IFERROR(INDEX(醫師週班表!$C$5:$T$44,$CU15,CQ$57),""),2,1)="/",MID(IFERROR(INDEX(醫師週班表!$C$5:$T$44,$CU15,CQ$57),""),1+CQ$58*2,1),IF(MID(IFERROR(INDEX(醫師週班表!$C$5:$T$44,$CU15,CQ$57),""),3,1)="隔",IF(CQ$58=0,LEFT(IFERROR(INDEX(醫師週班表!$C$5:$T$44,$CU15,CQ$57),""),1),""),IF(MID(IFERROR(INDEX(醫師週班表!$C$5:$T$44,$CU15,CQ$57),""),2,1)="(",LEFT(IFERROR(INDEX(醫師週班表!$C$5:$T$44,$CU15,CQ$57),""),1),IFERROR(INDEX(醫師週班表!$C$5:$T$44,$CU15,CQ$57),"")))))))</f>
        <v/>
      </c>
      <c r="CR15" s="72">
        <f>IF(CR$59="X","",IF(CR$59&lt;&gt;"",CR$59,IF(IFERROR(INDEX(醫師週班表!$C$5:$T$44,$CU15,CR$57),"")=0,"",IF(MID(IFERROR(INDEX(醫師週班表!$C$5:$T$44,$CU15,CR$57),""),2,1)="/",MID(IFERROR(INDEX(醫師週班表!$C$5:$T$44,$CU15,CR$57),""),1+CR$58*2,1),IF(MID(IFERROR(INDEX(醫師週班表!$C$5:$T$44,$CU15,CR$57),""),3,1)="隔",IF(CR$58=0,LEFT(IFERROR(INDEX(醫師週班表!$C$5:$T$44,$CU15,CR$57),""),1),""),IF(MID(IFERROR(INDEX(醫師週班表!$C$5:$T$44,$CU15,CR$57),""),2,1)="(",LEFT(IFERROR(INDEX(醫師週班表!$C$5:$T$44,$CU15,CR$57),""),1),IFERROR(INDEX(醫師週班表!$C$5:$T$44,$CU15,CR$57),"")))))))</f>
        <v/>
      </c>
      <c r="CS15" s="72">
        <f>IF(CS$59="X","",IF(CS$59&lt;&gt;"",CS$59,IF(IFERROR(INDEX(醫師週班表!$C$5:$T$44,$CU15,CS$57),"")=0,"",IF(MID(IFERROR(INDEX(醫師週班表!$C$5:$T$44,$CU15,CS$57),""),2,1)="/",MID(IFERROR(INDEX(醫師週班表!$C$5:$T$44,$CU15,CS$57),""),1+CS$58*2,1),IF(MID(IFERROR(INDEX(醫師週班表!$C$5:$T$44,$CU15,CS$57),""),3,1)="隔",IF(CS$58=0,LEFT(IFERROR(INDEX(醫師週班表!$C$5:$T$44,$CU15,CS$57),""),1),""),IF(MID(IFERROR(INDEX(醫師週班表!$C$5:$T$44,$CU15,CS$57),""),2,1)="(",LEFT(IFERROR(INDEX(醫師週班表!$C$5:$T$44,$CU15,CS$57),""),1),IFERROR(INDEX(醫師週班表!$C$5:$T$44,$CU15,CS$57),"")))))))</f>
        <v/>
      </c>
      <c r="CU15" s="73">
        <f>IFERROR(MATCH($A15,醫師週班表!$A$5:$A$44,0),0)</f>
        <v/>
      </c>
    </row>
    <row r="16" ht="17" customHeight="1">
      <c r="A16" s="19" t="inlineStr">
        <is>
          <t>D011</t>
        </is>
      </c>
      <c r="B16" s="16" t="inlineStr">
        <is>
          <t>温健成</t>
        </is>
      </c>
      <c r="C16" s="70" t="inlineStr"/>
      <c r="D16" s="16" t="inlineStr">
        <is>
          <t>晶睿院長</t>
        </is>
      </c>
      <c r="E16" s="71">
        <f>IF(E$59="X","",IF(E$59&lt;&gt;"",E$59,IF(IFERROR(INDEX(醫師週班表!$C$5:$T$44,$CU16,E$57),"")=0,"",IF(MID(IFERROR(INDEX(醫師週班表!$C$5:$T$44,$CU16,E$57),""),2,1)="/",MID(IFERROR(INDEX(醫師週班表!$C$5:$T$44,$CU16,E$57),""),1+E$58*2,1),IF(MID(IFERROR(INDEX(醫師週班表!$C$5:$T$44,$CU16,E$57),""),3,1)="隔",IF(E$58=0,LEFT(IFERROR(INDEX(醫師週班表!$C$5:$T$44,$CU16,E$57),""),1),""),IF(MID(IFERROR(INDEX(醫師週班表!$C$5:$T$44,$CU16,E$57),""),2,1)="(",LEFT(IFERROR(INDEX(醫師週班表!$C$5:$T$44,$CU16,E$57),""),1),IFERROR(INDEX(醫師週班表!$C$5:$T$44,$CU16,E$57),"")))))))</f>
        <v/>
      </c>
      <c r="F16" s="72">
        <f>IF(F$59="X","",IF(F$59&lt;&gt;"",F$59,IF(IFERROR(INDEX(醫師週班表!$C$5:$T$44,$CU16,F$57),"")=0,"",IF(MID(IFERROR(INDEX(醫師週班表!$C$5:$T$44,$CU16,F$57),""),2,1)="/",MID(IFERROR(INDEX(醫師週班表!$C$5:$T$44,$CU16,F$57),""),1+F$58*2,1),IF(MID(IFERROR(INDEX(醫師週班表!$C$5:$T$44,$CU16,F$57),""),3,1)="隔",IF(F$58=0,LEFT(IFERROR(INDEX(醫師週班表!$C$5:$T$44,$CU16,F$57),""),1),""),IF(MID(IFERROR(INDEX(醫師週班表!$C$5:$T$44,$CU16,F$57),""),2,1)="(",LEFT(IFERROR(INDEX(醫師週班表!$C$5:$T$44,$CU16,F$57),""),1),IFERROR(INDEX(醫師週班表!$C$5:$T$44,$CU16,F$57),"")))))))</f>
        <v/>
      </c>
      <c r="G16" s="72">
        <f>IF(G$59="X","",IF(G$59&lt;&gt;"",G$59,IF(IFERROR(INDEX(醫師週班表!$C$5:$T$44,$CU16,G$57),"")=0,"",IF(MID(IFERROR(INDEX(醫師週班表!$C$5:$T$44,$CU16,G$57),""),2,1)="/",MID(IFERROR(INDEX(醫師週班表!$C$5:$T$44,$CU16,G$57),""),1+G$58*2,1),IF(MID(IFERROR(INDEX(醫師週班表!$C$5:$T$44,$CU16,G$57),""),3,1)="隔",IF(G$58=0,LEFT(IFERROR(INDEX(醫師週班表!$C$5:$T$44,$CU16,G$57),""),1),""),IF(MID(IFERROR(INDEX(醫師週班表!$C$5:$T$44,$CU16,G$57),""),2,1)="(",LEFT(IFERROR(INDEX(醫師週班表!$C$5:$T$44,$CU16,G$57),""),1),IFERROR(INDEX(醫師週班表!$C$5:$T$44,$CU16,G$57),"")))))))</f>
        <v/>
      </c>
      <c r="H16" s="71">
        <f>IF(H$59="X","",IF(H$59&lt;&gt;"",H$59,IF(IFERROR(INDEX(醫師週班表!$C$5:$T$44,$CU16,H$57),"")=0,"",IF(MID(IFERROR(INDEX(醫師週班表!$C$5:$T$44,$CU16,H$57),""),2,1)="/",MID(IFERROR(INDEX(醫師週班表!$C$5:$T$44,$CU16,H$57),""),1+H$58*2,1),IF(MID(IFERROR(INDEX(醫師週班表!$C$5:$T$44,$CU16,H$57),""),3,1)="隔",IF(H$58=0,LEFT(IFERROR(INDEX(醫師週班表!$C$5:$T$44,$CU16,H$57),""),1),""),IF(MID(IFERROR(INDEX(醫師週班表!$C$5:$T$44,$CU16,H$57),""),2,1)="(",LEFT(IFERROR(INDEX(醫師週班表!$C$5:$T$44,$CU16,H$57),""),1),IFERROR(INDEX(醫師週班表!$C$5:$T$44,$CU16,H$57),"")))))))</f>
        <v/>
      </c>
      <c r="I16" s="72">
        <f>IF(I$59="X","",IF(I$59&lt;&gt;"",I$59,IF(IFERROR(INDEX(醫師週班表!$C$5:$T$44,$CU16,I$57),"")=0,"",IF(MID(IFERROR(INDEX(醫師週班表!$C$5:$T$44,$CU16,I$57),""),2,1)="/",MID(IFERROR(INDEX(醫師週班表!$C$5:$T$44,$CU16,I$57),""),1+I$58*2,1),IF(MID(IFERROR(INDEX(醫師週班表!$C$5:$T$44,$CU16,I$57),""),3,1)="隔",IF(I$58=0,LEFT(IFERROR(INDEX(醫師週班表!$C$5:$T$44,$CU16,I$57),""),1),""),IF(MID(IFERROR(INDEX(醫師週班表!$C$5:$T$44,$CU16,I$57),""),2,1)="(",LEFT(IFERROR(INDEX(醫師週班表!$C$5:$T$44,$CU16,I$57),""),1),IFERROR(INDEX(醫師週班表!$C$5:$T$44,$CU16,I$57),"")))))))</f>
        <v/>
      </c>
      <c r="J16" s="72">
        <f>IF(J$59="X","",IF(J$59&lt;&gt;"",J$59,IF(IFERROR(INDEX(醫師週班表!$C$5:$T$44,$CU16,J$57),"")=0,"",IF(MID(IFERROR(INDEX(醫師週班表!$C$5:$T$44,$CU16,J$57),""),2,1)="/",MID(IFERROR(INDEX(醫師週班表!$C$5:$T$44,$CU16,J$57),""),1+J$58*2,1),IF(MID(IFERROR(INDEX(醫師週班表!$C$5:$T$44,$CU16,J$57),""),3,1)="隔",IF(J$58=0,LEFT(IFERROR(INDEX(醫師週班表!$C$5:$T$44,$CU16,J$57),""),1),""),IF(MID(IFERROR(INDEX(醫師週班表!$C$5:$T$44,$CU16,J$57),""),2,1)="(",LEFT(IFERROR(INDEX(醫師週班表!$C$5:$T$44,$CU16,J$57),""),1),IFERROR(INDEX(醫師週班表!$C$5:$T$44,$CU16,J$57),"")))))))</f>
        <v/>
      </c>
      <c r="K16" s="71">
        <f>IF(K$59="X","",IF(K$59&lt;&gt;"",K$59,IF(IFERROR(INDEX(醫師週班表!$C$5:$T$44,$CU16,K$57),"")=0,"",IF(MID(IFERROR(INDEX(醫師週班表!$C$5:$T$44,$CU16,K$57),""),2,1)="/",MID(IFERROR(INDEX(醫師週班表!$C$5:$T$44,$CU16,K$57),""),1+K$58*2,1),IF(MID(IFERROR(INDEX(醫師週班表!$C$5:$T$44,$CU16,K$57),""),3,1)="隔",IF(K$58=0,LEFT(IFERROR(INDEX(醫師週班表!$C$5:$T$44,$CU16,K$57),""),1),""),IF(MID(IFERROR(INDEX(醫師週班表!$C$5:$T$44,$CU16,K$57),""),2,1)="(",LEFT(IFERROR(INDEX(醫師週班表!$C$5:$T$44,$CU16,K$57),""),1),IFERROR(INDEX(醫師週班表!$C$5:$T$44,$CU16,K$57),"")))))))</f>
        <v/>
      </c>
      <c r="L16" s="72">
        <f>IF(L$59="X","",IF(L$59&lt;&gt;"",L$59,IF(IFERROR(INDEX(醫師週班表!$C$5:$T$44,$CU16,L$57),"")=0,"",IF(MID(IFERROR(INDEX(醫師週班表!$C$5:$T$44,$CU16,L$57),""),2,1)="/",MID(IFERROR(INDEX(醫師週班表!$C$5:$T$44,$CU16,L$57),""),1+L$58*2,1),IF(MID(IFERROR(INDEX(醫師週班表!$C$5:$T$44,$CU16,L$57),""),3,1)="隔",IF(L$58=0,LEFT(IFERROR(INDEX(醫師週班表!$C$5:$T$44,$CU16,L$57),""),1),""),IF(MID(IFERROR(INDEX(醫師週班表!$C$5:$T$44,$CU16,L$57),""),2,1)="(",LEFT(IFERROR(INDEX(醫師週班表!$C$5:$T$44,$CU16,L$57),""),1),IFERROR(INDEX(醫師週班表!$C$5:$T$44,$CU16,L$57),"")))))))</f>
        <v/>
      </c>
      <c r="M16" s="72">
        <f>IF(M$59="X","",IF(M$59&lt;&gt;"",M$59,IF(IFERROR(INDEX(醫師週班表!$C$5:$T$44,$CU16,M$57),"")=0,"",IF(MID(IFERROR(INDEX(醫師週班表!$C$5:$T$44,$CU16,M$57),""),2,1)="/",MID(IFERROR(INDEX(醫師週班表!$C$5:$T$44,$CU16,M$57),""),1+M$58*2,1),IF(MID(IFERROR(INDEX(醫師週班表!$C$5:$T$44,$CU16,M$57),""),3,1)="隔",IF(M$58=0,LEFT(IFERROR(INDEX(醫師週班表!$C$5:$T$44,$CU16,M$57),""),1),""),IF(MID(IFERROR(INDEX(醫師週班表!$C$5:$T$44,$CU16,M$57),""),2,1)="(",LEFT(IFERROR(INDEX(醫師週班表!$C$5:$T$44,$CU16,M$57),""),1),IFERROR(INDEX(醫師週班表!$C$5:$T$44,$CU16,M$57),"")))))))</f>
        <v/>
      </c>
      <c r="N16" s="71">
        <f>IF(N$59="X","",IF(N$59&lt;&gt;"",N$59,IF(IFERROR(INDEX(醫師週班表!$C$5:$T$44,$CU16,N$57),"")=0,"",IF(MID(IFERROR(INDEX(醫師週班表!$C$5:$T$44,$CU16,N$57),""),2,1)="/",MID(IFERROR(INDEX(醫師週班表!$C$5:$T$44,$CU16,N$57),""),1+N$58*2,1),IF(MID(IFERROR(INDEX(醫師週班表!$C$5:$T$44,$CU16,N$57),""),3,1)="隔",IF(N$58=0,LEFT(IFERROR(INDEX(醫師週班表!$C$5:$T$44,$CU16,N$57),""),1),""),IF(MID(IFERROR(INDEX(醫師週班表!$C$5:$T$44,$CU16,N$57),""),2,1)="(",LEFT(IFERROR(INDEX(醫師週班表!$C$5:$T$44,$CU16,N$57),""),1),IFERROR(INDEX(醫師週班表!$C$5:$T$44,$CU16,N$57),"")))))))</f>
        <v/>
      </c>
      <c r="O16" s="72">
        <f>IF(O$59="X","",IF(O$59&lt;&gt;"",O$59,IF(IFERROR(INDEX(醫師週班表!$C$5:$T$44,$CU16,O$57),"")=0,"",IF(MID(IFERROR(INDEX(醫師週班表!$C$5:$T$44,$CU16,O$57),""),2,1)="/",MID(IFERROR(INDEX(醫師週班表!$C$5:$T$44,$CU16,O$57),""),1+O$58*2,1),IF(MID(IFERROR(INDEX(醫師週班表!$C$5:$T$44,$CU16,O$57),""),3,1)="隔",IF(O$58=0,LEFT(IFERROR(INDEX(醫師週班表!$C$5:$T$44,$CU16,O$57),""),1),""),IF(MID(IFERROR(INDEX(醫師週班表!$C$5:$T$44,$CU16,O$57),""),2,1)="(",LEFT(IFERROR(INDEX(醫師週班表!$C$5:$T$44,$CU16,O$57),""),1),IFERROR(INDEX(醫師週班表!$C$5:$T$44,$CU16,O$57),"")))))))</f>
        <v/>
      </c>
      <c r="P16" s="72">
        <f>IF(P$59="X","",IF(P$59&lt;&gt;"",P$59,IF(IFERROR(INDEX(醫師週班表!$C$5:$T$44,$CU16,P$57),"")=0,"",IF(MID(IFERROR(INDEX(醫師週班表!$C$5:$T$44,$CU16,P$57),""),2,1)="/",MID(IFERROR(INDEX(醫師週班表!$C$5:$T$44,$CU16,P$57),""),1+P$58*2,1),IF(MID(IFERROR(INDEX(醫師週班表!$C$5:$T$44,$CU16,P$57),""),3,1)="隔",IF(P$58=0,LEFT(IFERROR(INDEX(醫師週班表!$C$5:$T$44,$CU16,P$57),""),1),""),IF(MID(IFERROR(INDEX(醫師週班表!$C$5:$T$44,$CU16,P$57),""),2,1)="(",LEFT(IFERROR(INDEX(醫師週班表!$C$5:$T$44,$CU16,P$57),""),1),IFERROR(INDEX(醫師週班表!$C$5:$T$44,$CU16,P$57),"")))))))</f>
        <v/>
      </c>
      <c r="Q16" s="71">
        <f>IF(Q$59="X","",IF(Q$59&lt;&gt;"",Q$59,IF(IFERROR(INDEX(醫師週班表!$C$5:$T$44,$CU16,Q$57),"")=0,"",IF(MID(IFERROR(INDEX(醫師週班表!$C$5:$T$44,$CU16,Q$57),""),2,1)="/",MID(IFERROR(INDEX(醫師週班表!$C$5:$T$44,$CU16,Q$57),""),1+Q$58*2,1),IF(MID(IFERROR(INDEX(醫師週班表!$C$5:$T$44,$CU16,Q$57),""),3,1)="隔",IF(Q$58=0,LEFT(IFERROR(INDEX(醫師週班表!$C$5:$T$44,$CU16,Q$57),""),1),""),IF(MID(IFERROR(INDEX(醫師週班表!$C$5:$T$44,$CU16,Q$57),""),2,1)="(",LEFT(IFERROR(INDEX(醫師週班表!$C$5:$T$44,$CU16,Q$57),""),1),IFERROR(INDEX(醫師週班表!$C$5:$T$44,$CU16,Q$57),"")))))))</f>
        <v/>
      </c>
      <c r="R16" s="72">
        <f>IF(R$59="X","",IF(R$59&lt;&gt;"",R$59,IF(IFERROR(INDEX(醫師週班表!$C$5:$T$44,$CU16,R$57),"")=0,"",IF(MID(IFERROR(INDEX(醫師週班表!$C$5:$T$44,$CU16,R$57),""),2,1)="/",MID(IFERROR(INDEX(醫師週班表!$C$5:$T$44,$CU16,R$57),""),1+R$58*2,1),IF(MID(IFERROR(INDEX(醫師週班表!$C$5:$T$44,$CU16,R$57),""),3,1)="隔",IF(R$58=0,LEFT(IFERROR(INDEX(醫師週班表!$C$5:$T$44,$CU16,R$57),""),1),""),IF(MID(IFERROR(INDEX(醫師週班表!$C$5:$T$44,$CU16,R$57),""),2,1)="(",LEFT(IFERROR(INDEX(醫師週班表!$C$5:$T$44,$CU16,R$57),""),1),IFERROR(INDEX(醫師週班表!$C$5:$T$44,$CU16,R$57),"")))))))</f>
        <v/>
      </c>
      <c r="S16" s="72">
        <f>IF(S$59="X","",IF(S$59&lt;&gt;"",S$59,IF(IFERROR(INDEX(醫師週班表!$C$5:$T$44,$CU16,S$57),"")=0,"",IF(MID(IFERROR(INDEX(醫師週班表!$C$5:$T$44,$CU16,S$57),""),2,1)="/",MID(IFERROR(INDEX(醫師週班表!$C$5:$T$44,$CU16,S$57),""),1+S$58*2,1),IF(MID(IFERROR(INDEX(醫師週班表!$C$5:$T$44,$CU16,S$57),""),3,1)="隔",IF(S$58=0,LEFT(IFERROR(INDEX(醫師週班表!$C$5:$T$44,$CU16,S$57),""),1),""),IF(MID(IFERROR(INDEX(醫師週班表!$C$5:$T$44,$CU16,S$57),""),2,1)="(",LEFT(IFERROR(INDEX(醫師週班表!$C$5:$T$44,$CU16,S$57),""),1),IFERROR(INDEX(醫師週班表!$C$5:$T$44,$CU16,S$57),"")))))))</f>
        <v/>
      </c>
      <c r="T16" s="71">
        <f>IF(T$59="X","",IF(T$59&lt;&gt;"",T$59,IF(IFERROR(INDEX(醫師週班表!$C$5:$T$44,$CU16,T$57),"")=0,"",IF(MID(IFERROR(INDEX(醫師週班表!$C$5:$T$44,$CU16,T$57),""),2,1)="/",MID(IFERROR(INDEX(醫師週班表!$C$5:$T$44,$CU16,T$57),""),1+T$58*2,1),IF(MID(IFERROR(INDEX(醫師週班表!$C$5:$T$44,$CU16,T$57),""),3,1)="隔",IF(T$58=0,LEFT(IFERROR(INDEX(醫師週班表!$C$5:$T$44,$CU16,T$57),""),1),""),IF(MID(IFERROR(INDEX(醫師週班表!$C$5:$T$44,$CU16,T$57),""),2,1)="(",LEFT(IFERROR(INDEX(醫師週班表!$C$5:$T$44,$CU16,T$57),""),1),IFERROR(INDEX(醫師週班表!$C$5:$T$44,$CU16,T$57),"")))))))</f>
        <v/>
      </c>
      <c r="U16" s="72">
        <f>IF(U$59="X","",IF(U$59&lt;&gt;"",U$59,IF(IFERROR(INDEX(醫師週班表!$C$5:$T$44,$CU16,U$57),"")=0,"",IF(MID(IFERROR(INDEX(醫師週班表!$C$5:$T$44,$CU16,U$57),""),2,1)="/",MID(IFERROR(INDEX(醫師週班表!$C$5:$T$44,$CU16,U$57),""),1+U$58*2,1),IF(MID(IFERROR(INDEX(醫師週班表!$C$5:$T$44,$CU16,U$57),""),3,1)="隔",IF(U$58=0,LEFT(IFERROR(INDEX(醫師週班表!$C$5:$T$44,$CU16,U$57),""),1),""),IF(MID(IFERROR(INDEX(醫師週班表!$C$5:$T$44,$CU16,U$57),""),2,1)="(",LEFT(IFERROR(INDEX(醫師週班表!$C$5:$T$44,$CU16,U$57),""),1),IFERROR(INDEX(醫師週班表!$C$5:$T$44,$CU16,U$57),"")))))))</f>
        <v/>
      </c>
      <c r="V16" s="72">
        <f>IF(V$59="X","",IF(V$59&lt;&gt;"",V$59,IF(IFERROR(INDEX(醫師週班表!$C$5:$T$44,$CU16,V$57),"")=0,"",IF(MID(IFERROR(INDEX(醫師週班表!$C$5:$T$44,$CU16,V$57),""),2,1)="/",MID(IFERROR(INDEX(醫師週班表!$C$5:$T$44,$CU16,V$57),""),1+V$58*2,1),IF(MID(IFERROR(INDEX(醫師週班表!$C$5:$T$44,$CU16,V$57),""),3,1)="隔",IF(V$58=0,LEFT(IFERROR(INDEX(醫師週班表!$C$5:$T$44,$CU16,V$57),""),1),""),IF(MID(IFERROR(INDEX(醫師週班表!$C$5:$T$44,$CU16,V$57),""),2,1)="(",LEFT(IFERROR(INDEX(醫師週班表!$C$5:$T$44,$CU16,V$57),""),1),IFERROR(INDEX(醫師週班表!$C$5:$T$44,$CU16,V$57),"")))))))</f>
        <v/>
      </c>
      <c r="W16" s="71">
        <f>IF(W$59="X","",IF(W$59&lt;&gt;"",W$59,IF(IFERROR(INDEX(醫師週班表!$C$5:$T$44,$CU16,W$57),"")=0,"",IF(MID(IFERROR(INDEX(醫師週班表!$C$5:$T$44,$CU16,W$57),""),2,1)="/",MID(IFERROR(INDEX(醫師週班表!$C$5:$T$44,$CU16,W$57),""),1+W$58*2,1),IF(MID(IFERROR(INDEX(醫師週班表!$C$5:$T$44,$CU16,W$57),""),3,1)="隔",IF(W$58=0,LEFT(IFERROR(INDEX(醫師週班表!$C$5:$T$44,$CU16,W$57),""),1),""),IF(MID(IFERROR(INDEX(醫師週班表!$C$5:$T$44,$CU16,W$57),""),2,1)="(",LEFT(IFERROR(INDEX(醫師週班表!$C$5:$T$44,$CU16,W$57),""),1),IFERROR(INDEX(醫師週班表!$C$5:$T$44,$CU16,W$57),"")))))))</f>
        <v/>
      </c>
      <c r="X16" s="72">
        <f>IF(X$59="X","",IF(X$59&lt;&gt;"",X$59,IF(IFERROR(INDEX(醫師週班表!$C$5:$T$44,$CU16,X$57),"")=0,"",IF(MID(IFERROR(INDEX(醫師週班表!$C$5:$T$44,$CU16,X$57),""),2,1)="/",MID(IFERROR(INDEX(醫師週班表!$C$5:$T$44,$CU16,X$57),""),1+X$58*2,1),IF(MID(IFERROR(INDEX(醫師週班表!$C$5:$T$44,$CU16,X$57),""),3,1)="隔",IF(X$58=0,LEFT(IFERROR(INDEX(醫師週班表!$C$5:$T$44,$CU16,X$57),""),1),""),IF(MID(IFERROR(INDEX(醫師週班表!$C$5:$T$44,$CU16,X$57),""),2,1)="(",LEFT(IFERROR(INDEX(醫師週班表!$C$5:$T$44,$CU16,X$57),""),1),IFERROR(INDEX(醫師週班表!$C$5:$T$44,$CU16,X$57),"")))))))</f>
        <v/>
      </c>
      <c r="Y16" s="72">
        <f>IF(Y$59="X","",IF(Y$59&lt;&gt;"",Y$59,IF(IFERROR(INDEX(醫師週班表!$C$5:$T$44,$CU16,Y$57),"")=0,"",IF(MID(IFERROR(INDEX(醫師週班表!$C$5:$T$44,$CU16,Y$57),""),2,1)="/",MID(IFERROR(INDEX(醫師週班表!$C$5:$T$44,$CU16,Y$57),""),1+Y$58*2,1),IF(MID(IFERROR(INDEX(醫師週班表!$C$5:$T$44,$CU16,Y$57),""),3,1)="隔",IF(Y$58=0,LEFT(IFERROR(INDEX(醫師週班表!$C$5:$T$44,$CU16,Y$57),""),1),""),IF(MID(IFERROR(INDEX(醫師週班表!$C$5:$T$44,$CU16,Y$57),""),2,1)="(",LEFT(IFERROR(INDEX(醫師週班表!$C$5:$T$44,$CU16,Y$57),""),1),IFERROR(INDEX(醫師週班表!$C$5:$T$44,$CU16,Y$57),"")))))))</f>
        <v/>
      </c>
      <c r="Z16" s="71">
        <f>IF(Z$59="X","",IF(Z$59&lt;&gt;"",Z$59,IF(IFERROR(INDEX(醫師週班表!$C$5:$T$44,$CU16,Z$57),"")=0,"",IF(MID(IFERROR(INDEX(醫師週班表!$C$5:$T$44,$CU16,Z$57),""),2,1)="/",MID(IFERROR(INDEX(醫師週班表!$C$5:$T$44,$CU16,Z$57),""),1+Z$58*2,1),IF(MID(IFERROR(INDEX(醫師週班表!$C$5:$T$44,$CU16,Z$57),""),3,1)="隔",IF(Z$58=0,LEFT(IFERROR(INDEX(醫師週班表!$C$5:$T$44,$CU16,Z$57),""),1),""),IF(MID(IFERROR(INDEX(醫師週班表!$C$5:$T$44,$CU16,Z$57),""),2,1)="(",LEFT(IFERROR(INDEX(醫師週班表!$C$5:$T$44,$CU16,Z$57),""),1),IFERROR(INDEX(醫師週班表!$C$5:$T$44,$CU16,Z$57),"")))))))</f>
        <v/>
      </c>
      <c r="AA16" s="72">
        <f>IF(AA$59="X","",IF(AA$59&lt;&gt;"",AA$59,IF(IFERROR(INDEX(醫師週班表!$C$5:$T$44,$CU16,AA$57),"")=0,"",IF(MID(IFERROR(INDEX(醫師週班表!$C$5:$T$44,$CU16,AA$57),""),2,1)="/",MID(IFERROR(INDEX(醫師週班表!$C$5:$T$44,$CU16,AA$57),""),1+AA$58*2,1),IF(MID(IFERROR(INDEX(醫師週班表!$C$5:$T$44,$CU16,AA$57),""),3,1)="隔",IF(AA$58=0,LEFT(IFERROR(INDEX(醫師週班表!$C$5:$T$44,$CU16,AA$57),""),1),""),IF(MID(IFERROR(INDEX(醫師週班表!$C$5:$T$44,$CU16,AA$57),""),2,1)="(",LEFT(IFERROR(INDEX(醫師週班表!$C$5:$T$44,$CU16,AA$57),""),1),IFERROR(INDEX(醫師週班表!$C$5:$T$44,$CU16,AA$57),"")))))))</f>
        <v/>
      </c>
      <c r="AB16" s="72">
        <f>IF(AB$59="X","",IF(AB$59&lt;&gt;"",AB$59,IF(IFERROR(INDEX(醫師週班表!$C$5:$T$44,$CU16,AB$57),"")=0,"",IF(MID(IFERROR(INDEX(醫師週班表!$C$5:$T$44,$CU16,AB$57),""),2,1)="/",MID(IFERROR(INDEX(醫師週班表!$C$5:$T$44,$CU16,AB$57),""),1+AB$58*2,1),IF(MID(IFERROR(INDEX(醫師週班表!$C$5:$T$44,$CU16,AB$57),""),3,1)="隔",IF(AB$58=0,LEFT(IFERROR(INDEX(醫師週班表!$C$5:$T$44,$CU16,AB$57),""),1),""),IF(MID(IFERROR(INDEX(醫師週班表!$C$5:$T$44,$CU16,AB$57),""),2,1)="(",LEFT(IFERROR(INDEX(醫師週班表!$C$5:$T$44,$CU16,AB$57),""),1),IFERROR(INDEX(醫師週班表!$C$5:$T$44,$CU16,AB$57),"")))))))</f>
        <v/>
      </c>
      <c r="AC16" s="71">
        <f>IF(AC$59="X","",IF(AC$59&lt;&gt;"",AC$59,IF(IFERROR(INDEX(醫師週班表!$C$5:$T$44,$CU16,AC$57),"")=0,"",IF(MID(IFERROR(INDEX(醫師週班表!$C$5:$T$44,$CU16,AC$57),""),2,1)="/",MID(IFERROR(INDEX(醫師週班表!$C$5:$T$44,$CU16,AC$57),""),1+AC$58*2,1),IF(MID(IFERROR(INDEX(醫師週班表!$C$5:$T$44,$CU16,AC$57),""),3,1)="隔",IF(AC$58=0,LEFT(IFERROR(INDEX(醫師週班表!$C$5:$T$44,$CU16,AC$57),""),1),""),IF(MID(IFERROR(INDEX(醫師週班表!$C$5:$T$44,$CU16,AC$57),""),2,1)="(",LEFT(IFERROR(INDEX(醫師週班表!$C$5:$T$44,$CU16,AC$57),""),1),IFERROR(INDEX(醫師週班表!$C$5:$T$44,$CU16,AC$57),"")))))))</f>
        <v/>
      </c>
      <c r="AD16" s="72">
        <f>IF(AD$59="X","",IF(AD$59&lt;&gt;"",AD$59,IF(IFERROR(INDEX(醫師週班表!$C$5:$T$44,$CU16,AD$57),"")=0,"",IF(MID(IFERROR(INDEX(醫師週班表!$C$5:$T$44,$CU16,AD$57),""),2,1)="/",MID(IFERROR(INDEX(醫師週班表!$C$5:$T$44,$CU16,AD$57),""),1+AD$58*2,1),IF(MID(IFERROR(INDEX(醫師週班表!$C$5:$T$44,$CU16,AD$57),""),3,1)="隔",IF(AD$58=0,LEFT(IFERROR(INDEX(醫師週班表!$C$5:$T$44,$CU16,AD$57),""),1),""),IF(MID(IFERROR(INDEX(醫師週班表!$C$5:$T$44,$CU16,AD$57),""),2,1)="(",LEFT(IFERROR(INDEX(醫師週班表!$C$5:$T$44,$CU16,AD$57),""),1),IFERROR(INDEX(醫師週班表!$C$5:$T$44,$CU16,AD$57),"")))))))</f>
        <v/>
      </c>
      <c r="AE16" s="72">
        <f>IF(AE$59="X","",IF(AE$59&lt;&gt;"",AE$59,IF(IFERROR(INDEX(醫師週班表!$C$5:$T$44,$CU16,AE$57),"")=0,"",IF(MID(IFERROR(INDEX(醫師週班表!$C$5:$T$44,$CU16,AE$57),""),2,1)="/",MID(IFERROR(INDEX(醫師週班表!$C$5:$T$44,$CU16,AE$57),""),1+AE$58*2,1),IF(MID(IFERROR(INDEX(醫師週班表!$C$5:$T$44,$CU16,AE$57),""),3,1)="隔",IF(AE$58=0,LEFT(IFERROR(INDEX(醫師週班表!$C$5:$T$44,$CU16,AE$57),""),1),""),IF(MID(IFERROR(INDEX(醫師週班表!$C$5:$T$44,$CU16,AE$57),""),2,1)="(",LEFT(IFERROR(INDEX(醫師週班表!$C$5:$T$44,$CU16,AE$57),""),1),IFERROR(INDEX(醫師週班表!$C$5:$T$44,$CU16,AE$57),"")))))))</f>
        <v/>
      </c>
      <c r="AF16" s="71">
        <f>IF(AF$59="X","",IF(AF$59&lt;&gt;"",AF$59,IF(IFERROR(INDEX(醫師週班表!$C$5:$T$44,$CU16,AF$57),"")=0,"",IF(MID(IFERROR(INDEX(醫師週班表!$C$5:$T$44,$CU16,AF$57),""),2,1)="/",MID(IFERROR(INDEX(醫師週班表!$C$5:$T$44,$CU16,AF$57),""),1+AF$58*2,1),IF(MID(IFERROR(INDEX(醫師週班表!$C$5:$T$44,$CU16,AF$57),""),3,1)="隔",IF(AF$58=0,LEFT(IFERROR(INDEX(醫師週班表!$C$5:$T$44,$CU16,AF$57),""),1),""),IF(MID(IFERROR(INDEX(醫師週班表!$C$5:$T$44,$CU16,AF$57),""),2,1)="(",LEFT(IFERROR(INDEX(醫師週班表!$C$5:$T$44,$CU16,AF$57),""),1),IFERROR(INDEX(醫師週班表!$C$5:$T$44,$CU16,AF$57),"")))))))</f>
        <v/>
      </c>
      <c r="AG16" s="72">
        <f>IF(AG$59="X","",IF(AG$59&lt;&gt;"",AG$59,IF(IFERROR(INDEX(醫師週班表!$C$5:$T$44,$CU16,AG$57),"")=0,"",IF(MID(IFERROR(INDEX(醫師週班表!$C$5:$T$44,$CU16,AG$57),""),2,1)="/",MID(IFERROR(INDEX(醫師週班表!$C$5:$T$44,$CU16,AG$57),""),1+AG$58*2,1),IF(MID(IFERROR(INDEX(醫師週班表!$C$5:$T$44,$CU16,AG$57),""),3,1)="隔",IF(AG$58=0,LEFT(IFERROR(INDEX(醫師週班表!$C$5:$T$44,$CU16,AG$57),""),1),""),IF(MID(IFERROR(INDEX(醫師週班表!$C$5:$T$44,$CU16,AG$57),""),2,1)="(",LEFT(IFERROR(INDEX(醫師週班表!$C$5:$T$44,$CU16,AG$57),""),1),IFERROR(INDEX(醫師週班表!$C$5:$T$44,$CU16,AG$57),"")))))))</f>
        <v/>
      </c>
      <c r="AH16" s="72">
        <f>IF(AH$59="X","",IF(AH$59&lt;&gt;"",AH$59,IF(IFERROR(INDEX(醫師週班表!$C$5:$T$44,$CU16,AH$57),"")=0,"",IF(MID(IFERROR(INDEX(醫師週班表!$C$5:$T$44,$CU16,AH$57),""),2,1)="/",MID(IFERROR(INDEX(醫師週班表!$C$5:$T$44,$CU16,AH$57),""),1+AH$58*2,1),IF(MID(IFERROR(INDEX(醫師週班表!$C$5:$T$44,$CU16,AH$57),""),3,1)="隔",IF(AH$58=0,LEFT(IFERROR(INDEX(醫師週班表!$C$5:$T$44,$CU16,AH$57),""),1),""),IF(MID(IFERROR(INDEX(醫師週班表!$C$5:$T$44,$CU16,AH$57),""),2,1)="(",LEFT(IFERROR(INDEX(醫師週班表!$C$5:$T$44,$CU16,AH$57),""),1),IFERROR(INDEX(醫師週班表!$C$5:$T$44,$CU16,AH$57),"")))))))</f>
        <v/>
      </c>
      <c r="AI16" s="71">
        <f>IF(AI$59="X","",IF(AI$59&lt;&gt;"",AI$59,IF(IFERROR(INDEX(醫師週班表!$C$5:$T$44,$CU16,AI$57),"")=0,"",IF(MID(IFERROR(INDEX(醫師週班表!$C$5:$T$44,$CU16,AI$57),""),2,1)="/",MID(IFERROR(INDEX(醫師週班表!$C$5:$T$44,$CU16,AI$57),""),1+AI$58*2,1),IF(MID(IFERROR(INDEX(醫師週班表!$C$5:$T$44,$CU16,AI$57),""),3,1)="隔",IF(AI$58=0,LEFT(IFERROR(INDEX(醫師週班表!$C$5:$T$44,$CU16,AI$57),""),1),""),IF(MID(IFERROR(INDEX(醫師週班表!$C$5:$T$44,$CU16,AI$57),""),2,1)="(",LEFT(IFERROR(INDEX(醫師週班表!$C$5:$T$44,$CU16,AI$57),""),1),IFERROR(INDEX(醫師週班表!$C$5:$T$44,$CU16,AI$57),"")))))))</f>
        <v/>
      </c>
      <c r="AJ16" s="72">
        <f>IF(AJ$59="X","",IF(AJ$59&lt;&gt;"",AJ$59,IF(IFERROR(INDEX(醫師週班表!$C$5:$T$44,$CU16,AJ$57),"")=0,"",IF(MID(IFERROR(INDEX(醫師週班表!$C$5:$T$44,$CU16,AJ$57),""),2,1)="/",MID(IFERROR(INDEX(醫師週班表!$C$5:$T$44,$CU16,AJ$57),""),1+AJ$58*2,1),IF(MID(IFERROR(INDEX(醫師週班表!$C$5:$T$44,$CU16,AJ$57),""),3,1)="隔",IF(AJ$58=0,LEFT(IFERROR(INDEX(醫師週班表!$C$5:$T$44,$CU16,AJ$57),""),1),""),IF(MID(IFERROR(INDEX(醫師週班表!$C$5:$T$44,$CU16,AJ$57),""),2,1)="(",LEFT(IFERROR(INDEX(醫師週班表!$C$5:$T$44,$CU16,AJ$57),""),1),IFERROR(INDEX(醫師週班表!$C$5:$T$44,$CU16,AJ$57),"")))))))</f>
        <v/>
      </c>
      <c r="AK16" s="72">
        <f>IF(AK$59="X","",IF(AK$59&lt;&gt;"",AK$59,IF(IFERROR(INDEX(醫師週班表!$C$5:$T$44,$CU16,AK$57),"")=0,"",IF(MID(IFERROR(INDEX(醫師週班表!$C$5:$T$44,$CU16,AK$57),""),2,1)="/",MID(IFERROR(INDEX(醫師週班表!$C$5:$T$44,$CU16,AK$57),""),1+AK$58*2,1),IF(MID(IFERROR(INDEX(醫師週班表!$C$5:$T$44,$CU16,AK$57),""),3,1)="隔",IF(AK$58=0,LEFT(IFERROR(INDEX(醫師週班表!$C$5:$T$44,$CU16,AK$57),""),1),""),IF(MID(IFERROR(INDEX(醫師週班表!$C$5:$T$44,$CU16,AK$57),""),2,1)="(",LEFT(IFERROR(INDEX(醫師週班表!$C$5:$T$44,$CU16,AK$57),""),1),IFERROR(INDEX(醫師週班表!$C$5:$T$44,$CU16,AK$57),"")))))))</f>
        <v/>
      </c>
      <c r="AL16" s="71">
        <f>IF(AL$59="X","",IF(AL$59&lt;&gt;"",AL$59,IF(IFERROR(INDEX(醫師週班表!$C$5:$T$44,$CU16,AL$57),"")=0,"",IF(MID(IFERROR(INDEX(醫師週班表!$C$5:$T$44,$CU16,AL$57),""),2,1)="/",MID(IFERROR(INDEX(醫師週班表!$C$5:$T$44,$CU16,AL$57),""),1+AL$58*2,1),IF(MID(IFERROR(INDEX(醫師週班表!$C$5:$T$44,$CU16,AL$57),""),3,1)="隔",IF(AL$58=0,LEFT(IFERROR(INDEX(醫師週班表!$C$5:$T$44,$CU16,AL$57),""),1),""),IF(MID(IFERROR(INDEX(醫師週班表!$C$5:$T$44,$CU16,AL$57),""),2,1)="(",LEFT(IFERROR(INDEX(醫師週班表!$C$5:$T$44,$CU16,AL$57),""),1),IFERROR(INDEX(醫師週班表!$C$5:$T$44,$CU16,AL$57),"")))))))</f>
        <v/>
      </c>
      <c r="AM16" s="72">
        <f>IF(AM$59="X","",IF(AM$59&lt;&gt;"",AM$59,IF(IFERROR(INDEX(醫師週班表!$C$5:$T$44,$CU16,AM$57),"")=0,"",IF(MID(IFERROR(INDEX(醫師週班表!$C$5:$T$44,$CU16,AM$57),""),2,1)="/",MID(IFERROR(INDEX(醫師週班表!$C$5:$T$44,$CU16,AM$57),""),1+AM$58*2,1),IF(MID(IFERROR(INDEX(醫師週班表!$C$5:$T$44,$CU16,AM$57),""),3,1)="隔",IF(AM$58=0,LEFT(IFERROR(INDEX(醫師週班表!$C$5:$T$44,$CU16,AM$57),""),1),""),IF(MID(IFERROR(INDEX(醫師週班表!$C$5:$T$44,$CU16,AM$57),""),2,1)="(",LEFT(IFERROR(INDEX(醫師週班表!$C$5:$T$44,$CU16,AM$57),""),1),IFERROR(INDEX(醫師週班表!$C$5:$T$44,$CU16,AM$57),"")))))))</f>
        <v/>
      </c>
      <c r="AN16" s="72">
        <f>IF(AN$59="X","",IF(AN$59&lt;&gt;"",AN$59,IF(IFERROR(INDEX(醫師週班表!$C$5:$T$44,$CU16,AN$57),"")=0,"",IF(MID(IFERROR(INDEX(醫師週班表!$C$5:$T$44,$CU16,AN$57),""),2,1)="/",MID(IFERROR(INDEX(醫師週班表!$C$5:$T$44,$CU16,AN$57),""),1+AN$58*2,1),IF(MID(IFERROR(INDEX(醫師週班表!$C$5:$T$44,$CU16,AN$57),""),3,1)="隔",IF(AN$58=0,LEFT(IFERROR(INDEX(醫師週班表!$C$5:$T$44,$CU16,AN$57),""),1),""),IF(MID(IFERROR(INDEX(醫師週班表!$C$5:$T$44,$CU16,AN$57),""),2,1)="(",LEFT(IFERROR(INDEX(醫師週班表!$C$5:$T$44,$CU16,AN$57),""),1),IFERROR(INDEX(醫師週班表!$C$5:$T$44,$CU16,AN$57),"")))))))</f>
        <v/>
      </c>
      <c r="AO16" s="71">
        <f>IF(AO$59="X","",IF(AO$59&lt;&gt;"",AO$59,IF(IFERROR(INDEX(醫師週班表!$C$5:$T$44,$CU16,AO$57),"")=0,"",IF(MID(IFERROR(INDEX(醫師週班表!$C$5:$T$44,$CU16,AO$57),""),2,1)="/",MID(IFERROR(INDEX(醫師週班表!$C$5:$T$44,$CU16,AO$57),""),1+AO$58*2,1),IF(MID(IFERROR(INDEX(醫師週班表!$C$5:$T$44,$CU16,AO$57),""),3,1)="隔",IF(AO$58=0,LEFT(IFERROR(INDEX(醫師週班表!$C$5:$T$44,$CU16,AO$57),""),1),""),IF(MID(IFERROR(INDEX(醫師週班表!$C$5:$T$44,$CU16,AO$57),""),2,1)="(",LEFT(IFERROR(INDEX(醫師週班表!$C$5:$T$44,$CU16,AO$57),""),1),IFERROR(INDEX(醫師週班表!$C$5:$T$44,$CU16,AO$57),"")))))))</f>
        <v/>
      </c>
      <c r="AP16" s="72">
        <f>IF(AP$59="X","",IF(AP$59&lt;&gt;"",AP$59,IF(IFERROR(INDEX(醫師週班表!$C$5:$T$44,$CU16,AP$57),"")=0,"",IF(MID(IFERROR(INDEX(醫師週班表!$C$5:$T$44,$CU16,AP$57),""),2,1)="/",MID(IFERROR(INDEX(醫師週班表!$C$5:$T$44,$CU16,AP$57),""),1+AP$58*2,1),IF(MID(IFERROR(INDEX(醫師週班表!$C$5:$T$44,$CU16,AP$57),""),3,1)="隔",IF(AP$58=0,LEFT(IFERROR(INDEX(醫師週班表!$C$5:$T$44,$CU16,AP$57),""),1),""),IF(MID(IFERROR(INDEX(醫師週班表!$C$5:$T$44,$CU16,AP$57),""),2,1)="(",LEFT(IFERROR(INDEX(醫師週班表!$C$5:$T$44,$CU16,AP$57),""),1),IFERROR(INDEX(醫師週班表!$C$5:$T$44,$CU16,AP$57),"")))))))</f>
        <v/>
      </c>
      <c r="AQ16" s="72">
        <f>IF(AQ$59="X","",IF(AQ$59&lt;&gt;"",AQ$59,IF(IFERROR(INDEX(醫師週班表!$C$5:$T$44,$CU16,AQ$57),"")=0,"",IF(MID(IFERROR(INDEX(醫師週班表!$C$5:$T$44,$CU16,AQ$57),""),2,1)="/",MID(IFERROR(INDEX(醫師週班表!$C$5:$T$44,$CU16,AQ$57),""),1+AQ$58*2,1),IF(MID(IFERROR(INDEX(醫師週班表!$C$5:$T$44,$CU16,AQ$57),""),3,1)="隔",IF(AQ$58=0,LEFT(IFERROR(INDEX(醫師週班表!$C$5:$T$44,$CU16,AQ$57),""),1),""),IF(MID(IFERROR(INDEX(醫師週班表!$C$5:$T$44,$CU16,AQ$57),""),2,1)="(",LEFT(IFERROR(INDEX(醫師週班表!$C$5:$T$44,$CU16,AQ$57),""),1),IFERROR(INDEX(醫師週班表!$C$5:$T$44,$CU16,AQ$57),"")))))))</f>
        <v/>
      </c>
      <c r="AR16" s="71">
        <f>IF(AR$59="X","",IF(AR$59&lt;&gt;"",AR$59,IF(IFERROR(INDEX(醫師週班表!$C$5:$T$44,$CU16,AR$57),"")=0,"",IF(MID(IFERROR(INDEX(醫師週班表!$C$5:$T$44,$CU16,AR$57),""),2,1)="/",MID(IFERROR(INDEX(醫師週班表!$C$5:$T$44,$CU16,AR$57),""),1+AR$58*2,1),IF(MID(IFERROR(INDEX(醫師週班表!$C$5:$T$44,$CU16,AR$57),""),3,1)="隔",IF(AR$58=0,LEFT(IFERROR(INDEX(醫師週班表!$C$5:$T$44,$CU16,AR$57),""),1),""),IF(MID(IFERROR(INDEX(醫師週班表!$C$5:$T$44,$CU16,AR$57),""),2,1)="(",LEFT(IFERROR(INDEX(醫師週班表!$C$5:$T$44,$CU16,AR$57),""),1),IFERROR(INDEX(醫師週班表!$C$5:$T$44,$CU16,AR$57),"")))))))</f>
        <v/>
      </c>
      <c r="AS16" s="72">
        <f>IF(AS$59="X","",IF(AS$59&lt;&gt;"",AS$59,IF(IFERROR(INDEX(醫師週班表!$C$5:$T$44,$CU16,AS$57),"")=0,"",IF(MID(IFERROR(INDEX(醫師週班表!$C$5:$T$44,$CU16,AS$57),""),2,1)="/",MID(IFERROR(INDEX(醫師週班表!$C$5:$T$44,$CU16,AS$57),""),1+AS$58*2,1),IF(MID(IFERROR(INDEX(醫師週班表!$C$5:$T$44,$CU16,AS$57),""),3,1)="隔",IF(AS$58=0,LEFT(IFERROR(INDEX(醫師週班表!$C$5:$T$44,$CU16,AS$57),""),1),""),IF(MID(IFERROR(INDEX(醫師週班表!$C$5:$T$44,$CU16,AS$57),""),2,1)="(",LEFT(IFERROR(INDEX(醫師週班表!$C$5:$T$44,$CU16,AS$57),""),1),IFERROR(INDEX(醫師週班表!$C$5:$T$44,$CU16,AS$57),"")))))))</f>
        <v/>
      </c>
      <c r="AT16" s="72">
        <f>IF(AT$59="X","",IF(AT$59&lt;&gt;"",AT$59,IF(IFERROR(INDEX(醫師週班表!$C$5:$T$44,$CU16,AT$57),"")=0,"",IF(MID(IFERROR(INDEX(醫師週班表!$C$5:$T$44,$CU16,AT$57),""),2,1)="/",MID(IFERROR(INDEX(醫師週班表!$C$5:$T$44,$CU16,AT$57),""),1+AT$58*2,1),IF(MID(IFERROR(INDEX(醫師週班表!$C$5:$T$44,$CU16,AT$57),""),3,1)="隔",IF(AT$58=0,LEFT(IFERROR(INDEX(醫師週班表!$C$5:$T$44,$CU16,AT$57),""),1),""),IF(MID(IFERROR(INDEX(醫師週班表!$C$5:$T$44,$CU16,AT$57),""),2,1)="(",LEFT(IFERROR(INDEX(醫師週班表!$C$5:$T$44,$CU16,AT$57),""),1),IFERROR(INDEX(醫師週班表!$C$5:$T$44,$CU16,AT$57),"")))))))</f>
        <v/>
      </c>
      <c r="AU16" s="71">
        <f>IF(AU$59="X","",IF(AU$59&lt;&gt;"",AU$59,IF(IFERROR(INDEX(醫師週班表!$C$5:$T$44,$CU16,AU$57),"")=0,"",IF(MID(IFERROR(INDEX(醫師週班表!$C$5:$T$44,$CU16,AU$57),""),2,1)="/",MID(IFERROR(INDEX(醫師週班表!$C$5:$T$44,$CU16,AU$57),""),1+AU$58*2,1),IF(MID(IFERROR(INDEX(醫師週班表!$C$5:$T$44,$CU16,AU$57),""),3,1)="隔",IF(AU$58=0,LEFT(IFERROR(INDEX(醫師週班表!$C$5:$T$44,$CU16,AU$57),""),1),""),IF(MID(IFERROR(INDEX(醫師週班表!$C$5:$T$44,$CU16,AU$57),""),2,1)="(",LEFT(IFERROR(INDEX(醫師週班表!$C$5:$T$44,$CU16,AU$57),""),1),IFERROR(INDEX(醫師週班表!$C$5:$T$44,$CU16,AU$57),"")))))))</f>
        <v/>
      </c>
      <c r="AV16" s="72">
        <f>IF(AV$59="X","",IF(AV$59&lt;&gt;"",AV$59,IF(IFERROR(INDEX(醫師週班表!$C$5:$T$44,$CU16,AV$57),"")=0,"",IF(MID(IFERROR(INDEX(醫師週班表!$C$5:$T$44,$CU16,AV$57),""),2,1)="/",MID(IFERROR(INDEX(醫師週班表!$C$5:$T$44,$CU16,AV$57),""),1+AV$58*2,1),IF(MID(IFERROR(INDEX(醫師週班表!$C$5:$T$44,$CU16,AV$57),""),3,1)="隔",IF(AV$58=0,LEFT(IFERROR(INDEX(醫師週班表!$C$5:$T$44,$CU16,AV$57),""),1),""),IF(MID(IFERROR(INDEX(醫師週班表!$C$5:$T$44,$CU16,AV$57),""),2,1)="(",LEFT(IFERROR(INDEX(醫師週班表!$C$5:$T$44,$CU16,AV$57),""),1),IFERROR(INDEX(醫師週班表!$C$5:$T$44,$CU16,AV$57),"")))))))</f>
        <v/>
      </c>
      <c r="AW16" s="72">
        <f>IF(AW$59="X","",IF(AW$59&lt;&gt;"",AW$59,IF(IFERROR(INDEX(醫師週班表!$C$5:$T$44,$CU16,AW$57),"")=0,"",IF(MID(IFERROR(INDEX(醫師週班表!$C$5:$T$44,$CU16,AW$57),""),2,1)="/",MID(IFERROR(INDEX(醫師週班表!$C$5:$T$44,$CU16,AW$57),""),1+AW$58*2,1),IF(MID(IFERROR(INDEX(醫師週班表!$C$5:$T$44,$CU16,AW$57),""),3,1)="隔",IF(AW$58=0,LEFT(IFERROR(INDEX(醫師週班表!$C$5:$T$44,$CU16,AW$57),""),1),""),IF(MID(IFERROR(INDEX(醫師週班表!$C$5:$T$44,$CU16,AW$57),""),2,1)="(",LEFT(IFERROR(INDEX(醫師週班表!$C$5:$T$44,$CU16,AW$57),""),1),IFERROR(INDEX(醫師週班表!$C$5:$T$44,$CU16,AW$57),"")))))))</f>
        <v/>
      </c>
      <c r="AX16" s="71">
        <f>IF(AX$59="X","",IF(AX$59&lt;&gt;"",AX$59,IF(IFERROR(INDEX(醫師週班表!$C$5:$T$44,$CU16,AX$57),"")=0,"",IF(MID(IFERROR(INDEX(醫師週班表!$C$5:$T$44,$CU16,AX$57),""),2,1)="/",MID(IFERROR(INDEX(醫師週班表!$C$5:$T$44,$CU16,AX$57),""),1+AX$58*2,1),IF(MID(IFERROR(INDEX(醫師週班表!$C$5:$T$44,$CU16,AX$57),""),3,1)="隔",IF(AX$58=0,LEFT(IFERROR(INDEX(醫師週班表!$C$5:$T$44,$CU16,AX$57),""),1),""),IF(MID(IFERROR(INDEX(醫師週班表!$C$5:$T$44,$CU16,AX$57),""),2,1)="(",LEFT(IFERROR(INDEX(醫師週班表!$C$5:$T$44,$CU16,AX$57),""),1),IFERROR(INDEX(醫師週班表!$C$5:$T$44,$CU16,AX$57),"")))))))</f>
        <v/>
      </c>
      <c r="AY16" s="72">
        <f>IF(AY$59="X","",IF(AY$59&lt;&gt;"",AY$59,IF(IFERROR(INDEX(醫師週班表!$C$5:$T$44,$CU16,AY$57),"")=0,"",IF(MID(IFERROR(INDEX(醫師週班表!$C$5:$T$44,$CU16,AY$57),""),2,1)="/",MID(IFERROR(INDEX(醫師週班表!$C$5:$T$44,$CU16,AY$57),""),1+AY$58*2,1),IF(MID(IFERROR(INDEX(醫師週班表!$C$5:$T$44,$CU16,AY$57),""),3,1)="隔",IF(AY$58=0,LEFT(IFERROR(INDEX(醫師週班表!$C$5:$T$44,$CU16,AY$57),""),1),""),IF(MID(IFERROR(INDEX(醫師週班表!$C$5:$T$44,$CU16,AY$57),""),2,1)="(",LEFT(IFERROR(INDEX(醫師週班表!$C$5:$T$44,$CU16,AY$57),""),1),IFERROR(INDEX(醫師週班表!$C$5:$T$44,$CU16,AY$57),"")))))))</f>
        <v/>
      </c>
      <c r="AZ16" s="72">
        <f>IF(AZ$59="X","",IF(AZ$59&lt;&gt;"",AZ$59,IF(IFERROR(INDEX(醫師週班表!$C$5:$T$44,$CU16,AZ$57),"")=0,"",IF(MID(IFERROR(INDEX(醫師週班表!$C$5:$T$44,$CU16,AZ$57),""),2,1)="/",MID(IFERROR(INDEX(醫師週班表!$C$5:$T$44,$CU16,AZ$57),""),1+AZ$58*2,1),IF(MID(IFERROR(INDEX(醫師週班表!$C$5:$T$44,$CU16,AZ$57),""),3,1)="隔",IF(AZ$58=0,LEFT(IFERROR(INDEX(醫師週班表!$C$5:$T$44,$CU16,AZ$57),""),1),""),IF(MID(IFERROR(INDEX(醫師週班表!$C$5:$T$44,$CU16,AZ$57),""),2,1)="(",LEFT(IFERROR(INDEX(醫師週班表!$C$5:$T$44,$CU16,AZ$57),""),1),IFERROR(INDEX(醫師週班表!$C$5:$T$44,$CU16,AZ$57),"")))))))</f>
        <v/>
      </c>
      <c r="BA16" s="71">
        <f>IF(BA$59="X","",IF(BA$59&lt;&gt;"",BA$59,IF(IFERROR(INDEX(醫師週班表!$C$5:$T$44,$CU16,BA$57),"")=0,"",IF(MID(IFERROR(INDEX(醫師週班表!$C$5:$T$44,$CU16,BA$57),""),2,1)="/",MID(IFERROR(INDEX(醫師週班表!$C$5:$T$44,$CU16,BA$57),""),1+BA$58*2,1),IF(MID(IFERROR(INDEX(醫師週班表!$C$5:$T$44,$CU16,BA$57),""),3,1)="隔",IF(BA$58=0,LEFT(IFERROR(INDEX(醫師週班表!$C$5:$T$44,$CU16,BA$57),""),1),""),IF(MID(IFERROR(INDEX(醫師週班表!$C$5:$T$44,$CU16,BA$57),""),2,1)="(",LEFT(IFERROR(INDEX(醫師週班表!$C$5:$T$44,$CU16,BA$57),""),1),IFERROR(INDEX(醫師週班表!$C$5:$T$44,$CU16,BA$57),"")))))))</f>
        <v/>
      </c>
      <c r="BB16" s="72">
        <f>IF(BB$59="X","",IF(BB$59&lt;&gt;"",BB$59,IF(IFERROR(INDEX(醫師週班表!$C$5:$T$44,$CU16,BB$57),"")=0,"",IF(MID(IFERROR(INDEX(醫師週班表!$C$5:$T$44,$CU16,BB$57),""),2,1)="/",MID(IFERROR(INDEX(醫師週班表!$C$5:$T$44,$CU16,BB$57),""),1+BB$58*2,1),IF(MID(IFERROR(INDEX(醫師週班表!$C$5:$T$44,$CU16,BB$57),""),3,1)="隔",IF(BB$58=0,LEFT(IFERROR(INDEX(醫師週班表!$C$5:$T$44,$CU16,BB$57),""),1),""),IF(MID(IFERROR(INDEX(醫師週班表!$C$5:$T$44,$CU16,BB$57),""),2,1)="(",LEFT(IFERROR(INDEX(醫師週班表!$C$5:$T$44,$CU16,BB$57),""),1),IFERROR(INDEX(醫師週班表!$C$5:$T$44,$CU16,BB$57),"")))))))</f>
        <v/>
      </c>
      <c r="BC16" s="72">
        <f>IF(BC$59="X","",IF(BC$59&lt;&gt;"",BC$59,IF(IFERROR(INDEX(醫師週班表!$C$5:$T$44,$CU16,BC$57),"")=0,"",IF(MID(IFERROR(INDEX(醫師週班表!$C$5:$T$44,$CU16,BC$57),""),2,1)="/",MID(IFERROR(INDEX(醫師週班表!$C$5:$T$44,$CU16,BC$57),""),1+BC$58*2,1),IF(MID(IFERROR(INDEX(醫師週班表!$C$5:$T$44,$CU16,BC$57),""),3,1)="隔",IF(BC$58=0,LEFT(IFERROR(INDEX(醫師週班表!$C$5:$T$44,$CU16,BC$57),""),1),""),IF(MID(IFERROR(INDEX(醫師週班表!$C$5:$T$44,$CU16,BC$57),""),2,1)="(",LEFT(IFERROR(INDEX(醫師週班表!$C$5:$T$44,$CU16,BC$57),""),1),IFERROR(INDEX(醫師週班表!$C$5:$T$44,$CU16,BC$57),"")))))))</f>
        <v/>
      </c>
      <c r="BD16" s="71">
        <f>IF(BD$59="X","",IF(BD$59&lt;&gt;"",BD$59,IF(IFERROR(INDEX(醫師週班表!$C$5:$T$44,$CU16,BD$57),"")=0,"",IF(MID(IFERROR(INDEX(醫師週班表!$C$5:$T$44,$CU16,BD$57),""),2,1)="/",MID(IFERROR(INDEX(醫師週班表!$C$5:$T$44,$CU16,BD$57),""),1+BD$58*2,1),IF(MID(IFERROR(INDEX(醫師週班表!$C$5:$T$44,$CU16,BD$57),""),3,1)="隔",IF(BD$58=0,LEFT(IFERROR(INDEX(醫師週班表!$C$5:$T$44,$CU16,BD$57),""),1),""),IF(MID(IFERROR(INDEX(醫師週班表!$C$5:$T$44,$CU16,BD$57),""),2,1)="(",LEFT(IFERROR(INDEX(醫師週班表!$C$5:$T$44,$CU16,BD$57),""),1),IFERROR(INDEX(醫師週班表!$C$5:$T$44,$CU16,BD$57),"")))))))</f>
        <v/>
      </c>
      <c r="BE16" s="72">
        <f>IF(BE$59="X","",IF(BE$59&lt;&gt;"",BE$59,IF(IFERROR(INDEX(醫師週班表!$C$5:$T$44,$CU16,BE$57),"")=0,"",IF(MID(IFERROR(INDEX(醫師週班表!$C$5:$T$44,$CU16,BE$57),""),2,1)="/",MID(IFERROR(INDEX(醫師週班表!$C$5:$T$44,$CU16,BE$57),""),1+BE$58*2,1),IF(MID(IFERROR(INDEX(醫師週班表!$C$5:$T$44,$CU16,BE$57),""),3,1)="隔",IF(BE$58=0,LEFT(IFERROR(INDEX(醫師週班表!$C$5:$T$44,$CU16,BE$57),""),1),""),IF(MID(IFERROR(INDEX(醫師週班表!$C$5:$T$44,$CU16,BE$57),""),2,1)="(",LEFT(IFERROR(INDEX(醫師週班表!$C$5:$T$44,$CU16,BE$57),""),1),IFERROR(INDEX(醫師週班表!$C$5:$T$44,$CU16,BE$57),"")))))))</f>
        <v/>
      </c>
      <c r="BF16" s="72">
        <f>IF(BF$59="X","",IF(BF$59&lt;&gt;"",BF$59,IF(IFERROR(INDEX(醫師週班表!$C$5:$T$44,$CU16,BF$57),"")=0,"",IF(MID(IFERROR(INDEX(醫師週班表!$C$5:$T$44,$CU16,BF$57),""),2,1)="/",MID(IFERROR(INDEX(醫師週班表!$C$5:$T$44,$CU16,BF$57),""),1+BF$58*2,1),IF(MID(IFERROR(INDEX(醫師週班表!$C$5:$T$44,$CU16,BF$57),""),3,1)="隔",IF(BF$58=0,LEFT(IFERROR(INDEX(醫師週班表!$C$5:$T$44,$CU16,BF$57),""),1),""),IF(MID(IFERROR(INDEX(醫師週班表!$C$5:$T$44,$CU16,BF$57),""),2,1)="(",LEFT(IFERROR(INDEX(醫師週班表!$C$5:$T$44,$CU16,BF$57),""),1),IFERROR(INDEX(醫師週班表!$C$5:$T$44,$CU16,BF$57),"")))))))</f>
        <v/>
      </c>
      <c r="BG16" s="71">
        <f>IF(BG$59="X","",IF(BG$59&lt;&gt;"",BG$59,IF(IFERROR(INDEX(醫師週班表!$C$5:$T$44,$CU16,BG$57),"")=0,"",IF(MID(IFERROR(INDEX(醫師週班表!$C$5:$T$44,$CU16,BG$57),""),2,1)="/",MID(IFERROR(INDEX(醫師週班表!$C$5:$T$44,$CU16,BG$57),""),1+BG$58*2,1),IF(MID(IFERROR(INDEX(醫師週班表!$C$5:$T$44,$CU16,BG$57),""),3,1)="隔",IF(BG$58=0,LEFT(IFERROR(INDEX(醫師週班表!$C$5:$T$44,$CU16,BG$57),""),1),""),IF(MID(IFERROR(INDEX(醫師週班表!$C$5:$T$44,$CU16,BG$57),""),2,1)="(",LEFT(IFERROR(INDEX(醫師週班表!$C$5:$T$44,$CU16,BG$57),""),1),IFERROR(INDEX(醫師週班表!$C$5:$T$44,$CU16,BG$57),"")))))))</f>
        <v/>
      </c>
      <c r="BH16" s="72">
        <f>IF(BH$59="X","",IF(BH$59&lt;&gt;"",BH$59,IF(IFERROR(INDEX(醫師週班表!$C$5:$T$44,$CU16,BH$57),"")=0,"",IF(MID(IFERROR(INDEX(醫師週班表!$C$5:$T$44,$CU16,BH$57),""),2,1)="/",MID(IFERROR(INDEX(醫師週班表!$C$5:$T$44,$CU16,BH$57),""),1+BH$58*2,1),IF(MID(IFERROR(INDEX(醫師週班表!$C$5:$T$44,$CU16,BH$57),""),3,1)="隔",IF(BH$58=0,LEFT(IFERROR(INDEX(醫師週班表!$C$5:$T$44,$CU16,BH$57),""),1),""),IF(MID(IFERROR(INDEX(醫師週班表!$C$5:$T$44,$CU16,BH$57),""),2,1)="(",LEFT(IFERROR(INDEX(醫師週班表!$C$5:$T$44,$CU16,BH$57),""),1),IFERROR(INDEX(醫師週班表!$C$5:$T$44,$CU16,BH$57),"")))))))</f>
        <v/>
      </c>
      <c r="BI16" s="72">
        <f>IF(BI$59="X","",IF(BI$59&lt;&gt;"",BI$59,IF(IFERROR(INDEX(醫師週班表!$C$5:$T$44,$CU16,BI$57),"")=0,"",IF(MID(IFERROR(INDEX(醫師週班表!$C$5:$T$44,$CU16,BI$57),""),2,1)="/",MID(IFERROR(INDEX(醫師週班表!$C$5:$T$44,$CU16,BI$57),""),1+BI$58*2,1),IF(MID(IFERROR(INDEX(醫師週班表!$C$5:$T$44,$CU16,BI$57),""),3,1)="隔",IF(BI$58=0,LEFT(IFERROR(INDEX(醫師週班表!$C$5:$T$44,$CU16,BI$57),""),1),""),IF(MID(IFERROR(INDEX(醫師週班表!$C$5:$T$44,$CU16,BI$57),""),2,1)="(",LEFT(IFERROR(INDEX(醫師週班表!$C$5:$T$44,$CU16,BI$57),""),1),IFERROR(INDEX(醫師週班表!$C$5:$T$44,$CU16,BI$57),"")))))))</f>
        <v/>
      </c>
      <c r="BJ16" s="71">
        <f>IF(BJ$59="X","",IF(BJ$59&lt;&gt;"",BJ$59,IF(IFERROR(INDEX(醫師週班表!$C$5:$T$44,$CU16,BJ$57),"")=0,"",IF(MID(IFERROR(INDEX(醫師週班表!$C$5:$T$44,$CU16,BJ$57),""),2,1)="/",MID(IFERROR(INDEX(醫師週班表!$C$5:$T$44,$CU16,BJ$57),""),1+BJ$58*2,1),IF(MID(IFERROR(INDEX(醫師週班表!$C$5:$T$44,$CU16,BJ$57),""),3,1)="隔",IF(BJ$58=0,LEFT(IFERROR(INDEX(醫師週班表!$C$5:$T$44,$CU16,BJ$57),""),1),""),IF(MID(IFERROR(INDEX(醫師週班表!$C$5:$T$44,$CU16,BJ$57),""),2,1)="(",LEFT(IFERROR(INDEX(醫師週班表!$C$5:$T$44,$CU16,BJ$57),""),1),IFERROR(INDEX(醫師週班表!$C$5:$T$44,$CU16,BJ$57),"")))))))</f>
        <v/>
      </c>
      <c r="BK16" s="72">
        <f>IF(BK$59="X","",IF(BK$59&lt;&gt;"",BK$59,IF(IFERROR(INDEX(醫師週班表!$C$5:$T$44,$CU16,BK$57),"")=0,"",IF(MID(IFERROR(INDEX(醫師週班表!$C$5:$T$44,$CU16,BK$57),""),2,1)="/",MID(IFERROR(INDEX(醫師週班表!$C$5:$T$44,$CU16,BK$57),""),1+BK$58*2,1),IF(MID(IFERROR(INDEX(醫師週班表!$C$5:$T$44,$CU16,BK$57),""),3,1)="隔",IF(BK$58=0,LEFT(IFERROR(INDEX(醫師週班表!$C$5:$T$44,$CU16,BK$57),""),1),""),IF(MID(IFERROR(INDEX(醫師週班表!$C$5:$T$44,$CU16,BK$57),""),2,1)="(",LEFT(IFERROR(INDEX(醫師週班表!$C$5:$T$44,$CU16,BK$57),""),1),IFERROR(INDEX(醫師週班表!$C$5:$T$44,$CU16,BK$57),"")))))))</f>
        <v/>
      </c>
      <c r="BL16" s="72">
        <f>IF(BL$59="X","",IF(BL$59&lt;&gt;"",BL$59,IF(IFERROR(INDEX(醫師週班表!$C$5:$T$44,$CU16,BL$57),"")=0,"",IF(MID(IFERROR(INDEX(醫師週班表!$C$5:$T$44,$CU16,BL$57),""),2,1)="/",MID(IFERROR(INDEX(醫師週班表!$C$5:$T$44,$CU16,BL$57),""),1+BL$58*2,1),IF(MID(IFERROR(INDEX(醫師週班表!$C$5:$T$44,$CU16,BL$57),""),3,1)="隔",IF(BL$58=0,LEFT(IFERROR(INDEX(醫師週班表!$C$5:$T$44,$CU16,BL$57),""),1),""),IF(MID(IFERROR(INDEX(醫師週班表!$C$5:$T$44,$CU16,BL$57),""),2,1)="(",LEFT(IFERROR(INDEX(醫師週班表!$C$5:$T$44,$CU16,BL$57),""),1),IFERROR(INDEX(醫師週班表!$C$5:$T$44,$CU16,BL$57),"")))))))</f>
        <v/>
      </c>
      <c r="BM16" s="71">
        <f>IF(BM$59="X","",IF(BM$59&lt;&gt;"",BM$59,IF(IFERROR(INDEX(醫師週班表!$C$5:$T$44,$CU16,BM$57),"")=0,"",IF(MID(IFERROR(INDEX(醫師週班表!$C$5:$T$44,$CU16,BM$57),""),2,1)="/",MID(IFERROR(INDEX(醫師週班表!$C$5:$T$44,$CU16,BM$57),""),1+BM$58*2,1),IF(MID(IFERROR(INDEX(醫師週班表!$C$5:$T$44,$CU16,BM$57),""),3,1)="隔",IF(BM$58=0,LEFT(IFERROR(INDEX(醫師週班表!$C$5:$T$44,$CU16,BM$57),""),1),""),IF(MID(IFERROR(INDEX(醫師週班表!$C$5:$T$44,$CU16,BM$57),""),2,1)="(",LEFT(IFERROR(INDEX(醫師週班表!$C$5:$T$44,$CU16,BM$57),""),1),IFERROR(INDEX(醫師週班表!$C$5:$T$44,$CU16,BM$57),"")))))))</f>
        <v/>
      </c>
      <c r="BN16" s="72">
        <f>IF(BN$59="X","",IF(BN$59&lt;&gt;"",BN$59,IF(IFERROR(INDEX(醫師週班表!$C$5:$T$44,$CU16,BN$57),"")=0,"",IF(MID(IFERROR(INDEX(醫師週班表!$C$5:$T$44,$CU16,BN$57),""),2,1)="/",MID(IFERROR(INDEX(醫師週班表!$C$5:$T$44,$CU16,BN$57),""),1+BN$58*2,1),IF(MID(IFERROR(INDEX(醫師週班表!$C$5:$T$44,$CU16,BN$57),""),3,1)="隔",IF(BN$58=0,LEFT(IFERROR(INDEX(醫師週班表!$C$5:$T$44,$CU16,BN$57),""),1),""),IF(MID(IFERROR(INDEX(醫師週班表!$C$5:$T$44,$CU16,BN$57),""),2,1)="(",LEFT(IFERROR(INDEX(醫師週班表!$C$5:$T$44,$CU16,BN$57),""),1),IFERROR(INDEX(醫師週班表!$C$5:$T$44,$CU16,BN$57),"")))))))</f>
        <v/>
      </c>
      <c r="BO16" s="72">
        <f>IF(BO$59="X","",IF(BO$59&lt;&gt;"",BO$59,IF(IFERROR(INDEX(醫師週班表!$C$5:$T$44,$CU16,BO$57),"")=0,"",IF(MID(IFERROR(INDEX(醫師週班表!$C$5:$T$44,$CU16,BO$57),""),2,1)="/",MID(IFERROR(INDEX(醫師週班表!$C$5:$T$44,$CU16,BO$57),""),1+BO$58*2,1),IF(MID(IFERROR(INDEX(醫師週班表!$C$5:$T$44,$CU16,BO$57),""),3,1)="隔",IF(BO$58=0,LEFT(IFERROR(INDEX(醫師週班表!$C$5:$T$44,$CU16,BO$57),""),1),""),IF(MID(IFERROR(INDEX(醫師週班表!$C$5:$T$44,$CU16,BO$57),""),2,1)="(",LEFT(IFERROR(INDEX(醫師週班表!$C$5:$T$44,$CU16,BO$57),""),1),IFERROR(INDEX(醫師週班表!$C$5:$T$44,$CU16,BO$57),"")))))))</f>
        <v/>
      </c>
      <c r="BP16" s="71">
        <f>IF(BP$59="X","",IF(BP$59&lt;&gt;"",BP$59,IF(IFERROR(INDEX(醫師週班表!$C$5:$T$44,$CU16,BP$57),"")=0,"",IF(MID(IFERROR(INDEX(醫師週班表!$C$5:$T$44,$CU16,BP$57),""),2,1)="/",MID(IFERROR(INDEX(醫師週班表!$C$5:$T$44,$CU16,BP$57),""),1+BP$58*2,1),IF(MID(IFERROR(INDEX(醫師週班表!$C$5:$T$44,$CU16,BP$57),""),3,1)="隔",IF(BP$58=0,LEFT(IFERROR(INDEX(醫師週班表!$C$5:$T$44,$CU16,BP$57),""),1),""),IF(MID(IFERROR(INDEX(醫師週班表!$C$5:$T$44,$CU16,BP$57),""),2,1)="(",LEFT(IFERROR(INDEX(醫師週班表!$C$5:$T$44,$CU16,BP$57),""),1),IFERROR(INDEX(醫師週班表!$C$5:$T$44,$CU16,BP$57),"")))))))</f>
        <v/>
      </c>
      <c r="BQ16" s="72">
        <f>IF(BQ$59="X","",IF(BQ$59&lt;&gt;"",BQ$59,IF(IFERROR(INDEX(醫師週班表!$C$5:$T$44,$CU16,BQ$57),"")=0,"",IF(MID(IFERROR(INDEX(醫師週班表!$C$5:$T$44,$CU16,BQ$57),""),2,1)="/",MID(IFERROR(INDEX(醫師週班表!$C$5:$T$44,$CU16,BQ$57),""),1+BQ$58*2,1),IF(MID(IFERROR(INDEX(醫師週班表!$C$5:$T$44,$CU16,BQ$57),""),3,1)="隔",IF(BQ$58=0,LEFT(IFERROR(INDEX(醫師週班表!$C$5:$T$44,$CU16,BQ$57),""),1),""),IF(MID(IFERROR(INDEX(醫師週班表!$C$5:$T$44,$CU16,BQ$57),""),2,1)="(",LEFT(IFERROR(INDEX(醫師週班表!$C$5:$T$44,$CU16,BQ$57),""),1),IFERROR(INDEX(醫師週班表!$C$5:$T$44,$CU16,BQ$57),"")))))))</f>
        <v/>
      </c>
      <c r="BR16" s="72">
        <f>IF(BR$59="X","",IF(BR$59&lt;&gt;"",BR$59,IF(IFERROR(INDEX(醫師週班表!$C$5:$T$44,$CU16,BR$57),"")=0,"",IF(MID(IFERROR(INDEX(醫師週班表!$C$5:$T$44,$CU16,BR$57),""),2,1)="/",MID(IFERROR(INDEX(醫師週班表!$C$5:$T$44,$CU16,BR$57),""),1+BR$58*2,1),IF(MID(IFERROR(INDEX(醫師週班表!$C$5:$T$44,$CU16,BR$57),""),3,1)="隔",IF(BR$58=0,LEFT(IFERROR(INDEX(醫師週班表!$C$5:$T$44,$CU16,BR$57),""),1),""),IF(MID(IFERROR(INDEX(醫師週班表!$C$5:$T$44,$CU16,BR$57),""),2,1)="(",LEFT(IFERROR(INDEX(醫師週班表!$C$5:$T$44,$CU16,BR$57),""),1),IFERROR(INDEX(醫師週班表!$C$5:$T$44,$CU16,BR$57),"")))))))</f>
        <v/>
      </c>
      <c r="BS16" s="71">
        <f>IF(BS$59="X","",IF(BS$59&lt;&gt;"",BS$59,IF(IFERROR(INDEX(醫師週班表!$C$5:$T$44,$CU16,BS$57),"")=0,"",IF(MID(IFERROR(INDEX(醫師週班表!$C$5:$T$44,$CU16,BS$57),""),2,1)="/",MID(IFERROR(INDEX(醫師週班表!$C$5:$T$44,$CU16,BS$57),""),1+BS$58*2,1),IF(MID(IFERROR(INDEX(醫師週班表!$C$5:$T$44,$CU16,BS$57),""),3,1)="隔",IF(BS$58=0,LEFT(IFERROR(INDEX(醫師週班表!$C$5:$T$44,$CU16,BS$57),""),1),""),IF(MID(IFERROR(INDEX(醫師週班表!$C$5:$T$44,$CU16,BS$57),""),2,1)="(",LEFT(IFERROR(INDEX(醫師週班表!$C$5:$T$44,$CU16,BS$57),""),1),IFERROR(INDEX(醫師週班表!$C$5:$T$44,$CU16,BS$57),"")))))))</f>
        <v/>
      </c>
      <c r="BT16" s="72">
        <f>IF(BT$59="X","",IF(BT$59&lt;&gt;"",BT$59,IF(IFERROR(INDEX(醫師週班表!$C$5:$T$44,$CU16,BT$57),"")=0,"",IF(MID(IFERROR(INDEX(醫師週班表!$C$5:$T$44,$CU16,BT$57),""),2,1)="/",MID(IFERROR(INDEX(醫師週班表!$C$5:$T$44,$CU16,BT$57),""),1+BT$58*2,1),IF(MID(IFERROR(INDEX(醫師週班表!$C$5:$T$44,$CU16,BT$57),""),3,1)="隔",IF(BT$58=0,LEFT(IFERROR(INDEX(醫師週班表!$C$5:$T$44,$CU16,BT$57),""),1),""),IF(MID(IFERROR(INDEX(醫師週班表!$C$5:$T$44,$CU16,BT$57),""),2,1)="(",LEFT(IFERROR(INDEX(醫師週班表!$C$5:$T$44,$CU16,BT$57),""),1),IFERROR(INDEX(醫師週班表!$C$5:$T$44,$CU16,BT$57),"")))))))</f>
        <v/>
      </c>
      <c r="BU16" s="72">
        <f>IF(BU$59="X","",IF(BU$59&lt;&gt;"",BU$59,IF(IFERROR(INDEX(醫師週班表!$C$5:$T$44,$CU16,BU$57),"")=0,"",IF(MID(IFERROR(INDEX(醫師週班表!$C$5:$T$44,$CU16,BU$57),""),2,1)="/",MID(IFERROR(INDEX(醫師週班表!$C$5:$T$44,$CU16,BU$57),""),1+BU$58*2,1),IF(MID(IFERROR(INDEX(醫師週班表!$C$5:$T$44,$CU16,BU$57),""),3,1)="隔",IF(BU$58=0,LEFT(IFERROR(INDEX(醫師週班表!$C$5:$T$44,$CU16,BU$57),""),1),""),IF(MID(IFERROR(INDEX(醫師週班表!$C$5:$T$44,$CU16,BU$57),""),2,1)="(",LEFT(IFERROR(INDEX(醫師週班表!$C$5:$T$44,$CU16,BU$57),""),1),IFERROR(INDEX(醫師週班表!$C$5:$T$44,$CU16,BU$57),"")))))))</f>
        <v/>
      </c>
      <c r="BV16" s="71">
        <f>IF(BV$59="X","",IF(BV$59&lt;&gt;"",BV$59,IF(IFERROR(INDEX(醫師週班表!$C$5:$T$44,$CU16,BV$57),"")=0,"",IF(MID(IFERROR(INDEX(醫師週班表!$C$5:$T$44,$CU16,BV$57),""),2,1)="/",MID(IFERROR(INDEX(醫師週班表!$C$5:$T$44,$CU16,BV$57),""),1+BV$58*2,1),IF(MID(IFERROR(INDEX(醫師週班表!$C$5:$T$44,$CU16,BV$57),""),3,1)="隔",IF(BV$58=0,LEFT(IFERROR(INDEX(醫師週班表!$C$5:$T$44,$CU16,BV$57),""),1),""),IF(MID(IFERROR(INDEX(醫師週班表!$C$5:$T$44,$CU16,BV$57),""),2,1)="(",LEFT(IFERROR(INDEX(醫師週班表!$C$5:$T$44,$CU16,BV$57),""),1),IFERROR(INDEX(醫師週班表!$C$5:$T$44,$CU16,BV$57),"")))))))</f>
        <v/>
      </c>
      <c r="BW16" s="72">
        <f>IF(BW$59="X","",IF(BW$59&lt;&gt;"",BW$59,IF(IFERROR(INDEX(醫師週班表!$C$5:$T$44,$CU16,BW$57),"")=0,"",IF(MID(IFERROR(INDEX(醫師週班表!$C$5:$T$44,$CU16,BW$57),""),2,1)="/",MID(IFERROR(INDEX(醫師週班表!$C$5:$T$44,$CU16,BW$57),""),1+BW$58*2,1),IF(MID(IFERROR(INDEX(醫師週班表!$C$5:$T$44,$CU16,BW$57),""),3,1)="隔",IF(BW$58=0,LEFT(IFERROR(INDEX(醫師週班表!$C$5:$T$44,$CU16,BW$57),""),1),""),IF(MID(IFERROR(INDEX(醫師週班表!$C$5:$T$44,$CU16,BW$57),""),2,1)="(",LEFT(IFERROR(INDEX(醫師週班表!$C$5:$T$44,$CU16,BW$57),""),1),IFERROR(INDEX(醫師週班表!$C$5:$T$44,$CU16,BW$57),"")))))))</f>
        <v/>
      </c>
      <c r="BX16" s="72">
        <f>IF(BX$59="X","",IF(BX$59&lt;&gt;"",BX$59,IF(IFERROR(INDEX(醫師週班表!$C$5:$T$44,$CU16,BX$57),"")=0,"",IF(MID(IFERROR(INDEX(醫師週班表!$C$5:$T$44,$CU16,BX$57),""),2,1)="/",MID(IFERROR(INDEX(醫師週班表!$C$5:$T$44,$CU16,BX$57),""),1+BX$58*2,1),IF(MID(IFERROR(INDEX(醫師週班表!$C$5:$T$44,$CU16,BX$57),""),3,1)="隔",IF(BX$58=0,LEFT(IFERROR(INDEX(醫師週班表!$C$5:$T$44,$CU16,BX$57),""),1),""),IF(MID(IFERROR(INDEX(醫師週班表!$C$5:$T$44,$CU16,BX$57),""),2,1)="(",LEFT(IFERROR(INDEX(醫師週班表!$C$5:$T$44,$CU16,BX$57),""),1),IFERROR(INDEX(醫師週班表!$C$5:$T$44,$CU16,BX$57),"")))))))</f>
        <v/>
      </c>
      <c r="BY16" s="71">
        <f>IF(BY$59="X","",IF(BY$59&lt;&gt;"",BY$59,IF(IFERROR(INDEX(醫師週班表!$C$5:$T$44,$CU16,BY$57),"")=0,"",IF(MID(IFERROR(INDEX(醫師週班表!$C$5:$T$44,$CU16,BY$57),""),2,1)="/",MID(IFERROR(INDEX(醫師週班表!$C$5:$T$44,$CU16,BY$57),""),1+BY$58*2,1),IF(MID(IFERROR(INDEX(醫師週班表!$C$5:$T$44,$CU16,BY$57),""),3,1)="隔",IF(BY$58=0,LEFT(IFERROR(INDEX(醫師週班表!$C$5:$T$44,$CU16,BY$57),""),1),""),IF(MID(IFERROR(INDEX(醫師週班表!$C$5:$T$44,$CU16,BY$57),""),2,1)="(",LEFT(IFERROR(INDEX(醫師週班表!$C$5:$T$44,$CU16,BY$57),""),1),IFERROR(INDEX(醫師週班表!$C$5:$T$44,$CU16,BY$57),"")))))))</f>
        <v/>
      </c>
      <c r="BZ16" s="72">
        <f>IF(BZ$59="X","",IF(BZ$59&lt;&gt;"",BZ$59,IF(IFERROR(INDEX(醫師週班表!$C$5:$T$44,$CU16,BZ$57),"")=0,"",IF(MID(IFERROR(INDEX(醫師週班表!$C$5:$T$44,$CU16,BZ$57),""),2,1)="/",MID(IFERROR(INDEX(醫師週班表!$C$5:$T$44,$CU16,BZ$57),""),1+BZ$58*2,1),IF(MID(IFERROR(INDEX(醫師週班表!$C$5:$T$44,$CU16,BZ$57),""),3,1)="隔",IF(BZ$58=0,LEFT(IFERROR(INDEX(醫師週班表!$C$5:$T$44,$CU16,BZ$57),""),1),""),IF(MID(IFERROR(INDEX(醫師週班表!$C$5:$T$44,$CU16,BZ$57),""),2,1)="(",LEFT(IFERROR(INDEX(醫師週班表!$C$5:$T$44,$CU16,BZ$57),""),1),IFERROR(INDEX(醫師週班表!$C$5:$T$44,$CU16,BZ$57),"")))))))</f>
        <v/>
      </c>
      <c r="CA16" s="72">
        <f>IF(CA$59="X","",IF(CA$59&lt;&gt;"",CA$59,IF(IFERROR(INDEX(醫師週班表!$C$5:$T$44,$CU16,CA$57),"")=0,"",IF(MID(IFERROR(INDEX(醫師週班表!$C$5:$T$44,$CU16,CA$57),""),2,1)="/",MID(IFERROR(INDEX(醫師週班表!$C$5:$T$44,$CU16,CA$57),""),1+CA$58*2,1),IF(MID(IFERROR(INDEX(醫師週班表!$C$5:$T$44,$CU16,CA$57),""),3,1)="隔",IF(CA$58=0,LEFT(IFERROR(INDEX(醫師週班表!$C$5:$T$44,$CU16,CA$57),""),1),""),IF(MID(IFERROR(INDEX(醫師週班表!$C$5:$T$44,$CU16,CA$57),""),2,1)="(",LEFT(IFERROR(INDEX(醫師週班表!$C$5:$T$44,$CU16,CA$57),""),1),IFERROR(INDEX(醫師週班表!$C$5:$T$44,$CU16,CA$57),"")))))))</f>
        <v/>
      </c>
      <c r="CB16" s="71">
        <f>IF(CB$59="X","",IF(CB$59&lt;&gt;"",CB$59,IF(IFERROR(INDEX(醫師週班表!$C$5:$T$44,$CU16,CB$57),"")=0,"",IF(MID(IFERROR(INDEX(醫師週班表!$C$5:$T$44,$CU16,CB$57),""),2,1)="/",MID(IFERROR(INDEX(醫師週班表!$C$5:$T$44,$CU16,CB$57),""),1+CB$58*2,1),IF(MID(IFERROR(INDEX(醫師週班表!$C$5:$T$44,$CU16,CB$57),""),3,1)="隔",IF(CB$58=0,LEFT(IFERROR(INDEX(醫師週班表!$C$5:$T$44,$CU16,CB$57),""),1),""),IF(MID(IFERROR(INDEX(醫師週班表!$C$5:$T$44,$CU16,CB$57),""),2,1)="(",LEFT(IFERROR(INDEX(醫師週班表!$C$5:$T$44,$CU16,CB$57),""),1),IFERROR(INDEX(醫師週班表!$C$5:$T$44,$CU16,CB$57),"")))))))</f>
        <v/>
      </c>
      <c r="CC16" s="72">
        <f>IF(CC$59="X","",IF(CC$59&lt;&gt;"",CC$59,IF(IFERROR(INDEX(醫師週班表!$C$5:$T$44,$CU16,CC$57),"")=0,"",IF(MID(IFERROR(INDEX(醫師週班表!$C$5:$T$44,$CU16,CC$57),""),2,1)="/",MID(IFERROR(INDEX(醫師週班表!$C$5:$T$44,$CU16,CC$57),""),1+CC$58*2,1),IF(MID(IFERROR(INDEX(醫師週班表!$C$5:$T$44,$CU16,CC$57),""),3,1)="隔",IF(CC$58=0,LEFT(IFERROR(INDEX(醫師週班表!$C$5:$T$44,$CU16,CC$57),""),1),""),IF(MID(IFERROR(INDEX(醫師週班表!$C$5:$T$44,$CU16,CC$57),""),2,1)="(",LEFT(IFERROR(INDEX(醫師週班表!$C$5:$T$44,$CU16,CC$57),""),1),IFERROR(INDEX(醫師週班表!$C$5:$T$44,$CU16,CC$57),"")))))))</f>
        <v/>
      </c>
      <c r="CD16" s="72">
        <f>IF(CD$59="X","",IF(CD$59&lt;&gt;"",CD$59,IF(IFERROR(INDEX(醫師週班表!$C$5:$T$44,$CU16,CD$57),"")=0,"",IF(MID(IFERROR(INDEX(醫師週班表!$C$5:$T$44,$CU16,CD$57),""),2,1)="/",MID(IFERROR(INDEX(醫師週班表!$C$5:$T$44,$CU16,CD$57),""),1+CD$58*2,1),IF(MID(IFERROR(INDEX(醫師週班表!$C$5:$T$44,$CU16,CD$57),""),3,1)="隔",IF(CD$58=0,LEFT(IFERROR(INDEX(醫師週班表!$C$5:$T$44,$CU16,CD$57),""),1),""),IF(MID(IFERROR(INDEX(醫師週班表!$C$5:$T$44,$CU16,CD$57),""),2,1)="(",LEFT(IFERROR(INDEX(醫師週班表!$C$5:$T$44,$CU16,CD$57),""),1),IFERROR(INDEX(醫師週班表!$C$5:$T$44,$CU16,CD$57),"")))))))</f>
        <v/>
      </c>
      <c r="CE16" s="71">
        <f>IF(CE$59="X","",IF(CE$59&lt;&gt;"",CE$59,IF(IFERROR(INDEX(醫師週班表!$C$5:$T$44,$CU16,CE$57),"")=0,"",IF(MID(IFERROR(INDEX(醫師週班表!$C$5:$T$44,$CU16,CE$57),""),2,1)="/",MID(IFERROR(INDEX(醫師週班表!$C$5:$T$44,$CU16,CE$57),""),1+CE$58*2,1),IF(MID(IFERROR(INDEX(醫師週班表!$C$5:$T$44,$CU16,CE$57),""),3,1)="隔",IF(CE$58=0,LEFT(IFERROR(INDEX(醫師週班表!$C$5:$T$44,$CU16,CE$57),""),1),""),IF(MID(IFERROR(INDEX(醫師週班表!$C$5:$T$44,$CU16,CE$57),""),2,1)="(",LEFT(IFERROR(INDEX(醫師週班表!$C$5:$T$44,$CU16,CE$57),""),1),IFERROR(INDEX(醫師週班表!$C$5:$T$44,$CU16,CE$57),"")))))))</f>
        <v/>
      </c>
      <c r="CF16" s="72">
        <f>IF(CF$59="X","",IF(CF$59&lt;&gt;"",CF$59,IF(IFERROR(INDEX(醫師週班表!$C$5:$T$44,$CU16,CF$57),"")=0,"",IF(MID(IFERROR(INDEX(醫師週班表!$C$5:$T$44,$CU16,CF$57),""),2,1)="/",MID(IFERROR(INDEX(醫師週班表!$C$5:$T$44,$CU16,CF$57),""),1+CF$58*2,1),IF(MID(IFERROR(INDEX(醫師週班表!$C$5:$T$44,$CU16,CF$57),""),3,1)="隔",IF(CF$58=0,LEFT(IFERROR(INDEX(醫師週班表!$C$5:$T$44,$CU16,CF$57),""),1),""),IF(MID(IFERROR(INDEX(醫師週班表!$C$5:$T$44,$CU16,CF$57),""),2,1)="(",LEFT(IFERROR(INDEX(醫師週班表!$C$5:$T$44,$CU16,CF$57),""),1),IFERROR(INDEX(醫師週班表!$C$5:$T$44,$CU16,CF$57),"")))))))</f>
        <v/>
      </c>
      <c r="CG16" s="72">
        <f>IF(CG$59="X","",IF(CG$59&lt;&gt;"",CG$59,IF(IFERROR(INDEX(醫師週班表!$C$5:$T$44,$CU16,CG$57),"")=0,"",IF(MID(IFERROR(INDEX(醫師週班表!$C$5:$T$44,$CU16,CG$57),""),2,1)="/",MID(IFERROR(INDEX(醫師週班表!$C$5:$T$44,$CU16,CG$57),""),1+CG$58*2,1),IF(MID(IFERROR(INDEX(醫師週班表!$C$5:$T$44,$CU16,CG$57),""),3,1)="隔",IF(CG$58=0,LEFT(IFERROR(INDEX(醫師週班表!$C$5:$T$44,$CU16,CG$57),""),1),""),IF(MID(IFERROR(INDEX(醫師週班表!$C$5:$T$44,$CU16,CG$57),""),2,1)="(",LEFT(IFERROR(INDEX(醫師週班表!$C$5:$T$44,$CU16,CG$57),""),1),IFERROR(INDEX(醫師週班表!$C$5:$T$44,$CU16,CG$57),"")))))))</f>
        <v/>
      </c>
      <c r="CH16" s="71">
        <f>IF(CH$59="X","",IF(CH$59&lt;&gt;"",CH$59,IF(IFERROR(INDEX(醫師週班表!$C$5:$T$44,$CU16,CH$57),"")=0,"",IF(MID(IFERROR(INDEX(醫師週班表!$C$5:$T$44,$CU16,CH$57),""),2,1)="/",MID(IFERROR(INDEX(醫師週班表!$C$5:$T$44,$CU16,CH$57),""),1+CH$58*2,1),IF(MID(IFERROR(INDEX(醫師週班表!$C$5:$T$44,$CU16,CH$57),""),3,1)="隔",IF(CH$58=0,LEFT(IFERROR(INDEX(醫師週班表!$C$5:$T$44,$CU16,CH$57),""),1),""),IF(MID(IFERROR(INDEX(醫師週班表!$C$5:$T$44,$CU16,CH$57),""),2,1)="(",LEFT(IFERROR(INDEX(醫師週班表!$C$5:$T$44,$CU16,CH$57),""),1),IFERROR(INDEX(醫師週班表!$C$5:$T$44,$CU16,CH$57),"")))))))</f>
        <v/>
      </c>
      <c r="CI16" s="72">
        <f>IF(CI$59="X","",IF(CI$59&lt;&gt;"",CI$59,IF(IFERROR(INDEX(醫師週班表!$C$5:$T$44,$CU16,CI$57),"")=0,"",IF(MID(IFERROR(INDEX(醫師週班表!$C$5:$T$44,$CU16,CI$57),""),2,1)="/",MID(IFERROR(INDEX(醫師週班表!$C$5:$T$44,$CU16,CI$57),""),1+CI$58*2,1),IF(MID(IFERROR(INDEX(醫師週班表!$C$5:$T$44,$CU16,CI$57),""),3,1)="隔",IF(CI$58=0,LEFT(IFERROR(INDEX(醫師週班表!$C$5:$T$44,$CU16,CI$57),""),1),""),IF(MID(IFERROR(INDEX(醫師週班表!$C$5:$T$44,$CU16,CI$57),""),2,1)="(",LEFT(IFERROR(INDEX(醫師週班表!$C$5:$T$44,$CU16,CI$57),""),1),IFERROR(INDEX(醫師週班表!$C$5:$T$44,$CU16,CI$57),"")))))))</f>
        <v/>
      </c>
      <c r="CJ16" s="72">
        <f>IF(CJ$59="X","",IF(CJ$59&lt;&gt;"",CJ$59,IF(IFERROR(INDEX(醫師週班表!$C$5:$T$44,$CU16,CJ$57),"")=0,"",IF(MID(IFERROR(INDEX(醫師週班表!$C$5:$T$44,$CU16,CJ$57),""),2,1)="/",MID(IFERROR(INDEX(醫師週班表!$C$5:$T$44,$CU16,CJ$57),""),1+CJ$58*2,1),IF(MID(IFERROR(INDEX(醫師週班表!$C$5:$T$44,$CU16,CJ$57),""),3,1)="隔",IF(CJ$58=0,LEFT(IFERROR(INDEX(醫師週班表!$C$5:$T$44,$CU16,CJ$57),""),1),""),IF(MID(IFERROR(INDEX(醫師週班表!$C$5:$T$44,$CU16,CJ$57),""),2,1)="(",LEFT(IFERROR(INDEX(醫師週班表!$C$5:$T$44,$CU16,CJ$57),""),1),IFERROR(INDEX(醫師週班表!$C$5:$T$44,$CU16,CJ$57),"")))))))</f>
        <v/>
      </c>
      <c r="CK16" s="71">
        <f>IF(CK$59="X","",IF(CK$59&lt;&gt;"",CK$59,IF(IFERROR(INDEX(醫師週班表!$C$5:$T$44,$CU16,CK$57),"")=0,"",IF(MID(IFERROR(INDEX(醫師週班表!$C$5:$T$44,$CU16,CK$57),""),2,1)="/",MID(IFERROR(INDEX(醫師週班表!$C$5:$T$44,$CU16,CK$57),""),1+CK$58*2,1),IF(MID(IFERROR(INDEX(醫師週班表!$C$5:$T$44,$CU16,CK$57),""),3,1)="隔",IF(CK$58=0,LEFT(IFERROR(INDEX(醫師週班表!$C$5:$T$44,$CU16,CK$57),""),1),""),IF(MID(IFERROR(INDEX(醫師週班表!$C$5:$T$44,$CU16,CK$57),""),2,1)="(",LEFT(IFERROR(INDEX(醫師週班表!$C$5:$T$44,$CU16,CK$57),""),1),IFERROR(INDEX(醫師週班表!$C$5:$T$44,$CU16,CK$57),"")))))))</f>
        <v/>
      </c>
      <c r="CL16" s="72">
        <f>IF(CL$59="X","",IF(CL$59&lt;&gt;"",CL$59,IF(IFERROR(INDEX(醫師週班表!$C$5:$T$44,$CU16,CL$57),"")=0,"",IF(MID(IFERROR(INDEX(醫師週班表!$C$5:$T$44,$CU16,CL$57),""),2,1)="/",MID(IFERROR(INDEX(醫師週班表!$C$5:$T$44,$CU16,CL$57),""),1+CL$58*2,1),IF(MID(IFERROR(INDEX(醫師週班表!$C$5:$T$44,$CU16,CL$57),""),3,1)="隔",IF(CL$58=0,LEFT(IFERROR(INDEX(醫師週班表!$C$5:$T$44,$CU16,CL$57),""),1),""),IF(MID(IFERROR(INDEX(醫師週班表!$C$5:$T$44,$CU16,CL$57),""),2,1)="(",LEFT(IFERROR(INDEX(醫師週班表!$C$5:$T$44,$CU16,CL$57),""),1),IFERROR(INDEX(醫師週班表!$C$5:$T$44,$CU16,CL$57),"")))))))</f>
        <v/>
      </c>
      <c r="CM16" s="72">
        <f>IF(CM$59="X","",IF(CM$59&lt;&gt;"",CM$59,IF(IFERROR(INDEX(醫師週班表!$C$5:$T$44,$CU16,CM$57),"")=0,"",IF(MID(IFERROR(INDEX(醫師週班表!$C$5:$T$44,$CU16,CM$57),""),2,1)="/",MID(IFERROR(INDEX(醫師週班表!$C$5:$T$44,$CU16,CM$57),""),1+CM$58*2,1),IF(MID(IFERROR(INDEX(醫師週班表!$C$5:$T$44,$CU16,CM$57),""),3,1)="隔",IF(CM$58=0,LEFT(IFERROR(INDEX(醫師週班表!$C$5:$T$44,$CU16,CM$57),""),1),""),IF(MID(IFERROR(INDEX(醫師週班表!$C$5:$T$44,$CU16,CM$57),""),2,1)="(",LEFT(IFERROR(INDEX(醫師週班表!$C$5:$T$44,$CU16,CM$57),""),1),IFERROR(INDEX(醫師週班表!$C$5:$T$44,$CU16,CM$57),"")))))))</f>
        <v/>
      </c>
      <c r="CN16" s="71">
        <f>IF(CN$59="X","",IF(CN$59&lt;&gt;"",CN$59,IF(IFERROR(INDEX(醫師週班表!$C$5:$T$44,$CU16,CN$57),"")=0,"",IF(MID(IFERROR(INDEX(醫師週班表!$C$5:$T$44,$CU16,CN$57),""),2,1)="/",MID(IFERROR(INDEX(醫師週班表!$C$5:$T$44,$CU16,CN$57),""),1+CN$58*2,1),IF(MID(IFERROR(INDEX(醫師週班表!$C$5:$T$44,$CU16,CN$57),""),3,1)="隔",IF(CN$58=0,LEFT(IFERROR(INDEX(醫師週班表!$C$5:$T$44,$CU16,CN$57),""),1),""),IF(MID(IFERROR(INDEX(醫師週班表!$C$5:$T$44,$CU16,CN$57),""),2,1)="(",LEFT(IFERROR(INDEX(醫師週班表!$C$5:$T$44,$CU16,CN$57),""),1),IFERROR(INDEX(醫師週班表!$C$5:$T$44,$CU16,CN$57),"")))))))</f>
        <v/>
      </c>
      <c r="CO16" s="72">
        <f>IF(CO$59="X","",IF(CO$59&lt;&gt;"",CO$59,IF(IFERROR(INDEX(醫師週班表!$C$5:$T$44,$CU16,CO$57),"")=0,"",IF(MID(IFERROR(INDEX(醫師週班表!$C$5:$T$44,$CU16,CO$57),""),2,1)="/",MID(IFERROR(INDEX(醫師週班表!$C$5:$T$44,$CU16,CO$57),""),1+CO$58*2,1),IF(MID(IFERROR(INDEX(醫師週班表!$C$5:$T$44,$CU16,CO$57),""),3,1)="隔",IF(CO$58=0,LEFT(IFERROR(INDEX(醫師週班表!$C$5:$T$44,$CU16,CO$57),""),1),""),IF(MID(IFERROR(INDEX(醫師週班表!$C$5:$T$44,$CU16,CO$57),""),2,1)="(",LEFT(IFERROR(INDEX(醫師週班表!$C$5:$T$44,$CU16,CO$57),""),1),IFERROR(INDEX(醫師週班表!$C$5:$T$44,$CU16,CO$57),"")))))))</f>
        <v/>
      </c>
      <c r="CP16" s="72">
        <f>IF(CP$59="X","",IF(CP$59&lt;&gt;"",CP$59,IF(IFERROR(INDEX(醫師週班表!$C$5:$T$44,$CU16,CP$57),"")=0,"",IF(MID(IFERROR(INDEX(醫師週班表!$C$5:$T$44,$CU16,CP$57),""),2,1)="/",MID(IFERROR(INDEX(醫師週班表!$C$5:$T$44,$CU16,CP$57),""),1+CP$58*2,1),IF(MID(IFERROR(INDEX(醫師週班表!$C$5:$T$44,$CU16,CP$57),""),3,1)="隔",IF(CP$58=0,LEFT(IFERROR(INDEX(醫師週班表!$C$5:$T$44,$CU16,CP$57),""),1),""),IF(MID(IFERROR(INDEX(醫師週班表!$C$5:$T$44,$CU16,CP$57),""),2,1)="(",LEFT(IFERROR(INDEX(醫師週班表!$C$5:$T$44,$CU16,CP$57),""),1),IFERROR(INDEX(醫師週班表!$C$5:$T$44,$CU16,CP$57),"")))))))</f>
        <v/>
      </c>
      <c r="CQ16" s="71">
        <f>IF(CQ$59="X","",IF(CQ$59&lt;&gt;"",CQ$59,IF(IFERROR(INDEX(醫師週班表!$C$5:$T$44,$CU16,CQ$57),"")=0,"",IF(MID(IFERROR(INDEX(醫師週班表!$C$5:$T$44,$CU16,CQ$57),""),2,1)="/",MID(IFERROR(INDEX(醫師週班表!$C$5:$T$44,$CU16,CQ$57),""),1+CQ$58*2,1),IF(MID(IFERROR(INDEX(醫師週班表!$C$5:$T$44,$CU16,CQ$57),""),3,1)="隔",IF(CQ$58=0,LEFT(IFERROR(INDEX(醫師週班表!$C$5:$T$44,$CU16,CQ$57),""),1),""),IF(MID(IFERROR(INDEX(醫師週班表!$C$5:$T$44,$CU16,CQ$57),""),2,1)="(",LEFT(IFERROR(INDEX(醫師週班表!$C$5:$T$44,$CU16,CQ$57),""),1),IFERROR(INDEX(醫師週班表!$C$5:$T$44,$CU16,CQ$57),"")))))))</f>
        <v/>
      </c>
      <c r="CR16" s="72">
        <f>IF(CR$59="X","",IF(CR$59&lt;&gt;"",CR$59,IF(IFERROR(INDEX(醫師週班表!$C$5:$T$44,$CU16,CR$57),"")=0,"",IF(MID(IFERROR(INDEX(醫師週班表!$C$5:$T$44,$CU16,CR$57),""),2,1)="/",MID(IFERROR(INDEX(醫師週班表!$C$5:$T$44,$CU16,CR$57),""),1+CR$58*2,1),IF(MID(IFERROR(INDEX(醫師週班表!$C$5:$T$44,$CU16,CR$57),""),3,1)="隔",IF(CR$58=0,LEFT(IFERROR(INDEX(醫師週班表!$C$5:$T$44,$CU16,CR$57),""),1),""),IF(MID(IFERROR(INDEX(醫師週班表!$C$5:$T$44,$CU16,CR$57),""),2,1)="(",LEFT(IFERROR(INDEX(醫師週班表!$C$5:$T$44,$CU16,CR$57),""),1),IFERROR(INDEX(醫師週班表!$C$5:$T$44,$CU16,CR$57),"")))))))</f>
        <v/>
      </c>
      <c r="CS16" s="72">
        <f>IF(CS$59="X","",IF(CS$59&lt;&gt;"",CS$59,IF(IFERROR(INDEX(醫師週班表!$C$5:$T$44,$CU16,CS$57),"")=0,"",IF(MID(IFERROR(INDEX(醫師週班表!$C$5:$T$44,$CU16,CS$57),""),2,1)="/",MID(IFERROR(INDEX(醫師週班表!$C$5:$T$44,$CU16,CS$57),""),1+CS$58*2,1),IF(MID(IFERROR(INDEX(醫師週班表!$C$5:$T$44,$CU16,CS$57),""),3,1)="隔",IF(CS$58=0,LEFT(IFERROR(INDEX(醫師週班表!$C$5:$T$44,$CU16,CS$57),""),1),""),IF(MID(IFERROR(INDEX(醫師週班表!$C$5:$T$44,$CU16,CS$57),""),2,1)="(",LEFT(IFERROR(INDEX(醫師週班表!$C$5:$T$44,$CU16,CS$57),""),1),IFERROR(INDEX(醫師週班表!$C$5:$T$44,$CU16,CS$57),"")))))))</f>
        <v/>
      </c>
      <c r="CU16" s="73">
        <f>IFERROR(MATCH($A16,醫師週班表!$A$5:$A$44,0),0)</f>
        <v/>
      </c>
    </row>
    <row r="17" ht="17" customHeight="1">
      <c r="A17" s="19" t="inlineStr">
        <is>
          <t>D012</t>
        </is>
      </c>
      <c r="B17" s="16" t="inlineStr">
        <is>
          <t>陳立軒</t>
        </is>
      </c>
      <c r="C17" s="70" t="inlineStr"/>
      <c r="D17" s="16" t="inlineStr"/>
      <c r="E17" s="71">
        <f>IF(E$59="X","",IF(E$59&lt;&gt;"",E$59,IF(IFERROR(INDEX(醫師週班表!$C$5:$T$44,$CU17,E$57),"")=0,"",IF(MID(IFERROR(INDEX(醫師週班表!$C$5:$T$44,$CU17,E$57),""),2,1)="/",MID(IFERROR(INDEX(醫師週班表!$C$5:$T$44,$CU17,E$57),""),1+E$58*2,1),IF(MID(IFERROR(INDEX(醫師週班表!$C$5:$T$44,$CU17,E$57),""),3,1)="隔",IF(E$58=0,LEFT(IFERROR(INDEX(醫師週班表!$C$5:$T$44,$CU17,E$57),""),1),""),IF(MID(IFERROR(INDEX(醫師週班表!$C$5:$T$44,$CU17,E$57),""),2,1)="(",LEFT(IFERROR(INDEX(醫師週班表!$C$5:$T$44,$CU17,E$57),""),1),IFERROR(INDEX(醫師週班表!$C$5:$T$44,$CU17,E$57),"")))))))</f>
        <v/>
      </c>
      <c r="F17" s="72">
        <f>IF(F$59="X","",IF(F$59&lt;&gt;"",F$59,IF(IFERROR(INDEX(醫師週班表!$C$5:$T$44,$CU17,F$57),"")=0,"",IF(MID(IFERROR(INDEX(醫師週班表!$C$5:$T$44,$CU17,F$57),""),2,1)="/",MID(IFERROR(INDEX(醫師週班表!$C$5:$T$44,$CU17,F$57),""),1+F$58*2,1),IF(MID(IFERROR(INDEX(醫師週班表!$C$5:$T$44,$CU17,F$57),""),3,1)="隔",IF(F$58=0,LEFT(IFERROR(INDEX(醫師週班表!$C$5:$T$44,$CU17,F$57),""),1),""),IF(MID(IFERROR(INDEX(醫師週班表!$C$5:$T$44,$CU17,F$57),""),2,1)="(",LEFT(IFERROR(INDEX(醫師週班表!$C$5:$T$44,$CU17,F$57),""),1),IFERROR(INDEX(醫師週班表!$C$5:$T$44,$CU17,F$57),"")))))))</f>
        <v/>
      </c>
      <c r="G17" s="72">
        <f>IF(G$59="X","",IF(G$59&lt;&gt;"",G$59,IF(IFERROR(INDEX(醫師週班表!$C$5:$T$44,$CU17,G$57),"")=0,"",IF(MID(IFERROR(INDEX(醫師週班表!$C$5:$T$44,$CU17,G$57),""),2,1)="/",MID(IFERROR(INDEX(醫師週班表!$C$5:$T$44,$CU17,G$57),""),1+G$58*2,1),IF(MID(IFERROR(INDEX(醫師週班表!$C$5:$T$44,$CU17,G$57),""),3,1)="隔",IF(G$58=0,LEFT(IFERROR(INDEX(醫師週班表!$C$5:$T$44,$CU17,G$57),""),1),""),IF(MID(IFERROR(INDEX(醫師週班表!$C$5:$T$44,$CU17,G$57),""),2,1)="(",LEFT(IFERROR(INDEX(醫師週班表!$C$5:$T$44,$CU17,G$57),""),1),IFERROR(INDEX(醫師週班表!$C$5:$T$44,$CU17,G$57),"")))))))</f>
        <v/>
      </c>
      <c r="H17" s="71">
        <f>IF(H$59="X","",IF(H$59&lt;&gt;"",H$59,IF(IFERROR(INDEX(醫師週班表!$C$5:$T$44,$CU17,H$57),"")=0,"",IF(MID(IFERROR(INDEX(醫師週班表!$C$5:$T$44,$CU17,H$57),""),2,1)="/",MID(IFERROR(INDEX(醫師週班表!$C$5:$T$44,$CU17,H$57),""),1+H$58*2,1),IF(MID(IFERROR(INDEX(醫師週班表!$C$5:$T$44,$CU17,H$57),""),3,1)="隔",IF(H$58=0,LEFT(IFERROR(INDEX(醫師週班表!$C$5:$T$44,$CU17,H$57),""),1),""),IF(MID(IFERROR(INDEX(醫師週班表!$C$5:$T$44,$CU17,H$57),""),2,1)="(",LEFT(IFERROR(INDEX(醫師週班表!$C$5:$T$44,$CU17,H$57),""),1),IFERROR(INDEX(醫師週班表!$C$5:$T$44,$CU17,H$57),"")))))))</f>
        <v/>
      </c>
      <c r="I17" s="72">
        <f>IF(I$59="X","",IF(I$59&lt;&gt;"",I$59,IF(IFERROR(INDEX(醫師週班表!$C$5:$T$44,$CU17,I$57),"")=0,"",IF(MID(IFERROR(INDEX(醫師週班表!$C$5:$T$44,$CU17,I$57),""),2,1)="/",MID(IFERROR(INDEX(醫師週班表!$C$5:$T$44,$CU17,I$57),""),1+I$58*2,1),IF(MID(IFERROR(INDEX(醫師週班表!$C$5:$T$44,$CU17,I$57),""),3,1)="隔",IF(I$58=0,LEFT(IFERROR(INDEX(醫師週班表!$C$5:$T$44,$CU17,I$57),""),1),""),IF(MID(IFERROR(INDEX(醫師週班表!$C$5:$T$44,$CU17,I$57),""),2,1)="(",LEFT(IFERROR(INDEX(醫師週班表!$C$5:$T$44,$CU17,I$57),""),1),IFERROR(INDEX(醫師週班表!$C$5:$T$44,$CU17,I$57),"")))))))</f>
        <v/>
      </c>
      <c r="J17" s="72">
        <f>IF(J$59="X","",IF(J$59&lt;&gt;"",J$59,IF(IFERROR(INDEX(醫師週班表!$C$5:$T$44,$CU17,J$57),"")=0,"",IF(MID(IFERROR(INDEX(醫師週班表!$C$5:$T$44,$CU17,J$57),""),2,1)="/",MID(IFERROR(INDEX(醫師週班表!$C$5:$T$44,$CU17,J$57),""),1+J$58*2,1),IF(MID(IFERROR(INDEX(醫師週班表!$C$5:$T$44,$CU17,J$57),""),3,1)="隔",IF(J$58=0,LEFT(IFERROR(INDEX(醫師週班表!$C$5:$T$44,$CU17,J$57),""),1),""),IF(MID(IFERROR(INDEX(醫師週班表!$C$5:$T$44,$CU17,J$57),""),2,1)="(",LEFT(IFERROR(INDEX(醫師週班表!$C$5:$T$44,$CU17,J$57),""),1),IFERROR(INDEX(醫師週班表!$C$5:$T$44,$CU17,J$57),"")))))))</f>
        <v/>
      </c>
      <c r="K17" s="71">
        <f>IF(K$59="X","",IF(K$59&lt;&gt;"",K$59,IF(IFERROR(INDEX(醫師週班表!$C$5:$T$44,$CU17,K$57),"")=0,"",IF(MID(IFERROR(INDEX(醫師週班表!$C$5:$T$44,$CU17,K$57),""),2,1)="/",MID(IFERROR(INDEX(醫師週班表!$C$5:$T$44,$CU17,K$57),""),1+K$58*2,1),IF(MID(IFERROR(INDEX(醫師週班表!$C$5:$T$44,$CU17,K$57),""),3,1)="隔",IF(K$58=0,LEFT(IFERROR(INDEX(醫師週班表!$C$5:$T$44,$CU17,K$57),""),1),""),IF(MID(IFERROR(INDEX(醫師週班表!$C$5:$T$44,$CU17,K$57),""),2,1)="(",LEFT(IFERROR(INDEX(醫師週班表!$C$5:$T$44,$CU17,K$57),""),1),IFERROR(INDEX(醫師週班表!$C$5:$T$44,$CU17,K$57),"")))))))</f>
        <v/>
      </c>
      <c r="L17" s="72">
        <f>IF(L$59="X","",IF(L$59&lt;&gt;"",L$59,IF(IFERROR(INDEX(醫師週班表!$C$5:$T$44,$CU17,L$57),"")=0,"",IF(MID(IFERROR(INDEX(醫師週班表!$C$5:$T$44,$CU17,L$57),""),2,1)="/",MID(IFERROR(INDEX(醫師週班表!$C$5:$T$44,$CU17,L$57),""),1+L$58*2,1),IF(MID(IFERROR(INDEX(醫師週班表!$C$5:$T$44,$CU17,L$57),""),3,1)="隔",IF(L$58=0,LEFT(IFERROR(INDEX(醫師週班表!$C$5:$T$44,$CU17,L$57),""),1),""),IF(MID(IFERROR(INDEX(醫師週班表!$C$5:$T$44,$CU17,L$57),""),2,1)="(",LEFT(IFERROR(INDEX(醫師週班表!$C$5:$T$44,$CU17,L$57),""),1),IFERROR(INDEX(醫師週班表!$C$5:$T$44,$CU17,L$57),"")))))))</f>
        <v/>
      </c>
      <c r="M17" s="72">
        <f>IF(M$59="X","",IF(M$59&lt;&gt;"",M$59,IF(IFERROR(INDEX(醫師週班表!$C$5:$T$44,$CU17,M$57),"")=0,"",IF(MID(IFERROR(INDEX(醫師週班表!$C$5:$T$44,$CU17,M$57),""),2,1)="/",MID(IFERROR(INDEX(醫師週班表!$C$5:$T$44,$CU17,M$57),""),1+M$58*2,1),IF(MID(IFERROR(INDEX(醫師週班表!$C$5:$T$44,$CU17,M$57),""),3,1)="隔",IF(M$58=0,LEFT(IFERROR(INDEX(醫師週班表!$C$5:$T$44,$CU17,M$57),""),1),""),IF(MID(IFERROR(INDEX(醫師週班表!$C$5:$T$44,$CU17,M$57),""),2,1)="(",LEFT(IFERROR(INDEX(醫師週班表!$C$5:$T$44,$CU17,M$57),""),1),IFERROR(INDEX(醫師週班表!$C$5:$T$44,$CU17,M$57),"")))))))</f>
        <v/>
      </c>
      <c r="N17" s="71">
        <f>IF(N$59="X","",IF(N$59&lt;&gt;"",N$59,IF(IFERROR(INDEX(醫師週班表!$C$5:$T$44,$CU17,N$57),"")=0,"",IF(MID(IFERROR(INDEX(醫師週班表!$C$5:$T$44,$CU17,N$57),""),2,1)="/",MID(IFERROR(INDEX(醫師週班表!$C$5:$T$44,$CU17,N$57),""),1+N$58*2,1),IF(MID(IFERROR(INDEX(醫師週班表!$C$5:$T$44,$CU17,N$57),""),3,1)="隔",IF(N$58=0,LEFT(IFERROR(INDEX(醫師週班表!$C$5:$T$44,$CU17,N$57),""),1),""),IF(MID(IFERROR(INDEX(醫師週班表!$C$5:$T$44,$CU17,N$57),""),2,1)="(",LEFT(IFERROR(INDEX(醫師週班表!$C$5:$T$44,$CU17,N$57),""),1),IFERROR(INDEX(醫師週班表!$C$5:$T$44,$CU17,N$57),"")))))))</f>
        <v/>
      </c>
      <c r="O17" s="72">
        <f>IF(O$59="X","",IF(O$59&lt;&gt;"",O$59,IF(IFERROR(INDEX(醫師週班表!$C$5:$T$44,$CU17,O$57),"")=0,"",IF(MID(IFERROR(INDEX(醫師週班表!$C$5:$T$44,$CU17,O$57),""),2,1)="/",MID(IFERROR(INDEX(醫師週班表!$C$5:$T$44,$CU17,O$57),""),1+O$58*2,1),IF(MID(IFERROR(INDEX(醫師週班表!$C$5:$T$44,$CU17,O$57),""),3,1)="隔",IF(O$58=0,LEFT(IFERROR(INDEX(醫師週班表!$C$5:$T$44,$CU17,O$57),""),1),""),IF(MID(IFERROR(INDEX(醫師週班表!$C$5:$T$44,$CU17,O$57),""),2,1)="(",LEFT(IFERROR(INDEX(醫師週班表!$C$5:$T$44,$CU17,O$57),""),1),IFERROR(INDEX(醫師週班表!$C$5:$T$44,$CU17,O$57),"")))))))</f>
        <v/>
      </c>
      <c r="P17" s="72">
        <f>IF(P$59="X","",IF(P$59&lt;&gt;"",P$59,IF(IFERROR(INDEX(醫師週班表!$C$5:$T$44,$CU17,P$57),"")=0,"",IF(MID(IFERROR(INDEX(醫師週班表!$C$5:$T$44,$CU17,P$57),""),2,1)="/",MID(IFERROR(INDEX(醫師週班表!$C$5:$T$44,$CU17,P$57),""),1+P$58*2,1),IF(MID(IFERROR(INDEX(醫師週班表!$C$5:$T$44,$CU17,P$57),""),3,1)="隔",IF(P$58=0,LEFT(IFERROR(INDEX(醫師週班表!$C$5:$T$44,$CU17,P$57),""),1),""),IF(MID(IFERROR(INDEX(醫師週班表!$C$5:$T$44,$CU17,P$57),""),2,1)="(",LEFT(IFERROR(INDEX(醫師週班表!$C$5:$T$44,$CU17,P$57),""),1),IFERROR(INDEX(醫師週班表!$C$5:$T$44,$CU17,P$57),"")))))))</f>
        <v/>
      </c>
      <c r="Q17" s="71">
        <f>IF(Q$59="X","",IF(Q$59&lt;&gt;"",Q$59,IF(IFERROR(INDEX(醫師週班表!$C$5:$T$44,$CU17,Q$57),"")=0,"",IF(MID(IFERROR(INDEX(醫師週班表!$C$5:$T$44,$CU17,Q$57),""),2,1)="/",MID(IFERROR(INDEX(醫師週班表!$C$5:$T$44,$CU17,Q$57),""),1+Q$58*2,1),IF(MID(IFERROR(INDEX(醫師週班表!$C$5:$T$44,$CU17,Q$57),""),3,1)="隔",IF(Q$58=0,LEFT(IFERROR(INDEX(醫師週班表!$C$5:$T$44,$CU17,Q$57),""),1),""),IF(MID(IFERROR(INDEX(醫師週班表!$C$5:$T$44,$CU17,Q$57),""),2,1)="(",LEFT(IFERROR(INDEX(醫師週班表!$C$5:$T$44,$CU17,Q$57),""),1),IFERROR(INDEX(醫師週班表!$C$5:$T$44,$CU17,Q$57),"")))))))</f>
        <v/>
      </c>
      <c r="R17" s="72">
        <f>IF(R$59="X","",IF(R$59&lt;&gt;"",R$59,IF(IFERROR(INDEX(醫師週班表!$C$5:$T$44,$CU17,R$57),"")=0,"",IF(MID(IFERROR(INDEX(醫師週班表!$C$5:$T$44,$CU17,R$57),""),2,1)="/",MID(IFERROR(INDEX(醫師週班表!$C$5:$T$44,$CU17,R$57),""),1+R$58*2,1),IF(MID(IFERROR(INDEX(醫師週班表!$C$5:$T$44,$CU17,R$57),""),3,1)="隔",IF(R$58=0,LEFT(IFERROR(INDEX(醫師週班表!$C$5:$T$44,$CU17,R$57),""),1),""),IF(MID(IFERROR(INDEX(醫師週班表!$C$5:$T$44,$CU17,R$57),""),2,1)="(",LEFT(IFERROR(INDEX(醫師週班表!$C$5:$T$44,$CU17,R$57),""),1),IFERROR(INDEX(醫師週班表!$C$5:$T$44,$CU17,R$57),"")))))))</f>
        <v/>
      </c>
      <c r="S17" s="72">
        <f>IF(S$59="X","",IF(S$59&lt;&gt;"",S$59,IF(IFERROR(INDEX(醫師週班表!$C$5:$T$44,$CU17,S$57),"")=0,"",IF(MID(IFERROR(INDEX(醫師週班表!$C$5:$T$44,$CU17,S$57),""),2,1)="/",MID(IFERROR(INDEX(醫師週班表!$C$5:$T$44,$CU17,S$57),""),1+S$58*2,1),IF(MID(IFERROR(INDEX(醫師週班表!$C$5:$T$44,$CU17,S$57),""),3,1)="隔",IF(S$58=0,LEFT(IFERROR(INDEX(醫師週班表!$C$5:$T$44,$CU17,S$57),""),1),""),IF(MID(IFERROR(INDEX(醫師週班表!$C$5:$T$44,$CU17,S$57),""),2,1)="(",LEFT(IFERROR(INDEX(醫師週班表!$C$5:$T$44,$CU17,S$57),""),1),IFERROR(INDEX(醫師週班表!$C$5:$T$44,$CU17,S$57),"")))))))</f>
        <v/>
      </c>
      <c r="T17" s="71">
        <f>IF(T$59="X","",IF(T$59&lt;&gt;"",T$59,IF(IFERROR(INDEX(醫師週班表!$C$5:$T$44,$CU17,T$57),"")=0,"",IF(MID(IFERROR(INDEX(醫師週班表!$C$5:$T$44,$CU17,T$57),""),2,1)="/",MID(IFERROR(INDEX(醫師週班表!$C$5:$T$44,$CU17,T$57),""),1+T$58*2,1),IF(MID(IFERROR(INDEX(醫師週班表!$C$5:$T$44,$CU17,T$57),""),3,1)="隔",IF(T$58=0,LEFT(IFERROR(INDEX(醫師週班表!$C$5:$T$44,$CU17,T$57),""),1),""),IF(MID(IFERROR(INDEX(醫師週班表!$C$5:$T$44,$CU17,T$57),""),2,1)="(",LEFT(IFERROR(INDEX(醫師週班表!$C$5:$T$44,$CU17,T$57),""),1),IFERROR(INDEX(醫師週班表!$C$5:$T$44,$CU17,T$57),"")))))))</f>
        <v/>
      </c>
      <c r="U17" s="72">
        <f>IF(U$59="X","",IF(U$59&lt;&gt;"",U$59,IF(IFERROR(INDEX(醫師週班表!$C$5:$T$44,$CU17,U$57),"")=0,"",IF(MID(IFERROR(INDEX(醫師週班表!$C$5:$T$44,$CU17,U$57),""),2,1)="/",MID(IFERROR(INDEX(醫師週班表!$C$5:$T$44,$CU17,U$57),""),1+U$58*2,1),IF(MID(IFERROR(INDEX(醫師週班表!$C$5:$T$44,$CU17,U$57),""),3,1)="隔",IF(U$58=0,LEFT(IFERROR(INDEX(醫師週班表!$C$5:$T$44,$CU17,U$57),""),1),""),IF(MID(IFERROR(INDEX(醫師週班表!$C$5:$T$44,$CU17,U$57),""),2,1)="(",LEFT(IFERROR(INDEX(醫師週班表!$C$5:$T$44,$CU17,U$57),""),1),IFERROR(INDEX(醫師週班表!$C$5:$T$44,$CU17,U$57),"")))))))</f>
        <v/>
      </c>
      <c r="V17" s="72">
        <f>IF(V$59="X","",IF(V$59&lt;&gt;"",V$59,IF(IFERROR(INDEX(醫師週班表!$C$5:$T$44,$CU17,V$57),"")=0,"",IF(MID(IFERROR(INDEX(醫師週班表!$C$5:$T$44,$CU17,V$57),""),2,1)="/",MID(IFERROR(INDEX(醫師週班表!$C$5:$T$44,$CU17,V$57),""),1+V$58*2,1),IF(MID(IFERROR(INDEX(醫師週班表!$C$5:$T$44,$CU17,V$57),""),3,1)="隔",IF(V$58=0,LEFT(IFERROR(INDEX(醫師週班表!$C$5:$T$44,$CU17,V$57),""),1),""),IF(MID(IFERROR(INDEX(醫師週班表!$C$5:$T$44,$CU17,V$57),""),2,1)="(",LEFT(IFERROR(INDEX(醫師週班表!$C$5:$T$44,$CU17,V$57),""),1),IFERROR(INDEX(醫師週班表!$C$5:$T$44,$CU17,V$57),"")))))))</f>
        <v/>
      </c>
      <c r="W17" s="71">
        <f>IF(W$59="X","",IF(W$59&lt;&gt;"",W$59,IF(IFERROR(INDEX(醫師週班表!$C$5:$T$44,$CU17,W$57),"")=0,"",IF(MID(IFERROR(INDEX(醫師週班表!$C$5:$T$44,$CU17,W$57),""),2,1)="/",MID(IFERROR(INDEX(醫師週班表!$C$5:$T$44,$CU17,W$57),""),1+W$58*2,1),IF(MID(IFERROR(INDEX(醫師週班表!$C$5:$T$44,$CU17,W$57),""),3,1)="隔",IF(W$58=0,LEFT(IFERROR(INDEX(醫師週班表!$C$5:$T$44,$CU17,W$57),""),1),""),IF(MID(IFERROR(INDEX(醫師週班表!$C$5:$T$44,$CU17,W$57),""),2,1)="(",LEFT(IFERROR(INDEX(醫師週班表!$C$5:$T$44,$CU17,W$57),""),1),IFERROR(INDEX(醫師週班表!$C$5:$T$44,$CU17,W$57),"")))))))</f>
        <v/>
      </c>
      <c r="X17" s="72">
        <f>IF(X$59="X","",IF(X$59&lt;&gt;"",X$59,IF(IFERROR(INDEX(醫師週班表!$C$5:$T$44,$CU17,X$57),"")=0,"",IF(MID(IFERROR(INDEX(醫師週班表!$C$5:$T$44,$CU17,X$57),""),2,1)="/",MID(IFERROR(INDEX(醫師週班表!$C$5:$T$44,$CU17,X$57),""),1+X$58*2,1),IF(MID(IFERROR(INDEX(醫師週班表!$C$5:$T$44,$CU17,X$57),""),3,1)="隔",IF(X$58=0,LEFT(IFERROR(INDEX(醫師週班表!$C$5:$T$44,$CU17,X$57),""),1),""),IF(MID(IFERROR(INDEX(醫師週班表!$C$5:$T$44,$CU17,X$57),""),2,1)="(",LEFT(IFERROR(INDEX(醫師週班表!$C$5:$T$44,$CU17,X$57),""),1),IFERROR(INDEX(醫師週班表!$C$5:$T$44,$CU17,X$57),"")))))))</f>
        <v/>
      </c>
      <c r="Y17" s="72">
        <f>IF(Y$59="X","",IF(Y$59&lt;&gt;"",Y$59,IF(IFERROR(INDEX(醫師週班表!$C$5:$T$44,$CU17,Y$57),"")=0,"",IF(MID(IFERROR(INDEX(醫師週班表!$C$5:$T$44,$CU17,Y$57),""),2,1)="/",MID(IFERROR(INDEX(醫師週班表!$C$5:$T$44,$CU17,Y$57),""),1+Y$58*2,1),IF(MID(IFERROR(INDEX(醫師週班表!$C$5:$T$44,$CU17,Y$57),""),3,1)="隔",IF(Y$58=0,LEFT(IFERROR(INDEX(醫師週班表!$C$5:$T$44,$CU17,Y$57),""),1),""),IF(MID(IFERROR(INDEX(醫師週班表!$C$5:$T$44,$CU17,Y$57),""),2,1)="(",LEFT(IFERROR(INDEX(醫師週班表!$C$5:$T$44,$CU17,Y$57),""),1),IFERROR(INDEX(醫師週班表!$C$5:$T$44,$CU17,Y$57),"")))))))</f>
        <v/>
      </c>
      <c r="Z17" s="71">
        <f>IF(Z$59="X","",IF(Z$59&lt;&gt;"",Z$59,IF(IFERROR(INDEX(醫師週班表!$C$5:$T$44,$CU17,Z$57),"")=0,"",IF(MID(IFERROR(INDEX(醫師週班表!$C$5:$T$44,$CU17,Z$57),""),2,1)="/",MID(IFERROR(INDEX(醫師週班表!$C$5:$T$44,$CU17,Z$57),""),1+Z$58*2,1),IF(MID(IFERROR(INDEX(醫師週班表!$C$5:$T$44,$CU17,Z$57),""),3,1)="隔",IF(Z$58=0,LEFT(IFERROR(INDEX(醫師週班表!$C$5:$T$44,$CU17,Z$57),""),1),""),IF(MID(IFERROR(INDEX(醫師週班表!$C$5:$T$44,$CU17,Z$57),""),2,1)="(",LEFT(IFERROR(INDEX(醫師週班表!$C$5:$T$44,$CU17,Z$57),""),1),IFERROR(INDEX(醫師週班表!$C$5:$T$44,$CU17,Z$57),"")))))))</f>
        <v/>
      </c>
      <c r="AA17" s="72">
        <f>IF(AA$59="X","",IF(AA$59&lt;&gt;"",AA$59,IF(IFERROR(INDEX(醫師週班表!$C$5:$T$44,$CU17,AA$57),"")=0,"",IF(MID(IFERROR(INDEX(醫師週班表!$C$5:$T$44,$CU17,AA$57),""),2,1)="/",MID(IFERROR(INDEX(醫師週班表!$C$5:$T$44,$CU17,AA$57),""),1+AA$58*2,1),IF(MID(IFERROR(INDEX(醫師週班表!$C$5:$T$44,$CU17,AA$57),""),3,1)="隔",IF(AA$58=0,LEFT(IFERROR(INDEX(醫師週班表!$C$5:$T$44,$CU17,AA$57),""),1),""),IF(MID(IFERROR(INDEX(醫師週班表!$C$5:$T$44,$CU17,AA$57),""),2,1)="(",LEFT(IFERROR(INDEX(醫師週班表!$C$5:$T$44,$CU17,AA$57),""),1),IFERROR(INDEX(醫師週班表!$C$5:$T$44,$CU17,AA$57),"")))))))</f>
        <v/>
      </c>
      <c r="AB17" s="72">
        <f>IF(AB$59="X","",IF(AB$59&lt;&gt;"",AB$59,IF(IFERROR(INDEX(醫師週班表!$C$5:$T$44,$CU17,AB$57),"")=0,"",IF(MID(IFERROR(INDEX(醫師週班表!$C$5:$T$44,$CU17,AB$57),""),2,1)="/",MID(IFERROR(INDEX(醫師週班表!$C$5:$T$44,$CU17,AB$57),""),1+AB$58*2,1),IF(MID(IFERROR(INDEX(醫師週班表!$C$5:$T$44,$CU17,AB$57),""),3,1)="隔",IF(AB$58=0,LEFT(IFERROR(INDEX(醫師週班表!$C$5:$T$44,$CU17,AB$57),""),1),""),IF(MID(IFERROR(INDEX(醫師週班表!$C$5:$T$44,$CU17,AB$57),""),2,1)="(",LEFT(IFERROR(INDEX(醫師週班表!$C$5:$T$44,$CU17,AB$57),""),1),IFERROR(INDEX(醫師週班表!$C$5:$T$44,$CU17,AB$57),"")))))))</f>
        <v/>
      </c>
      <c r="AC17" s="71">
        <f>IF(AC$59="X","",IF(AC$59&lt;&gt;"",AC$59,IF(IFERROR(INDEX(醫師週班表!$C$5:$T$44,$CU17,AC$57),"")=0,"",IF(MID(IFERROR(INDEX(醫師週班表!$C$5:$T$44,$CU17,AC$57),""),2,1)="/",MID(IFERROR(INDEX(醫師週班表!$C$5:$T$44,$CU17,AC$57),""),1+AC$58*2,1),IF(MID(IFERROR(INDEX(醫師週班表!$C$5:$T$44,$CU17,AC$57),""),3,1)="隔",IF(AC$58=0,LEFT(IFERROR(INDEX(醫師週班表!$C$5:$T$44,$CU17,AC$57),""),1),""),IF(MID(IFERROR(INDEX(醫師週班表!$C$5:$T$44,$CU17,AC$57),""),2,1)="(",LEFT(IFERROR(INDEX(醫師週班表!$C$5:$T$44,$CU17,AC$57),""),1),IFERROR(INDEX(醫師週班表!$C$5:$T$44,$CU17,AC$57),"")))))))</f>
        <v/>
      </c>
      <c r="AD17" s="72">
        <f>IF(AD$59="X","",IF(AD$59&lt;&gt;"",AD$59,IF(IFERROR(INDEX(醫師週班表!$C$5:$T$44,$CU17,AD$57),"")=0,"",IF(MID(IFERROR(INDEX(醫師週班表!$C$5:$T$44,$CU17,AD$57),""),2,1)="/",MID(IFERROR(INDEX(醫師週班表!$C$5:$T$44,$CU17,AD$57),""),1+AD$58*2,1),IF(MID(IFERROR(INDEX(醫師週班表!$C$5:$T$44,$CU17,AD$57),""),3,1)="隔",IF(AD$58=0,LEFT(IFERROR(INDEX(醫師週班表!$C$5:$T$44,$CU17,AD$57),""),1),""),IF(MID(IFERROR(INDEX(醫師週班表!$C$5:$T$44,$CU17,AD$57),""),2,1)="(",LEFT(IFERROR(INDEX(醫師週班表!$C$5:$T$44,$CU17,AD$57),""),1),IFERROR(INDEX(醫師週班表!$C$5:$T$44,$CU17,AD$57),"")))))))</f>
        <v/>
      </c>
      <c r="AE17" s="72">
        <f>IF(AE$59="X","",IF(AE$59&lt;&gt;"",AE$59,IF(IFERROR(INDEX(醫師週班表!$C$5:$T$44,$CU17,AE$57),"")=0,"",IF(MID(IFERROR(INDEX(醫師週班表!$C$5:$T$44,$CU17,AE$57),""),2,1)="/",MID(IFERROR(INDEX(醫師週班表!$C$5:$T$44,$CU17,AE$57),""),1+AE$58*2,1),IF(MID(IFERROR(INDEX(醫師週班表!$C$5:$T$44,$CU17,AE$57),""),3,1)="隔",IF(AE$58=0,LEFT(IFERROR(INDEX(醫師週班表!$C$5:$T$44,$CU17,AE$57),""),1),""),IF(MID(IFERROR(INDEX(醫師週班表!$C$5:$T$44,$CU17,AE$57),""),2,1)="(",LEFT(IFERROR(INDEX(醫師週班表!$C$5:$T$44,$CU17,AE$57),""),1),IFERROR(INDEX(醫師週班表!$C$5:$T$44,$CU17,AE$57),"")))))))</f>
        <v/>
      </c>
      <c r="AF17" s="71">
        <f>IF(AF$59="X","",IF(AF$59&lt;&gt;"",AF$59,IF(IFERROR(INDEX(醫師週班表!$C$5:$T$44,$CU17,AF$57),"")=0,"",IF(MID(IFERROR(INDEX(醫師週班表!$C$5:$T$44,$CU17,AF$57),""),2,1)="/",MID(IFERROR(INDEX(醫師週班表!$C$5:$T$44,$CU17,AF$57),""),1+AF$58*2,1),IF(MID(IFERROR(INDEX(醫師週班表!$C$5:$T$44,$CU17,AF$57),""),3,1)="隔",IF(AF$58=0,LEFT(IFERROR(INDEX(醫師週班表!$C$5:$T$44,$CU17,AF$57),""),1),""),IF(MID(IFERROR(INDEX(醫師週班表!$C$5:$T$44,$CU17,AF$57),""),2,1)="(",LEFT(IFERROR(INDEX(醫師週班表!$C$5:$T$44,$CU17,AF$57),""),1),IFERROR(INDEX(醫師週班表!$C$5:$T$44,$CU17,AF$57),"")))))))</f>
        <v/>
      </c>
      <c r="AG17" s="72">
        <f>IF(AG$59="X","",IF(AG$59&lt;&gt;"",AG$59,IF(IFERROR(INDEX(醫師週班表!$C$5:$T$44,$CU17,AG$57),"")=0,"",IF(MID(IFERROR(INDEX(醫師週班表!$C$5:$T$44,$CU17,AG$57),""),2,1)="/",MID(IFERROR(INDEX(醫師週班表!$C$5:$T$44,$CU17,AG$57),""),1+AG$58*2,1),IF(MID(IFERROR(INDEX(醫師週班表!$C$5:$T$44,$CU17,AG$57),""),3,1)="隔",IF(AG$58=0,LEFT(IFERROR(INDEX(醫師週班表!$C$5:$T$44,$CU17,AG$57),""),1),""),IF(MID(IFERROR(INDEX(醫師週班表!$C$5:$T$44,$CU17,AG$57),""),2,1)="(",LEFT(IFERROR(INDEX(醫師週班表!$C$5:$T$44,$CU17,AG$57),""),1),IFERROR(INDEX(醫師週班表!$C$5:$T$44,$CU17,AG$57),"")))))))</f>
        <v/>
      </c>
      <c r="AH17" s="72">
        <f>IF(AH$59="X","",IF(AH$59&lt;&gt;"",AH$59,IF(IFERROR(INDEX(醫師週班表!$C$5:$T$44,$CU17,AH$57),"")=0,"",IF(MID(IFERROR(INDEX(醫師週班表!$C$5:$T$44,$CU17,AH$57),""),2,1)="/",MID(IFERROR(INDEX(醫師週班表!$C$5:$T$44,$CU17,AH$57),""),1+AH$58*2,1),IF(MID(IFERROR(INDEX(醫師週班表!$C$5:$T$44,$CU17,AH$57),""),3,1)="隔",IF(AH$58=0,LEFT(IFERROR(INDEX(醫師週班表!$C$5:$T$44,$CU17,AH$57),""),1),""),IF(MID(IFERROR(INDEX(醫師週班表!$C$5:$T$44,$CU17,AH$57),""),2,1)="(",LEFT(IFERROR(INDEX(醫師週班表!$C$5:$T$44,$CU17,AH$57),""),1),IFERROR(INDEX(醫師週班表!$C$5:$T$44,$CU17,AH$57),"")))))))</f>
        <v/>
      </c>
      <c r="AI17" s="71">
        <f>IF(AI$59="X","",IF(AI$59&lt;&gt;"",AI$59,IF(IFERROR(INDEX(醫師週班表!$C$5:$T$44,$CU17,AI$57),"")=0,"",IF(MID(IFERROR(INDEX(醫師週班表!$C$5:$T$44,$CU17,AI$57),""),2,1)="/",MID(IFERROR(INDEX(醫師週班表!$C$5:$T$44,$CU17,AI$57),""),1+AI$58*2,1),IF(MID(IFERROR(INDEX(醫師週班表!$C$5:$T$44,$CU17,AI$57),""),3,1)="隔",IF(AI$58=0,LEFT(IFERROR(INDEX(醫師週班表!$C$5:$T$44,$CU17,AI$57),""),1),""),IF(MID(IFERROR(INDEX(醫師週班表!$C$5:$T$44,$CU17,AI$57),""),2,1)="(",LEFT(IFERROR(INDEX(醫師週班表!$C$5:$T$44,$CU17,AI$57),""),1),IFERROR(INDEX(醫師週班表!$C$5:$T$44,$CU17,AI$57),"")))))))</f>
        <v/>
      </c>
      <c r="AJ17" s="72">
        <f>IF(AJ$59="X","",IF(AJ$59&lt;&gt;"",AJ$59,IF(IFERROR(INDEX(醫師週班表!$C$5:$T$44,$CU17,AJ$57),"")=0,"",IF(MID(IFERROR(INDEX(醫師週班表!$C$5:$T$44,$CU17,AJ$57),""),2,1)="/",MID(IFERROR(INDEX(醫師週班表!$C$5:$T$44,$CU17,AJ$57),""),1+AJ$58*2,1),IF(MID(IFERROR(INDEX(醫師週班表!$C$5:$T$44,$CU17,AJ$57),""),3,1)="隔",IF(AJ$58=0,LEFT(IFERROR(INDEX(醫師週班表!$C$5:$T$44,$CU17,AJ$57),""),1),""),IF(MID(IFERROR(INDEX(醫師週班表!$C$5:$T$44,$CU17,AJ$57),""),2,1)="(",LEFT(IFERROR(INDEX(醫師週班表!$C$5:$T$44,$CU17,AJ$57),""),1),IFERROR(INDEX(醫師週班表!$C$5:$T$44,$CU17,AJ$57),"")))))))</f>
        <v/>
      </c>
      <c r="AK17" s="72">
        <f>IF(AK$59="X","",IF(AK$59&lt;&gt;"",AK$59,IF(IFERROR(INDEX(醫師週班表!$C$5:$T$44,$CU17,AK$57),"")=0,"",IF(MID(IFERROR(INDEX(醫師週班表!$C$5:$T$44,$CU17,AK$57),""),2,1)="/",MID(IFERROR(INDEX(醫師週班表!$C$5:$T$44,$CU17,AK$57),""),1+AK$58*2,1),IF(MID(IFERROR(INDEX(醫師週班表!$C$5:$T$44,$CU17,AK$57),""),3,1)="隔",IF(AK$58=0,LEFT(IFERROR(INDEX(醫師週班表!$C$5:$T$44,$CU17,AK$57),""),1),""),IF(MID(IFERROR(INDEX(醫師週班表!$C$5:$T$44,$CU17,AK$57),""),2,1)="(",LEFT(IFERROR(INDEX(醫師週班表!$C$5:$T$44,$CU17,AK$57),""),1),IFERROR(INDEX(醫師週班表!$C$5:$T$44,$CU17,AK$57),"")))))))</f>
        <v/>
      </c>
      <c r="AL17" s="71">
        <f>IF(AL$59="X","",IF(AL$59&lt;&gt;"",AL$59,IF(IFERROR(INDEX(醫師週班表!$C$5:$T$44,$CU17,AL$57),"")=0,"",IF(MID(IFERROR(INDEX(醫師週班表!$C$5:$T$44,$CU17,AL$57),""),2,1)="/",MID(IFERROR(INDEX(醫師週班表!$C$5:$T$44,$CU17,AL$57),""),1+AL$58*2,1),IF(MID(IFERROR(INDEX(醫師週班表!$C$5:$T$44,$CU17,AL$57),""),3,1)="隔",IF(AL$58=0,LEFT(IFERROR(INDEX(醫師週班表!$C$5:$T$44,$CU17,AL$57),""),1),""),IF(MID(IFERROR(INDEX(醫師週班表!$C$5:$T$44,$CU17,AL$57),""),2,1)="(",LEFT(IFERROR(INDEX(醫師週班表!$C$5:$T$44,$CU17,AL$57),""),1),IFERROR(INDEX(醫師週班表!$C$5:$T$44,$CU17,AL$57),"")))))))</f>
        <v/>
      </c>
      <c r="AM17" s="72">
        <f>IF(AM$59="X","",IF(AM$59&lt;&gt;"",AM$59,IF(IFERROR(INDEX(醫師週班表!$C$5:$T$44,$CU17,AM$57),"")=0,"",IF(MID(IFERROR(INDEX(醫師週班表!$C$5:$T$44,$CU17,AM$57),""),2,1)="/",MID(IFERROR(INDEX(醫師週班表!$C$5:$T$44,$CU17,AM$57),""),1+AM$58*2,1),IF(MID(IFERROR(INDEX(醫師週班表!$C$5:$T$44,$CU17,AM$57),""),3,1)="隔",IF(AM$58=0,LEFT(IFERROR(INDEX(醫師週班表!$C$5:$T$44,$CU17,AM$57),""),1),""),IF(MID(IFERROR(INDEX(醫師週班表!$C$5:$T$44,$CU17,AM$57),""),2,1)="(",LEFT(IFERROR(INDEX(醫師週班表!$C$5:$T$44,$CU17,AM$57),""),1),IFERROR(INDEX(醫師週班表!$C$5:$T$44,$CU17,AM$57),"")))))))</f>
        <v/>
      </c>
      <c r="AN17" s="72">
        <f>IF(AN$59="X","",IF(AN$59&lt;&gt;"",AN$59,IF(IFERROR(INDEX(醫師週班表!$C$5:$T$44,$CU17,AN$57),"")=0,"",IF(MID(IFERROR(INDEX(醫師週班表!$C$5:$T$44,$CU17,AN$57),""),2,1)="/",MID(IFERROR(INDEX(醫師週班表!$C$5:$T$44,$CU17,AN$57),""),1+AN$58*2,1),IF(MID(IFERROR(INDEX(醫師週班表!$C$5:$T$44,$CU17,AN$57),""),3,1)="隔",IF(AN$58=0,LEFT(IFERROR(INDEX(醫師週班表!$C$5:$T$44,$CU17,AN$57),""),1),""),IF(MID(IFERROR(INDEX(醫師週班表!$C$5:$T$44,$CU17,AN$57),""),2,1)="(",LEFT(IFERROR(INDEX(醫師週班表!$C$5:$T$44,$CU17,AN$57),""),1),IFERROR(INDEX(醫師週班表!$C$5:$T$44,$CU17,AN$57),"")))))))</f>
        <v/>
      </c>
      <c r="AO17" s="71">
        <f>IF(AO$59="X","",IF(AO$59&lt;&gt;"",AO$59,IF(IFERROR(INDEX(醫師週班表!$C$5:$T$44,$CU17,AO$57),"")=0,"",IF(MID(IFERROR(INDEX(醫師週班表!$C$5:$T$44,$CU17,AO$57),""),2,1)="/",MID(IFERROR(INDEX(醫師週班表!$C$5:$T$44,$CU17,AO$57),""),1+AO$58*2,1),IF(MID(IFERROR(INDEX(醫師週班表!$C$5:$T$44,$CU17,AO$57),""),3,1)="隔",IF(AO$58=0,LEFT(IFERROR(INDEX(醫師週班表!$C$5:$T$44,$CU17,AO$57),""),1),""),IF(MID(IFERROR(INDEX(醫師週班表!$C$5:$T$44,$CU17,AO$57),""),2,1)="(",LEFT(IFERROR(INDEX(醫師週班表!$C$5:$T$44,$CU17,AO$57),""),1),IFERROR(INDEX(醫師週班表!$C$5:$T$44,$CU17,AO$57),"")))))))</f>
        <v/>
      </c>
      <c r="AP17" s="72">
        <f>IF(AP$59="X","",IF(AP$59&lt;&gt;"",AP$59,IF(IFERROR(INDEX(醫師週班表!$C$5:$T$44,$CU17,AP$57),"")=0,"",IF(MID(IFERROR(INDEX(醫師週班表!$C$5:$T$44,$CU17,AP$57),""),2,1)="/",MID(IFERROR(INDEX(醫師週班表!$C$5:$T$44,$CU17,AP$57),""),1+AP$58*2,1),IF(MID(IFERROR(INDEX(醫師週班表!$C$5:$T$44,$CU17,AP$57),""),3,1)="隔",IF(AP$58=0,LEFT(IFERROR(INDEX(醫師週班表!$C$5:$T$44,$CU17,AP$57),""),1),""),IF(MID(IFERROR(INDEX(醫師週班表!$C$5:$T$44,$CU17,AP$57),""),2,1)="(",LEFT(IFERROR(INDEX(醫師週班表!$C$5:$T$44,$CU17,AP$57),""),1),IFERROR(INDEX(醫師週班表!$C$5:$T$44,$CU17,AP$57),"")))))))</f>
        <v/>
      </c>
      <c r="AQ17" s="72">
        <f>IF(AQ$59="X","",IF(AQ$59&lt;&gt;"",AQ$59,IF(IFERROR(INDEX(醫師週班表!$C$5:$T$44,$CU17,AQ$57),"")=0,"",IF(MID(IFERROR(INDEX(醫師週班表!$C$5:$T$44,$CU17,AQ$57),""),2,1)="/",MID(IFERROR(INDEX(醫師週班表!$C$5:$T$44,$CU17,AQ$57),""),1+AQ$58*2,1),IF(MID(IFERROR(INDEX(醫師週班表!$C$5:$T$44,$CU17,AQ$57),""),3,1)="隔",IF(AQ$58=0,LEFT(IFERROR(INDEX(醫師週班表!$C$5:$T$44,$CU17,AQ$57),""),1),""),IF(MID(IFERROR(INDEX(醫師週班表!$C$5:$T$44,$CU17,AQ$57),""),2,1)="(",LEFT(IFERROR(INDEX(醫師週班表!$C$5:$T$44,$CU17,AQ$57),""),1),IFERROR(INDEX(醫師週班表!$C$5:$T$44,$CU17,AQ$57),"")))))))</f>
        <v/>
      </c>
      <c r="AR17" s="71">
        <f>IF(AR$59="X","",IF(AR$59&lt;&gt;"",AR$59,IF(IFERROR(INDEX(醫師週班表!$C$5:$T$44,$CU17,AR$57),"")=0,"",IF(MID(IFERROR(INDEX(醫師週班表!$C$5:$T$44,$CU17,AR$57),""),2,1)="/",MID(IFERROR(INDEX(醫師週班表!$C$5:$T$44,$CU17,AR$57),""),1+AR$58*2,1),IF(MID(IFERROR(INDEX(醫師週班表!$C$5:$T$44,$CU17,AR$57),""),3,1)="隔",IF(AR$58=0,LEFT(IFERROR(INDEX(醫師週班表!$C$5:$T$44,$CU17,AR$57),""),1),""),IF(MID(IFERROR(INDEX(醫師週班表!$C$5:$T$44,$CU17,AR$57),""),2,1)="(",LEFT(IFERROR(INDEX(醫師週班表!$C$5:$T$44,$CU17,AR$57),""),1),IFERROR(INDEX(醫師週班表!$C$5:$T$44,$CU17,AR$57),"")))))))</f>
        <v/>
      </c>
      <c r="AS17" s="72">
        <f>IF(AS$59="X","",IF(AS$59&lt;&gt;"",AS$59,IF(IFERROR(INDEX(醫師週班表!$C$5:$T$44,$CU17,AS$57),"")=0,"",IF(MID(IFERROR(INDEX(醫師週班表!$C$5:$T$44,$CU17,AS$57),""),2,1)="/",MID(IFERROR(INDEX(醫師週班表!$C$5:$T$44,$CU17,AS$57),""),1+AS$58*2,1),IF(MID(IFERROR(INDEX(醫師週班表!$C$5:$T$44,$CU17,AS$57),""),3,1)="隔",IF(AS$58=0,LEFT(IFERROR(INDEX(醫師週班表!$C$5:$T$44,$CU17,AS$57),""),1),""),IF(MID(IFERROR(INDEX(醫師週班表!$C$5:$T$44,$CU17,AS$57),""),2,1)="(",LEFT(IFERROR(INDEX(醫師週班表!$C$5:$T$44,$CU17,AS$57),""),1),IFERROR(INDEX(醫師週班表!$C$5:$T$44,$CU17,AS$57),"")))))))</f>
        <v/>
      </c>
      <c r="AT17" s="72">
        <f>IF(AT$59="X","",IF(AT$59&lt;&gt;"",AT$59,IF(IFERROR(INDEX(醫師週班表!$C$5:$T$44,$CU17,AT$57),"")=0,"",IF(MID(IFERROR(INDEX(醫師週班表!$C$5:$T$44,$CU17,AT$57),""),2,1)="/",MID(IFERROR(INDEX(醫師週班表!$C$5:$T$44,$CU17,AT$57),""),1+AT$58*2,1),IF(MID(IFERROR(INDEX(醫師週班表!$C$5:$T$44,$CU17,AT$57),""),3,1)="隔",IF(AT$58=0,LEFT(IFERROR(INDEX(醫師週班表!$C$5:$T$44,$CU17,AT$57),""),1),""),IF(MID(IFERROR(INDEX(醫師週班表!$C$5:$T$44,$CU17,AT$57),""),2,1)="(",LEFT(IFERROR(INDEX(醫師週班表!$C$5:$T$44,$CU17,AT$57),""),1),IFERROR(INDEX(醫師週班表!$C$5:$T$44,$CU17,AT$57),"")))))))</f>
        <v/>
      </c>
      <c r="AU17" s="71">
        <f>IF(AU$59="X","",IF(AU$59&lt;&gt;"",AU$59,IF(IFERROR(INDEX(醫師週班表!$C$5:$T$44,$CU17,AU$57),"")=0,"",IF(MID(IFERROR(INDEX(醫師週班表!$C$5:$T$44,$CU17,AU$57),""),2,1)="/",MID(IFERROR(INDEX(醫師週班表!$C$5:$T$44,$CU17,AU$57),""),1+AU$58*2,1),IF(MID(IFERROR(INDEX(醫師週班表!$C$5:$T$44,$CU17,AU$57),""),3,1)="隔",IF(AU$58=0,LEFT(IFERROR(INDEX(醫師週班表!$C$5:$T$44,$CU17,AU$57),""),1),""),IF(MID(IFERROR(INDEX(醫師週班表!$C$5:$T$44,$CU17,AU$57),""),2,1)="(",LEFT(IFERROR(INDEX(醫師週班表!$C$5:$T$44,$CU17,AU$57),""),1),IFERROR(INDEX(醫師週班表!$C$5:$T$44,$CU17,AU$57),"")))))))</f>
        <v/>
      </c>
      <c r="AV17" s="72">
        <f>IF(AV$59="X","",IF(AV$59&lt;&gt;"",AV$59,IF(IFERROR(INDEX(醫師週班表!$C$5:$T$44,$CU17,AV$57),"")=0,"",IF(MID(IFERROR(INDEX(醫師週班表!$C$5:$T$44,$CU17,AV$57),""),2,1)="/",MID(IFERROR(INDEX(醫師週班表!$C$5:$T$44,$CU17,AV$57),""),1+AV$58*2,1),IF(MID(IFERROR(INDEX(醫師週班表!$C$5:$T$44,$CU17,AV$57),""),3,1)="隔",IF(AV$58=0,LEFT(IFERROR(INDEX(醫師週班表!$C$5:$T$44,$CU17,AV$57),""),1),""),IF(MID(IFERROR(INDEX(醫師週班表!$C$5:$T$44,$CU17,AV$57),""),2,1)="(",LEFT(IFERROR(INDEX(醫師週班表!$C$5:$T$44,$CU17,AV$57),""),1),IFERROR(INDEX(醫師週班表!$C$5:$T$44,$CU17,AV$57),"")))))))</f>
        <v/>
      </c>
      <c r="AW17" s="72">
        <f>IF(AW$59="X","",IF(AW$59&lt;&gt;"",AW$59,IF(IFERROR(INDEX(醫師週班表!$C$5:$T$44,$CU17,AW$57),"")=0,"",IF(MID(IFERROR(INDEX(醫師週班表!$C$5:$T$44,$CU17,AW$57),""),2,1)="/",MID(IFERROR(INDEX(醫師週班表!$C$5:$T$44,$CU17,AW$57),""),1+AW$58*2,1),IF(MID(IFERROR(INDEX(醫師週班表!$C$5:$T$44,$CU17,AW$57),""),3,1)="隔",IF(AW$58=0,LEFT(IFERROR(INDEX(醫師週班表!$C$5:$T$44,$CU17,AW$57),""),1),""),IF(MID(IFERROR(INDEX(醫師週班表!$C$5:$T$44,$CU17,AW$57),""),2,1)="(",LEFT(IFERROR(INDEX(醫師週班表!$C$5:$T$44,$CU17,AW$57),""),1),IFERROR(INDEX(醫師週班表!$C$5:$T$44,$CU17,AW$57),"")))))))</f>
        <v/>
      </c>
      <c r="AX17" s="71">
        <f>IF(AX$59="X","",IF(AX$59&lt;&gt;"",AX$59,IF(IFERROR(INDEX(醫師週班表!$C$5:$T$44,$CU17,AX$57),"")=0,"",IF(MID(IFERROR(INDEX(醫師週班表!$C$5:$T$44,$CU17,AX$57),""),2,1)="/",MID(IFERROR(INDEX(醫師週班表!$C$5:$T$44,$CU17,AX$57),""),1+AX$58*2,1),IF(MID(IFERROR(INDEX(醫師週班表!$C$5:$T$44,$CU17,AX$57),""),3,1)="隔",IF(AX$58=0,LEFT(IFERROR(INDEX(醫師週班表!$C$5:$T$44,$CU17,AX$57),""),1),""),IF(MID(IFERROR(INDEX(醫師週班表!$C$5:$T$44,$CU17,AX$57),""),2,1)="(",LEFT(IFERROR(INDEX(醫師週班表!$C$5:$T$44,$CU17,AX$57),""),1),IFERROR(INDEX(醫師週班表!$C$5:$T$44,$CU17,AX$57),"")))))))</f>
        <v/>
      </c>
      <c r="AY17" s="72">
        <f>IF(AY$59="X","",IF(AY$59&lt;&gt;"",AY$59,IF(IFERROR(INDEX(醫師週班表!$C$5:$T$44,$CU17,AY$57),"")=0,"",IF(MID(IFERROR(INDEX(醫師週班表!$C$5:$T$44,$CU17,AY$57),""),2,1)="/",MID(IFERROR(INDEX(醫師週班表!$C$5:$T$44,$CU17,AY$57),""),1+AY$58*2,1),IF(MID(IFERROR(INDEX(醫師週班表!$C$5:$T$44,$CU17,AY$57),""),3,1)="隔",IF(AY$58=0,LEFT(IFERROR(INDEX(醫師週班表!$C$5:$T$44,$CU17,AY$57),""),1),""),IF(MID(IFERROR(INDEX(醫師週班表!$C$5:$T$44,$CU17,AY$57),""),2,1)="(",LEFT(IFERROR(INDEX(醫師週班表!$C$5:$T$44,$CU17,AY$57),""),1),IFERROR(INDEX(醫師週班表!$C$5:$T$44,$CU17,AY$57),"")))))))</f>
        <v/>
      </c>
      <c r="AZ17" s="72">
        <f>IF(AZ$59="X","",IF(AZ$59&lt;&gt;"",AZ$59,IF(IFERROR(INDEX(醫師週班表!$C$5:$T$44,$CU17,AZ$57),"")=0,"",IF(MID(IFERROR(INDEX(醫師週班表!$C$5:$T$44,$CU17,AZ$57),""),2,1)="/",MID(IFERROR(INDEX(醫師週班表!$C$5:$T$44,$CU17,AZ$57),""),1+AZ$58*2,1),IF(MID(IFERROR(INDEX(醫師週班表!$C$5:$T$44,$CU17,AZ$57),""),3,1)="隔",IF(AZ$58=0,LEFT(IFERROR(INDEX(醫師週班表!$C$5:$T$44,$CU17,AZ$57),""),1),""),IF(MID(IFERROR(INDEX(醫師週班表!$C$5:$T$44,$CU17,AZ$57),""),2,1)="(",LEFT(IFERROR(INDEX(醫師週班表!$C$5:$T$44,$CU17,AZ$57),""),1),IFERROR(INDEX(醫師週班表!$C$5:$T$44,$CU17,AZ$57),"")))))))</f>
        <v/>
      </c>
      <c r="BA17" s="71">
        <f>IF(BA$59="X","",IF(BA$59&lt;&gt;"",BA$59,IF(IFERROR(INDEX(醫師週班表!$C$5:$T$44,$CU17,BA$57),"")=0,"",IF(MID(IFERROR(INDEX(醫師週班表!$C$5:$T$44,$CU17,BA$57),""),2,1)="/",MID(IFERROR(INDEX(醫師週班表!$C$5:$T$44,$CU17,BA$57),""),1+BA$58*2,1),IF(MID(IFERROR(INDEX(醫師週班表!$C$5:$T$44,$CU17,BA$57),""),3,1)="隔",IF(BA$58=0,LEFT(IFERROR(INDEX(醫師週班表!$C$5:$T$44,$CU17,BA$57),""),1),""),IF(MID(IFERROR(INDEX(醫師週班表!$C$5:$T$44,$CU17,BA$57),""),2,1)="(",LEFT(IFERROR(INDEX(醫師週班表!$C$5:$T$44,$CU17,BA$57),""),1),IFERROR(INDEX(醫師週班表!$C$5:$T$44,$CU17,BA$57),"")))))))</f>
        <v/>
      </c>
      <c r="BB17" s="72">
        <f>IF(BB$59="X","",IF(BB$59&lt;&gt;"",BB$59,IF(IFERROR(INDEX(醫師週班表!$C$5:$T$44,$CU17,BB$57),"")=0,"",IF(MID(IFERROR(INDEX(醫師週班表!$C$5:$T$44,$CU17,BB$57),""),2,1)="/",MID(IFERROR(INDEX(醫師週班表!$C$5:$T$44,$CU17,BB$57),""),1+BB$58*2,1),IF(MID(IFERROR(INDEX(醫師週班表!$C$5:$T$44,$CU17,BB$57),""),3,1)="隔",IF(BB$58=0,LEFT(IFERROR(INDEX(醫師週班表!$C$5:$T$44,$CU17,BB$57),""),1),""),IF(MID(IFERROR(INDEX(醫師週班表!$C$5:$T$44,$CU17,BB$57),""),2,1)="(",LEFT(IFERROR(INDEX(醫師週班表!$C$5:$T$44,$CU17,BB$57),""),1),IFERROR(INDEX(醫師週班表!$C$5:$T$44,$CU17,BB$57),"")))))))</f>
        <v/>
      </c>
      <c r="BC17" s="72">
        <f>IF(BC$59="X","",IF(BC$59&lt;&gt;"",BC$59,IF(IFERROR(INDEX(醫師週班表!$C$5:$T$44,$CU17,BC$57),"")=0,"",IF(MID(IFERROR(INDEX(醫師週班表!$C$5:$T$44,$CU17,BC$57),""),2,1)="/",MID(IFERROR(INDEX(醫師週班表!$C$5:$T$44,$CU17,BC$57),""),1+BC$58*2,1),IF(MID(IFERROR(INDEX(醫師週班表!$C$5:$T$44,$CU17,BC$57),""),3,1)="隔",IF(BC$58=0,LEFT(IFERROR(INDEX(醫師週班表!$C$5:$T$44,$CU17,BC$57),""),1),""),IF(MID(IFERROR(INDEX(醫師週班表!$C$5:$T$44,$CU17,BC$57),""),2,1)="(",LEFT(IFERROR(INDEX(醫師週班表!$C$5:$T$44,$CU17,BC$57),""),1),IFERROR(INDEX(醫師週班表!$C$5:$T$44,$CU17,BC$57),"")))))))</f>
        <v/>
      </c>
      <c r="BD17" s="71">
        <f>IF(BD$59="X","",IF(BD$59&lt;&gt;"",BD$59,IF(IFERROR(INDEX(醫師週班表!$C$5:$T$44,$CU17,BD$57),"")=0,"",IF(MID(IFERROR(INDEX(醫師週班表!$C$5:$T$44,$CU17,BD$57),""),2,1)="/",MID(IFERROR(INDEX(醫師週班表!$C$5:$T$44,$CU17,BD$57),""),1+BD$58*2,1),IF(MID(IFERROR(INDEX(醫師週班表!$C$5:$T$44,$CU17,BD$57),""),3,1)="隔",IF(BD$58=0,LEFT(IFERROR(INDEX(醫師週班表!$C$5:$T$44,$CU17,BD$57),""),1),""),IF(MID(IFERROR(INDEX(醫師週班表!$C$5:$T$44,$CU17,BD$57),""),2,1)="(",LEFT(IFERROR(INDEX(醫師週班表!$C$5:$T$44,$CU17,BD$57),""),1),IFERROR(INDEX(醫師週班表!$C$5:$T$44,$CU17,BD$57),"")))))))</f>
        <v/>
      </c>
      <c r="BE17" s="72">
        <f>IF(BE$59="X","",IF(BE$59&lt;&gt;"",BE$59,IF(IFERROR(INDEX(醫師週班表!$C$5:$T$44,$CU17,BE$57),"")=0,"",IF(MID(IFERROR(INDEX(醫師週班表!$C$5:$T$44,$CU17,BE$57),""),2,1)="/",MID(IFERROR(INDEX(醫師週班表!$C$5:$T$44,$CU17,BE$57),""),1+BE$58*2,1),IF(MID(IFERROR(INDEX(醫師週班表!$C$5:$T$44,$CU17,BE$57),""),3,1)="隔",IF(BE$58=0,LEFT(IFERROR(INDEX(醫師週班表!$C$5:$T$44,$CU17,BE$57),""),1),""),IF(MID(IFERROR(INDEX(醫師週班表!$C$5:$T$44,$CU17,BE$57),""),2,1)="(",LEFT(IFERROR(INDEX(醫師週班表!$C$5:$T$44,$CU17,BE$57),""),1),IFERROR(INDEX(醫師週班表!$C$5:$T$44,$CU17,BE$57),"")))))))</f>
        <v/>
      </c>
      <c r="BF17" s="72">
        <f>IF(BF$59="X","",IF(BF$59&lt;&gt;"",BF$59,IF(IFERROR(INDEX(醫師週班表!$C$5:$T$44,$CU17,BF$57),"")=0,"",IF(MID(IFERROR(INDEX(醫師週班表!$C$5:$T$44,$CU17,BF$57),""),2,1)="/",MID(IFERROR(INDEX(醫師週班表!$C$5:$T$44,$CU17,BF$57),""),1+BF$58*2,1),IF(MID(IFERROR(INDEX(醫師週班表!$C$5:$T$44,$CU17,BF$57),""),3,1)="隔",IF(BF$58=0,LEFT(IFERROR(INDEX(醫師週班表!$C$5:$T$44,$CU17,BF$57),""),1),""),IF(MID(IFERROR(INDEX(醫師週班表!$C$5:$T$44,$CU17,BF$57),""),2,1)="(",LEFT(IFERROR(INDEX(醫師週班表!$C$5:$T$44,$CU17,BF$57),""),1),IFERROR(INDEX(醫師週班表!$C$5:$T$44,$CU17,BF$57),"")))))))</f>
        <v/>
      </c>
      <c r="BG17" s="71">
        <f>IF(BG$59="X","",IF(BG$59&lt;&gt;"",BG$59,IF(IFERROR(INDEX(醫師週班表!$C$5:$T$44,$CU17,BG$57),"")=0,"",IF(MID(IFERROR(INDEX(醫師週班表!$C$5:$T$44,$CU17,BG$57),""),2,1)="/",MID(IFERROR(INDEX(醫師週班表!$C$5:$T$44,$CU17,BG$57),""),1+BG$58*2,1),IF(MID(IFERROR(INDEX(醫師週班表!$C$5:$T$44,$CU17,BG$57),""),3,1)="隔",IF(BG$58=0,LEFT(IFERROR(INDEX(醫師週班表!$C$5:$T$44,$CU17,BG$57),""),1),""),IF(MID(IFERROR(INDEX(醫師週班表!$C$5:$T$44,$CU17,BG$57),""),2,1)="(",LEFT(IFERROR(INDEX(醫師週班表!$C$5:$T$44,$CU17,BG$57),""),1),IFERROR(INDEX(醫師週班表!$C$5:$T$44,$CU17,BG$57),"")))))))</f>
        <v/>
      </c>
      <c r="BH17" s="72">
        <f>IF(BH$59="X","",IF(BH$59&lt;&gt;"",BH$59,IF(IFERROR(INDEX(醫師週班表!$C$5:$T$44,$CU17,BH$57),"")=0,"",IF(MID(IFERROR(INDEX(醫師週班表!$C$5:$T$44,$CU17,BH$57),""),2,1)="/",MID(IFERROR(INDEX(醫師週班表!$C$5:$T$44,$CU17,BH$57),""),1+BH$58*2,1),IF(MID(IFERROR(INDEX(醫師週班表!$C$5:$T$44,$CU17,BH$57),""),3,1)="隔",IF(BH$58=0,LEFT(IFERROR(INDEX(醫師週班表!$C$5:$T$44,$CU17,BH$57),""),1),""),IF(MID(IFERROR(INDEX(醫師週班表!$C$5:$T$44,$CU17,BH$57),""),2,1)="(",LEFT(IFERROR(INDEX(醫師週班表!$C$5:$T$44,$CU17,BH$57),""),1),IFERROR(INDEX(醫師週班表!$C$5:$T$44,$CU17,BH$57),"")))))))</f>
        <v/>
      </c>
      <c r="BI17" s="72">
        <f>IF(BI$59="X","",IF(BI$59&lt;&gt;"",BI$59,IF(IFERROR(INDEX(醫師週班表!$C$5:$T$44,$CU17,BI$57),"")=0,"",IF(MID(IFERROR(INDEX(醫師週班表!$C$5:$T$44,$CU17,BI$57),""),2,1)="/",MID(IFERROR(INDEX(醫師週班表!$C$5:$T$44,$CU17,BI$57),""),1+BI$58*2,1),IF(MID(IFERROR(INDEX(醫師週班表!$C$5:$T$44,$CU17,BI$57),""),3,1)="隔",IF(BI$58=0,LEFT(IFERROR(INDEX(醫師週班表!$C$5:$T$44,$CU17,BI$57),""),1),""),IF(MID(IFERROR(INDEX(醫師週班表!$C$5:$T$44,$CU17,BI$57),""),2,1)="(",LEFT(IFERROR(INDEX(醫師週班表!$C$5:$T$44,$CU17,BI$57),""),1),IFERROR(INDEX(醫師週班表!$C$5:$T$44,$CU17,BI$57),"")))))))</f>
        <v/>
      </c>
      <c r="BJ17" s="71">
        <f>IF(BJ$59="X","",IF(BJ$59&lt;&gt;"",BJ$59,IF(IFERROR(INDEX(醫師週班表!$C$5:$T$44,$CU17,BJ$57),"")=0,"",IF(MID(IFERROR(INDEX(醫師週班表!$C$5:$T$44,$CU17,BJ$57),""),2,1)="/",MID(IFERROR(INDEX(醫師週班表!$C$5:$T$44,$CU17,BJ$57),""),1+BJ$58*2,1),IF(MID(IFERROR(INDEX(醫師週班表!$C$5:$T$44,$CU17,BJ$57),""),3,1)="隔",IF(BJ$58=0,LEFT(IFERROR(INDEX(醫師週班表!$C$5:$T$44,$CU17,BJ$57),""),1),""),IF(MID(IFERROR(INDEX(醫師週班表!$C$5:$T$44,$CU17,BJ$57),""),2,1)="(",LEFT(IFERROR(INDEX(醫師週班表!$C$5:$T$44,$CU17,BJ$57),""),1),IFERROR(INDEX(醫師週班表!$C$5:$T$44,$CU17,BJ$57),"")))))))</f>
        <v/>
      </c>
      <c r="BK17" s="72">
        <f>IF(BK$59="X","",IF(BK$59&lt;&gt;"",BK$59,IF(IFERROR(INDEX(醫師週班表!$C$5:$T$44,$CU17,BK$57),"")=0,"",IF(MID(IFERROR(INDEX(醫師週班表!$C$5:$T$44,$CU17,BK$57),""),2,1)="/",MID(IFERROR(INDEX(醫師週班表!$C$5:$T$44,$CU17,BK$57),""),1+BK$58*2,1),IF(MID(IFERROR(INDEX(醫師週班表!$C$5:$T$44,$CU17,BK$57),""),3,1)="隔",IF(BK$58=0,LEFT(IFERROR(INDEX(醫師週班表!$C$5:$T$44,$CU17,BK$57),""),1),""),IF(MID(IFERROR(INDEX(醫師週班表!$C$5:$T$44,$CU17,BK$57),""),2,1)="(",LEFT(IFERROR(INDEX(醫師週班表!$C$5:$T$44,$CU17,BK$57),""),1),IFERROR(INDEX(醫師週班表!$C$5:$T$44,$CU17,BK$57),"")))))))</f>
        <v/>
      </c>
      <c r="BL17" s="72">
        <f>IF(BL$59="X","",IF(BL$59&lt;&gt;"",BL$59,IF(IFERROR(INDEX(醫師週班表!$C$5:$T$44,$CU17,BL$57),"")=0,"",IF(MID(IFERROR(INDEX(醫師週班表!$C$5:$T$44,$CU17,BL$57),""),2,1)="/",MID(IFERROR(INDEX(醫師週班表!$C$5:$T$44,$CU17,BL$57),""),1+BL$58*2,1),IF(MID(IFERROR(INDEX(醫師週班表!$C$5:$T$44,$CU17,BL$57),""),3,1)="隔",IF(BL$58=0,LEFT(IFERROR(INDEX(醫師週班表!$C$5:$T$44,$CU17,BL$57),""),1),""),IF(MID(IFERROR(INDEX(醫師週班表!$C$5:$T$44,$CU17,BL$57),""),2,1)="(",LEFT(IFERROR(INDEX(醫師週班表!$C$5:$T$44,$CU17,BL$57),""),1),IFERROR(INDEX(醫師週班表!$C$5:$T$44,$CU17,BL$57),"")))))))</f>
        <v/>
      </c>
      <c r="BM17" s="71">
        <f>IF(BM$59="X","",IF(BM$59&lt;&gt;"",BM$59,IF(IFERROR(INDEX(醫師週班表!$C$5:$T$44,$CU17,BM$57),"")=0,"",IF(MID(IFERROR(INDEX(醫師週班表!$C$5:$T$44,$CU17,BM$57),""),2,1)="/",MID(IFERROR(INDEX(醫師週班表!$C$5:$T$44,$CU17,BM$57),""),1+BM$58*2,1),IF(MID(IFERROR(INDEX(醫師週班表!$C$5:$T$44,$CU17,BM$57),""),3,1)="隔",IF(BM$58=0,LEFT(IFERROR(INDEX(醫師週班表!$C$5:$T$44,$CU17,BM$57),""),1),""),IF(MID(IFERROR(INDEX(醫師週班表!$C$5:$T$44,$CU17,BM$57),""),2,1)="(",LEFT(IFERROR(INDEX(醫師週班表!$C$5:$T$44,$CU17,BM$57),""),1),IFERROR(INDEX(醫師週班表!$C$5:$T$44,$CU17,BM$57),"")))))))</f>
        <v/>
      </c>
      <c r="BN17" s="72">
        <f>IF(BN$59="X","",IF(BN$59&lt;&gt;"",BN$59,IF(IFERROR(INDEX(醫師週班表!$C$5:$T$44,$CU17,BN$57),"")=0,"",IF(MID(IFERROR(INDEX(醫師週班表!$C$5:$T$44,$CU17,BN$57),""),2,1)="/",MID(IFERROR(INDEX(醫師週班表!$C$5:$T$44,$CU17,BN$57),""),1+BN$58*2,1),IF(MID(IFERROR(INDEX(醫師週班表!$C$5:$T$44,$CU17,BN$57),""),3,1)="隔",IF(BN$58=0,LEFT(IFERROR(INDEX(醫師週班表!$C$5:$T$44,$CU17,BN$57),""),1),""),IF(MID(IFERROR(INDEX(醫師週班表!$C$5:$T$44,$CU17,BN$57),""),2,1)="(",LEFT(IFERROR(INDEX(醫師週班表!$C$5:$T$44,$CU17,BN$57),""),1),IFERROR(INDEX(醫師週班表!$C$5:$T$44,$CU17,BN$57),"")))))))</f>
        <v/>
      </c>
      <c r="BO17" s="72">
        <f>IF(BO$59="X","",IF(BO$59&lt;&gt;"",BO$59,IF(IFERROR(INDEX(醫師週班表!$C$5:$T$44,$CU17,BO$57),"")=0,"",IF(MID(IFERROR(INDEX(醫師週班表!$C$5:$T$44,$CU17,BO$57),""),2,1)="/",MID(IFERROR(INDEX(醫師週班表!$C$5:$T$44,$CU17,BO$57),""),1+BO$58*2,1),IF(MID(IFERROR(INDEX(醫師週班表!$C$5:$T$44,$CU17,BO$57),""),3,1)="隔",IF(BO$58=0,LEFT(IFERROR(INDEX(醫師週班表!$C$5:$T$44,$CU17,BO$57),""),1),""),IF(MID(IFERROR(INDEX(醫師週班表!$C$5:$T$44,$CU17,BO$57),""),2,1)="(",LEFT(IFERROR(INDEX(醫師週班表!$C$5:$T$44,$CU17,BO$57),""),1),IFERROR(INDEX(醫師週班表!$C$5:$T$44,$CU17,BO$57),"")))))))</f>
        <v/>
      </c>
      <c r="BP17" s="71">
        <f>IF(BP$59="X","",IF(BP$59&lt;&gt;"",BP$59,IF(IFERROR(INDEX(醫師週班表!$C$5:$T$44,$CU17,BP$57),"")=0,"",IF(MID(IFERROR(INDEX(醫師週班表!$C$5:$T$44,$CU17,BP$57),""),2,1)="/",MID(IFERROR(INDEX(醫師週班表!$C$5:$T$44,$CU17,BP$57),""),1+BP$58*2,1),IF(MID(IFERROR(INDEX(醫師週班表!$C$5:$T$44,$CU17,BP$57),""),3,1)="隔",IF(BP$58=0,LEFT(IFERROR(INDEX(醫師週班表!$C$5:$T$44,$CU17,BP$57),""),1),""),IF(MID(IFERROR(INDEX(醫師週班表!$C$5:$T$44,$CU17,BP$57),""),2,1)="(",LEFT(IFERROR(INDEX(醫師週班表!$C$5:$T$44,$CU17,BP$57),""),1),IFERROR(INDEX(醫師週班表!$C$5:$T$44,$CU17,BP$57),"")))))))</f>
        <v/>
      </c>
      <c r="BQ17" s="72">
        <f>IF(BQ$59="X","",IF(BQ$59&lt;&gt;"",BQ$59,IF(IFERROR(INDEX(醫師週班表!$C$5:$T$44,$CU17,BQ$57),"")=0,"",IF(MID(IFERROR(INDEX(醫師週班表!$C$5:$T$44,$CU17,BQ$57),""),2,1)="/",MID(IFERROR(INDEX(醫師週班表!$C$5:$T$44,$CU17,BQ$57),""),1+BQ$58*2,1),IF(MID(IFERROR(INDEX(醫師週班表!$C$5:$T$44,$CU17,BQ$57),""),3,1)="隔",IF(BQ$58=0,LEFT(IFERROR(INDEX(醫師週班表!$C$5:$T$44,$CU17,BQ$57),""),1),""),IF(MID(IFERROR(INDEX(醫師週班表!$C$5:$T$44,$CU17,BQ$57),""),2,1)="(",LEFT(IFERROR(INDEX(醫師週班表!$C$5:$T$44,$CU17,BQ$57),""),1),IFERROR(INDEX(醫師週班表!$C$5:$T$44,$CU17,BQ$57),"")))))))</f>
        <v/>
      </c>
      <c r="BR17" s="72">
        <f>IF(BR$59="X","",IF(BR$59&lt;&gt;"",BR$59,IF(IFERROR(INDEX(醫師週班表!$C$5:$T$44,$CU17,BR$57),"")=0,"",IF(MID(IFERROR(INDEX(醫師週班表!$C$5:$T$44,$CU17,BR$57),""),2,1)="/",MID(IFERROR(INDEX(醫師週班表!$C$5:$T$44,$CU17,BR$57),""),1+BR$58*2,1),IF(MID(IFERROR(INDEX(醫師週班表!$C$5:$T$44,$CU17,BR$57),""),3,1)="隔",IF(BR$58=0,LEFT(IFERROR(INDEX(醫師週班表!$C$5:$T$44,$CU17,BR$57),""),1),""),IF(MID(IFERROR(INDEX(醫師週班表!$C$5:$T$44,$CU17,BR$57),""),2,1)="(",LEFT(IFERROR(INDEX(醫師週班表!$C$5:$T$44,$CU17,BR$57),""),1),IFERROR(INDEX(醫師週班表!$C$5:$T$44,$CU17,BR$57),"")))))))</f>
        <v/>
      </c>
      <c r="BS17" s="71">
        <f>IF(BS$59="X","",IF(BS$59&lt;&gt;"",BS$59,IF(IFERROR(INDEX(醫師週班表!$C$5:$T$44,$CU17,BS$57),"")=0,"",IF(MID(IFERROR(INDEX(醫師週班表!$C$5:$T$44,$CU17,BS$57),""),2,1)="/",MID(IFERROR(INDEX(醫師週班表!$C$5:$T$44,$CU17,BS$57),""),1+BS$58*2,1),IF(MID(IFERROR(INDEX(醫師週班表!$C$5:$T$44,$CU17,BS$57),""),3,1)="隔",IF(BS$58=0,LEFT(IFERROR(INDEX(醫師週班表!$C$5:$T$44,$CU17,BS$57),""),1),""),IF(MID(IFERROR(INDEX(醫師週班表!$C$5:$T$44,$CU17,BS$57),""),2,1)="(",LEFT(IFERROR(INDEX(醫師週班表!$C$5:$T$44,$CU17,BS$57),""),1),IFERROR(INDEX(醫師週班表!$C$5:$T$44,$CU17,BS$57),"")))))))</f>
        <v/>
      </c>
      <c r="BT17" s="72">
        <f>IF(BT$59="X","",IF(BT$59&lt;&gt;"",BT$59,IF(IFERROR(INDEX(醫師週班表!$C$5:$T$44,$CU17,BT$57),"")=0,"",IF(MID(IFERROR(INDEX(醫師週班表!$C$5:$T$44,$CU17,BT$57),""),2,1)="/",MID(IFERROR(INDEX(醫師週班表!$C$5:$T$44,$CU17,BT$57),""),1+BT$58*2,1),IF(MID(IFERROR(INDEX(醫師週班表!$C$5:$T$44,$CU17,BT$57),""),3,1)="隔",IF(BT$58=0,LEFT(IFERROR(INDEX(醫師週班表!$C$5:$T$44,$CU17,BT$57),""),1),""),IF(MID(IFERROR(INDEX(醫師週班表!$C$5:$T$44,$CU17,BT$57),""),2,1)="(",LEFT(IFERROR(INDEX(醫師週班表!$C$5:$T$44,$CU17,BT$57),""),1),IFERROR(INDEX(醫師週班表!$C$5:$T$44,$CU17,BT$57),"")))))))</f>
        <v/>
      </c>
      <c r="BU17" s="72">
        <f>IF(BU$59="X","",IF(BU$59&lt;&gt;"",BU$59,IF(IFERROR(INDEX(醫師週班表!$C$5:$T$44,$CU17,BU$57),"")=0,"",IF(MID(IFERROR(INDEX(醫師週班表!$C$5:$T$44,$CU17,BU$57),""),2,1)="/",MID(IFERROR(INDEX(醫師週班表!$C$5:$T$44,$CU17,BU$57),""),1+BU$58*2,1),IF(MID(IFERROR(INDEX(醫師週班表!$C$5:$T$44,$CU17,BU$57),""),3,1)="隔",IF(BU$58=0,LEFT(IFERROR(INDEX(醫師週班表!$C$5:$T$44,$CU17,BU$57),""),1),""),IF(MID(IFERROR(INDEX(醫師週班表!$C$5:$T$44,$CU17,BU$57),""),2,1)="(",LEFT(IFERROR(INDEX(醫師週班表!$C$5:$T$44,$CU17,BU$57),""),1),IFERROR(INDEX(醫師週班表!$C$5:$T$44,$CU17,BU$57),"")))))))</f>
        <v/>
      </c>
      <c r="BV17" s="71">
        <f>IF(BV$59="X","",IF(BV$59&lt;&gt;"",BV$59,IF(IFERROR(INDEX(醫師週班表!$C$5:$T$44,$CU17,BV$57),"")=0,"",IF(MID(IFERROR(INDEX(醫師週班表!$C$5:$T$44,$CU17,BV$57),""),2,1)="/",MID(IFERROR(INDEX(醫師週班表!$C$5:$T$44,$CU17,BV$57),""),1+BV$58*2,1),IF(MID(IFERROR(INDEX(醫師週班表!$C$5:$T$44,$CU17,BV$57),""),3,1)="隔",IF(BV$58=0,LEFT(IFERROR(INDEX(醫師週班表!$C$5:$T$44,$CU17,BV$57),""),1),""),IF(MID(IFERROR(INDEX(醫師週班表!$C$5:$T$44,$CU17,BV$57),""),2,1)="(",LEFT(IFERROR(INDEX(醫師週班表!$C$5:$T$44,$CU17,BV$57),""),1),IFERROR(INDEX(醫師週班表!$C$5:$T$44,$CU17,BV$57),"")))))))</f>
        <v/>
      </c>
      <c r="BW17" s="72">
        <f>IF(BW$59="X","",IF(BW$59&lt;&gt;"",BW$59,IF(IFERROR(INDEX(醫師週班表!$C$5:$T$44,$CU17,BW$57),"")=0,"",IF(MID(IFERROR(INDEX(醫師週班表!$C$5:$T$44,$CU17,BW$57),""),2,1)="/",MID(IFERROR(INDEX(醫師週班表!$C$5:$T$44,$CU17,BW$57),""),1+BW$58*2,1),IF(MID(IFERROR(INDEX(醫師週班表!$C$5:$T$44,$CU17,BW$57),""),3,1)="隔",IF(BW$58=0,LEFT(IFERROR(INDEX(醫師週班表!$C$5:$T$44,$CU17,BW$57),""),1),""),IF(MID(IFERROR(INDEX(醫師週班表!$C$5:$T$44,$CU17,BW$57),""),2,1)="(",LEFT(IFERROR(INDEX(醫師週班表!$C$5:$T$44,$CU17,BW$57),""),1),IFERROR(INDEX(醫師週班表!$C$5:$T$44,$CU17,BW$57),"")))))))</f>
        <v/>
      </c>
      <c r="BX17" s="72">
        <f>IF(BX$59="X","",IF(BX$59&lt;&gt;"",BX$59,IF(IFERROR(INDEX(醫師週班表!$C$5:$T$44,$CU17,BX$57),"")=0,"",IF(MID(IFERROR(INDEX(醫師週班表!$C$5:$T$44,$CU17,BX$57),""),2,1)="/",MID(IFERROR(INDEX(醫師週班表!$C$5:$T$44,$CU17,BX$57),""),1+BX$58*2,1),IF(MID(IFERROR(INDEX(醫師週班表!$C$5:$T$44,$CU17,BX$57),""),3,1)="隔",IF(BX$58=0,LEFT(IFERROR(INDEX(醫師週班表!$C$5:$T$44,$CU17,BX$57),""),1),""),IF(MID(IFERROR(INDEX(醫師週班表!$C$5:$T$44,$CU17,BX$57),""),2,1)="(",LEFT(IFERROR(INDEX(醫師週班表!$C$5:$T$44,$CU17,BX$57),""),1),IFERROR(INDEX(醫師週班表!$C$5:$T$44,$CU17,BX$57),"")))))))</f>
        <v/>
      </c>
      <c r="BY17" s="71">
        <f>IF(BY$59="X","",IF(BY$59&lt;&gt;"",BY$59,IF(IFERROR(INDEX(醫師週班表!$C$5:$T$44,$CU17,BY$57),"")=0,"",IF(MID(IFERROR(INDEX(醫師週班表!$C$5:$T$44,$CU17,BY$57),""),2,1)="/",MID(IFERROR(INDEX(醫師週班表!$C$5:$T$44,$CU17,BY$57),""),1+BY$58*2,1),IF(MID(IFERROR(INDEX(醫師週班表!$C$5:$T$44,$CU17,BY$57),""),3,1)="隔",IF(BY$58=0,LEFT(IFERROR(INDEX(醫師週班表!$C$5:$T$44,$CU17,BY$57),""),1),""),IF(MID(IFERROR(INDEX(醫師週班表!$C$5:$T$44,$CU17,BY$57),""),2,1)="(",LEFT(IFERROR(INDEX(醫師週班表!$C$5:$T$44,$CU17,BY$57),""),1),IFERROR(INDEX(醫師週班表!$C$5:$T$44,$CU17,BY$57),"")))))))</f>
        <v/>
      </c>
      <c r="BZ17" s="72">
        <f>IF(BZ$59="X","",IF(BZ$59&lt;&gt;"",BZ$59,IF(IFERROR(INDEX(醫師週班表!$C$5:$T$44,$CU17,BZ$57),"")=0,"",IF(MID(IFERROR(INDEX(醫師週班表!$C$5:$T$44,$CU17,BZ$57),""),2,1)="/",MID(IFERROR(INDEX(醫師週班表!$C$5:$T$44,$CU17,BZ$57),""),1+BZ$58*2,1),IF(MID(IFERROR(INDEX(醫師週班表!$C$5:$T$44,$CU17,BZ$57),""),3,1)="隔",IF(BZ$58=0,LEFT(IFERROR(INDEX(醫師週班表!$C$5:$T$44,$CU17,BZ$57),""),1),""),IF(MID(IFERROR(INDEX(醫師週班表!$C$5:$T$44,$CU17,BZ$57),""),2,1)="(",LEFT(IFERROR(INDEX(醫師週班表!$C$5:$T$44,$CU17,BZ$57),""),1),IFERROR(INDEX(醫師週班表!$C$5:$T$44,$CU17,BZ$57),"")))))))</f>
        <v/>
      </c>
      <c r="CA17" s="72">
        <f>IF(CA$59="X","",IF(CA$59&lt;&gt;"",CA$59,IF(IFERROR(INDEX(醫師週班表!$C$5:$T$44,$CU17,CA$57),"")=0,"",IF(MID(IFERROR(INDEX(醫師週班表!$C$5:$T$44,$CU17,CA$57),""),2,1)="/",MID(IFERROR(INDEX(醫師週班表!$C$5:$T$44,$CU17,CA$57),""),1+CA$58*2,1),IF(MID(IFERROR(INDEX(醫師週班表!$C$5:$T$44,$CU17,CA$57),""),3,1)="隔",IF(CA$58=0,LEFT(IFERROR(INDEX(醫師週班表!$C$5:$T$44,$CU17,CA$57),""),1),""),IF(MID(IFERROR(INDEX(醫師週班表!$C$5:$T$44,$CU17,CA$57),""),2,1)="(",LEFT(IFERROR(INDEX(醫師週班表!$C$5:$T$44,$CU17,CA$57),""),1),IFERROR(INDEX(醫師週班表!$C$5:$T$44,$CU17,CA$57),"")))))))</f>
        <v/>
      </c>
      <c r="CB17" s="71">
        <f>IF(CB$59="X","",IF(CB$59&lt;&gt;"",CB$59,IF(IFERROR(INDEX(醫師週班表!$C$5:$T$44,$CU17,CB$57),"")=0,"",IF(MID(IFERROR(INDEX(醫師週班表!$C$5:$T$44,$CU17,CB$57),""),2,1)="/",MID(IFERROR(INDEX(醫師週班表!$C$5:$T$44,$CU17,CB$57),""),1+CB$58*2,1),IF(MID(IFERROR(INDEX(醫師週班表!$C$5:$T$44,$CU17,CB$57),""),3,1)="隔",IF(CB$58=0,LEFT(IFERROR(INDEX(醫師週班表!$C$5:$T$44,$CU17,CB$57),""),1),""),IF(MID(IFERROR(INDEX(醫師週班表!$C$5:$T$44,$CU17,CB$57),""),2,1)="(",LEFT(IFERROR(INDEX(醫師週班表!$C$5:$T$44,$CU17,CB$57),""),1),IFERROR(INDEX(醫師週班表!$C$5:$T$44,$CU17,CB$57),"")))))))</f>
        <v/>
      </c>
      <c r="CC17" s="72">
        <f>IF(CC$59="X","",IF(CC$59&lt;&gt;"",CC$59,IF(IFERROR(INDEX(醫師週班表!$C$5:$T$44,$CU17,CC$57),"")=0,"",IF(MID(IFERROR(INDEX(醫師週班表!$C$5:$T$44,$CU17,CC$57),""),2,1)="/",MID(IFERROR(INDEX(醫師週班表!$C$5:$T$44,$CU17,CC$57),""),1+CC$58*2,1),IF(MID(IFERROR(INDEX(醫師週班表!$C$5:$T$44,$CU17,CC$57),""),3,1)="隔",IF(CC$58=0,LEFT(IFERROR(INDEX(醫師週班表!$C$5:$T$44,$CU17,CC$57),""),1),""),IF(MID(IFERROR(INDEX(醫師週班表!$C$5:$T$44,$CU17,CC$57),""),2,1)="(",LEFT(IFERROR(INDEX(醫師週班表!$C$5:$T$44,$CU17,CC$57),""),1),IFERROR(INDEX(醫師週班表!$C$5:$T$44,$CU17,CC$57),"")))))))</f>
        <v/>
      </c>
      <c r="CD17" s="72">
        <f>IF(CD$59="X","",IF(CD$59&lt;&gt;"",CD$59,IF(IFERROR(INDEX(醫師週班表!$C$5:$T$44,$CU17,CD$57),"")=0,"",IF(MID(IFERROR(INDEX(醫師週班表!$C$5:$T$44,$CU17,CD$57),""),2,1)="/",MID(IFERROR(INDEX(醫師週班表!$C$5:$T$44,$CU17,CD$57),""),1+CD$58*2,1),IF(MID(IFERROR(INDEX(醫師週班表!$C$5:$T$44,$CU17,CD$57),""),3,1)="隔",IF(CD$58=0,LEFT(IFERROR(INDEX(醫師週班表!$C$5:$T$44,$CU17,CD$57),""),1),""),IF(MID(IFERROR(INDEX(醫師週班表!$C$5:$T$44,$CU17,CD$57),""),2,1)="(",LEFT(IFERROR(INDEX(醫師週班表!$C$5:$T$44,$CU17,CD$57),""),1),IFERROR(INDEX(醫師週班表!$C$5:$T$44,$CU17,CD$57),"")))))))</f>
        <v/>
      </c>
      <c r="CE17" s="71">
        <f>IF(CE$59="X","",IF(CE$59&lt;&gt;"",CE$59,IF(IFERROR(INDEX(醫師週班表!$C$5:$T$44,$CU17,CE$57),"")=0,"",IF(MID(IFERROR(INDEX(醫師週班表!$C$5:$T$44,$CU17,CE$57),""),2,1)="/",MID(IFERROR(INDEX(醫師週班表!$C$5:$T$44,$CU17,CE$57),""),1+CE$58*2,1),IF(MID(IFERROR(INDEX(醫師週班表!$C$5:$T$44,$CU17,CE$57),""),3,1)="隔",IF(CE$58=0,LEFT(IFERROR(INDEX(醫師週班表!$C$5:$T$44,$CU17,CE$57),""),1),""),IF(MID(IFERROR(INDEX(醫師週班表!$C$5:$T$44,$CU17,CE$57),""),2,1)="(",LEFT(IFERROR(INDEX(醫師週班表!$C$5:$T$44,$CU17,CE$57),""),1),IFERROR(INDEX(醫師週班表!$C$5:$T$44,$CU17,CE$57),"")))))))</f>
        <v/>
      </c>
      <c r="CF17" s="72">
        <f>IF(CF$59="X","",IF(CF$59&lt;&gt;"",CF$59,IF(IFERROR(INDEX(醫師週班表!$C$5:$T$44,$CU17,CF$57),"")=0,"",IF(MID(IFERROR(INDEX(醫師週班表!$C$5:$T$44,$CU17,CF$57),""),2,1)="/",MID(IFERROR(INDEX(醫師週班表!$C$5:$T$44,$CU17,CF$57),""),1+CF$58*2,1),IF(MID(IFERROR(INDEX(醫師週班表!$C$5:$T$44,$CU17,CF$57),""),3,1)="隔",IF(CF$58=0,LEFT(IFERROR(INDEX(醫師週班表!$C$5:$T$44,$CU17,CF$57),""),1),""),IF(MID(IFERROR(INDEX(醫師週班表!$C$5:$T$44,$CU17,CF$57),""),2,1)="(",LEFT(IFERROR(INDEX(醫師週班表!$C$5:$T$44,$CU17,CF$57),""),1),IFERROR(INDEX(醫師週班表!$C$5:$T$44,$CU17,CF$57),"")))))))</f>
        <v/>
      </c>
      <c r="CG17" s="72">
        <f>IF(CG$59="X","",IF(CG$59&lt;&gt;"",CG$59,IF(IFERROR(INDEX(醫師週班表!$C$5:$T$44,$CU17,CG$57),"")=0,"",IF(MID(IFERROR(INDEX(醫師週班表!$C$5:$T$44,$CU17,CG$57),""),2,1)="/",MID(IFERROR(INDEX(醫師週班表!$C$5:$T$44,$CU17,CG$57),""),1+CG$58*2,1),IF(MID(IFERROR(INDEX(醫師週班表!$C$5:$T$44,$CU17,CG$57),""),3,1)="隔",IF(CG$58=0,LEFT(IFERROR(INDEX(醫師週班表!$C$5:$T$44,$CU17,CG$57),""),1),""),IF(MID(IFERROR(INDEX(醫師週班表!$C$5:$T$44,$CU17,CG$57),""),2,1)="(",LEFT(IFERROR(INDEX(醫師週班表!$C$5:$T$44,$CU17,CG$57),""),1),IFERROR(INDEX(醫師週班表!$C$5:$T$44,$CU17,CG$57),"")))))))</f>
        <v/>
      </c>
      <c r="CH17" s="71">
        <f>IF(CH$59="X","",IF(CH$59&lt;&gt;"",CH$59,IF(IFERROR(INDEX(醫師週班表!$C$5:$T$44,$CU17,CH$57),"")=0,"",IF(MID(IFERROR(INDEX(醫師週班表!$C$5:$T$44,$CU17,CH$57),""),2,1)="/",MID(IFERROR(INDEX(醫師週班表!$C$5:$T$44,$CU17,CH$57),""),1+CH$58*2,1),IF(MID(IFERROR(INDEX(醫師週班表!$C$5:$T$44,$CU17,CH$57),""),3,1)="隔",IF(CH$58=0,LEFT(IFERROR(INDEX(醫師週班表!$C$5:$T$44,$CU17,CH$57),""),1),""),IF(MID(IFERROR(INDEX(醫師週班表!$C$5:$T$44,$CU17,CH$57),""),2,1)="(",LEFT(IFERROR(INDEX(醫師週班表!$C$5:$T$44,$CU17,CH$57),""),1),IFERROR(INDEX(醫師週班表!$C$5:$T$44,$CU17,CH$57),"")))))))</f>
        <v/>
      </c>
      <c r="CI17" s="72">
        <f>IF(CI$59="X","",IF(CI$59&lt;&gt;"",CI$59,IF(IFERROR(INDEX(醫師週班表!$C$5:$T$44,$CU17,CI$57),"")=0,"",IF(MID(IFERROR(INDEX(醫師週班表!$C$5:$T$44,$CU17,CI$57),""),2,1)="/",MID(IFERROR(INDEX(醫師週班表!$C$5:$T$44,$CU17,CI$57),""),1+CI$58*2,1),IF(MID(IFERROR(INDEX(醫師週班表!$C$5:$T$44,$CU17,CI$57),""),3,1)="隔",IF(CI$58=0,LEFT(IFERROR(INDEX(醫師週班表!$C$5:$T$44,$CU17,CI$57),""),1),""),IF(MID(IFERROR(INDEX(醫師週班表!$C$5:$T$44,$CU17,CI$57),""),2,1)="(",LEFT(IFERROR(INDEX(醫師週班表!$C$5:$T$44,$CU17,CI$57),""),1),IFERROR(INDEX(醫師週班表!$C$5:$T$44,$CU17,CI$57),"")))))))</f>
        <v/>
      </c>
      <c r="CJ17" s="72">
        <f>IF(CJ$59="X","",IF(CJ$59&lt;&gt;"",CJ$59,IF(IFERROR(INDEX(醫師週班表!$C$5:$T$44,$CU17,CJ$57),"")=0,"",IF(MID(IFERROR(INDEX(醫師週班表!$C$5:$T$44,$CU17,CJ$57),""),2,1)="/",MID(IFERROR(INDEX(醫師週班表!$C$5:$T$44,$CU17,CJ$57),""),1+CJ$58*2,1),IF(MID(IFERROR(INDEX(醫師週班表!$C$5:$T$44,$CU17,CJ$57),""),3,1)="隔",IF(CJ$58=0,LEFT(IFERROR(INDEX(醫師週班表!$C$5:$T$44,$CU17,CJ$57),""),1),""),IF(MID(IFERROR(INDEX(醫師週班表!$C$5:$T$44,$CU17,CJ$57),""),2,1)="(",LEFT(IFERROR(INDEX(醫師週班表!$C$5:$T$44,$CU17,CJ$57),""),1),IFERROR(INDEX(醫師週班表!$C$5:$T$44,$CU17,CJ$57),"")))))))</f>
        <v/>
      </c>
      <c r="CK17" s="71">
        <f>IF(CK$59="X","",IF(CK$59&lt;&gt;"",CK$59,IF(IFERROR(INDEX(醫師週班表!$C$5:$T$44,$CU17,CK$57),"")=0,"",IF(MID(IFERROR(INDEX(醫師週班表!$C$5:$T$44,$CU17,CK$57),""),2,1)="/",MID(IFERROR(INDEX(醫師週班表!$C$5:$T$44,$CU17,CK$57),""),1+CK$58*2,1),IF(MID(IFERROR(INDEX(醫師週班表!$C$5:$T$44,$CU17,CK$57),""),3,1)="隔",IF(CK$58=0,LEFT(IFERROR(INDEX(醫師週班表!$C$5:$T$44,$CU17,CK$57),""),1),""),IF(MID(IFERROR(INDEX(醫師週班表!$C$5:$T$44,$CU17,CK$57),""),2,1)="(",LEFT(IFERROR(INDEX(醫師週班表!$C$5:$T$44,$CU17,CK$57),""),1),IFERROR(INDEX(醫師週班表!$C$5:$T$44,$CU17,CK$57),"")))))))</f>
        <v/>
      </c>
      <c r="CL17" s="72">
        <f>IF(CL$59="X","",IF(CL$59&lt;&gt;"",CL$59,IF(IFERROR(INDEX(醫師週班表!$C$5:$T$44,$CU17,CL$57),"")=0,"",IF(MID(IFERROR(INDEX(醫師週班表!$C$5:$T$44,$CU17,CL$57),""),2,1)="/",MID(IFERROR(INDEX(醫師週班表!$C$5:$T$44,$CU17,CL$57),""),1+CL$58*2,1),IF(MID(IFERROR(INDEX(醫師週班表!$C$5:$T$44,$CU17,CL$57),""),3,1)="隔",IF(CL$58=0,LEFT(IFERROR(INDEX(醫師週班表!$C$5:$T$44,$CU17,CL$57),""),1),""),IF(MID(IFERROR(INDEX(醫師週班表!$C$5:$T$44,$CU17,CL$57),""),2,1)="(",LEFT(IFERROR(INDEX(醫師週班表!$C$5:$T$44,$CU17,CL$57),""),1),IFERROR(INDEX(醫師週班表!$C$5:$T$44,$CU17,CL$57),"")))))))</f>
        <v/>
      </c>
      <c r="CM17" s="72">
        <f>IF(CM$59="X","",IF(CM$59&lt;&gt;"",CM$59,IF(IFERROR(INDEX(醫師週班表!$C$5:$T$44,$CU17,CM$57),"")=0,"",IF(MID(IFERROR(INDEX(醫師週班表!$C$5:$T$44,$CU17,CM$57),""),2,1)="/",MID(IFERROR(INDEX(醫師週班表!$C$5:$T$44,$CU17,CM$57),""),1+CM$58*2,1),IF(MID(IFERROR(INDEX(醫師週班表!$C$5:$T$44,$CU17,CM$57),""),3,1)="隔",IF(CM$58=0,LEFT(IFERROR(INDEX(醫師週班表!$C$5:$T$44,$CU17,CM$57),""),1),""),IF(MID(IFERROR(INDEX(醫師週班表!$C$5:$T$44,$CU17,CM$57),""),2,1)="(",LEFT(IFERROR(INDEX(醫師週班表!$C$5:$T$44,$CU17,CM$57),""),1),IFERROR(INDEX(醫師週班表!$C$5:$T$44,$CU17,CM$57),"")))))))</f>
        <v/>
      </c>
      <c r="CN17" s="71">
        <f>IF(CN$59="X","",IF(CN$59&lt;&gt;"",CN$59,IF(IFERROR(INDEX(醫師週班表!$C$5:$T$44,$CU17,CN$57),"")=0,"",IF(MID(IFERROR(INDEX(醫師週班表!$C$5:$T$44,$CU17,CN$57),""),2,1)="/",MID(IFERROR(INDEX(醫師週班表!$C$5:$T$44,$CU17,CN$57),""),1+CN$58*2,1),IF(MID(IFERROR(INDEX(醫師週班表!$C$5:$T$44,$CU17,CN$57),""),3,1)="隔",IF(CN$58=0,LEFT(IFERROR(INDEX(醫師週班表!$C$5:$T$44,$CU17,CN$57),""),1),""),IF(MID(IFERROR(INDEX(醫師週班表!$C$5:$T$44,$CU17,CN$57),""),2,1)="(",LEFT(IFERROR(INDEX(醫師週班表!$C$5:$T$44,$CU17,CN$57),""),1),IFERROR(INDEX(醫師週班表!$C$5:$T$44,$CU17,CN$57),"")))))))</f>
        <v/>
      </c>
      <c r="CO17" s="72">
        <f>IF(CO$59="X","",IF(CO$59&lt;&gt;"",CO$59,IF(IFERROR(INDEX(醫師週班表!$C$5:$T$44,$CU17,CO$57),"")=0,"",IF(MID(IFERROR(INDEX(醫師週班表!$C$5:$T$44,$CU17,CO$57),""),2,1)="/",MID(IFERROR(INDEX(醫師週班表!$C$5:$T$44,$CU17,CO$57),""),1+CO$58*2,1),IF(MID(IFERROR(INDEX(醫師週班表!$C$5:$T$44,$CU17,CO$57),""),3,1)="隔",IF(CO$58=0,LEFT(IFERROR(INDEX(醫師週班表!$C$5:$T$44,$CU17,CO$57),""),1),""),IF(MID(IFERROR(INDEX(醫師週班表!$C$5:$T$44,$CU17,CO$57),""),2,1)="(",LEFT(IFERROR(INDEX(醫師週班表!$C$5:$T$44,$CU17,CO$57),""),1),IFERROR(INDEX(醫師週班表!$C$5:$T$44,$CU17,CO$57),"")))))))</f>
        <v/>
      </c>
      <c r="CP17" s="72">
        <f>IF(CP$59="X","",IF(CP$59&lt;&gt;"",CP$59,IF(IFERROR(INDEX(醫師週班表!$C$5:$T$44,$CU17,CP$57),"")=0,"",IF(MID(IFERROR(INDEX(醫師週班表!$C$5:$T$44,$CU17,CP$57),""),2,1)="/",MID(IFERROR(INDEX(醫師週班表!$C$5:$T$44,$CU17,CP$57),""),1+CP$58*2,1),IF(MID(IFERROR(INDEX(醫師週班表!$C$5:$T$44,$CU17,CP$57),""),3,1)="隔",IF(CP$58=0,LEFT(IFERROR(INDEX(醫師週班表!$C$5:$T$44,$CU17,CP$57),""),1),""),IF(MID(IFERROR(INDEX(醫師週班表!$C$5:$T$44,$CU17,CP$57),""),2,1)="(",LEFT(IFERROR(INDEX(醫師週班表!$C$5:$T$44,$CU17,CP$57),""),1),IFERROR(INDEX(醫師週班表!$C$5:$T$44,$CU17,CP$57),"")))))))</f>
        <v/>
      </c>
      <c r="CQ17" s="71">
        <f>IF(CQ$59="X","",IF(CQ$59&lt;&gt;"",CQ$59,IF(IFERROR(INDEX(醫師週班表!$C$5:$T$44,$CU17,CQ$57),"")=0,"",IF(MID(IFERROR(INDEX(醫師週班表!$C$5:$T$44,$CU17,CQ$57),""),2,1)="/",MID(IFERROR(INDEX(醫師週班表!$C$5:$T$44,$CU17,CQ$57),""),1+CQ$58*2,1),IF(MID(IFERROR(INDEX(醫師週班表!$C$5:$T$44,$CU17,CQ$57),""),3,1)="隔",IF(CQ$58=0,LEFT(IFERROR(INDEX(醫師週班表!$C$5:$T$44,$CU17,CQ$57),""),1),""),IF(MID(IFERROR(INDEX(醫師週班表!$C$5:$T$44,$CU17,CQ$57),""),2,1)="(",LEFT(IFERROR(INDEX(醫師週班表!$C$5:$T$44,$CU17,CQ$57),""),1),IFERROR(INDEX(醫師週班表!$C$5:$T$44,$CU17,CQ$57),"")))))))</f>
        <v/>
      </c>
      <c r="CR17" s="72">
        <f>IF(CR$59="X","",IF(CR$59&lt;&gt;"",CR$59,IF(IFERROR(INDEX(醫師週班表!$C$5:$T$44,$CU17,CR$57),"")=0,"",IF(MID(IFERROR(INDEX(醫師週班表!$C$5:$T$44,$CU17,CR$57),""),2,1)="/",MID(IFERROR(INDEX(醫師週班表!$C$5:$T$44,$CU17,CR$57),""),1+CR$58*2,1),IF(MID(IFERROR(INDEX(醫師週班表!$C$5:$T$44,$CU17,CR$57),""),3,1)="隔",IF(CR$58=0,LEFT(IFERROR(INDEX(醫師週班表!$C$5:$T$44,$CU17,CR$57),""),1),""),IF(MID(IFERROR(INDEX(醫師週班表!$C$5:$T$44,$CU17,CR$57),""),2,1)="(",LEFT(IFERROR(INDEX(醫師週班表!$C$5:$T$44,$CU17,CR$57),""),1),IFERROR(INDEX(醫師週班表!$C$5:$T$44,$CU17,CR$57),"")))))))</f>
        <v/>
      </c>
      <c r="CS17" s="72">
        <f>IF(CS$59="X","",IF(CS$59&lt;&gt;"",CS$59,IF(IFERROR(INDEX(醫師週班表!$C$5:$T$44,$CU17,CS$57),"")=0,"",IF(MID(IFERROR(INDEX(醫師週班表!$C$5:$T$44,$CU17,CS$57),""),2,1)="/",MID(IFERROR(INDEX(醫師週班表!$C$5:$T$44,$CU17,CS$57),""),1+CS$58*2,1),IF(MID(IFERROR(INDEX(醫師週班表!$C$5:$T$44,$CU17,CS$57),""),3,1)="隔",IF(CS$58=0,LEFT(IFERROR(INDEX(醫師週班表!$C$5:$T$44,$CU17,CS$57),""),1),""),IF(MID(IFERROR(INDEX(醫師週班表!$C$5:$T$44,$CU17,CS$57),""),2,1)="(",LEFT(IFERROR(INDEX(醫師週班表!$C$5:$T$44,$CU17,CS$57),""),1),IFERROR(INDEX(醫師週班表!$C$5:$T$44,$CU17,CS$57),"")))))))</f>
        <v/>
      </c>
      <c r="CU17" s="73">
        <f>IFERROR(MATCH($A17,醫師週班表!$A$5:$A$44,0),0)</f>
        <v/>
      </c>
    </row>
    <row r="18" ht="17" customHeight="1">
      <c r="A18" s="19" t="inlineStr">
        <is>
          <t>D013</t>
        </is>
      </c>
      <c r="B18" s="16" t="inlineStr">
        <is>
          <t>朱柏非</t>
        </is>
      </c>
      <c r="C18" s="70" t="inlineStr"/>
      <c r="D18" s="16" t="inlineStr"/>
      <c r="E18" s="71">
        <f>IF(E$59="X","",IF(E$59&lt;&gt;"",E$59,IF(IFERROR(INDEX(醫師週班表!$C$5:$T$44,$CU18,E$57),"")=0,"",IF(MID(IFERROR(INDEX(醫師週班表!$C$5:$T$44,$CU18,E$57),""),2,1)="/",MID(IFERROR(INDEX(醫師週班表!$C$5:$T$44,$CU18,E$57),""),1+E$58*2,1),IF(MID(IFERROR(INDEX(醫師週班表!$C$5:$T$44,$CU18,E$57),""),3,1)="隔",IF(E$58=0,LEFT(IFERROR(INDEX(醫師週班表!$C$5:$T$44,$CU18,E$57),""),1),""),IF(MID(IFERROR(INDEX(醫師週班表!$C$5:$T$44,$CU18,E$57),""),2,1)="(",LEFT(IFERROR(INDEX(醫師週班表!$C$5:$T$44,$CU18,E$57),""),1),IFERROR(INDEX(醫師週班表!$C$5:$T$44,$CU18,E$57),"")))))))</f>
        <v/>
      </c>
      <c r="F18" s="72">
        <f>IF(F$59="X","",IF(F$59&lt;&gt;"",F$59,IF(IFERROR(INDEX(醫師週班表!$C$5:$T$44,$CU18,F$57),"")=0,"",IF(MID(IFERROR(INDEX(醫師週班表!$C$5:$T$44,$CU18,F$57),""),2,1)="/",MID(IFERROR(INDEX(醫師週班表!$C$5:$T$44,$CU18,F$57),""),1+F$58*2,1),IF(MID(IFERROR(INDEX(醫師週班表!$C$5:$T$44,$CU18,F$57),""),3,1)="隔",IF(F$58=0,LEFT(IFERROR(INDEX(醫師週班表!$C$5:$T$44,$CU18,F$57),""),1),""),IF(MID(IFERROR(INDEX(醫師週班表!$C$5:$T$44,$CU18,F$57),""),2,1)="(",LEFT(IFERROR(INDEX(醫師週班表!$C$5:$T$44,$CU18,F$57),""),1),IFERROR(INDEX(醫師週班表!$C$5:$T$44,$CU18,F$57),"")))))))</f>
        <v/>
      </c>
      <c r="G18" s="72">
        <f>IF(G$59="X","",IF(G$59&lt;&gt;"",G$59,IF(IFERROR(INDEX(醫師週班表!$C$5:$T$44,$CU18,G$57),"")=0,"",IF(MID(IFERROR(INDEX(醫師週班表!$C$5:$T$44,$CU18,G$57),""),2,1)="/",MID(IFERROR(INDEX(醫師週班表!$C$5:$T$44,$CU18,G$57),""),1+G$58*2,1),IF(MID(IFERROR(INDEX(醫師週班表!$C$5:$T$44,$CU18,G$57),""),3,1)="隔",IF(G$58=0,LEFT(IFERROR(INDEX(醫師週班表!$C$5:$T$44,$CU18,G$57),""),1),""),IF(MID(IFERROR(INDEX(醫師週班表!$C$5:$T$44,$CU18,G$57),""),2,1)="(",LEFT(IFERROR(INDEX(醫師週班表!$C$5:$T$44,$CU18,G$57),""),1),IFERROR(INDEX(醫師週班表!$C$5:$T$44,$CU18,G$57),"")))))))</f>
        <v/>
      </c>
      <c r="H18" s="71">
        <f>IF(H$59="X","",IF(H$59&lt;&gt;"",H$59,IF(IFERROR(INDEX(醫師週班表!$C$5:$T$44,$CU18,H$57),"")=0,"",IF(MID(IFERROR(INDEX(醫師週班表!$C$5:$T$44,$CU18,H$57),""),2,1)="/",MID(IFERROR(INDEX(醫師週班表!$C$5:$T$44,$CU18,H$57),""),1+H$58*2,1),IF(MID(IFERROR(INDEX(醫師週班表!$C$5:$T$44,$CU18,H$57),""),3,1)="隔",IF(H$58=0,LEFT(IFERROR(INDEX(醫師週班表!$C$5:$T$44,$CU18,H$57),""),1),""),IF(MID(IFERROR(INDEX(醫師週班表!$C$5:$T$44,$CU18,H$57),""),2,1)="(",LEFT(IFERROR(INDEX(醫師週班表!$C$5:$T$44,$CU18,H$57),""),1),IFERROR(INDEX(醫師週班表!$C$5:$T$44,$CU18,H$57),"")))))))</f>
        <v/>
      </c>
      <c r="I18" s="72">
        <f>IF(I$59="X","",IF(I$59&lt;&gt;"",I$59,IF(IFERROR(INDEX(醫師週班表!$C$5:$T$44,$CU18,I$57),"")=0,"",IF(MID(IFERROR(INDEX(醫師週班表!$C$5:$T$44,$CU18,I$57),""),2,1)="/",MID(IFERROR(INDEX(醫師週班表!$C$5:$T$44,$CU18,I$57),""),1+I$58*2,1),IF(MID(IFERROR(INDEX(醫師週班表!$C$5:$T$44,$CU18,I$57),""),3,1)="隔",IF(I$58=0,LEFT(IFERROR(INDEX(醫師週班表!$C$5:$T$44,$CU18,I$57),""),1),""),IF(MID(IFERROR(INDEX(醫師週班表!$C$5:$T$44,$CU18,I$57),""),2,1)="(",LEFT(IFERROR(INDEX(醫師週班表!$C$5:$T$44,$CU18,I$57),""),1),IFERROR(INDEX(醫師週班表!$C$5:$T$44,$CU18,I$57),"")))))))</f>
        <v/>
      </c>
      <c r="J18" s="72">
        <f>IF(J$59="X","",IF(J$59&lt;&gt;"",J$59,IF(IFERROR(INDEX(醫師週班表!$C$5:$T$44,$CU18,J$57),"")=0,"",IF(MID(IFERROR(INDEX(醫師週班表!$C$5:$T$44,$CU18,J$57),""),2,1)="/",MID(IFERROR(INDEX(醫師週班表!$C$5:$T$44,$CU18,J$57),""),1+J$58*2,1),IF(MID(IFERROR(INDEX(醫師週班表!$C$5:$T$44,$CU18,J$57),""),3,1)="隔",IF(J$58=0,LEFT(IFERROR(INDEX(醫師週班表!$C$5:$T$44,$CU18,J$57),""),1),""),IF(MID(IFERROR(INDEX(醫師週班表!$C$5:$T$44,$CU18,J$57),""),2,1)="(",LEFT(IFERROR(INDEX(醫師週班表!$C$5:$T$44,$CU18,J$57),""),1),IFERROR(INDEX(醫師週班表!$C$5:$T$44,$CU18,J$57),"")))))))</f>
        <v/>
      </c>
      <c r="K18" s="71">
        <f>IF(K$59="X","",IF(K$59&lt;&gt;"",K$59,IF(IFERROR(INDEX(醫師週班表!$C$5:$T$44,$CU18,K$57),"")=0,"",IF(MID(IFERROR(INDEX(醫師週班表!$C$5:$T$44,$CU18,K$57),""),2,1)="/",MID(IFERROR(INDEX(醫師週班表!$C$5:$T$44,$CU18,K$57),""),1+K$58*2,1),IF(MID(IFERROR(INDEX(醫師週班表!$C$5:$T$44,$CU18,K$57),""),3,1)="隔",IF(K$58=0,LEFT(IFERROR(INDEX(醫師週班表!$C$5:$T$44,$CU18,K$57),""),1),""),IF(MID(IFERROR(INDEX(醫師週班表!$C$5:$T$44,$CU18,K$57),""),2,1)="(",LEFT(IFERROR(INDEX(醫師週班表!$C$5:$T$44,$CU18,K$57),""),1),IFERROR(INDEX(醫師週班表!$C$5:$T$44,$CU18,K$57),"")))))))</f>
        <v/>
      </c>
      <c r="L18" s="72">
        <f>IF(L$59="X","",IF(L$59&lt;&gt;"",L$59,IF(IFERROR(INDEX(醫師週班表!$C$5:$T$44,$CU18,L$57),"")=0,"",IF(MID(IFERROR(INDEX(醫師週班表!$C$5:$T$44,$CU18,L$57),""),2,1)="/",MID(IFERROR(INDEX(醫師週班表!$C$5:$T$44,$CU18,L$57),""),1+L$58*2,1),IF(MID(IFERROR(INDEX(醫師週班表!$C$5:$T$44,$CU18,L$57),""),3,1)="隔",IF(L$58=0,LEFT(IFERROR(INDEX(醫師週班表!$C$5:$T$44,$CU18,L$57),""),1),""),IF(MID(IFERROR(INDEX(醫師週班表!$C$5:$T$44,$CU18,L$57),""),2,1)="(",LEFT(IFERROR(INDEX(醫師週班表!$C$5:$T$44,$CU18,L$57),""),1),IFERROR(INDEX(醫師週班表!$C$5:$T$44,$CU18,L$57),"")))))))</f>
        <v/>
      </c>
      <c r="M18" s="72">
        <f>IF(M$59="X","",IF(M$59&lt;&gt;"",M$59,IF(IFERROR(INDEX(醫師週班表!$C$5:$T$44,$CU18,M$57),"")=0,"",IF(MID(IFERROR(INDEX(醫師週班表!$C$5:$T$44,$CU18,M$57),""),2,1)="/",MID(IFERROR(INDEX(醫師週班表!$C$5:$T$44,$CU18,M$57),""),1+M$58*2,1),IF(MID(IFERROR(INDEX(醫師週班表!$C$5:$T$44,$CU18,M$57),""),3,1)="隔",IF(M$58=0,LEFT(IFERROR(INDEX(醫師週班表!$C$5:$T$44,$CU18,M$57),""),1),""),IF(MID(IFERROR(INDEX(醫師週班表!$C$5:$T$44,$CU18,M$57),""),2,1)="(",LEFT(IFERROR(INDEX(醫師週班表!$C$5:$T$44,$CU18,M$57),""),1),IFERROR(INDEX(醫師週班表!$C$5:$T$44,$CU18,M$57),"")))))))</f>
        <v/>
      </c>
      <c r="N18" s="71">
        <f>IF(N$59="X","",IF(N$59&lt;&gt;"",N$59,IF(IFERROR(INDEX(醫師週班表!$C$5:$T$44,$CU18,N$57),"")=0,"",IF(MID(IFERROR(INDEX(醫師週班表!$C$5:$T$44,$CU18,N$57),""),2,1)="/",MID(IFERROR(INDEX(醫師週班表!$C$5:$T$44,$CU18,N$57),""),1+N$58*2,1),IF(MID(IFERROR(INDEX(醫師週班表!$C$5:$T$44,$CU18,N$57),""),3,1)="隔",IF(N$58=0,LEFT(IFERROR(INDEX(醫師週班表!$C$5:$T$44,$CU18,N$57),""),1),""),IF(MID(IFERROR(INDEX(醫師週班表!$C$5:$T$44,$CU18,N$57),""),2,1)="(",LEFT(IFERROR(INDEX(醫師週班表!$C$5:$T$44,$CU18,N$57),""),1),IFERROR(INDEX(醫師週班表!$C$5:$T$44,$CU18,N$57),"")))))))</f>
        <v/>
      </c>
      <c r="O18" s="72">
        <f>IF(O$59="X","",IF(O$59&lt;&gt;"",O$59,IF(IFERROR(INDEX(醫師週班表!$C$5:$T$44,$CU18,O$57),"")=0,"",IF(MID(IFERROR(INDEX(醫師週班表!$C$5:$T$44,$CU18,O$57),""),2,1)="/",MID(IFERROR(INDEX(醫師週班表!$C$5:$T$44,$CU18,O$57),""),1+O$58*2,1),IF(MID(IFERROR(INDEX(醫師週班表!$C$5:$T$44,$CU18,O$57),""),3,1)="隔",IF(O$58=0,LEFT(IFERROR(INDEX(醫師週班表!$C$5:$T$44,$CU18,O$57),""),1),""),IF(MID(IFERROR(INDEX(醫師週班表!$C$5:$T$44,$CU18,O$57),""),2,1)="(",LEFT(IFERROR(INDEX(醫師週班表!$C$5:$T$44,$CU18,O$57),""),1),IFERROR(INDEX(醫師週班表!$C$5:$T$44,$CU18,O$57),"")))))))</f>
        <v/>
      </c>
      <c r="P18" s="72">
        <f>IF(P$59="X","",IF(P$59&lt;&gt;"",P$59,IF(IFERROR(INDEX(醫師週班表!$C$5:$T$44,$CU18,P$57),"")=0,"",IF(MID(IFERROR(INDEX(醫師週班表!$C$5:$T$44,$CU18,P$57),""),2,1)="/",MID(IFERROR(INDEX(醫師週班表!$C$5:$T$44,$CU18,P$57),""),1+P$58*2,1),IF(MID(IFERROR(INDEX(醫師週班表!$C$5:$T$44,$CU18,P$57),""),3,1)="隔",IF(P$58=0,LEFT(IFERROR(INDEX(醫師週班表!$C$5:$T$44,$CU18,P$57),""),1),""),IF(MID(IFERROR(INDEX(醫師週班表!$C$5:$T$44,$CU18,P$57),""),2,1)="(",LEFT(IFERROR(INDEX(醫師週班表!$C$5:$T$44,$CU18,P$57),""),1),IFERROR(INDEX(醫師週班表!$C$5:$T$44,$CU18,P$57),"")))))))</f>
        <v/>
      </c>
      <c r="Q18" s="71">
        <f>IF(Q$59="X","",IF(Q$59&lt;&gt;"",Q$59,IF(IFERROR(INDEX(醫師週班表!$C$5:$T$44,$CU18,Q$57),"")=0,"",IF(MID(IFERROR(INDEX(醫師週班表!$C$5:$T$44,$CU18,Q$57),""),2,1)="/",MID(IFERROR(INDEX(醫師週班表!$C$5:$T$44,$CU18,Q$57),""),1+Q$58*2,1),IF(MID(IFERROR(INDEX(醫師週班表!$C$5:$T$44,$CU18,Q$57),""),3,1)="隔",IF(Q$58=0,LEFT(IFERROR(INDEX(醫師週班表!$C$5:$T$44,$CU18,Q$57),""),1),""),IF(MID(IFERROR(INDEX(醫師週班表!$C$5:$T$44,$CU18,Q$57),""),2,1)="(",LEFT(IFERROR(INDEX(醫師週班表!$C$5:$T$44,$CU18,Q$57),""),1),IFERROR(INDEX(醫師週班表!$C$5:$T$44,$CU18,Q$57),"")))))))</f>
        <v/>
      </c>
      <c r="R18" s="72">
        <f>IF(R$59="X","",IF(R$59&lt;&gt;"",R$59,IF(IFERROR(INDEX(醫師週班表!$C$5:$T$44,$CU18,R$57),"")=0,"",IF(MID(IFERROR(INDEX(醫師週班表!$C$5:$T$44,$CU18,R$57),""),2,1)="/",MID(IFERROR(INDEX(醫師週班表!$C$5:$T$44,$CU18,R$57),""),1+R$58*2,1),IF(MID(IFERROR(INDEX(醫師週班表!$C$5:$T$44,$CU18,R$57),""),3,1)="隔",IF(R$58=0,LEFT(IFERROR(INDEX(醫師週班表!$C$5:$T$44,$CU18,R$57),""),1),""),IF(MID(IFERROR(INDEX(醫師週班表!$C$5:$T$44,$CU18,R$57),""),2,1)="(",LEFT(IFERROR(INDEX(醫師週班表!$C$5:$T$44,$CU18,R$57),""),1),IFERROR(INDEX(醫師週班表!$C$5:$T$44,$CU18,R$57),"")))))))</f>
        <v/>
      </c>
      <c r="S18" s="72">
        <f>IF(S$59="X","",IF(S$59&lt;&gt;"",S$59,IF(IFERROR(INDEX(醫師週班表!$C$5:$T$44,$CU18,S$57),"")=0,"",IF(MID(IFERROR(INDEX(醫師週班表!$C$5:$T$44,$CU18,S$57),""),2,1)="/",MID(IFERROR(INDEX(醫師週班表!$C$5:$T$44,$CU18,S$57),""),1+S$58*2,1),IF(MID(IFERROR(INDEX(醫師週班表!$C$5:$T$44,$CU18,S$57),""),3,1)="隔",IF(S$58=0,LEFT(IFERROR(INDEX(醫師週班表!$C$5:$T$44,$CU18,S$57),""),1),""),IF(MID(IFERROR(INDEX(醫師週班表!$C$5:$T$44,$CU18,S$57),""),2,1)="(",LEFT(IFERROR(INDEX(醫師週班表!$C$5:$T$44,$CU18,S$57),""),1),IFERROR(INDEX(醫師週班表!$C$5:$T$44,$CU18,S$57),"")))))))</f>
        <v/>
      </c>
      <c r="T18" s="71">
        <f>IF(T$59="X","",IF(T$59&lt;&gt;"",T$59,IF(IFERROR(INDEX(醫師週班表!$C$5:$T$44,$CU18,T$57),"")=0,"",IF(MID(IFERROR(INDEX(醫師週班表!$C$5:$T$44,$CU18,T$57),""),2,1)="/",MID(IFERROR(INDEX(醫師週班表!$C$5:$T$44,$CU18,T$57),""),1+T$58*2,1),IF(MID(IFERROR(INDEX(醫師週班表!$C$5:$T$44,$CU18,T$57),""),3,1)="隔",IF(T$58=0,LEFT(IFERROR(INDEX(醫師週班表!$C$5:$T$44,$CU18,T$57),""),1),""),IF(MID(IFERROR(INDEX(醫師週班表!$C$5:$T$44,$CU18,T$57),""),2,1)="(",LEFT(IFERROR(INDEX(醫師週班表!$C$5:$T$44,$CU18,T$57),""),1),IFERROR(INDEX(醫師週班表!$C$5:$T$44,$CU18,T$57),"")))))))</f>
        <v/>
      </c>
      <c r="U18" s="72">
        <f>IF(U$59="X","",IF(U$59&lt;&gt;"",U$59,IF(IFERROR(INDEX(醫師週班表!$C$5:$T$44,$CU18,U$57),"")=0,"",IF(MID(IFERROR(INDEX(醫師週班表!$C$5:$T$44,$CU18,U$57),""),2,1)="/",MID(IFERROR(INDEX(醫師週班表!$C$5:$T$44,$CU18,U$57),""),1+U$58*2,1),IF(MID(IFERROR(INDEX(醫師週班表!$C$5:$T$44,$CU18,U$57),""),3,1)="隔",IF(U$58=0,LEFT(IFERROR(INDEX(醫師週班表!$C$5:$T$44,$CU18,U$57),""),1),""),IF(MID(IFERROR(INDEX(醫師週班表!$C$5:$T$44,$CU18,U$57),""),2,1)="(",LEFT(IFERROR(INDEX(醫師週班表!$C$5:$T$44,$CU18,U$57),""),1),IFERROR(INDEX(醫師週班表!$C$5:$T$44,$CU18,U$57),"")))))))</f>
        <v/>
      </c>
      <c r="V18" s="72">
        <f>IF(V$59="X","",IF(V$59&lt;&gt;"",V$59,IF(IFERROR(INDEX(醫師週班表!$C$5:$T$44,$CU18,V$57),"")=0,"",IF(MID(IFERROR(INDEX(醫師週班表!$C$5:$T$44,$CU18,V$57),""),2,1)="/",MID(IFERROR(INDEX(醫師週班表!$C$5:$T$44,$CU18,V$57),""),1+V$58*2,1),IF(MID(IFERROR(INDEX(醫師週班表!$C$5:$T$44,$CU18,V$57),""),3,1)="隔",IF(V$58=0,LEFT(IFERROR(INDEX(醫師週班表!$C$5:$T$44,$CU18,V$57),""),1),""),IF(MID(IFERROR(INDEX(醫師週班表!$C$5:$T$44,$CU18,V$57),""),2,1)="(",LEFT(IFERROR(INDEX(醫師週班表!$C$5:$T$44,$CU18,V$57),""),1),IFERROR(INDEX(醫師週班表!$C$5:$T$44,$CU18,V$57),"")))))))</f>
        <v/>
      </c>
      <c r="W18" s="71">
        <f>IF(W$59="X","",IF(W$59&lt;&gt;"",W$59,IF(IFERROR(INDEX(醫師週班表!$C$5:$T$44,$CU18,W$57),"")=0,"",IF(MID(IFERROR(INDEX(醫師週班表!$C$5:$T$44,$CU18,W$57),""),2,1)="/",MID(IFERROR(INDEX(醫師週班表!$C$5:$T$44,$CU18,W$57),""),1+W$58*2,1),IF(MID(IFERROR(INDEX(醫師週班表!$C$5:$T$44,$CU18,W$57),""),3,1)="隔",IF(W$58=0,LEFT(IFERROR(INDEX(醫師週班表!$C$5:$T$44,$CU18,W$57),""),1),""),IF(MID(IFERROR(INDEX(醫師週班表!$C$5:$T$44,$CU18,W$57),""),2,1)="(",LEFT(IFERROR(INDEX(醫師週班表!$C$5:$T$44,$CU18,W$57),""),1),IFERROR(INDEX(醫師週班表!$C$5:$T$44,$CU18,W$57),"")))))))</f>
        <v/>
      </c>
      <c r="X18" s="72">
        <f>IF(X$59="X","",IF(X$59&lt;&gt;"",X$59,IF(IFERROR(INDEX(醫師週班表!$C$5:$T$44,$CU18,X$57),"")=0,"",IF(MID(IFERROR(INDEX(醫師週班表!$C$5:$T$44,$CU18,X$57),""),2,1)="/",MID(IFERROR(INDEX(醫師週班表!$C$5:$T$44,$CU18,X$57),""),1+X$58*2,1),IF(MID(IFERROR(INDEX(醫師週班表!$C$5:$T$44,$CU18,X$57),""),3,1)="隔",IF(X$58=0,LEFT(IFERROR(INDEX(醫師週班表!$C$5:$T$44,$CU18,X$57),""),1),""),IF(MID(IFERROR(INDEX(醫師週班表!$C$5:$T$44,$CU18,X$57),""),2,1)="(",LEFT(IFERROR(INDEX(醫師週班表!$C$5:$T$44,$CU18,X$57),""),1),IFERROR(INDEX(醫師週班表!$C$5:$T$44,$CU18,X$57),"")))))))</f>
        <v/>
      </c>
      <c r="Y18" s="72">
        <f>IF(Y$59="X","",IF(Y$59&lt;&gt;"",Y$59,IF(IFERROR(INDEX(醫師週班表!$C$5:$T$44,$CU18,Y$57),"")=0,"",IF(MID(IFERROR(INDEX(醫師週班表!$C$5:$T$44,$CU18,Y$57),""),2,1)="/",MID(IFERROR(INDEX(醫師週班表!$C$5:$T$44,$CU18,Y$57),""),1+Y$58*2,1),IF(MID(IFERROR(INDEX(醫師週班表!$C$5:$T$44,$CU18,Y$57),""),3,1)="隔",IF(Y$58=0,LEFT(IFERROR(INDEX(醫師週班表!$C$5:$T$44,$CU18,Y$57),""),1),""),IF(MID(IFERROR(INDEX(醫師週班表!$C$5:$T$44,$CU18,Y$57),""),2,1)="(",LEFT(IFERROR(INDEX(醫師週班表!$C$5:$T$44,$CU18,Y$57),""),1),IFERROR(INDEX(醫師週班表!$C$5:$T$44,$CU18,Y$57),"")))))))</f>
        <v/>
      </c>
      <c r="Z18" s="71">
        <f>IF(Z$59="X","",IF(Z$59&lt;&gt;"",Z$59,IF(IFERROR(INDEX(醫師週班表!$C$5:$T$44,$CU18,Z$57),"")=0,"",IF(MID(IFERROR(INDEX(醫師週班表!$C$5:$T$44,$CU18,Z$57),""),2,1)="/",MID(IFERROR(INDEX(醫師週班表!$C$5:$T$44,$CU18,Z$57),""),1+Z$58*2,1),IF(MID(IFERROR(INDEX(醫師週班表!$C$5:$T$44,$CU18,Z$57),""),3,1)="隔",IF(Z$58=0,LEFT(IFERROR(INDEX(醫師週班表!$C$5:$T$44,$CU18,Z$57),""),1),""),IF(MID(IFERROR(INDEX(醫師週班表!$C$5:$T$44,$CU18,Z$57),""),2,1)="(",LEFT(IFERROR(INDEX(醫師週班表!$C$5:$T$44,$CU18,Z$57),""),1),IFERROR(INDEX(醫師週班表!$C$5:$T$44,$CU18,Z$57),"")))))))</f>
        <v/>
      </c>
      <c r="AA18" s="72">
        <f>IF(AA$59="X","",IF(AA$59&lt;&gt;"",AA$59,IF(IFERROR(INDEX(醫師週班表!$C$5:$T$44,$CU18,AA$57),"")=0,"",IF(MID(IFERROR(INDEX(醫師週班表!$C$5:$T$44,$CU18,AA$57),""),2,1)="/",MID(IFERROR(INDEX(醫師週班表!$C$5:$T$44,$CU18,AA$57),""),1+AA$58*2,1),IF(MID(IFERROR(INDEX(醫師週班表!$C$5:$T$44,$CU18,AA$57),""),3,1)="隔",IF(AA$58=0,LEFT(IFERROR(INDEX(醫師週班表!$C$5:$T$44,$CU18,AA$57),""),1),""),IF(MID(IFERROR(INDEX(醫師週班表!$C$5:$T$44,$CU18,AA$57),""),2,1)="(",LEFT(IFERROR(INDEX(醫師週班表!$C$5:$T$44,$CU18,AA$57),""),1),IFERROR(INDEX(醫師週班表!$C$5:$T$44,$CU18,AA$57),"")))))))</f>
        <v/>
      </c>
      <c r="AB18" s="72">
        <f>IF(AB$59="X","",IF(AB$59&lt;&gt;"",AB$59,IF(IFERROR(INDEX(醫師週班表!$C$5:$T$44,$CU18,AB$57),"")=0,"",IF(MID(IFERROR(INDEX(醫師週班表!$C$5:$T$44,$CU18,AB$57),""),2,1)="/",MID(IFERROR(INDEX(醫師週班表!$C$5:$T$44,$CU18,AB$57),""),1+AB$58*2,1),IF(MID(IFERROR(INDEX(醫師週班表!$C$5:$T$44,$CU18,AB$57),""),3,1)="隔",IF(AB$58=0,LEFT(IFERROR(INDEX(醫師週班表!$C$5:$T$44,$CU18,AB$57),""),1),""),IF(MID(IFERROR(INDEX(醫師週班表!$C$5:$T$44,$CU18,AB$57),""),2,1)="(",LEFT(IFERROR(INDEX(醫師週班表!$C$5:$T$44,$CU18,AB$57),""),1),IFERROR(INDEX(醫師週班表!$C$5:$T$44,$CU18,AB$57),"")))))))</f>
        <v/>
      </c>
      <c r="AC18" s="71">
        <f>IF(AC$59="X","",IF(AC$59&lt;&gt;"",AC$59,IF(IFERROR(INDEX(醫師週班表!$C$5:$T$44,$CU18,AC$57),"")=0,"",IF(MID(IFERROR(INDEX(醫師週班表!$C$5:$T$44,$CU18,AC$57),""),2,1)="/",MID(IFERROR(INDEX(醫師週班表!$C$5:$T$44,$CU18,AC$57),""),1+AC$58*2,1),IF(MID(IFERROR(INDEX(醫師週班表!$C$5:$T$44,$CU18,AC$57),""),3,1)="隔",IF(AC$58=0,LEFT(IFERROR(INDEX(醫師週班表!$C$5:$T$44,$CU18,AC$57),""),1),""),IF(MID(IFERROR(INDEX(醫師週班表!$C$5:$T$44,$CU18,AC$57),""),2,1)="(",LEFT(IFERROR(INDEX(醫師週班表!$C$5:$T$44,$CU18,AC$57),""),1),IFERROR(INDEX(醫師週班表!$C$5:$T$44,$CU18,AC$57),"")))))))</f>
        <v/>
      </c>
      <c r="AD18" s="72">
        <f>IF(AD$59="X","",IF(AD$59&lt;&gt;"",AD$59,IF(IFERROR(INDEX(醫師週班表!$C$5:$T$44,$CU18,AD$57),"")=0,"",IF(MID(IFERROR(INDEX(醫師週班表!$C$5:$T$44,$CU18,AD$57),""),2,1)="/",MID(IFERROR(INDEX(醫師週班表!$C$5:$T$44,$CU18,AD$57),""),1+AD$58*2,1),IF(MID(IFERROR(INDEX(醫師週班表!$C$5:$T$44,$CU18,AD$57),""),3,1)="隔",IF(AD$58=0,LEFT(IFERROR(INDEX(醫師週班表!$C$5:$T$44,$CU18,AD$57),""),1),""),IF(MID(IFERROR(INDEX(醫師週班表!$C$5:$T$44,$CU18,AD$57),""),2,1)="(",LEFT(IFERROR(INDEX(醫師週班表!$C$5:$T$44,$CU18,AD$57),""),1),IFERROR(INDEX(醫師週班表!$C$5:$T$44,$CU18,AD$57),"")))))))</f>
        <v/>
      </c>
      <c r="AE18" s="72">
        <f>IF(AE$59="X","",IF(AE$59&lt;&gt;"",AE$59,IF(IFERROR(INDEX(醫師週班表!$C$5:$T$44,$CU18,AE$57),"")=0,"",IF(MID(IFERROR(INDEX(醫師週班表!$C$5:$T$44,$CU18,AE$57),""),2,1)="/",MID(IFERROR(INDEX(醫師週班表!$C$5:$T$44,$CU18,AE$57),""),1+AE$58*2,1),IF(MID(IFERROR(INDEX(醫師週班表!$C$5:$T$44,$CU18,AE$57),""),3,1)="隔",IF(AE$58=0,LEFT(IFERROR(INDEX(醫師週班表!$C$5:$T$44,$CU18,AE$57),""),1),""),IF(MID(IFERROR(INDEX(醫師週班表!$C$5:$T$44,$CU18,AE$57),""),2,1)="(",LEFT(IFERROR(INDEX(醫師週班表!$C$5:$T$44,$CU18,AE$57),""),1),IFERROR(INDEX(醫師週班表!$C$5:$T$44,$CU18,AE$57),"")))))))</f>
        <v/>
      </c>
      <c r="AF18" s="71">
        <f>IF(AF$59="X","",IF(AF$59&lt;&gt;"",AF$59,IF(IFERROR(INDEX(醫師週班表!$C$5:$T$44,$CU18,AF$57),"")=0,"",IF(MID(IFERROR(INDEX(醫師週班表!$C$5:$T$44,$CU18,AF$57),""),2,1)="/",MID(IFERROR(INDEX(醫師週班表!$C$5:$T$44,$CU18,AF$57),""),1+AF$58*2,1),IF(MID(IFERROR(INDEX(醫師週班表!$C$5:$T$44,$CU18,AF$57),""),3,1)="隔",IF(AF$58=0,LEFT(IFERROR(INDEX(醫師週班表!$C$5:$T$44,$CU18,AF$57),""),1),""),IF(MID(IFERROR(INDEX(醫師週班表!$C$5:$T$44,$CU18,AF$57),""),2,1)="(",LEFT(IFERROR(INDEX(醫師週班表!$C$5:$T$44,$CU18,AF$57),""),1),IFERROR(INDEX(醫師週班表!$C$5:$T$44,$CU18,AF$57),"")))))))</f>
        <v/>
      </c>
      <c r="AG18" s="72">
        <f>IF(AG$59="X","",IF(AG$59&lt;&gt;"",AG$59,IF(IFERROR(INDEX(醫師週班表!$C$5:$T$44,$CU18,AG$57),"")=0,"",IF(MID(IFERROR(INDEX(醫師週班表!$C$5:$T$44,$CU18,AG$57),""),2,1)="/",MID(IFERROR(INDEX(醫師週班表!$C$5:$T$44,$CU18,AG$57),""),1+AG$58*2,1),IF(MID(IFERROR(INDEX(醫師週班表!$C$5:$T$44,$CU18,AG$57),""),3,1)="隔",IF(AG$58=0,LEFT(IFERROR(INDEX(醫師週班表!$C$5:$T$44,$CU18,AG$57),""),1),""),IF(MID(IFERROR(INDEX(醫師週班表!$C$5:$T$44,$CU18,AG$57),""),2,1)="(",LEFT(IFERROR(INDEX(醫師週班表!$C$5:$T$44,$CU18,AG$57),""),1),IFERROR(INDEX(醫師週班表!$C$5:$T$44,$CU18,AG$57),"")))))))</f>
        <v/>
      </c>
      <c r="AH18" s="72">
        <f>IF(AH$59="X","",IF(AH$59&lt;&gt;"",AH$59,IF(IFERROR(INDEX(醫師週班表!$C$5:$T$44,$CU18,AH$57),"")=0,"",IF(MID(IFERROR(INDEX(醫師週班表!$C$5:$T$44,$CU18,AH$57),""),2,1)="/",MID(IFERROR(INDEX(醫師週班表!$C$5:$T$44,$CU18,AH$57),""),1+AH$58*2,1),IF(MID(IFERROR(INDEX(醫師週班表!$C$5:$T$44,$CU18,AH$57),""),3,1)="隔",IF(AH$58=0,LEFT(IFERROR(INDEX(醫師週班表!$C$5:$T$44,$CU18,AH$57),""),1),""),IF(MID(IFERROR(INDEX(醫師週班表!$C$5:$T$44,$CU18,AH$57),""),2,1)="(",LEFT(IFERROR(INDEX(醫師週班表!$C$5:$T$44,$CU18,AH$57),""),1),IFERROR(INDEX(醫師週班表!$C$5:$T$44,$CU18,AH$57),"")))))))</f>
        <v/>
      </c>
      <c r="AI18" s="71">
        <f>IF(AI$59="X","",IF(AI$59&lt;&gt;"",AI$59,IF(IFERROR(INDEX(醫師週班表!$C$5:$T$44,$CU18,AI$57),"")=0,"",IF(MID(IFERROR(INDEX(醫師週班表!$C$5:$T$44,$CU18,AI$57),""),2,1)="/",MID(IFERROR(INDEX(醫師週班表!$C$5:$T$44,$CU18,AI$57),""),1+AI$58*2,1),IF(MID(IFERROR(INDEX(醫師週班表!$C$5:$T$44,$CU18,AI$57),""),3,1)="隔",IF(AI$58=0,LEFT(IFERROR(INDEX(醫師週班表!$C$5:$T$44,$CU18,AI$57),""),1),""),IF(MID(IFERROR(INDEX(醫師週班表!$C$5:$T$44,$CU18,AI$57),""),2,1)="(",LEFT(IFERROR(INDEX(醫師週班表!$C$5:$T$44,$CU18,AI$57),""),1),IFERROR(INDEX(醫師週班表!$C$5:$T$44,$CU18,AI$57),"")))))))</f>
        <v/>
      </c>
      <c r="AJ18" s="72">
        <f>IF(AJ$59="X","",IF(AJ$59&lt;&gt;"",AJ$59,IF(IFERROR(INDEX(醫師週班表!$C$5:$T$44,$CU18,AJ$57),"")=0,"",IF(MID(IFERROR(INDEX(醫師週班表!$C$5:$T$44,$CU18,AJ$57),""),2,1)="/",MID(IFERROR(INDEX(醫師週班表!$C$5:$T$44,$CU18,AJ$57),""),1+AJ$58*2,1),IF(MID(IFERROR(INDEX(醫師週班表!$C$5:$T$44,$CU18,AJ$57),""),3,1)="隔",IF(AJ$58=0,LEFT(IFERROR(INDEX(醫師週班表!$C$5:$T$44,$CU18,AJ$57),""),1),""),IF(MID(IFERROR(INDEX(醫師週班表!$C$5:$T$44,$CU18,AJ$57),""),2,1)="(",LEFT(IFERROR(INDEX(醫師週班表!$C$5:$T$44,$CU18,AJ$57),""),1),IFERROR(INDEX(醫師週班表!$C$5:$T$44,$CU18,AJ$57),"")))))))</f>
        <v/>
      </c>
      <c r="AK18" s="72">
        <f>IF(AK$59="X","",IF(AK$59&lt;&gt;"",AK$59,IF(IFERROR(INDEX(醫師週班表!$C$5:$T$44,$CU18,AK$57),"")=0,"",IF(MID(IFERROR(INDEX(醫師週班表!$C$5:$T$44,$CU18,AK$57),""),2,1)="/",MID(IFERROR(INDEX(醫師週班表!$C$5:$T$44,$CU18,AK$57),""),1+AK$58*2,1),IF(MID(IFERROR(INDEX(醫師週班表!$C$5:$T$44,$CU18,AK$57),""),3,1)="隔",IF(AK$58=0,LEFT(IFERROR(INDEX(醫師週班表!$C$5:$T$44,$CU18,AK$57),""),1),""),IF(MID(IFERROR(INDEX(醫師週班表!$C$5:$T$44,$CU18,AK$57),""),2,1)="(",LEFT(IFERROR(INDEX(醫師週班表!$C$5:$T$44,$CU18,AK$57),""),1),IFERROR(INDEX(醫師週班表!$C$5:$T$44,$CU18,AK$57),"")))))))</f>
        <v/>
      </c>
      <c r="AL18" s="71">
        <f>IF(AL$59="X","",IF(AL$59&lt;&gt;"",AL$59,IF(IFERROR(INDEX(醫師週班表!$C$5:$T$44,$CU18,AL$57),"")=0,"",IF(MID(IFERROR(INDEX(醫師週班表!$C$5:$T$44,$CU18,AL$57),""),2,1)="/",MID(IFERROR(INDEX(醫師週班表!$C$5:$T$44,$CU18,AL$57),""),1+AL$58*2,1),IF(MID(IFERROR(INDEX(醫師週班表!$C$5:$T$44,$CU18,AL$57),""),3,1)="隔",IF(AL$58=0,LEFT(IFERROR(INDEX(醫師週班表!$C$5:$T$44,$CU18,AL$57),""),1),""),IF(MID(IFERROR(INDEX(醫師週班表!$C$5:$T$44,$CU18,AL$57),""),2,1)="(",LEFT(IFERROR(INDEX(醫師週班表!$C$5:$T$44,$CU18,AL$57),""),1),IFERROR(INDEX(醫師週班表!$C$5:$T$44,$CU18,AL$57),"")))))))</f>
        <v/>
      </c>
      <c r="AM18" s="72">
        <f>IF(AM$59="X","",IF(AM$59&lt;&gt;"",AM$59,IF(IFERROR(INDEX(醫師週班表!$C$5:$T$44,$CU18,AM$57),"")=0,"",IF(MID(IFERROR(INDEX(醫師週班表!$C$5:$T$44,$CU18,AM$57),""),2,1)="/",MID(IFERROR(INDEX(醫師週班表!$C$5:$T$44,$CU18,AM$57),""),1+AM$58*2,1),IF(MID(IFERROR(INDEX(醫師週班表!$C$5:$T$44,$CU18,AM$57),""),3,1)="隔",IF(AM$58=0,LEFT(IFERROR(INDEX(醫師週班表!$C$5:$T$44,$CU18,AM$57),""),1),""),IF(MID(IFERROR(INDEX(醫師週班表!$C$5:$T$44,$CU18,AM$57),""),2,1)="(",LEFT(IFERROR(INDEX(醫師週班表!$C$5:$T$44,$CU18,AM$57),""),1),IFERROR(INDEX(醫師週班表!$C$5:$T$44,$CU18,AM$57),"")))))))</f>
        <v/>
      </c>
      <c r="AN18" s="72">
        <f>IF(AN$59="X","",IF(AN$59&lt;&gt;"",AN$59,IF(IFERROR(INDEX(醫師週班表!$C$5:$T$44,$CU18,AN$57),"")=0,"",IF(MID(IFERROR(INDEX(醫師週班表!$C$5:$T$44,$CU18,AN$57),""),2,1)="/",MID(IFERROR(INDEX(醫師週班表!$C$5:$T$44,$CU18,AN$57),""),1+AN$58*2,1),IF(MID(IFERROR(INDEX(醫師週班表!$C$5:$T$44,$CU18,AN$57),""),3,1)="隔",IF(AN$58=0,LEFT(IFERROR(INDEX(醫師週班表!$C$5:$T$44,$CU18,AN$57),""),1),""),IF(MID(IFERROR(INDEX(醫師週班表!$C$5:$T$44,$CU18,AN$57),""),2,1)="(",LEFT(IFERROR(INDEX(醫師週班表!$C$5:$T$44,$CU18,AN$57),""),1),IFERROR(INDEX(醫師週班表!$C$5:$T$44,$CU18,AN$57),"")))))))</f>
        <v/>
      </c>
      <c r="AO18" s="71">
        <f>IF(AO$59="X","",IF(AO$59&lt;&gt;"",AO$59,IF(IFERROR(INDEX(醫師週班表!$C$5:$T$44,$CU18,AO$57),"")=0,"",IF(MID(IFERROR(INDEX(醫師週班表!$C$5:$T$44,$CU18,AO$57),""),2,1)="/",MID(IFERROR(INDEX(醫師週班表!$C$5:$T$44,$CU18,AO$57),""),1+AO$58*2,1),IF(MID(IFERROR(INDEX(醫師週班表!$C$5:$T$44,$CU18,AO$57),""),3,1)="隔",IF(AO$58=0,LEFT(IFERROR(INDEX(醫師週班表!$C$5:$T$44,$CU18,AO$57),""),1),""),IF(MID(IFERROR(INDEX(醫師週班表!$C$5:$T$44,$CU18,AO$57),""),2,1)="(",LEFT(IFERROR(INDEX(醫師週班表!$C$5:$T$44,$CU18,AO$57),""),1),IFERROR(INDEX(醫師週班表!$C$5:$T$44,$CU18,AO$57),"")))))))</f>
        <v/>
      </c>
      <c r="AP18" s="72">
        <f>IF(AP$59="X","",IF(AP$59&lt;&gt;"",AP$59,IF(IFERROR(INDEX(醫師週班表!$C$5:$T$44,$CU18,AP$57),"")=0,"",IF(MID(IFERROR(INDEX(醫師週班表!$C$5:$T$44,$CU18,AP$57),""),2,1)="/",MID(IFERROR(INDEX(醫師週班表!$C$5:$T$44,$CU18,AP$57),""),1+AP$58*2,1),IF(MID(IFERROR(INDEX(醫師週班表!$C$5:$T$44,$CU18,AP$57),""),3,1)="隔",IF(AP$58=0,LEFT(IFERROR(INDEX(醫師週班表!$C$5:$T$44,$CU18,AP$57),""),1),""),IF(MID(IFERROR(INDEX(醫師週班表!$C$5:$T$44,$CU18,AP$57),""),2,1)="(",LEFT(IFERROR(INDEX(醫師週班表!$C$5:$T$44,$CU18,AP$57),""),1),IFERROR(INDEX(醫師週班表!$C$5:$T$44,$CU18,AP$57),"")))))))</f>
        <v/>
      </c>
      <c r="AQ18" s="72">
        <f>IF(AQ$59="X","",IF(AQ$59&lt;&gt;"",AQ$59,IF(IFERROR(INDEX(醫師週班表!$C$5:$T$44,$CU18,AQ$57),"")=0,"",IF(MID(IFERROR(INDEX(醫師週班表!$C$5:$T$44,$CU18,AQ$57),""),2,1)="/",MID(IFERROR(INDEX(醫師週班表!$C$5:$T$44,$CU18,AQ$57),""),1+AQ$58*2,1),IF(MID(IFERROR(INDEX(醫師週班表!$C$5:$T$44,$CU18,AQ$57),""),3,1)="隔",IF(AQ$58=0,LEFT(IFERROR(INDEX(醫師週班表!$C$5:$T$44,$CU18,AQ$57),""),1),""),IF(MID(IFERROR(INDEX(醫師週班表!$C$5:$T$44,$CU18,AQ$57),""),2,1)="(",LEFT(IFERROR(INDEX(醫師週班表!$C$5:$T$44,$CU18,AQ$57),""),1),IFERROR(INDEX(醫師週班表!$C$5:$T$44,$CU18,AQ$57),"")))))))</f>
        <v/>
      </c>
      <c r="AR18" s="71">
        <f>IF(AR$59="X","",IF(AR$59&lt;&gt;"",AR$59,IF(IFERROR(INDEX(醫師週班表!$C$5:$T$44,$CU18,AR$57),"")=0,"",IF(MID(IFERROR(INDEX(醫師週班表!$C$5:$T$44,$CU18,AR$57),""),2,1)="/",MID(IFERROR(INDEX(醫師週班表!$C$5:$T$44,$CU18,AR$57),""),1+AR$58*2,1),IF(MID(IFERROR(INDEX(醫師週班表!$C$5:$T$44,$CU18,AR$57),""),3,1)="隔",IF(AR$58=0,LEFT(IFERROR(INDEX(醫師週班表!$C$5:$T$44,$CU18,AR$57),""),1),""),IF(MID(IFERROR(INDEX(醫師週班表!$C$5:$T$44,$CU18,AR$57),""),2,1)="(",LEFT(IFERROR(INDEX(醫師週班表!$C$5:$T$44,$CU18,AR$57),""),1),IFERROR(INDEX(醫師週班表!$C$5:$T$44,$CU18,AR$57),"")))))))</f>
        <v/>
      </c>
      <c r="AS18" s="72">
        <f>IF(AS$59="X","",IF(AS$59&lt;&gt;"",AS$59,IF(IFERROR(INDEX(醫師週班表!$C$5:$T$44,$CU18,AS$57),"")=0,"",IF(MID(IFERROR(INDEX(醫師週班表!$C$5:$T$44,$CU18,AS$57),""),2,1)="/",MID(IFERROR(INDEX(醫師週班表!$C$5:$T$44,$CU18,AS$57),""),1+AS$58*2,1),IF(MID(IFERROR(INDEX(醫師週班表!$C$5:$T$44,$CU18,AS$57),""),3,1)="隔",IF(AS$58=0,LEFT(IFERROR(INDEX(醫師週班表!$C$5:$T$44,$CU18,AS$57),""),1),""),IF(MID(IFERROR(INDEX(醫師週班表!$C$5:$T$44,$CU18,AS$57),""),2,1)="(",LEFT(IFERROR(INDEX(醫師週班表!$C$5:$T$44,$CU18,AS$57),""),1),IFERROR(INDEX(醫師週班表!$C$5:$T$44,$CU18,AS$57),"")))))))</f>
        <v/>
      </c>
      <c r="AT18" s="72">
        <f>IF(AT$59="X","",IF(AT$59&lt;&gt;"",AT$59,IF(IFERROR(INDEX(醫師週班表!$C$5:$T$44,$CU18,AT$57),"")=0,"",IF(MID(IFERROR(INDEX(醫師週班表!$C$5:$T$44,$CU18,AT$57),""),2,1)="/",MID(IFERROR(INDEX(醫師週班表!$C$5:$T$44,$CU18,AT$57),""),1+AT$58*2,1),IF(MID(IFERROR(INDEX(醫師週班表!$C$5:$T$44,$CU18,AT$57),""),3,1)="隔",IF(AT$58=0,LEFT(IFERROR(INDEX(醫師週班表!$C$5:$T$44,$CU18,AT$57),""),1),""),IF(MID(IFERROR(INDEX(醫師週班表!$C$5:$T$44,$CU18,AT$57),""),2,1)="(",LEFT(IFERROR(INDEX(醫師週班表!$C$5:$T$44,$CU18,AT$57),""),1),IFERROR(INDEX(醫師週班表!$C$5:$T$44,$CU18,AT$57),"")))))))</f>
        <v/>
      </c>
      <c r="AU18" s="71">
        <f>IF(AU$59="X","",IF(AU$59&lt;&gt;"",AU$59,IF(IFERROR(INDEX(醫師週班表!$C$5:$T$44,$CU18,AU$57),"")=0,"",IF(MID(IFERROR(INDEX(醫師週班表!$C$5:$T$44,$CU18,AU$57),""),2,1)="/",MID(IFERROR(INDEX(醫師週班表!$C$5:$T$44,$CU18,AU$57),""),1+AU$58*2,1),IF(MID(IFERROR(INDEX(醫師週班表!$C$5:$T$44,$CU18,AU$57),""),3,1)="隔",IF(AU$58=0,LEFT(IFERROR(INDEX(醫師週班表!$C$5:$T$44,$CU18,AU$57),""),1),""),IF(MID(IFERROR(INDEX(醫師週班表!$C$5:$T$44,$CU18,AU$57),""),2,1)="(",LEFT(IFERROR(INDEX(醫師週班表!$C$5:$T$44,$CU18,AU$57),""),1),IFERROR(INDEX(醫師週班表!$C$5:$T$44,$CU18,AU$57),"")))))))</f>
        <v/>
      </c>
      <c r="AV18" s="72">
        <f>IF(AV$59="X","",IF(AV$59&lt;&gt;"",AV$59,IF(IFERROR(INDEX(醫師週班表!$C$5:$T$44,$CU18,AV$57),"")=0,"",IF(MID(IFERROR(INDEX(醫師週班表!$C$5:$T$44,$CU18,AV$57),""),2,1)="/",MID(IFERROR(INDEX(醫師週班表!$C$5:$T$44,$CU18,AV$57),""),1+AV$58*2,1),IF(MID(IFERROR(INDEX(醫師週班表!$C$5:$T$44,$CU18,AV$57),""),3,1)="隔",IF(AV$58=0,LEFT(IFERROR(INDEX(醫師週班表!$C$5:$T$44,$CU18,AV$57),""),1),""),IF(MID(IFERROR(INDEX(醫師週班表!$C$5:$T$44,$CU18,AV$57),""),2,1)="(",LEFT(IFERROR(INDEX(醫師週班表!$C$5:$T$44,$CU18,AV$57),""),1),IFERROR(INDEX(醫師週班表!$C$5:$T$44,$CU18,AV$57),"")))))))</f>
        <v/>
      </c>
      <c r="AW18" s="72">
        <f>IF(AW$59="X","",IF(AW$59&lt;&gt;"",AW$59,IF(IFERROR(INDEX(醫師週班表!$C$5:$T$44,$CU18,AW$57),"")=0,"",IF(MID(IFERROR(INDEX(醫師週班表!$C$5:$T$44,$CU18,AW$57),""),2,1)="/",MID(IFERROR(INDEX(醫師週班表!$C$5:$T$44,$CU18,AW$57),""),1+AW$58*2,1),IF(MID(IFERROR(INDEX(醫師週班表!$C$5:$T$44,$CU18,AW$57),""),3,1)="隔",IF(AW$58=0,LEFT(IFERROR(INDEX(醫師週班表!$C$5:$T$44,$CU18,AW$57),""),1),""),IF(MID(IFERROR(INDEX(醫師週班表!$C$5:$T$44,$CU18,AW$57),""),2,1)="(",LEFT(IFERROR(INDEX(醫師週班表!$C$5:$T$44,$CU18,AW$57),""),1),IFERROR(INDEX(醫師週班表!$C$5:$T$44,$CU18,AW$57),"")))))))</f>
        <v/>
      </c>
      <c r="AX18" s="71">
        <f>IF(AX$59="X","",IF(AX$59&lt;&gt;"",AX$59,IF(IFERROR(INDEX(醫師週班表!$C$5:$T$44,$CU18,AX$57),"")=0,"",IF(MID(IFERROR(INDEX(醫師週班表!$C$5:$T$44,$CU18,AX$57),""),2,1)="/",MID(IFERROR(INDEX(醫師週班表!$C$5:$T$44,$CU18,AX$57),""),1+AX$58*2,1),IF(MID(IFERROR(INDEX(醫師週班表!$C$5:$T$44,$CU18,AX$57),""),3,1)="隔",IF(AX$58=0,LEFT(IFERROR(INDEX(醫師週班表!$C$5:$T$44,$CU18,AX$57),""),1),""),IF(MID(IFERROR(INDEX(醫師週班表!$C$5:$T$44,$CU18,AX$57),""),2,1)="(",LEFT(IFERROR(INDEX(醫師週班表!$C$5:$T$44,$CU18,AX$57),""),1),IFERROR(INDEX(醫師週班表!$C$5:$T$44,$CU18,AX$57),"")))))))</f>
        <v/>
      </c>
      <c r="AY18" s="72">
        <f>IF(AY$59="X","",IF(AY$59&lt;&gt;"",AY$59,IF(IFERROR(INDEX(醫師週班表!$C$5:$T$44,$CU18,AY$57),"")=0,"",IF(MID(IFERROR(INDEX(醫師週班表!$C$5:$T$44,$CU18,AY$57),""),2,1)="/",MID(IFERROR(INDEX(醫師週班表!$C$5:$T$44,$CU18,AY$57),""),1+AY$58*2,1),IF(MID(IFERROR(INDEX(醫師週班表!$C$5:$T$44,$CU18,AY$57),""),3,1)="隔",IF(AY$58=0,LEFT(IFERROR(INDEX(醫師週班表!$C$5:$T$44,$CU18,AY$57),""),1),""),IF(MID(IFERROR(INDEX(醫師週班表!$C$5:$T$44,$CU18,AY$57),""),2,1)="(",LEFT(IFERROR(INDEX(醫師週班表!$C$5:$T$44,$CU18,AY$57),""),1),IFERROR(INDEX(醫師週班表!$C$5:$T$44,$CU18,AY$57),"")))))))</f>
        <v/>
      </c>
      <c r="AZ18" s="72">
        <f>IF(AZ$59="X","",IF(AZ$59&lt;&gt;"",AZ$59,IF(IFERROR(INDEX(醫師週班表!$C$5:$T$44,$CU18,AZ$57),"")=0,"",IF(MID(IFERROR(INDEX(醫師週班表!$C$5:$T$44,$CU18,AZ$57),""),2,1)="/",MID(IFERROR(INDEX(醫師週班表!$C$5:$T$44,$CU18,AZ$57),""),1+AZ$58*2,1),IF(MID(IFERROR(INDEX(醫師週班表!$C$5:$T$44,$CU18,AZ$57),""),3,1)="隔",IF(AZ$58=0,LEFT(IFERROR(INDEX(醫師週班表!$C$5:$T$44,$CU18,AZ$57),""),1),""),IF(MID(IFERROR(INDEX(醫師週班表!$C$5:$T$44,$CU18,AZ$57),""),2,1)="(",LEFT(IFERROR(INDEX(醫師週班表!$C$5:$T$44,$CU18,AZ$57),""),1),IFERROR(INDEX(醫師週班表!$C$5:$T$44,$CU18,AZ$57),"")))))))</f>
        <v/>
      </c>
      <c r="BA18" s="71">
        <f>IF(BA$59="X","",IF(BA$59&lt;&gt;"",BA$59,IF(IFERROR(INDEX(醫師週班表!$C$5:$T$44,$CU18,BA$57),"")=0,"",IF(MID(IFERROR(INDEX(醫師週班表!$C$5:$T$44,$CU18,BA$57),""),2,1)="/",MID(IFERROR(INDEX(醫師週班表!$C$5:$T$44,$CU18,BA$57),""),1+BA$58*2,1),IF(MID(IFERROR(INDEX(醫師週班表!$C$5:$T$44,$CU18,BA$57),""),3,1)="隔",IF(BA$58=0,LEFT(IFERROR(INDEX(醫師週班表!$C$5:$T$44,$CU18,BA$57),""),1),""),IF(MID(IFERROR(INDEX(醫師週班表!$C$5:$T$44,$CU18,BA$57),""),2,1)="(",LEFT(IFERROR(INDEX(醫師週班表!$C$5:$T$44,$CU18,BA$57),""),1),IFERROR(INDEX(醫師週班表!$C$5:$T$44,$CU18,BA$57),"")))))))</f>
        <v/>
      </c>
      <c r="BB18" s="72">
        <f>IF(BB$59="X","",IF(BB$59&lt;&gt;"",BB$59,IF(IFERROR(INDEX(醫師週班表!$C$5:$T$44,$CU18,BB$57),"")=0,"",IF(MID(IFERROR(INDEX(醫師週班表!$C$5:$T$44,$CU18,BB$57),""),2,1)="/",MID(IFERROR(INDEX(醫師週班表!$C$5:$T$44,$CU18,BB$57),""),1+BB$58*2,1),IF(MID(IFERROR(INDEX(醫師週班表!$C$5:$T$44,$CU18,BB$57),""),3,1)="隔",IF(BB$58=0,LEFT(IFERROR(INDEX(醫師週班表!$C$5:$T$44,$CU18,BB$57),""),1),""),IF(MID(IFERROR(INDEX(醫師週班表!$C$5:$T$44,$CU18,BB$57),""),2,1)="(",LEFT(IFERROR(INDEX(醫師週班表!$C$5:$T$44,$CU18,BB$57),""),1),IFERROR(INDEX(醫師週班表!$C$5:$T$44,$CU18,BB$57),"")))))))</f>
        <v/>
      </c>
      <c r="BC18" s="72">
        <f>IF(BC$59="X","",IF(BC$59&lt;&gt;"",BC$59,IF(IFERROR(INDEX(醫師週班表!$C$5:$T$44,$CU18,BC$57),"")=0,"",IF(MID(IFERROR(INDEX(醫師週班表!$C$5:$T$44,$CU18,BC$57),""),2,1)="/",MID(IFERROR(INDEX(醫師週班表!$C$5:$T$44,$CU18,BC$57),""),1+BC$58*2,1),IF(MID(IFERROR(INDEX(醫師週班表!$C$5:$T$44,$CU18,BC$57),""),3,1)="隔",IF(BC$58=0,LEFT(IFERROR(INDEX(醫師週班表!$C$5:$T$44,$CU18,BC$57),""),1),""),IF(MID(IFERROR(INDEX(醫師週班表!$C$5:$T$44,$CU18,BC$57),""),2,1)="(",LEFT(IFERROR(INDEX(醫師週班表!$C$5:$T$44,$CU18,BC$57),""),1),IFERROR(INDEX(醫師週班表!$C$5:$T$44,$CU18,BC$57),"")))))))</f>
        <v/>
      </c>
      <c r="BD18" s="71">
        <f>IF(BD$59="X","",IF(BD$59&lt;&gt;"",BD$59,IF(IFERROR(INDEX(醫師週班表!$C$5:$T$44,$CU18,BD$57),"")=0,"",IF(MID(IFERROR(INDEX(醫師週班表!$C$5:$T$44,$CU18,BD$57),""),2,1)="/",MID(IFERROR(INDEX(醫師週班表!$C$5:$T$44,$CU18,BD$57),""),1+BD$58*2,1),IF(MID(IFERROR(INDEX(醫師週班表!$C$5:$T$44,$CU18,BD$57),""),3,1)="隔",IF(BD$58=0,LEFT(IFERROR(INDEX(醫師週班表!$C$5:$T$44,$CU18,BD$57),""),1),""),IF(MID(IFERROR(INDEX(醫師週班表!$C$5:$T$44,$CU18,BD$57),""),2,1)="(",LEFT(IFERROR(INDEX(醫師週班表!$C$5:$T$44,$CU18,BD$57),""),1),IFERROR(INDEX(醫師週班表!$C$5:$T$44,$CU18,BD$57),"")))))))</f>
        <v/>
      </c>
      <c r="BE18" s="72">
        <f>IF(BE$59="X","",IF(BE$59&lt;&gt;"",BE$59,IF(IFERROR(INDEX(醫師週班表!$C$5:$T$44,$CU18,BE$57),"")=0,"",IF(MID(IFERROR(INDEX(醫師週班表!$C$5:$T$44,$CU18,BE$57),""),2,1)="/",MID(IFERROR(INDEX(醫師週班表!$C$5:$T$44,$CU18,BE$57),""),1+BE$58*2,1),IF(MID(IFERROR(INDEX(醫師週班表!$C$5:$T$44,$CU18,BE$57),""),3,1)="隔",IF(BE$58=0,LEFT(IFERROR(INDEX(醫師週班表!$C$5:$T$44,$CU18,BE$57),""),1),""),IF(MID(IFERROR(INDEX(醫師週班表!$C$5:$T$44,$CU18,BE$57),""),2,1)="(",LEFT(IFERROR(INDEX(醫師週班表!$C$5:$T$44,$CU18,BE$57),""),1),IFERROR(INDEX(醫師週班表!$C$5:$T$44,$CU18,BE$57),"")))))))</f>
        <v/>
      </c>
      <c r="BF18" s="72">
        <f>IF(BF$59="X","",IF(BF$59&lt;&gt;"",BF$59,IF(IFERROR(INDEX(醫師週班表!$C$5:$T$44,$CU18,BF$57),"")=0,"",IF(MID(IFERROR(INDEX(醫師週班表!$C$5:$T$44,$CU18,BF$57),""),2,1)="/",MID(IFERROR(INDEX(醫師週班表!$C$5:$T$44,$CU18,BF$57),""),1+BF$58*2,1),IF(MID(IFERROR(INDEX(醫師週班表!$C$5:$T$44,$CU18,BF$57),""),3,1)="隔",IF(BF$58=0,LEFT(IFERROR(INDEX(醫師週班表!$C$5:$T$44,$CU18,BF$57),""),1),""),IF(MID(IFERROR(INDEX(醫師週班表!$C$5:$T$44,$CU18,BF$57),""),2,1)="(",LEFT(IFERROR(INDEX(醫師週班表!$C$5:$T$44,$CU18,BF$57),""),1),IFERROR(INDEX(醫師週班表!$C$5:$T$44,$CU18,BF$57),"")))))))</f>
        <v/>
      </c>
      <c r="BG18" s="71">
        <f>IF(BG$59="X","",IF(BG$59&lt;&gt;"",BG$59,IF(IFERROR(INDEX(醫師週班表!$C$5:$T$44,$CU18,BG$57),"")=0,"",IF(MID(IFERROR(INDEX(醫師週班表!$C$5:$T$44,$CU18,BG$57),""),2,1)="/",MID(IFERROR(INDEX(醫師週班表!$C$5:$T$44,$CU18,BG$57),""),1+BG$58*2,1),IF(MID(IFERROR(INDEX(醫師週班表!$C$5:$T$44,$CU18,BG$57),""),3,1)="隔",IF(BG$58=0,LEFT(IFERROR(INDEX(醫師週班表!$C$5:$T$44,$CU18,BG$57),""),1),""),IF(MID(IFERROR(INDEX(醫師週班表!$C$5:$T$44,$CU18,BG$57),""),2,1)="(",LEFT(IFERROR(INDEX(醫師週班表!$C$5:$T$44,$CU18,BG$57),""),1),IFERROR(INDEX(醫師週班表!$C$5:$T$44,$CU18,BG$57),"")))))))</f>
        <v/>
      </c>
      <c r="BH18" s="72">
        <f>IF(BH$59="X","",IF(BH$59&lt;&gt;"",BH$59,IF(IFERROR(INDEX(醫師週班表!$C$5:$T$44,$CU18,BH$57),"")=0,"",IF(MID(IFERROR(INDEX(醫師週班表!$C$5:$T$44,$CU18,BH$57),""),2,1)="/",MID(IFERROR(INDEX(醫師週班表!$C$5:$T$44,$CU18,BH$57),""),1+BH$58*2,1),IF(MID(IFERROR(INDEX(醫師週班表!$C$5:$T$44,$CU18,BH$57),""),3,1)="隔",IF(BH$58=0,LEFT(IFERROR(INDEX(醫師週班表!$C$5:$T$44,$CU18,BH$57),""),1),""),IF(MID(IFERROR(INDEX(醫師週班表!$C$5:$T$44,$CU18,BH$57),""),2,1)="(",LEFT(IFERROR(INDEX(醫師週班表!$C$5:$T$44,$CU18,BH$57),""),1),IFERROR(INDEX(醫師週班表!$C$5:$T$44,$CU18,BH$57),"")))))))</f>
        <v/>
      </c>
      <c r="BI18" s="72">
        <f>IF(BI$59="X","",IF(BI$59&lt;&gt;"",BI$59,IF(IFERROR(INDEX(醫師週班表!$C$5:$T$44,$CU18,BI$57),"")=0,"",IF(MID(IFERROR(INDEX(醫師週班表!$C$5:$T$44,$CU18,BI$57),""),2,1)="/",MID(IFERROR(INDEX(醫師週班表!$C$5:$T$44,$CU18,BI$57),""),1+BI$58*2,1),IF(MID(IFERROR(INDEX(醫師週班表!$C$5:$T$44,$CU18,BI$57),""),3,1)="隔",IF(BI$58=0,LEFT(IFERROR(INDEX(醫師週班表!$C$5:$T$44,$CU18,BI$57),""),1),""),IF(MID(IFERROR(INDEX(醫師週班表!$C$5:$T$44,$CU18,BI$57),""),2,1)="(",LEFT(IFERROR(INDEX(醫師週班表!$C$5:$T$44,$CU18,BI$57),""),1),IFERROR(INDEX(醫師週班表!$C$5:$T$44,$CU18,BI$57),"")))))))</f>
        <v/>
      </c>
      <c r="BJ18" s="71">
        <f>IF(BJ$59="X","",IF(BJ$59&lt;&gt;"",BJ$59,IF(IFERROR(INDEX(醫師週班表!$C$5:$T$44,$CU18,BJ$57),"")=0,"",IF(MID(IFERROR(INDEX(醫師週班表!$C$5:$T$44,$CU18,BJ$57),""),2,1)="/",MID(IFERROR(INDEX(醫師週班表!$C$5:$T$44,$CU18,BJ$57),""),1+BJ$58*2,1),IF(MID(IFERROR(INDEX(醫師週班表!$C$5:$T$44,$CU18,BJ$57),""),3,1)="隔",IF(BJ$58=0,LEFT(IFERROR(INDEX(醫師週班表!$C$5:$T$44,$CU18,BJ$57),""),1),""),IF(MID(IFERROR(INDEX(醫師週班表!$C$5:$T$44,$CU18,BJ$57),""),2,1)="(",LEFT(IFERROR(INDEX(醫師週班表!$C$5:$T$44,$CU18,BJ$57),""),1),IFERROR(INDEX(醫師週班表!$C$5:$T$44,$CU18,BJ$57),"")))))))</f>
        <v/>
      </c>
      <c r="BK18" s="72">
        <f>IF(BK$59="X","",IF(BK$59&lt;&gt;"",BK$59,IF(IFERROR(INDEX(醫師週班表!$C$5:$T$44,$CU18,BK$57),"")=0,"",IF(MID(IFERROR(INDEX(醫師週班表!$C$5:$T$44,$CU18,BK$57),""),2,1)="/",MID(IFERROR(INDEX(醫師週班表!$C$5:$T$44,$CU18,BK$57),""),1+BK$58*2,1),IF(MID(IFERROR(INDEX(醫師週班表!$C$5:$T$44,$CU18,BK$57),""),3,1)="隔",IF(BK$58=0,LEFT(IFERROR(INDEX(醫師週班表!$C$5:$T$44,$CU18,BK$57),""),1),""),IF(MID(IFERROR(INDEX(醫師週班表!$C$5:$T$44,$CU18,BK$57),""),2,1)="(",LEFT(IFERROR(INDEX(醫師週班表!$C$5:$T$44,$CU18,BK$57),""),1),IFERROR(INDEX(醫師週班表!$C$5:$T$44,$CU18,BK$57),"")))))))</f>
        <v/>
      </c>
      <c r="BL18" s="72">
        <f>IF(BL$59="X","",IF(BL$59&lt;&gt;"",BL$59,IF(IFERROR(INDEX(醫師週班表!$C$5:$T$44,$CU18,BL$57),"")=0,"",IF(MID(IFERROR(INDEX(醫師週班表!$C$5:$T$44,$CU18,BL$57),""),2,1)="/",MID(IFERROR(INDEX(醫師週班表!$C$5:$T$44,$CU18,BL$57),""),1+BL$58*2,1),IF(MID(IFERROR(INDEX(醫師週班表!$C$5:$T$44,$CU18,BL$57),""),3,1)="隔",IF(BL$58=0,LEFT(IFERROR(INDEX(醫師週班表!$C$5:$T$44,$CU18,BL$57),""),1),""),IF(MID(IFERROR(INDEX(醫師週班表!$C$5:$T$44,$CU18,BL$57),""),2,1)="(",LEFT(IFERROR(INDEX(醫師週班表!$C$5:$T$44,$CU18,BL$57),""),1),IFERROR(INDEX(醫師週班表!$C$5:$T$44,$CU18,BL$57),"")))))))</f>
        <v/>
      </c>
      <c r="BM18" s="71">
        <f>IF(BM$59="X","",IF(BM$59&lt;&gt;"",BM$59,IF(IFERROR(INDEX(醫師週班表!$C$5:$T$44,$CU18,BM$57),"")=0,"",IF(MID(IFERROR(INDEX(醫師週班表!$C$5:$T$44,$CU18,BM$57),""),2,1)="/",MID(IFERROR(INDEX(醫師週班表!$C$5:$T$44,$CU18,BM$57),""),1+BM$58*2,1),IF(MID(IFERROR(INDEX(醫師週班表!$C$5:$T$44,$CU18,BM$57),""),3,1)="隔",IF(BM$58=0,LEFT(IFERROR(INDEX(醫師週班表!$C$5:$T$44,$CU18,BM$57),""),1),""),IF(MID(IFERROR(INDEX(醫師週班表!$C$5:$T$44,$CU18,BM$57),""),2,1)="(",LEFT(IFERROR(INDEX(醫師週班表!$C$5:$T$44,$CU18,BM$57),""),1),IFERROR(INDEX(醫師週班表!$C$5:$T$44,$CU18,BM$57),"")))))))</f>
        <v/>
      </c>
      <c r="BN18" s="72">
        <f>IF(BN$59="X","",IF(BN$59&lt;&gt;"",BN$59,IF(IFERROR(INDEX(醫師週班表!$C$5:$T$44,$CU18,BN$57),"")=0,"",IF(MID(IFERROR(INDEX(醫師週班表!$C$5:$T$44,$CU18,BN$57),""),2,1)="/",MID(IFERROR(INDEX(醫師週班表!$C$5:$T$44,$CU18,BN$57),""),1+BN$58*2,1),IF(MID(IFERROR(INDEX(醫師週班表!$C$5:$T$44,$CU18,BN$57),""),3,1)="隔",IF(BN$58=0,LEFT(IFERROR(INDEX(醫師週班表!$C$5:$T$44,$CU18,BN$57),""),1),""),IF(MID(IFERROR(INDEX(醫師週班表!$C$5:$T$44,$CU18,BN$57),""),2,1)="(",LEFT(IFERROR(INDEX(醫師週班表!$C$5:$T$44,$CU18,BN$57),""),1),IFERROR(INDEX(醫師週班表!$C$5:$T$44,$CU18,BN$57),"")))))))</f>
        <v/>
      </c>
      <c r="BO18" s="72">
        <f>IF(BO$59="X","",IF(BO$59&lt;&gt;"",BO$59,IF(IFERROR(INDEX(醫師週班表!$C$5:$T$44,$CU18,BO$57),"")=0,"",IF(MID(IFERROR(INDEX(醫師週班表!$C$5:$T$44,$CU18,BO$57),""),2,1)="/",MID(IFERROR(INDEX(醫師週班表!$C$5:$T$44,$CU18,BO$57),""),1+BO$58*2,1),IF(MID(IFERROR(INDEX(醫師週班表!$C$5:$T$44,$CU18,BO$57),""),3,1)="隔",IF(BO$58=0,LEFT(IFERROR(INDEX(醫師週班表!$C$5:$T$44,$CU18,BO$57),""),1),""),IF(MID(IFERROR(INDEX(醫師週班表!$C$5:$T$44,$CU18,BO$57),""),2,1)="(",LEFT(IFERROR(INDEX(醫師週班表!$C$5:$T$44,$CU18,BO$57),""),1),IFERROR(INDEX(醫師週班表!$C$5:$T$44,$CU18,BO$57),"")))))))</f>
        <v/>
      </c>
      <c r="BP18" s="71">
        <f>IF(BP$59="X","",IF(BP$59&lt;&gt;"",BP$59,IF(IFERROR(INDEX(醫師週班表!$C$5:$T$44,$CU18,BP$57),"")=0,"",IF(MID(IFERROR(INDEX(醫師週班表!$C$5:$T$44,$CU18,BP$57),""),2,1)="/",MID(IFERROR(INDEX(醫師週班表!$C$5:$T$44,$CU18,BP$57),""),1+BP$58*2,1),IF(MID(IFERROR(INDEX(醫師週班表!$C$5:$T$44,$CU18,BP$57),""),3,1)="隔",IF(BP$58=0,LEFT(IFERROR(INDEX(醫師週班表!$C$5:$T$44,$CU18,BP$57),""),1),""),IF(MID(IFERROR(INDEX(醫師週班表!$C$5:$T$44,$CU18,BP$57),""),2,1)="(",LEFT(IFERROR(INDEX(醫師週班表!$C$5:$T$44,$CU18,BP$57),""),1),IFERROR(INDEX(醫師週班表!$C$5:$T$44,$CU18,BP$57),"")))))))</f>
        <v/>
      </c>
      <c r="BQ18" s="72">
        <f>IF(BQ$59="X","",IF(BQ$59&lt;&gt;"",BQ$59,IF(IFERROR(INDEX(醫師週班表!$C$5:$T$44,$CU18,BQ$57),"")=0,"",IF(MID(IFERROR(INDEX(醫師週班表!$C$5:$T$44,$CU18,BQ$57),""),2,1)="/",MID(IFERROR(INDEX(醫師週班表!$C$5:$T$44,$CU18,BQ$57),""),1+BQ$58*2,1),IF(MID(IFERROR(INDEX(醫師週班表!$C$5:$T$44,$CU18,BQ$57),""),3,1)="隔",IF(BQ$58=0,LEFT(IFERROR(INDEX(醫師週班表!$C$5:$T$44,$CU18,BQ$57),""),1),""),IF(MID(IFERROR(INDEX(醫師週班表!$C$5:$T$44,$CU18,BQ$57),""),2,1)="(",LEFT(IFERROR(INDEX(醫師週班表!$C$5:$T$44,$CU18,BQ$57),""),1),IFERROR(INDEX(醫師週班表!$C$5:$T$44,$CU18,BQ$57),"")))))))</f>
        <v/>
      </c>
      <c r="BR18" s="72">
        <f>IF(BR$59="X","",IF(BR$59&lt;&gt;"",BR$59,IF(IFERROR(INDEX(醫師週班表!$C$5:$T$44,$CU18,BR$57),"")=0,"",IF(MID(IFERROR(INDEX(醫師週班表!$C$5:$T$44,$CU18,BR$57),""),2,1)="/",MID(IFERROR(INDEX(醫師週班表!$C$5:$T$44,$CU18,BR$57),""),1+BR$58*2,1),IF(MID(IFERROR(INDEX(醫師週班表!$C$5:$T$44,$CU18,BR$57),""),3,1)="隔",IF(BR$58=0,LEFT(IFERROR(INDEX(醫師週班表!$C$5:$T$44,$CU18,BR$57),""),1),""),IF(MID(IFERROR(INDEX(醫師週班表!$C$5:$T$44,$CU18,BR$57),""),2,1)="(",LEFT(IFERROR(INDEX(醫師週班表!$C$5:$T$44,$CU18,BR$57),""),1),IFERROR(INDEX(醫師週班表!$C$5:$T$44,$CU18,BR$57),"")))))))</f>
        <v/>
      </c>
      <c r="BS18" s="71">
        <f>IF(BS$59="X","",IF(BS$59&lt;&gt;"",BS$59,IF(IFERROR(INDEX(醫師週班表!$C$5:$T$44,$CU18,BS$57),"")=0,"",IF(MID(IFERROR(INDEX(醫師週班表!$C$5:$T$44,$CU18,BS$57),""),2,1)="/",MID(IFERROR(INDEX(醫師週班表!$C$5:$T$44,$CU18,BS$57),""),1+BS$58*2,1),IF(MID(IFERROR(INDEX(醫師週班表!$C$5:$T$44,$CU18,BS$57),""),3,1)="隔",IF(BS$58=0,LEFT(IFERROR(INDEX(醫師週班表!$C$5:$T$44,$CU18,BS$57),""),1),""),IF(MID(IFERROR(INDEX(醫師週班表!$C$5:$T$44,$CU18,BS$57),""),2,1)="(",LEFT(IFERROR(INDEX(醫師週班表!$C$5:$T$44,$CU18,BS$57),""),1),IFERROR(INDEX(醫師週班表!$C$5:$T$44,$CU18,BS$57),"")))))))</f>
        <v/>
      </c>
      <c r="BT18" s="72">
        <f>IF(BT$59="X","",IF(BT$59&lt;&gt;"",BT$59,IF(IFERROR(INDEX(醫師週班表!$C$5:$T$44,$CU18,BT$57),"")=0,"",IF(MID(IFERROR(INDEX(醫師週班表!$C$5:$T$44,$CU18,BT$57),""),2,1)="/",MID(IFERROR(INDEX(醫師週班表!$C$5:$T$44,$CU18,BT$57),""),1+BT$58*2,1),IF(MID(IFERROR(INDEX(醫師週班表!$C$5:$T$44,$CU18,BT$57),""),3,1)="隔",IF(BT$58=0,LEFT(IFERROR(INDEX(醫師週班表!$C$5:$T$44,$CU18,BT$57),""),1),""),IF(MID(IFERROR(INDEX(醫師週班表!$C$5:$T$44,$CU18,BT$57),""),2,1)="(",LEFT(IFERROR(INDEX(醫師週班表!$C$5:$T$44,$CU18,BT$57),""),1),IFERROR(INDEX(醫師週班表!$C$5:$T$44,$CU18,BT$57),"")))))))</f>
        <v/>
      </c>
      <c r="BU18" s="72">
        <f>IF(BU$59="X","",IF(BU$59&lt;&gt;"",BU$59,IF(IFERROR(INDEX(醫師週班表!$C$5:$T$44,$CU18,BU$57),"")=0,"",IF(MID(IFERROR(INDEX(醫師週班表!$C$5:$T$44,$CU18,BU$57),""),2,1)="/",MID(IFERROR(INDEX(醫師週班表!$C$5:$T$44,$CU18,BU$57),""),1+BU$58*2,1),IF(MID(IFERROR(INDEX(醫師週班表!$C$5:$T$44,$CU18,BU$57),""),3,1)="隔",IF(BU$58=0,LEFT(IFERROR(INDEX(醫師週班表!$C$5:$T$44,$CU18,BU$57),""),1),""),IF(MID(IFERROR(INDEX(醫師週班表!$C$5:$T$44,$CU18,BU$57),""),2,1)="(",LEFT(IFERROR(INDEX(醫師週班表!$C$5:$T$44,$CU18,BU$57),""),1),IFERROR(INDEX(醫師週班表!$C$5:$T$44,$CU18,BU$57),"")))))))</f>
        <v/>
      </c>
      <c r="BV18" s="71">
        <f>IF(BV$59="X","",IF(BV$59&lt;&gt;"",BV$59,IF(IFERROR(INDEX(醫師週班表!$C$5:$T$44,$CU18,BV$57),"")=0,"",IF(MID(IFERROR(INDEX(醫師週班表!$C$5:$T$44,$CU18,BV$57),""),2,1)="/",MID(IFERROR(INDEX(醫師週班表!$C$5:$T$44,$CU18,BV$57),""),1+BV$58*2,1),IF(MID(IFERROR(INDEX(醫師週班表!$C$5:$T$44,$CU18,BV$57),""),3,1)="隔",IF(BV$58=0,LEFT(IFERROR(INDEX(醫師週班表!$C$5:$T$44,$CU18,BV$57),""),1),""),IF(MID(IFERROR(INDEX(醫師週班表!$C$5:$T$44,$CU18,BV$57),""),2,1)="(",LEFT(IFERROR(INDEX(醫師週班表!$C$5:$T$44,$CU18,BV$57),""),1),IFERROR(INDEX(醫師週班表!$C$5:$T$44,$CU18,BV$57),"")))))))</f>
        <v/>
      </c>
      <c r="BW18" s="72">
        <f>IF(BW$59="X","",IF(BW$59&lt;&gt;"",BW$59,IF(IFERROR(INDEX(醫師週班表!$C$5:$T$44,$CU18,BW$57),"")=0,"",IF(MID(IFERROR(INDEX(醫師週班表!$C$5:$T$44,$CU18,BW$57),""),2,1)="/",MID(IFERROR(INDEX(醫師週班表!$C$5:$T$44,$CU18,BW$57),""),1+BW$58*2,1),IF(MID(IFERROR(INDEX(醫師週班表!$C$5:$T$44,$CU18,BW$57),""),3,1)="隔",IF(BW$58=0,LEFT(IFERROR(INDEX(醫師週班表!$C$5:$T$44,$CU18,BW$57),""),1),""),IF(MID(IFERROR(INDEX(醫師週班表!$C$5:$T$44,$CU18,BW$57),""),2,1)="(",LEFT(IFERROR(INDEX(醫師週班表!$C$5:$T$44,$CU18,BW$57),""),1),IFERROR(INDEX(醫師週班表!$C$5:$T$44,$CU18,BW$57),"")))))))</f>
        <v/>
      </c>
      <c r="BX18" s="72">
        <f>IF(BX$59="X","",IF(BX$59&lt;&gt;"",BX$59,IF(IFERROR(INDEX(醫師週班表!$C$5:$T$44,$CU18,BX$57),"")=0,"",IF(MID(IFERROR(INDEX(醫師週班表!$C$5:$T$44,$CU18,BX$57),""),2,1)="/",MID(IFERROR(INDEX(醫師週班表!$C$5:$T$44,$CU18,BX$57),""),1+BX$58*2,1),IF(MID(IFERROR(INDEX(醫師週班表!$C$5:$T$44,$CU18,BX$57),""),3,1)="隔",IF(BX$58=0,LEFT(IFERROR(INDEX(醫師週班表!$C$5:$T$44,$CU18,BX$57),""),1),""),IF(MID(IFERROR(INDEX(醫師週班表!$C$5:$T$44,$CU18,BX$57),""),2,1)="(",LEFT(IFERROR(INDEX(醫師週班表!$C$5:$T$44,$CU18,BX$57),""),1),IFERROR(INDEX(醫師週班表!$C$5:$T$44,$CU18,BX$57),"")))))))</f>
        <v/>
      </c>
      <c r="BY18" s="71">
        <f>IF(BY$59="X","",IF(BY$59&lt;&gt;"",BY$59,IF(IFERROR(INDEX(醫師週班表!$C$5:$T$44,$CU18,BY$57),"")=0,"",IF(MID(IFERROR(INDEX(醫師週班表!$C$5:$T$44,$CU18,BY$57),""),2,1)="/",MID(IFERROR(INDEX(醫師週班表!$C$5:$T$44,$CU18,BY$57),""),1+BY$58*2,1),IF(MID(IFERROR(INDEX(醫師週班表!$C$5:$T$44,$CU18,BY$57),""),3,1)="隔",IF(BY$58=0,LEFT(IFERROR(INDEX(醫師週班表!$C$5:$T$44,$CU18,BY$57),""),1),""),IF(MID(IFERROR(INDEX(醫師週班表!$C$5:$T$44,$CU18,BY$57),""),2,1)="(",LEFT(IFERROR(INDEX(醫師週班表!$C$5:$T$44,$CU18,BY$57),""),1),IFERROR(INDEX(醫師週班表!$C$5:$T$44,$CU18,BY$57),"")))))))</f>
        <v/>
      </c>
      <c r="BZ18" s="72">
        <f>IF(BZ$59="X","",IF(BZ$59&lt;&gt;"",BZ$59,IF(IFERROR(INDEX(醫師週班表!$C$5:$T$44,$CU18,BZ$57),"")=0,"",IF(MID(IFERROR(INDEX(醫師週班表!$C$5:$T$44,$CU18,BZ$57),""),2,1)="/",MID(IFERROR(INDEX(醫師週班表!$C$5:$T$44,$CU18,BZ$57),""),1+BZ$58*2,1),IF(MID(IFERROR(INDEX(醫師週班表!$C$5:$T$44,$CU18,BZ$57),""),3,1)="隔",IF(BZ$58=0,LEFT(IFERROR(INDEX(醫師週班表!$C$5:$T$44,$CU18,BZ$57),""),1),""),IF(MID(IFERROR(INDEX(醫師週班表!$C$5:$T$44,$CU18,BZ$57),""),2,1)="(",LEFT(IFERROR(INDEX(醫師週班表!$C$5:$T$44,$CU18,BZ$57),""),1),IFERROR(INDEX(醫師週班表!$C$5:$T$44,$CU18,BZ$57),"")))))))</f>
        <v/>
      </c>
      <c r="CA18" s="72">
        <f>IF(CA$59="X","",IF(CA$59&lt;&gt;"",CA$59,IF(IFERROR(INDEX(醫師週班表!$C$5:$T$44,$CU18,CA$57),"")=0,"",IF(MID(IFERROR(INDEX(醫師週班表!$C$5:$T$44,$CU18,CA$57),""),2,1)="/",MID(IFERROR(INDEX(醫師週班表!$C$5:$T$44,$CU18,CA$57),""),1+CA$58*2,1),IF(MID(IFERROR(INDEX(醫師週班表!$C$5:$T$44,$CU18,CA$57),""),3,1)="隔",IF(CA$58=0,LEFT(IFERROR(INDEX(醫師週班表!$C$5:$T$44,$CU18,CA$57),""),1),""),IF(MID(IFERROR(INDEX(醫師週班表!$C$5:$T$44,$CU18,CA$57),""),2,1)="(",LEFT(IFERROR(INDEX(醫師週班表!$C$5:$T$44,$CU18,CA$57),""),1),IFERROR(INDEX(醫師週班表!$C$5:$T$44,$CU18,CA$57),"")))))))</f>
        <v/>
      </c>
      <c r="CB18" s="71">
        <f>IF(CB$59="X","",IF(CB$59&lt;&gt;"",CB$59,IF(IFERROR(INDEX(醫師週班表!$C$5:$T$44,$CU18,CB$57),"")=0,"",IF(MID(IFERROR(INDEX(醫師週班表!$C$5:$T$44,$CU18,CB$57),""),2,1)="/",MID(IFERROR(INDEX(醫師週班表!$C$5:$T$44,$CU18,CB$57),""),1+CB$58*2,1),IF(MID(IFERROR(INDEX(醫師週班表!$C$5:$T$44,$CU18,CB$57),""),3,1)="隔",IF(CB$58=0,LEFT(IFERROR(INDEX(醫師週班表!$C$5:$T$44,$CU18,CB$57),""),1),""),IF(MID(IFERROR(INDEX(醫師週班表!$C$5:$T$44,$CU18,CB$57),""),2,1)="(",LEFT(IFERROR(INDEX(醫師週班表!$C$5:$T$44,$CU18,CB$57),""),1),IFERROR(INDEX(醫師週班表!$C$5:$T$44,$CU18,CB$57),"")))))))</f>
        <v/>
      </c>
      <c r="CC18" s="72">
        <f>IF(CC$59="X","",IF(CC$59&lt;&gt;"",CC$59,IF(IFERROR(INDEX(醫師週班表!$C$5:$T$44,$CU18,CC$57),"")=0,"",IF(MID(IFERROR(INDEX(醫師週班表!$C$5:$T$44,$CU18,CC$57),""),2,1)="/",MID(IFERROR(INDEX(醫師週班表!$C$5:$T$44,$CU18,CC$57),""),1+CC$58*2,1),IF(MID(IFERROR(INDEX(醫師週班表!$C$5:$T$44,$CU18,CC$57),""),3,1)="隔",IF(CC$58=0,LEFT(IFERROR(INDEX(醫師週班表!$C$5:$T$44,$CU18,CC$57),""),1),""),IF(MID(IFERROR(INDEX(醫師週班表!$C$5:$T$44,$CU18,CC$57),""),2,1)="(",LEFT(IFERROR(INDEX(醫師週班表!$C$5:$T$44,$CU18,CC$57),""),1),IFERROR(INDEX(醫師週班表!$C$5:$T$44,$CU18,CC$57),"")))))))</f>
        <v/>
      </c>
      <c r="CD18" s="72">
        <f>IF(CD$59="X","",IF(CD$59&lt;&gt;"",CD$59,IF(IFERROR(INDEX(醫師週班表!$C$5:$T$44,$CU18,CD$57),"")=0,"",IF(MID(IFERROR(INDEX(醫師週班表!$C$5:$T$44,$CU18,CD$57),""),2,1)="/",MID(IFERROR(INDEX(醫師週班表!$C$5:$T$44,$CU18,CD$57),""),1+CD$58*2,1),IF(MID(IFERROR(INDEX(醫師週班表!$C$5:$T$44,$CU18,CD$57),""),3,1)="隔",IF(CD$58=0,LEFT(IFERROR(INDEX(醫師週班表!$C$5:$T$44,$CU18,CD$57),""),1),""),IF(MID(IFERROR(INDEX(醫師週班表!$C$5:$T$44,$CU18,CD$57),""),2,1)="(",LEFT(IFERROR(INDEX(醫師週班表!$C$5:$T$44,$CU18,CD$57),""),1),IFERROR(INDEX(醫師週班表!$C$5:$T$44,$CU18,CD$57),"")))))))</f>
        <v/>
      </c>
      <c r="CE18" s="71">
        <f>IF(CE$59="X","",IF(CE$59&lt;&gt;"",CE$59,IF(IFERROR(INDEX(醫師週班表!$C$5:$T$44,$CU18,CE$57),"")=0,"",IF(MID(IFERROR(INDEX(醫師週班表!$C$5:$T$44,$CU18,CE$57),""),2,1)="/",MID(IFERROR(INDEX(醫師週班表!$C$5:$T$44,$CU18,CE$57),""),1+CE$58*2,1),IF(MID(IFERROR(INDEX(醫師週班表!$C$5:$T$44,$CU18,CE$57),""),3,1)="隔",IF(CE$58=0,LEFT(IFERROR(INDEX(醫師週班表!$C$5:$T$44,$CU18,CE$57),""),1),""),IF(MID(IFERROR(INDEX(醫師週班表!$C$5:$T$44,$CU18,CE$57),""),2,1)="(",LEFT(IFERROR(INDEX(醫師週班表!$C$5:$T$44,$CU18,CE$57),""),1),IFERROR(INDEX(醫師週班表!$C$5:$T$44,$CU18,CE$57),"")))))))</f>
        <v/>
      </c>
      <c r="CF18" s="72">
        <f>IF(CF$59="X","",IF(CF$59&lt;&gt;"",CF$59,IF(IFERROR(INDEX(醫師週班表!$C$5:$T$44,$CU18,CF$57),"")=0,"",IF(MID(IFERROR(INDEX(醫師週班表!$C$5:$T$44,$CU18,CF$57),""),2,1)="/",MID(IFERROR(INDEX(醫師週班表!$C$5:$T$44,$CU18,CF$57),""),1+CF$58*2,1),IF(MID(IFERROR(INDEX(醫師週班表!$C$5:$T$44,$CU18,CF$57),""),3,1)="隔",IF(CF$58=0,LEFT(IFERROR(INDEX(醫師週班表!$C$5:$T$44,$CU18,CF$57),""),1),""),IF(MID(IFERROR(INDEX(醫師週班表!$C$5:$T$44,$CU18,CF$57),""),2,1)="(",LEFT(IFERROR(INDEX(醫師週班表!$C$5:$T$44,$CU18,CF$57),""),1),IFERROR(INDEX(醫師週班表!$C$5:$T$44,$CU18,CF$57),"")))))))</f>
        <v/>
      </c>
      <c r="CG18" s="72">
        <f>IF(CG$59="X","",IF(CG$59&lt;&gt;"",CG$59,IF(IFERROR(INDEX(醫師週班表!$C$5:$T$44,$CU18,CG$57),"")=0,"",IF(MID(IFERROR(INDEX(醫師週班表!$C$5:$T$44,$CU18,CG$57),""),2,1)="/",MID(IFERROR(INDEX(醫師週班表!$C$5:$T$44,$CU18,CG$57),""),1+CG$58*2,1),IF(MID(IFERROR(INDEX(醫師週班表!$C$5:$T$44,$CU18,CG$57),""),3,1)="隔",IF(CG$58=0,LEFT(IFERROR(INDEX(醫師週班表!$C$5:$T$44,$CU18,CG$57),""),1),""),IF(MID(IFERROR(INDEX(醫師週班表!$C$5:$T$44,$CU18,CG$57),""),2,1)="(",LEFT(IFERROR(INDEX(醫師週班表!$C$5:$T$44,$CU18,CG$57),""),1),IFERROR(INDEX(醫師週班表!$C$5:$T$44,$CU18,CG$57),"")))))))</f>
        <v/>
      </c>
      <c r="CH18" s="71">
        <f>IF(CH$59="X","",IF(CH$59&lt;&gt;"",CH$59,IF(IFERROR(INDEX(醫師週班表!$C$5:$T$44,$CU18,CH$57),"")=0,"",IF(MID(IFERROR(INDEX(醫師週班表!$C$5:$T$44,$CU18,CH$57),""),2,1)="/",MID(IFERROR(INDEX(醫師週班表!$C$5:$T$44,$CU18,CH$57),""),1+CH$58*2,1),IF(MID(IFERROR(INDEX(醫師週班表!$C$5:$T$44,$CU18,CH$57),""),3,1)="隔",IF(CH$58=0,LEFT(IFERROR(INDEX(醫師週班表!$C$5:$T$44,$CU18,CH$57),""),1),""),IF(MID(IFERROR(INDEX(醫師週班表!$C$5:$T$44,$CU18,CH$57),""),2,1)="(",LEFT(IFERROR(INDEX(醫師週班表!$C$5:$T$44,$CU18,CH$57),""),1),IFERROR(INDEX(醫師週班表!$C$5:$T$44,$CU18,CH$57),"")))))))</f>
        <v/>
      </c>
      <c r="CI18" s="72">
        <f>IF(CI$59="X","",IF(CI$59&lt;&gt;"",CI$59,IF(IFERROR(INDEX(醫師週班表!$C$5:$T$44,$CU18,CI$57),"")=0,"",IF(MID(IFERROR(INDEX(醫師週班表!$C$5:$T$44,$CU18,CI$57),""),2,1)="/",MID(IFERROR(INDEX(醫師週班表!$C$5:$T$44,$CU18,CI$57),""),1+CI$58*2,1),IF(MID(IFERROR(INDEX(醫師週班表!$C$5:$T$44,$CU18,CI$57),""),3,1)="隔",IF(CI$58=0,LEFT(IFERROR(INDEX(醫師週班表!$C$5:$T$44,$CU18,CI$57),""),1),""),IF(MID(IFERROR(INDEX(醫師週班表!$C$5:$T$44,$CU18,CI$57),""),2,1)="(",LEFT(IFERROR(INDEX(醫師週班表!$C$5:$T$44,$CU18,CI$57),""),1),IFERROR(INDEX(醫師週班表!$C$5:$T$44,$CU18,CI$57),"")))))))</f>
        <v/>
      </c>
      <c r="CJ18" s="72">
        <f>IF(CJ$59="X","",IF(CJ$59&lt;&gt;"",CJ$59,IF(IFERROR(INDEX(醫師週班表!$C$5:$T$44,$CU18,CJ$57),"")=0,"",IF(MID(IFERROR(INDEX(醫師週班表!$C$5:$T$44,$CU18,CJ$57),""),2,1)="/",MID(IFERROR(INDEX(醫師週班表!$C$5:$T$44,$CU18,CJ$57),""),1+CJ$58*2,1),IF(MID(IFERROR(INDEX(醫師週班表!$C$5:$T$44,$CU18,CJ$57),""),3,1)="隔",IF(CJ$58=0,LEFT(IFERROR(INDEX(醫師週班表!$C$5:$T$44,$CU18,CJ$57),""),1),""),IF(MID(IFERROR(INDEX(醫師週班表!$C$5:$T$44,$CU18,CJ$57),""),2,1)="(",LEFT(IFERROR(INDEX(醫師週班表!$C$5:$T$44,$CU18,CJ$57),""),1),IFERROR(INDEX(醫師週班表!$C$5:$T$44,$CU18,CJ$57),"")))))))</f>
        <v/>
      </c>
      <c r="CK18" s="71">
        <f>IF(CK$59="X","",IF(CK$59&lt;&gt;"",CK$59,IF(IFERROR(INDEX(醫師週班表!$C$5:$T$44,$CU18,CK$57),"")=0,"",IF(MID(IFERROR(INDEX(醫師週班表!$C$5:$T$44,$CU18,CK$57),""),2,1)="/",MID(IFERROR(INDEX(醫師週班表!$C$5:$T$44,$CU18,CK$57),""),1+CK$58*2,1),IF(MID(IFERROR(INDEX(醫師週班表!$C$5:$T$44,$CU18,CK$57),""),3,1)="隔",IF(CK$58=0,LEFT(IFERROR(INDEX(醫師週班表!$C$5:$T$44,$CU18,CK$57),""),1),""),IF(MID(IFERROR(INDEX(醫師週班表!$C$5:$T$44,$CU18,CK$57),""),2,1)="(",LEFT(IFERROR(INDEX(醫師週班表!$C$5:$T$44,$CU18,CK$57),""),1),IFERROR(INDEX(醫師週班表!$C$5:$T$44,$CU18,CK$57),"")))))))</f>
        <v/>
      </c>
      <c r="CL18" s="72">
        <f>IF(CL$59="X","",IF(CL$59&lt;&gt;"",CL$59,IF(IFERROR(INDEX(醫師週班表!$C$5:$T$44,$CU18,CL$57),"")=0,"",IF(MID(IFERROR(INDEX(醫師週班表!$C$5:$T$44,$CU18,CL$57),""),2,1)="/",MID(IFERROR(INDEX(醫師週班表!$C$5:$T$44,$CU18,CL$57),""),1+CL$58*2,1),IF(MID(IFERROR(INDEX(醫師週班表!$C$5:$T$44,$CU18,CL$57),""),3,1)="隔",IF(CL$58=0,LEFT(IFERROR(INDEX(醫師週班表!$C$5:$T$44,$CU18,CL$57),""),1),""),IF(MID(IFERROR(INDEX(醫師週班表!$C$5:$T$44,$CU18,CL$57),""),2,1)="(",LEFT(IFERROR(INDEX(醫師週班表!$C$5:$T$44,$CU18,CL$57),""),1),IFERROR(INDEX(醫師週班表!$C$5:$T$44,$CU18,CL$57),"")))))))</f>
        <v/>
      </c>
      <c r="CM18" s="72">
        <f>IF(CM$59="X","",IF(CM$59&lt;&gt;"",CM$59,IF(IFERROR(INDEX(醫師週班表!$C$5:$T$44,$CU18,CM$57),"")=0,"",IF(MID(IFERROR(INDEX(醫師週班表!$C$5:$T$44,$CU18,CM$57),""),2,1)="/",MID(IFERROR(INDEX(醫師週班表!$C$5:$T$44,$CU18,CM$57),""),1+CM$58*2,1),IF(MID(IFERROR(INDEX(醫師週班表!$C$5:$T$44,$CU18,CM$57),""),3,1)="隔",IF(CM$58=0,LEFT(IFERROR(INDEX(醫師週班表!$C$5:$T$44,$CU18,CM$57),""),1),""),IF(MID(IFERROR(INDEX(醫師週班表!$C$5:$T$44,$CU18,CM$57),""),2,1)="(",LEFT(IFERROR(INDEX(醫師週班表!$C$5:$T$44,$CU18,CM$57),""),1),IFERROR(INDEX(醫師週班表!$C$5:$T$44,$CU18,CM$57),"")))))))</f>
        <v/>
      </c>
      <c r="CN18" s="71">
        <f>IF(CN$59="X","",IF(CN$59&lt;&gt;"",CN$59,IF(IFERROR(INDEX(醫師週班表!$C$5:$T$44,$CU18,CN$57),"")=0,"",IF(MID(IFERROR(INDEX(醫師週班表!$C$5:$T$44,$CU18,CN$57),""),2,1)="/",MID(IFERROR(INDEX(醫師週班表!$C$5:$T$44,$CU18,CN$57),""),1+CN$58*2,1),IF(MID(IFERROR(INDEX(醫師週班表!$C$5:$T$44,$CU18,CN$57),""),3,1)="隔",IF(CN$58=0,LEFT(IFERROR(INDEX(醫師週班表!$C$5:$T$44,$CU18,CN$57),""),1),""),IF(MID(IFERROR(INDEX(醫師週班表!$C$5:$T$44,$CU18,CN$57),""),2,1)="(",LEFT(IFERROR(INDEX(醫師週班表!$C$5:$T$44,$CU18,CN$57),""),1),IFERROR(INDEX(醫師週班表!$C$5:$T$44,$CU18,CN$57),"")))))))</f>
        <v/>
      </c>
      <c r="CO18" s="72">
        <f>IF(CO$59="X","",IF(CO$59&lt;&gt;"",CO$59,IF(IFERROR(INDEX(醫師週班表!$C$5:$T$44,$CU18,CO$57),"")=0,"",IF(MID(IFERROR(INDEX(醫師週班表!$C$5:$T$44,$CU18,CO$57),""),2,1)="/",MID(IFERROR(INDEX(醫師週班表!$C$5:$T$44,$CU18,CO$57),""),1+CO$58*2,1),IF(MID(IFERROR(INDEX(醫師週班表!$C$5:$T$44,$CU18,CO$57),""),3,1)="隔",IF(CO$58=0,LEFT(IFERROR(INDEX(醫師週班表!$C$5:$T$44,$CU18,CO$57),""),1),""),IF(MID(IFERROR(INDEX(醫師週班表!$C$5:$T$44,$CU18,CO$57),""),2,1)="(",LEFT(IFERROR(INDEX(醫師週班表!$C$5:$T$44,$CU18,CO$57),""),1),IFERROR(INDEX(醫師週班表!$C$5:$T$44,$CU18,CO$57),"")))))))</f>
        <v/>
      </c>
      <c r="CP18" s="72">
        <f>IF(CP$59="X","",IF(CP$59&lt;&gt;"",CP$59,IF(IFERROR(INDEX(醫師週班表!$C$5:$T$44,$CU18,CP$57),"")=0,"",IF(MID(IFERROR(INDEX(醫師週班表!$C$5:$T$44,$CU18,CP$57),""),2,1)="/",MID(IFERROR(INDEX(醫師週班表!$C$5:$T$44,$CU18,CP$57),""),1+CP$58*2,1),IF(MID(IFERROR(INDEX(醫師週班表!$C$5:$T$44,$CU18,CP$57),""),3,1)="隔",IF(CP$58=0,LEFT(IFERROR(INDEX(醫師週班表!$C$5:$T$44,$CU18,CP$57),""),1),""),IF(MID(IFERROR(INDEX(醫師週班表!$C$5:$T$44,$CU18,CP$57),""),2,1)="(",LEFT(IFERROR(INDEX(醫師週班表!$C$5:$T$44,$CU18,CP$57),""),1),IFERROR(INDEX(醫師週班表!$C$5:$T$44,$CU18,CP$57),"")))))))</f>
        <v/>
      </c>
      <c r="CQ18" s="71">
        <f>IF(CQ$59="X","",IF(CQ$59&lt;&gt;"",CQ$59,IF(IFERROR(INDEX(醫師週班表!$C$5:$T$44,$CU18,CQ$57),"")=0,"",IF(MID(IFERROR(INDEX(醫師週班表!$C$5:$T$44,$CU18,CQ$57),""),2,1)="/",MID(IFERROR(INDEX(醫師週班表!$C$5:$T$44,$CU18,CQ$57),""),1+CQ$58*2,1),IF(MID(IFERROR(INDEX(醫師週班表!$C$5:$T$44,$CU18,CQ$57),""),3,1)="隔",IF(CQ$58=0,LEFT(IFERROR(INDEX(醫師週班表!$C$5:$T$44,$CU18,CQ$57),""),1),""),IF(MID(IFERROR(INDEX(醫師週班表!$C$5:$T$44,$CU18,CQ$57),""),2,1)="(",LEFT(IFERROR(INDEX(醫師週班表!$C$5:$T$44,$CU18,CQ$57),""),1),IFERROR(INDEX(醫師週班表!$C$5:$T$44,$CU18,CQ$57),"")))))))</f>
        <v/>
      </c>
      <c r="CR18" s="72">
        <f>IF(CR$59="X","",IF(CR$59&lt;&gt;"",CR$59,IF(IFERROR(INDEX(醫師週班表!$C$5:$T$44,$CU18,CR$57),"")=0,"",IF(MID(IFERROR(INDEX(醫師週班表!$C$5:$T$44,$CU18,CR$57),""),2,1)="/",MID(IFERROR(INDEX(醫師週班表!$C$5:$T$44,$CU18,CR$57),""),1+CR$58*2,1),IF(MID(IFERROR(INDEX(醫師週班表!$C$5:$T$44,$CU18,CR$57),""),3,1)="隔",IF(CR$58=0,LEFT(IFERROR(INDEX(醫師週班表!$C$5:$T$44,$CU18,CR$57),""),1),""),IF(MID(IFERROR(INDEX(醫師週班表!$C$5:$T$44,$CU18,CR$57),""),2,1)="(",LEFT(IFERROR(INDEX(醫師週班表!$C$5:$T$44,$CU18,CR$57),""),1),IFERROR(INDEX(醫師週班表!$C$5:$T$44,$CU18,CR$57),"")))))))</f>
        <v/>
      </c>
      <c r="CS18" s="72">
        <f>IF(CS$59="X","",IF(CS$59&lt;&gt;"",CS$59,IF(IFERROR(INDEX(醫師週班表!$C$5:$T$44,$CU18,CS$57),"")=0,"",IF(MID(IFERROR(INDEX(醫師週班表!$C$5:$T$44,$CU18,CS$57),""),2,1)="/",MID(IFERROR(INDEX(醫師週班表!$C$5:$T$44,$CU18,CS$57),""),1+CS$58*2,1),IF(MID(IFERROR(INDEX(醫師週班表!$C$5:$T$44,$CU18,CS$57),""),3,1)="隔",IF(CS$58=0,LEFT(IFERROR(INDEX(醫師週班表!$C$5:$T$44,$CU18,CS$57),""),1),""),IF(MID(IFERROR(INDEX(醫師週班表!$C$5:$T$44,$CU18,CS$57),""),2,1)="(",LEFT(IFERROR(INDEX(醫師週班表!$C$5:$T$44,$CU18,CS$57),""),1),IFERROR(INDEX(醫師週班表!$C$5:$T$44,$CU18,CS$57),"")))))))</f>
        <v/>
      </c>
      <c r="CU18" s="73">
        <f>IFERROR(MATCH($A18,醫師週班表!$A$5:$A$44,0),0)</f>
        <v/>
      </c>
    </row>
    <row r="19" ht="17" customHeight="1">
      <c r="A19" s="19" t="inlineStr">
        <is>
          <t>D014</t>
        </is>
      </c>
      <c r="B19" s="16" t="inlineStr">
        <is>
          <t>鄭漢賢</t>
        </is>
      </c>
      <c r="C19" s="70" t="inlineStr"/>
      <c r="D19" s="16" t="inlineStr"/>
      <c r="E19" s="71">
        <f>IF(E$59="X","",IF(E$59&lt;&gt;"",E$59,IF(IFERROR(INDEX(醫師週班表!$C$5:$T$44,$CU19,E$57),"")=0,"",IF(MID(IFERROR(INDEX(醫師週班表!$C$5:$T$44,$CU19,E$57),""),2,1)="/",MID(IFERROR(INDEX(醫師週班表!$C$5:$T$44,$CU19,E$57),""),1+E$58*2,1),IF(MID(IFERROR(INDEX(醫師週班表!$C$5:$T$44,$CU19,E$57),""),3,1)="隔",IF(E$58=0,LEFT(IFERROR(INDEX(醫師週班表!$C$5:$T$44,$CU19,E$57),""),1),""),IF(MID(IFERROR(INDEX(醫師週班表!$C$5:$T$44,$CU19,E$57),""),2,1)="(",LEFT(IFERROR(INDEX(醫師週班表!$C$5:$T$44,$CU19,E$57),""),1),IFERROR(INDEX(醫師週班表!$C$5:$T$44,$CU19,E$57),"")))))))</f>
        <v/>
      </c>
      <c r="F19" s="72">
        <f>IF(F$59="X","",IF(F$59&lt;&gt;"",F$59,IF(IFERROR(INDEX(醫師週班表!$C$5:$T$44,$CU19,F$57),"")=0,"",IF(MID(IFERROR(INDEX(醫師週班表!$C$5:$T$44,$CU19,F$57),""),2,1)="/",MID(IFERROR(INDEX(醫師週班表!$C$5:$T$44,$CU19,F$57),""),1+F$58*2,1),IF(MID(IFERROR(INDEX(醫師週班表!$C$5:$T$44,$CU19,F$57),""),3,1)="隔",IF(F$58=0,LEFT(IFERROR(INDEX(醫師週班表!$C$5:$T$44,$CU19,F$57),""),1),""),IF(MID(IFERROR(INDEX(醫師週班表!$C$5:$T$44,$CU19,F$57),""),2,1)="(",LEFT(IFERROR(INDEX(醫師週班表!$C$5:$T$44,$CU19,F$57),""),1),IFERROR(INDEX(醫師週班表!$C$5:$T$44,$CU19,F$57),"")))))))</f>
        <v/>
      </c>
      <c r="G19" s="72">
        <f>IF(G$59="X","",IF(G$59&lt;&gt;"",G$59,IF(IFERROR(INDEX(醫師週班表!$C$5:$T$44,$CU19,G$57),"")=0,"",IF(MID(IFERROR(INDEX(醫師週班表!$C$5:$T$44,$CU19,G$57),""),2,1)="/",MID(IFERROR(INDEX(醫師週班表!$C$5:$T$44,$CU19,G$57),""),1+G$58*2,1),IF(MID(IFERROR(INDEX(醫師週班表!$C$5:$T$44,$CU19,G$57),""),3,1)="隔",IF(G$58=0,LEFT(IFERROR(INDEX(醫師週班表!$C$5:$T$44,$CU19,G$57),""),1),""),IF(MID(IFERROR(INDEX(醫師週班表!$C$5:$T$44,$CU19,G$57),""),2,1)="(",LEFT(IFERROR(INDEX(醫師週班表!$C$5:$T$44,$CU19,G$57),""),1),IFERROR(INDEX(醫師週班表!$C$5:$T$44,$CU19,G$57),"")))))))</f>
        <v/>
      </c>
      <c r="H19" s="71">
        <f>IF(H$59="X","",IF(H$59&lt;&gt;"",H$59,IF(IFERROR(INDEX(醫師週班表!$C$5:$T$44,$CU19,H$57),"")=0,"",IF(MID(IFERROR(INDEX(醫師週班表!$C$5:$T$44,$CU19,H$57),""),2,1)="/",MID(IFERROR(INDEX(醫師週班表!$C$5:$T$44,$CU19,H$57),""),1+H$58*2,1),IF(MID(IFERROR(INDEX(醫師週班表!$C$5:$T$44,$CU19,H$57),""),3,1)="隔",IF(H$58=0,LEFT(IFERROR(INDEX(醫師週班表!$C$5:$T$44,$CU19,H$57),""),1),""),IF(MID(IFERROR(INDEX(醫師週班表!$C$5:$T$44,$CU19,H$57),""),2,1)="(",LEFT(IFERROR(INDEX(醫師週班表!$C$5:$T$44,$CU19,H$57),""),1),IFERROR(INDEX(醫師週班表!$C$5:$T$44,$CU19,H$57),"")))))))</f>
        <v/>
      </c>
      <c r="I19" s="72">
        <f>IF(I$59="X","",IF(I$59&lt;&gt;"",I$59,IF(IFERROR(INDEX(醫師週班表!$C$5:$T$44,$CU19,I$57),"")=0,"",IF(MID(IFERROR(INDEX(醫師週班表!$C$5:$T$44,$CU19,I$57),""),2,1)="/",MID(IFERROR(INDEX(醫師週班表!$C$5:$T$44,$CU19,I$57),""),1+I$58*2,1),IF(MID(IFERROR(INDEX(醫師週班表!$C$5:$T$44,$CU19,I$57),""),3,1)="隔",IF(I$58=0,LEFT(IFERROR(INDEX(醫師週班表!$C$5:$T$44,$CU19,I$57),""),1),""),IF(MID(IFERROR(INDEX(醫師週班表!$C$5:$T$44,$CU19,I$57),""),2,1)="(",LEFT(IFERROR(INDEX(醫師週班表!$C$5:$T$44,$CU19,I$57),""),1),IFERROR(INDEX(醫師週班表!$C$5:$T$44,$CU19,I$57),"")))))))</f>
        <v/>
      </c>
      <c r="J19" s="72">
        <f>IF(J$59="X","",IF(J$59&lt;&gt;"",J$59,IF(IFERROR(INDEX(醫師週班表!$C$5:$T$44,$CU19,J$57),"")=0,"",IF(MID(IFERROR(INDEX(醫師週班表!$C$5:$T$44,$CU19,J$57),""),2,1)="/",MID(IFERROR(INDEX(醫師週班表!$C$5:$T$44,$CU19,J$57),""),1+J$58*2,1),IF(MID(IFERROR(INDEX(醫師週班表!$C$5:$T$44,$CU19,J$57),""),3,1)="隔",IF(J$58=0,LEFT(IFERROR(INDEX(醫師週班表!$C$5:$T$44,$CU19,J$57),""),1),""),IF(MID(IFERROR(INDEX(醫師週班表!$C$5:$T$44,$CU19,J$57),""),2,1)="(",LEFT(IFERROR(INDEX(醫師週班表!$C$5:$T$44,$CU19,J$57),""),1),IFERROR(INDEX(醫師週班表!$C$5:$T$44,$CU19,J$57),"")))))))</f>
        <v/>
      </c>
      <c r="K19" s="71">
        <f>IF(K$59="X","",IF(K$59&lt;&gt;"",K$59,IF(IFERROR(INDEX(醫師週班表!$C$5:$T$44,$CU19,K$57),"")=0,"",IF(MID(IFERROR(INDEX(醫師週班表!$C$5:$T$44,$CU19,K$57),""),2,1)="/",MID(IFERROR(INDEX(醫師週班表!$C$5:$T$44,$CU19,K$57),""),1+K$58*2,1),IF(MID(IFERROR(INDEX(醫師週班表!$C$5:$T$44,$CU19,K$57),""),3,1)="隔",IF(K$58=0,LEFT(IFERROR(INDEX(醫師週班表!$C$5:$T$44,$CU19,K$57),""),1),""),IF(MID(IFERROR(INDEX(醫師週班表!$C$5:$T$44,$CU19,K$57),""),2,1)="(",LEFT(IFERROR(INDEX(醫師週班表!$C$5:$T$44,$CU19,K$57),""),1),IFERROR(INDEX(醫師週班表!$C$5:$T$44,$CU19,K$57),"")))))))</f>
        <v/>
      </c>
      <c r="L19" s="72">
        <f>IF(L$59="X","",IF(L$59&lt;&gt;"",L$59,IF(IFERROR(INDEX(醫師週班表!$C$5:$T$44,$CU19,L$57),"")=0,"",IF(MID(IFERROR(INDEX(醫師週班表!$C$5:$T$44,$CU19,L$57),""),2,1)="/",MID(IFERROR(INDEX(醫師週班表!$C$5:$T$44,$CU19,L$57),""),1+L$58*2,1),IF(MID(IFERROR(INDEX(醫師週班表!$C$5:$T$44,$CU19,L$57),""),3,1)="隔",IF(L$58=0,LEFT(IFERROR(INDEX(醫師週班表!$C$5:$T$44,$CU19,L$57),""),1),""),IF(MID(IFERROR(INDEX(醫師週班表!$C$5:$T$44,$CU19,L$57),""),2,1)="(",LEFT(IFERROR(INDEX(醫師週班表!$C$5:$T$44,$CU19,L$57),""),1),IFERROR(INDEX(醫師週班表!$C$5:$T$44,$CU19,L$57),"")))))))</f>
        <v/>
      </c>
      <c r="M19" s="72">
        <f>IF(M$59="X","",IF(M$59&lt;&gt;"",M$59,IF(IFERROR(INDEX(醫師週班表!$C$5:$T$44,$CU19,M$57),"")=0,"",IF(MID(IFERROR(INDEX(醫師週班表!$C$5:$T$44,$CU19,M$57),""),2,1)="/",MID(IFERROR(INDEX(醫師週班表!$C$5:$T$44,$CU19,M$57),""),1+M$58*2,1),IF(MID(IFERROR(INDEX(醫師週班表!$C$5:$T$44,$CU19,M$57),""),3,1)="隔",IF(M$58=0,LEFT(IFERROR(INDEX(醫師週班表!$C$5:$T$44,$CU19,M$57),""),1),""),IF(MID(IFERROR(INDEX(醫師週班表!$C$5:$T$44,$CU19,M$57),""),2,1)="(",LEFT(IFERROR(INDEX(醫師週班表!$C$5:$T$44,$CU19,M$57),""),1),IFERROR(INDEX(醫師週班表!$C$5:$T$44,$CU19,M$57),"")))))))</f>
        <v/>
      </c>
      <c r="N19" s="71">
        <f>IF(N$59="X","",IF(N$59&lt;&gt;"",N$59,IF(IFERROR(INDEX(醫師週班表!$C$5:$T$44,$CU19,N$57),"")=0,"",IF(MID(IFERROR(INDEX(醫師週班表!$C$5:$T$44,$CU19,N$57),""),2,1)="/",MID(IFERROR(INDEX(醫師週班表!$C$5:$T$44,$CU19,N$57),""),1+N$58*2,1),IF(MID(IFERROR(INDEX(醫師週班表!$C$5:$T$44,$CU19,N$57),""),3,1)="隔",IF(N$58=0,LEFT(IFERROR(INDEX(醫師週班表!$C$5:$T$44,$CU19,N$57),""),1),""),IF(MID(IFERROR(INDEX(醫師週班表!$C$5:$T$44,$CU19,N$57),""),2,1)="(",LEFT(IFERROR(INDEX(醫師週班表!$C$5:$T$44,$CU19,N$57),""),1),IFERROR(INDEX(醫師週班表!$C$5:$T$44,$CU19,N$57),"")))))))</f>
        <v/>
      </c>
      <c r="O19" s="72">
        <f>IF(O$59="X","",IF(O$59&lt;&gt;"",O$59,IF(IFERROR(INDEX(醫師週班表!$C$5:$T$44,$CU19,O$57),"")=0,"",IF(MID(IFERROR(INDEX(醫師週班表!$C$5:$T$44,$CU19,O$57),""),2,1)="/",MID(IFERROR(INDEX(醫師週班表!$C$5:$T$44,$CU19,O$57),""),1+O$58*2,1),IF(MID(IFERROR(INDEX(醫師週班表!$C$5:$T$44,$CU19,O$57),""),3,1)="隔",IF(O$58=0,LEFT(IFERROR(INDEX(醫師週班表!$C$5:$T$44,$CU19,O$57),""),1),""),IF(MID(IFERROR(INDEX(醫師週班表!$C$5:$T$44,$CU19,O$57),""),2,1)="(",LEFT(IFERROR(INDEX(醫師週班表!$C$5:$T$44,$CU19,O$57),""),1),IFERROR(INDEX(醫師週班表!$C$5:$T$44,$CU19,O$57),"")))))))</f>
        <v/>
      </c>
      <c r="P19" s="72">
        <f>IF(P$59="X","",IF(P$59&lt;&gt;"",P$59,IF(IFERROR(INDEX(醫師週班表!$C$5:$T$44,$CU19,P$57),"")=0,"",IF(MID(IFERROR(INDEX(醫師週班表!$C$5:$T$44,$CU19,P$57),""),2,1)="/",MID(IFERROR(INDEX(醫師週班表!$C$5:$T$44,$CU19,P$57),""),1+P$58*2,1),IF(MID(IFERROR(INDEX(醫師週班表!$C$5:$T$44,$CU19,P$57),""),3,1)="隔",IF(P$58=0,LEFT(IFERROR(INDEX(醫師週班表!$C$5:$T$44,$CU19,P$57),""),1),""),IF(MID(IFERROR(INDEX(醫師週班表!$C$5:$T$44,$CU19,P$57),""),2,1)="(",LEFT(IFERROR(INDEX(醫師週班表!$C$5:$T$44,$CU19,P$57),""),1),IFERROR(INDEX(醫師週班表!$C$5:$T$44,$CU19,P$57),"")))))))</f>
        <v/>
      </c>
      <c r="Q19" s="71">
        <f>IF(Q$59="X","",IF(Q$59&lt;&gt;"",Q$59,IF(IFERROR(INDEX(醫師週班表!$C$5:$T$44,$CU19,Q$57),"")=0,"",IF(MID(IFERROR(INDEX(醫師週班表!$C$5:$T$44,$CU19,Q$57),""),2,1)="/",MID(IFERROR(INDEX(醫師週班表!$C$5:$T$44,$CU19,Q$57),""),1+Q$58*2,1),IF(MID(IFERROR(INDEX(醫師週班表!$C$5:$T$44,$CU19,Q$57),""),3,1)="隔",IF(Q$58=0,LEFT(IFERROR(INDEX(醫師週班表!$C$5:$T$44,$CU19,Q$57),""),1),""),IF(MID(IFERROR(INDEX(醫師週班表!$C$5:$T$44,$CU19,Q$57),""),2,1)="(",LEFT(IFERROR(INDEX(醫師週班表!$C$5:$T$44,$CU19,Q$57),""),1),IFERROR(INDEX(醫師週班表!$C$5:$T$44,$CU19,Q$57),"")))))))</f>
        <v/>
      </c>
      <c r="R19" s="72">
        <f>IF(R$59="X","",IF(R$59&lt;&gt;"",R$59,IF(IFERROR(INDEX(醫師週班表!$C$5:$T$44,$CU19,R$57),"")=0,"",IF(MID(IFERROR(INDEX(醫師週班表!$C$5:$T$44,$CU19,R$57),""),2,1)="/",MID(IFERROR(INDEX(醫師週班表!$C$5:$T$44,$CU19,R$57),""),1+R$58*2,1),IF(MID(IFERROR(INDEX(醫師週班表!$C$5:$T$44,$CU19,R$57),""),3,1)="隔",IF(R$58=0,LEFT(IFERROR(INDEX(醫師週班表!$C$5:$T$44,$CU19,R$57),""),1),""),IF(MID(IFERROR(INDEX(醫師週班表!$C$5:$T$44,$CU19,R$57),""),2,1)="(",LEFT(IFERROR(INDEX(醫師週班表!$C$5:$T$44,$CU19,R$57),""),1),IFERROR(INDEX(醫師週班表!$C$5:$T$44,$CU19,R$57),"")))))))</f>
        <v/>
      </c>
      <c r="S19" s="72">
        <f>IF(S$59="X","",IF(S$59&lt;&gt;"",S$59,IF(IFERROR(INDEX(醫師週班表!$C$5:$T$44,$CU19,S$57),"")=0,"",IF(MID(IFERROR(INDEX(醫師週班表!$C$5:$T$44,$CU19,S$57),""),2,1)="/",MID(IFERROR(INDEX(醫師週班表!$C$5:$T$44,$CU19,S$57),""),1+S$58*2,1),IF(MID(IFERROR(INDEX(醫師週班表!$C$5:$T$44,$CU19,S$57),""),3,1)="隔",IF(S$58=0,LEFT(IFERROR(INDEX(醫師週班表!$C$5:$T$44,$CU19,S$57),""),1),""),IF(MID(IFERROR(INDEX(醫師週班表!$C$5:$T$44,$CU19,S$57),""),2,1)="(",LEFT(IFERROR(INDEX(醫師週班表!$C$5:$T$44,$CU19,S$57),""),1),IFERROR(INDEX(醫師週班表!$C$5:$T$44,$CU19,S$57),"")))))))</f>
        <v/>
      </c>
      <c r="T19" s="71">
        <f>IF(T$59="X","",IF(T$59&lt;&gt;"",T$59,IF(IFERROR(INDEX(醫師週班表!$C$5:$T$44,$CU19,T$57),"")=0,"",IF(MID(IFERROR(INDEX(醫師週班表!$C$5:$T$44,$CU19,T$57),""),2,1)="/",MID(IFERROR(INDEX(醫師週班表!$C$5:$T$44,$CU19,T$57),""),1+T$58*2,1),IF(MID(IFERROR(INDEX(醫師週班表!$C$5:$T$44,$CU19,T$57),""),3,1)="隔",IF(T$58=0,LEFT(IFERROR(INDEX(醫師週班表!$C$5:$T$44,$CU19,T$57),""),1),""),IF(MID(IFERROR(INDEX(醫師週班表!$C$5:$T$44,$CU19,T$57),""),2,1)="(",LEFT(IFERROR(INDEX(醫師週班表!$C$5:$T$44,$CU19,T$57),""),1),IFERROR(INDEX(醫師週班表!$C$5:$T$44,$CU19,T$57),"")))))))</f>
        <v/>
      </c>
      <c r="U19" s="72">
        <f>IF(U$59="X","",IF(U$59&lt;&gt;"",U$59,IF(IFERROR(INDEX(醫師週班表!$C$5:$T$44,$CU19,U$57),"")=0,"",IF(MID(IFERROR(INDEX(醫師週班表!$C$5:$T$44,$CU19,U$57),""),2,1)="/",MID(IFERROR(INDEX(醫師週班表!$C$5:$T$44,$CU19,U$57),""),1+U$58*2,1),IF(MID(IFERROR(INDEX(醫師週班表!$C$5:$T$44,$CU19,U$57),""),3,1)="隔",IF(U$58=0,LEFT(IFERROR(INDEX(醫師週班表!$C$5:$T$44,$CU19,U$57),""),1),""),IF(MID(IFERROR(INDEX(醫師週班表!$C$5:$T$44,$CU19,U$57),""),2,1)="(",LEFT(IFERROR(INDEX(醫師週班表!$C$5:$T$44,$CU19,U$57),""),1),IFERROR(INDEX(醫師週班表!$C$5:$T$44,$CU19,U$57),"")))))))</f>
        <v/>
      </c>
      <c r="V19" s="72">
        <f>IF(V$59="X","",IF(V$59&lt;&gt;"",V$59,IF(IFERROR(INDEX(醫師週班表!$C$5:$T$44,$CU19,V$57),"")=0,"",IF(MID(IFERROR(INDEX(醫師週班表!$C$5:$T$44,$CU19,V$57),""),2,1)="/",MID(IFERROR(INDEX(醫師週班表!$C$5:$T$44,$CU19,V$57),""),1+V$58*2,1),IF(MID(IFERROR(INDEX(醫師週班表!$C$5:$T$44,$CU19,V$57),""),3,1)="隔",IF(V$58=0,LEFT(IFERROR(INDEX(醫師週班表!$C$5:$T$44,$CU19,V$57),""),1),""),IF(MID(IFERROR(INDEX(醫師週班表!$C$5:$T$44,$CU19,V$57),""),2,1)="(",LEFT(IFERROR(INDEX(醫師週班表!$C$5:$T$44,$CU19,V$57),""),1),IFERROR(INDEX(醫師週班表!$C$5:$T$44,$CU19,V$57),"")))))))</f>
        <v/>
      </c>
      <c r="W19" s="71">
        <f>IF(W$59="X","",IF(W$59&lt;&gt;"",W$59,IF(IFERROR(INDEX(醫師週班表!$C$5:$T$44,$CU19,W$57),"")=0,"",IF(MID(IFERROR(INDEX(醫師週班表!$C$5:$T$44,$CU19,W$57),""),2,1)="/",MID(IFERROR(INDEX(醫師週班表!$C$5:$T$44,$CU19,W$57),""),1+W$58*2,1),IF(MID(IFERROR(INDEX(醫師週班表!$C$5:$T$44,$CU19,W$57),""),3,1)="隔",IF(W$58=0,LEFT(IFERROR(INDEX(醫師週班表!$C$5:$T$44,$CU19,W$57),""),1),""),IF(MID(IFERROR(INDEX(醫師週班表!$C$5:$T$44,$CU19,W$57),""),2,1)="(",LEFT(IFERROR(INDEX(醫師週班表!$C$5:$T$44,$CU19,W$57),""),1),IFERROR(INDEX(醫師週班表!$C$5:$T$44,$CU19,W$57),"")))))))</f>
        <v/>
      </c>
      <c r="X19" s="72">
        <f>IF(X$59="X","",IF(X$59&lt;&gt;"",X$59,IF(IFERROR(INDEX(醫師週班表!$C$5:$T$44,$CU19,X$57),"")=0,"",IF(MID(IFERROR(INDEX(醫師週班表!$C$5:$T$44,$CU19,X$57),""),2,1)="/",MID(IFERROR(INDEX(醫師週班表!$C$5:$T$44,$CU19,X$57),""),1+X$58*2,1),IF(MID(IFERROR(INDEX(醫師週班表!$C$5:$T$44,$CU19,X$57),""),3,1)="隔",IF(X$58=0,LEFT(IFERROR(INDEX(醫師週班表!$C$5:$T$44,$CU19,X$57),""),1),""),IF(MID(IFERROR(INDEX(醫師週班表!$C$5:$T$44,$CU19,X$57),""),2,1)="(",LEFT(IFERROR(INDEX(醫師週班表!$C$5:$T$44,$CU19,X$57),""),1),IFERROR(INDEX(醫師週班表!$C$5:$T$44,$CU19,X$57),"")))))))</f>
        <v/>
      </c>
      <c r="Y19" s="72">
        <f>IF(Y$59="X","",IF(Y$59&lt;&gt;"",Y$59,IF(IFERROR(INDEX(醫師週班表!$C$5:$T$44,$CU19,Y$57),"")=0,"",IF(MID(IFERROR(INDEX(醫師週班表!$C$5:$T$44,$CU19,Y$57),""),2,1)="/",MID(IFERROR(INDEX(醫師週班表!$C$5:$T$44,$CU19,Y$57),""),1+Y$58*2,1),IF(MID(IFERROR(INDEX(醫師週班表!$C$5:$T$44,$CU19,Y$57),""),3,1)="隔",IF(Y$58=0,LEFT(IFERROR(INDEX(醫師週班表!$C$5:$T$44,$CU19,Y$57),""),1),""),IF(MID(IFERROR(INDEX(醫師週班表!$C$5:$T$44,$CU19,Y$57),""),2,1)="(",LEFT(IFERROR(INDEX(醫師週班表!$C$5:$T$44,$CU19,Y$57),""),1),IFERROR(INDEX(醫師週班表!$C$5:$T$44,$CU19,Y$57),"")))))))</f>
        <v/>
      </c>
      <c r="Z19" s="71">
        <f>IF(Z$59="X","",IF(Z$59&lt;&gt;"",Z$59,IF(IFERROR(INDEX(醫師週班表!$C$5:$T$44,$CU19,Z$57),"")=0,"",IF(MID(IFERROR(INDEX(醫師週班表!$C$5:$T$44,$CU19,Z$57),""),2,1)="/",MID(IFERROR(INDEX(醫師週班表!$C$5:$T$44,$CU19,Z$57),""),1+Z$58*2,1),IF(MID(IFERROR(INDEX(醫師週班表!$C$5:$T$44,$CU19,Z$57),""),3,1)="隔",IF(Z$58=0,LEFT(IFERROR(INDEX(醫師週班表!$C$5:$T$44,$CU19,Z$57),""),1),""),IF(MID(IFERROR(INDEX(醫師週班表!$C$5:$T$44,$CU19,Z$57),""),2,1)="(",LEFT(IFERROR(INDEX(醫師週班表!$C$5:$T$44,$CU19,Z$57),""),1),IFERROR(INDEX(醫師週班表!$C$5:$T$44,$CU19,Z$57),"")))))))</f>
        <v/>
      </c>
      <c r="AA19" s="72">
        <f>IF(AA$59="X","",IF(AA$59&lt;&gt;"",AA$59,IF(IFERROR(INDEX(醫師週班表!$C$5:$T$44,$CU19,AA$57),"")=0,"",IF(MID(IFERROR(INDEX(醫師週班表!$C$5:$T$44,$CU19,AA$57),""),2,1)="/",MID(IFERROR(INDEX(醫師週班表!$C$5:$T$44,$CU19,AA$57),""),1+AA$58*2,1),IF(MID(IFERROR(INDEX(醫師週班表!$C$5:$T$44,$CU19,AA$57),""),3,1)="隔",IF(AA$58=0,LEFT(IFERROR(INDEX(醫師週班表!$C$5:$T$44,$CU19,AA$57),""),1),""),IF(MID(IFERROR(INDEX(醫師週班表!$C$5:$T$44,$CU19,AA$57),""),2,1)="(",LEFT(IFERROR(INDEX(醫師週班表!$C$5:$T$44,$CU19,AA$57),""),1),IFERROR(INDEX(醫師週班表!$C$5:$T$44,$CU19,AA$57),"")))))))</f>
        <v/>
      </c>
      <c r="AB19" s="72">
        <f>IF(AB$59="X","",IF(AB$59&lt;&gt;"",AB$59,IF(IFERROR(INDEX(醫師週班表!$C$5:$T$44,$CU19,AB$57),"")=0,"",IF(MID(IFERROR(INDEX(醫師週班表!$C$5:$T$44,$CU19,AB$57),""),2,1)="/",MID(IFERROR(INDEX(醫師週班表!$C$5:$T$44,$CU19,AB$57),""),1+AB$58*2,1),IF(MID(IFERROR(INDEX(醫師週班表!$C$5:$T$44,$CU19,AB$57),""),3,1)="隔",IF(AB$58=0,LEFT(IFERROR(INDEX(醫師週班表!$C$5:$T$44,$CU19,AB$57),""),1),""),IF(MID(IFERROR(INDEX(醫師週班表!$C$5:$T$44,$CU19,AB$57),""),2,1)="(",LEFT(IFERROR(INDEX(醫師週班表!$C$5:$T$44,$CU19,AB$57),""),1),IFERROR(INDEX(醫師週班表!$C$5:$T$44,$CU19,AB$57),"")))))))</f>
        <v/>
      </c>
      <c r="AC19" s="71">
        <f>IF(AC$59="X","",IF(AC$59&lt;&gt;"",AC$59,IF(IFERROR(INDEX(醫師週班表!$C$5:$T$44,$CU19,AC$57),"")=0,"",IF(MID(IFERROR(INDEX(醫師週班表!$C$5:$T$44,$CU19,AC$57),""),2,1)="/",MID(IFERROR(INDEX(醫師週班表!$C$5:$T$44,$CU19,AC$57),""),1+AC$58*2,1),IF(MID(IFERROR(INDEX(醫師週班表!$C$5:$T$44,$CU19,AC$57),""),3,1)="隔",IF(AC$58=0,LEFT(IFERROR(INDEX(醫師週班表!$C$5:$T$44,$CU19,AC$57),""),1),""),IF(MID(IFERROR(INDEX(醫師週班表!$C$5:$T$44,$CU19,AC$57),""),2,1)="(",LEFT(IFERROR(INDEX(醫師週班表!$C$5:$T$44,$CU19,AC$57),""),1),IFERROR(INDEX(醫師週班表!$C$5:$T$44,$CU19,AC$57),"")))))))</f>
        <v/>
      </c>
      <c r="AD19" s="72">
        <f>IF(AD$59="X","",IF(AD$59&lt;&gt;"",AD$59,IF(IFERROR(INDEX(醫師週班表!$C$5:$T$44,$CU19,AD$57),"")=0,"",IF(MID(IFERROR(INDEX(醫師週班表!$C$5:$T$44,$CU19,AD$57),""),2,1)="/",MID(IFERROR(INDEX(醫師週班表!$C$5:$T$44,$CU19,AD$57),""),1+AD$58*2,1),IF(MID(IFERROR(INDEX(醫師週班表!$C$5:$T$44,$CU19,AD$57),""),3,1)="隔",IF(AD$58=0,LEFT(IFERROR(INDEX(醫師週班表!$C$5:$T$44,$CU19,AD$57),""),1),""),IF(MID(IFERROR(INDEX(醫師週班表!$C$5:$T$44,$CU19,AD$57),""),2,1)="(",LEFT(IFERROR(INDEX(醫師週班表!$C$5:$T$44,$CU19,AD$57),""),1),IFERROR(INDEX(醫師週班表!$C$5:$T$44,$CU19,AD$57),"")))))))</f>
        <v/>
      </c>
      <c r="AE19" s="72">
        <f>IF(AE$59="X","",IF(AE$59&lt;&gt;"",AE$59,IF(IFERROR(INDEX(醫師週班表!$C$5:$T$44,$CU19,AE$57),"")=0,"",IF(MID(IFERROR(INDEX(醫師週班表!$C$5:$T$44,$CU19,AE$57),""),2,1)="/",MID(IFERROR(INDEX(醫師週班表!$C$5:$T$44,$CU19,AE$57),""),1+AE$58*2,1),IF(MID(IFERROR(INDEX(醫師週班表!$C$5:$T$44,$CU19,AE$57),""),3,1)="隔",IF(AE$58=0,LEFT(IFERROR(INDEX(醫師週班表!$C$5:$T$44,$CU19,AE$57),""),1),""),IF(MID(IFERROR(INDEX(醫師週班表!$C$5:$T$44,$CU19,AE$57),""),2,1)="(",LEFT(IFERROR(INDEX(醫師週班表!$C$5:$T$44,$CU19,AE$57),""),1),IFERROR(INDEX(醫師週班表!$C$5:$T$44,$CU19,AE$57),"")))))))</f>
        <v/>
      </c>
      <c r="AF19" s="71">
        <f>IF(AF$59="X","",IF(AF$59&lt;&gt;"",AF$59,IF(IFERROR(INDEX(醫師週班表!$C$5:$T$44,$CU19,AF$57),"")=0,"",IF(MID(IFERROR(INDEX(醫師週班表!$C$5:$T$44,$CU19,AF$57),""),2,1)="/",MID(IFERROR(INDEX(醫師週班表!$C$5:$T$44,$CU19,AF$57),""),1+AF$58*2,1),IF(MID(IFERROR(INDEX(醫師週班表!$C$5:$T$44,$CU19,AF$57),""),3,1)="隔",IF(AF$58=0,LEFT(IFERROR(INDEX(醫師週班表!$C$5:$T$44,$CU19,AF$57),""),1),""),IF(MID(IFERROR(INDEX(醫師週班表!$C$5:$T$44,$CU19,AF$57),""),2,1)="(",LEFT(IFERROR(INDEX(醫師週班表!$C$5:$T$44,$CU19,AF$57),""),1),IFERROR(INDEX(醫師週班表!$C$5:$T$44,$CU19,AF$57),"")))))))</f>
        <v/>
      </c>
      <c r="AG19" s="72">
        <f>IF(AG$59="X","",IF(AG$59&lt;&gt;"",AG$59,IF(IFERROR(INDEX(醫師週班表!$C$5:$T$44,$CU19,AG$57),"")=0,"",IF(MID(IFERROR(INDEX(醫師週班表!$C$5:$T$44,$CU19,AG$57),""),2,1)="/",MID(IFERROR(INDEX(醫師週班表!$C$5:$T$44,$CU19,AG$57),""),1+AG$58*2,1),IF(MID(IFERROR(INDEX(醫師週班表!$C$5:$T$44,$CU19,AG$57),""),3,1)="隔",IF(AG$58=0,LEFT(IFERROR(INDEX(醫師週班表!$C$5:$T$44,$CU19,AG$57),""),1),""),IF(MID(IFERROR(INDEX(醫師週班表!$C$5:$T$44,$CU19,AG$57),""),2,1)="(",LEFT(IFERROR(INDEX(醫師週班表!$C$5:$T$44,$CU19,AG$57),""),1),IFERROR(INDEX(醫師週班表!$C$5:$T$44,$CU19,AG$57),"")))))))</f>
        <v/>
      </c>
      <c r="AH19" s="72">
        <f>IF(AH$59="X","",IF(AH$59&lt;&gt;"",AH$59,IF(IFERROR(INDEX(醫師週班表!$C$5:$T$44,$CU19,AH$57),"")=0,"",IF(MID(IFERROR(INDEX(醫師週班表!$C$5:$T$44,$CU19,AH$57),""),2,1)="/",MID(IFERROR(INDEX(醫師週班表!$C$5:$T$44,$CU19,AH$57),""),1+AH$58*2,1),IF(MID(IFERROR(INDEX(醫師週班表!$C$5:$T$44,$CU19,AH$57),""),3,1)="隔",IF(AH$58=0,LEFT(IFERROR(INDEX(醫師週班表!$C$5:$T$44,$CU19,AH$57),""),1),""),IF(MID(IFERROR(INDEX(醫師週班表!$C$5:$T$44,$CU19,AH$57),""),2,1)="(",LEFT(IFERROR(INDEX(醫師週班表!$C$5:$T$44,$CU19,AH$57),""),1),IFERROR(INDEX(醫師週班表!$C$5:$T$44,$CU19,AH$57),"")))))))</f>
        <v/>
      </c>
      <c r="AI19" s="71">
        <f>IF(AI$59="X","",IF(AI$59&lt;&gt;"",AI$59,IF(IFERROR(INDEX(醫師週班表!$C$5:$T$44,$CU19,AI$57),"")=0,"",IF(MID(IFERROR(INDEX(醫師週班表!$C$5:$T$44,$CU19,AI$57),""),2,1)="/",MID(IFERROR(INDEX(醫師週班表!$C$5:$T$44,$CU19,AI$57),""),1+AI$58*2,1),IF(MID(IFERROR(INDEX(醫師週班表!$C$5:$T$44,$CU19,AI$57),""),3,1)="隔",IF(AI$58=0,LEFT(IFERROR(INDEX(醫師週班表!$C$5:$T$44,$CU19,AI$57),""),1),""),IF(MID(IFERROR(INDEX(醫師週班表!$C$5:$T$44,$CU19,AI$57),""),2,1)="(",LEFT(IFERROR(INDEX(醫師週班表!$C$5:$T$44,$CU19,AI$57),""),1),IFERROR(INDEX(醫師週班表!$C$5:$T$44,$CU19,AI$57),"")))))))</f>
        <v/>
      </c>
      <c r="AJ19" s="72">
        <f>IF(AJ$59="X","",IF(AJ$59&lt;&gt;"",AJ$59,IF(IFERROR(INDEX(醫師週班表!$C$5:$T$44,$CU19,AJ$57),"")=0,"",IF(MID(IFERROR(INDEX(醫師週班表!$C$5:$T$44,$CU19,AJ$57),""),2,1)="/",MID(IFERROR(INDEX(醫師週班表!$C$5:$T$44,$CU19,AJ$57),""),1+AJ$58*2,1),IF(MID(IFERROR(INDEX(醫師週班表!$C$5:$T$44,$CU19,AJ$57),""),3,1)="隔",IF(AJ$58=0,LEFT(IFERROR(INDEX(醫師週班表!$C$5:$T$44,$CU19,AJ$57),""),1),""),IF(MID(IFERROR(INDEX(醫師週班表!$C$5:$T$44,$CU19,AJ$57),""),2,1)="(",LEFT(IFERROR(INDEX(醫師週班表!$C$5:$T$44,$CU19,AJ$57),""),1),IFERROR(INDEX(醫師週班表!$C$5:$T$44,$CU19,AJ$57),"")))))))</f>
        <v/>
      </c>
      <c r="AK19" s="72">
        <f>IF(AK$59="X","",IF(AK$59&lt;&gt;"",AK$59,IF(IFERROR(INDEX(醫師週班表!$C$5:$T$44,$CU19,AK$57),"")=0,"",IF(MID(IFERROR(INDEX(醫師週班表!$C$5:$T$44,$CU19,AK$57),""),2,1)="/",MID(IFERROR(INDEX(醫師週班表!$C$5:$T$44,$CU19,AK$57),""),1+AK$58*2,1),IF(MID(IFERROR(INDEX(醫師週班表!$C$5:$T$44,$CU19,AK$57),""),3,1)="隔",IF(AK$58=0,LEFT(IFERROR(INDEX(醫師週班表!$C$5:$T$44,$CU19,AK$57),""),1),""),IF(MID(IFERROR(INDEX(醫師週班表!$C$5:$T$44,$CU19,AK$57),""),2,1)="(",LEFT(IFERROR(INDEX(醫師週班表!$C$5:$T$44,$CU19,AK$57),""),1),IFERROR(INDEX(醫師週班表!$C$5:$T$44,$CU19,AK$57),"")))))))</f>
        <v/>
      </c>
      <c r="AL19" s="71">
        <f>IF(AL$59="X","",IF(AL$59&lt;&gt;"",AL$59,IF(IFERROR(INDEX(醫師週班表!$C$5:$T$44,$CU19,AL$57),"")=0,"",IF(MID(IFERROR(INDEX(醫師週班表!$C$5:$T$44,$CU19,AL$57),""),2,1)="/",MID(IFERROR(INDEX(醫師週班表!$C$5:$T$44,$CU19,AL$57),""),1+AL$58*2,1),IF(MID(IFERROR(INDEX(醫師週班表!$C$5:$T$44,$CU19,AL$57),""),3,1)="隔",IF(AL$58=0,LEFT(IFERROR(INDEX(醫師週班表!$C$5:$T$44,$CU19,AL$57),""),1),""),IF(MID(IFERROR(INDEX(醫師週班表!$C$5:$T$44,$CU19,AL$57),""),2,1)="(",LEFT(IFERROR(INDEX(醫師週班表!$C$5:$T$44,$CU19,AL$57),""),1),IFERROR(INDEX(醫師週班表!$C$5:$T$44,$CU19,AL$57),"")))))))</f>
        <v/>
      </c>
      <c r="AM19" s="72">
        <f>IF(AM$59="X","",IF(AM$59&lt;&gt;"",AM$59,IF(IFERROR(INDEX(醫師週班表!$C$5:$T$44,$CU19,AM$57),"")=0,"",IF(MID(IFERROR(INDEX(醫師週班表!$C$5:$T$44,$CU19,AM$57),""),2,1)="/",MID(IFERROR(INDEX(醫師週班表!$C$5:$T$44,$CU19,AM$57),""),1+AM$58*2,1),IF(MID(IFERROR(INDEX(醫師週班表!$C$5:$T$44,$CU19,AM$57),""),3,1)="隔",IF(AM$58=0,LEFT(IFERROR(INDEX(醫師週班表!$C$5:$T$44,$CU19,AM$57),""),1),""),IF(MID(IFERROR(INDEX(醫師週班表!$C$5:$T$44,$CU19,AM$57),""),2,1)="(",LEFT(IFERROR(INDEX(醫師週班表!$C$5:$T$44,$CU19,AM$57),""),1),IFERROR(INDEX(醫師週班表!$C$5:$T$44,$CU19,AM$57),"")))))))</f>
        <v/>
      </c>
      <c r="AN19" s="72">
        <f>IF(AN$59="X","",IF(AN$59&lt;&gt;"",AN$59,IF(IFERROR(INDEX(醫師週班表!$C$5:$T$44,$CU19,AN$57),"")=0,"",IF(MID(IFERROR(INDEX(醫師週班表!$C$5:$T$44,$CU19,AN$57),""),2,1)="/",MID(IFERROR(INDEX(醫師週班表!$C$5:$T$44,$CU19,AN$57),""),1+AN$58*2,1),IF(MID(IFERROR(INDEX(醫師週班表!$C$5:$T$44,$CU19,AN$57),""),3,1)="隔",IF(AN$58=0,LEFT(IFERROR(INDEX(醫師週班表!$C$5:$T$44,$CU19,AN$57),""),1),""),IF(MID(IFERROR(INDEX(醫師週班表!$C$5:$T$44,$CU19,AN$57),""),2,1)="(",LEFT(IFERROR(INDEX(醫師週班表!$C$5:$T$44,$CU19,AN$57),""),1),IFERROR(INDEX(醫師週班表!$C$5:$T$44,$CU19,AN$57),"")))))))</f>
        <v/>
      </c>
      <c r="AO19" s="71">
        <f>IF(AO$59="X","",IF(AO$59&lt;&gt;"",AO$59,IF(IFERROR(INDEX(醫師週班表!$C$5:$T$44,$CU19,AO$57),"")=0,"",IF(MID(IFERROR(INDEX(醫師週班表!$C$5:$T$44,$CU19,AO$57),""),2,1)="/",MID(IFERROR(INDEX(醫師週班表!$C$5:$T$44,$CU19,AO$57),""),1+AO$58*2,1),IF(MID(IFERROR(INDEX(醫師週班表!$C$5:$T$44,$CU19,AO$57),""),3,1)="隔",IF(AO$58=0,LEFT(IFERROR(INDEX(醫師週班表!$C$5:$T$44,$CU19,AO$57),""),1),""),IF(MID(IFERROR(INDEX(醫師週班表!$C$5:$T$44,$CU19,AO$57),""),2,1)="(",LEFT(IFERROR(INDEX(醫師週班表!$C$5:$T$44,$CU19,AO$57),""),1),IFERROR(INDEX(醫師週班表!$C$5:$T$44,$CU19,AO$57),"")))))))</f>
        <v/>
      </c>
      <c r="AP19" s="72">
        <f>IF(AP$59="X","",IF(AP$59&lt;&gt;"",AP$59,IF(IFERROR(INDEX(醫師週班表!$C$5:$T$44,$CU19,AP$57),"")=0,"",IF(MID(IFERROR(INDEX(醫師週班表!$C$5:$T$44,$CU19,AP$57),""),2,1)="/",MID(IFERROR(INDEX(醫師週班表!$C$5:$T$44,$CU19,AP$57),""),1+AP$58*2,1),IF(MID(IFERROR(INDEX(醫師週班表!$C$5:$T$44,$CU19,AP$57),""),3,1)="隔",IF(AP$58=0,LEFT(IFERROR(INDEX(醫師週班表!$C$5:$T$44,$CU19,AP$57),""),1),""),IF(MID(IFERROR(INDEX(醫師週班表!$C$5:$T$44,$CU19,AP$57),""),2,1)="(",LEFT(IFERROR(INDEX(醫師週班表!$C$5:$T$44,$CU19,AP$57),""),1),IFERROR(INDEX(醫師週班表!$C$5:$T$44,$CU19,AP$57),"")))))))</f>
        <v/>
      </c>
      <c r="AQ19" s="72">
        <f>IF(AQ$59="X","",IF(AQ$59&lt;&gt;"",AQ$59,IF(IFERROR(INDEX(醫師週班表!$C$5:$T$44,$CU19,AQ$57),"")=0,"",IF(MID(IFERROR(INDEX(醫師週班表!$C$5:$T$44,$CU19,AQ$57),""),2,1)="/",MID(IFERROR(INDEX(醫師週班表!$C$5:$T$44,$CU19,AQ$57),""),1+AQ$58*2,1),IF(MID(IFERROR(INDEX(醫師週班表!$C$5:$T$44,$CU19,AQ$57),""),3,1)="隔",IF(AQ$58=0,LEFT(IFERROR(INDEX(醫師週班表!$C$5:$T$44,$CU19,AQ$57),""),1),""),IF(MID(IFERROR(INDEX(醫師週班表!$C$5:$T$44,$CU19,AQ$57),""),2,1)="(",LEFT(IFERROR(INDEX(醫師週班表!$C$5:$T$44,$CU19,AQ$57),""),1),IFERROR(INDEX(醫師週班表!$C$5:$T$44,$CU19,AQ$57),"")))))))</f>
        <v/>
      </c>
      <c r="AR19" s="71">
        <f>IF(AR$59="X","",IF(AR$59&lt;&gt;"",AR$59,IF(IFERROR(INDEX(醫師週班表!$C$5:$T$44,$CU19,AR$57),"")=0,"",IF(MID(IFERROR(INDEX(醫師週班表!$C$5:$T$44,$CU19,AR$57),""),2,1)="/",MID(IFERROR(INDEX(醫師週班表!$C$5:$T$44,$CU19,AR$57),""),1+AR$58*2,1),IF(MID(IFERROR(INDEX(醫師週班表!$C$5:$T$44,$CU19,AR$57),""),3,1)="隔",IF(AR$58=0,LEFT(IFERROR(INDEX(醫師週班表!$C$5:$T$44,$CU19,AR$57),""),1),""),IF(MID(IFERROR(INDEX(醫師週班表!$C$5:$T$44,$CU19,AR$57),""),2,1)="(",LEFT(IFERROR(INDEX(醫師週班表!$C$5:$T$44,$CU19,AR$57),""),1),IFERROR(INDEX(醫師週班表!$C$5:$T$44,$CU19,AR$57),"")))))))</f>
        <v/>
      </c>
      <c r="AS19" s="72">
        <f>IF(AS$59="X","",IF(AS$59&lt;&gt;"",AS$59,IF(IFERROR(INDEX(醫師週班表!$C$5:$T$44,$CU19,AS$57),"")=0,"",IF(MID(IFERROR(INDEX(醫師週班表!$C$5:$T$44,$CU19,AS$57),""),2,1)="/",MID(IFERROR(INDEX(醫師週班表!$C$5:$T$44,$CU19,AS$57),""),1+AS$58*2,1),IF(MID(IFERROR(INDEX(醫師週班表!$C$5:$T$44,$CU19,AS$57),""),3,1)="隔",IF(AS$58=0,LEFT(IFERROR(INDEX(醫師週班表!$C$5:$T$44,$CU19,AS$57),""),1),""),IF(MID(IFERROR(INDEX(醫師週班表!$C$5:$T$44,$CU19,AS$57),""),2,1)="(",LEFT(IFERROR(INDEX(醫師週班表!$C$5:$T$44,$CU19,AS$57),""),1),IFERROR(INDEX(醫師週班表!$C$5:$T$44,$CU19,AS$57),"")))))))</f>
        <v/>
      </c>
      <c r="AT19" s="72">
        <f>IF(AT$59="X","",IF(AT$59&lt;&gt;"",AT$59,IF(IFERROR(INDEX(醫師週班表!$C$5:$T$44,$CU19,AT$57),"")=0,"",IF(MID(IFERROR(INDEX(醫師週班表!$C$5:$T$44,$CU19,AT$57),""),2,1)="/",MID(IFERROR(INDEX(醫師週班表!$C$5:$T$44,$CU19,AT$57),""),1+AT$58*2,1),IF(MID(IFERROR(INDEX(醫師週班表!$C$5:$T$44,$CU19,AT$57),""),3,1)="隔",IF(AT$58=0,LEFT(IFERROR(INDEX(醫師週班表!$C$5:$T$44,$CU19,AT$57),""),1),""),IF(MID(IFERROR(INDEX(醫師週班表!$C$5:$T$44,$CU19,AT$57),""),2,1)="(",LEFT(IFERROR(INDEX(醫師週班表!$C$5:$T$44,$CU19,AT$57),""),1),IFERROR(INDEX(醫師週班表!$C$5:$T$44,$CU19,AT$57),"")))))))</f>
        <v/>
      </c>
      <c r="AU19" s="71">
        <f>IF(AU$59="X","",IF(AU$59&lt;&gt;"",AU$59,IF(IFERROR(INDEX(醫師週班表!$C$5:$T$44,$CU19,AU$57),"")=0,"",IF(MID(IFERROR(INDEX(醫師週班表!$C$5:$T$44,$CU19,AU$57),""),2,1)="/",MID(IFERROR(INDEX(醫師週班表!$C$5:$T$44,$CU19,AU$57),""),1+AU$58*2,1),IF(MID(IFERROR(INDEX(醫師週班表!$C$5:$T$44,$CU19,AU$57),""),3,1)="隔",IF(AU$58=0,LEFT(IFERROR(INDEX(醫師週班表!$C$5:$T$44,$CU19,AU$57),""),1),""),IF(MID(IFERROR(INDEX(醫師週班表!$C$5:$T$44,$CU19,AU$57),""),2,1)="(",LEFT(IFERROR(INDEX(醫師週班表!$C$5:$T$44,$CU19,AU$57),""),1),IFERROR(INDEX(醫師週班表!$C$5:$T$44,$CU19,AU$57),"")))))))</f>
        <v/>
      </c>
      <c r="AV19" s="72">
        <f>IF(AV$59="X","",IF(AV$59&lt;&gt;"",AV$59,IF(IFERROR(INDEX(醫師週班表!$C$5:$T$44,$CU19,AV$57),"")=0,"",IF(MID(IFERROR(INDEX(醫師週班表!$C$5:$T$44,$CU19,AV$57),""),2,1)="/",MID(IFERROR(INDEX(醫師週班表!$C$5:$T$44,$CU19,AV$57),""),1+AV$58*2,1),IF(MID(IFERROR(INDEX(醫師週班表!$C$5:$T$44,$CU19,AV$57),""),3,1)="隔",IF(AV$58=0,LEFT(IFERROR(INDEX(醫師週班表!$C$5:$T$44,$CU19,AV$57),""),1),""),IF(MID(IFERROR(INDEX(醫師週班表!$C$5:$T$44,$CU19,AV$57),""),2,1)="(",LEFT(IFERROR(INDEX(醫師週班表!$C$5:$T$44,$CU19,AV$57),""),1),IFERROR(INDEX(醫師週班表!$C$5:$T$44,$CU19,AV$57),"")))))))</f>
        <v/>
      </c>
      <c r="AW19" s="72">
        <f>IF(AW$59="X","",IF(AW$59&lt;&gt;"",AW$59,IF(IFERROR(INDEX(醫師週班表!$C$5:$T$44,$CU19,AW$57),"")=0,"",IF(MID(IFERROR(INDEX(醫師週班表!$C$5:$T$44,$CU19,AW$57),""),2,1)="/",MID(IFERROR(INDEX(醫師週班表!$C$5:$T$44,$CU19,AW$57),""),1+AW$58*2,1),IF(MID(IFERROR(INDEX(醫師週班表!$C$5:$T$44,$CU19,AW$57),""),3,1)="隔",IF(AW$58=0,LEFT(IFERROR(INDEX(醫師週班表!$C$5:$T$44,$CU19,AW$57),""),1),""),IF(MID(IFERROR(INDEX(醫師週班表!$C$5:$T$44,$CU19,AW$57),""),2,1)="(",LEFT(IFERROR(INDEX(醫師週班表!$C$5:$T$44,$CU19,AW$57),""),1),IFERROR(INDEX(醫師週班表!$C$5:$T$44,$CU19,AW$57),"")))))))</f>
        <v/>
      </c>
      <c r="AX19" s="71">
        <f>IF(AX$59="X","",IF(AX$59&lt;&gt;"",AX$59,IF(IFERROR(INDEX(醫師週班表!$C$5:$T$44,$CU19,AX$57),"")=0,"",IF(MID(IFERROR(INDEX(醫師週班表!$C$5:$T$44,$CU19,AX$57),""),2,1)="/",MID(IFERROR(INDEX(醫師週班表!$C$5:$T$44,$CU19,AX$57),""),1+AX$58*2,1),IF(MID(IFERROR(INDEX(醫師週班表!$C$5:$T$44,$CU19,AX$57),""),3,1)="隔",IF(AX$58=0,LEFT(IFERROR(INDEX(醫師週班表!$C$5:$T$44,$CU19,AX$57),""),1),""),IF(MID(IFERROR(INDEX(醫師週班表!$C$5:$T$44,$CU19,AX$57),""),2,1)="(",LEFT(IFERROR(INDEX(醫師週班表!$C$5:$T$44,$CU19,AX$57),""),1),IFERROR(INDEX(醫師週班表!$C$5:$T$44,$CU19,AX$57),"")))))))</f>
        <v/>
      </c>
      <c r="AY19" s="72">
        <f>IF(AY$59="X","",IF(AY$59&lt;&gt;"",AY$59,IF(IFERROR(INDEX(醫師週班表!$C$5:$T$44,$CU19,AY$57),"")=0,"",IF(MID(IFERROR(INDEX(醫師週班表!$C$5:$T$44,$CU19,AY$57),""),2,1)="/",MID(IFERROR(INDEX(醫師週班表!$C$5:$T$44,$CU19,AY$57),""),1+AY$58*2,1),IF(MID(IFERROR(INDEX(醫師週班表!$C$5:$T$44,$CU19,AY$57),""),3,1)="隔",IF(AY$58=0,LEFT(IFERROR(INDEX(醫師週班表!$C$5:$T$44,$CU19,AY$57),""),1),""),IF(MID(IFERROR(INDEX(醫師週班表!$C$5:$T$44,$CU19,AY$57),""),2,1)="(",LEFT(IFERROR(INDEX(醫師週班表!$C$5:$T$44,$CU19,AY$57),""),1),IFERROR(INDEX(醫師週班表!$C$5:$T$44,$CU19,AY$57),"")))))))</f>
        <v/>
      </c>
      <c r="AZ19" s="72">
        <f>IF(AZ$59="X","",IF(AZ$59&lt;&gt;"",AZ$59,IF(IFERROR(INDEX(醫師週班表!$C$5:$T$44,$CU19,AZ$57),"")=0,"",IF(MID(IFERROR(INDEX(醫師週班表!$C$5:$T$44,$CU19,AZ$57),""),2,1)="/",MID(IFERROR(INDEX(醫師週班表!$C$5:$T$44,$CU19,AZ$57),""),1+AZ$58*2,1),IF(MID(IFERROR(INDEX(醫師週班表!$C$5:$T$44,$CU19,AZ$57),""),3,1)="隔",IF(AZ$58=0,LEFT(IFERROR(INDEX(醫師週班表!$C$5:$T$44,$CU19,AZ$57),""),1),""),IF(MID(IFERROR(INDEX(醫師週班表!$C$5:$T$44,$CU19,AZ$57),""),2,1)="(",LEFT(IFERROR(INDEX(醫師週班表!$C$5:$T$44,$CU19,AZ$57),""),1),IFERROR(INDEX(醫師週班表!$C$5:$T$44,$CU19,AZ$57),"")))))))</f>
        <v/>
      </c>
      <c r="BA19" s="71">
        <f>IF(BA$59="X","",IF(BA$59&lt;&gt;"",BA$59,IF(IFERROR(INDEX(醫師週班表!$C$5:$T$44,$CU19,BA$57),"")=0,"",IF(MID(IFERROR(INDEX(醫師週班表!$C$5:$T$44,$CU19,BA$57),""),2,1)="/",MID(IFERROR(INDEX(醫師週班表!$C$5:$T$44,$CU19,BA$57),""),1+BA$58*2,1),IF(MID(IFERROR(INDEX(醫師週班表!$C$5:$T$44,$CU19,BA$57),""),3,1)="隔",IF(BA$58=0,LEFT(IFERROR(INDEX(醫師週班表!$C$5:$T$44,$CU19,BA$57),""),1),""),IF(MID(IFERROR(INDEX(醫師週班表!$C$5:$T$44,$CU19,BA$57),""),2,1)="(",LEFT(IFERROR(INDEX(醫師週班表!$C$5:$T$44,$CU19,BA$57),""),1),IFERROR(INDEX(醫師週班表!$C$5:$T$44,$CU19,BA$57),"")))))))</f>
        <v/>
      </c>
      <c r="BB19" s="72">
        <f>IF(BB$59="X","",IF(BB$59&lt;&gt;"",BB$59,IF(IFERROR(INDEX(醫師週班表!$C$5:$T$44,$CU19,BB$57),"")=0,"",IF(MID(IFERROR(INDEX(醫師週班表!$C$5:$T$44,$CU19,BB$57),""),2,1)="/",MID(IFERROR(INDEX(醫師週班表!$C$5:$T$44,$CU19,BB$57),""),1+BB$58*2,1),IF(MID(IFERROR(INDEX(醫師週班表!$C$5:$T$44,$CU19,BB$57),""),3,1)="隔",IF(BB$58=0,LEFT(IFERROR(INDEX(醫師週班表!$C$5:$T$44,$CU19,BB$57),""),1),""),IF(MID(IFERROR(INDEX(醫師週班表!$C$5:$T$44,$CU19,BB$57),""),2,1)="(",LEFT(IFERROR(INDEX(醫師週班表!$C$5:$T$44,$CU19,BB$57),""),1),IFERROR(INDEX(醫師週班表!$C$5:$T$44,$CU19,BB$57),"")))))))</f>
        <v/>
      </c>
      <c r="BC19" s="72">
        <f>IF(BC$59="X","",IF(BC$59&lt;&gt;"",BC$59,IF(IFERROR(INDEX(醫師週班表!$C$5:$T$44,$CU19,BC$57),"")=0,"",IF(MID(IFERROR(INDEX(醫師週班表!$C$5:$T$44,$CU19,BC$57),""),2,1)="/",MID(IFERROR(INDEX(醫師週班表!$C$5:$T$44,$CU19,BC$57),""),1+BC$58*2,1),IF(MID(IFERROR(INDEX(醫師週班表!$C$5:$T$44,$CU19,BC$57),""),3,1)="隔",IF(BC$58=0,LEFT(IFERROR(INDEX(醫師週班表!$C$5:$T$44,$CU19,BC$57),""),1),""),IF(MID(IFERROR(INDEX(醫師週班表!$C$5:$T$44,$CU19,BC$57),""),2,1)="(",LEFT(IFERROR(INDEX(醫師週班表!$C$5:$T$44,$CU19,BC$57),""),1),IFERROR(INDEX(醫師週班表!$C$5:$T$44,$CU19,BC$57),"")))))))</f>
        <v/>
      </c>
      <c r="BD19" s="71">
        <f>IF(BD$59="X","",IF(BD$59&lt;&gt;"",BD$59,IF(IFERROR(INDEX(醫師週班表!$C$5:$T$44,$CU19,BD$57),"")=0,"",IF(MID(IFERROR(INDEX(醫師週班表!$C$5:$T$44,$CU19,BD$57),""),2,1)="/",MID(IFERROR(INDEX(醫師週班表!$C$5:$T$44,$CU19,BD$57),""),1+BD$58*2,1),IF(MID(IFERROR(INDEX(醫師週班表!$C$5:$T$44,$CU19,BD$57),""),3,1)="隔",IF(BD$58=0,LEFT(IFERROR(INDEX(醫師週班表!$C$5:$T$44,$CU19,BD$57),""),1),""),IF(MID(IFERROR(INDEX(醫師週班表!$C$5:$T$44,$CU19,BD$57),""),2,1)="(",LEFT(IFERROR(INDEX(醫師週班表!$C$5:$T$44,$CU19,BD$57),""),1),IFERROR(INDEX(醫師週班表!$C$5:$T$44,$CU19,BD$57),"")))))))</f>
        <v/>
      </c>
      <c r="BE19" s="72">
        <f>IF(BE$59="X","",IF(BE$59&lt;&gt;"",BE$59,IF(IFERROR(INDEX(醫師週班表!$C$5:$T$44,$CU19,BE$57),"")=0,"",IF(MID(IFERROR(INDEX(醫師週班表!$C$5:$T$44,$CU19,BE$57),""),2,1)="/",MID(IFERROR(INDEX(醫師週班表!$C$5:$T$44,$CU19,BE$57),""),1+BE$58*2,1),IF(MID(IFERROR(INDEX(醫師週班表!$C$5:$T$44,$CU19,BE$57),""),3,1)="隔",IF(BE$58=0,LEFT(IFERROR(INDEX(醫師週班表!$C$5:$T$44,$CU19,BE$57),""),1),""),IF(MID(IFERROR(INDEX(醫師週班表!$C$5:$T$44,$CU19,BE$57),""),2,1)="(",LEFT(IFERROR(INDEX(醫師週班表!$C$5:$T$44,$CU19,BE$57),""),1),IFERROR(INDEX(醫師週班表!$C$5:$T$44,$CU19,BE$57),"")))))))</f>
        <v/>
      </c>
      <c r="BF19" s="72">
        <f>IF(BF$59="X","",IF(BF$59&lt;&gt;"",BF$59,IF(IFERROR(INDEX(醫師週班表!$C$5:$T$44,$CU19,BF$57),"")=0,"",IF(MID(IFERROR(INDEX(醫師週班表!$C$5:$T$44,$CU19,BF$57),""),2,1)="/",MID(IFERROR(INDEX(醫師週班表!$C$5:$T$44,$CU19,BF$57),""),1+BF$58*2,1),IF(MID(IFERROR(INDEX(醫師週班表!$C$5:$T$44,$CU19,BF$57),""),3,1)="隔",IF(BF$58=0,LEFT(IFERROR(INDEX(醫師週班表!$C$5:$T$44,$CU19,BF$57),""),1),""),IF(MID(IFERROR(INDEX(醫師週班表!$C$5:$T$44,$CU19,BF$57),""),2,1)="(",LEFT(IFERROR(INDEX(醫師週班表!$C$5:$T$44,$CU19,BF$57),""),1),IFERROR(INDEX(醫師週班表!$C$5:$T$44,$CU19,BF$57),"")))))))</f>
        <v/>
      </c>
      <c r="BG19" s="71">
        <f>IF(BG$59="X","",IF(BG$59&lt;&gt;"",BG$59,IF(IFERROR(INDEX(醫師週班表!$C$5:$T$44,$CU19,BG$57),"")=0,"",IF(MID(IFERROR(INDEX(醫師週班表!$C$5:$T$44,$CU19,BG$57),""),2,1)="/",MID(IFERROR(INDEX(醫師週班表!$C$5:$T$44,$CU19,BG$57),""),1+BG$58*2,1),IF(MID(IFERROR(INDEX(醫師週班表!$C$5:$T$44,$CU19,BG$57),""),3,1)="隔",IF(BG$58=0,LEFT(IFERROR(INDEX(醫師週班表!$C$5:$T$44,$CU19,BG$57),""),1),""),IF(MID(IFERROR(INDEX(醫師週班表!$C$5:$T$44,$CU19,BG$57),""),2,1)="(",LEFT(IFERROR(INDEX(醫師週班表!$C$5:$T$44,$CU19,BG$57),""),1),IFERROR(INDEX(醫師週班表!$C$5:$T$44,$CU19,BG$57),"")))))))</f>
        <v/>
      </c>
      <c r="BH19" s="72">
        <f>IF(BH$59="X","",IF(BH$59&lt;&gt;"",BH$59,IF(IFERROR(INDEX(醫師週班表!$C$5:$T$44,$CU19,BH$57),"")=0,"",IF(MID(IFERROR(INDEX(醫師週班表!$C$5:$T$44,$CU19,BH$57),""),2,1)="/",MID(IFERROR(INDEX(醫師週班表!$C$5:$T$44,$CU19,BH$57),""),1+BH$58*2,1),IF(MID(IFERROR(INDEX(醫師週班表!$C$5:$T$44,$CU19,BH$57),""),3,1)="隔",IF(BH$58=0,LEFT(IFERROR(INDEX(醫師週班表!$C$5:$T$44,$CU19,BH$57),""),1),""),IF(MID(IFERROR(INDEX(醫師週班表!$C$5:$T$44,$CU19,BH$57),""),2,1)="(",LEFT(IFERROR(INDEX(醫師週班表!$C$5:$T$44,$CU19,BH$57),""),1),IFERROR(INDEX(醫師週班表!$C$5:$T$44,$CU19,BH$57),"")))))))</f>
        <v/>
      </c>
      <c r="BI19" s="72">
        <f>IF(BI$59="X","",IF(BI$59&lt;&gt;"",BI$59,IF(IFERROR(INDEX(醫師週班表!$C$5:$T$44,$CU19,BI$57),"")=0,"",IF(MID(IFERROR(INDEX(醫師週班表!$C$5:$T$44,$CU19,BI$57),""),2,1)="/",MID(IFERROR(INDEX(醫師週班表!$C$5:$T$44,$CU19,BI$57),""),1+BI$58*2,1),IF(MID(IFERROR(INDEX(醫師週班表!$C$5:$T$44,$CU19,BI$57),""),3,1)="隔",IF(BI$58=0,LEFT(IFERROR(INDEX(醫師週班表!$C$5:$T$44,$CU19,BI$57),""),1),""),IF(MID(IFERROR(INDEX(醫師週班表!$C$5:$T$44,$CU19,BI$57),""),2,1)="(",LEFT(IFERROR(INDEX(醫師週班表!$C$5:$T$44,$CU19,BI$57),""),1),IFERROR(INDEX(醫師週班表!$C$5:$T$44,$CU19,BI$57),"")))))))</f>
        <v/>
      </c>
      <c r="BJ19" s="71">
        <f>IF(BJ$59="X","",IF(BJ$59&lt;&gt;"",BJ$59,IF(IFERROR(INDEX(醫師週班表!$C$5:$T$44,$CU19,BJ$57),"")=0,"",IF(MID(IFERROR(INDEX(醫師週班表!$C$5:$T$44,$CU19,BJ$57),""),2,1)="/",MID(IFERROR(INDEX(醫師週班表!$C$5:$T$44,$CU19,BJ$57),""),1+BJ$58*2,1),IF(MID(IFERROR(INDEX(醫師週班表!$C$5:$T$44,$CU19,BJ$57),""),3,1)="隔",IF(BJ$58=0,LEFT(IFERROR(INDEX(醫師週班表!$C$5:$T$44,$CU19,BJ$57),""),1),""),IF(MID(IFERROR(INDEX(醫師週班表!$C$5:$T$44,$CU19,BJ$57),""),2,1)="(",LEFT(IFERROR(INDEX(醫師週班表!$C$5:$T$44,$CU19,BJ$57),""),1),IFERROR(INDEX(醫師週班表!$C$5:$T$44,$CU19,BJ$57),"")))))))</f>
        <v/>
      </c>
      <c r="BK19" s="72">
        <f>IF(BK$59="X","",IF(BK$59&lt;&gt;"",BK$59,IF(IFERROR(INDEX(醫師週班表!$C$5:$T$44,$CU19,BK$57),"")=0,"",IF(MID(IFERROR(INDEX(醫師週班表!$C$5:$T$44,$CU19,BK$57),""),2,1)="/",MID(IFERROR(INDEX(醫師週班表!$C$5:$T$44,$CU19,BK$57),""),1+BK$58*2,1),IF(MID(IFERROR(INDEX(醫師週班表!$C$5:$T$44,$CU19,BK$57),""),3,1)="隔",IF(BK$58=0,LEFT(IFERROR(INDEX(醫師週班表!$C$5:$T$44,$CU19,BK$57),""),1),""),IF(MID(IFERROR(INDEX(醫師週班表!$C$5:$T$44,$CU19,BK$57),""),2,1)="(",LEFT(IFERROR(INDEX(醫師週班表!$C$5:$T$44,$CU19,BK$57),""),1),IFERROR(INDEX(醫師週班表!$C$5:$T$44,$CU19,BK$57),"")))))))</f>
        <v/>
      </c>
      <c r="BL19" s="72">
        <f>IF(BL$59="X","",IF(BL$59&lt;&gt;"",BL$59,IF(IFERROR(INDEX(醫師週班表!$C$5:$T$44,$CU19,BL$57),"")=0,"",IF(MID(IFERROR(INDEX(醫師週班表!$C$5:$T$44,$CU19,BL$57),""),2,1)="/",MID(IFERROR(INDEX(醫師週班表!$C$5:$T$44,$CU19,BL$57),""),1+BL$58*2,1),IF(MID(IFERROR(INDEX(醫師週班表!$C$5:$T$44,$CU19,BL$57),""),3,1)="隔",IF(BL$58=0,LEFT(IFERROR(INDEX(醫師週班表!$C$5:$T$44,$CU19,BL$57),""),1),""),IF(MID(IFERROR(INDEX(醫師週班表!$C$5:$T$44,$CU19,BL$57),""),2,1)="(",LEFT(IFERROR(INDEX(醫師週班表!$C$5:$T$44,$CU19,BL$57),""),1),IFERROR(INDEX(醫師週班表!$C$5:$T$44,$CU19,BL$57),"")))))))</f>
        <v/>
      </c>
      <c r="BM19" s="71">
        <f>IF(BM$59="X","",IF(BM$59&lt;&gt;"",BM$59,IF(IFERROR(INDEX(醫師週班表!$C$5:$T$44,$CU19,BM$57),"")=0,"",IF(MID(IFERROR(INDEX(醫師週班表!$C$5:$T$44,$CU19,BM$57),""),2,1)="/",MID(IFERROR(INDEX(醫師週班表!$C$5:$T$44,$CU19,BM$57),""),1+BM$58*2,1),IF(MID(IFERROR(INDEX(醫師週班表!$C$5:$T$44,$CU19,BM$57),""),3,1)="隔",IF(BM$58=0,LEFT(IFERROR(INDEX(醫師週班表!$C$5:$T$44,$CU19,BM$57),""),1),""),IF(MID(IFERROR(INDEX(醫師週班表!$C$5:$T$44,$CU19,BM$57),""),2,1)="(",LEFT(IFERROR(INDEX(醫師週班表!$C$5:$T$44,$CU19,BM$57),""),1),IFERROR(INDEX(醫師週班表!$C$5:$T$44,$CU19,BM$57),"")))))))</f>
        <v/>
      </c>
      <c r="BN19" s="72">
        <f>IF(BN$59="X","",IF(BN$59&lt;&gt;"",BN$59,IF(IFERROR(INDEX(醫師週班表!$C$5:$T$44,$CU19,BN$57),"")=0,"",IF(MID(IFERROR(INDEX(醫師週班表!$C$5:$T$44,$CU19,BN$57),""),2,1)="/",MID(IFERROR(INDEX(醫師週班表!$C$5:$T$44,$CU19,BN$57),""),1+BN$58*2,1),IF(MID(IFERROR(INDEX(醫師週班表!$C$5:$T$44,$CU19,BN$57),""),3,1)="隔",IF(BN$58=0,LEFT(IFERROR(INDEX(醫師週班表!$C$5:$T$44,$CU19,BN$57),""),1),""),IF(MID(IFERROR(INDEX(醫師週班表!$C$5:$T$44,$CU19,BN$57),""),2,1)="(",LEFT(IFERROR(INDEX(醫師週班表!$C$5:$T$44,$CU19,BN$57),""),1),IFERROR(INDEX(醫師週班表!$C$5:$T$44,$CU19,BN$57),"")))))))</f>
        <v/>
      </c>
      <c r="BO19" s="72">
        <f>IF(BO$59="X","",IF(BO$59&lt;&gt;"",BO$59,IF(IFERROR(INDEX(醫師週班表!$C$5:$T$44,$CU19,BO$57),"")=0,"",IF(MID(IFERROR(INDEX(醫師週班表!$C$5:$T$44,$CU19,BO$57),""),2,1)="/",MID(IFERROR(INDEX(醫師週班表!$C$5:$T$44,$CU19,BO$57),""),1+BO$58*2,1),IF(MID(IFERROR(INDEX(醫師週班表!$C$5:$T$44,$CU19,BO$57),""),3,1)="隔",IF(BO$58=0,LEFT(IFERROR(INDEX(醫師週班表!$C$5:$T$44,$CU19,BO$57),""),1),""),IF(MID(IFERROR(INDEX(醫師週班表!$C$5:$T$44,$CU19,BO$57),""),2,1)="(",LEFT(IFERROR(INDEX(醫師週班表!$C$5:$T$44,$CU19,BO$57),""),1),IFERROR(INDEX(醫師週班表!$C$5:$T$44,$CU19,BO$57),"")))))))</f>
        <v/>
      </c>
      <c r="BP19" s="71">
        <f>IF(BP$59="X","",IF(BP$59&lt;&gt;"",BP$59,IF(IFERROR(INDEX(醫師週班表!$C$5:$T$44,$CU19,BP$57),"")=0,"",IF(MID(IFERROR(INDEX(醫師週班表!$C$5:$T$44,$CU19,BP$57),""),2,1)="/",MID(IFERROR(INDEX(醫師週班表!$C$5:$T$44,$CU19,BP$57),""),1+BP$58*2,1),IF(MID(IFERROR(INDEX(醫師週班表!$C$5:$T$44,$CU19,BP$57),""),3,1)="隔",IF(BP$58=0,LEFT(IFERROR(INDEX(醫師週班表!$C$5:$T$44,$CU19,BP$57),""),1),""),IF(MID(IFERROR(INDEX(醫師週班表!$C$5:$T$44,$CU19,BP$57),""),2,1)="(",LEFT(IFERROR(INDEX(醫師週班表!$C$5:$T$44,$CU19,BP$57),""),1),IFERROR(INDEX(醫師週班表!$C$5:$T$44,$CU19,BP$57),"")))))))</f>
        <v/>
      </c>
      <c r="BQ19" s="72">
        <f>IF(BQ$59="X","",IF(BQ$59&lt;&gt;"",BQ$59,IF(IFERROR(INDEX(醫師週班表!$C$5:$T$44,$CU19,BQ$57),"")=0,"",IF(MID(IFERROR(INDEX(醫師週班表!$C$5:$T$44,$CU19,BQ$57),""),2,1)="/",MID(IFERROR(INDEX(醫師週班表!$C$5:$T$44,$CU19,BQ$57),""),1+BQ$58*2,1),IF(MID(IFERROR(INDEX(醫師週班表!$C$5:$T$44,$CU19,BQ$57),""),3,1)="隔",IF(BQ$58=0,LEFT(IFERROR(INDEX(醫師週班表!$C$5:$T$44,$CU19,BQ$57),""),1),""),IF(MID(IFERROR(INDEX(醫師週班表!$C$5:$T$44,$CU19,BQ$57),""),2,1)="(",LEFT(IFERROR(INDEX(醫師週班表!$C$5:$T$44,$CU19,BQ$57),""),1),IFERROR(INDEX(醫師週班表!$C$5:$T$44,$CU19,BQ$57),"")))))))</f>
        <v/>
      </c>
      <c r="BR19" s="72">
        <f>IF(BR$59="X","",IF(BR$59&lt;&gt;"",BR$59,IF(IFERROR(INDEX(醫師週班表!$C$5:$T$44,$CU19,BR$57),"")=0,"",IF(MID(IFERROR(INDEX(醫師週班表!$C$5:$T$44,$CU19,BR$57),""),2,1)="/",MID(IFERROR(INDEX(醫師週班表!$C$5:$T$44,$CU19,BR$57),""),1+BR$58*2,1),IF(MID(IFERROR(INDEX(醫師週班表!$C$5:$T$44,$CU19,BR$57),""),3,1)="隔",IF(BR$58=0,LEFT(IFERROR(INDEX(醫師週班表!$C$5:$T$44,$CU19,BR$57),""),1),""),IF(MID(IFERROR(INDEX(醫師週班表!$C$5:$T$44,$CU19,BR$57),""),2,1)="(",LEFT(IFERROR(INDEX(醫師週班表!$C$5:$T$44,$CU19,BR$57),""),1),IFERROR(INDEX(醫師週班表!$C$5:$T$44,$CU19,BR$57),"")))))))</f>
        <v/>
      </c>
      <c r="BS19" s="71">
        <f>IF(BS$59="X","",IF(BS$59&lt;&gt;"",BS$59,IF(IFERROR(INDEX(醫師週班表!$C$5:$T$44,$CU19,BS$57),"")=0,"",IF(MID(IFERROR(INDEX(醫師週班表!$C$5:$T$44,$CU19,BS$57),""),2,1)="/",MID(IFERROR(INDEX(醫師週班表!$C$5:$T$44,$CU19,BS$57),""),1+BS$58*2,1),IF(MID(IFERROR(INDEX(醫師週班表!$C$5:$T$44,$CU19,BS$57),""),3,1)="隔",IF(BS$58=0,LEFT(IFERROR(INDEX(醫師週班表!$C$5:$T$44,$CU19,BS$57),""),1),""),IF(MID(IFERROR(INDEX(醫師週班表!$C$5:$T$44,$CU19,BS$57),""),2,1)="(",LEFT(IFERROR(INDEX(醫師週班表!$C$5:$T$44,$CU19,BS$57),""),1),IFERROR(INDEX(醫師週班表!$C$5:$T$44,$CU19,BS$57),"")))))))</f>
        <v/>
      </c>
      <c r="BT19" s="72">
        <f>IF(BT$59="X","",IF(BT$59&lt;&gt;"",BT$59,IF(IFERROR(INDEX(醫師週班表!$C$5:$T$44,$CU19,BT$57),"")=0,"",IF(MID(IFERROR(INDEX(醫師週班表!$C$5:$T$44,$CU19,BT$57),""),2,1)="/",MID(IFERROR(INDEX(醫師週班表!$C$5:$T$44,$CU19,BT$57),""),1+BT$58*2,1),IF(MID(IFERROR(INDEX(醫師週班表!$C$5:$T$44,$CU19,BT$57),""),3,1)="隔",IF(BT$58=0,LEFT(IFERROR(INDEX(醫師週班表!$C$5:$T$44,$CU19,BT$57),""),1),""),IF(MID(IFERROR(INDEX(醫師週班表!$C$5:$T$44,$CU19,BT$57),""),2,1)="(",LEFT(IFERROR(INDEX(醫師週班表!$C$5:$T$44,$CU19,BT$57),""),1),IFERROR(INDEX(醫師週班表!$C$5:$T$44,$CU19,BT$57),"")))))))</f>
        <v/>
      </c>
      <c r="BU19" s="72">
        <f>IF(BU$59="X","",IF(BU$59&lt;&gt;"",BU$59,IF(IFERROR(INDEX(醫師週班表!$C$5:$T$44,$CU19,BU$57),"")=0,"",IF(MID(IFERROR(INDEX(醫師週班表!$C$5:$T$44,$CU19,BU$57),""),2,1)="/",MID(IFERROR(INDEX(醫師週班表!$C$5:$T$44,$CU19,BU$57),""),1+BU$58*2,1),IF(MID(IFERROR(INDEX(醫師週班表!$C$5:$T$44,$CU19,BU$57),""),3,1)="隔",IF(BU$58=0,LEFT(IFERROR(INDEX(醫師週班表!$C$5:$T$44,$CU19,BU$57),""),1),""),IF(MID(IFERROR(INDEX(醫師週班表!$C$5:$T$44,$CU19,BU$57),""),2,1)="(",LEFT(IFERROR(INDEX(醫師週班表!$C$5:$T$44,$CU19,BU$57),""),1),IFERROR(INDEX(醫師週班表!$C$5:$T$44,$CU19,BU$57),"")))))))</f>
        <v/>
      </c>
      <c r="BV19" s="71">
        <f>IF(BV$59="X","",IF(BV$59&lt;&gt;"",BV$59,IF(IFERROR(INDEX(醫師週班表!$C$5:$T$44,$CU19,BV$57),"")=0,"",IF(MID(IFERROR(INDEX(醫師週班表!$C$5:$T$44,$CU19,BV$57),""),2,1)="/",MID(IFERROR(INDEX(醫師週班表!$C$5:$T$44,$CU19,BV$57),""),1+BV$58*2,1),IF(MID(IFERROR(INDEX(醫師週班表!$C$5:$T$44,$CU19,BV$57),""),3,1)="隔",IF(BV$58=0,LEFT(IFERROR(INDEX(醫師週班表!$C$5:$T$44,$CU19,BV$57),""),1),""),IF(MID(IFERROR(INDEX(醫師週班表!$C$5:$T$44,$CU19,BV$57),""),2,1)="(",LEFT(IFERROR(INDEX(醫師週班表!$C$5:$T$44,$CU19,BV$57),""),1),IFERROR(INDEX(醫師週班表!$C$5:$T$44,$CU19,BV$57),"")))))))</f>
        <v/>
      </c>
      <c r="BW19" s="72">
        <f>IF(BW$59="X","",IF(BW$59&lt;&gt;"",BW$59,IF(IFERROR(INDEX(醫師週班表!$C$5:$T$44,$CU19,BW$57),"")=0,"",IF(MID(IFERROR(INDEX(醫師週班表!$C$5:$T$44,$CU19,BW$57),""),2,1)="/",MID(IFERROR(INDEX(醫師週班表!$C$5:$T$44,$CU19,BW$57),""),1+BW$58*2,1),IF(MID(IFERROR(INDEX(醫師週班表!$C$5:$T$44,$CU19,BW$57),""),3,1)="隔",IF(BW$58=0,LEFT(IFERROR(INDEX(醫師週班表!$C$5:$T$44,$CU19,BW$57),""),1),""),IF(MID(IFERROR(INDEX(醫師週班表!$C$5:$T$44,$CU19,BW$57),""),2,1)="(",LEFT(IFERROR(INDEX(醫師週班表!$C$5:$T$44,$CU19,BW$57),""),1),IFERROR(INDEX(醫師週班表!$C$5:$T$44,$CU19,BW$57),"")))))))</f>
        <v/>
      </c>
      <c r="BX19" s="72">
        <f>IF(BX$59="X","",IF(BX$59&lt;&gt;"",BX$59,IF(IFERROR(INDEX(醫師週班表!$C$5:$T$44,$CU19,BX$57),"")=0,"",IF(MID(IFERROR(INDEX(醫師週班表!$C$5:$T$44,$CU19,BX$57),""),2,1)="/",MID(IFERROR(INDEX(醫師週班表!$C$5:$T$44,$CU19,BX$57),""),1+BX$58*2,1),IF(MID(IFERROR(INDEX(醫師週班表!$C$5:$T$44,$CU19,BX$57),""),3,1)="隔",IF(BX$58=0,LEFT(IFERROR(INDEX(醫師週班表!$C$5:$T$44,$CU19,BX$57),""),1),""),IF(MID(IFERROR(INDEX(醫師週班表!$C$5:$T$44,$CU19,BX$57),""),2,1)="(",LEFT(IFERROR(INDEX(醫師週班表!$C$5:$T$44,$CU19,BX$57),""),1),IFERROR(INDEX(醫師週班表!$C$5:$T$44,$CU19,BX$57),"")))))))</f>
        <v/>
      </c>
      <c r="BY19" s="71">
        <f>IF(BY$59="X","",IF(BY$59&lt;&gt;"",BY$59,IF(IFERROR(INDEX(醫師週班表!$C$5:$T$44,$CU19,BY$57),"")=0,"",IF(MID(IFERROR(INDEX(醫師週班表!$C$5:$T$44,$CU19,BY$57),""),2,1)="/",MID(IFERROR(INDEX(醫師週班表!$C$5:$T$44,$CU19,BY$57),""),1+BY$58*2,1),IF(MID(IFERROR(INDEX(醫師週班表!$C$5:$T$44,$CU19,BY$57),""),3,1)="隔",IF(BY$58=0,LEFT(IFERROR(INDEX(醫師週班表!$C$5:$T$44,$CU19,BY$57),""),1),""),IF(MID(IFERROR(INDEX(醫師週班表!$C$5:$T$44,$CU19,BY$57),""),2,1)="(",LEFT(IFERROR(INDEX(醫師週班表!$C$5:$T$44,$CU19,BY$57),""),1),IFERROR(INDEX(醫師週班表!$C$5:$T$44,$CU19,BY$57),"")))))))</f>
        <v/>
      </c>
      <c r="BZ19" s="72">
        <f>IF(BZ$59="X","",IF(BZ$59&lt;&gt;"",BZ$59,IF(IFERROR(INDEX(醫師週班表!$C$5:$T$44,$CU19,BZ$57),"")=0,"",IF(MID(IFERROR(INDEX(醫師週班表!$C$5:$T$44,$CU19,BZ$57),""),2,1)="/",MID(IFERROR(INDEX(醫師週班表!$C$5:$T$44,$CU19,BZ$57),""),1+BZ$58*2,1),IF(MID(IFERROR(INDEX(醫師週班表!$C$5:$T$44,$CU19,BZ$57),""),3,1)="隔",IF(BZ$58=0,LEFT(IFERROR(INDEX(醫師週班表!$C$5:$T$44,$CU19,BZ$57),""),1),""),IF(MID(IFERROR(INDEX(醫師週班表!$C$5:$T$44,$CU19,BZ$57),""),2,1)="(",LEFT(IFERROR(INDEX(醫師週班表!$C$5:$T$44,$CU19,BZ$57),""),1),IFERROR(INDEX(醫師週班表!$C$5:$T$44,$CU19,BZ$57),"")))))))</f>
        <v/>
      </c>
      <c r="CA19" s="72">
        <f>IF(CA$59="X","",IF(CA$59&lt;&gt;"",CA$59,IF(IFERROR(INDEX(醫師週班表!$C$5:$T$44,$CU19,CA$57),"")=0,"",IF(MID(IFERROR(INDEX(醫師週班表!$C$5:$T$44,$CU19,CA$57),""),2,1)="/",MID(IFERROR(INDEX(醫師週班表!$C$5:$T$44,$CU19,CA$57),""),1+CA$58*2,1),IF(MID(IFERROR(INDEX(醫師週班表!$C$5:$T$44,$CU19,CA$57),""),3,1)="隔",IF(CA$58=0,LEFT(IFERROR(INDEX(醫師週班表!$C$5:$T$44,$CU19,CA$57),""),1),""),IF(MID(IFERROR(INDEX(醫師週班表!$C$5:$T$44,$CU19,CA$57),""),2,1)="(",LEFT(IFERROR(INDEX(醫師週班表!$C$5:$T$44,$CU19,CA$57),""),1),IFERROR(INDEX(醫師週班表!$C$5:$T$44,$CU19,CA$57),"")))))))</f>
        <v/>
      </c>
      <c r="CB19" s="71">
        <f>IF(CB$59="X","",IF(CB$59&lt;&gt;"",CB$59,IF(IFERROR(INDEX(醫師週班表!$C$5:$T$44,$CU19,CB$57),"")=0,"",IF(MID(IFERROR(INDEX(醫師週班表!$C$5:$T$44,$CU19,CB$57),""),2,1)="/",MID(IFERROR(INDEX(醫師週班表!$C$5:$T$44,$CU19,CB$57),""),1+CB$58*2,1),IF(MID(IFERROR(INDEX(醫師週班表!$C$5:$T$44,$CU19,CB$57),""),3,1)="隔",IF(CB$58=0,LEFT(IFERROR(INDEX(醫師週班表!$C$5:$T$44,$CU19,CB$57),""),1),""),IF(MID(IFERROR(INDEX(醫師週班表!$C$5:$T$44,$CU19,CB$57),""),2,1)="(",LEFT(IFERROR(INDEX(醫師週班表!$C$5:$T$44,$CU19,CB$57),""),1),IFERROR(INDEX(醫師週班表!$C$5:$T$44,$CU19,CB$57),"")))))))</f>
        <v/>
      </c>
      <c r="CC19" s="72">
        <f>IF(CC$59="X","",IF(CC$59&lt;&gt;"",CC$59,IF(IFERROR(INDEX(醫師週班表!$C$5:$T$44,$CU19,CC$57),"")=0,"",IF(MID(IFERROR(INDEX(醫師週班表!$C$5:$T$44,$CU19,CC$57),""),2,1)="/",MID(IFERROR(INDEX(醫師週班表!$C$5:$T$44,$CU19,CC$57),""),1+CC$58*2,1),IF(MID(IFERROR(INDEX(醫師週班表!$C$5:$T$44,$CU19,CC$57),""),3,1)="隔",IF(CC$58=0,LEFT(IFERROR(INDEX(醫師週班表!$C$5:$T$44,$CU19,CC$57),""),1),""),IF(MID(IFERROR(INDEX(醫師週班表!$C$5:$T$44,$CU19,CC$57),""),2,1)="(",LEFT(IFERROR(INDEX(醫師週班表!$C$5:$T$44,$CU19,CC$57),""),1),IFERROR(INDEX(醫師週班表!$C$5:$T$44,$CU19,CC$57),"")))))))</f>
        <v/>
      </c>
      <c r="CD19" s="72">
        <f>IF(CD$59="X","",IF(CD$59&lt;&gt;"",CD$59,IF(IFERROR(INDEX(醫師週班表!$C$5:$T$44,$CU19,CD$57),"")=0,"",IF(MID(IFERROR(INDEX(醫師週班表!$C$5:$T$44,$CU19,CD$57),""),2,1)="/",MID(IFERROR(INDEX(醫師週班表!$C$5:$T$44,$CU19,CD$57),""),1+CD$58*2,1),IF(MID(IFERROR(INDEX(醫師週班表!$C$5:$T$44,$CU19,CD$57),""),3,1)="隔",IF(CD$58=0,LEFT(IFERROR(INDEX(醫師週班表!$C$5:$T$44,$CU19,CD$57),""),1),""),IF(MID(IFERROR(INDEX(醫師週班表!$C$5:$T$44,$CU19,CD$57),""),2,1)="(",LEFT(IFERROR(INDEX(醫師週班表!$C$5:$T$44,$CU19,CD$57),""),1),IFERROR(INDEX(醫師週班表!$C$5:$T$44,$CU19,CD$57),"")))))))</f>
        <v/>
      </c>
      <c r="CE19" s="71">
        <f>IF(CE$59="X","",IF(CE$59&lt;&gt;"",CE$59,IF(IFERROR(INDEX(醫師週班表!$C$5:$T$44,$CU19,CE$57),"")=0,"",IF(MID(IFERROR(INDEX(醫師週班表!$C$5:$T$44,$CU19,CE$57),""),2,1)="/",MID(IFERROR(INDEX(醫師週班表!$C$5:$T$44,$CU19,CE$57),""),1+CE$58*2,1),IF(MID(IFERROR(INDEX(醫師週班表!$C$5:$T$44,$CU19,CE$57),""),3,1)="隔",IF(CE$58=0,LEFT(IFERROR(INDEX(醫師週班表!$C$5:$T$44,$CU19,CE$57),""),1),""),IF(MID(IFERROR(INDEX(醫師週班表!$C$5:$T$44,$CU19,CE$57),""),2,1)="(",LEFT(IFERROR(INDEX(醫師週班表!$C$5:$T$44,$CU19,CE$57),""),1),IFERROR(INDEX(醫師週班表!$C$5:$T$44,$CU19,CE$57),"")))))))</f>
        <v/>
      </c>
      <c r="CF19" s="72">
        <f>IF(CF$59="X","",IF(CF$59&lt;&gt;"",CF$59,IF(IFERROR(INDEX(醫師週班表!$C$5:$T$44,$CU19,CF$57),"")=0,"",IF(MID(IFERROR(INDEX(醫師週班表!$C$5:$T$44,$CU19,CF$57),""),2,1)="/",MID(IFERROR(INDEX(醫師週班表!$C$5:$T$44,$CU19,CF$57),""),1+CF$58*2,1),IF(MID(IFERROR(INDEX(醫師週班表!$C$5:$T$44,$CU19,CF$57),""),3,1)="隔",IF(CF$58=0,LEFT(IFERROR(INDEX(醫師週班表!$C$5:$T$44,$CU19,CF$57),""),1),""),IF(MID(IFERROR(INDEX(醫師週班表!$C$5:$T$44,$CU19,CF$57),""),2,1)="(",LEFT(IFERROR(INDEX(醫師週班表!$C$5:$T$44,$CU19,CF$57),""),1),IFERROR(INDEX(醫師週班表!$C$5:$T$44,$CU19,CF$57),"")))))))</f>
        <v/>
      </c>
      <c r="CG19" s="72">
        <f>IF(CG$59="X","",IF(CG$59&lt;&gt;"",CG$59,IF(IFERROR(INDEX(醫師週班表!$C$5:$T$44,$CU19,CG$57),"")=0,"",IF(MID(IFERROR(INDEX(醫師週班表!$C$5:$T$44,$CU19,CG$57),""),2,1)="/",MID(IFERROR(INDEX(醫師週班表!$C$5:$T$44,$CU19,CG$57),""),1+CG$58*2,1),IF(MID(IFERROR(INDEX(醫師週班表!$C$5:$T$44,$CU19,CG$57),""),3,1)="隔",IF(CG$58=0,LEFT(IFERROR(INDEX(醫師週班表!$C$5:$T$44,$CU19,CG$57),""),1),""),IF(MID(IFERROR(INDEX(醫師週班表!$C$5:$T$44,$CU19,CG$57),""),2,1)="(",LEFT(IFERROR(INDEX(醫師週班表!$C$5:$T$44,$CU19,CG$57),""),1),IFERROR(INDEX(醫師週班表!$C$5:$T$44,$CU19,CG$57),"")))))))</f>
        <v/>
      </c>
      <c r="CH19" s="71">
        <f>IF(CH$59="X","",IF(CH$59&lt;&gt;"",CH$59,IF(IFERROR(INDEX(醫師週班表!$C$5:$T$44,$CU19,CH$57),"")=0,"",IF(MID(IFERROR(INDEX(醫師週班表!$C$5:$T$44,$CU19,CH$57),""),2,1)="/",MID(IFERROR(INDEX(醫師週班表!$C$5:$T$44,$CU19,CH$57),""),1+CH$58*2,1),IF(MID(IFERROR(INDEX(醫師週班表!$C$5:$T$44,$CU19,CH$57),""),3,1)="隔",IF(CH$58=0,LEFT(IFERROR(INDEX(醫師週班表!$C$5:$T$44,$CU19,CH$57),""),1),""),IF(MID(IFERROR(INDEX(醫師週班表!$C$5:$T$44,$CU19,CH$57),""),2,1)="(",LEFT(IFERROR(INDEX(醫師週班表!$C$5:$T$44,$CU19,CH$57),""),1),IFERROR(INDEX(醫師週班表!$C$5:$T$44,$CU19,CH$57),"")))))))</f>
        <v/>
      </c>
      <c r="CI19" s="72">
        <f>IF(CI$59="X","",IF(CI$59&lt;&gt;"",CI$59,IF(IFERROR(INDEX(醫師週班表!$C$5:$T$44,$CU19,CI$57),"")=0,"",IF(MID(IFERROR(INDEX(醫師週班表!$C$5:$T$44,$CU19,CI$57),""),2,1)="/",MID(IFERROR(INDEX(醫師週班表!$C$5:$T$44,$CU19,CI$57),""),1+CI$58*2,1),IF(MID(IFERROR(INDEX(醫師週班表!$C$5:$T$44,$CU19,CI$57),""),3,1)="隔",IF(CI$58=0,LEFT(IFERROR(INDEX(醫師週班表!$C$5:$T$44,$CU19,CI$57),""),1),""),IF(MID(IFERROR(INDEX(醫師週班表!$C$5:$T$44,$CU19,CI$57),""),2,1)="(",LEFT(IFERROR(INDEX(醫師週班表!$C$5:$T$44,$CU19,CI$57),""),1),IFERROR(INDEX(醫師週班表!$C$5:$T$44,$CU19,CI$57),"")))))))</f>
        <v/>
      </c>
      <c r="CJ19" s="72">
        <f>IF(CJ$59="X","",IF(CJ$59&lt;&gt;"",CJ$59,IF(IFERROR(INDEX(醫師週班表!$C$5:$T$44,$CU19,CJ$57),"")=0,"",IF(MID(IFERROR(INDEX(醫師週班表!$C$5:$T$44,$CU19,CJ$57),""),2,1)="/",MID(IFERROR(INDEX(醫師週班表!$C$5:$T$44,$CU19,CJ$57),""),1+CJ$58*2,1),IF(MID(IFERROR(INDEX(醫師週班表!$C$5:$T$44,$CU19,CJ$57),""),3,1)="隔",IF(CJ$58=0,LEFT(IFERROR(INDEX(醫師週班表!$C$5:$T$44,$CU19,CJ$57),""),1),""),IF(MID(IFERROR(INDEX(醫師週班表!$C$5:$T$44,$CU19,CJ$57),""),2,1)="(",LEFT(IFERROR(INDEX(醫師週班表!$C$5:$T$44,$CU19,CJ$57),""),1),IFERROR(INDEX(醫師週班表!$C$5:$T$44,$CU19,CJ$57),"")))))))</f>
        <v/>
      </c>
      <c r="CK19" s="71">
        <f>IF(CK$59="X","",IF(CK$59&lt;&gt;"",CK$59,IF(IFERROR(INDEX(醫師週班表!$C$5:$T$44,$CU19,CK$57),"")=0,"",IF(MID(IFERROR(INDEX(醫師週班表!$C$5:$T$44,$CU19,CK$57),""),2,1)="/",MID(IFERROR(INDEX(醫師週班表!$C$5:$T$44,$CU19,CK$57),""),1+CK$58*2,1),IF(MID(IFERROR(INDEX(醫師週班表!$C$5:$T$44,$CU19,CK$57),""),3,1)="隔",IF(CK$58=0,LEFT(IFERROR(INDEX(醫師週班表!$C$5:$T$44,$CU19,CK$57),""),1),""),IF(MID(IFERROR(INDEX(醫師週班表!$C$5:$T$44,$CU19,CK$57),""),2,1)="(",LEFT(IFERROR(INDEX(醫師週班表!$C$5:$T$44,$CU19,CK$57),""),1),IFERROR(INDEX(醫師週班表!$C$5:$T$44,$CU19,CK$57),"")))))))</f>
        <v/>
      </c>
      <c r="CL19" s="72">
        <f>IF(CL$59="X","",IF(CL$59&lt;&gt;"",CL$59,IF(IFERROR(INDEX(醫師週班表!$C$5:$T$44,$CU19,CL$57),"")=0,"",IF(MID(IFERROR(INDEX(醫師週班表!$C$5:$T$44,$CU19,CL$57),""),2,1)="/",MID(IFERROR(INDEX(醫師週班表!$C$5:$T$44,$CU19,CL$57),""),1+CL$58*2,1),IF(MID(IFERROR(INDEX(醫師週班表!$C$5:$T$44,$CU19,CL$57),""),3,1)="隔",IF(CL$58=0,LEFT(IFERROR(INDEX(醫師週班表!$C$5:$T$44,$CU19,CL$57),""),1),""),IF(MID(IFERROR(INDEX(醫師週班表!$C$5:$T$44,$CU19,CL$57),""),2,1)="(",LEFT(IFERROR(INDEX(醫師週班表!$C$5:$T$44,$CU19,CL$57),""),1),IFERROR(INDEX(醫師週班表!$C$5:$T$44,$CU19,CL$57),"")))))))</f>
        <v/>
      </c>
      <c r="CM19" s="72">
        <f>IF(CM$59="X","",IF(CM$59&lt;&gt;"",CM$59,IF(IFERROR(INDEX(醫師週班表!$C$5:$T$44,$CU19,CM$57),"")=0,"",IF(MID(IFERROR(INDEX(醫師週班表!$C$5:$T$44,$CU19,CM$57),""),2,1)="/",MID(IFERROR(INDEX(醫師週班表!$C$5:$T$44,$CU19,CM$57),""),1+CM$58*2,1),IF(MID(IFERROR(INDEX(醫師週班表!$C$5:$T$44,$CU19,CM$57),""),3,1)="隔",IF(CM$58=0,LEFT(IFERROR(INDEX(醫師週班表!$C$5:$T$44,$CU19,CM$57),""),1),""),IF(MID(IFERROR(INDEX(醫師週班表!$C$5:$T$44,$CU19,CM$57),""),2,1)="(",LEFT(IFERROR(INDEX(醫師週班表!$C$5:$T$44,$CU19,CM$57),""),1),IFERROR(INDEX(醫師週班表!$C$5:$T$44,$CU19,CM$57),"")))))))</f>
        <v/>
      </c>
      <c r="CN19" s="71">
        <f>IF(CN$59="X","",IF(CN$59&lt;&gt;"",CN$59,IF(IFERROR(INDEX(醫師週班表!$C$5:$T$44,$CU19,CN$57),"")=0,"",IF(MID(IFERROR(INDEX(醫師週班表!$C$5:$T$44,$CU19,CN$57),""),2,1)="/",MID(IFERROR(INDEX(醫師週班表!$C$5:$T$44,$CU19,CN$57),""),1+CN$58*2,1),IF(MID(IFERROR(INDEX(醫師週班表!$C$5:$T$44,$CU19,CN$57),""),3,1)="隔",IF(CN$58=0,LEFT(IFERROR(INDEX(醫師週班表!$C$5:$T$44,$CU19,CN$57),""),1),""),IF(MID(IFERROR(INDEX(醫師週班表!$C$5:$T$44,$CU19,CN$57),""),2,1)="(",LEFT(IFERROR(INDEX(醫師週班表!$C$5:$T$44,$CU19,CN$57),""),1),IFERROR(INDEX(醫師週班表!$C$5:$T$44,$CU19,CN$57),"")))))))</f>
        <v/>
      </c>
      <c r="CO19" s="72">
        <f>IF(CO$59="X","",IF(CO$59&lt;&gt;"",CO$59,IF(IFERROR(INDEX(醫師週班表!$C$5:$T$44,$CU19,CO$57),"")=0,"",IF(MID(IFERROR(INDEX(醫師週班表!$C$5:$T$44,$CU19,CO$57),""),2,1)="/",MID(IFERROR(INDEX(醫師週班表!$C$5:$T$44,$CU19,CO$57),""),1+CO$58*2,1),IF(MID(IFERROR(INDEX(醫師週班表!$C$5:$T$44,$CU19,CO$57),""),3,1)="隔",IF(CO$58=0,LEFT(IFERROR(INDEX(醫師週班表!$C$5:$T$44,$CU19,CO$57),""),1),""),IF(MID(IFERROR(INDEX(醫師週班表!$C$5:$T$44,$CU19,CO$57),""),2,1)="(",LEFT(IFERROR(INDEX(醫師週班表!$C$5:$T$44,$CU19,CO$57),""),1),IFERROR(INDEX(醫師週班表!$C$5:$T$44,$CU19,CO$57),"")))))))</f>
        <v/>
      </c>
      <c r="CP19" s="72">
        <f>IF(CP$59="X","",IF(CP$59&lt;&gt;"",CP$59,IF(IFERROR(INDEX(醫師週班表!$C$5:$T$44,$CU19,CP$57),"")=0,"",IF(MID(IFERROR(INDEX(醫師週班表!$C$5:$T$44,$CU19,CP$57),""),2,1)="/",MID(IFERROR(INDEX(醫師週班表!$C$5:$T$44,$CU19,CP$57),""),1+CP$58*2,1),IF(MID(IFERROR(INDEX(醫師週班表!$C$5:$T$44,$CU19,CP$57),""),3,1)="隔",IF(CP$58=0,LEFT(IFERROR(INDEX(醫師週班表!$C$5:$T$44,$CU19,CP$57),""),1),""),IF(MID(IFERROR(INDEX(醫師週班表!$C$5:$T$44,$CU19,CP$57),""),2,1)="(",LEFT(IFERROR(INDEX(醫師週班表!$C$5:$T$44,$CU19,CP$57),""),1),IFERROR(INDEX(醫師週班表!$C$5:$T$44,$CU19,CP$57),"")))))))</f>
        <v/>
      </c>
      <c r="CQ19" s="71">
        <f>IF(CQ$59="X","",IF(CQ$59&lt;&gt;"",CQ$59,IF(IFERROR(INDEX(醫師週班表!$C$5:$T$44,$CU19,CQ$57),"")=0,"",IF(MID(IFERROR(INDEX(醫師週班表!$C$5:$T$44,$CU19,CQ$57),""),2,1)="/",MID(IFERROR(INDEX(醫師週班表!$C$5:$T$44,$CU19,CQ$57),""),1+CQ$58*2,1),IF(MID(IFERROR(INDEX(醫師週班表!$C$5:$T$44,$CU19,CQ$57),""),3,1)="隔",IF(CQ$58=0,LEFT(IFERROR(INDEX(醫師週班表!$C$5:$T$44,$CU19,CQ$57),""),1),""),IF(MID(IFERROR(INDEX(醫師週班表!$C$5:$T$44,$CU19,CQ$57),""),2,1)="(",LEFT(IFERROR(INDEX(醫師週班表!$C$5:$T$44,$CU19,CQ$57),""),1),IFERROR(INDEX(醫師週班表!$C$5:$T$44,$CU19,CQ$57),"")))))))</f>
        <v/>
      </c>
      <c r="CR19" s="72">
        <f>IF(CR$59="X","",IF(CR$59&lt;&gt;"",CR$59,IF(IFERROR(INDEX(醫師週班表!$C$5:$T$44,$CU19,CR$57),"")=0,"",IF(MID(IFERROR(INDEX(醫師週班表!$C$5:$T$44,$CU19,CR$57),""),2,1)="/",MID(IFERROR(INDEX(醫師週班表!$C$5:$T$44,$CU19,CR$57),""),1+CR$58*2,1),IF(MID(IFERROR(INDEX(醫師週班表!$C$5:$T$44,$CU19,CR$57),""),3,1)="隔",IF(CR$58=0,LEFT(IFERROR(INDEX(醫師週班表!$C$5:$T$44,$CU19,CR$57),""),1),""),IF(MID(IFERROR(INDEX(醫師週班表!$C$5:$T$44,$CU19,CR$57),""),2,1)="(",LEFT(IFERROR(INDEX(醫師週班表!$C$5:$T$44,$CU19,CR$57),""),1),IFERROR(INDEX(醫師週班表!$C$5:$T$44,$CU19,CR$57),"")))))))</f>
        <v/>
      </c>
      <c r="CS19" s="72">
        <f>IF(CS$59="X","",IF(CS$59&lt;&gt;"",CS$59,IF(IFERROR(INDEX(醫師週班表!$C$5:$T$44,$CU19,CS$57),"")=0,"",IF(MID(IFERROR(INDEX(醫師週班表!$C$5:$T$44,$CU19,CS$57),""),2,1)="/",MID(IFERROR(INDEX(醫師週班表!$C$5:$T$44,$CU19,CS$57),""),1+CS$58*2,1),IF(MID(IFERROR(INDEX(醫師週班表!$C$5:$T$44,$CU19,CS$57),""),3,1)="隔",IF(CS$58=0,LEFT(IFERROR(INDEX(醫師週班表!$C$5:$T$44,$CU19,CS$57),""),1),""),IF(MID(IFERROR(INDEX(醫師週班表!$C$5:$T$44,$CU19,CS$57),""),2,1)="(",LEFT(IFERROR(INDEX(醫師週班表!$C$5:$T$44,$CU19,CS$57),""),1),IFERROR(INDEX(醫師週班表!$C$5:$T$44,$CU19,CS$57),"")))))))</f>
        <v/>
      </c>
      <c r="CU19" s="73">
        <f>IFERROR(MATCH($A19,醫師週班表!$A$5:$A$44,0),0)</f>
        <v/>
      </c>
    </row>
    <row r="20" ht="17" customHeight="1">
      <c r="A20" s="19" t="inlineStr">
        <is>
          <t>D015</t>
        </is>
      </c>
      <c r="B20" s="16" t="inlineStr">
        <is>
          <t>徐平</t>
        </is>
      </c>
      <c r="C20" s="70" t="inlineStr"/>
      <c r="D20" s="16" t="inlineStr"/>
      <c r="E20" s="71">
        <f>IF(E$59="X","",IF(E$59&lt;&gt;"",E$59,IF(IFERROR(INDEX(醫師週班表!$C$5:$T$44,$CU20,E$57),"")=0,"",IF(MID(IFERROR(INDEX(醫師週班表!$C$5:$T$44,$CU20,E$57),""),2,1)="/",MID(IFERROR(INDEX(醫師週班表!$C$5:$T$44,$CU20,E$57),""),1+E$58*2,1),IF(MID(IFERROR(INDEX(醫師週班表!$C$5:$T$44,$CU20,E$57),""),3,1)="隔",IF(E$58=0,LEFT(IFERROR(INDEX(醫師週班表!$C$5:$T$44,$CU20,E$57),""),1),""),IF(MID(IFERROR(INDEX(醫師週班表!$C$5:$T$44,$CU20,E$57),""),2,1)="(",LEFT(IFERROR(INDEX(醫師週班表!$C$5:$T$44,$CU20,E$57),""),1),IFERROR(INDEX(醫師週班表!$C$5:$T$44,$CU20,E$57),"")))))))</f>
        <v/>
      </c>
      <c r="F20" s="72">
        <f>IF(F$59="X","",IF(F$59&lt;&gt;"",F$59,IF(IFERROR(INDEX(醫師週班表!$C$5:$T$44,$CU20,F$57),"")=0,"",IF(MID(IFERROR(INDEX(醫師週班表!$C$5:$T$44,$CU20,F$57),""),2,1)="/",MID(IFERROR(INDEX(醫師週班表!$C$5:$T$44,$CU20,F$57),""),1+F$58*2,1),IF(MID(IFERROR(INDEX(醫師週班表!$C$5:$T$44,$CU20,F$57),""),3,1)="隔",IF(F$58=0,LEFT(IFERROR(INDEX(醫師週班表!$C$5:$T$44,$CU20,F$57),""),1),""),IF(MID(IFERROR(INDEX(醫師週班表!$C$5:$T$44,$CU20,F$57),""),2,1)="(",LEFT(IFERROR(INDEX(醫師週班表!$C$5:$T$44,$CU20,F$57),""),1),IFERROR(INDEX(醫師週班表!$C$5:$T$44,$CU20,F$57),"")))))))</f>
        <v/>
      </c>
      <c r="G20" s="72">
        <f>IF(G$59="X","",IF(G$59&lt;&gt;"",G$59,IF(IFERROR(INDEX(醫師週班表!$C$5:$T$44,$CU20,G$57),"")=0,"",IF(MID(IFERROR(INDEX(醫師週班表!$C$5:$T$44,$CU20,G$57),""),2,1)="/",MID(IFERROR(INDEX(醫師週班表!$C$5:$T$44,$CU20,G$57),""),1+G$58*2,1),IF(MID(IFERROR(INDEX(醫師週班表!$C$5:$T$44,$CU20,G$57),""),3,1)="隔",IF(G$58=0,LEFT(IFERROR(INDEX(醫師週班表!$C$5:$T$44,$CU20,G$57),""),1),""),IF(MID(IFERROR(INDEX(醫師週班表!$C$5:$T$44,$CU20,G$57),""),2,1)="(",LEFT(IFERROR(INDEX(醫師週班表!$C$5:$T$44,$CU20,G$57),""),1),IFERROR(INDEX(醫師週班表!$C$5:$T$44,$CU20,G$57),"")))))))</f>
        <v/>
      </c>
      <c r="H20" s="71">
        <f>IF(H$59="X","",IF(H$59&lt;&gt;"",H$59,IF(IFERROR(INDEX(醫師週班表!$C$5:$T$44,$CU20,H$57),"")=0,"",IF(MID(IFERROR(INDEX(醫師週班表!$C$5:$T$44,$CU20,H$57),""),2,1)="/",MID(IFERROR(INDEX(醫師週班表!$C$5:$T$44,$CU20,H$57),""),1+H$58*2,1),IF(MID(IFERROR(INDEX(醫師週班表!$C$5:$T$44,$CU20,H$57),""),3,1)="隔",IF(H$58=0,LEFT(IFERROR(INDEX(醫師週班表!$C$5:$T$44,$CU20,H$57),""),1),""),IF(MID(IFERROR(INDEX(醫師週班表!$C$5:$T$44,$CU20,H$57),""),2,1)="(",LEFT(IFERROR(INDEX(醫師週班表!$C$5:$T$44,$CU20,H$57),""),1),IFERROR(INDEX(醫師週班表!$C$5:$T$44,$CU20,H$57),"")))))))</f>
        <v/>
      </c>
      <c r="I20" s="72">
        <f>IF(I$59="X","",IF(I$59&lt;&gt;"",I$59,IF(IFERROR(INDEX(醫師週班表!$C$5:$T$44,$CU20,I$57),"")=0,"",IF(MID(IFERROR(INDEX(醫師週班表!$C$5:$T$44,$CU20,I$57),""),2,1)="/",MID(IFERROR(INDEX(醫師週班表!$C$5:$T$44,$CU20,I$57),""),1+I$58*2,1),IF(MID(IFERROR(INDEX(醫師週班表!$C$5:$T$44,$CU20,I$57),""),3,1)="隔",IF(I$58=0,LEFT(IFERROR(INDEX(醫師週班表!$C$5:$T$44,$CU20,I$57),""),1),""),IF(MID(IFERROR(INDEX(醫師週班表!$C$5:$T$44,$CU20,I$57),""),2,1)="(",LEFT(IFERROR(INDEX(醫師週班表!$C$5:$T$44,$CU20,I$57),""),1),IFERROR(INDEX(醫師週班表!$C$5:$T$44,$CU20,I$57),"")))))))</f>
        <v/>
      </c>
      <c r="J20" s="72">
        <f>IF(J$59="X","",IF(J$59&lt;&gt;"",J$59,IF(IFERROR(INDEX(醫師週班表!$C$5:$T$44,$CU20,J$57),"")=0,"",IF(MID(IFERROR(INDEX(醫師週班表!$C$5:$T$44,$CU20,J$57),""),2,1)="/",MID(IFERROR(INDEX(醫師週班表!$C$5:$T$44,$CU20,J$57),""),1+J$58*2,1),IF(MID(IFERROR(INDEX(醫師週班表!$C$5:$T$44,$CU20,J$57),""),3,1)="隔",IF(J$58=0,LEFT(IFERROR(INDEX(醫師週班表!$C$5:$T$44,$CU20,J$57),""),1),""),IF(MID(IFERROR(INDEX(醫師週班表!$C$5:$T$44,$CU20,J$57),""),2,1)="(",LEFT(IFERROR(INDEX(醫師週班表!$C$5:$T$44,$CU20,J$57),""),1),IFERROR(INDEX(醫師週班表!$C$5:$T$44,$CU20,J$57),"")))))))</f>
        <v/>
      </c>
      <c r="K20" s="71">
        <f>IF(K$59="X","",IF(K$59&lt;&gt;"",K$59,IF(IFERROR(INDEX(醫師週班表!$C$5:$T$44,$CU20,K$57),"")=0,"",IF(MID(IFERROR(INDEX(醫師週班表!$C$5:$T$44,$CU20,K$57),""),2,1)="/",MID(IFERROR(INDEX(醫師週班表!$C$5:$T$44,$CU20,K$57),""),1+K$58*2,1),IF(MID(IFERROR(INDEX(醫師週班表!$C$5:$T$44,$CU20,K$57),""),3,1)="隔",IF(K$58=0,LEFT(IFERROR(INDEX(醫師週班表!$C$5:$T$44,$CU20,K$57),""),1),""),IF(MID(IFERROR(INDEX(醫師週班表!$C$5:$T$44,$CU20,K$57),""),2,1)="(",LEFT(IFERROR(INDEX(醫師週班表!$C$5:$T$44,$CU20,K$57),""),1),IFERROR(INDEX(醫師週班表!$C$5:$T$44,$CU20,K$57),"")))))))</f>
        <v/>
      </c>
      <c r="L20" s="72">
        <f>IF(L$59="X","",IF(L$59&lt;&gt;"",L$59,IF(IFERROR(INDEX(醫師週班表!$C$5:$T$44,$CU20,L$57),"")=0,"",IF(MID(IFERROR(INDEX(醫師週班表!$C$5:$T$44,$CU20,L$57),""),2,1)="/",MID(IFERROR(INDEX(醫師週班表!$C$5:$T$44,$CU20,L$57),""),1+L$58*2,1),IF(MID(IFERROR(INDEX(醫師週班表!$C$5:$T$44,$CU20,L$57),""),3,1)="隔",IF(L$58=0,LEFT(IFERROR(INDEX(醫師週班表!$C$5:$T$44,$CU20,L$57),""),1),""),IF(MID(IFERROR(INDEX(醫師週班表!$C$5:$T$44,$CU20,L$57),""),2,1)="(",LEFT(IFERROR(INDEX(醫師週班表!$C$5:$T$44,$CU20,L$57),""),1),IFERROR(INDEX(醫師週班表!$C$5:$T$44,$CU20,L$57),"")))))))</f>
        <v/>
      </c>
      <c r="M20" s="72">
        <f>IF(M$59="X","",IF(M$59&lt;&gt;"",M$59,IF(IFERROR(INDEX(醫師週班表!$C$5:$T$44,$CU20,M$57),"")=0,"",IF(MID(IFERROR(INDEX(醫師週班表!$C$5:$T$44,$CU20,M$57),""),2,1)="/",MID(IFERROR(INDEX(醫師週班表!$C$5:$T$44,$CU20,M$57),""),1+M$58*2,1),IF(MID(IFERROR(INDEX(醫師週班表!$C$5:$T$44,$CU20,M$57),""),3,1)="隔",IF(M$58=0,LEFT(IFERROR(INDEX(醫師週班表!$C$5:$T$44,$CU20,M$57),""),1),""),IF(MID(IFERROR(INDEX(醫師週班表!$C$5:$T$44,$CU20,M$57),""),2,1)="(",LEFT(IFERROR(INDEX(醫師週班表!$C$5:$T$44,$CU20,M$57),""),1),IFERROR(INDEX(醫師週班表!$C$5:$T$44,$CU20,M$57),"")))))))</f>
        <v/>
      </c>
      <c r="N20" s="71">
        <f>IF(N$59="X","",IF(N$59&lt;&gt;"",N$59,IF(IFERROR(INDEX(醫師週班表!$C$5:$T$44,$CU20,N$57),"")=0,"",IF(MID(IFERROR(INDEX(醫師週班表!$C$5:$T$44,$CU20,N$57),""),2,1)="/",MID(IFERROR(INDEX(醫師週班表!$C$5:$T$44,$CU20,N$57),""),1+N$58*2,1),IF(MID(IFERROR(INDEX(醫師週班表!$C$5:$T$44,$CU20,N$57),""),3,1)="隔",IF(N$58=0,LEFT(IFERROR(INDEX(醫師週班表!$C$5:$T$44,$CU20,N$57),""),1),""),IF(MID(IFERROR(INDEX(醫師週班表!$C$5:$T$44,$CU20,N$57),""),2,1)="(",LEFT(IFERROR(INDEX(醫師週班表!$C$5:$T$44,$CU20,N$57),""),1),IFERROR(INDEX(醫師週班表!$C$5:$T$44,$CU20,N$57),"")))))))</f>
        <v/>
      </c>
      <c r="O20" s="72">
        <f>IF(O$59="X","",IF(O$59&lt;&gt;"",O$59,IF(IFERROR(INDEX(醫師週班表!$C$5:$T$44,$CU20,O$57),"")=0,"",IF(MID(IFERROR(INDEX(醫師週班表!$C$5:$T$44,$CU20,O$57),""),2,1)="/",MID(IFERROR(INDEX(醫師週班表!$C$5:$T$44,$CU20,O$57),""),1+O$58*2,1),IF(MID(IFERROR(INDEX(醫師週班表!$C$5:$T$44,$CU20,O$57),""),3,1)="隔",IF(O$58=0,LEFT(IFERROR(INDEX(醫師週班表!$C$5:$T$44,$CU20,O$57),""),1),""),IF(MID(IFERROR(INDEX(醫師週班表!$C$5:$T$44,$CU20,O$57),""),2,1)="(",LEFT(IFERROR(INDEX(醫師週班表!$C$5:$T$44,$CU20,O$57),""),1),IFERROR(INDEX(醫師週班表!$C$5:$T$44,$CU20,O$57),"")))))))</f>
        <v/>
      </c>
      <c r="P20" s="72">
        <f>IF(P$59="X","",IF(P$59&lt;&gt;"",P$59,IF(IFERROR(INDEX(醫師週班表!$C$5:$T$44,$CU20,P$57),"")=0,"",IF(MID(IFERROR(INDEX(醫師週班表!$C$5:$T$44,$CU20,P$57),""),2,1)="/",MID(IFERROR(INDEX(醫師週班表!$C$5:$T$44,$CU20,P$57),""),1+P$58*2,1),IF(MID(IFERROR(INDEX(醫師週班表!$C$5:$T$44,$CU20,P$57),""),3,1)="隔",IF(P$58=0,LEFT(IFERROR(INDEX(醫師週班表!$C$5:$T$44,$CU20,P$57),""),1),""),IF(MID(IFERROR(INDEX(醫師週班表!$C$5:$T$44,$CU20,P$57),""),2,1)="(",LEFT(IFERROR(INDEX(醫師週班表!$C$5:$T$44,$CU20,P$57),""),1),IFERROR(INDEX(醫師週班表!$C$5:$T$44,$CU20,P$57),"")))))))</f>
        <v/>
      </c>
      <c r="Q20" s="71">
        <f>IF(Q$59="X","",IF(Q$59&lt;&gt;"",Q$59,IF(IFERROR(INDEX(醫師週班表!$C$5:$T$44,$CU20,Q$57),"")=0,"",IF(MID(IFERROR(INDEX(醫師週班表!$C$5:$T$44,$CU20,Q$57),""),2,1)="/",MID(IFERROR(INDEX(醫師週班表!$C$5:$T$44,$CU20,Q$57),""),1+Q$58*2,1),IF(MID(IFERROR(INDEX(醫師週班表!$C$5:$T$44,$CU20,Q$57),""),3,1)="隔",IF(Q$58=0,LEFT(IFERROR(INDEX(醫師週班表!$C$5:$T$44,$CU20,Q$57),""),1),""),IF(MID(IFERROR(INDEX(醫師週班表!$C$5:$T$44,$CU20,Q$57),""),2,1)="(",LEFT(IFERROR(INDEX(醫師週班表!$C$5:$T$44,$CU20,Q$57),""),1),IFERROR(INDEX(醫師週班表!$C$5:$T$44,$CU20,Q$57),"")))))))</f>
        <v/>
      </c>
      <c r="R20" s="72">
        <f>IF(R$59="X","",IF(R$59&lt;&gt;"",R$59,IF(IFERROR(INDEX(醫師週班表!$C$5:$T$44,$CU20,R$57),"")=0,"",IF(MID(IFERROR(INDEX(醫師週班表!$C$5:$T$44,$CU20,R$57),""),2,1)="/",MID(IFERROR(INDEX(醫師週班表!$C$5:$T$44,$CU20,R$57),""),1+R$58*2,1),IF(MID(IFERROR(INDEX(醫師週班表!$C$5:$T$44,$CU20,R$57),""),3,1)="隔",IF(R$58=0,LEFT(IFERROR(INDEX(醫師週班表!$C$5:$T$44,$CU20,R$57),""),1),""),IF(MID(IFERROR(INDEX(醫師週班表!$C$5:$T$44,$CU20,R$57),""),2,1)="(",LEFT(IFERROR(INDEX(醫師週班表!$C$5:$T$44,$CU20,R$57),""),1),IFERROR(INDEX(醫師週班表!$C$5:$T$44,$CU20,R$57),"")))))))</f>
        <v/>
      </c>
      <c r="S20" s="72">
        <f>IF(S$59="X","",IF(S$59&lt;&gt;"",S$59,IF(IFERROR(INDEX(醫師週班表!$C$5:$T$44,$CU20,S$57),"")=0,"",IF(MID(IFERROR(INDEX(醫師週班表!$C$5:$T$44,$CU20,S$57),""),2,1)="/",MID(IFERROR(INDEX(醫師週班表!$C$5:$T$44,$CU20,S$57),""),1+S$58*2,1),IF(MID(IFERROR(INDEX(醫師週班表!$C$5:$T$44,$CU20,S$57),""),3,1)="隔",IF(S$58=0,LEFT(IFERROR(INDEX(醫師週班表!$C$5:$T$44,$CU20,S$57),""),1),""),IF(MID(IFERROR(INDEX(醫師週班表!$C$5:$T$44,$CU20,S$57),""),2,1)="(",LEFT(IFERROR(INDEX(醫師週班表!$C$5:$T$44,$CU20,S$57),""),1),IFERROR(INDEX(醫師週班表!$C$5:$T$44,$CU20,S$57),"")))))))</f>
        <v/>
      </c>
      <c r="T20" s="71">
        <f>IF(T$59="X","",IF(T$59&lt;&gt;"",T$59,IF(IFERROR(INDEX(醫師週班表!$C$5:$T$44,$CU20,T$57),"")=0,"",IF(MID(IFERROR(INDEX(醫師週班表!$C$5:$T$44,$CU20,T$57),""),2,1)="/",MID(IFERROR(INDEX(醫師週班表!$C$5:$T$44,$CU20,T$57),""),1+T$58*2,1),IF(MID(IFERROR(INDEX(醫師週班表!$C$5:$T$44,$CU20,T$57),""),3,1)="隔",IF(T$58=0,LEFT(IFERROR(INDEX(醫師週班表!$C$5:$T$44,$CU20,T$57),""),1),""),IF(MID(IFERROR(INDEX(醫師週班表!$C$5:$T$44,$CU20,T$57),""),2,1)="(",LEFT(IFERROR(INDEX(醫師週班表!$C$5:$T$44,$CU20,T$57),""),1),IFERROR(INDEX(醫師週班表!$C$5:$T$44,$CU20,T$57),"")))))))</f>
        <v/>
      </c>
      <c r="U20" s="72">
        <f>IF(U$59="X","",IF(U$59&lt;&gt;"",U$59,IF(IFERROR(INDEX(醫師週班表!$C$5:$T$44,$CU20,U$57),"")=0,"",IF(MID(IFERROR(INDEX(醫師週班表!$C$5:$T$44,$CU20,U$57),""),2,1)="/",MID(IFERROR(INDEX(醫師週班表!$C$5:$T$44,$CU20,U$57),""),1+U$58*2,1),IF(MID(IFERROR(INDEX(醫師週班表!$C$5:$T$44,$CU20,U$57),""),3,1)="隔",IF(U$58=0,LEFT(IFERROR(INDEX(醫師週班表!$C$5:$T$44,$CU20,U$57),""),1),""),IF(MID(IFERROR(INDEX(醫師週班表!$C$5:$T$44,$CU20,U$57),""),2,1)="(",LEFT(IFERROR(INDEX(醫師週班表!$C$5:$T$44,$CU20,U$57),""),1),IFERROR(INDEX(醫師週班表!$C$5:$T$44,$CU20,U$57),"")))))))</f>
        <v/>
      </c>
      <c r="V20" s="72">
        <f>IF(V$59="X","",IF(V$59&lt;&gt;"",V$59,IF(IFERROR(INDEX(醫師週班表!$C$5:$T$44,$CU20,V$57),"")=0,"",IF(MID(IFERROR(INDEX(醫師週班表!$C$5:$T$44,$CU20,V$57),""),2,1)="/",MID(IFERROR(INDEX(醫師週班表!$C$5:$T$44,$CU20,V$57),""),1+V$58*2,1),IF(MID(IFERROR(INDEX(醫師週班表!$C$5:$T$44,$CU20,V$57),""),3,1)="隔",IF(V$58=0,LEFT(IFERROR(INDEX(醫師週班表!$C$5:$T$44,$CU20,V$57),""),1),""),IF(MID(IFERROR(INDEX(醫師週班表!$C$5:$T$44,$CU20,V$57),""),2,1)="(",LEFT(IFERROR(INDEX(醫師週班表!$C$5:$T$44,$CU20,V$57),""),1),IFERROR(INDEX(醫師週班表!$C$5:$T$44,$CU20,V$57),"")))))))</f>
        <v/>
      </c>
      <c r="W20" s="71">
        <f>IF(W$59="X","",IF(W$59&lt;&gt;"",W$59,IF(IFERROR(INDEX(醫師週班表!$C$5:$T$44,$CU20,W$57),"")=0,"",IF(MID(IFERROR(INDEX(醫師週班表!$C$5:$T$44,$CU20,W$57),""),2,1)="/",MID(IFERROR(INDEX(醫師週班表!$C$5:$T$44,$CU20,W$57),""),1+W$58*2,1),IF(MID(IFERROR(INDEX(醫師週班表!$C$5:$T$44,$CU20,W$57),""),3,1)="隔",IF(W$58=0,LEFT(IFERROR(INDEX(醫師週班表!$C$5:$T$44,$CU20,W$57),""),1),""),IF(MID(IFERROR(INDEX(醫師週班表!$C$5:$T$44,$CU20,W$57),""),2,1)="(",LEFT(IFERROR(INDEX(醫師週班表!$C$5:$T$44,$CU20,W$57),""),1),IFERROR(INDEX(醫師週班表!$C$5:$T$44,$CU20,W$57),"")))))))</f>
        <v/>
      </c>
      <c r="X20" s="72">
        <f>IF(X$59="X","",IF(X$59&lt;&gt;"",X$59,IF(IFERROR(INDEX(醫師週班表!$C$5:$T$44,$CU20,X$57),"")=0,"",IF(MID(IFERROR(INDEX(醫師週班表!$C$5:$T$44,$CU20,X$57),""),2,1)="/",MID(IFERROR(INDEX(醫師週班表!$C$5:$T$44,$CU20,X$57),""),1+X$58*2,1),IF(MID(IFERROR(INDEX(醫師週班表!$C$5:$T$44,$CU20,X$57),""),3,1)="隔",IF(X$58=0,LEFT(IFERROR(INDEX(醫師週班表!$C$5:$T$44,$CU20,X$57),""),1),""),IF(MID(IFERROR(INDEX(醫師週班表!$C$5:$T$44,$CU20,X$57),""),2,1)="(",LEFT(IFERROR(INDEX(醫師週班表!$C$5:$T$44,$CU20,X$57),""),1),IFERROR(INDEX(醫師週班表!$C$5:$T$44,$CU20,X$57),"")))))))</f>
        <v/>
      </c>
      <c r="Y20" s="72">
        <f>IF(Y$59="X","",IF(Y$59&lt;&gt;"",Y$59,IF(IFERROR(INDEX(醫師週班表!$C$5:$T$44,$CU20,Y$57),"")=0,"",IF(MID(IFERROR(INDEX(醫師週班表!$C$5:$T$44,$CU20,Y$57),""),2,1)="/",MID(IFERROR(INDEX(醫師週班表!$C$5:$T$44,$CU20,Y$57),""),1+Y$58*2,1),IF(MID(IFERROR(INDEX(醫師週班表!$C$5:$T$44,$CU20,Y$57),""),3,1)="隔",IF(Y$58=0,LEFT(IFERROR(INDEX(醫師週班表!$C$5:$T$44,$CU20,Y$57),""),1),""),IF(MID(IFERROR(INDEX(醫師週班表!$C$5:$T$44,$CU20,Y$57),""),2,1)="(",LEFT(IFERROR(INDEX(醫師週班表!$C$5:$T$44,$CU20,Y$57),""),1),IFERROR(INDEX(醫師週班表!$C$5:$T$44,$CU20,Y$57),"")))))))</f>
        <v/>
      </c>
      <c r="Z20" s="71">
        <f>IF(Z$59="X","",IF(Z$59&lt;&gt;"",Z$59,IF(IFERROR(INDEX(醫師週班表!$C$5:$T$44,$CU20,Z$57),"")=0,"",IF(MID(IFERROR(INDEX(醫師週班表!$C$5:$T$44,$CU20,Z$57),""),2,1)="/",MID(IFERROR(INDEX(醫師週班表!$C$5:$T$44,$CU20,Z$57),""),1+Z$58*2,1),IF(MID(IFERROR(INDEX(醫師週班表!$C$5:$T$44,$CU20,Z$57),""),3,1)="隔",IF(Z$58=0,LEFT(IFERROR(INDEX(醫師週班表!$C$5:$T$44,$CU20,Z$57),""),1),""),IF(MID(IFERROR(INDEX(醫師週班表!$C$5:$T$44,$CU20,Z$57),""),2,1)="(",LEFT(IFERROR(INDEX(醫師週班表!$C$5:$T$44,$CU20,Z$57),""),1),IFERROR(INDEX(醫師週班表!$C$5:$T$44,$CU20,Z$57),"")))))))</f>
        <v/>
      </c>
      <c r="AA20" s="72">
        <f>IF(AA$59="X","",IF(AA$59&lt;&gt;"",AA$59,IF(IFERROR(INDEX(醫師週班表!$C$5:$T$44,$CU20,AA$57),"")=0,"",IF(MID(IFERROR(INDEX(醫師週班表!$C$5:$T$44,$CU20,AA$57),""),2,1)="/",MID(IFERROR(INDEX(醫師週班表!$C$5:$T$44,$CU20,AA$57),""),1+AA$58*2,1),IF(MID(IFERROR(INDEX(醫師週班表!$C$5:$T$44,$CU20,AA$57),""),3,1)="隔",IF(AA$58=0,LEFT(IFERROR(INDEX(醫師週班表!$C$5:$T$44,$CU20,AA$57),""),1),""),IF(MID(IFERROR(INDEX(醫師週班表!$C$5:$T$44,$CU20,AA$57),""),2,1)="(",LEFT(IFERROR(INDEX(醫師週班表!$C$5:$T$44,$CU20,AA$57),""),1),IFERROR(INDEX(醫師週班表!$C$5:$T$44,$CU20,AA$57),"")))))))</f>
        <v/>
      </c>
      <c r="AB20" s="72">
        <f>IF(AB$59="X","",IF(AB$59&lt;&gt;"",AB$59,IF(IFERROR(INDEX(醫師週班表!$C$5:$T$44,$CU20,AB$57),"")=0,"",IF(MID(IFERROR(INDEX(醫師週班表!$C$5:$T$44,$CU20,AB$57),""),2,1)="/",MID(IFERROR(INDEX(醫師週班表!$C$5:$T$44,$CU20,AB$57),""),1+AB$58*2,1),IF(MID(IFERROR(INDEX(醫師週班表!$C$5:$T$44,$CU20,AB$57),""),3,1)="隔",IF(AB$58=0,LEFT(IFERROR(INDEX(醫師週班表!$C$5:$T$44,$CU20,AB$57),""),1),""),IF(MID(IFERROR(INDEX(醫師週班表!$C$5:$T$44,$CU20,AB$57),""),2,1)="(",LEFT(IFERROR(INDEX(醫師週班表!$C$5:$T$44,$CU20,AB$57),""),1),IFERROR(INDEX(醫師週班表!$C$5:$T$44,$CU20,AB$57),"")))))))</f>
        <v/>
      </c>
      <c r="AC20" s="71">
        <f>IF(AC$59="X","",IF(AC$59&lt;&gt;"",AC$59,IF(IFERROR(INDEX(醫師週班表!$C$5:$T$44,$CU20,AC$57),"")=0,"",IF(MID(IFERROR(INDEX(醫師週班表!$C$5:$T$44,$CU20,AC$57),""),2,1)="/",MID(IFERROR(INDEX(醫師週班表!$C$5:$T$44,$CU20,AC$57),""),1+AC$58*2,1),IF(MID(IFERROR(INDEX(醫師週班表!$C$5:$T$44,$CU20,AC$57),""),3,1)="隔",IF(AC$58=0,LEFT(IFERROR(INDEX(醫師週班表!$C$5:$T$44,$CU20,AC$57),""),1),""),IF(MID(IFERROR(INDEX(醫師週班表!$C$5:$T$44,$CU20,AC$57),""),2,1)="(",LEFT(IFERROR(INDEX(醫師週班表!$C$5:$T$44,$CU20,AC$57),""),1),IFERROR(INDEX(醫師週班表!$C$5:$T$44,$CU20,AC$57),"")))))))</f>
        <v/>
      </c>
      <c r="AD20" s="72">
        <f>IF(AD$59="X","",IF(AD$59&lt;&gt;"",AD$59,IF(IFERROR(INDEX(醫師週班表!$C$5:$T$44,$CU20,AD$57),"")=0,"",IF(MID(IFERROR(INDEX(醫師週班表!$C$5:$T$44,$CU20,AD$57),""),2,1)="/",MID(IFERROR(INDEX(醫師週班表!$C$5:$T$44,$CU20,AD$57),""),1+AD$58*2,1),IF(MID(IFERROR(INDEX(醫師週班表!$C$5:$T$44,$CU20,AD$57),""),3,1)="隔",IF(AD$58=0,LEFT(IFERROR(INDEX(醫師週班表!$C$5:$T$44,$CU20,AD$57),""),1),""),IF(MID(IFERROR(INDEX(醫師週班表!$C$5:$T$44,$CU20,AD$57),""),2,1)="(",LEFT(IFERROR(INDEX(醫師週班表!$C$5:$T$44,$CU20,AD$57),""),1),IFERROR(INDEX(醫師週班表!$C$5:$T$44,$CU20,AD$57),"")))))))</f>
        <v/>
      </c>
      <c r="AE20" s="72">
        <f>IF(AE$59="X","",IF(AE$59&lt;&gt;"",AE$59,IF(IFERROR(INDEX(醫師週班表!$C$5:$T$44,$CU20,AE$57),"")=0,"",IF(MID(IFERROR(INDEX(醫師週班表!$C$5:$T$44,$CU20,AE$57),""),2,1)="/",MID(IFERROR(INDEX(醫師週班表!$C$5:$T$44,$CU20,AE$57),""),1+AE$58*2,1),IF(MID(IFERROR(INDEX(醫師週班表!$C$5:$T$44,$CU20,AE$57),""),3,1)="隔",IF(AE$58=0,LEFT(IFERROR(INDEX(醫師週班表!$C$5:$T$44,$CU20,AE$57),""),1),""),IF(MID(IFERROR(INDEX(醫師週班表!$C$5:$T$44,$CU20,AE$57),""),2,1)="(",LEFT(IFERROR(INDEX(醫師週班表!$C$5:$T$44,$CU20,AE$57),""),1),IFERROR(INDEX(醫師週班表!$C$5:$T$44,$CU20,AE$57),"")))))))</f>
        <v/>
      </c>
      <c r="AF20" s="71">
        <f>IF(AF$59="X","",IF(AF$59&lt;&gt;"",AF$59,IF(IFERROR(INDEX(醫師週班表!$C$5:$T$44,$CU20,AF$57),"")=0,"",IF(MID(IFERROR(INDEX(醫師週班表!$C$5:$T$44,$CU20,AF$57),""),2,1)="/",MID(IFERROR(INDEX(醫師週班表!$C$5:$T$44,$CU20,AF$57),""),1+AF$58*2,1),IF(MID(IFERROR(INDEX(醫師週班表!$C$5:$T$44,$CU20,AF$57),""),3,1)="隔",IF(AF$58=0,LEFT(IFERROR(INDEX(醫師週班表!$C$5:$T$44,$CU20,AF$57),""),1),""),IF(MID(IFERROR(INDEX(醫師週班表!$C$5:$T$44,$CU20,AF$57),""),2,1)="(",LEFT(IFERROR(INDEX(醫師週班表!$C$5:$T$44,$CU20,AF$57),""),1),IFERROR(INDEX(醫師週班表!$C$5:$T$44,$CU20,AF$57),"")))))))</f>
        <v/>
      </c>
      <c r="AG20" s="72">
        <f>IF(AG$59="X","",IF(AG$59&lt;&gt;"",AG$59,IF(IFERROR(INDEX(醫師週班表!$C$5:$T$44,$CU20,AG$57),"")=0,"",IF(MID(IFERROR(INDEX(醫師週班表!$C$5:$T$44,$CU20,AG$57),""),2,1)="/",MID(IFERROR(INDEX(醫師週班表!$C$5:$T$44,$CU20,AG$57),""),1+AG$58*2,1),IF(MID(IFERROR(INDEX(醫師週班表!$C$5:$T$44,$CU20,AG$57),""),3,1)="隔",IF(AG$58=0,LEFT(IFERROR(INDEX(醫師週班表!$C$5:$T$44,$CU20,AG$57),""),1),""),IF(MID(IFERROR(INDEX(醫師週班表!$C$5:$T$44,$CU20,AG$57),""),2,1)="(",LEFT(IFERROR(INDEX(醫師週班表!$C$5:$T$44,$CU20,AG$57),""),1),IFERROR(INDEX(醫師週班表!$C$5:$T$44,$CU20,AG$57),"")))))))</f>
        <v/>
      </c>
      <c r="AH20" s="72">
        <f>IF(AH$59="X","",IF(AH$59&lt;&gt;"",AH$59,IF(IFERROR(INDEX(醫師週班表!$C$5:$T$44,$CU20,AH$57),"")=0,"",IF(MID(IFERROR(INDEX(醫師週班表!$C$5:$T$44,$CU20,AH$57),""),2,1)="/",MID(IFERROR(INDEX(醫師週班表!$C$5:$T$44,$CU20,AH$57),""),1+AH$58*2,1),IF(MID(IFERROR(INDEX(醫師週班表!$C$5:$T$44,$CU20,AH$57),""),3,1)="隔",IF(AH$58=0,LEFT(IFERROR(INDEX(醫師週班表!$C$5:$T$44,$CU20,AH$57),""),1),""),IF(MID(IFERROR(INDEX(醫師週班表!$C$5:$T$44,$CU20,AH$57),""),2,1)="(",LEFT(IFERROR(INDEX(醫師週班表!$C$5:$T$44,$CU20,AH$57),""),1),IFERROR(INDEX(醫師週班表!$C$5:$T$44,$CU20,AH$57),"")))))))</f>
        <v/>
      </c>
      <c r="AI20" s="71">
        <f>IF(AI$59="X","",IF(AI$59&lt;&gt;"",AI$59,IF(IFERROR(INDEX(醫師週班表!$C$5:$T$44,$CU20,AI$57),"")=0,"",IF(MID(IFERROR(INDEX(醫師週班表!$C$5:$T$44,$CU20,AI$57),""),2,1)="/",MID(IFERROR(INDEX(醫師週班表!$C$5:$T$44,$CU20,AI$57),""),1+AI$58*2,1),IF(MID(IFERROR(INDEX(醫師週班表!$C$5:$T$44,$CU20,AI$57),""),3,1)="隔",IF(AI$58=0,LEFT(IFERROR(INDEX(醫師週班表!$C$5:$T$44,$CU20,AI$57),""),1),""),IF(MID(IFERROR(INDEX(醫師週班表!$C$5:$T$44,$CU20,AI$57),""),2,1)="(",LEFT(IFERROR(INDEX(醫師週班表!$C$5:$T$44,$CU20,AI$57),""),1),IFERROR(INDEX(醫師週班表!$C$5:$T$44,$CU20,AI$57),"")))))))</f>
        <v/>
      </c>
      <c r="AJ20" s="72">
        <f>IF(AJ$59="X","",IF(AJ$59&lt;&gt;"",AJ$59,IF(IFERROR(INDEX(醫師週班表!$C$5:$T$44,$CU20,AJ$57),"")=0,"",IF(MID(IFERROR(INDEX(醫師週班表!$C$5:$T$44,$CU20,AJ$57),""),2,1)="/",MID(IFERROR(INDEX(醫師週班表!$C$5:$T$44,$CU20,AJ$57),""),1+AJ$58*2,1),IF(MID(IFERROR(INDEX(醫師週班表!$C$5:$T$44,$CU20,AJ$57),""),3,1)="隔",IF(AJ$58=0,LEFT(IFERROR(INDEX(醫師週班表!$C$5:$T$44,$CU20,AJ$57),""),1),""),IF(MID(IFERROR(INDEX(醫師週班表!$C$5:$T$44,$CU20,AJ$57),""),2,1)="(",LEFT(IFERROR(INDEX(醫師週班表!$C$5:$T$44,$CU20,AJ$57),""),1),IFERROR(INDEX(醫師週班表!$C$5:$T$44,$CU20,AJ$57),"")))))))</f>
        <v/>
      </c>
      <c r="AK20" s="72">
        <f>IF(AK$59="X","",IF(AK$59&lt;&gt;"",AK$59,IF(IFERROR(INDEX(醫師週班表!$C$5:$T$44,$CU20,AK$57),"")=0,"",IF(MID(IFERROR(INDEX(醫師週班表!$C$5:$T$44,$CU20,AK$57),""),2,1)="/",MID(IFERROR(INDEX(醫師週班表!$C$5:$T$44,$CU20,AK$57),""),1+AK$58*2,1),IF(MID(IFERROR(INDEX(醫師週班表!$C$5:$T$44,$CU20,AK$57),""),3,1)="隔",IF(AK$58=0,LEFT(IFERROR(INDEX(醫師週班表!$C$5:$T$44,$CU20,AK$57),""),1),""),IF(MID(IFERROR(INDEX(醫師週班表!$C$5:$T$44,$CU20,AK$57),""),2,1)="(",LEFT(IFERROR(INDEX(醫師週班表!$C$5:$T$44,$CU20,AK$57),""),1),IFERROR(INDEX(醫師週班表!$C$5:$T$44,$CU20,AK$57),"")))))))</f>
        <v/>
      </c>
      <c r="AL20" s="71">
        <f>IF(AL$59="X","",IF(AL$59&lt;&gt;"",AL$59,IF(IFERROR(INDEX(醫師週班表!$C$5:$T$44,$CU20,AL$57),"")=0,"",IF(MID(IFERROR(INDEX(醫師週班表!$C$5:$T$44,$CU20,AL$57),""),2,1)="/",MID(IFERROR(INDEX(醫師週班表!$C$5:$T$44,$CU20,AL$57),""),1+AL$58*2,1),IF(MID(IFERROR(INDEX(醫師週班表!$C$5:$T$44,$CU20,AL$57),""),3,1)="隔",IF(AL$58=0,LEFT(IFERROR(INDEX(醫師週班表!$C$5:$T$44,$CU20,AL$57),""),1),""),IF(MID(IFERROR(INDEX(醫師週班表!$C$5:$T$44,$CU20,AL$57),""),2,1)="(",LEFT(IFERROR(INDEX(醫師週班表!$C$5:$T$44,$CU20,AL$57),""),1),IFERROR(INDEX(醫師週班表!$C$5:$T$44,$CU20,AL$57),"")))))))</f>
        <v/>
      </c>
      <c r="AM20" s="72">
        <f>IF(AM$59="X","",IF(AM$59&lt;&gt;"",AM$59,IF(IFERROR(INDEX(醫師週班表!$C$5:$T$44,$CU20,AM$57),"")=0,"",IF(MID(IFERROR(INDEX(醫師週班表!$C$5:$T$44,$CU20,AM$57),""),2,1)="/",MID(IFERROR(INDEX(醫師週班表!$C$5:$T$44,$CU20,AM$57),""),1+AM$58*2,1),IF(MID(IFERROR(INDEX(醫師週班表!$C$5:$T$44,$CU20,AM$57),""),3,1)="隔",IF(AM$58=0,LEFT(IFERROR(INDEX(醫師週班表!$C$5:$T$44,$CU20,AM$57),""),1),""),IF(MID(IFERROR(INDEX(醫師週班表!$C$5:$T$44,$CU20,AM$57),""),2,1)="(",LEFT(IFERROR(INDEX(醫師週班表!$C$5:$T$44,$CU20,AM$57),""),1),IFERROR(INDEX(醫師週班表!$C$5:$T$44,$CU20,AM$57),"")))))))</f>
        <v/>
      </c>
      <c r="AN20" s="72">
        <f>IF(AN$59="X","",IF(AN$59&lt;&gt;"",AN$59,IF(IFERROR(INDEX(醫師週班表!$C$5:$T$44,$CU20,AN$57),"")=0,"",IF(MID(IFERROR(INDEX(醫師週班表!$C$5:$T$44,$CU20,AN$57),""),2,1)="/",MID(IFERROR(INDEX(醫師週班表!$C$5:$T$44,$CU20,AN$57),""),1+AN$58*2,1),IF(MID(IFERROR(INDEX(醫師週班表!$C$5:$T$44,$CU20,AN$57),""),3,1)="隔",IF(AN$58=0,LEFT(IFERROR(INDEX(醫師週班表!$C$5:$T$44,$CU20,AN$57),""),1),""),IF(MID(IFERROR(INDEX(醫師週班表!$C$5:$T$44,$CU20,AN$57),""),2,1)="(",LEFT(IFERROR(INDEX(醫師週班表!$C$5:$T$44,$CU20,AN$57),""),1),IFERROR(INDEX(醫師週班表!$C$5:$T$44,$CU20,AN$57),"")))))))</f>
        <v/>
      </c>
      <c r="AO20" s="71">
        <f>IF(AO$59="X","",IF(AO$59&lt;&gt;"",AO$59,IF(IFERROR(INDEX(醫師週班表!$C$5:$T$44,$CU20,AO$57),"")=0,"",IF(MID(IFERROR(INDEX(醫師週班表!$C$5:$T$44,$CU20,AO$57),""),2,1)="/",MID(IFERROR(INDEX(醫師週班表!$C$5:$T$44,$CU20,AO$57),""),1+AO$58*2,1),IF(MID(IFERROR(INDEX(醫師週班表!$C$5:$T$44,$CU20,AO$57),""),3,1)="隔",IF(AO$58=0,LEFT(IFERROR(INDEX(醫師週班表!$C$5:$T$44,$CU20,AO$57),""),1),""),IF(MID(IFERROR(INDEX(醫師週班表!$C$5:$T$44,$CU20,AO$57),""),2,1)="(",LEFT(IFERROR(INDEX(醫師週班表!$C$5:$T$44,$CU20,AO$57),""),1),IFERROR(INDEX(醫師週班表!$C$5:$T$44,$CU20,AO$57),"")))))))</f>
        <v/>
      </c>
      <c r="AP20" s="72">
        <f>IF(AP$59="X","",IF(AP$59&lt;&gt;"",AP$59,IF(IFERROR(INDEX(醫師週班表!$C$5:$T$44,$CU20,AP$57),"")=0,"",IF(MID(IFERROR(INDEX(醫師週班表!$C$5:$T$44,$CU20,AP$57),""),2,1)="/",MID(IFERROR(INDEX(醫師週班表!$C$5:$T$44,$CU20,AP$57),""),1+AP$58*2,1),IF(MID(IFERROR(INDEX(醫師週班表!$C$5:$T$44,$CU20,AP$57),""),3,1)="隔",IF(AP$58=0,LEFT(IFERROR(INDEX(醫師週班表!$C$5:$T$44,$CU20,AP$57),""),1),""),IF(MID(IFERROR(INDEX(醫師週班表!$C$5:$T$44,$CU20,AP$57),""),2,1)="(",LEFT(IFERROR(INDEX(醫師週班表!$C$5:$T$44,$CU20,AP$57),""),1),IFERROR(INDEX(醫師週班表!$C$5:$T$44,$CU20,AP$57),"")))))))</f>
        <v/>
      </c>
      <c r="AQ20" s="72">
        <f>IF(AQ$59="X","",IF(AQ$59&lt;&gt;"",AQ$59,IF(IFERROR(INDEX(醫師週班表!$C$5:$T$44,$CU20,AQ$57),"")=0,"",IF(MID(IFERROR(INDEX(醫師週班表!$C$5:$T$44,$CU20,AQ$57),""),2,1)="/",MID(IFERROR(INDEX(醫師週班表!$C$5:$T$44,$CU20,AQ$57),""),1+AQ$58*2,1),IF(MID(IFERROR(INDEX(醫師週班表!$C$5:$T$44,$CU20,AQ$57),""),3,1)="隔",IF(AQ$58=0,LEFT(IFERROR(INDEX(醫師週班表!$C$5:$T$44,$CU20,AQ$57),""),1),""),IF(MID(IFERROR(INDEX(醫師週班表!$C$5:$T$44,$CU20,AQ$57),""),2,1)="(",LEFT(IFERROR(INDEX(醫師週班表!$C$5:$T$44,$CU20,AQ$57),""),1),IFERROR(INDEX(醫師週班表!$C$5:$T$44,$CU20,AQ$57),"")))))))</f>
        <v/>
      </c>
      <c r="AR20" s="71">
        <f>IF(AR$59="X","",IF(AR$59&lt;&gt;"",AR$59,IF(IFERROR(INDEX(醫師週班表!$C$5:$T$44,$CU20,AR$57),"")=0,"",IF(MID(IFERROR(INDEX(醫師週班表!$C$5:$T$44,$CU20,AR$57),""),2,1)="/",MID(IFERROR(INDEX(醫師週班表!$C$5:$T$44,$CU20,AR$57),""),1+AR$58*2,1),IF(MID(IFERROR(INDEX(醫師週班表!$C$5:$T$44,$CU20,AR$57),""),3,1)="隔",IF(AR$58=0,LEFT(IFERROR(INDEX(醫師週班表!$C$5:$T$44,$CU20,AR$57),""),1),""),IF(MID(IFERROR(INDEX(醫師週班表!$C$5:$T$44,$CU20,AR$57),""),2,1)="(",LEFT(IFERROR(INDEX(醫師週班表!$C$5:$T$44,$CU20,AR$57),""),1),IFERROR(INDEX(醫師週班表!$C$5:$T$44,$CU20,AR$57),"")))))))</f>
        <v/>
      </c>
      <c r="AS20" s="72">
        <f>IF(AS$59="X","",IF(AS$59&lt;&gt;"",AS$59,IF(IFERROR(INDEX(醫師週班表!$C$5:$T$44,$CU20,AS$57),"")=0,"",IF(MID(IFERROR(INDEX(醫師週班表!$C$5:$T$44,$CU20,AS$57),""),2,1)="/",MID(IFERROR(INDEX(醫師週班表!$C$5:$T$44,$CU20,AS$57),""),1+AS$58*2,1),IF(MID(IFERROR(INDEX(醫師週班表!$C$5:$T$44,$CU20,AS$57),""),3,1)="隔",IF(AS$58=0,LEFT(IFERROR(INDEX(醫師週班表!$C$5:$T$44,$CU20,AS$57),""),1),""),IF(MID(IFERROR(INDEX(醫師週班表!$C$5:$T$44,$CU20,AS$57),""),2,1)="(",LEFT(IFERROR(INDEX(醫師週班表!$C$5:$T$44,$CU20,AS$57),""),1),IFERROR(INDEX(醫師週班表!$C$5:$T$44,$CU20,AS$57),"")))))))</f>
        <v/>
      </c>
      <c r="AT20" s="72">
        <f>IF(AT$59="X","",IF(AT$59&lt;&gt;"",AT$59,IF(IFERROR(INDEX(醫師週班表!$C$5:$T$44,$CU20,AT$57),"")=0,"",IF(MID(IFERROR(INDEX(醫師週班表!$C$5:$T$44,$CU20,AT$57),""),2,1)="/",MID(IFERROR(INDEX(醫師週班表!$C$5:$T$44,$CU20,AT$57),""),1+AT$58*2,1),IF(MID(IFERROR(INDEX(醫師週班表!$C$5:$T$44,$CU20,AT$57),""),3,1)="隔",IF(AT$58=0,LEFT(IFERROR(INDEX(醫師週班表!$C$5:$T$44,$CU20,AT$57),""),1),""),IF(MID(IFERROR(INDEX(醫師週班表!$C$5:$T$44,$CU20,AT$57),""),2,1)="(",LEFT(IFERROR(INDEX(醫師週班表!$C$5:$T$44,$CU20,AT$57),""),1),IFERROR(INDEX(醫師週班表!$C$5:$T$44,$CU20,AT$57),"")))))))</f>
        <v/>
      </c>
      <c r="AU20" s="71">
        <f>IF(AU$59="X","",IF(AU$59&lt;&gt;"",AU$59,IF(IFERROR(INDEX(醫師週班表!$C$5:$T$44,$CU20,AU$57),"")=0,"",IF(MID(IFERROR(INDEX(醫師週班表!$C$5:$T$44,$CU20,AU$57),""),2,1)="/",MID(IFERROR(INDEX(醫師週班表!$C$5:$T$44,$CU20,AU$57),""),1+AU$58*2,1),IF(MID(IFERROR(INDEX(醫師週班表!$C$5:$T$44,$CU20,AU$57),""),3,1)="隔",IF(AU$58=0,LEFT(IFERROR(INDEX(醫師週班表!$C$5:$T$44,$CU20,AU$57),""),1),""),IF(MID(IFERROR(INDEX(醫師週班表!$C$5:$T$44,$CU20,AU$57),""),2,1)="(",LEFT(IFERROR(INDEX(醫師週班表!$C$5:$T$44,$CU20,AU$57),""),1),IFERROR(INDEX(醫師週班表!$C$5:$T$44,$CU20,AU$57),"")))))))</f>
        <v/>
      </c>
      <c r="AV20" s="72">
        <f>IF(AV$59="X","",IF(AV$59&lt;&gt;"",AV$59,IF(IFERROR(INDEX(醫師週班表!$C$5:$T$44,$CU20,AV$57),"")=0,"",IF(MID(IFERROR(INDEX(醫師週班表!$C$5:$T$44,$CU20,AV$57),""),2,1)="/",MID(IFERROR(INDEX(醫師週班表!$C$5:$T$44,$CU20,AV$57),""),1+AV$58*2,1),IF(MID(IFERROR(INDEX(醫師週班表!$C$5:$T$44,$CU20,AV$57),""),3,1)="隔",IF(AV$58=0,LEFT(IFERROR(INDEX(醫師週班表!$C$5:$T$44,$CU20,AV$57),""),1),""),IF(MID(IFERROR(INDEX(醫師週班表!$C$5:$T$44,$CU20,AV$57),""),2,1)="(",LEFT(IFERROR(INDEX(醫師週班表!$C$5:$T$44,$CU20,AV$57),""),1),IFERROR(INDEX(醫師週班表!$C$5:$T$44,$CU20,AV$57),"")))))))</f>
        <v/>
      </c>
      <c r="AW20" s="72">
        <f>IF(AW$59="X","",IF(AW$59&lt;&gt;"",AW$59,IF(IFERROR(INDEX(醫師週班表!$C$5:$T$44,$CU20,AW$57),"")=0,"",IF(MID(IFERROR(INDEX(醫師週班表!$C$5:$T$44,$CU20,AW$57),""),2,1)="/",MID(IFERROR(INDEX(醫師週班表!$C$5:$T$44,$CU20,AW$57),""),1+AW$58*2,1),IF(MID(IFERROR(INDEX(醫師週班表!$C$5:$T$44,$CU20,AW$57),""),3,1)="隔",IF(AW$58=0,LEFT(IFERROR(INDEX(醫師週班表!$C$5:$T$44,$CU20,AW$57),""),1),""),IF(MID(IFERROR(INDEX(醫師週班表!$C$5:$T$44,$CU20,AW$57),""),2,1)="(",LEFT(IFERROR(INDEX(醫師週班表!$C$5:$T$44,$CU20,AW$57),""),1),IFERROR(INDEX(醫師週班表!$C$5:$T$44,$CU20,AW$57),"")))))))</f>
        <v/>
      </c>
      <c r="AX20" s="71">
        <f>IF(AX$59="X","",IF(AX$59&lt;&gt;"",AX$59,IF(IFERROR(INDEX(醫師週班表!$C$5:$T$44,$CU20,AX$57),"")=0,"",IF(MID(IFERROR(INDEX(醫師週班表!$C$5:$T$44,$CU20,AX$57),""),2,1)="/",MID(IFERROR(INDEX(醫師週班表!$C$5:$T$44,$CU20,AX$57),""),1+AX$58*2,1),IF(MID(IFERROR(INDEX(醫師週班表!$C$5:$T$44,$CU20,AX$57),""),3,1)="隔",IF(AX$58=0,LEFT(IFERROR(INDEX(醫師週班表!$C$5:$T$44,$CU20,AX$57),""),1),""),IF(MID(IFERROR(INDEX(醫師週班表!$C$5:$T$44,$CU20,AX$57),""),2,1)="(",LEFT(IFERROR(INDEX(醫師週班表!$C$5:$T$44,$CU20,AX$57),""),1),IFERROR(INDEX(醫師週班表!$C$5:$T$44,$CU20,AX$57),"")))))))</f>
        <v/>
      </c>
      <c r="AY20" s="72">
        <f>IF(AY$59="X","",IF(AY$59&lt;&gt;"",AY$59,IF(IFERROR(INDEX(醫師週班表!$C$5:$T$44,$CU20,AY$57),"")=0,"",IF(MID(IFERROR(INDEX(醫師週班表!$C$5:$T$44,$CU20,AY$57),""),2,1)="/",MID(IFERROR(INDEX(醫師週班表!$C$5:$T$44,$CU20,AY$57),""),1+AY$58*2,1),IF(MID(IFERROR(INDEX(醫師週班表!$C$5:$T$44,$CU20,AY$57),""),3,1)="隔",IF(AY$58=0,LEFT(IFERROR(INDEX(醫師週班表!$C$5:$T$44,$CU20,AY$57),""),1),""),IF(MID(IFERROR(INDEX(醫師週班表!$C$5:$T$44,$CU20,AY$57),""),2,1)="(",LEFT(IFERROR(INDEX(醫師週班表!$C$5:$T$44,$CU20,AY$57),""),1),IFERROR(INDEX(醫師週班表!$C$5:$T$44,$CU20,AY$57),"")))))))</f>
        <v/>
      </c>
      <c r="AZ20" s="72">
        <f>IF(AZ$59="X","",IF(AZ$59&lt;&gt;"",AZ$59,IF(IFERROR(INDEX(醫師週班表!$C$5:$T$44,$CU20,AZ$57),"")=0,"",IF(MID(IFERROR(INDEX(醫師週班表!$C$5:$T$44,$CU20,AZ$57),""),2,1)="/",MID(IFERROR(INDEX(醫師週班表!$C$5:$T$44,$CU20,AZ$57),""),1+AZ$58*2,1),IF(MID(IFERROR(INDEX(醫師週班表!$C$5:$T$44,$CU20,AZ$57),""),3,1)="隔",IF(AZ$58=0,LEFT(IFERROR(INDEX(醫師週班表!$C$5:$T$44,$CU20,AZ$57),""),1),""),IF(MID(IFERROR(INDEX(醫師週班表!$C$5:$T$44,$CU20,AZ$57),""),2,1)="(",LEFT(IFERROR(INDEX(醫師週班表!$C$5:$T$44,$CU20,AZ$57),""),1),IFERROR(INDEX(醫師週班表!$C$5:$T$44,$CU20,AZ$57),"")))))))</f>
        <v/>
      </c>
      <c r="BA20" s="71">
        <f>IF(BA$59="X","",IF(BA$59&lt;&gt;"",BA$59,IF(IFERROR(INDEX(醫師週班表!$C$5:$T$44,$CU20,BA$57),"")=0,"",IF(MID(IFERROR(INDEX(醫師週班表!$C$5:$T$44,$CU20,BA$57),""),2,1)="/",MID(IFERROR(INDEX(醫師週班表!$C$5:$T$44,$CU20,BA$57),""),1+BA$58*2,1),IF(MID(IFERROR(INDEX(醫師週班表!$C$5:$T$44,$CU20,BA$57),""),3,1)="隔",IF(BA$58=0,LEFT(IFERROR(INDEX(醫師週班表!$C$5:$T$44,$CU20,BA$57),""),1),""),IF(MID(IFERROR(INDEX(醫師週班表!$C$5:$T$44,$CU20,BA$57),""),2,1)="(",LEFT(IFERROR(INDEX(醫師週班表!$C$5:$T$44,$CU20,BA$57),""),1),IFERROR(INDEX(醫師週班表!$C$5:$T$44,$CU20,BA$57),"")))))))</f>
        <v/>
      </c>
      <c r="BB20" s="72">
        <f>IF(BB$59="X","",IF(BB$59&lt;&gt;"",BB$59,IF(IFERROR(INDEX(醫師週班表!$C$5:$T$44,$CU20,BB$57),"")=0,"",IF(MID(IFERROR(INDEX(醫師週班表!$C$5:$T$44,$CU20,BB$57),""),2,1)="/",MID(IFERROR(INDEX(醫師週班表!$C$5:$T$44,$CU20,BB$57),""),1+BB$58*2,1),IF(MID(IFERROR(INDEX(醫師週班表!$C$5:$T$44,$CU20,BB$57),""),3,1)="隔",IF(BB$58=0,LEFT(IFERROR(INDEX(醫師週班表!$C$5:$T$44,$CU20,BB$57),""),1),""),IF(MID(IFERROR(INDEX(醫師週班表!$C$5:$T$44,$CU20,BB$57),""),2,1)="(",LEFT(IFERROR(INDEX(醫師週班表!$C$5:$T$44,$CU20,BB$57),""),1),IFERROR(INDEX(醫師週班表!$C$5:$T$44,$CU20,BB$57),"")))))))</f>
        <v/>
      </c>
      <c r="BC20" s="72">
        <f>IF(BC$59="X","",IF(BC$59&lt;&gt;"",BC$59,IF(IFERROR(INDEX(醫師週班表!$C$5:$T$44,$CU20,BC$57),"")=0,"",IF(MID(IFERROR(INDEX(醫師週班表!$C$5:$T$44,$CU20,BC$57),""),2,1)="/",MID(IFERROR(INDEX(醫師週班表!$C$5:$T$44,$CU20,BC$57),""),1+BC$58*2,1),IF(MID(IFERROR(INDEX(醫師週班表!$C$5:$T$44,$CU20,BC$57),""),3,1)="隔",IF(BC$58=0,LEFT(IFERROR(INDEX(醫師週班表!$C$5:$T$44,$CU20,BC$57),""),1),""),IF(MID(IFERROR(INDEX(醫師週班表!$C$5:$T$44,$CU20,BC$57),""),2,1)="(",LEFT(IFERROR(INDEX(醫師週班表!$C$5:$T$44,$CU20,BC$57),""),1),IFERROR(INDEX(醫師週班表!$C$5:$T$44,$CU20,BC$57),"")))))))</f>
        <v/>
      </c>
      <c r="BD20" s="71">
        <f>IF(BD$59="X","",IF(BD$59&lt;&gt;"",BD$59,IF(IFERROR(INDEX(醫師週班表!$C$5:$T$44,$CU20,BD$57),"")=0,"",IF(MID(IFERROR(INDEX(醫師週班表!$C$5:$T$44,$CU20,BD$57),""),2,1)="/",MID(IFERROR(INDEX(醫師週班表!$C$5:$T$44,$CU20,BD$57),""),1+BD$58*2,1),IF(MID(IFERROR(INDEX(醫師週班表!$C$5:$T$44,$CU20,BD$57),""),3,1)="隔",IF(BD$58=0,LEFT(IFERROR(INDEX(醫師週班表!$C$5:$T$44,$CU20,BD$57),""),1),""),IF(MID(IFERROR(INDEX(醫師週班表!$C$5:$T$44,$CU20,BD$57),""),2,1)="(",LEFT(IFERROR(INDEX(醫師週班表!$C$5:$T$44,$CU20,BD$57),""),1),IFERROR(INDEX(醫師週班表!$C$5:$T$44,$CU20,BD$57),"")))))))</f>
        <v/>
      </c>
      <c r="BE20" s="72">
        <f>IF(BE$59="X","",IF(BE$59&lt;&gt;"",BE$59,IF(IFERROR(INDEX(醫師週班表!$C$5:$T$44,$CU20,BE$57),"")=0,"",IF(MID(IFERROR(INDEX(醫師週班表!$C$5:$T$44,$CU20,BE$57),""),2,1)="/",MID(IFERROR(INDEX(醫師週班表!$C$5:$T$44,$CU20,BE$57),""),1+BE$58*2,1),IF(MID(IFERROR(INDEX(醫師週班表!$C$5:$T$44,$CU20,BE$57),""),3,1)="隔",IF(BE$58=0,LEFT(IFERROR(INDEX(醫師週班表!$C$5:$T$44,$CU20,BE$57),""),1),""),IF(MID(IFERROR(INDEX(醫師週班表!$C$5:$T$44,$CU20,BE$57),""),2,1)="(",LEFT(IFERROR(INDEX(醫師週班表!$C$5:$T$44,$CU20,BE$57),""),1),IFERROR(INDEX(醫師週班表!$C$5:$T$44,$CU20,BE$57),"")))))))</f>
        <v/>
      </c>
      <c r="BF20" s="72">
        <f>IF(BF$59="X","",IF(BF$59&lt;&gt;"",BF$59,IF(IFERROR(INDEX(醫師週班表!$C$5:$T$44,$CU20,BF$57),"")=0,"",IF(MID(IFERROR(INDEX(醫師週班表!$C$5:$T$44,$CU20,BF$57),""),2,1)="/",MID(IFERROR(INDEX(醫師週班表!$C$5:$T$44,$CU20,BF$57),""),1+BF$58*2,1),IF(MID(IFERROR(INDEX(醫師週班表!$C$5:$T$44,$CU20,BF$57),""),3,1)="隔",IF(BF$58=0,LEFT(IFERROR(INDEX(醫師週班表!$C$5:$T$44,$CU20,BF$57),""),1),""),IF(MID(IFERROR(INDEX(醫師週班表!$C$5:$T$44,$CU20,BF$57),""),2,1)="(",LEFT(IFERROR(INDEX(醫師週班表!$C$5:$T$44,$CU20,BF$57),""),1),IFERROR(INDEX(醫師週班表!$C$5:$T$44,$CU20,BF$57),"")))))))</f>
        <v/>
      </c>
      <c r="BG20" s="71">
        <f>IF(BG$59="X","",IF(BG$59&lt;&gt;"",BG$59,IF(IFERROR(INDEX(醫師週班表!$C$5:$T$44,$CU20,BG$57),"")=0,"",IF(MID(IFERROR(INDEX(醫師週班表!$C$5:$T$44,$CU20,BG$57),""),2,1)="/",MID(IFERROR(INDEX(醫師週班表!$C$5:$T$44,$CU20,BG$57),""),1+BG$58*2,1),IF(MID(IFERROR(INDEX(醫師週班表!$C$5:$T$44,$CU20,BG$57),""),3,1)="隔",IF(BG$58=0,LEFT(IFERROR(INDEX(醫師週班表!$C$5:$T$44,$CU20,BG$57),""),1),""),IF(MID(IFERROR(INDEX(醫師週班表!$C$5:$T$44,$CU20,BG$57),""),2,1)="(",LEFT(IFERROR(INDEX(醫師週班表!$C$5:$T$44,$CU20,BG$57),""),1),IFERROR(INDEX(醫師週班表!$C$5:$T$44,$CU20,BG$57),"")))))))</f>
        <v/>
      </c>
      <c r="BH20" s="72">
        <f>IF(BH$59="X","",IF(BH$59&lt;&gt;"",BH$59,IF(IFERROR(INDEX(醫師週班表!$C$5:$T$44,$CU20,BH$57),"")=0,"",IF(MID(IFERROR(INDEX(醫師週班表!$C$5:$T$44,$CU20,BH$57),""),2,1)="/",MID(IFERROR(INDEX(醫師週班表!$C$5:$T$44,$CU20,BH$57),""),1+BH$58*2,1),IF(MID(IFERROR(INDEX(醫師週班表!$C$5:$T$44,$CU20,BH$57),""),3,1)="隔",IF(BH$58=0,LEFT(IFERROR(INDEX(醫師週班表!$C$5:$T$44,$CU20,BH$57),""),1),""),IF(MID(IFERROR(INDEX(醫師週班表!$C$5:$T$44,$CU20,BH$57),""),2,1)="(",LEFT(IFERROR(INDEX(醫師週班表!$C$5:$T$44,$CU20,BH$57),""),1),IFERROR(INDEX(醫師週班表!$C$5:$T$44,$CU20,BH$57),"")))))))</f>
        <v/>
      </c>
      <c r="BI20" s="72">
        <f>IF(BI$59="X","",IF(BI$59&lt;&gt;"",BI$59,IF(IFERROR(INDEX(醫師週班表!$C$5:$T$44,$CU20,BI$57),"")=0,"",IF(MID(IFERROR(INDEX(醫師週班表!$C$5:$T$44,$CU20,BI$57),""),2,1)="/",MID(IFERROR(INDEX(醫師週班表!$C$5:$T$44,$CU20,BI$57),""),1+BI$58*2,1),IF(MID(IFERROR(INDEX(醫師週班表!$C$5:$T$44,$CU20,BI$57),""),3,1)="隔",IF(BI$58=0,LEFT(IFERROR(INDEX(醫師週班表!$C$5:$T$44,$CU20,BI$57),""),1),""),IF(MID(IFERROR(INDEX(醫師週班表!$C$5:$T$44,$CU20,BI$57),""),2,1)="(",LEFT(IFERROR(INDEX(醫師週班表!$C$5:$T$44,$CU20,BI$57),""),1),IFERROR(INDEX(醫師週班表!$C$5:$T$44,$CU20,BI$57),"")))))))</f>
        <v/>
      </c>
      <c r="BJ20" s="71">
        <f>IF(BJ$59="X","",IF(BJ$59&lt;&gt;"",BJ$59,IF(IFERROR(INDEX(醫師週班表!$C$5:$T$44,$CU20,BJ$57),"")=0,"",IF(MID(IFERROR(INDEX(醫師週班表!$C$5:$T$44,$CU20,BJ$57),""),2,1)="/",MID(IFERROR(INDEX(醫師週班表!$C$5:$T$44,$CU20,BJ$57),""),1+BJ$58*2,1),IF(MID(IFERROR(INDEX(醫師週班表!$C$5:$T$44,$CU20,BJ$57),""),3,1)="隔",IF(BJ$58=0,LEFT(IFERROR(INDEX(醫師週班表!$C$5:$T$44,$CU20,BJ$57),""),1),""),IF(MID(IFERROR(INDEX(醫師週班表!$C$5:$T$44,$CU20,BJ$57),""),2,1)="(",LEFT(IFERROR(INDEX(醫師週班表!$C$5:$T$44,$CU20,BJ$57),""),1),IFERROR(INDEX(醫師週班表!$C$5:$T$44,$CU20,BJ$57),"")))))))</f>
        <v/>
      </c>
      <c r="BK20" s="72">
        <f>IF(BK$59="X","",IF(BK$59&lt;&gt;"",BK$59,IF(IFERROR(INDEX(醫師週班表!$C$5:$T$44,$CU20,BK$57),"")=0,"",IF(MID(IFERROR(INDEX(醫師週班表!$C$5:$T$44,$CU20,BK$57),""),2,1)="/",MID(IFERROR(INDEX(醫師週班表!$C$5:$T$44,$CU20,BK$57),""),1+BK$58*2,1),IF(MID(IFERROR(INDEX(醫師週班表!$C$5:$T$44,$CU20,BK$57),""),3,1)="隔",IF(BK$58=0,LEFT(IFERROR(INDEX(醫師週班表!$C$5:$T$44,$CU20,BK$57),""),1),""),IF(MID(IFERROR(INDEX(醫師週班表!$C$5:$T$44,$CU20,BK$57),""),2,1)="(",LEFT(IFERROR(INDEX(醫師週班表!$C$5:$T$44,$CU20,BK$57),""),1),IFERROR(INDEX(醫師週班表!$C$5:$T$44,$CU20,BK$57),"")))))))</f>
        <v/>
      </c>
      <c r="BL20" s="72">
        <f>IF(BL$59="X","",IF(BL$59&lt;&gt;"",BL$59,IF(IFERROR(INDEX(醫師週班表!$C$5:$T$44,$CU20,BL$57),"")=0,"",IF(MID(IFERROR(INDEX(醫師週班表!$C$5:$T$44,$CU20,BL$57),""),2,1)="/",MID(IFERROR(INDEX(醫師週班表!$C$5:$T$44,$CU20,BL$57),""),1+BL$58*2,1),IF(MID(IFERROR(INDEX(醫師週班表!$C$5:$T$44,$CU20,BL$57),""),3,1)="隔",IF(BL$58=0,LEFT(IFERROR(INDEX(醫師週班表!$C$5:$T$44,$CU20,BL$57),""),1),""),IF(MID(IFERROR(INDEX(醫師週班表!$C$5:$T$44,$CU20,BL$57),""),2,1)="(",LEFT(IFERROR(INDEX(醫師週班表!$C$5:$T$44,$CU20,BL$57),""),1),IFERROR(INDEX(醫師週班表!$C$5:$T$44,$CU20,BL$57),"")))))))</f>
        <v/>
      </c>
      <c r="BM20" s="71">
        <f>IF(BM$59="X","",IF(BM$59&lt;&gt;"",BM$59,IF(IFERROR(INDEX(醫師週班表!$C$5:$T$44,$CU20,BM$57),"")=0,"",IF(MID(IFERROR(INDEX(醫師週班表!$C$5:$T$44,$CU20,BM$57),""),2,1)="/",MID(IFERROR(INDEX(醫師週班表!$C$5:$T$44,$CU20,BM$57),""),1+BM$58*2,1),IF(MID(IFERROR(INDEX(醫師週班表!$C$5:$T$44,$CU20,BM$57),""),3,1)="隔",IF(BM$58=0,LEFT(IFERROR(INDEX(醫師週班表!$C$5:$T$44,$CU20,BM$57),""),1),""),IF(MID(IFERROR(INDEX(醫師週班表!$C$5:$T$44,$CU20,BM$57),""),2,1)="(",LEFT(IFERROR(INDEX(醫師週班表!$C$5:$T$44,$CU20,BM$57),""),1),IFERROR(INDEX(醫師週班表!$C$5:$T$44,$CU20,BM$57),"")))))))</f>
        <v/>
      </c>
      <c r="BN20" s="72">
        <f>IF(BN$59="X","",IF(BN$59&lt;&gt;"",BN$59,IF(IFERROR(INDEX(醫師週班表!$C$5:$T$44,$CU20,BN$57),"")=0,"",IF(MID(IFERROR(INDEX(醫師週班表!$C$5:$T$44,$CU20,BN$57),""),2,1)="/",MID(IFERROR(INDEX(醫師週班表!$C$5:$T$44,$CU20,BN$57),""),1+BN$58*2,1),IF(MID(IFERROR(INDEX(醫師週班表!$C$5:$T$44,$CU20,BN$57),""),3,1)="隔",IF(BN$58=0,LEFT(IFERROR(INDEX(醫師週班表!$C$5:$T$44,$CU20,BN$57),""),1),""),IF(MID(IFERROR(INDEX(醫師週班表!$C$5:$T$44,$CU20,BN$57),""),2,1)="(",LEFT(IFERROR(INDEX(醫師週班表!$C$5:$T$44,$CU20,BN$57),""),1),IFERROR(INDEX(醫師週班表!$C$5:$T$44,$CU20,BN$57),"")))))))</f>
        <v/>
      </c>
      <c r="BO20" s="72">
        <f>IF(BO$59="X","",IF(BO$59&lt;&gt;"",BO$59,IF(IFERROR(INDEX(醫師週班表!$C$5:$T$44,$CU20,BO$57),"")=0,"",IF(MID(IFERROR(INDEX(醫師週班表!$C$5:$T$44,$CU20,BO$57),""),2,1)="/",MID(IFERROR(INDEX(醫師週班表!$C$5:$T$44,$CU20,BO$57),""),1+BO$58*2,1),IF(MID(IFERROR(INDEX(醫師週班表!$C$5:$T$44,$CU20,BO$57),""),3,1)="隔",IF(BO$58=0,LEFT(IFERROR(INDEX(醫師週班表!$C$5:$T$44,$CU20,BO$57),""),1),""),IF(MID(IFERROR(INDEX(醫師週班表!$C$5:$T$44,$CU20,BO$57),""),2,1)="(",LEFT(IFERROR(INDEX(醫師週班表!$C$5:$T$44,$CU20,BO$57),""),1),IFERROR(INDEX(醫師週班表!$C$5:$T$44,$CU20,BO$57),"")))))))</f>
        <v/>
      </c>
      <c r="BP20" s="71">
        <f>IF(BP$59="X","",IF(BP$59&lt;&gt;"",BP$59,IF(IFERROR(INDEX(醫師週班表!$C$5:$T$44,$CU20,BP$57),"")=0,"",IF(MID(IFERROR(INDEX(醫師週班表!$C$5:$T$44,$CU20,BP$57),""),2,1)="/",MID(IFERROR(INDEX(醫師週班表!$C$5:$T$44,$CU20,BP$57),""),1+BP$58*2,1),IF(MID(IFERROR(INDEX(醫師週班表!$C$5:$T$44,$CU20,BP$57),""),3,1)="隔",IF(BP$58=0,LEFT(IFERROR(INDEX(醫師週班表!$C$5:$T$44,$CU20,BP$57),""),1),""),IF(MID(IFERROR(INDEX(醫師週班表!$C$5:$T$44,$CU20,BP$57),""),2,1)="(",LEFT(IFERROR(INDEX(醫師週班表!$C$5:$T$44,$CU20,BP$57),""),1),IFERROR(INDEX(醫師週班表!$C$5:$T$44,$CU20,BP$57),"")))))))</f>
        <v/>
      </c>
      <c r="BQ20" s="72">
        <f>IF(BQ$59="X","",IF(BQ$59&lt;&gt;"",BQ$59,IF(IFERROR(INDEX(醫師週班表!$C$5:$T$44,$CU20,BQ$57),"")=0,"",IF(MID(IFERROR(INDEX(醫師週班表!$C$5:$T$44,$CU20,BQ$57),""),2,1)="/",MID(IFERROR(INDEX(醫師週班表!$C$5:$T$44,$CU20,BQ$57),""),1+BQ$58*2,1),IF(MID(IFERROR(INDEX(醫師週班表!$C$5:$T$44,$CU20,BQ$57),""),3,1)="隔",IF(BQ$58=0,LEFT(IFERROR(INDEX(醫師週班表!$C$5:$T$44,$CU20,BQ$57),""),1),""),IF(MID(IFERROR(INDEX(醫師週班表!$C$5:$T$44,$CU20,BQ$57),""),2,1)="(",LEFT(IFERROR(INDEX(醫師週班表!$C$5:$T$44,$CU20,BQ$57),""),1),IFERROR(INDEX(醫師週班表!$C$5:$T$44,$CU20,BQ$57),"")))))))</f>
        <v/>
      </c>
      <c r="BR20" s="72">
        <f>IF(BR$59="X","",IF(BR$59&lt;&gt;"",BR$59,IF(IFERROR(INDEX(醫師週班表!$C$5:$T$44,$CU20,BR$57),"")=0,"",IF(MID(IFERROR(INDEX(醫師週班表!$C$5:$T$44,$CU20,BR$57),""),2,1)="/",MID(IFERROR(INDEX(醫師週班表!$C$5:$T$44,$CU20,BR$57),""),1+BR$58*2,1),IF(MID(IFERROR(INDEX(醫師週班表!$C$5:$T$44,$CU20,BR$57),""),3,1)="隔",IF(BR$58=0,LEFT(IFERROR(INDEX(醫師週班表!$C$5:$T$44,$CU20,BR$57),""),1),""),IF(MID(IFERROR(INDEX(醫師週班表!$C$5:$T$44,$CU20,BR$57),""),2,1)="(",LEFT(IFERROR(INDEX(醫師週班表!$C$5:$T$44,$CU20,BR$57),""),1),IFERROR(INDEX(醫師週班表!$C$5:$T$44,$CU20,BR$57),"")))))))</f>
        <v/>
      </c>
      <c r="BS20" s="71">
        <f>IF(BS$59="X","",IF(BS$59&lt;&gt;"",BS$59,IF(IFERROR(INDEX(醫師週班表!$C$5:$T$44,$CU20,BS$57),"")=0,"",IF(MID(IFERROR(INDEX(醫師週班表!$C$5:$T$44,$CU20,BS$57),""),2,1)="/",MID(IFERROR(INDEX(醫師週班表!$C$5:$T$44,$CU20,BS$57),""),1+BS$58*2,1),IF(MID(IFERROR(INDEX(醫師週班表!$C$5:$T$44,$CU20,BS$57),""),3,1)="隔",IF(BS$58=0,LEFT(IFERROR(INDEX(醫師週班表!$C$5:$T$44,$CU20,BS$57),""),1),""),IF(MID(IFERROR(INDEX(醫師週班表!$C$5:$T$44,$CU20,BS$57),""),2,1)="(",LEFT(IFERROR(INDEX(醫師週班表!$C$5:$T$44,$CU20,BS$57),""),1),IFERROR(INDEX(醫師週班表!$C$5:$T$44,$CU20,BS$57),"")))))))</f>
        <v/>
      </c>
      <c r="BT20" s="72">
        <f>IF(BT$59="X","",IF(BT$59&lt;&gt;"",BT$59,IF(IFERROR(INDEX(醫師週班表!$C$5:$T$44,$CU20,BT$57),"")=0,"",IF(MID(IFERROR(INDEX(醫師週班表!$C$5:$T$44,$CU20,BT$57),""),2,1)="/",MID(IFERROR(INDEX(醫師週班表!$C$5:$T$44,$CU20,BT$57),""),1+BT$58*2,1),IF(MID(IFERROR(INDEX(醫師週班表!$C$5:$T$44,$CU20,BT$57),""),3,1)="隔",IF(BT$58=0,LEFT(IFERROR(INDEX(醫師週班表!$C$5:$T$44,$CU20,BT$57),""),1),""),IF(MID(IFERROR(INDEX(醫師週班表!$C$5:$T$44,$CU20,BT$57),""),2,1)="(",LEFT(IFERROR(INDEX(醫師週班表!$C$5:$T$44,$CU20,BT$57),""),1),IFERROR(INDEX(醫師週班表!$C$5:$T$44,$CU20,BT$57),"")))))))</f>
        <v/>
      </c>
      <c r="BU20" s="72">
        <f>IF(BU$59="X","",IF(BU$59&lt;&gt;"",BU$59,IF(IFERROR(INDEX(醫師週班表!$C$5:$T$44,$CU20,BU$57),"")=0,"",IF(MID(IFERROR(INDEX(醫師週班表!$C$5:$T$44,$CU20,BU$57),""),2,1)="/",MID(IFERROR(INDEX(醫師週班表!$C$5:$T$44,$CU20,BU$57),""),1+BU$58*2,1),IF(MID(IFERROR(INDEX(醫師週班表!$C$5:$T$44,$CU20,BU$57),""),3,1)="隔",IF(BU$58=0,LEFT(IFERROR(INDEX(醫師週班表!$C$5:$T$44,$CU20,BU$57),""),1),""),IF(MID(IFERROR(INDEX(醫師週班表!$C$5:$T$44,$CU20,BU$57),""),2,1)="(",LEFT(IFERROR(INDEX(醫師週班表!$C$5:$T$44,$CU20,BU$57),""),1),IFERROR(INDEX(醫師週班表!$C$5:$T$44,$CU20,BU$57),"")))))))</f>
        <v/>
      </c>
      <c r="BV20" s="71">
        <f>IF(BV$59="X","",IF(BV$59&lt;&gt;"",BV$59,IF(IFERROR(INDEX(醫師週班表!$C$5:$T$44,$CU20,BV$57),"")=0,"",IF(MID(IFERROR(INDEX(醫師週班表!$C$5:$T$44,$CU20,BV$57),""),2,1)="/",MID(IFERROR(INDEX(醫師週班表!$C$5:$T$44,$CU20,BV$57),""),1+BV$58*2,1),IF(MID(IFERROR(INDEX(醫師週班表!$C$5:$T$44,$CU20,BV$57),""),3,1)="隔",IF(BV$58=0,LEFT(IFERROR(INDEX(醫師週班表!$C$5:$T$44,$CU20,BV$57),""),1),""),IF(MID(IFERROR(INDEX(醫師週班表!$C$5:$T$44,$CU20,BV$57),""),2,1)="(",LEFT(IFERROR(INDEX(醫師週班表!$C$5:$T$44,$CU20,BV$57),""),1),IFERROR(INDEX(醫師週班表!$C$5:$T$44,$CU20,BV$57),"")))))))</f>
        <v/>
      </c>
      <c r="BW20" s="72">
        <f>IF(BW$59="X","",IF(BW$59&lt;&gt;"",BW$59,IF(IFERROR(INDEX(醫師週班表!$C$5:$T$44,$CU20,BW$57),"")=0,"",IF(MID(IFERROR(INDEX(醫師週班表!$C$5:$T$44,$CU20,BW$57),""),2,1)="/",MID(IFERROR(INDEX(醫師週班表!$C$5:$T$44,$CU20,BW$57),""),1+BW$58*2,1),IF(MID(IFERROR(INDEX(醫師週班表!$C$5:$T$44,$CU20,BW$57),""),3,1)="隔",IF(BW$58=0,LEFT(IFERROR(INDEX(醫師週班表!$C$5:$T$44,$CU20,BW$57),""),1),""),IF(MID(IFERROR(INDEX(醫師週班表!$C$5:$T$44,$CU20,BW$57),""),2,1)="(",LEFT(IFERROR(INDEX(醫師週班表!$C$5:$T$44,$CU20,BW$57),""),1),IFERROR(INDEX(醫師週班表!$C$5:$T$44,$CU20,BW$57),"")))))))</f>
        <v/>
      </c>
      <c r="BX20" s="72">
        <f>IF(BX$59="X","",IF(BX$59&lt;&gt;"",BX$59,IF(IFERROR(INDEX(醫師週班表!$C$5:$T$44,$CU20,BX$57),"")=0,"",IF(MID(IFERROR(INDEX(醫師週班表!$C$5:$T$44,$CU20,BX$57),""),2,1)="/",MID(IFERROR(INDEX(醫師週班表!$C$5:$T$44,$CU20,BX$57),""),1+BX$58*2,1),IF(MID(IFERROR(INDEX(醫師週班表!$C$5:$T$44,$CU20,BX$57),""),3,1)="隔",IF(BX$58=0,LEFT(IFERROR(INDEX(醫師週班表!$C$5:$T$44,$CU20,BX$57),""),1),""),IF(MID(IFERROR(INDEX(醫師週班表!$C$5:$T$44,$CU20,BX$57),""),2,1)="(",LEFT(IFERROR(INDEX(醫師週班表!$C$5:$T$44,$CU20,BX$57),""),1),IFERROR(INDEX(醫師週班表!$C$5:$T$44,$CU20,BX$57),"")))))))</f>
        <v/>
      </c>
      <c r="BY20" s="71">
        <f>IF(BY$59="X","",IF(BY$59&lt;&gt;"",BY$59,IF(IFERROR(INDEX(醫師週班表!$C$5:$T$44,$CU20,BY$57),"")=0,"",IF(MID(IFERROR(INDEX(醫師週班表!$C$5:$T$44,$CU20,BY$57),""),2,1)="/",MID(IFERROR(INDEX(醫師週班表!$C$5:$T$44,$CU20,BY$57),""),1+BY$58*2,1),IF(MID(IFERROR(INDEX(醫師週班表!$C$5:$T$44,$CU20,BY$57),""),3,1)="隔",IF(BY$58=0,LEFT(IFERROR(INDEX(醫師週班表!$C$5:$T$44,$CU20,BY$57),""),1),""),IF(MID(IFERROR(INDEX(醫師週班表!$C$5:$T$44,$CU20,BY$57),""),2,1)="(",LEFT(IFERROR(INDEX(醫師週班表!$C$5:$T$44,$CU20,BY$57),""),1),IFERROR(INDEX(醫師週班表!$C$5:$T$44,$CU20,BY$57),"")))))))</f>
        <v/>
      </c>
      <c r="BZ20" s="72">
        <f>IF(BZ$59="X","",IF(BZ$59&lt;&gt;"",BZ$59,IF(IFERROR(INDEX(醫師週班表!$C$5:$T$44,$CU20,BZ$57),"")=0,"",IF(MID(IFERROR(INDEX(醫師週班表!$C$5:$T$44,$CU20,BZ$57),""),2,1)="/",MID(IFERROR(INDEX(醫師週班表!$C$5:$T$44,$CU20,BZ$57),""),1+BZ$58*2,1),IF(MID(IFERROR(INDEX(醫師週班表!$C$5:$T$44,$CU20,BZ$57),""),3,1)="隔",IF(BZ$58=0,LEFT(IFERROR(INDEX(醫師週班表!$C$5:$T$44,$CU20,BZ$57),""),1),""),IF(MID(IFERROR(INDEX(醫師週班表!$C$5:$T$44,$CU20,BZ$57),""),2,1)="(",LEFT(IFERROR(INDEX(醫師週班表!$C$5:$T$44,$CU20,BZ$57),""),1),IFERROR(INDEX(醫師週班表!$C$5:$T$44,$CU20,BZ$57),"")))))))</f>
        <v/>
      </c>
      <c r="CA20" s="72">
        <f>IF(CA$59="X","",IF(CA$59&lt;&gt;"",CA$59,IF(IFERROR(INDEX(醫師週班表!$C$5:$T$44,$CU20,CA$57),"")=0,"",IF(MID(IFERROR(INDEX(醫師週班表!$C$5:$T$44,$CU20,CA$57),""),2,1)="/",MID(IFERROR(INDEX(醫師週班表!$C$5:$T$44,$CU20,CA$57),""),1+CA$58*2,1),IF(MID(IFERROR(INDEX(醫師週班表!$C$5:$T$44,$CU20,CA$57),""),3,1)="隔",IF(CA$58=0,LEFT(IFERROR(INDEX(醫師週班表!$C$5:$T$44,$CU20,CA$57),""),1),""),IF(MID(IFERROR(INDEX(醫師週班表!$C$5:$T$44,$CU20,CA$57),""),2,1)="(",LEFT(IFERROR(INDEX(醫師週班表!$C$5:$T$44,$CU20,CA$57),""),1),IFERROR(INDEX(醫師週班表!$C$5:$T$44,$CU20,CA$57),"")))))))</f>
        <v/>
      </c>
      <c r="CB20" s="71">
        <f>IF(CB$59="X","",IF(CB$59&lt;&gt;"",CB$59,IF(IFERROR(INDEX(醫師週班表!$C$5:$T$44,$CU20,CB$57),"")=0,"",IF(MID(IFERROR(INDEX(醫師週班表!$C$5:$T$44,$CU20,CB$57),""),2,1)="/",MID(IFERROR(INDEX(醫師週班表!$C$5:$T$44,$CU20,CB$57),""),1+CB$58*2,1),IF(MID(IFERROR(INDEX(醫師週班表!$C$5:$T$44,$CU20,CB$57),""),3,1)="隔",IF(CB$58=0,LEFT(IFERROR(INDEX(醫師週班表!$C$5:$T$44,$CU20,CB$57),""),1),""),IF(MID(IFERROR(INDEX(醫師週班表!$C$5:$T$44,$CU20,CB$57),""),2,1)="(",LEFT(IFERROR(INDEX(醫師週班表!$C$5:$T$44,$CU20,CB$57),""),1),IFERROR(INDEX(醫師週班表!$C$5:$T$44,$CU20,CB$57),"")))))))</f>
        <v/>
      </c>
      <c r="CC20" s="72">
        <f>IF(CC$59="X","",IF(CC$59&lt;&gt;"",CC$59,IF(IFERROR(INDEX(醫師週班表!$C$5:$T$44,$CU20,CC$57),"")=0,"",IF(MID(IFERROR(INDEX(醫師週班表!$C$5:$T$44,$CU20,CC$57),""),2,1)="/",MID(IFERROR(INDEX(醫師週班表!$C$5:$T$44,$CU20,CC$57),""),1+CC$58*2,1),IF(MID(IFERROR(INDEX(醫師週班表!$C$5:$T$44,$CU20,CC$57),""),3,1)="隔",IF(CC$58=0,LEFT(IFERROR(INDEX(醫師週班表!$C$5:$T$44,$CU20,CC$57),""),1),""),IF(MID(IFERROR(INDEX(醫師週班表!$C$5:$T$44,$CU20,CC$57),""),2,1)="(",LEFT(IFERROR(INDEX(醫師週班表!$C$5:$T$44,$CU20,CC$57),""),1),IFERROR(INDEX(醫師週班表!$C$5:$T$44,$CU20,CC$57),"")))))))</f>
        <v/>
      </c>
      <c r="CD20" s="72">
        <f>IF(CD$59="X","",IF(CD$59&lt;&gt;"",CD$59,IF(IFERROR(INDEX(醫師週班表!$C$5:$T$44,$CU20,CD$57),"")=0,"",IF(MID(IFERROR(INDEX(醫師週班表!$C$5:$T$44,$CU20,CD$57),""),2,1)="/",MID(IFERROR(INDEX(醫師週班表!$C$5:$T$44,$CU20,CD$57),""),1+CD$58*2,1),IF(MID(IFERROR(INDEX(醫師週班表!$C$5:$T$44,$CU20,CD$57),""),3,1)="隔",IF(CD$58=0,LEFT(IFERROR(INDEX(醫師週班表!$C$5:$T$44,$CU20,CD$57),""),1),""),IF(MID(IFERROR(INDEX(醫師週班表!$C$5:$T$44,$CU20,CD$57),""),2,1)="(",LEFT(IFERROR(INDEX(醫師週班表!$C$5:$T$44,$CU20,CD$57),""),1),IFERROR(INDEX(醫師週班表!$C$5:$T$44,$CU20,CD$57),"")))))))</f>
        <v/>
      </c>
      <c r="CE20" s="71">
        <f>IF(CE$59="X","",IF(CE$59&lt;&gt;"",CE$59,IF(IFERROR(INDEX(醫師週班表!$C$5:$T$44,$CU20,CE$57),"")=0,"",IF(MID(IFERROR(INDEX(醫師週班表!$C$5:$T$44,$CU20,CE$57),""),2,1)="/",MID(IFERROR(INDEX(醫師週班表!$C$5:$T$44,$CU20,CE$57),""),1+CE$58*2,1),IF(MID(IFERROR(INDEX(醫師週班表!$C$5:$T$44,$CU20,CE$57),""),3,1)="隔",IF(CE$58=0,LEFT(IFERROR(INDEX(醫師週班表!$C$5:$T$44,$CU20,CE$57),""),1),""),IF(MID(IFERROR(INDEX(醫師週班表!$C$5:$T$44,$CU20,CE$57),""),2,1)="(",LEFT(IFERROR(INDEX(醫師週班表!$C$5:$T$44,$CU20,CE$57),""),1),IFERROR(INDEX(醫師週班表!$C$5:$T$44,$CU20,CE$57),"")))))))</f>
        <v/>
      </c>
      <c r="CF20" s="72">
        <f>IF(CF$59="X","",IF(CF$59&lt;&gt;"",CF$59,IF(IFERROR(INDEX(醫師週班表!$C$5:$T$44,$CU20,CF$57),"")=0,"",IF(MID(IFERROR(INDEX(醫師週班表!$C$5:$T$44,$CU20,CF$57),""),2,1)="/",MID(IFERROR(INDEX(醫師週班表!$C$5:$T$44,$CU20,CF$57),""),1+CF$58*2,1),IF(MID(IFERROR(INDEX(醫師週班表!$C$5:$T$44,$CU20,CF$57),""),3,1)="隔",IF(CF$58=0,LEFT(IFERROR(INDEX(醫師週班表!$C$5:$T$44,$CU20,CF$57),""),1),""),IF(MID(IFERROR(INDEX(醫師週班表!$C$5:$T$44,$CU20,CF$57),""),2,1)="(",LEFT(IFERROR(INDEX(醫師週班表!$C$5:$T$44,$CU20,CF$57),""),1),IFERROR(INDEX(醫師週班表!$C$5:$T$44,$CU20,CF$57),"")))))))</f>
        <v/>
      </c>
      <c r="CG20" s="72">
        <f>IF(CG$59="X","",IF(CG$59&lt;&gt;"",CG$59,IF(IFERROR(INDEX(醫師週班表!$C$5:$T$44,$CU20,CG$57),"")=0,"",IF(MID(IFERROR(INDEX(醫師週班表!$C$5:$T$44,$CU20,CG$57),""),2,1)="/",MID(IFERROR(INDEX(醫師週班表!$C$5:$T$44,$CU20,CG$57),""),1+CG$58*2,1),IF(MID(IFERROR(INDEX(醫師週班表!$C$5:$T$44,$CU20,CG$57),""),3,1)="隔",IF(CG$58=0,LEFT(IFERROR(INDEX(醫師週班表!$C$5:$T$44,$CU20,CG$57),""),1),""),IF(MID(IFERROR(INDEX(醫師週班表!$C$5:$T$44,$CU20,CG$57),""),2,1)="(",LEFT(IFERROR(INDEX(醫師週班表!$C$5:$T$44,$CU20,CG$57),""),1),IFERROR(INDEX(醫師週班表!$C$5:$T$44,$CU20,CG$57),"")))))))</f>
        <v/>
      </c>
      <c r="CH20" s="71">
        <f>IF(CH$59="X","",IF(CH$59&lt;&gt;"",CH$59,IF(IFERROR(INDEX(醫師週班表!$C$5:$T$44,$CU20,CH$57),"")=0,"",IF(MID(IFERROR(INDEX(醫師週班表!$C$5:$T$44,$CU20,CH$57),""),2,1)="/",MID(IFERROR(INDEX(醫師週班表!$C$5:$T$44,$CU20,CH$57),""),1+CH$58*2,1),IF(MID(IFERROR(INDEX(醫師週班表!$C$5:$T$44,$CU20,CH$57),""),3,1)="隔",IF(CH$58=0,LEFT(IFERROR(INDEX(醫師週班表!$C$5:$T$44,$CU20,CH$57),""),1),""),IF(MID(IFERROR(INDEX(醫師週班表!$C$5:$T$44,$CU20,CH$57),""),2,1)="(",LEFT(IFERROR(INDEX(醫師週班表!$C$5:$T$44,$CU20,CH$57),""),1),IFERROR(INDEX(醫師週班表!$C$5:$T$44,$CU20,CH$57),"")))))))</f>
        <v/>
      </c>
      <c r="CI20" s="72">
        <f>IF(CI$59="X","",IF(CI$59&lt;&gt;"",CI$59,IF(IFERROR(INDEX(醫師週班表!$C$5:$T$44,$CU20,CI$57),"")=0,"",IF(MID(IFERROR(INDEX(醫師週班表!$C$5:$T$44,$CU20,CI$57),""),2,1)="/",MID(IFERROR(INDEX(醫師週班表!$C$5:$T$44,$CU20,CI$57),""),1+CI$58*2,1),IF(MID(IFERROR(INDEX(醫師週班表!$C$5:$T$44,$CU20,CI$57),""),3,1)="隔",IF(CI$58=0,LEFT(IFERROR(INDEX(醫師週班表!$C$5:$T$44,$CU20,CI$57),""),1),""),IF(MID(IFERROR(INDEX(醫師週班表!$C$5:$T$44,$CU20,CI$57),""),2,1)="(",LEFT(IFERROR(INDEX(醫師週班表!$C$5:$T$44,$CU20,CI$57),""),1),IFERROR(INDEX(醫師週班表!$C$5:$T$44,$CU20,CI$57),"")))))))</f>
        <v/>
      </c>
      <c r="CJ20" s="72">
        <f>IF(CJ$59="X","",IF(CJ$59&lt;&gt;"",CJ$59,IF(IFERROR(INDEX(醫師週班表!$C$5:$T$44,$CU20,CJ$57),"")=0,"",IF(MID(IFERROR(INDEX(醫師週班表!$C$5:$T$44,$CU20,CJ$57),""),2,1)="/",MID(IFERROR(INDEX(醫師週班表!$C$5:$T$44,$CU20,CJ$57),""),1+CJ$58*2,1),IF(MID(IFERROR(INDEX(醫師週班表!$C$5:$T$44,$CU20,CJ$57),""),3,1)="隔",IF(CJ$58=0,LEFT(IFERROR(INDEX(醫師週班表!$C$5:$T$44,$CU20,CJ$57),""),1),""),IF(MID(IFERROR(INDEX(醫師週班表!$C$5:$T$44,$CU20,CJ$57),""),2,1)="(",LEFT(IFERROR(INDEX(醫師週班表!$C$5:$T$44,$CU20,CJ$57),""),1),IFERROR(INDEX(醫師週班表!$C$5:$T$44,$CU20,CJ$57),"")))))))</f>
        <v/>
      </c>
      <c r="CK20" s="71">
        <f>IF(CK$59="X","",IF(CK$59&lt;&gt;"",CK$59,IF(IFERROR(INDEX(醫師週班表!$C$5:$T$44,$CU20,CK$57),"")=0,"",IF(MID(IFERROR(INDEX(醫師週班表!$C$5:$T$44,$CU20,CK$57),""),2,1)="/",MID(IFERROR(INDEX(醫師週班表!$C$5:$T$44,$CU20,CK$57),""),1+CK$58*2,1),IF(MID(IFERROR(INDEX(醫師週班表!$C$5:$T$44,$CU20,CK$57),""),3,1)="隔",IF(CK$58=0,LEFT(IFERROR(INDEX(醫師週班表!$C$5:$T$44,$CU20,CK$57),""),1),""),IF(MID(IFERROR(INDEX(醫師週班表!$C$5:$T$44,$CU20,CK$57),""),2,1)="(",LEFT(IFERROR(INDEX(醫師週班表!$C$5:$T$44,$CU20,CK$57),""),1),IFERROR(INDEX(醫師週班表!$C$5:$T$44,$CU20,CK$57),"")))))))</f>
        <v/>
      </c>
      <c r="CL20" s="72">
        <f>IF(CL$59="X","",IF(CL$59&lt;&gt;"",CL$59,IF(IFERROR(INDEX(醫師週班表!$C$5:$T$44,$CU20,CL$57),"")=0,"",IF(MID(IFERROR(INDEX(醫師週班表!$C$5:$T$44,$CU20,CL$57),""),2,1)="/",MID(IFERROR(INDEX(醫師週班表!$C$5:$T$44,$CU20,CL$57),""),1+CL$58*2,1),IF(MID(IFERROR(INDEX(醫師週班表!$C$5:$T$44,$CU20,CL$57),""),3,1)="隔",IF(CL$58=0,LEFT(IFERROR(INDEX(醫師週班表!$C$5:$T$44,$CU20,CL$57),""),1),""),IF(MID(IFERROR(INDEX(醫師週班表!$C$5:$T$44,$CU20,CL$57),""),2,1)="(",LEFT(IFERROR(INDEX(醫師週班表!$C$5:$T$44,$CU20,CL$57),""),1),IFERROR(INDEX(醫師週班表!$C$5:$T$44,$CU20,CL$57),"")))))))</f>
        <v/>
      </c>
      <c r="CM20" s="72">
        <f>IF(CM$59="X","",IF(CM$59&lt;&gt;"",CM$59,IF(IFERROR(INDEX(醫師週班表!$C$5:$T$44,$CU20,CM$57),"")=0,"",IF(MID(IFERROR(INDEX(醫師週班表!$C$5:$T$44,$CU20,CM$57),""),2,1)="/",MID(IFERROR(INDEX(醫師週班表!$C$5:$T$44,$CU20,CM$57),""),1+CM$58*2,1),IF(MID(IFERROR(INDEX(醫師週班表!$C$5:$T$44,$CU20,CM$57),""),3,1)="隔",IF(CM$58=0,LEFT(IFERROR(INDEX(醫師週班表!$C$5:$T$44,$CU20,CM$57),""),1),""),IF(MID(IFERROR(INDEX(醫師週班表!$C$5:$T$44,$CU20,CM$57),""),2,1)="(",LEFT(IFERROR(INDEX(醫師週班表!$C$5:$T$44,$CU20,CM$57),""),1),IFERROR(INDEX(醫師週班表!$C$5:$T$44,$CU20,CM$57),"")))))))</f>
        <v/>
      </c>
      <c r="CN20" s="71">
        <f>IF(CN$59="X","",IF(CN$59&lt;&gt;"",CN$59,IF(IFERROR(INDEX(醫師週班表!$C$5:$T$44,$CU20,CN$57),"")=0,"",IF(MID(IFERROR(INDEX(醫師週班表!$C$5:$T$44,$CU20,CN$57),""),2,1)="/",MID(IFERROR(INDEX(醫師週班表!$C$5:$T$44,$CU20,CN$57),""),1+CN$58*2,1),IF(MID(IFERROR(INDEX(醫師週班表!$C$5:$T$44,$CU20,CN$57),""),3,1)="隔",IF(CN$58=0,LEFT(IFERROR(INDEX(醫師週班表!$C$5:$T$44,$CU20,CN$57),""),1),""),IF(MID(IFERROR(INDEX(醫師週班表!$C$5:$T$44,$CU20,CN$57),""),2,1)="(",LEFT(IFERROR(INDEX(醫師週班表!$C$5:$T$44,$CU20,CN$57),""),1),IFERROR(INDEX(醫師週班表!$C$5:$T$44,$CU20,CN$57),"")))))))</f>
        <v/>
      </c>
      <c r="CO20" s="72">
        <f>IF(CO$59="X","",IF(CO$59&lt;&gt;"",CO$59,IF(IFERROR(INDEX(醫師週班表!$C$5:$T$44,$CU20,CO$57),"")=0,"",IF(MID(IFERROR(INDEX(醫師週班表!$C$5:$T$44,$CU20,CO$57),""),2,1)="/",MID(IFERROR(INDEX(醫師週班表!$C$5:$T$44,$CU20,CO$57),""),1+CO$58*2,1),IF(MID(IFERROR(INDEX(醫師週班表!$C$5:$T$44,$CU20,CO$57),""),3,1)="隔",IF(CO$58=0,LEFT(IFERROR(INDEX(醫師週班表!$C$5:$T$44,$CU20,CO$57),""),1),""),IF(MID(IFERROR(INDEX(醫師週班表!$C$5:$T$44,$CU20,CO$57),""),2,1)="(",LEFT(IFERROR(INDEX(醫師週班表!$C$5:$T$44,$CU20,CO$57),""),1),IFERROR(INDEX(醫師週班表!$C$5:$T$44,$CU20,CO$57),"")))))))</f>
        <v/>
      </c>
      <c r="CP20" s="72">
        <f>IF(CP$59="X","",IF(CP$59&lt;&gt;"",CP$59,IF(IFERROR(INDEX(醫師週班表!$C$5:$T$44,$CU20,CP$57),"")=0,"",IF(MID(IFERROR(INDEX(醫師週班表!$C$5:$T$44,$CU20,CP$57),""),2,1)="/",MID(IFERROR(INDEX(醫師週班表!$C$5:$T$44,$CU20,CP$57),""),1+CP$58*2,1),IF(MID(IFERROR(INDEX(醫師週班表!$C$5:$T$44,$CU20,CP$57),""),3,1)="隔",IF(CP$58=0,LEFT(IFERROR(INDEX(醫師週班表!$C$5:$T$44,$CU20,CP$57),""),1),""),IF(MID(IFERROR(INDEX(醫師週班表!$C$5:$T$44,$CU20,CP$57),""),2,1)="(",LEFT(IFERROR(INDEX(醫師週班表!$C$5:$T$44,$CU20,CP$57),""),1),IFERROR(INDEX(醫師週班表!$C$5:$T$44,$CU20,CP$57),"")))))))</f>
        <v/>
      </c>
      <c r="CQ20" s="71">
        <f>IF(CQ$59="X","",IF(CQ$59&lt;&gt;"",CQ$59,IF(IFERROR(INDEX(醫師週班表!$C$5:$T$44,$CU20,CQ$57),"")=0,"",IF(MID(IFERROR(INDEX(醫師週班表!$C$5:$T$44,$CU20,CQ$57),""),2,1)="/",MID(IFERROR(INDEX(醫師週班表!$C$5:$T$44,$CU20,CQ$57),""),1+CQ$58*2,1),IF(MID(IFERROR(INDEX(醫師週班表!$C$5:$T$44,$CU20,CQ$57),""),3,1)="隔",IF(CQ$58=0,LEFT(IFERROR(INDEX(醫師週班表!$C$5:$T$44,$CU20,CQ$57),""),1),""),IF(MID(IFERROR(INDEX(醫師週班表!$C$5:$T$44,$CU20,CQ$57),""),2,1)="(",LEFT(IFERROR(INDEX(醫師週班表!$C$5:$T$44,$CU20,CQ$57),""),1),IFERROR(INDEX(醫師週班表!$C$5:$T$44,$CU20,CQ$57),"")))))))</f>
        <v/>
      </c>
      <c r="CR20" s="72">
        <f>IF(CR$59="X","",IF(CR$59&lt;&gt;"",CR$59,IF(IFERROR(INDEX(醫師週班表!$C$5:$T$44,$CU20,CR$57),"")=0,"",IF(MID(IFERROR(INDEX(醫師週班表!$C$5:$T$44,$CU20,CR$57),""),2,1)="/",MID(IFERROR(INDEX(醫師週班表!$C$5:$T$44,$CU20,CR$57),""),1+CR$58*2,1),IF(MID(IFERROR(INDEX(醫師週班表!$C$5:$T$44,$CU20,CR$57),""),3,1)="隔",IF(CR$58=0,LEFT(IFERROR(INDEX(醫師週班表!$C$5:$T$44,$CU20,CR$57),""),1),""),IF(MID(IFERROR(INDEX(醫師週班表!$C$5:$T$44,$CU20,CR$57),""),2,1)="(",LEFT(IFERROR(INDEX(醫師週班表!$C$5:$T$44,$CU20,CR$57),""),1),IFERROR(INDEX(醫師週班表!$C$5:$T$44,$CU20,CR$57),"")))))))</f>
        <v/>
      </c>
      <c r="CS20" s="72">
        <f>IF(CS$59="X","",IF(CS$59&lt;&gt;"",CS$59,IF(IFERROR(INDEX(醫師週班表!$C$5:$T$44,$CU20,CS$57),"")=0,"",IF(MID(IFERROR(INDEX(醫師週班表!$C$5:$T$44,$CU20,CS$57),""),2,1)="/",MID(IFERROR(INDEX(醫師週班表!$C$5:$T$44,$CU20,CS$57),""),1+CS$58*2,1),IF(MID(IFERROR(INDEX(醫師週班表!$C$5:$T$44,$CU20,CS$57),""),3,1)="隔",IF(CS$58=0,LEFT(IFERROR(INDEX(醫師週班表!$C$5:$T$44,$CU20,CS$57),""),1),""),IF(MID(IFERROR(INDEX(醫師週班表!$C$5:$T$44,$CU20,CS$57),""),2,1)="(",LEFT(IFERROR(INDEX(醫師週班表!$C$5:$T$44,$CU20,CS$57),""),1),IFERROR(INDEX(醫師週班表!$C$5:$T$44,$CU20,CS$57),"")))))))</f>
        <v/>
      </c>
      <c r="CU20" s="73">
        <f>IFERROR(MATCH($A20,醫師週班表!$A$5:$A$44,0),0)</f>
        <v/>
      </c>
    </row>
    <row r="21" ht="17" customHeight="1">
      <c r="A21" s="19" t="inlineStr">
        <is>
          <t>D016</t>
        </is>
      </c>
      <c r="B21" s="16" t="inlineStr">
        <is>
          <t>賴敏傑</t>
        </is>
      </c>
      <c r="C21" s="70" t="inlineStr"/>
      <c r="D21" s="16" t="inlineStr"/>
      <c r="E21" s="71">
        <f>IF(E$59="X","",IF(E$59&lt;&gt;"",E$59,IF(IFERROR(INDEX(醫師週班表!$C$5:$T$44,$CU21,E$57),"")=0,"",IF(MID(IFERROR(INDEX(醫師週班表!$C$5:$T$44,$CU21,E$57),""),2,1)="/",MID(IFERROR(INDEX(醫師週班表!$C$5:$T$44,$CU21,E$57),""),1+E$58*2,1),IF(MID(IFERROR(INDEX(醫師週班表!$C$5:$T$44,$CU21,E$57),""),3,1)="隔",IF(E$58=0,LEFT(IFERROR(INDEX(醫師週班表!$C$5:$T$44,$CU21,E$57),""),1),""),IF(MID(IFERROR(INDEX(醫師週班表!$C$5:$T$44,$CU21,E$57),""),2,1)="(",LEFT(IFERROR(INDEX(醫師週班表!$C$5:$T$44,$CU21,E$57),""),1),IFERROR(INDEX(醫師週班表!$C$5:$T$44,$CU21,E$57),"")))))))</f>
        <v/>
      </c>
      <c r="F21" s="72">
        <f>IF(F$59="X","",IF(F$59&lt;&gt;"",F$59,IF(IFERROR(INDEX(醫師週班表!$C$5:$T$44,$CU21,F$57),"")=0,"",IF(MID(IFERROR(INDEX(醫師週班表!$C$5:$T$44,$CU21,F$57),""),2,1)="/",MID(IFERROR(INDEX(醫師週班表!$C$5:$T$44,$CU21,F$57),""),1+F$58*2,1),IF(MID(IFERROR(INDEX(醫師週班表!$C$5:$T$44,$CU21,F$57),""),3,1)="隔",IF(F$58=0,LEFT(IFERROR(INDEX(醫師週班表!$C$5:$T$44,$CU21,F$57),""),1),""),IF(MID(IFERROR(INDEX(醫師週班表!$C$5:$T$44,$CU21,F$57),""),2,1)="(",LEFT(IFERROR(INDEX(醫師週班表!$C$5:$T$44,$CU21,F$57),""),1),IFERROR(INDEX(醫師週班表!$C$5:$T$44,$CU21,F$57),"")))))))</f>
        <v/>
      </c>
      <c r="G21" s="72">
        <f>IF(G$59="X","",IF(G$59&lt;&gt;"",G$59,IF(IFERROR(INDEX(醫師週班表!$C$5:$T$44,$CU21,G$57),"")=0,"",IF(MID(IFERROR(INDEX(醫師週班表!$C$5:$T$44,$CU21,G$57),""),2,1)="/",MID(IFERROR(INDEX(醫師週班表!$C$5:$T$44,$CU21,G$57),""),1+G$58*2,1),IF(MID(IFERROR(INDEX(醫師週班表!$C$5:$T$44,$CU21,G$57),""),3,1)="隔",IF(G$58=0,LEFT(IFERROR(INDEX(醫師週班表!$C$5:$T$44,$CU21,G$57),""),1),""),IF(MID(IFERROR(INDEX(醫師週班表!$C$5:$T$44,$CU21,G$57),""),2,1)="(",LEFT(IFERROR(INDEX(醫師週班表!$C$5:$T$44,$CU21,G$57),""),1),IFERROR(INDEX(醫師週班表!$C$5:$T$44,$CU21,G$57),"")))))))</f>
        <v/>
      </c>
      <c r="H21" s="71">
        <f>IF(H$59="X","",IF(H$59&lt;&gt;"",H$59,IF(IFERROR(INDEX(醫師週班表!$C$5:$T$44,$CU21,H$57),"")=0,"",IF(MID(IFERROR(INDEX(醫師週班表!$C$5:$T$44,$CU21,H$57),""),2,1)="/",MID(IFERROR(INDEX(醫師週班表!$C$5:$T$44,$CU21,H$57),""),1+H$58*2,1),IF(MID(IFERROR(INDEX(醫師週班表!$C$5:$T$44,$CU21,H$57),""),3,1)="隔",IF(H$58=0,LEFT(IFERROR(INDEX(醫師週班表!$C$5:$T$44,$CU21,H$57),""),1),""),IF(MID(IFERROR(INDEX(醫師週班表!$C$5:$T$44,$CU21,H$57),""),2,1)="(",LEFT(IFERROR(INDEX(醫師週班表!$C$5:$T$44,$CU21,H$57),""),1),IFERROR(INDEX(醫師週班表!$C$5:$T$44,$CU21,H$57),"")))))))</f>
        <v/>
      </c>
      <c r="I21" s="72">
        <f>IF(I$59="X","",IF(I$59&lt;&gt;"",I$59,IF(IFERROR(INDEX(醫師週班表!$C$5:$T$44,$CU21,I$57),"")=0,"",IF(MID(IFERROR(INDEX(醫師週班表!$C$5:$T$44,$CU21,I$57),""),2,1)="/",MID(IFERROR(INDEX(醫師週班表!$C$5:$T$44,$CU21,I$57),""),1+I$58*2,1),IF(MID(IFERROR(INDEX(醫師週班表!$C$5:$T$44,$CU21,I$57),""),3,1)="隔",IF(I$58=0,LEFT(IFERROR(INDEX(醫師週班表!$C$5:$T$44,$CU21,I$57),""),1),""),IF(MID(IFERROR(INDEX(醫師週班表!$C$5:$T$44,$CU21,I$57),""),2,1)="(",LEFT(IFERROR(INDEX(醫師週班表!$C$5:$T$44,$CU21,I$57),""),1),IFERROR(INDEX(醫師週班表!$C$5:$T$44,$CU21,I$57),"")))))))</f>
        <v/>
      </c>
      <c r="J21" s="72">
        <f>IF(J$59="X","",IF(J$59&lt;&gt;"",J$59,IF(IFERROR(INDEX(醫師週班表!$C$5:$T$44,$CU21,J$57),"")=0,"",IF(MID(IFERROR(INDEX(醫師週班表!$C$5:$T$44,$CU21,J$57),""),2,1)="/",MID(IFERROR(INDEX(醫師週班表!$C$5:$T$44,$CU21,J$57),""),1+J$58*2,1),IF(MID(IFERROR(INDEX(醫師週班表!$C$5:$T$44,$CU21,J$57),""),3,1)="隔",IF(J$58=0,LEFT(IFERROR(INDEX(醫師週班表!$C$5:$T$44,$CU21,J$57),""),1),""),IF(MID(IFERROR(INDEX(醫師週班表!$C$5:$T$44,$CU21,J$57),""),2,1)="(",LEFT(IFERROR(INDEX(醫師週班表!$C$5:$T$44,$CU21,J$57),""),1),IFERROR(INDEX(醫師週班表!$C$5:$T$44,$CU21,J$57),"")))))))</f>
        <v/>
      </c>
      <c r="K21" s="71">
        <f>IF(K$59="X","",IF(K$59&lt;&gt;"",K$59,IF(IFERROR(INDEX(醫師週班表!$C$5:$T$44,$CU21,K$57),"")=0,"",IF(MID(IFERROR(INDEX(醫師週班表!$C$5:$T$44,$CU21,K$57),""),2,1)="/",MID(IFERROR(INDEX(醫師週班表!$C$5:$T$44,$CU21,K$57),""),1+K$58*2,1),IF(MID(IFERROR(INDEX(醫師週班表!$C$5:$T$44,$CU21,K$57),""),3,1)="隔",IF(K$58=0,LEFT(IFERROR(INDEX(醫師週班表!$C$5:$T$44,$CU21,K$57),""),1),""),IF(MID(IFERROR(INDEX(醫師週班表!$C$5:$T$44,$CU21,K$57),""),2,1)="(",LEFT(IFERROR(INDEX(醫師週班表!$C$5:$T$44,$CU21,K$57),""),1),IFERROR(INDEX(醫師週班表!$C$5:$T$44,$CU21,K$57),"")))))))</f>
        <v/>
      </c>
      <c r="L21" s="72">
        <f>IF(L$59="X","",IF(L$59&lt;&gt;"",L$59,IF(IFERROR(INDEX(醫師週班表!$C$5:$T$44,$CU21,L$57),"")=0,"",IF(MID(IFERROR(INDEX(醫師週班表!$C$5:$T$44,$CU21,L$57),""),2,1)="/",MID(IFERROR(INDEX(醫師週班表!$C$5:$T$44,$CU21,L$57),""),1+L$58*2,1),IF(MID(IFERROR(INDEX(醫師週班表!$C$5:$T$44,$CU21,L$57),""),3,1)="隔",IF(L$58=0,LEFT(IFERROR(INDEX(醫師週班表!$C$5:$T$44,$CU21,L$57),""),1),""),IF(MID(IFERROR(INDEX(醫師週班表!$C$5:$T$44,$CU21,L$57),""),2,1)="(",LEFT(IFERROR(INDEX(醫師週班表!$C$5:$T$44,$CU21,L$57),""),1),IFERROR(INDEX(醫師週班表!$C$5:$T$44,$CU21,L$57),"")))))))</f>
        <v/>
      </c>
      <c r="M21" s="72">
        <f>IF(M$59="X","",IF(M$59&lt;&gt;"",M$59,IF(IFERROR(INDEX(醫師週班表!$C$5:$T$44,$CU21,M$57),"")=0,"",IF(MID(IFERROR(INDEX(醫師週班表!$C$5:$T$44,$CU21,M$57),""),2,1)="/",MID(IFERROR(INDEX(醫師週班表!$C$5:$T$44,$CU21,M$57),""),1+M$58*2,1),IF(MID(IFERROR(INDEX(醫師週班表!$C$5:$T$44,$CU21,M$57),""),3,1)="隔",IF(M$58=0,LEFT(IFERROR(INDEX(醫師週班表!$C$5:$T$44,$CU21,M$57),""),1),""),IF(MID(IFERROR(INDEX(醫師週班表!$C$5:$T$44,$CU21,M$57),""),2,1)="(",LEFT(IFERROR(INDEX(醫師週班表!$C$5:$T$44,$CU21,M$57),""),1),IFERROR(INDEX(醫師週班表!$C$5:$T$44,$CU21,M$57),"")))))))</f>
        <v/>
      </c>
      <c r="N21" s="71">
        <f>IF(N$59="X","",IF(N$59&lt;&gt;"",N$59,IF(IFERROR(INDEX(醫師週班表!$C$5:$T$44,$CU21,N$57),"")=0,"",IF(MID(IFERROR(INDEX(醫師週班表!$C$5:$T$44,$CU21,N$57),""),2,1)="/",MID(IFERROR(INDEX(醫師週班表!$C$5:$T$44,$CU21,N$57),""),1+N$58*2,1),IF(MID(IFERROR(INDEX(醫師週班表!$C$5:$T$44,$CU21,N$57),""),3,1)="隔",IF(N$58=0,LEFT(IFERROR(INDEX(醫師週班表!$C$5:$T$44,$CU21,N$57),""),1),""),IF(MID(IFERROR(INDEX(醫師週班表!$C$5:$T$44,$CU21,N$57),""),2,1)="(",LEFT(IFERROR(INDEX(醫師週班表!$C$5:$T$44,$CU21,N$57),""),1),IFERROR(INDEX(醫師週班表!$C$5:$T$44,$CU21,N$57),"")))))))</f>
        <v/>
      </c>
      <c r="O21" s="72">
        <f>IF(O$59="X","",IF(O$59&lt;&gt;"",O$59,IF(IFERROR(INDEX(醫師週班表!$C$5:$T$44,$CU21,O$57),"")=0,"",IF(MID(IFERROR(INDEX(醫師週班表!$C$5:$T$44,$CU21,O$57),""),2,1)="/",MID(IFERROR(INDEX(醫師週班表!$C$5:$T$44,$CU21,O$57),""),1+O$58*2,1),IF(MID(IFERROR(INDEX(醫師週班表!$C$5:$T$44,$CU21,O$57),""),3,1)="隔",IF(O$58=0,LEFT(IFERROR(INDEX(醫師週班表!$C$5:$T$44,$CU21,O$57),""),1),""),IF(MID(IFERROR(INDEX(醫師週班表!$C$5:$T$44,$CU21,O$57),""),2,1)="(",LEFT(IFERROR(INDEX(醫師週班表!$C$5:$T$44,$CU21,O$57),""),1),IFERROR(INDEX(醫師週班表!$C$5:$T$44,$CU21,O$57),"")))))))</f>
        <v/>
      </c>
      <c r="P21" s="72">
        <f>IF(P$59="X","",IF(P$59&lt;&gt;"",P$59,IF(IFERROR(INDEX(醫師週班表!$C$5:$T$44,$CU21,P$57),"")=0,"",IF(MID(IFERROR(INDEX(醫師週班表!$C$5:$T$44,$CU21,P$57),""),2,1)="/",MID(IFERROR(INDEX(醫師週班表!$C$5:$T$44,$CU21,P$57),""),1+P$58*2,1),IF(MID(IFERROR(INDEX(醫師週班表!$C$5:$T$44,$CU21,P$57),""),3,1)="隔",IF(P$58=0,LEFT(IFERROR(INDEX(醫師週班表!$C$5:$T$44,$CU21,P$57),""),1),""),IF(MID(IFERROR(INDEX(醫師週班表!$C$5:$T$44,$CU21,P$57),""),2,1)="(",LEFT(IFERROR(INDEX(醫師週班表!$C$5:$T$44,$CU21,P$57),""),1),IFERROR(INDEX(醫師週班表!$C$5:$T$44,$CU21,P$57),"")))))))</f>
        <v/>
      </c>
      <c r="Q21" s="71">
        <f>IF(Q$59="X","",IF(Q$59&lt;&gt;"",Q$59,IF(IFERROR(INDEX(醫師週班表!$C$5:$T$44,$CU21,Q$57),"")=0,"",IF(MID(IFERROR(INDEX(醫師週班表!$C$5:$T$44,$CU21,Q$57),""),2,1)="/",MID(IFERROR(INDEX(醫師週班表!$C$5:$T$44,$CU21,Q$57),""),1+Q$58*2,1),IF(MID(IFERROR(INDEX(醫師週班表!$C$5:$T$44,$CU21,Q$57),""),3,1)="隔",IF(Q$58=0,LEFT(IFERROR(INDEX(醫師週班表!$C$5:$T$44,$CU21,Q$57),""),1),""),IF(MID(IFERROR(INDEX(醫師週班表!$C$5:$T$44,$CU21,Q$57),""),2,1)="(",LEFT(IFERROR(INDEX(醫師週班表!$C$5:$T$44,$CU21,Q$57),""),1),IFERROR(INDEX(醫師週班表!$C$5:$T$44,$CU21,Q$57),"")))))))</f>
        <v/>
      </c>
      <c r="R21" s="72">
        <f>IF(R$59="X","",IF(R$59&lt;&gt;"",R$59,IF(IFERROR(INDEX(醫師週班表!$C$5:$T$44,$CU21,R$57),"")=0,"",IF(MID(IFERROR(INDEX(醫師週班表!$C$5:$T$44,$CU21,R$57),""),2,1)="/",MID(IFERROR(INDEX(醫師週班表!$C$5:$T$44,$CU21,R$57),""),1+R$58*2,1),IF(MID(IFERROR(INDEX(醫師週班表!$C$5:$T$44,$CU21,R$57),""),3,1)="隔",IF(R$58=0,LEFT(IFERROR(INDEX(醫師週班表!$C$5:$T$44,$CU21,R$57),""),1),""),IF(MID(IFERROR(INDEX(醫師週班表!$C$5:$T$44,$CU21,R$57),""),2,1)="(",LEFT(IFERROR(INDEX(醫師週班表!$C$5:$T$44,$CU21,R$57),""),1),IFERROR(INDEX(醫師週班表!$C$5:$T$44,$CU21,R$57),"")))))))</f>
        <v/>
      </c>
      <c r="S21" s="72">
        <f>IF(S$59="X","",IF(S$59&lt;&gt;"",S$59,IF(IFERROR(INDEX(醫師週班表!$C$5:$T$44,$CU21,S$57),"")=0,"",IF(MID(IFERROR(INDEX(醫師週班表!$C$5:$T$44,$CU21,S$57),""),2,1)="/",MID(IFERROR(INDEX(醫師週班表!$C$5:$T$44,$CU21,S$57),""),1+S$58*2,1),IF(MID(IFERROR(INDEX(醫師週班表!$C$5:$T$44,$CU21,S$57),""),3,1)="隔",IF(S$58=0,LEFT(IFERROR(INDEX(醫師週班表!$C$5:$T$44,$CU21,S$57),""),1),""),IF(MID(IFERROR(INDEX(醫師週班表!$C$5:$T$44,$CU21,S$57),""),2,1)="(",LEFT(IFERROR(INDEX(醫師週班表!$C$5:$T$44,$CU21,S$57),""),1),IFERROR(INDEX(醫師週班表!$C$5:$T$44,$CU21,S$57),"")))))))</f>
        <v/>
      </c>
      <c r="T21" s="71">
        <f>IF(T$59="X","",IF(T$59&lt;&gt;"",T$59,IF(IFERROR(INDEX(醫師週班表!$C$5:$T$44,$CU21,T$57),"")=0,"",IF(MID(IFERROR(INDEX(醫師週班表!$C$5:$T$44,$CU21,T$57),""),2,1)="/",MID(IFERROR(INDEX(醫師週班表!$C$5:$T$44,$CU21,T$57),""),1+T$58*2,1),IF(MID(IFERROR(INDEX(醫師週班表!$C$5:$T$44,$CU21,T$57),""),3,1)="隔",IF(T$58=0,LEFT(IFERROR(INDEX(醫師週班表!$C$5:$T$44,$CU21,T$57),""),1),""),IF(MID(IFERROR(INDEX(醫師週班表!$C$5:$T$44,$CU21,T$57),""),2,1)="(",LEFT(IFERROR(INDEX(醫師週班表!$C$5:$T$44,$CU21,T$57),""),1),IFERROR(INDEX(醫師週班表!$C$5:$T$44,$CU21,T$57),"")))))))</f>
        <v/>
      </c>
      <c r="U21" s="72">
        <f>IF(U$59="X","",IF(U$59&lt;&gt;"",U$59,IF(IFERROR(INDEX(醫師週班表!$C$5:$T$44,$CU21,U$57),"")=0,"",IF(MID(IFERROR(INDEX(醫師週班表!$C$5:$T$44,$CU21,U$57),""),2,1)="/",MID(IFERROR(INDEX(醫師週班表!$C$5:$T$44,$CU21,U$57),""),1+U$58*2,1),IF(MID(IFERROR(INDEX(醫師週班表!$C$5:$T$44,$CU21,U$57),""),3,1)="隔",IF(U$58=0,LEFT(IFERROR(INDEX(醫師週班表!$C$5:$T$44,$CU21,U$57),""),1),""),IF(MID(IFERROR(INDEX(醫師週班表!$C$5:$T$44,$CU21,U$57),""),2,1)="(",LEFT(IFERROR(INDEX(醫師週班表!$C$5:$T$44,$CU21,U$57),""),1),IFERROR(INDEX(醫師週班表!$C$5:$T$44,$CU21,U$57),"")))))))</f>
        <v/>
      </c>
      <c r="V21" s="72">
        <f>IF(V$59="X","",IF(V$59&lt;&gt;"",V$59,IF(IFERROR(INDEX(醫師週班表!$C$5:$T$44,$CU21,V$57),"")=0,"",IF(MID(IFERROR(INDEX(醫師週班表!$C$5:$T$44,$CU21,V$57),""),2,1)="/",MID(IFERROR(INDEX(醫師週班表!$C$5:$T$44,$CU21,V$57),""),1+V$58*2,1),IF(MID(IFERROR(INDEX(醫師週班表!$C$5:$T$44,$CU21,V$57),""),3,1)="隔",IF(V$58=0,LEFT(IFERROR(INDEX(醫師週班表!$C$5:$T$44,$CU21,V$57),""),1),""),IF(MID(IFERROR(INDEX(醫師週班表!$C$5:$T$44,$CU21,V$57),""),2,1)="(",LEFT(IFERROR(INDEX(醫師週班表!$C$5:$T$44,$CU21,V$57),""),1),IFERROR(INDEX(醫師週班表!$C$5:$T$44,$CU21,V$57),"")))))))</f>
        <v/>
      </c>
      <c r="W21" s="71">
        <f>IF(W$59="X","",IF(W$59&lt;&gt;"",W$59,IF(IFERROR(INDEX(醫師週班表!$C$5:$T$44,$CU21,W$57),"")=0,"",IF(MID(IFERROR(INDEX(醫師週班表!$C$5:$T$44,$CU21,W$57),""),2,1)="/",MID(IFERROR(INDEX(醫師週班表!$C$5:$T$44,$CU21,W$57),""),1+W$58*2,1),IF(MID(IFERROR(INDEX(醫師週班表!$C$5:$T$44,$CU21,W$57),""),3,1)="隔",IF(W$58=0,LEFT(IFERROR(INDEX(醫師週班表!$C$5:$T$44,$CU21,W$57),""),1),""),IF(MID(IFERROR(INDEX(醫師週班表!$C$5:$T$44,$CU21,W$57),""),2,1)="(",LEFT(IFERROR(INDEX(醫師週班表!$C$5:$T$44,$CU21,W$57),""),1),IFERROR(INDEX(醫師週班表!$C$5:$T$44,$CU21,W$57),"")))))))</f>
        <v/>
      </c>
      <c r="X21" s="72">
        <f>IF(X$59="X","",IF(X$59&lt;&gt;"",X$59,IF(IFERROR(INDEX(醫師週班表!$C$5:$T$44,$CU21,X$57),"")=0,"",IF(MID(IFERROR(INDEX(醫師週班表!$C$5:$T$44,$CU21,X$57),""),2,1)="/",MID(IFERROR(INDEX(醫師週班表!$C$5:$T$44,$CU21,X$57),""),1+X$58*2,1),IF(MID(IFERROR(INDEX(醫師週班表!$C$5:$T$44,$CU21,X$57),""),3,1)="隔",IF(X$58=0,LEFT(IFERROR(INDEX(醫師週班表!$C$5:$T$44,$CU21,X$57),""),1),""),IF(MID(IFERROR(INDEX(醫師週班表!$C$5:$T$44,$CU21,X$57),""),2,1)="(",LEFT(IFERROR(INDEX(醫師週班表!$C$5:$T$44,$CU21,X$57),""),1),IFERROR(INDEX(醫師週班表!$C$5:$T$44,$CU21,X$57),"")))))))</f>
        <v/>
      </c>
      <c r="Y21" s="72">
        <f>IF(Y$59="X","",IF(Y$59&lt;&gt;"",Y$59,IF(IFERROR(INDEX(醫師週班表!$C$5:$T$44,$CU21,Y$57),"")=0,"",IF(MID(IFERROR(INDEX(醫師週班表!$C$5:$T$44,$CU21,Y$57),""),2,1)="/",MID(IFERROR(INDEX(醫師週班表!$C$5:$T$44,$CU21,Y$57),""),1+Y$58*2,1),IF(MID(IFERROR(INDEX(醫師週班表!$C$5:$T$44,$CU21,Y$57),""),3,1)="隔",IF(Y$58=0,LEFT(IFERROR(INDEX(醫師週班表!$C$5:$T$44,$CU21,Y$57),""),1),""),IF(MID(IFERROR(INDEX(醫師週班表!$C$5:$T$44,$CU21,Y$57),""),2,1)="(",LEFT(IFERROR(INDEX(醫師週班表!$C$5:$T$44,$CU21,Y$57),""),1),IFERROR(INDEX(醫師週班表!$C$5:$T$44,$CU21,Y$57),"")))))))</f>
        <v/>
      </c>
      <c r="Z21" s="71">
        <f>IF(Z$59="X","",IF(Z$59&lt;&gt;"",Z$59,IF(IFERROR(INDEX(醫師週班表!$C$5:$T$44,$CU21,Z$57),"")=0,"",IF(MID(IFERROR(INDEX(醫師週班表!$C$5:$T$44,$CU21,Z$57),""),2,1)="/",MID(IFERROR(INDEX(醫師週班表!$C$5:$T$44,$CU21,Z$57),""),1+Z$58*2,1),IF(MID(IFERROR(INDEX(醫師週班表!$C$5:$T$44,$CU21,Z$57),""),3,1)="隔",IF(Z$58=0,LEFT(IFERROR(INDEX(醫師週班表!$C$5:$T$44,$CU21,Z$57),""),1),""),IF(MID(IFERROR(INDEX(醫師週班表!$C$5:$T$44,$CU21,Z$57),""),2,1)="(",LEFT(IFERROR(INDEX(醫師週班表!$C$5:$T$44,$CU21,Z$57),""),1),IFERROR(INDEX(醫師週班表!$C$5:$T$44,$CU21,Z$57),"")))))))</f>
        <v/>
      </c>
      <c r="AA21" s="72">
        <f>IF(AA$59="X","",IF(AA$59&lt;&gt;"",AA$59,IF(IFERROR(INDEX(醫師週班表!$C$5:$T$44,$CU21,AA$57),"")=0,"",IF(MID(IFERROR(INDEX(醫師週班表!$C$5:$T$44,$CU21,AA$57),""),2,1)="/",MID(IFERROR(INDEX(醫師週班表!$C$5:$T$44,$CU21,AA$57),""),1+AA$58*2,1),IF(MID(IFERROR(INDEX(醫師週班表!$C$5:$T$44,$CU21,AA$57),""),3,1)="隔",IF(AA$58=0,LEFT(IFERROR(INDEX(醫師週班表!$C$5:$T$44,$CU21,AA$57),""),1),""),IF(MID(IFERROR(INDEX(醫師週班表!$C$5:$T$44,$CU21,AA$57),""),2,1)="(",LEFT(IFERROR(INDEX(醫師週班表!$C$5:$T$44,$CU21,AA$57),""),1),IFERROR(INDEX(醫師週班表!$C$5:$T$44,$CU21,AA$57),"")))))))</f>
        <v/>
      </c>
      <c r="AB21" s="72">
        <f>IF(AB$59="X","",IF(AB$59&lt;&gt;"",AB$59,IF(IFERROR(INDEX(醫師週班表!$C$5:$T$44,$CU21,AB$57),"")=0,"",IF(MID(IFERROR(INDEX(醫師週班表!$C$5:$T$44,$CU21,AB$57),""),2,1)="/",MID(IFERROR(INDEX(醫師週班表!$C$5:$T$44,$CU21,AB$57),""),1+AB$58*2,1),IF(MID(IFERROR(INDEX(醫師週班表!$C$5:$T$44,$CU21,AB$57),""),3,1)="隔",IF(AB$58=0,LEFT(IFERROR(INDEX(醫師週班表!$C$5:$T$44,$CU21,AB$57),""),1),""),IF(MID(IFERROR(INDEX(醫師週班表!$C$5:$T$44,$CU21,AB$57),""),2,1)="(",LEFT(IFERROR(INDEX(醫師週班表!$C$5:$T$44,$CU21,AB$57),""),1),IFERROR(INDEX(醫師週班表!$C$5:$T$44,$CU21,AB$57),"")))))))</f>
        <v/>
      </c>
      <c r="AC21" s="71">
        <f>IF(AC$59="X","",IF(AC$59&lt;&gt;"",AC$59,IF(IFERROR(INDEX(醫師週班表!$C$5:$T$44,$CU21,AC$57),"")=0,"",IF(MID(IFERROR(INDEX(醫師週班表!$C$5:$T$44,$CU21,AC$57),""),2,1)="/",MID(IFERROR(INDEX(醫師週班表!$C$5:$T$44,$CU21,AC$57),""),1+AC$58*2,1),IF(MID(IFERROR(INDEX(醫師週班表!$C$5:$T$44,$CU21,AC$57),""),3,1)="隔",IF(AC$58=0,LEFT(IFERROR(INDEX(醫師週班表!$C$5:$T$44,$CU21,AC$57),""),1),""),IF(MID(IFERROR(INDEX(醫師週班表!$C$5:$T$44,$CU21,AC$57),""),2,1)="(",LEFT(IFERROR(INDEX(醫師週班表!$C$5:$T$44,$CU21,AC$57),""),1),IFERROR(INDEX(醫師週班表!$C$5:$T$44,$CU21,AC$57),"")))))))</f>
        <v/>
      </c>
      <c r="AD21" s="72">
        <f>IF(AD$59="X","",IF(AD$59&lt;&gt;"",AD$59,IF(IFERROR(INDEX(醫師週班表!$C$5:$T$44,$CU21,AD$57),"")=0,"",IF(MID(IFERROR(INDEX(醫師週班表!$C$5:$T$44,$CU21,AD$57),""),2,1)="/",MID(IFERROR(INDEX(醫師週班表!$C$5:$T$44,$CU21,AD$57),""),1+AD$58*2,1),IF(MID(IFERROR(INDEX(醫師週班表!$C$5:$T$44,$CU21,AD$57),""),3,1)="隔",IF(AD$58=0,LEFT(IFERROR(INDEX(醫師週班表!$C$5:$T$44,$CU21,AD$57),""),1),""),IF(MID(IFERROR(INDEX(醫師週班表!$C$5:$T$44,$CU21,AD$57),""),2,1)="(",LEFT(IFERROR(INDEX(醫師週班表!$C$5:$T$44,$CU21,AD$57),""),1),IFERROR(INDEX(醫師週班表!$C$5:$T$44,$CU21,AD$57),"")))))))</f>
        <v/>
      </c>
      <c r="AE21" s="72">
        <f>IF(AE$59="X","",IF(AE$59&lt;&gt;"",AE$59,IF(IFERROR(INDEX(醫師週班表!$C$5:$T$44,$CU21,AE$57),"")=0,"",IF(MID(IFERROR(INDEX(醫師週班表!$C$5:$T$44,$CU21,AE$57),""),2,1)="/",MID(IFERROR(INDEX(醫師週班表!$C$5:$T$44,$CU21,AE$57),""),1+AE$58*2,1),IF(MID(IFERROR(INDEX(醫師週班表!$C$5:$T$44,$CU21,AE$57),""),3,1)="隔",IF(AE$58=0,LEFT(IFERROR(INDEX(醫師週班表!$C$5:$T$44,$CU21,AE$57),""),1),""),IF(MID(IFERROR(INDEX(醫師週班表!$C$5:$T$44,$CU21,AE$57),""),2,1)="(",LEFT(IFERROR(INDEX(醫師週班表!$C$5:$T$44,$CU21,AE$57),""),1),IFERROR(INDEX(醫師週班表!$C$5:$T$44,$CU21,AE$57),"")))))))</f>
        <v/>
      </c>
      <c r="AF21" s="71">
        <f>IF(AF$59="X","",IF(AF$59&lt;&gt;"",AF$59,IF(IFERROR(INDEX(醫師週班表!$C$5:$T$44,$CU21,AF$57),"")=0,"",IF(MID(IFERROR(INDEX(醫師週班表!$C$5:$T$44,$CU21,AF$57),""),2,1)="/",MID(IFERROR(INDEX(醫師週班表!$C$5:$T$44,$CU21,AF$57),""),1+AF$58*2,1),IF(MID(IFERROR(INDEX(醫師週班表!$C$5:$T$44,$CU21,AF$57),""),3,1)="隔",IF(AF$58=0,LEFT(IFERROR(INDEX(醫師週班表!$C$5:$T$44,$CU21,AF$57),""),1),""),IF(MID(IFERROR(INDEX(醫師週班表!$C$5:$T$44,$CU21,AF$57),""),2,1)="(",LEFT(IFERROR(INDEX(醫師週班表!$C$5:$T$44,$CU21,AF$57),""),1),IFERROR(INDEX(醫師週班表!$C$5:$T$44,$CU21,AF$57),"")))))))</f>
        <v/>
      </c>
      <c r="AG21" s="72">
        <f>IF(AG$59="X","",IF(AG$59&lt;&gt;"",AG$59,IF(IFERROR(INDEX(醫師週班表!$C$5:$T$44,$CU21,AG$57),"")=0,"",IF(MID(IFERROR(INDEX(醫師週班表!$C$5:$T$44,$CU21,AG$57),""),2,1)="/",MID(IFERROR(INDEX(醫師週班表!$C$5:$T$44,$CU21,AG$57),""),1+AG$58*2,1),IF(MID(IFERROR(INDEX(醫師週班表!$C$5:$T$44,$CU21,AG$57),""),3,1)="隔",IF(AG$58=0,LEFT(IFERROR(INDEX(醫師週班表!$C$5:$T$44,$CU21,AG$57),""),1),""),IF(MID(IFERROR(INDEX(醫師週班表!$C$5:$T$44,$CU21,AG$57),""),2,1)="(",LEFT(IFERROR(INDEX(醫師週班表!$C$5:$T$44,$CU21,AG$57),""),1),IFERROR(INDEX(醫師週班表!$C$5:$T$44,$CU21,AG$57),"")))))))</f>
        <v/>
      </c>
      <c r="AH21" s="72">
        <f>IF(AH$59="X","",IF(AH$59&lt;&gt;"",AH$59,IF(IFERROR(INDEX(醫師週班表!$C$5:$T$44,$CU21,AH$57),"")=0,"",IF(MID(IFERROR(INDEX(醫師週班表!$C$5:$T$44,$CU21,AH$57),""),2,1)="/",MID(IFERROR(INDEX(醫師週班表!$C$5:$T$44,$CU21,AH$57),""),1+AH$58*2,1),IF(MID(IFERROR(INDEX(醫師週班表!$C$5:$T$44,$CU21,AH$57),""),3,1)="隔",IF(AH$58=0,LEFT(IFERROR(INDEX(醫師週班表!$C$5:$T$44,$CU21,AH$57),""),1),""),IF(MID(IFERROR(INDEX(醫師週班表!$C$5:$T$44,$CU21,AH$57),""),2,1)="(",LEFT(IFERROR(INDEX(醫師週班表!$C$5:$T$44,$CU21,AH$57),""),1),IFERROR(INDEX(醫師週班表!$C$5:$T$44,$CU21,AH$57),"")))))))</f>
        <v/>
      </c>
      <c r="AI21" s="71">
        <f>IF(AI$59="X","",IF(AI$59&lt;&gt;"",AI$59,IF(IFERROR(INDEX(醫師週班表!$C$5:$T$44,$CU21,AI$57),"")=0,"",IF(MID(IFERROR(INDEX(醫師週班表!$C$5:$T$44,$CU21,AI$57),""),2,1)="/",MID(IFERROR(INDEX(醫師週班表!$C$5:$T$44,$CU21,AI$57),""),1+AI$58*2,1),IF(MID(IFERROR(INDEX(醫師週班表!$C$5:$T$44,$CU21,AI$57),""),3,1)="隔",IF(AI$58=0,LEFT(IFERROR(INDEX(醫師週班表!$C$5:$T$44,$CU21,AI$57),""),1),""),IF(MID(IFERROR(INDEX(醫師週班表!$C$5:$T$44,$CU21,AI$57),""),2,1)="(",LEFT(IFERROR(INDEX(醫師週班表!$C$5:$T$44,$CU21,AI$57),""),1),IFERROR(INDEX(醫師週班表!$C$5:$T$44,$CU21,AI$57),"")))))))</f>
        <v/>
      </c>
      <c r="AJ21" s="72">
        <f>IF(AJ$59="X","",IF(AJ$59&lt;&gt;"",AJ$59,IF(IFERROR(INDEX(醫師週班表!$C$5:$T$44,$CU21,AJ$57),"")=0,"",IF(MID(IFERROR(INDEX(醫師週班表!$C$5:$T$44,$CU21,AJ$57),""),2,1)="/",MID(IFERROR(INDEX(醫師週班表!$C$5:$T$44,$CU21,AJ$57),""),1+AJ$58*2,1),IF(MID(IFERROR(INDEX(醫師週班表!$C$5:$T$44,$CU21,AJ$57),""),3,1)="隔",IF(AJ$58=0,LEFT(IFERROR(INDEX(醫師週班表!$C$5:$T$44,$CU21,AJ$57),""),1),""),IF(MID(IFERROR(INDEX(醫師週班表!$C$5:$T$44,$CU21,AJ$57),""),2,1)="(",LEFT(IFERROR(INDEX(醫師週班表!$C$5:$T$44,$CU21,AJ$57),""),1),IFERROR(INDEX(醫師週班表!$C$5:$T$44,$CU21,AJ$57),"")))))))</f>
        <v/>
      </c>
      <c r="AK21" s="72">
        <f>IF(AK$59="X","",IF(AK$59&lt;&gt;"",AK$59,IF(IFERROR(INDEX(醫師週班表!$C$5:$T$44,$CU21,AK$57),"")=0,"",IF(MID(IFERROR(INDEX(醫師週班表!$C$5:$T$44,$CU21,AK$57),""),2,1)="/",MID(IFERROR(INDEX(醫師週班表!$C$5:$T$44,$CU21,AK$57),""),1+AK$58*2,1),IF(MID(IFERROR(INDEX(醫師週班表!$C$5:$T$44,$CU21,AK$57),""),3,1)="隔",IF(AK$58=0,LEFT(IFERROR(INDEX(醫師週班表!$C$5:$T$44,$CU21,AK$57),""),1),""),IF(MID(IFERROR(INDEX(醫師週班表!$C$5:$T$44,$CU21,AK$57),""),2,1)="(",LEFT(IFERROR(INDEX(醫師週班表!$C$5:$T$44,$CU21,AK$57),""),1),IFERROR(INDEX(醫師週班表!$C$5:$T$44,$CU21,AK$57),"")))))))</f>
        <v/>
      </c>
      <c r="AL21" s="71">
        <f>IF(AL$59="X","",IF(AL$59&lt;&gt;"",AL$59,IF(IFERROR(INDEX(醫師週班表!$C$5:$T$44,$CU21,AL$57),"")=0,"",IF(MID(IFERROR(INDEX(醫師週班表!$C$5:$T$44,$CU21,AL$57),""),2,1)="/",MID(IFERROR(INDEX(醫師週班表!$C$5:$T$44,$CU21,AL$57),""),1+AL$58*2,1),IF(MID(IFERROR(INDEX(醫師週班表!$C$5:$T$44,$CU21,AL$57),""),3,1)="隔",IF(AL$58=0,LEFT(IFERROR(INDEX(醫師週班表!$C$5:$T$44,$CU21,AL$57),""),1),""),IF(MID(IFERROR(INDEX(醫師週班表!$C$5:$T$44,$CU21,AL$57),""),2,1)="(",LEFT(IFERROR(INDEX(醫師週班表!$C$5:$T$44,$CU21,AL$57),""),1),IFERROR(INDEX(醫師週班表!$C$5:$T$44,$CU21,AL$57),"")))))))</f>
        <v/>
      </c>
      <c r="AM21" s="72">
        <f>IF(AM$59="X","",IF(AM$59&lt;&gt;"",AM$59,IF(IFERROR(INDEX(醫師週班表!$C$5:$T$44,$CU21,AM$57),"")=0,"",IF(MID(IFERROR(INDEX(醫師週班表!$C$5:$T$44,$CU21,AM$57),""),2,1)="/",MID(IFERROR(INDEX(醫師週班表!$C$5:$T$44,$CU21,AM$57),""),1+AM$58*2,1),IF(MID(IFERROR(INDEX(醫師週班表!$C$5:$T$44,$CU21,AM$57),""),3,1)="隔",IF(AM$58=0,LEFT(IFERROR(INDEX(醫師週班表!$C$5:$T$44,$CU21,AM$57),""),1),""),IF(MID(IFERROR(INDEX(醫師週班表!$C$5:$T$44,$CU21,AM$57),""),2,1)="(",LEFT(IFERROR(INDEX(醫師週班表!$C$5:$T$44,$CU21,AM$57),""),1),IFERROR(INDEX(醫師週班表!$C$5:$T$44,$CU21,AM$57),"")))))))</f>
        <v/>
      </c>
      <c r="AN21" s="72">
        <f>IF(AN$59="X","",IF(AN$59&lt;&gt;"",AN$59,IF(IFERROR(INDEX(醫師週班表!$C$5:$T$44,$CU21,AN$57),"")=0,"",IF(MID(IFERROR(INDEX(醫師週班表!$C$5:$T$44,$CU21,AN$57),""),2,1)="/",MID(IFERROR(INDEX(醫師週班表!$C$5:$T$44,$CU21,AN$57),""),1+AN$58*2,1),IF(MID(IFERROR(INDEX(醫師週班表!$C$5:$T$44,$CU21,AN$57),""),3,1)="隔",IF(AN$58=0,LEFT(IFERROR(INDEX(醫師週班表!$C$5:$T$44,$CU21,AN$57),""),1),""),IF(MID(IFERROR(INDEX(醫師週班表!$C$5:$T$44,$CU21,AN$57),""),2,1)="(",LEFT(IFERROR(INDEX(醫師週班表!$C$5:$T$44,$CU21,AN$57),""),1),IFERROR(INDEX(醫師週班表!$C$5:$T$44,$CU21,AN$57),"")))))))</f>
        <v/>
      </c>
      <c r="AO21" s="71">
        <f>IF(AO$59="X","",IF(AO$59&lt;&gt;"",AO$59,IF(IFERROR(INDEX(醫師週班表!$C$5:$T$44,$CU21,AO$57),"")=0,"",IF(MID(IFERROR(INDEX(醫師週班表!$C$5:$T$44,$CU21,AO$57),""),2,1)="/",MID(IFERROR(INDEX(醫師週班表!$C$5:$T$44,$CU21,AO$57),""),1+AO$58*2,1),IF(MID(IFERROR(INDEX(醫師週班表!$C$5:$T$44,$CU21,AO$57),""),3,1)="隔",IF(AO$58=0,LEFT(IFERROR(INDEX(醫師週班表!$C$5:$T$44,$CU21,AO$57),""),1),""),IF(MID(IFERROR(INDEX(醫師週班表!$C$5:$T$44,$CU21,AO$57),""),2,1)="(",LEFT(IFERROR(INDEX(醫師週班表!$C$5:$T$44,$CU21,AO$57),""),1),IFERROR(INDEX(醫師週班表!$C$5:$T$44,$CU21,AO$57),"")))))))</f>
        <v/>
      </c>
      <c r="AP21" s="72">
        <f>IF(AP$59="X","",IF(AP$59&lt;&gt;"",AP$59,IF(IFERROR(INDEX(醫師週班表!$C$5:$T$44,$CU21,AP$57),"")=0,"",IF(MID(IFERROR(INDEX(醫師週班表!$C$5:$T$44,$CU21,AP$57),""),2,1)="/",MID(IFERROR(INDEX(醫師週班表!$C$5:$T$44,$CU21,AP$57),""),1+AP$58*2,1),IF(MID(IFERROR(INDEX(醫師週班表!$C$5:$T$44,$CU21,AP$57),""),3,1)="隔",IF(AP$58=0,LEFT(IFERROR(INDEX(醫師週班表!$C$5:$T$44,$CU21,AP$57),""),1),""),IF(MID(IFERROR(INDEX(醫師週班表!$C$5:$T$44,$CU21,AP$57),""),2,1)="(",LEFT(IFERROR(INDEX(醫師週班表!$C$5:$T$44,$CU21,AP$57),""),1),IFERROR(INDEX(醫師週班表!$C$5:$T$44,$CU21,AP$57),"")))))))</f>
        <v/>
      </c>
      <c r="AQ21" s="72">
        <f>IF(AQ$59="X","",IF(AQ$59&lt;&gt;"",AQ$59,IF(IFERROR(INDEX(醫師週班表!$C$5:$T$44,$CU21,AQ$57),"")=0,"",IF(MID(IFERROR(INDEX(醫師週班表!$C$5:$T$44,$CU21,AQ$57),""),2,1)="/",MID(IFERROR(INDEX(醫師週班表!$C$5:$T$44,$CU21,AQ$57),""),1+AQ$58*2,1),IF(MID(IFERROR(INDEX(醫師週班表!$C$5:$T$44,$CU21,AQ$57),""),3,1)="隔",IF(AQ$58=0,LEFT(IFERROR(INDEX(醫師週班表!$C$5:$T$44,$CU21,AQ$57),""),1),""),IF(MID(IFERROR(INDEX(醫師週班表!$C$5:$T$44,$CU21,AQ$57),""),2,1)="(",LEFT(IFERROR(INDEX(醫師週班表!$C$5:$T$44,$CU21,AQ$57),""),1),IFERROR(INDEX(醫師週班表!$C$5:$T$44,$CU21,AQ$57),"")))))))</f>
        <v/>
      </c>
      <c r="AR21" s="71">
        <f>IF(AR$59="X","",IF(AR$59&lt;&gt;"",AR$59,IF(IFERROR(INDEX(醫師週班表!$C$5:$T$44,$CU21,AR$57),"")=0,"",IF(MID(IFERROR(INDEX(醫師週班表!$C$5:$T$44,$CU21,AR$57),""),2,1)="/",MID(IFERROR(INDEX(醫師週班表!$C$5:$T$44,$CU21,AR$57),""),1+AR$58*2,1),IF(MID(IFERROR(INDEX(醫師週班表!$C$5:$T$44,$CU21,AR$57),""),3,1)="隔",IF(AR$58=0,LEFT(IFERROR(INDEX(醫師週班表!$C$5:$T$44,$CU21,AR$57),""),1),""),IF(MID(IFERROR(INDEX(醫師週班表!$C$5:$T$44,$CU21,AR$57),""),2,1)="(",LEFT(IFERROR(INDEX(醫師週班表!$C$5:$T$44,$CU21,AR$57),""),1),IFERROR(INDEX(醫師週班表!$C$5:$T$44,$CU21,AR$57),"")))))))</f>
        <v/>
      </c>
      <c r="AS21" s="72">
        <f>IF(AS$59="X","",IF(AS$59&lt;&gt;"",AS$59,IF(IFERROR(INDEX(醫師週班表!$C$5:$T$44,$CU21,AS$57),"")=0,"",IF(MID(IFERROR(INDEX(醫師週班表!$C$5:$T$44,$CU21,AS$57),""),2,1)="/",MID(IFERROR(INDEX(醫師週班表!$C$5:$T$44,$CU21,AS$57),""),1+AS$58*2,1),IF(MID(IFERROR(INDEX(醫師週班表!$C$5:$T$44,$CU21,AS$57),""),3,1)="隔",IF(AS$58=0,LEFT(IFERROR(INDEX(醫師週班表!$C$5:$T$44,$CU21,AS$57),""),1),""),IF(MID(IFERROR(INDEX(醫師週班表!$C$5:$T$44,$CU21,AS$57),""),2,1)="(",LEFT(IFERROR(INDEX(醫師週班表!$C$5:$T$44,$CU21,AS$57),""),1),IFERROR(INDEX(醫師週班表!$C$5:$T$44,$CU21,AS$57),"")))))))</f>
        <v/>
      </c>
      <c r="AT21" s="72">
        <f>IF(AT$59="X","",IF(AT$59&lt;&gt;"",AT$59,IF(IFERROR(INDEX(醫師週班表!$C$5:$T$44,$CU21,AT$57),"")=0,"",IF(MID(IFERROR(INDEX(醫師週班表!$C$5:$T$44,$CU21,AT$57),""),2,1)="/",MID(IFERROR(INDEX(醫師週班表!$C$5:$T$44,$CU21,AT$57),""),1+AT$58*2,1),IF(MID(IFERROR(INDEX(醫師週班表!$C$5:$T$44,$CU21,AT$57),""),3,1)="隔",IF(AT$58=0,LEFT(IFERROR(INDEX(醫師週班表!$C$5:$T$44,$CU21,AT$57),""),1),""),IF(MID(IFERROR(INDEX(醫師週班表!$C$5:$T$44,$CU21,AT$57),""),2,1)="(",LEFT(IFERROR(INDEX(醫師週班表!$C$5:$T$44,$CU21,AT$57),""),1),IFERROR(INDEX(醫師週班表!$C$5:$T$44,$CU21,AT$57),"")))))))</f>
        <v/>
      </c>
      <c r="AU21" s="71">
        <f>IF(AU$59="X","",IF(AU$59&lt;&gt;"",AU$59,IF(IFERROR(INDEX(醫師週班表!$C$5:$T$44,$CU21,AU$57),"")=0,"",IF(MID(IFERROR(INDEX(醫師週班表!$C$5:$T$44,$CU21,AU$57),""),2,1)="/",MID(IFERROR(INDEX(醫師週班表!$C$5:$T$44,$CU21,AU$57),""),1+AU$58*2,1),IF(MID(IFERROR(INDEX(醫師週班表!$C$5:$T$44,$CU21,AU$57),""),3,1)="隔",IF(AU$58=0,LEFT(IFERROR(INDEX(醫師週班表!$C$5:$T$44,$CU21,AU$57),""),1),""),IF(MID(IFERROR(INDEX(醫師週班表!$C$5:$T$44,$CU21,AU$57),""),2,1)="(",LEFT(IFERROR(INDEX(醫師週班表!$C$5:$T$44,$CU21,AU$57),""),1),IFERROR(INDEX(醫師週班表!$C$5:$T$44,$CU21,AU$57),"")))))))</f>
        <v/>
      </c>
      <c r="AV21" s="72">
        <f>IF(AV$59="X","",IF(AV$59&lt;&gt;"",AV$59,IF(IFERROR(INDEX(醫師週班表!$C$5:$T$44,$CU21,AV$57),"")=0,"",IF(MID(IFERROR(INDEX(醫師週班表!$C$5:$T$44,$CU21,AV$57),""),2,1)="/",MID(IFERROR(INDEX(醫師週班表!$C$5:$T$44,$CU21,AV$57),""),1+AV$58*2,1),IF(MID(IFERROR(INDEX(醫師週班表!$C$5:$T$44,$CU21,AV$57),""),3,1)="隔",IF(AV$58=0,LEFT(IFERROR(INDEX(醫師週班表!$C$5:$T$44,$CU21,AV$57),""),1),""),IF(MID(IFERROR(INDEX(醫師週班表!$C$5:$T$44,$CU21,AV$57),""),2,1)="(",LEFT(IFERROR(INDEX(醫師週班表!$C$5:$T$44,$CU21,AV$57),""),1),IFERROR(INDEX(醫師週班表!$C$5:$T$44,$CU21,AV$57),"")))))))</f>
        <v/>
      </c>
      <c r="AW21" s="72">
        <f>IF(AW$59="X","",IF(AW$59&lt;&gt;"",AW$59,IF(IFERROR(INDEX(醫師週班表!$C$5:$T$44,$CU21,AW$57),"")=0,"",IF(MID(IFERROR(INDEX(醫師週班表!$C$5:$T$44,$CU21,AW$57),""),2,1)="/",MID(IFERROR(INDEX(醫師週班表!$C$5:$T$44,$CU21,AW$57),""),1+AW$58*2,1),IF(MID(IFERROR(INDEX(醫師週班表!$C$5:$T$44,$CU21,AW$57),""),3,1)="隔",IF(AW$58=0,LEFT(IFERROR(INDEX(醫師週班表!$C$5:$T$44,$CU21,AW$57),""),1),""),IF(MID(IFERROR(INDEX(醫師週班表!$C$5:$T$44,$CU21,AW$57),""),2,1)="(",LEFT(IFERROR(INDEX(醫師週班表!$C$5:$T$44,$CU21,AW$57),""),1),IFERROR(INDEX(醫師週班表!$C$5:$T$44,$CU21,AW$57),"")))))))</f>
        <v/>
      </c>
      <c r="AX21" s="71">
        <f>IF(AX$59="X","",IF(AX$59&lt;&gt;"",AX$59,IF(IFERROR(INDEX(醫師週班表!$C$5:$T$44,$CU21,AX$57),"")=0,"",IF(MID(IFERROR(INDEX(醫師週班表!$C$5:$T$44,$CU21,AX$57),""),2,1)="/",MID(IFERROR(INDEX(醫師週班表!$C$5:$T$44,$CU21,AX$57),""),1+AX$58*2,1),IF(MID(IFERROR(INDEX(醫師週班表!$C$5:$T$44,$CU21,AX$57),""),3,1)="隔",IF(AX$58=0,LEFT(IFERROR(INDEX(醫師週班表!$C$5:$T$44,$CU21,AX$57),""),1),""),IF(MID(IFERROR(INDEX(醫師週班表!$C$5:$T$44,$CU21,AX$57),""),2,1)="(",LEFT(IFERROR(INDEX(醫師週班表!$C$5:$T$44,$CU21,AX$57),""),1),IFERROR(INDEX(醫師週班表!$C$5:$T$44,$CU21,AX$57),"")))))))</f>
        <v/>
      </c>
      <c r="AY21" s="72">
        <f>IF(AY$59="X","",IF(AY$59&lt;&gt;"",AY$59,IF(IFERROR(INDEX(醫師週班表!$C$5:$T$44,$CU21,AY$57),"")=0,"",IF(MID(IFERROR(INDEX(醫師週班表!$C$5:$T$44,$CU21,AY$57),""),2,1)="/",MID(IFERROR(INDEX(醫師週班表!$C$5:$T$44,$CU21,AY$57),""),1+AY$58*2,1),IF(MID(IFERROR(INDEX(醫師週班表!$C$5:$T$44,$CU21,AY$57),""),3,1)="隔",IF(AY$58=0,LEFT(IFERROR(INDEX(醫師週班表!$C$5:$T$44,$CU21,AY$57),""),1),""),IF(MID(IFERROR(INDEX(醫師週班表!$C$5:$T$44,$CU21,AY$57),""),2,1)="(",LEFT(IFERROR(INDEX(醫師週班表!$C$5:$T$44,$CU21,AY$57),""),1),IFERROR(INDEX(醫師週班表!$C$5:$T$44,$CU21,AY$57),"")))))))</f>
        <v/>
      </c>
      <c r="AZ21" s="72">
        <f>IF(AZ$59="X","",IF(AZ$59&lt;&gt;"",AZ$59,IF(IFERROR(INDEX(醫師週班表!$C$5:$T$44,$CU21,AZ$57),"")=0,"",IF(MID(IFERROR(INDEX(醫師週班表!$C$5:$T$44,$CU21,AZ$57),""),2,1)="/",MID(IFERROR(INDEX(醫師週班表!$C$5:$T$44,$CU21,AZ$57),""),1+AZ$58*2,1),IF(MID(IFERROR(INDEX(醫師週班表!$C$5:$T$44,$CU21,AZ$57),""),3,1)="隔",IF(AZ$58=0,LEFT(IFERROR(INDEX(醫師週班表!$C$5:$T$44,$CU21,AZ$57),""),1),""),IF(MID(IFERROR(INDEX(醫師週班表!$C$5:$T$44,$CU21,AZ$57),""),2,1)="(",LEFT(IFERROR(INDEX(醫師週班表!$C$5:$T$44,$CU21,AZ$57),""),1),IFERROR(INDEX(醫師週班表!$C$5:$T$44,$CU21,AZ$57),"")))))))</f>
        <v/>
      </c>
      <c r="BA21" s="71">
        <f>IF(BA$59="X","",IF(BA$59&lt;&gt;"",BA$59,IF(IFERROR(INDEX(醫師週班表!$C$5:$T$44,$CU21,BA$57),"")=0,"",IF(MID(IFERROR(INDEX(醫師週班表!$C$5:$T$44,$CU21,BA$57),""),2,1)="/",MID(IFERROR(INDEX(醫師週班表!$C$5:$T$44,$CU21,BA$57),""),1+BA$58*2,1),IF(MID(IFERROR(INDEX(醫師週班表!$C$5:$T$44,$CU21,BA$57),""),3,1)="隔",IF(BA$58=0,LEFT(IFERROR(INDEX(醫師週班表!$C$5:$T$44,$CU21,BA$57),""),1),""),IF(MID(IFERROR(INDEX(醫師週班表!$C$5:$T$44,$CU21,BA$57),""),2,1)="(",LEFT(IFERROR(INDEX(醫師週班表!$C$5:$T$44,$CU21,BA$57),""),1),IFERROR(INDEX(醫師週班表!$C$5:$T$44,$CU21,BA$57),"")))))))</f>
        <v/>
      </c>
      <c r="BB21" s="72">
        <f>IF(BB$59="X","",IF(BB$59&lt;&gt;"",BB$59,IF(IFERROR(INDEX(醫師週班表!$C$5:$T$44,$CU21,BB$57),"")=0,"",IF(MID(IFERROR(INDEX(醫師週班表!$C$5:$T$44,$CU21,BB$57),""),2,1)="/",MID(IFERROR(INDEX(醫師週班表!$C$5:$T$44,$CU21,BB$57),""),1+BB$58*2,1),IF(MID(IFERROR(INDEX(醫師週班表!$C$5:$T$44,$CU21,BB$57),""),3,1)="隔",IF(BB$58=0,LEFT(IFERROR(INDEX(醫師週班表!$C$5:$T$44,$CU21,BB$57),""),1),""),IF(MID(IFERROR(INDEX(醫師週班表!$C$5:$T$44,$CU21,BB$57),""),2,1)="(",LEFT(IFERROR(INDEX(醫師週班表!$C$5:$T$44,$CU21,BB$57),""),1),IFERROR(INDEX(醫師週班表!$C$5:$T$44,$CU21,BB$57),"")))))))</f>
        <v/>
      </c>
      <c r="BC21" s="72">
        <f>IF(BC$59="X","",IF(BC$59&lt;&gt;"",BC$59,IF(IFERROR(INDEX(醫師週班表!$C$5:$T$44,$CU21,BC$57),"")=0,"",IF(MID(IFERROR(INDEX(醫師週班表!$C$5:$T$44,$CU21,BC$57),""),2,1)="/",MID(IFERROR(INDEX(醫師週班表!$C$5:$T$44,$CU21,BC$57),""),1+BC$58*2,1),IF(MID(IFERROR(INDEX(醫師週班表!$C$5:$T$44,$CU21,BC$57),""),3,1)="隔",IF(BC$58=0,LEFT(IFERROR(INDEX(醫師週班表!$C$5:$T$44,$CU21,BC$57),""),1),""),IF(MID(IFERROR(INDEX(醫師週班表!$C$5:$T$44,$CU21,BC$57),""),2,1)="(",LEFT(IFERROR(INDEX(醫師週班表!$C$5:$T$44,$CU21,BC$57),""),1),IFERROR(INDEX(醫師週班表!$C$5:$T$44,$CU21,BC$57),"")))))))</f>
        <v/>
      </c>
      <c r="BD21" s="71">
        <f>IF(BD$59="X","",IF(BD$59&lt;&gt;"",BD$59,IF(IFERROR(INDEX(醫師週班表!$C$5:$T$44,$CU21,BD$57),"")=0,"",IF(MID(IFERROR(INDEX(醫師週班表!$C$5:$T$44,$CU21,BD$57),""),2,1)="/",MID(IFERROR(INDEX(醫師週班表!$C$5:$T$44,$CU21,BD$57),""),1+BD$58*2,1),IF(MID(IFERROR(INDEX(醫師週班表!$C$5:$T$44,$CU21,BD$57),""),3,1)="隔",IF(BD$58=0,LEFT(IFERROR(INDEX(醫師週班表!$C$5:$T$44,$CU21,BD$57),""),1),""),IF(MID(IFERROR(INDEX(醫師週班表!$C$5:$T$44,$CU21,BD$57),""),2,1)="(",LEFT(IFERROR(INDEX(醫師週班表!$C$5:$T$44,$CU21,BD$57),""),1),IFERROR(INDEX(醫師週班表!$C$5:$T$44,$CU21,BD$57),"")))))))</f>
        <v/>
      </c>
      <c r="BE21" s="72">
        <f>IF(BE$59="X","",IF(BE$59&lt;&gt;"",BE$59,IF(IFERROR(INDEX(醫師週班表!$C$5:$T$44,$CU21,BE$57),"")=0,"",IF(MID(IFERROR(INDEX(醫師週班表!$C$5:$T$44,$CU21,BE$57),""),2,1)="/",MID(IFERROR(INDEX(醫師週班表!$C$5:$T$44,$CU21,BE$57),""),1+BE$58*2,1),IF(MID(IFERROR(INDEX(醫師週班表!$C$5:$T$44,$CU21,BE$57),""),3,1)="隔",IF(BE$58=0,LEFT(IFERROR(INDEX(醫師週班表!$C$5:$T$44,$CU21,BE$57),""),1),""),IF(MID(IFERROR(INDEX(醫師週班表!$C$5:$T$44,$CU21,BE$57),""),2,1)="(",LEFT(IFERROR(INDEX(醫師週班表!$C$5:$T$44,$CU21,BE$57),""),1),IFERROR(INDEX(醫師週班表!$C$5:$T$44,$CU21,BE$57),"")))))))</f>
        <v/>
      </c>
      <c r="BF21" s="72">
        <f>IF(BF$59="X","",IF(BF$59&lt;&gt;"",BF$59,IF(IFERROR(INDEX(醫師週班表!$C$5:$T$44,$CU21,BF$57),"")=0,"",IF(MID(IFERROR(INDEX(醫師週班表!$C$5:$T$44,$CU21,BF$57),""),2,1)="/",MID(IFERROR(INDEX(醫師週班表!$C$5:$T$44,$CU21,BF$57),""),1+BF$58*2,1),IF(MID(IFERROR(INDEX(醫師週班表!$C$5:$T$44,$CU21,BF$57),""),3,1)="隔",IF(BF$58=0,LEFT(IFERROR(INDEX(醫師週班表!$C$5:$T$44,$CU21,BF$57),""),1),""),IF(MID(IFERROR(INDEX(醫師週班表!$C$5:$T$44,$CU21,BF$57),""),2,1)="(",LEFT(IFERROR(INDEX(醫師週班表!$C$5:$T$44,$CU21,BF$57),""),1),IFERROR(INDEX(醫師週班表!$C$5:$T$44,$CU21,BF$57),"")))))))</f>
        <v/>
      </c>
      <c r="BG21" s="71">
        <f>IF(BG$59="X","",IF(BG$59&lt;&gt;"",BG$59,IF(IFERROR(INDEX(醫師週班表!$C$5:$T$44,$CU21,BG$57),"")=0,"",IF(MID(IFERROR(INDEX(醫師週班表!$C$5:$T$44,$CU21,BG$57),""),2,1)="/",MID(IFERROR(INDEX(醫師週班表!$C$5:$T$44,$CU21,BG$57),""),1+BG$58*2,1),IF(MID(IFERROR(INDEX(醫師週班表!$C$5:$T$44,$CU21,BG$57),""),3,1)="隔",IF(BG$58=0,LEFT(IFERROR(INDEX(醫師週班表!$C$5:$T$44,$CU21,BG$57),""),1),""),IF(MID(IFERROR(INDEX(醫師週班表!$C$5:$T$44,$CU21,BG$57),""),2,1)="(",LEFT(IFERROR(INDEX(醫師週班表!$C$5:$T$44,$CU21,BG$57),""),1),IFERROR(INDEX(醫師週班表!$C$5:$T$44,$CU21,BG$57),"")))))))</f>
        <v/>
      </c>
      <c r="BH21" s="72">
        <f>IF(BH$59="X","",IF(BH$59&lt;&gt;"",BH$59,IF(IFERROR(INDEX(醫師週班表!$C$5:$T$44,$CU21,BH$57),"")=0,"",IF(MID(IFERROR(INDEX(醫師週班表!$C$5:$T$44,$CU21,BH$57),""),2,1)="/",MID(IFERROR(INDEX(醫師週班表!$C$5:$T$44,$CU21,BH$57),""),1+BH$58*2,1),IF(MID(IFERROR(INDEX(醫師週班表!$C$5:$T$44,$CU21,BH$57),""),3,1)="隔",IF(BH$58=0,LEFT(IFERROR(INDEX(醫師週班表!$C$5:$T$44,$CU21,BH$57),""),1),""),IF(MID(IFERROR(INDEX(醫師週班表!$C$5:$T$44,$CU21,BH$57),""),2,1)="(",LEFT(IFERROR(INDEX(醫師週班表!$C$5:$T$44,$CU21,BH$57),""),1),IFERROR(INDEX(醫師週班表!$C$5:$T$44,$CU21,BH$57),"")))))))</f>
        <v/>
      </c>
      <c r="BI21" s="72">
        <f>IF(BI$59="X","",IF(BI$59&lt;&gt;"",BI$59,IF(IFERROR(INDEX(醫師週班表!$C$5:$T$44,$CU21,BI$57),"")=0,"",IF(MID(IFERROR(INDEX(醫師週班表!$C$5:$T$44,$CU21,BI$57),""),2,1)="/",MID(IFERROR(INDEX(醫師週班表!$C$5:$T$44,$CU21,BI$57),""),1+BI$58*2,1),IF(MID(IFERROR(INDEX(醫師週班表!$C$5:$T$44,$CU21,BI$57),""),3,1)="隔",IF(BI$58=0,LEFT(IFERROR(INDEX(醫師週班表!$C$5:$T$44,$CU21,BI$57),""),1),""),IF(MID(IFERROR(INDEX(醫師週班表!$C$5:$T$44,$CU21,BI$57),""),2,1)="(",LEFT(IFERROR(INDEX(醫師週班表!$C$5:$T$44,$CU21,BI$57),""),1),IFERROR(INDEX(醫師週班表!$C$5:$T$44,$CU21,BI$57),"")))))))</f>
        <v/>
      </c>
      <c r="BJ21" s="71">
        <f>IF(BJ$59="X","",IF(BJ$59&lt;&gt;"",BJ$59,IF(IFERROR(INDEX(醫師週班表!$C$5:$T$44,$CU21,BJ$57),"")=0,"",IF(MID(IFERROR(INDEX(醫師週班表!$C$5:$T$44,$CU21,BJ$57),""),2,1)="/",MID(IFERROR(INDEX(醫師週班表!$C$5:$T$44,$CU21,BJ$57),""),1+BJ$58*2,1),IF(MID(IFERROR(INDEX(醫師週班表!$C$5:$T$44,$CU21,BJ$57),""),3,1)="隔",IF(BJ$58=0,LEFT(IFERROR(INDEX(醫師週班表!$C$5:$T$44,$CU21,BJ$57),""),1),""),IF(MID(IFERROR(INDEX(醫師週班表!$C$5:$T$44,$CU21,BJ$57),""),2,1)="(",LEFT(IFERROR(INDEX(醫師週班表!$C$5:$T$44,$CU21,BJ$57),""),1),IFERROR(INDEX(醫師週班表!$C$5:$T$44,$CU21,BJ$57),"")))))))</f>
        <v/>
      </c>
      <c r="BK21" s="72">
        <f>IF(BK$59="X","",IF(BK$59&lt;&gt;"",BK$59,IF(IFERROR(INDEX(醫師週班表!$C$5:$T$44,$CU21,BK$57),"")=0,"",IF(MID(IFERROR(INDEX(醫師週班表!$C$5:$T$44,$CU21,BK$57),""),2,1)="/",MID(IFERROR(INDEX(醫師週班表!$C$5:$T$44,$CU21,BK$57),""),1+BK$58*2,1),IF(MID(IFERROR(INDEX(醫師週班表!$C$5:$T$44,$CU21,BK$57),""),3,1)="隔",IF(BK$58=0,LEFT(IFERROR(INDEX(醫師週班表!$C$5:$T$44,$CU21,BK$57),""),1),""),IF(MID(IFERROR(INDEX(醫師週班表!$C$5:$T$44,$CU21,BK$57),""),2,1)="(",LEFT(IFERROR(INDEX(醫師週班表!$C$5:$T$44,$CU21,BK$57),""),1),IFERROR(INDEX(醫師週班表!$C$5:$T$44,$CU21,BK$57),"")))))))</f>
        <v/>
      </c>
      <c r="BL21" s="72">
        <f>IF(BL$59="X","",IF(BL$59&lt;&gt;"",BL$59,IF(IFERROR(INDEX(醫師週班表!$C$5:$T$44,$CU21,BL$57),"")=0,"",IF(MID(IFERROR(INDEX(醫師週班表!$C$5:$T$44,$CU21,BL$57),""),2,1)="/",MID(IFERROR(INDEX(醫師週班表!$C$5:$T$44,$CU21,BL$57),""),1+BL$58*2,1),IF(MID(IFERROR(INDEX(醫師週班表!$C$5:$T$44,$CU21,BL$57),""),3,1)="隔",IF(BL$58=0,LEFT(IFERROR(INDEX(醫師週班表!$C$5:$T$44,$CU21,BL$57),""),1),""),IF(MID(IFERROR(INDEX(醫師週班表!$C$5:$T$44,$CU21,BL$57),""),2,1)="(",LEFT(IFERROR(INDEX(醫師週班表!$C$5:$T$44,$CU21,BL$57),""),1),IFERROR(INDEX(醫師週班表!$C$5:$T$44,$CU21,BL$57),"")))))))</f>
        <v/>
      </c>
      <c r="BM21" s="71">
        <f>IF(BM$59="X","",IF(BM$59&lt;&gt;"",BM$59,IF(IFERROR(INDEX(醫師週班表!$C$5:$T$44,$CU21,BM$57),"")=0,"",IF(MID(IFERROR(INDEX(醫師週班表!$C$5:$T$44,$CU21,BM$57),""),2,1)="/",MID(IFERROR(INDEX(醫師週班表!$C$5:$T$44,$CU21,BM$57),""),1+BM$58*2,1),IF(MID(IFERROR(INDEX(醫師週班表!$C$5:$T$44,$CU21,BM$57),""),3,1)="隔",IF(BM$58=0,LEFT(IFERROR(INDEX(醫師週班表!$C$5:$T$44,$CU21,BM$57),""),1),""),IF(MID(IFERROR(INDEX(醫師週班表!$C$5:$T$44,$CU21,BM$57),""),2,1)="(",LEFT(IFERROR(INDEX(醫師週班表!$C$5:$T$44,$CU21,BM$57),""),1),IFERROR(INDEX(醫師週班表!$C$5:$T$44,$CU21,BM$57),"")))))))</f>
        <v/>
      </c>
      <c r="BN21" s="72">
        <f>IF(BN$59="X","",IF(BN$59&lt;&gt;"",BN$59,IF(IFERROR(INDEX(醫師週班表!$C$5:$T$44,$CU21,BN$57),"")=0,"",IF(MID(IFERROR(INDEX(醫師週班表!$C$5:$T$44,$CU21,BN$57),""),2,1)="/",MID(IFERROR(INDEX(醫師週班表!$C$5:$T$44,$CU21,BN$57),""),1+BN$58*2,1),IF(MID(IFERROR(INDEX(醫師週班表!$C$5:$T$44,$CU21,BN$57),""),3,1)="隔",IF(BN$58=0,LEFT(IFERROR(INDEX(醫師週班表!$C$5:$T$44,$CU21,BN$57),""),1),""),IF(MID(IFERROR(INDEX(醫師週班表!$C$5:$T$44,$CU21,BN$57),""),2,1)="(",LEFT(IFERROR(INDEX(醫師週班表!$C$5:$T$44,$CU21,BN$57),""),1),IFERROR(INDEX(醫師週班表!$C$5:$T$44,$CU21,BN$57),"")))))))</f>
        <v/>
      </c>
      <c r="BO21" s="72">
        <f>IF(BO$59="X","",IF(BO$59&lt;&gt;"",BO$59,IF(IFERROR(INDEX(醫師週班表!$C$5:$T$44,$CU21,BO$57),"")=0,"",IF(MID(IFERROR(INDEX(醫師週班表!$C$5:$T$44,$CU21,BO$57),""),2,1)="/",MID(IFERROR(INDEX(醫師週班表!$C$5:$T$44,$CU21,BO$57),""),1+BO$58*2,1),IF(MID(IFERROR(INDEX(醫師週班表!$C$5:$T$44,$CU21,BO$57),""),3,1)="隔",IF(BO$58=0,LEFT(IFERROR(INDEX(醫師週班表!$C$5:$T$44,$CU21,BO$57),""),1),""),IF(MID(IFERROR(INDEX(醫師週班表!$C$5:$T$44,$CU21,BO$57),""),2,1)="(",LEFT(IFERROR(INDEX(醫師週班表!$C$5:$T$44,$CU21,BO$57),""),1),IFERROR(INDEX(醫師週班表!$C$5:$T$44,$CU21,BO$57),"")))))))</f>
        <v/>
      </c>
      <c r="BP21" s="71">
        <f>IF(BP$59="X","",IF(BP$59&lt;&gt;"",BP$59,IF(IFERROR(INDEX(醫師週班表!$C$5:$T$44,$CU21,BP$57),"")=0,"",IF(MID(IFERROR(INDEX(醫師週班表!$C$5:$T$44,$CU21,BP$57),""),2,1)="/",MID(IFERROR(INDEX(醫師週班表!$C$5:$T$44,$CU21,BP$57),""),1+BP$58*2,1),IF(MID(IFERROR(INDEX(醫師週班表!$C$5:$T$44,$CU21,BP$57),""),3,1)="隔",IF(BP$58=0,LEFT(IFERROR(INDEX(醫師週班表!$C$5:$T$44,$CU21,BP$57),""),1),""),IF(MID(IFERROR(INDEX(醫師週班表!$C$5:$T$44,$CU21,BP$57),""),2,1)="(",LEFT(IFERROR(INDEX(醫師週班表!$C$5:$T$44,$CU21,BP$57),""),1),IFERROR(INDEX(醫師週班表!$C$5:$T$44,$CU21,BP$57),"")))))))</f>
        <v/>
      </c>
      <c r="BQ21" s="72">
        <f>IF(BQ$59="X","",IF(BQ$59&lt;&gt;"",BQ$59,IF(IFERROR(INDEX(醫師週班表!$C$5:$T$44,$CU21,BQ$57),"")=0,"",IF(MID(IFERROR(INDEX(醫師週班表!$C$5:$T$44,$CU21,BQ$57),""),2,1)="/",MID(IFERROR(INDEX(醫師週班表!$C$5:$T$44,$CU21,BQ$57),""),1+BQ$58*2,1),IF(MID(IFERROR(INDEX(醫師週班表!$C$5:$T$44,$CU21,BQ$57),""),3,1)="隔",IF(BQ$58=0,LEFT(IFERROR(INDEX(醫師週班表!$C$5:$T$44,$CU21,BQ$57),""),1),""),IF(MID(IFERROR(INDEX(醫師週班表!$C$5:$T$44,$CU21,BQ$57),""),2,1)="(",LEFT(IFERROR(INDEX(醫師週班表!$C$5:$T$44,$CU21,BQ$57),""),1),IFERROR(INDEX(醫師週班表!$C$5:$T$44,$CU21,BQ$57),"")))))))</f>
        <v/>
      </c>
      <c r="BR21" s="72">
        <f>IF(BR$59="X","",IF(BR$59&lt;&gt;"",BR$59,IF(IFERROR(INDEX(醫師週班表!$C$5:$T$44,$CU21,BR$57),"")=0,"",IF(MID(IFERROR(INDEX(醫師週班表!$C$5:$T$44,$CU21,BR$57),""),2,1)="/",MID(IFERROR(INDEX(醫師週班表!$C$5:$T$44,$CU21,BR$57),""),1+BR$58*2,1),IF(MID(IFERROR(INDEX(醫師週班表!$C$5:$T$44,$CU21,BR$57),""),3,1)="隔",IF(BR$58=0,LEFT(IFERROR(INDEX(醫師週班表!$C$5:$T$44,$CU21,BR$57),""),1),""),IF(MID(IFERROR(INDEX(醫師週班表!$C$5:$T$44,$CU21,BR$57),""),2,1)="(",LEFT(IFERROR(INDEX(醫師週班表!$C$5:$T$44,$CU21,BR$57),""),1),IFERROR(INDEX(醫師週班表!$C$5:$T$44,$CU21,BR$57),"")))))))</f>
        <v/>
      </c>
      <c r="BS21" s="71">
        <f>IF(BS$59="X","",IF(BS$59&lt;&gt;"",BS$59,IF(IFERROR(INDEX(醫師週班表!$C$5:$T$44,$CU21,BS$57),"")=0,"",IF(MID(IFERROR(INDEX(醫師週班表!$C$5:$T$44,$CU21,BS$57),""),2,1)="/",MID(IFERROR(INDEX(醫師週班表!$C$5:$T$44,$CU21,BS$57),""),1+BS$58*2,1),IF(MID(IFERROR(INDEX(醫師週班表!$C$5:$T$44,$CU21,BS$57),""),3,1)="隔",IF(BS$58=0,LEFT(IFERROR(INDEX(醫師週班表!$C$5:$T$44,$CU21,BS$57),""),1),""),IF(MID(IFERROR(INDEX(醫師週班表!$C$5:$T$44,$CU21,BS$57),""),2,1)="(",LEFT(IFERROR(INDEX(醫師週班表!$C$5:$T$44,$CU21,BS$57),""),1),IFERROR(INDEX(醫師週班表!$C$5:$T$44,$CU21,BS$57),"")))))))</f>
        <v/>
      </c>
      <c r="BT21" s="72">
        <f>IF(BT$59="X","",IF(BT$59&lt;&gt;"",BT$59,IF(IFERROR(INDEX(醫師週班表!$C$5:$T$44,$CU21,BT$57),"")=0,"",IF(MID(IFERROR(INDEX(醫師週班表!$C$5:$T$44,$CU21,BT$57),""),2,1)="/",MID(IFERROR(INDEX(醫師週班表!$C$5:$T$44,$CU21,BT$57),""),1+BT$58*2,1),IF(MID(IFERROR(INDEX(醫師週班表!$C$5:$T$44,$CU21,BT$57),""),3,1)="隔",IF(BT$58=0,LEFT(IFERROR(INDEX(醫師週班表!$C$5:$T$44,$CU21,BT$57),""),1),""),IF(MID(IFERROR(INDEX(醫師週班表!$C$5:$T$44,$CU21,BT$57),""),2,1)="(",LEFT(IFERROR(INDEX(醫師週班表!$C$5:$T$44,$CU21,BT$57),""),1),IFERROR(INDEX(醫師週班表!$C$5:$T$44,$CU21,BT$57),"")))))))</f>
        <v/>
      </c>
      <c r="BU21" s="72">
        <f>IF(BU$59="X","",IF(BU$59&lt;&gt;"",BU$59,IF(IFERROR(INDEX(醫師週班表!$C$5:$T$44,$CU21,BU$57),"")=0,"",IF(MID(IFERROR(INDEX(醫師週班表!$C$5:$T$44,$CU21,BU$57),""),2,1)="/",MID(IFERROR(INDEX(醫師週班表!$C$5:$T$44,$CU21,BU$57),""),1+BU$58*2,1),IF(MID(IFERROR(INDEX(醫師週班表!$C$5:$T$44,$CU21,BU$57),""),3,1)="隔",IF(BU$58=0,LEFT(IFERROR(INDEX(醫師週班表!$C$5:$T$44,$CU21,BU$57),""),1),""),IF(MID(IFERROR(INDEX(醫師週班表!$C$5:$T$44,$CU21,BU$57),""),2,1)="(",LEFT(IFERROR(INDEX(醫師週班表!$C$5:$T$44,$CU21,BU$57),""),1),IFERROR(INDEX(醫師週班表!$C$5:$T$44,$CU21,BU$57),"")))))))</f>
        <v/>
      </c>
      <c r="BV21" s="71">
        <f>IF(BV$59="X","",IF(BV$59&lt;&gt;"",BV$59,IF(IFERROR(INDEX(醫師週班表!$C$5:$T$44,$CU21,BV$57),"")=0,"",IF(MID(IFERROR(INDEX(醫師週班表!$C$5:$T$44,$CU21,BV$57),""),2,1)="/",MID(IFERROR(INDEX(醫師週班表!$C$5:$T$44,$CU21,BV$57),""),1+BV$58*2,1),IF(MID(IFERROR(INDEX(醫師週班表!$C$5:$T$44,$CU21,BV$57),""),3,1)="隔",IF(BV$58=0,LEFT(IFERROR(INDEX(醫師週班表!$C$5:$T$44,$CU21,BV$57),""),1),""),IF(MID(IFERROR(INDEX(醫師週班表!$C$5:$T$44,$CU21,BV$57),""),2,1)="(",LEFT(IFERROR(INDEX(醫師週班表!$C$5:$T$44,$CU21,BV$57),""),1),IFERROR(INDEX(醫師週班表!$C$5:$T$44,$CU21,BV$57),"")))))))</f>
        <v/>
      </c>
      <c r="BW21" s="72">
        <f>IF(BW$59="X","",IF(BW$59&lt;&gt;"",BW$59,IF(IFERROR(INDEX(醫師週班表!$C$5:$T$44,$CU21,BW$57),"")=0,"",IF(MID(IFERROR(INDEX(醫師週班表!$C$5:$T$44,$CU21,BW$57),""),2,1)="/",MID(IFERROR(INDEX(醫師週班表!$C$5:$T$44,$CU21,BW$57),""),1+BW$58*2,1),IF(MID(IFERROR(INDEX(醫師週班表!$C$5:$T$44,$CU21,BW$57),""),3,1)="隔",IF(BW$58=0,LEFT(IFERROR(INDEX(醫師週班表!$C$5:$T$44,$CU21,BW$57),""),1),""),IF(MID(IFERROR(INDEX(醫師週班表!$C$5:$T$44,$CU21,BW$57),""),2,1)="(",LEFT(IFERROR(INDEX(醫師週班表!$C$5:$T$44,$CU21,BW$57),""),1),IFERROR(INDEX(醫師週班表!$C$5:$T$44,$CU21,BW$57),"")))))))</f>
        <v/>
      </c>
      <c r="BX21" s="72">
        <f>IF(BX$59="X","",IF(BX$59&lt;&gt;"",BX$59,IF(IFERROR(INDEX(醫師週班表!$C$5:$T$44,$CU21,BX$57),"")=0,"",IF(MID(IFERROR(INDEX(醫師週班表!$C$5:$T$44,$CU21,BX$57),""),2,1)="/",MID(IFERROR(INDEX(醫師週班表!$C$5:$T$44,$CU21,BX$57),""),1+BX$58*2,1),IF(MID(IFERROR(INDEX(醫師週班表!$C$5:$T$44,$CU21,BX$57),""),3,1)="隔",IF(BX$58=0,LEFT(IFERROR(INDEX(醫師週班表!$C$5:$T$44,$CU21,BX$57),""),1),""),IF(MID(IFERROR(INDEX(醫師週班表!$C$5:$T$44,$CU21,BX$57),""),2,1)="(",LEFT(IFERROR(INDEX(醫師週班表!$C$5:$T$44,$CU21,BX$57),""),1),IFERROR(INDEX(醫師週班表!$C$5:$T$44,$CU21,BX$57),"")))))))</f>
        <v/>
      </c>
      <c r="BY21" s="71">
        <f>IF(BY$59="X","",IF(BY$59&lt;&gt;"",BY$59,IF(IFERROR(INDEX(醫師週班表!$C$5:$T$44,$CU21,BY$57),"")=0,"",IF(MID(IFERROR(INDEX(醫師週班表!$C$5:$T$44,$CU21,BY$57),""),2,1)="/",MID(IFERROR(INDEX(醫師週班表!$C$5:$T$44,$CU21,BY$57),""),1+BY$58*2,1),IF(MID(IFERROR(INDEX(醫師週班表!$C$5:$T$44,$CU21,BY$57),""),3,1)="隔",IF(BY$58=0,LEFT(IFERROR(INDEX(醫師週班表!$C$5:$T$44,$CU21,BY$57),""),1),""),IF(MID(IFERROR(INDEX(醫師週班表!$C$5:$T$44,$CU21,BY$57),""),2,1)="(",LEFT(IFERROR(INDEX(醫師週班表!$C$5:$T$44,$CU21,BY$57),""),1),IFERROR(INDEX(醫師週班表!$C$5:$T$44,$CU21,BY$57),"")))))))</f>
        <v/>
      </c>
      <c r="BZ21" s="72">
        <f>IF(BZ$59="X","",IF(BZ$59&lt;&gt;"",BZ$59,IF(IFERROR(INDEX(醫師週班表!$C$5:$T$44,$CU21,BZ$57),"")=0,"",IF(MID(IFERROR(INDEX(醫師週班表!$C$5:$T$44,$CU21,BZ$57),""),2,1)="/",MID(IFERROR(INDEX(醫師週班表!$C$5:$T$44,$CU21,BZ$57),""),1+BZ$58*2,1),IF(MID(IFERROR(INDEX(醫師週班表!$C$5:$T$44,$CU21,BZ$57),""),3,1)="隔",IF(BZ$58=0,LEFT(IFERROR(INDEX(醫師週班表!$C$5:$T$44,$CU21,BZ$57),""),1),""),IF(MID(IFERROR(INDEX(醫師週班表!$C$5:$T$44,$CU21,BZ$57),""),2,1)="(",LEFT(IFERROR(INDEX(醫師週班表!$C$5:$T$44,$CU21,BZ$57),""),1),IFERROR(INDEX(醫師週班表!$C$5:$T$44,$CU21,BZ$57),"")))))))</f>
        <v/>
      </c>
      <c r="CA21" s="72">
        <f>IF(CA$59="X","",IF(CA$59&lt;&gt;"",CA$59,IF(IFERROR(INDEX(醫師週班表!$C$5:$T$44,$CU21,CA$57),"")=0,"",IF(MID(IFERROR(INDEX(醫師週班表!$C$5:$T$44,$CU21,CA$57),""),2,1)="/",MID(IFERROR(INDEX(醫師週班表!$C$5:$T$44,$CU21,CA$57),""),1+CA$58*2,1),IF(MID(IFERROR(INDEX(醫師週班表!$C$5:$T$44,$CU21,CA$57),""),3,1)="隔",IF(CA$58=0,LEFT(IFERROR(INDEX(醫師週班表!$C$5:$T$44,$CU21,CA$57),""),1),""),IF(MID(IFERROR(INDEX(醫師週班表!$C$5:$T$44,$CU21,CA$57),""),2,1)="(",LEFT(IFERROR(INDEX(醫師週班表!$C$5:$T$44,$CU21,CA$57),""),1),IFERROR(INDEX(醫師週班表!$C$5:$T$44,$CU21,CA$57),"")))))))</f>
        <v/>
      </c>
      <c r="CB21" s="71">
        <f>IF(CB$59="X","",IF(CB$59&lt;&gt;"",CB$59,IF(IFERROR(INDEX(醫師週班表!$C$5:$T$44,$CU21,CB$57),"")=0,"",IF(MID(IFERROR(INDEX(醫師週班表!$C$5:$T$44,$CU21,CB$57),""),2,1)="/",MID(IFERROR(INDEX(醫師週班表!$C$5:$T$44,$CU21,CB$57),""),1+CB$58*2,1),IF(MID(IFERROR(INDEX(醫師週班表!$C$5:$T$44,$CU21,CB$57),""),3,1)="隔",IF(CB$58=0,LEFT(IFERROR(INDEX(醫師週班表!$C$5:$T$44,$CU21,CB$57),""),1),""),IF(MID(IFERROR(INDEX(醫師週班表!$C$5:$T$44,$CU21,CB$57),""),2,1)="(",LEFT(IFERROR(INDEX(醫師週班表!$C$5:$T$44,$CU21,CB$57),""),1),IFERROR(INDEX(醫師週班表!$C$5:$T$44,$CU21,CB$57),"")))))))</f>
        <v/>
      </c>
      <c r="CC21" s="72">
        <f>IF(CC$59="X","",IF(CC$59&lt;&gt;"",CC$59,IF(IFERROR(INDEX(醫師週班表!$C$5:$T$44,$CU21,CC$57),"")=0,"",IF(MID(IFERROR(INDEX(醫師週班表!$C$5:$T$44,$CU21,CC$57),""),2,1)="/",MID(IFERROR(INDEX(醫師週班表!$C$5:$T$44,$CU21,CC$57),""),1+CC$58*2,1),IF(MID(IFERROR(INDEX(醫師週班表!$C$5:$T$44,$CU21,CC$57),""),3,1)="隔",IF(CC$58=0,LEFT(IFERROR(INDEX(醫師週班表!$C$5:$T$44,$CU21,CC$57),""),1),""),IF(MID(IFERROR(INDEX(醫師週班表!$C$5:$T$44,$CU21,CC$57),""),2,1)="(",LEFT(IFERROR(INDEX(醫師週班表!$C$5:$T$44,$CU21,CC$57),""),1),IFERROR(INDEX(醫師週班表!$C$5:$T$44,$CU21,CC$57),"")))))))</f>
        <v/>
      </c>
      <c r="CD21" s="72">
        <f>IF(CD$59="X","",IF(CD$59&lt;&gt;"",CD$59,IF(IFERROR(INDEX(醫師週班表!$C$5:$T$44,$CU21,CD$57),"")=0,"",IF(MID(IFERROR(INDEX(醫師週班表!$C$5:$T$44,$CU21,CD$57),""),2,1)="/",MID(IFERROR(INDEX(醫師週班表!$C$5:$T$44,$CU21,CD$57),""),1+CD$58*2,1),IF(MID(IFERROR(INDEX(醫師週班表!$C$5:$T$44,$CU21,CD$57),""),3,1)="隔",IF(CD$58=0,LEFT(IFERROR(INDEX(醫師週班表!$C$5:$T$44,$CU21,CD$57),""),1),""),IF(MID(IFERROR(INDEX(醫師週班表!$C$5:$T$44,$CU21,CD$57),""),2,1)="(",LEFT(IFERROR(INDEX(醫師週班表!$C$5:$T$44,$CU21,CD$57),""),1),IFERROR(INDEX(醫師週班表!$C$5:$T$44,$CU21,CD$57),"")))))))</f>
        <v/>
      </c>
      <c r="CE21" s="71">
        <f>IF(CE$59="X","",IF(CE$59&lt;&gt;"",CE$59,IF(IFERROR(INDEX(醫師週班表!$C$5:$T$44,$CU21,CE$57),"")=0,"",IF(MID(IFERROR(INDEX(醫師週班表!$C$5:$T$44,$CU21,CE$57),""),2,1)="/",MID(IFERROR(INDEX(醫師週班表!$C$5:$T$44,$CU21,CE$57),""),1+CE$58*2,1),IF(MID(IFERROR(INDEX(醫師週班表!$C$5:$T$44,$CU21,CE$57),""),3,1)="隔",IF(CE$58=0,LEFT(IFERROR(INDEX(醫師週班表!$C$5:$T$44,$CU21,CE$57),""),1),""),IF(MID(IFERROR(INDEX(醫師週班表!$C$5:$T$44,$CU21,CE$57),""),2,1)="(",LEFT(IFERROR(INDEX(醫師週班表!$C$5:$T$44,$CU21,CE$57),""),1),IFERROR(INDEX(醫師週班表!$C$5:$T$44,$CU21,CE$57),"")))))))</f>
        <v/>
      </c>
      <c r="CF21" s="72">
        <f>IF(CF$59="X","",IF(CF$59&lt;&gt;"",CF$59,IF(IFERROR(INDEX(醫師週班表!$C$5:$T$44,$CU21,CF$57),"")=0,"",IF(MID(IFERROR(INDEX(醫師週班表!$C$5:$T$44,$CU21,CF$57),""),2,1)="/",MID(IFERROR(INDEX(醫師週班表!$C$5:$T$44,$CU21,CF$57),""),1+CF$58*2,1),IF(MID(IFERROR(INDEX(醫師週班表!$C$5:$T$44,$CU21,CF$57),""),3,1)="隔",IF(CF$58=0,LEFT(IFERROR(INDEX(醫師週班表!$C$5:$T$44,$CU21,CF$57),""),1),""),IF(MID(IFERROR(INDEX(醫師週班表!$C$5:$T$44,$CU21,CF$57),""),2,1)="(",LEFT(IFERROR(INDEX(醫師週班表!$C$5:$T$44,$CU21,CF$57),""),1),IFERROR(INDEX(醫師週班表!$C$5:$T$44,$CU21,CF$57),"")))))))</f>
        <v/>
      </c>
      <c r="CG21" s="72">
        <f>IF(CG$59="X","",IF(CG$59&lt;&gt;"",CG$59,IF(IFERROR(INDEX(醫師週班表!$C$5:$T$44,$CU21,CG$57),"")=0,"",IF(MID(IFERROR(INDEX(醫師週班表!$C$5:$T$44,$CU21,CG$57),""),2,1)="/",MID(IFERROR(INDEX(醫師週班表!$C$5:$T$44,$CU21,CG$57),""),1+CG$58*2,1),IF(MID(IFERROR(INDEX(醫師週班表!$C$5:$T$44,$CU21,CG$57),""),3,1)="隔",IF(CG$58=0,LEFT(IFERROR(INDEX(醫師週班表!$C$5:$T$44,$CU21,CG$57),""),1),""),IF(MID(IFERROR(INDEX(醫師週班表!$C$5:$T$44,$CU21,CG$57),""),2,1)="(",LEFT(IFERROR(INDEX(醫師週班表!$C$5:$T$44,$CU21,CG$57),""),1),IFERROR(INDEX(醫師週班表!$C$5:$T$44,$CU21,CG$57),"")))))))</f>
        <v/>
      </c>
      <c r="CH21" s="71">
        <f>IF(CH$59="X","",IF(CH$59&lt;&gt;"",CH$59,IF(IFERROR(INDEX(醫師週班表!$C$5:$T$44,$CU21,CH$57),"")=0,"",IF(MID(IFERROR(INDEX(醫師週班表!$C$5:$T$44,$CU21,CH$57),""),2,1)="/",MID(IFERROR(INDEX(醫師週班表!$C$5:$T$44,$CU21,CH$57),""),1+CH$58*2,1),IF(MID(IFERROR(INDEX(醫師週班表!$C$5:$T$44,$CU21,CH$57),""),3,1)="隔",IF(CH$58=0,LEFT(IFERROR(INDEX(醫師週班表!$C$5:$T$44,$CU21,CH$57),""),1),""),IF(MID(IFERROR(INDEX(醫師週班表!$C$5:$T$44,$CU21,CH$57),""),2,1)="(",LEFT(IFERROR(INDEX(醫師週班表!$C$5:$T$44,$CU21,CH$57),""),1),IFERROR(INDEX(醫師週班表!$C$5:$T$44,$CU21,CH$57),"")))))))</f>
        <v/>
      </c>
      <c r="CI21" s="72">
        <f>IF(CI$59="X","",IF(CI$59&lt;&gt;"",CI$59,IF(IFERROR(INDEX(醫師週班表!$C$5:$T$44,$CU21,CI$57),"")=0,"",IF(MID(IFERROR(INDEX(醫師週班表!$C$5:$T$44,$CU21,CI$57),""),2,1)="/",MID(IFERROR(INDEX(醫師週班表!$C$5:$T$44,$CU21,CI$57),""),1+CI$58*2,1),IF(MID(IFERROR(INDEX(醫師週班表!$C$5:$T$44,$CU21,CI$57),""),3,1)="隔",IF(CI$58=0,LEFT(IFERROR(INDEX(醫師週班表!$C$5:$T$44,$CU21,CI$57),""),1),""),IF(MID(IFERROR(INDEX(醫師週班表!$C$5:$T$44,$CU21,CI$57),""),2,1)="(",LEFT(IFERROR(INDEX(醫師週班表!$C$5:$T$44,$CU21,CI$57),""),1),IFERROR(INDEX(醫師週班表!$C$5:$T$44,$CU21,CI$57),"")))))))</f>
        <v/>
      </c>
      <c r="CJ21" s="72">
        <f>IF(CJ$59="X","",IF(CJ$59&lt;&gt;"",CJ$59,IF(IFERROR(INDEX(醫師週班表!$C$5:$T$44,$CU21,CJ$57),"")=0,"",IF(MID(IFERROR(INDEX(醫師週班表!$C$5:$T$44,$CU21,CJ$57),""),2,1)="/",MID(IFERROR(INDEX(醫師週班表!$C$5:$T$44,$CU21,CJ$57),""),1+CJ$58*2,1),IF(MID(IFERROR(INDEX(醫師週班表!$C$5:$T$44,$CU21,CJ$57),""),3,1)="隔",IF(CJ$58=0,LEFT(IFERROR(INDEX(醫師週班表!$C$5:$T$44,$CU21,CJ$57),""),1),""),IF(MID(IFERROR(INDEX(醫師週班表!$C$5:$T$44,$CU21,CJ$57),""),2,1)="(",LEFT(IFERROR(INDEX(醫師週班表!$C$5:$T$44,$CU21,CJ$57),""),1),IFERROR(INDEX(醫師週班表!$C$5:$T$44,$CU21,CJ$57),"")))))))</f>
        <v/>
      </c>
      <c r="CK21" s="71">
        <f>IF(CK$59="X","",IF(CK$59&lt;&gt;"",CK$59,IF(IFERROR(INDEX(醫師週班表!$C$5:$T$44,$CU21,CK$57),"")=0,"",IF(MID(IFERROR(INDEX(醫師週班表!$C$5:$T$44,$CU21,CK$57),""),2,1)="/",MID(IFERROR(INDEX(醫師週班表!$C$5:$T$44,$CU21,CK$57),""),1+CK$58*2,1),IF(MID(IFERROR(INDEX(醫師週班表!$C$5:$T$44,$CU21,CK$57),""),3,1)="隔",IF(CK$58=0,LEFT(IFERROR(INDEX(醫師週班表!$C$5:$T$44,$CU21,CK$57),""),1),""),IF(MID(IFERROR(INDEX(醫師週班表!$C$5:$T$44,$CU21,CK$57),""),2,1)="(",LEFT(IFERROR(INDEX(醫師週班表!$C$5:$T$44,$CU21,CK$57),""),1),IFERROR(INDEX(醫師週班表!$C$5:$T$44,$CU21,CK$57),"")))))))</f>
        <v/>
      </c>
      <c r="CL21" s="72">
        <f>IF(CL$59="X","",IF(CL$59&lt;&gt;"",CL$59,IF(IFERROR(INDEX(醫師週班表!$C$5:$T$44,$CU21,CL$57),"")=0,"",IF(MID(IFERROR(INDEX(醫師週班表!$C$5:$T$44,$CU21,CL$57),""),2,1)="/",MID(IFERROR(INDEX(醫師週班表!$C$5:$T$44,$CU21,CL$57),""),1+CL$58*2,1),IF(MID(IFERROR(INDEX(醫師週班表!$C$5:$T$44,$CU21,CL$57),""),3,1)="隔",IF(CL$58=0,LEFT(IFERROR(INDEX(醫師週班表!$C$5:$T$44,$CU21,CL$57),""),1),""),IF(MID(IFERROR(INDEX(醫師週班表!$C$5:$T$44,$CU21,CL$57),""),2,1)="(",LEFT(IFERROR(INDEX(醫師週班表!$C$5:$T$44,$CU21,CL$57),""),1),IFERROR(INDEX(醫師週班表!$C$5:$T$44,$CU21,CL$57),"")))))))</f>
        <v/>
      </c>
      <c r="CM21" s="72">
        <f>IF(CM$59="X","",IF(CM$59&lt;&gt;"",CM$59,IF(IFERROR(INDEX(醫師週班表!$C$5:$T$44,$CU21,CM$57),"")=0,"",IF(MID(IFERROR(INDEX(醫師週班表!$C$5:$T$44,$CU21,CM$57),""),2,1)="/",MID(IFERROR(INDEX(醫師週班表!$C$5:$T$44,$CU21,CM$57),""),1+CM$58*2,1),IF(MID(IFERROR(INDEX(醫師週班表!$C$5:$T$44,$CU21,CM$57),""),3,1)="隔",IF(CM$58=0,LEFT(IFERROR(INDEX(醫師週班表!$C$5:$T$44,$CU21,CM$57),""),1),""),IF(MID(IFERROR(INDEX(醫師週班表!$C$5:$T$44,$CU21,CM$57),""),2,1)="(",LEFT(IFERROR(INDEX(醫師週班表!$C$5:$T$44,$CU21,CM$57),""),1),IFERROR(INDEX(醫師週班表!$C$5:$T$44,$CU21,CM$57),"")))))))</f>
        <v/>
      </c>
      <c r="CN21" s="71">
        <f>IF(CN$59="X","",IF(CN$59&lt;&gt;"",CN$59,IF(IFERROR(INDEX(醫師週班表!$C$5:$T$44,$CU21,CN$57),"")=0,"",IF(MID(IFERROR(INDEX(醫師週班表!$C$5:$T$44,$CU21,CN$57),""),2,1)="/",MID(IFERROR(INDEX(醫師週班表!$C$5:$T$44,$CU21,CN$57),""),1+CN$58*2,1),IF(MID(IFERROR(INDEX(醫師週班表!$C$5:$T$44,$CU21,CN$57),""),3,1)="隔",IF(CN$58=0,LEFT(IFERROR(INDEX(醫師週班表!$C$5:$T$44,$CU21,CN$57),""),1),""),IF(MID(IFERROR(INDEX(醫師週班表!$C$5:$T$44,$CU21,CN$57),""),2,1)="(",LEFT(IFERROR(INDEX(醫師週班表!$C$5:$T$44,$CU21,CN$57),""),1),IFERROR(INDEX(醫師週班表!$C$5:$T$44,$CU21,CN$57),"")))))))</f>
        <v/>
      </c>
      <c r="CO21" s="72">
        <f>IF(CO$59="X","",IF(CO$59&lt;&gt;"",CO$59,IF(IFERROR(INDEX(醫師週班表!$C$5:$T$44,$CU21,CO$57),"")=0,"",IF(MID(IFERROR(INDEX(醫師週班表!$C$5:$T$44,$CU21,CO$57),""),2,1)="/",MID(IFERROR(INDEX(醫師週班表!$C$5:$T$44,$CU21,CO$57),""),1+CO$58*2,1),IF(MID(IFERROR(INDEX(醫師週班表!$C$5:$T$44,$CU21,CO$57),""),3,1)="隔",IF(CO$58=0,LEFT(IFERROR(INDEX(醫師週班表!$C$5:$T$44,$CU21,CO$57),""),1),""),IF(MID(IFERROR(INDEX(醫師週班表!$C$5:$T$44,$CU21,CO$57),""),2,1)="(",LEFT(IFERROR(INDEX(醫師週班表!$C$5:$T$44,$CU21,CO$57),""),1),IFERROR(INDEX(醫師週班表!$C$5:$T$44,$CU21,CO$57),"")))))))</f>
        <v/>
      </c>
      <c r="CP21" s="72">
        <f>IF(CP$59="X","",IF(CP$59&lt;&gt;"",CP$59,IF(IFERROR(INDEX(醫師週班表!$C$5:$T$44,$CU21,CP$57),"")=0,"",IF(MID(IFERROR(INDEX(醫師週班表!$C$5:$T$44,$CU21,CP$57),""),2,1)="/",MID(IFERROR(INDEX(醫師週班表!$C$5:$T$44,$CU21,CP$57),""),1+CP$58*2,1),IF(MID(IFERROR(INDEX(醫師週班表!$C$5:$T$44,$CU21,CP$57),""),3,1)="隔",IF(CP$58=0,LEFT(IFERROR(INDEX(醫師週班表!$C$5:$T$44,$CU21,CP$57),""),1),""),IF(MID(IFERROR(INDEX(醫師週班表!$C$5:$T$44,$CU21,CP$57),""),2,1)="(",LEFT(IFERROR(INDEX(醫師週班表!$C$5:$T$44,$CU21,CP$57),""),1),IFERROR(INDEX(醫師週班表!$C$5:$T$44,$CU21,CP$57),"")))))))</f>
        <v/>
      </c>
      <c r="CQ21" s="71">
        <f>IF(CQ$59="X","",IF(CQ$59&lt;&gt;"",CQ$59,IF(IFERROR(INDEX(醫師週班表!$C$5:$T$44,$CU21,CQ$57),"")=0,"",IF(MID(IFERROR(INDEX(醫師週班表!$C$5:$T$44,$CU21,CQ$57),""),2,1)="/",MID(IFERROR(INDEX(醫師週班表!$C$5:$T$44,$CU21,CQ$57),""),1+CQ$58*2,1),IF(MID(IFERROR(INDEX(醫師週班表!$C$5:$T$44,$CU21,CQ$57),""),3,1)="隔",IF(CQ$58=0,LEFT(IFERROR(INDEX(醫師週班表!$C$5:$T$44,$CU21,CQ$57),""),1),""),IF(MID(IFERROR(INDEX(醫師週班表!$C$5:$T$44,$CU21,CQ$57),""),2,1)="(",LEFT(IFERROR(INDEX(醫師週班表!$C$5:$T$44,$CU21,CQ$57),""),1),IFERROR(INDEX(醫師週班表!$C$5:$T$44,$CU21,CQ$57),"")))))))</f>
        <v/>
      </c>
      <c r="CR21" s="72">
        <f>IF(CR$59="X","",IF(CR$59&lt;&gt;"",CR$59,IF(IFERROR(INDEX(醫師週班表!$C$5:$T$44,$CU21,CR$57),"")=0,"",IF(MID(IFERROR(INDEX(醫師週班表!$C$5:$T$44,$CU21,CR$57),""),2,1)="/",MID(IFERROR(INDEX(醫師週班表!$C$5:$T$44,$CU21,CR$57),""),1+CR$58*2,1),IF(MID(IFERROR(INDEX(醫師週班表!$C$5:$T$44,$CU21,CR$57),""),3,1)="隔",IF(CR$58=0,LEFT(IFERROR(INDEX(醫師週班表!$C$5:$T$44,$CU21,CR$57),""),1),""),IF(MID(IFERROR(INDEX(醫師週班表!$C$5:$T$44,$CU21,CR$57),""),2,1)="(",LEFT(IFERROR(INDEX(醫師週班表!$C$5:$T$44,$CU21,CR$57),""),1),IFERROR(INDEX(醫師週班表!$C$5:$T$44,$CU21,CR$57),"")))))))</f>
        <v/>
      </c>
      <c r="CS21" s="72">
        <f>IF(CS$59="X","",IF(CS$59&lt;&gt;"",CS$59,IF(IFERROR(INDEX(醫師週班表!$C$5:$T$44,$CU21,CS$57),"")=0,"",IF(MID(IFERROR(INDEX(醫師週班表!$C$5:$T$44,$CU21,CS$57),""),2,1)="/",MID(IFERROR(INDEX(醫師週班表!$C$5:$T$44,$CU21,CS$57),""),1+CS$58*2,1),IF(MID(IFERROR(INDEX(醫師週班表!$C$5:$T$44,$CU21,CS$57),""),3,1)="隔",IF(CS$58=0,LEFT(IFERROR(INDEX(醫師週班表!$C$5:$T$44,$CU21,CS$57),""),1),""),IF(MID(IFERROR(INDEX(醫師週班表!$C$5:$T$44,$CU21,CS$57),""),2,1)="(",LEFT(IFERROR(INDEX(醫師週班表!$C$5:$T$44,$CU21,CS$57),""),1),IFERROR(INDEX(醫師週班表!$C$5:$T$44,$CU21,CS$57),"")))))))</f>
        <v/>
      </c>
      <c r="CU21" s="73">
        <f>IFERROR(MATCH($A21,醫師週班表!$A$5:$A$44,0),0)</f>
        <v/>
      </c>
    </row>
    <row r="22" ht="17" customHeight="1">
      <c r="A22" s="19" t="inlineStr">
        <is>
          <t>D017</t>
        </is>
      </c>
      <c r="B22" s="16" t="inlineStr">
        <is>
          <t>吳柏賢</t>
        </is>
      </c>
      <c r="C22" s="70" t="inlineStr"/>
      <c r="D22" s="16" t="inlineStr"/>
      <c r="E22" s="71">
        <f>IF(E$59="X","",IF(E$59&lt;&gt;"",E$59,IF(IFERROR(INDEX(醫師週班表!$C$5:$T$44,$CU22,E$57),"")=0,"",IF(MID(IFERROR(INDEX(醫師週班表!$C$5:$T$44,$CU22,E$57),""),2,1)="/",MID(IFERROR(INDEX(醫師週班表!$C$5:$T$44,$CU22,E$57),""),1+E$58*2,1),IF(MID(IFERROR(INDEX(醫師週班表!$C$5:$T$44,$CU22,E$57),""),3,1)="隔",IF(E$58=0,LEFT(IFERROR(INDEX(醫師週班表!$C$5:$T$44,$CU22,E$57),""),1),""),IF(MID(IFERROR(INDEX(醫師週班表!$C$5:$T$44,$CU22,E$57),""),2,1)="(",LEFT(IFERROR(INDEX(醫師週班表!$C$5:$T$44,$CU22,E$57),""),1),IFERROR(INDEX(醫師週班表!$C$5:$T$44,$CU22,E$57),"")))))))</f>
        <v/>
      </c>
      <c r="F22" s="72">
        <f>IF(F$59="X","",IF(F$59&lt;&gt;"",F$59,IF(IFERROR(INDEX(醫師週班表!$C$5:$T$44,$CU22,F$57),"")=0,"",IF(MID(IFERROR(INDEX(醫師週班表!$C$5:$T$44,$CU22,F$57),""),2,1)="/",MID(IFERROR(INDEX(醫師週班表!$C$5:$T$44,$CU22,F$57),""),1+F$58*2,1),IF(MID(IFERROR(INDEX(醫師週班表!$C$5:$T$44,$CU22,F$57),""),3,1)="隔",IF(F$58=0,LEFT(IFERROR(INDEX(醫師週班表!$C$5:$T$44,$CU22,F$57),""),1),""),IF(MID(IFERROR(INDEX(醫師週班表!$C$5:$T$44,$CU22,F$57),""),2,1)="(",LEFT(IFERROR(INDEX(醫師週班表!$C$5:$T$44,$CU22,F$57),""),1),IFERROR(INDEX(醫師週班表!$C$5:$T$44,$CU22,F$57),"")))))))</f>
        <v/>
      </c>
      <c r="G22" s="72">
        <f>IF(G$59="X","",IF(G$59&lt;&gt;"",G$59,IF(IFERROR(INDEX(醫師週班表!$C$5:$T$44,$CU22,G$57),"")=0,"",IF(MID(IFERROR(INDEX(醫師週班表!$C$5:$T$44,$CU22,G$57),""),2,1)="/",MID(IFERROR(INDEX(醫師週班表!$C$5:$T$44,$CU22,G$57),""),1+G$58*2,1),IF(MID(IFERROR(INDEX(醫師週班表!$C$5:$T$44,$CU22,G$57),""),3,1)="隔",IF(G$58=0,LEFT(IFERROR(INDEX(醫師週班表!$C$5:$T$44,$CU22,G$57),""),1),""),IF(MID(IFERROR(INDEX(醫師週班表!$C$5:$T$44,$CU22,G$57),""),2,1)="(",LEFT(IFERROR(INDEX(醫師週班表!$C$5:$T$44,$CU22,G$57),""),1),IFERROR(INDEX(醫師週班表!$C$5:$T$44,$CU22,G$57),"")))))))</f>
        <v/>
      </c>
      <c r="H22" s="71">
        <f>IF(H$59="X","",IF(H$59&lt;&gt;"",H$59,IF(IFERROR(INDEX(醫師週班表!$C$5:$T$44,$CU22,H$57),"")=0,"",IF(MID(IFERROR(INDEX(醫師週班表!$C$5:$T$44,$CU22,H$57),""),2,1)="/",MID(IFERROR(INDEX(醫師週班表!$C$5:$T$44,$CU22,H$57),""),1+H$58*2,1),IF(MID(IFERROR(INDEX(醫師週班表!$C$5:$T$44,$CU22,H$57),""),3,1)="隔",IF(H$58=0,LEFT(IFERROR(INDEX(醫師週班表!$C$5:$T$44,$CU22,H$57),""),1),""),IF(MID(IFERROR(INDEX(醫師週班表!$C$5:$T$44,$CU22,H$57),""),2,1)="(",LEFT(IFERROR(INDEX(醫師週班表!$C$5:$T$44,$CU22,H$57),""),1),IFERROR(INDEX(醫師週班表!$C$5:$T$44,$CU22,H$57),"")))))))</f>
        <v/>
      </c>
      <c r="I22" s="72">
        <f>IF(I$59="X","",IF(I$59&lt;&gt;"",I$59,IF(IFERROR(INDEX(醫師週班表!$C$5:$T$44,$CU22,I$57),"")=0,"",IF(MID(IFERROR(INDEX(醫師週班表!$C$5:$T$44,$CU22,I$57),""),2,1)="/",MID(IFERROR(INDEX(醫師週班表!$C$5:$T$44,$CU22,I$57),""),1+I$58*2,1),IF(MID(IFERROR(INDEX(醫師週班表!$C$5:$T$44,$CU22,I$57),""),3,1)="隔",IF(I$58=0,LEFT(IFERROR(INDEX(醫師週班表!$C$5:$T$44,$CU22,I$57),""),1),""),IF(MID(IFERROR(INDEX(醫師週班表!$C$5:$T$44,$CU22,I$57),""),2,1)="(",LEFT(IFERROR(INDEX(醫師週班表!$C$5:$T$44,$CU22,I$57),""),1),IFERROR(INDEX(醫師週班表!$C$5:$T$44,$CU22,I$57),"")))))))</f>
        <v/>
      </c>
      <c r="J22" s="72">
        <f>IF(J$59="X","",IF(J$59&lt;&gt;"",J$59,IF(IFERROR(INDEX(醫師週班表!$C$5:$T$44,$CU22,J$57),"")=0,"",IF(MID(IFERROR(INDEX(醫師週班表!$C$5:$T$44,$CU22,J$57),""),2,1)="/",MID(IFERROR(INDEX(醫師週班表!$C$5:$T$44,$CU22,J$57),""),1+J$58*2,1),IF(MID(IFERROR(INDEX(醫師週班表!$C$5:$T$44,$CU22,J$57),""),3,1)="隔",IF(J$58=0,LEFT(IFERROR(INDEX(醫師週班表!$C$5:$T$44,$CU22,J$57),""),1),""),IF(MID(IFERROR(INDEX(醫師週班表!$C$5:$T$44,$CU22,J$57),""),2,1)="(",LEFT(IFERROR(INDEX(醫師週班表!$C$5:$T$44,$CU22,J$57),""),1),IFERROR(INDEX(醫師週班表!$C$5:$T$44,$CU22,J$57),"")))))))</f>
        <v/>
      </c>
      <c r="K22" s="71">
        <f>IF(K$59="X","",IF(K$59&lt;&gt;"",K$59,IF(IFERROR(INDEX(醫師週班表!$C$5:$T$44,$CU22,K$57),"")=0,"",IF(MID(IFERROR(INDEX(醫師週班表!$C$5:$T$44,$CU22,K$57),""),2,1)="/",MID(IFERROR(INDEX(醫師週班表!$C$5:$T$44,$CU22,K$57),""),1+K$58*2,1),IF(MID(IFERROR(INDEX(醫師週班表!$C$5:$T$44,$CU22,K$57),""),3,1)="隔",IF(K$58=0,LEFT(IFERROR(INDEX(醫師週班表!$C$5:$T$44,$CU22,K$57),""),1),""),IF(MID(IFERROR(INDEX(醫師週班表!$C$5:$T$44,$CU22,K$57),""),2,1)="(",LEFT(IFERROR(INDEX(醫師週班表!$C$5:$T$44,$CU22,K$57),""),1),IFERROR(INDEX(醫師週班表!$C$5:$T$44,$CU22,K$57),"")))))))</f>
        <v/>
      </c>
      <c r="L22" s="72">
        <f>IF(L$59="X","",IF(L$59&lt;&gt;"",L$59,IF(IFERROR(INDEX(醫師週班表!$C$5:$T$44,$CU22,L$57),"")=0,"",IF(MID(IFERROR(INDEX(醫師週班表!$C$5:$T$44,$CU22,L$57),""),2,1)="/",MID(IFERROR(INDEX(醫師週班表!$C$5:$T$44,$CU22,L$57),""),1+L$58*2,1),IF(MID(IFERROR(INDEX(醫師週班表!$C$5:$T$44,$CU22,L$57),""),3,1)="隔",IF(L$58=0,LEFT(IFERROR(INDEX(醫師週班表!$C$5:$T$44,$CU22,L$57),""),1),""),IF(MID(IFERROR(INDEX(醫師週班表!$C$5:$T$44,$CU22,L$57),""),2,1)="(",LEFT(IFERROR(INDEX(醫師週班表!$C$5:$T$44,$CU22,L$57),""),1),IFERROR(INDEX(醫師週班表!$C$5:$T$44,$CU22,L$57),"")))))))</f>
        <v/>
      </c>
      <c r="M22" s="72">
        <f>IF(M$59="X","",IF(M$59&lt;&gt;"",M$59,IF(IFERROR(INDEX(醫師週班表!$C$5:$T$44,$CU22,M$57),"")=0,"",IF(MID(IFERROR(INDEX(醫師週班表!$C$5:$T$44,$CU22,M$57),""),2,1)="/",MID(IFERROR(INDEX(醫師週班表!$C$5:$T$44,$CU22,M$57),""),1+M$58*2,1),IF(MID(IFERROR(INDEX(醫師週班表!$C$5:$T$44,$CU22,M$57),""),3,1)="隔",IF(M$58=0,LEFT(IFERROR(INDEX(醫師週班表!$C$5:$T$44,$CU22,M$57),""),1),""),IF(MID(IFERROR(INDEX(醫師週班表!$C$5:$T$44,$CU22,M$57),""),2,1)="(",LEFT(IFERROR(INDEX(醫師週班表!$C$5:$T$44,$CU22,M$57),""),1),IFERROR(INDEX(醫師週班表!$C$5:$T$44,$CU22,M$57),"")))))))</f>
        <v/>
      </c>
      <c r="N22" s="71">
        <f>IF(N$59="X","",IF(N$59&lt;&gt;"",N$59,IF(IFERROR(INDEX(醫師週班表!$C$5:$T$44,$CU22,N$57),"")=0,"",IF(MID(IFERROR(INDEX(醫師週班表!$C$5:$T$44,$CU22,N$57),""),2,1)="/",MID(IFERROR(INDEX(醫師週班表!$C$5:$T$44,$CU22,N$57),""),1+N$58*2,1),IF(MID(IFERROR(INDEX(醫師週班表!$C$5:$T$44,$CU22,N$57),""),3,1)="隔",IF(N$58=0,LEFT(IFERROR(INDEX(醫師週班表!$C$5:$T$44,$CU22,N$57),""),1),""),IF(MID(IFERROR(INDEX(醫師週班表!$C$5:$T$44,$CU22,N$57),""),2,1)="(",LEFT(IFERROR(INDEX(醫師週班表!$C$5:$T$44,$CU22,N$57),""),1),IFERROR(INDEX(醫師週班表!$C$5:$T$44,$CU22,N$57),"")))))))</f>
        <v/>
      </c>
      <c r="O22" s="72">
        <f>IF(O$59="X","",IF(O$59&lt;&gt;"",O$59,IF(IFERROR(INDEX(醫師週班表!$C$5:$T$44,$CU22,O$57),"")=0,"",IF(MID(IFERROR(INDEX(醫師週班表!$C$5:$T$44,$CU22,O$57),""),2,1)="/",MID(IFERROR(INDEX(醫師週班表!$C$5:$T$44,$CU22,O$57),""),1+O$58*2,1),IF(MID(IFERROR(INDEX(醫師週班表!$C$5:$T$44,$CU22,O$57),""),3,1)="隔",IF(O$58=0,LEFT(IFERROR(INDEX(醫師週班表!$C$5:$T$44,$CU22,O$57),""),1),""),IF(MID(IFERROR(INDEX(醫師週班表!$C$5:$T$44,$CU22,O$57),""),2,1)="(",LEFT(IFERROR(INDEX(醫師週班表!$C$5:$T$44,$CU22,O$57),""),1),IFERROR(INDEX(醫師週班表!$C$5:$T$44,$CU22,O$57),"")))))))</f>
        <v/>
      </c>
      <c r="P22" s="72">
        <f>IF(P$59="X","",IF(P$59&lt;&gt;"",P$59,IF(IFERROR(INDEX(醫師週班表!$C$5:$T$44,$CU22,P$57),"")=0,"",IF(MID(IFERROR(INDEX(醫師週班表!$C$5:$T$44,$CU22,P$57),""),2,1)="/",MID(IFERROR(INDEX(醫師週班表!$C$5:$T$44,$CU22,P$57),""),1+P$58*2,1),IF(MID(IFERROR(INDEX(醫師週班表!$C$5:$T$44,$CU22,P$57),""),3,1)="隔",IF(P$58=0,LEFT(IFERROR(INDEX(醫師週班表!$C$5:$T$44,$CU22,P$57),""),1),""),IF(MID(IFERROR(INDEX(醫師週班表!$C$5:$T$44,$CU22,P$57),""),2,1)="(",LEFT(IFERROR(INDEX(醫師週班表!$C$5:$T$44,$CU22,P$57),""),1),IFERROR(INDEX(醫師週班表!$C$5:$T$44,$CU22,P$57),"")))))))</f>
        <v/>
      </c>
      <c r="Q22" s="71">
        <f>IF(Q$59="X","",IF(Q$59&lt;&gt;"",Q$59,IF(IFERROR(INDEX(醫師週班表!$C$5:$T$44,$CU22,Q$57),"")=0,"",IF(MID(IFERROR(INDEX(醫師週班表!$C$5:$T$44,$CU22,Q$57),""),2,1)="/",MID(IFERROR(INDEX(醫師週班表!$C$5:$T$44,$CU22,Q$57),""),1+Q$58*2,1),IF(MID(IFERROR(INDEX(醫師週班表!$C$5:$T$44,$CU22,Q$57),""),3,1)="隔",IF(Q$58=0,LEFT(IFERROR(INDEX(醫師週班表!$C$5:$T$44,$CU22,Q$57),""),1),""),IF(MID(IFERROR(INDEX(醫師週班表!$C$5:$T$44,$CU22,Q$57),""),2,1)="(",LEFT(IFERROR(INDEX(醫師週班表!$C$5:$T$44,$CU22,Q$57),""),1),IFERROR(INDEX(醫師週班表!$C$5:$T$44,$CU22,Q$57),"")))))))</f>
        <v/>
      </c>
      <c r="R22" s="72">
        <f>IF(R$59="X","",IF(R$59&lt;&gt;"",R$59,IF(IFERROR(INDEX(醫師週班表!$C$5:$T$44,$CU22,R$57),"")=0,"",IF(MID(IFERROR(INDEX(醫師週班表!$C$5:$T$44,$CU22,R$57),""),2,1)="/",MID(IFERROR(INDEX(醫師週班表!$C$5:$T$44,$CU22,R$57),""),1+R$58*2,1),IF(MID(IFERROR(INDEX(醫師週班表!$C$5:$T$44,$CU22,R$57),""),3,1)="隔",IF(R$58=0,LEFT(IFERROR(INDEX(醫師週班表!$C$5:$T$44,$CU22,R$57),""),1),""),IF(MID(IFERROR(INDEX(醫師週班表!$C$5:$T$44,$CU22,R$57),""),2,1)="(",LEFT(IFERROR(INDEX(醫師週班表!$C$5:$T$44,$CU22,R$57),""),1),IFERROR(INDEX(醫師週班表!$C$5:$T$44,$CU22,R$57),"")))))))</f>
        <v/>
      </c>
      <c r="S22" s="72">
        <f>IF(S$59="X","",IF(S$59&lt;&gt;"",S$59,IF(IFERROR(INDEX(醫師週班表!$C$5:$T$44,$CU22,S$57),"")=0,"",IF(MID(IFERROR(INDEX(醫師週班表!$C$5:$T$44,$CU22,S$57),""),2,1)="/",MID(IFERROR(INDEX(醫師週班表!$C$5:$T$44,$CU22,S$57),""),1+S$58*2,1),IF(MID(IFERROR(INDEX(醫師週班表!$C$5:$T$44,$CU22,S$57),""),3,1)="隔",IF(S$58=0,LEFT(IFERROR(INDEX(醫師週班表!$C$5:$T$44,$CU22,S$57),""),1),""),IF(MID(IFERROR(INDEX(醫師週班表!$C$5:$T$44,$CU22,S$57),""),2,1)="(",LEFT(IFERROR(INDEX(醫師週班表!$C$5:$T$44,$CU22,S$57),""),1),IFERROR(INDEX(醫師週班表!$C$5:$T$44,$CU22,S$57),"")))))))</f>
        <v/>
      </c>
      <c r="T22" s="71">
        <f>IF(T$59="X","",IF(T$59&lt;&gt;"",T$59,IF(IFERROR(INDEX(醫師週班表!$C$5:$T$44,$CU22,T$57),"")=0,"",IF(MID(IFERROR(INDEX(醫師週班表!$C$5:$T$44,$CU22,T$57),""),2,1)="/",MID(IFERROR(INDEX(醫師週班表!$C$5:$T$44,$CU22,T$57),""),1+T$58*2,1),IF(MID(IFERROR(INDEX(醫師週班表!$C$5:$T$44,$CU22,T$57),""),3,1)="隔",IF(T$58=0,LEFT(IFERROR(INDEX(醫師週班表!$C$5:$T$44,$CU22,T$57),""),1),""),IF(MID(IFERROR(INDEX(醫師週班表!$C$5:$T$44,$CU22,T$57),""),2,1)="(",LEFT(IFERROR(INDEX(醫師週班表!$C$5:$T$44,$CU22,T$57),""),1),IFERROR(INDEX(醫師週班表!$C$5:$T$44,$CU22,T$57),"")))))))</f>
        <v/>
      </c>
      <c r="U22" s="72">
        <f>IF(U$59="X","",IF(U$59&lt;&gt;"",U$59,IF(IFERROR(INDEX(醫師週班表!$C$5:$T$44,$CU22,U$57),"")=0,"",IF(MID(IFERROR(INDEX(醫師週班表!$C$5:$T$44,$CU22,U$57),""),2,1)="/",MID(IFERROR(INDEX(醫師週班表!$C$5:$T$44,$CU22,U$57),""),1+U$58*2,1),IF(MID(IFERROR(INDEX(醫師週班表!$C$5:$T$44,$CU22,U$57),""),3,1)="隔",IF(U$58=0,LEFT(IFERROR(INDEX(醫師週班表!$C$5:$T$44,$CU22,U$57),""),1),""),IF(MID(IFERROR(INDEX(醫師週班表!$C$5:$T$44,$CU22,U$57),""),2,1)="(",LEFT(IFERROR(INDEX(醫師週班表!$C$5:$T$44,$CU22,U$57),""),1),IFERROR(INDEX(醫師週班表!$C$5:$T$44,$CU22,U$57),"")))))))</f>
        <v/>
      </c>
      <c r="V22" s="72">
        <f>IF(V$59="X","",IF(V$59&lt;&gt;"",V$59,IF(IFERROR(INDEX(醫師週班表!$C$5:$T$44,$CU22,V$57),"")=0,"",IF(MID(IFERROR(INDEX(醫師週班表!$C$5:$T$44,$CU22,V$57),""),2,1)="/",MID(IFERROR(INDEX(醫師週班表!$C$5:$T$44,$CU22,V$57),""),1+V$58*2,1),IF(MID(IFERROR(INDEX(醫師週班表!$C$5:$T$44,$CU22,V$57),""),3,1)="隔",IF(V$58=0,LEFT(IFERROR(INDEX(醫師週班表!$C$5:$T$44,$CU22,V$57),""),1),""),IF(MID(IFERROR(INDEX(醫師週班表!$C$5:$T$44,$CU22,V$57),""),2,1)="(",LEFT(IFERROR(INDEX(醫師週班表!$C$5:$T$44,$CU22,V$57),""),1),IFERROR(INDEX(醫師週班表!$C$5:$T$44,$CU22,V$57),"")))))))</f>
        <v/>
      </c>
      <c r="W22" s="71">
        <f>IF(W$59="X","",IF(W$59&lt;&gt;"",W$59,IF(IFERROR(INDEX(醫師週班表!$C$5:$T$44,$CU22,W$57),"")=0,"",IF(MID(IFERROR(INDEX(醫師週班表!$C$5:$T$44,$CU22,W$57),""),2,1)="/",MID(IFERROR(INDEX(醫師週班表!$C$5:$T$44,$CU22,W$57),""),1+W$58*2,1),IF(MID(IFERROR(INDEX(醫師週班表!$C$5:$T$44,$CU22,W$57),""),3,1)="隔",IF(W$58=0,LEFT(IFERROR(INDEX(醫師週班表!$C$5:$T$44,$CU22,W$57),""),1),""),IF(MID(IFERROR(INDEX(醫師週班表!$C$5:$T$44,$CU22,W$57),""),2,1)="(",LEFT(IFERROR(INDEX(醫師週班表!$C$5:$T$44,$CU22,W$57),""),1),IFERROR(INDEX(醫師週班表!$C$5:$T$44,$CU22,W$57),"")))))))</f>
        <v/>
      </c>
      <c r="X22" s="72">
        <f>IF(X$59="X","",IF(X$59&lt;&gt;"",X$59,IF(IFERROR(INDEX(醫師週班表!$C$5:$T$44,$CU22,X$57),"")=0,"",IF(MID(IFERROR(INDEX(醫師週班表!$C$5:$T$44,$CU22,X$57),""),2,1)="/",MID(IFERROR(INDEX(醫師週班表!$C$5:$T$44,$CU22,X$57),""),1+X$58*2,1),IF(MID(IFERROR(INDEX(醫師週班表!$C$5:$T$44,$CU22,X$57),""),3,1)="隔",IF(X$58=0,LEFT(IFERROR(INDEX(醫師週班表!$C$5:$T$44,$CU22,X$57),""),1),""),IF(MID(IFERROR(INDEX(醫師週班表!$C$5:$T$44,$CU22,X$57),""),2,1)="(",LEFT(IFERROR(INDEX(醫師週班表!$C$5:$T$44,$CU22,X$57),""),1),IFERROR(INDEX(醫師週班表!$C$5:$T$44,$CU22,X$57),"")))))))</f>
        <v/>
      </c>
      <c r="Y22" s="72">
        <f>IF(Y$59="X","",IF(Y$59&lt;&gt;"",Y$59,IF(IFERROR(INDEX(醫師週班表!$C$5:$T$44,$CU22,Y$57),"")=0,"",IF(MID(IFERROR(INDEX(醫師週班表!$C$5:$T$44,$CU22,Y$57),""),2,1)="/",MID(IFERROR(INDEX(醫師週班表!$C$5:$T$44,$CU22,Y$57),""),1+Y$58*2,1),IF(MID(IFERROR(INDEX(醫師週班表!$C$5:$T$44,$CU22,Y$57),""),3,1)="隔",IF(Y$58=0,LEFT(IFERROR(INDEX(醫師週班表!$C$5:$T$44,$CU22,Y$57),""),1),""),IF(MID(IFERROR(INDEX(醫師週班表!$C$5:$T$44,$CU22,Y$57),""),2,1)="(",LEFT(IFERROR(INDEX(醫師週班表!$C$5:$T$44,$CU22,Y$57),""),1),IFERROR(INDEX(醫師週班表!$C$5:$T$44,$CU22,Y$57),"")))))))</f>
        <v/>
      </c>
      <c r="Z22" s="71">
        <f>IF(Z$59="X","",IF(Z$59&lt;&gt;"",Z$59,IF(IFERROR(INDEX(醫師週班表!$C$5:$T$44,$CU22,Z$57),"")=0,"",IF(MID(IFERROR(INDEX(醫師週班表!$C$5:$T$44,$CU22,Z$57),""),2,1)="/",MID(IFERROR(INDEX(醫師週班表!$C$5:$T$44,$CU22,Z$57),""),1+Z$58*2,1),IF(MID(IFERROR(INDEX(醫師週班表!$C$5:$T$44,$CU22,Z$57),""),3,1)="隔",IF(Z$58=0,LEFT(IFERROR(INDEX(醫師週班表!$C$5:$T$44,$CU22,Z$57),""),1),""),IF(MID(IFERROR(INDEX(醫師週班表!$C$5:$T$44,$CU22,Z$57),""),2,1)="(",LEFT(IFERROR(INDEX(醫師週班表!$C$5:$T$44,$CU22,Z$57),""),1),IFERROR(INDEX(醫師週班表!$C$5:$T$44,$CU22,Z$57),"")))))))</f>
        <v/>
      </c>
      <c r="AA22" s="72">
        <f>IF(AA$59="X","",IF(AA$59&lt;&gt;"",AA$59,IF(IFERROR(INDEX(醫師週班表!$C$5:$T$44,$CU22,AA$57),"")=0,"",IF(MID(IFERROR(INDEX(醫師週班表!$C$5:$T$44,$CU22,AA$57),""),2,1)="/",MID(IFERROR(INDEX(醫師週班表!$C$5:$T$44,$CU22,AA$57),""),1+AA$58*2,1),IF(MID(IFERROR(INDEX(醫師週班表!$C$5:$T$44,$CU22,AA$57),""),3,1)="隔",IF(AA$58=0,LEFT(IFERROR(INDEX(醫師週班表!$C$5:$T$44,$CU22,AA$57),""),1),""),IF(MID(IFERROR(INDEX(醫師週班表!$C$5:$T$44,$CU22,AA$57),""),2,1)="(",LEFT(IFERROR(INDEX(醫師週班表!$C$5:$T$44,$CU22,AA$57),""),1),IFERROR(INDEX(醫師週班表!$C$5:$T$44,$CU22,AA$57),"")))))))</f>
        <v/>
      </c>
      <c r="AB22" s="72">
        <f>IF(AB$59="X","",IF(AB$59&lt;&gt;"",AB$59,IF(IFERROR(INDEX(醫師週班表!$C$5:$T$44,$CU22,AB$57),"")=0,"",IF(MID(IFERROR(INDEX(醫師週班表!$C$5:$T$44,$CU22,AB$57),""),2,1)="/",MID(IFERROR(INDEX(醫師週班表!$C$5:$T$44,$CU22,AB$57),""),1+AB$58*2,1),IF(MID(IFERROR(INDEX(醫師週班表!$C$5:$T$44,$CU22,AB$57),""),3,1)="隔",IF(AB$58=0,LEFT(IFERROR(INDEX(醫師週班表!$C$5:$T$44,$CU22,AB$57),""),1),""),IF(MID(IFERROR(INDEX(醫師週班表!$C$5:$T$44,$CU22,AB$57),""),2,1)="(",LEFT(IFERROR(INDEX(醫師週班表!$C$5:$T$44,$CU22,AB$57),""),1),IFERROR(INDEX(醫師週班表!$C$5:$T$44,$CU22,AB$57),"")))))))</f>
        <v/>
      </c>
      <c r="AC22" s="71">
        <f>IF(AC$59="X","",IF(AC$59&lt;&gt;"",AC$59,IF(IFERROR(INDEX(醫師週班表!$C$5:$T$44,$CU22,AC$57),"")=0,"",IF(MID(IFERROR(INDEX(醫師週班表!$C$5:$T$44,$CU22,AC$57),""),2,1)="/",MID(IFERROR(INDEX(醫師週班表!$C$5:$T$44,$CU22,AC$57),""),1+AC$58*2,1),IF(MID(IFERROR(INDEX(醫師週班表!$C$5:$T$44,$CU22,AC$57),""),3,1)="隔",IF(AC$58=0,LEFT(IFERROR(INDEX(醫師週班表!$C$5:$T$44,$CU22,AC$57),""),1),""),IF(MID(IFERROR(INDEX(醫師週班表!$C$5:$T$44,$CU22,AC$57),""),2,1)="(",LEFT(IFERROR(INDEX(醫師週班表!$C$5:$T$44,$CU22,AC$57),""),1),IFERROR(INDEX(醫師週班表!$C$5:$T$44,$CU22,AC$57),"")))))))</f>
        <v/>
      </c>
      <c r="AD22" s="72">
        <f>IF(AD$59="X","",IF(AD$59&lt;&gt;"",AD$59,IF(IFERROR(INDEX(醫師週班表!$C$5:$T$44,$CU22,AD$57),"")=0,"",IF(MID(IFERROR(INDEX(醫師週班表!$C$5:$T$44,$CU22,AD$57),""),2,1)="/",MID(IFERROR(INDEX(醫師週班表!$C$5:$T$44,$CU22,AD$57),""),1+AD$58*2,1),IF(MID(IFERROR(INDEX(醫師週班表!$C$5:$T$44,$CU22,AD$57),""),3,1)="隔",IF(AD$58=0,LEFT(IFERROR(INDEX(醫師週班表!$C$5:$T$44,$CU22,AD$57),""),1),""),IF(MID(IFERROR(INDEX(醫師週班表!$C$5:$T$44,$CU22,AD$57),""),2,1)="(",LEFT(IFERROR(INDEX(醫師週班表!$C$5:$T$44,$CU22,AD$57),""),1),IFERROR(INDEX(醫師週班表!$C$5:$T$44,$CU22,AD$57),"")))))))</f>
        <v/>
      </c>
      <c r="AE22" s="72">
        <f>IF(AE$59="X","",IF(AE$59&lt;&gt;"",AE$59,IF(IFERROR(INDEX(醫師週班表!$C$5:$T$44,$CU22,AE$57),"")=0,"",IF(MID(IFERROR(INDEX(醫師週班表!$C$5:$T$44,$CU22,AE$57),""),2,1)="/",MID(IFERROR(INDEX(醫師週班表!$C$5:$T$44,$CU22,AE$57),""),1+AE$58*2,1),IF(MID(IFERROR(INDEX(醫師週班表!$C$5:$T$44,$CU22,AE$57),""),3,1)="隔",IF(AE$58=0,LEFT(IFERROR(INDEX(醫師週班表!$C$5:$T$44,$CU22,AE$57),""),1),""),IF(MID(IFERROR(INDEX(醫師週班表!$C$5:$T$44,$CU22,AE$57),""),2,1)="(",LEFT(IFERROR(INDEX(醫師週班表!$C$5:$T$44,$CU22,AE$57),""),1),IFERROR(INDEX(醫師週班表!$C$5:$T$44,$CU22,AE$57),"")))))))</f>
        <v/>
      </c>
      <c r="AF22" s="71">
        <f>IF(AF$59="X","",IF(AF$59&lt;&gt;"",AF$59,IF(IFERROR(INDEX(醫師週班表!$C$5:$T$44,$CU22,AF$57),"")=0,"",IF(MID(IFERROR(INDEX(醫師週班表!$C$5:$T$44,$CU22,AF$57),""),2,1)="/",MID(IFERROR(INDEX(醫師週班表!$C$5:$T$44,$CU22,AF$57),""),1+AF$58*2,1),IF(MID(IFERROR(INDEX(醫師週班表!$C$5:$T$44,$CU22,AF$57),""),3,1)="隔",IF(AF$58=0,LEFT(IFERROR(INDEX(醫師週班表!$C$5:$T$44,$CU22,AF$57),""),1),""),IF(MID(IFERROR(INDEX(醫師週班表!$C$5:$T$44,$CU22,AF$57),""),2,1)="(",LEFT(IFERROR(INDEX(醫師週班表!$C$5:$T$44,$CU22,AF$57),""),1),IFERROR(INDEX(醫師週班表!$C$5:$T$44,$CU22,AF$57),"")))))))</f>
        <v/>
      </c>
      <c r="AG22" s="72">
        <f>IF(AG$59="X","",IF(AG$59&lt;&gt;"",AG$59,IF(IFERROR(INDEX(醫師週班表!$C$5:$T$44,$CU22,AG$57),"")=0,"",IF(MID(IFERROR(INDEX(醫師週班表!$C$5:$T$44,$CU22,AG$57),""),2,1)="/",MID(IFERROR(INDEX(醫師週班表!$C$5:$T$44,$CU22,AG$57),""),1+AG$58*2,1),IF(MID(IFERROR(INDEX(醫師週班表!$C$5:$T$44,$CU22,AG$57),""),3,1)="隔",IF(AG$58=0,LEFT(IFERROR(INDEX(醫師週班表!$C$5:$T$44,$CU22,AG$57),""),1),""),IF(MID(IFERROR(INDEX(醫師週班表!$C$5:$T$44,$CU22,AG$57),""),2,1)="(",LEFT(IFERROR(INDEX(醫師週班表!$C$5:$T$44,$CU22,AG$57),""),1),IFERROR(INDEX(醫師週班表!$C$5:$T$44,$CU22,AG$57),"")))))))</f>
        <v/>
      </c>
      <c r="AH22" s="72">
        <f>IF(AH$59="X","",IF(AH$59&lt;&gt;"",AH$59,IF(IFERROR(INDEX(醫師週班表!$C$5:$T$44,$CU22,AH$57),"")=0,"",IF(MID(IFERROR(INDEX(醫師週班表!$C$5:$T$44,$CU22,AH$57),""),2,1)="/",MID(IFERROR(INDEX(醫師週班表!$C$5:$T$44,$CU22,AH$57),""),1+AH$58*2,1),IF(MID(IFERROR(INDEX(醫師週班表!$C$5:$T$44,$CU22,AH$57),""),3,1)="隔",IF(AH$58=0,LEFT(IFERROR(INDEX(醫師週班表!$C$5:$T$44,$CU22,AH$57),""),1),""),IF(MID(IFERROR(INDEX(醫師週班表!$C$5:$T$44,$CU22,AH$57),""),2,1)="(",LEFT(IFERROR(INDEX(醫師週班表!$C$5:$T$44,$CU22,AH$57),""),1),IFERROR(INDEX(醫師週班表!$C$5:$T$44,$CU22,AH$57),"")))))))</f>
        <v/>
      </c>
      <c r="AI22" s="71">
        <f>IF(AI$59="X","",IF(AI$59&lt;&gt;"",AI$59,IF(IFERROR(INDEX(醫師週班表!$C$5:$T$44,$CU22,AI$57),"")=0,"",IF(MID(IFERROR(INDEX(醫師週班表!$C$5:$T$44,$CU22,AI$57),""),2,1)="/",MID(IFERROR(INDEX(醫師週班表!$C$5:$T$44,$CU22,AI$57),""),1+AI$58*2,1),IF(MID(IFERROR(INDEX(醫師週班表!$C$5:$T$44,$CU22,AI$57),""),3,1)="隔",IF(AI$58=0,LEFT(IFERROR(INDEX(醫師週班表!$C$5:$T$44,$CU22,AI$57),""),1),""),IF(MID(IFERROR(INDEX(醫師週班表!$C$5:$T$44,$CU22,AI$57),""),2,1)="(",LEFT(IFERROR(INDEX(醫師週班表!$C$5:$T$44,$CU22,AI$57),""),1),IFERROR(INDEX(醫師週班表!$C$5:$T$44,$CU22,AI$57),"")))))))</f>
        <v/>
      </c>
      <c r="AJ22" s="72">
        <f>IF(AJ$59="X","",IF(AJ$59&lt;&gt;"",AJ$59,IF(IFERROR(INDEX(醫師週班表!$C$5:$T$44,$CU22,AJ$57),"")=0,"",IF(MID(IFERROR(INDEX(醫師週班表!$C$5:$T$44,$CU22,AJ$57),""),2,1)="/",MID(IFERROR(INDEX(醫師週班表!$C$5:$T$44,$CU22,AJ$57),""),1+AJ$58*2,1),IF(MID(IFERROR(INDEX(醫師週班表!$C$5:$T$44,$CU22,AJ$57),""),3,1)="隔",IF(AJ$58=0,LEFT(IFERROR(INDEX(醫師週班表!$C$5:$T$44,$CU22,AJ$57),""),1),""),IF(MID(IFERROR(INDEX(醫師週班表!$C$5:$T$44,$CU22,AJ$57),""),2,1)="(",LEFT(IFERROR(INDEX(醫師週班表!$C$5:$T$44,$CU22,AJ$57),""),1),IFERROR(INDEX(醫師週班表!$C$5:$T$44,$CU22,AJ$57),"")))))))</f>
        <v/>
      </c>
      <c r="AK22" s="72">
        <f>IF(AK$59="X","",IF(AK$59&lt;&gt;"",AK$59,IF(IFERROR(INDEX(醫師週班表!$C$5:$T$44,$CU22,AK$57),"")=0,"",IF(MID(IFERROR(INDEX(醫師週班表!$C$5:$T$44,$CU22,AK$57),""),2,1)="/",MID(IFERROR(INDEX(醫師週班表!$C$5:$T$44,$CU22,AK$57),""),1+AK$58*2,1),IF(MID(IFERROR(INDEX(醫師週班表!$C$5:$T$44,$CU22,AK$57),""),3,1)="隔",IF(AK$58=0,LEFT(IFERROR(INDEX(醫師週班表!$C$5:$T$44,$CU22,AK$57),""),1),""),IF(MID(IFERROR(INDEX(醫師週班表!$C$5:$T$44,$CU22,AK$57),""),2,1)="(",LEFT(IFERROR(INDEX(醫師週班表!$C$5:$T$44,$CU22,AK$57),""),1),IFERROR(INDEX(醫師週班表!$C$5:$T$44,$CU22,AK$57),"")))))))</f>
        <v/>
      </c>
      <c r="AL22" s="71">
        <f>IF(AL$59="X","",IF(AL$59&lt;&gt;"",AL$59,IF(IFERROR(INDEX(醫師週班表!$C$5:$T$44,$CU22,AL$57),"")=0,"",IF(MID(IFERROR(INDEX(醫師週班表!$C$5:$T$44,$CU22,AL$57),""),2,1)="/",MID(IFERROR(INDEX(醫師週班表!$C$5:$T$44,$CU22,AL$57),""),1+AL$58*2,1),IF(MID(IFERROR(INDEX(醫師週班表!$C$5:$T$44,$CU22,AL$57),""),3,1)="隔",IF(AL$58=0,LEFT(IFERROR(INDEX(醫師週班表!$C$5:$T$44,$CU22,AL$57),""),1),""),IF(MID(IFERROR(INDEX(醫師週班表!$C$5:$T$44,$CU22,AL$57),""),2,1)="(",LEFT(IFERROR(INDEX(醫師週班表!$C$5:$T$44,$CU22,AL$57),""),1),IFERROR(INDEX(醫師週班表!$C$5:$T$44,$CU22,AL$57),"")))))))</f>
        <v/>
      </c>
      <c r="AM22" s="72">
        <f>IF(AM$59="X","",IF(AM$59&lt;&gt;"",AM$59,IF(IFERROR(INDEX(醫師週班表!$C$5:$T$44,$CU22,AM$57),"")=0,"",IF(MID(IFERROR(INDEX(醫師週班表!$C$5:$T$44,$CU22,AM$57),""),2,1)="/",MID(IFERROR(INDEX(醫師週班表!$C$5:$T$44,$CU22,AM$57),""),1+AM$58*2,1),IF(MID(IFERROR(INDEX(醫師週班表!$C$5:$T$44,$CU22,AM$57),""),3,1)="隔",IF(AM$58=0,LEFT(IFERROR(INDEX(醫師週班表!$C$5:$T$44,$CU22,AM$57),""),1),""),IF(MID(IFERROR(INDEX(醫師週班表!$C$5:$T$44,$CU22,AM$57),""),2,1)="(",LEFT(IFERROR(INDEX(醫師週班表!$C$5:$T$44,$CU22,AM$57),""),1),IFERROR(INDEX(醫師週班表!$C$5:$T$44,$CU22,AM$57),"")))))))</f>
        <v/>
      </c>
      <c r="AN22" s="72">
        <f>IF(AN$59="X","",IF(AN$59&lt;&gt;"",AN$59,IF(IFERROR(INDEX(醫師週班表!$C$5:$T$44,$CU22,AN$57),"")=0,"",IF(MID(IFERROR(INDEX(醫師週班表!$C$5:$T$44,$CU22,AN$57),""),2,1)="/",MID(IFERROR(INDEX(醫師週班表!$C$5:$T$44,$CU22,AN$57),""),1+AN$58*2,1),IF(MID(IFERROR(INDEX(醫師週班表!$C$5:$T$44,$CU22,AN$57),""),3,1)="隔",IF(AN$58=0,LEFT(IFERROR(INDEX(醫師週班表!$C$5:$T$44,$CU22,AN$57),""),1),""),IF(MID(IFERROR(INDEX(醫師週班表!$C$5:$T$44,$CU22,AN$57),""),2,1)="(",LEFT(IFERROR(INDEX(醫師週班表!$C$5:$T$44,$CU22,AN$57),""),1),IFERROR(INDEX(醫師週班表!$C$5:$T$44,$CU22,AN$57),"")))))))</f>
        <v/>
      </c>
      <c r="AO22" s="71">
        <f>IF(AO$59="X","",IF(AO$59&lt;&gt;"",AO$59,IF(IFERROR(INDEX(醫師週班表!$C$5:$T$44,$CU22,AO$57),"")=0,"",IF(MID(IFERROR(INDEX(醫師週班表!$C$5:$T$44,$CU22,AO$57),""),2,1)="/",MID(IFERROR(INDEX(醫師週班表!$C$5:$T$44,$CU22,AO$57),""),1+AO$58*2,1),IF(MID(IFERROR(INDEX(醫師週班表!$C$5:$T$44,$CU22,AO$57),""),3,1)="隔",IF(AO$58=0,LEFT(IFERROR(INDEX(醫師週班表!$C$5:$T$44,$CU22,AO$57),""),1),""),IF(MID(IFERROR(INDEX(醫師週班表!$C$5:$T$44,$CU22,AO$57),""),2,1)="(",LEFT(IFERROR(INDEX(醫師週班表!$C$5:$T$44,$CU22,AO$57),""),1),IFERROR(INDEX(醫師週班表!$C$5:$T$44,$CU22,AO$57),"")))))))</f>
        <v/>
      </c>
      <c r="AP22" s="72">
        <f>IF(AP$59="X","",IF(AP$59&lt;&gt;"",AP$59,IF(IFERROR(INDEX(醫師週班表!$C$5:$T$44,$CU22,AP$57),"")=0,"",IF(MID(IFERROR(INDEX(醫師週班表!$C$5:$T$44,$CU22,AP$57),""),2,1)="/",MID(IFERROR(INDEX(醫師週班表!$C$5:$T$44,$CU22,AP$57),""),1+AP$58*2,1),IF(MID(IFERROR(INDEX(醫師週班表!$C$5:$T$44,$CU22,AP$57),""),3,1)="隔",IF(AP$58=0,LEFT(IFERROR(INDEX(醫師週班表!$C$5:$T$44,$CU22,AP$57),""),1),""),IF(MID(IFERROR(INDEX(醫師週班表!$C$5:$T$44,$CU22,AP$57),""),2,1)="(",LEFT(IFERROR(INDEX(醫師週班表!$C$5:$T$44,$CU22,AP$57),""),1),IFERROR(INDEX(醫師週班表!$C$5:$T$44,$CU22,AP$57),"")))))))</f>
        <v/>
      </c>
      <c r="AQ22" s="72">
        <f>IF(AQ$59="X","",IF(AQ$59&lt;&gt;"",AQ$59,IF(IFERROR(INDEX(醫師週班表!$C$5:$T$44,$CU22,AQ$57),"")=0,"",IF(MID(IFERROR(INDEX(醫師週班表!$C$5:$T$44,$CU22,AQ$57),""),2,1)="/",MID(IFERROR(INDEX(醫師週班表!$C$5:$T$44,$CU22,AQ$57),""),1+AQ$58*2,1),IF(MID(IFERROR(INDEX(醫師週班表!$C$5:$T$44,$CU22,AQ$57),""),3,1)="隔",IF(AQ$58=0,LEFT(IFERROR(INDEX(醫師週班表!$C$5:$T$44,$CU22,AQ$57),""),1),""),IF(MID(IFERROR(INDEX(醫師週班表!$C$5:$T$44,$CU22,AQ$57),""),2,1)="(",LEFT(IFERROR(INDEX(醫師週班表!$C$5:$T$44,$CU22,AQ$57),""),1),IFERROR(INDEX(醫師週班表!$C$5:$T$44,$CU22,AQ$57),"")))))))</f>
        <v/>
      </c>
      <c r="AR22" s="71">
        <f>IF(AR$59="X","",IF(AR$59&lt;&gt;"",AR$59,IF(IFERROR(INDEX(醫師週班表!$C$5:$T$44,$CU22,AR$57),"")=0,"",IF(MID(IFERROR(INDEX(醫師週班表!$C$5:$T$44,$CU22,AR$57),""),2,1)="/",MID(IFERROR(INDEX(醫師週班表!$C$5:$T$44,$CU22,AR$57),""),1+AR$58*2,1),IF(MID(IFERROR(INDEX(醫師週班表!$C$5:$T$44,$CU22,AR$57),""),3,1)="隔",IF(AR$58=0,LEFT(IFERROR(INDEX(醫師週班表!$C$5:$T$44,$CU22,AR$57),""),1),""),IF(MID(IFERROR(INDEX(醫師週班表!$C$5:$T$44,$CU22,AR$57),""),2,1)="(",LEFT(IFERROR(INDEX(醫師週班表!$C$5:$T$44,$CU22,AR$57),""),1),IFERROR(INDEX(醫師週班表!$C$5:$T$44,$CU22,AR$57),"")))))))</f>
        <v/>
      </c>
      <c r="AS22" s="72">
        <f>IF(AS$59="X","",IF(AS$59&lt;&gt;"",AS$59,IF(IFERROR(INDEX(醫師週班表!$C$5:$T$44,$CU22,AS$57),"")=0,"",IF(MID(IFERROR(INDEX(醫師週班表!$C$5:$T$44,$CU22,AS$57),""),2,1)="/",MID(IFERROR(INDEX(醫師週班表!$C$5:$T$44,$CU22,AS$57),""),1+AS$58*2,1),IF(MID(IFERROR(INDEX(醫師週班表!$C$5:$T$44,$CU22,AS$57),""),3,1)="隔",IF(AS$58=0,LEFT(IFERROR(INDEX(醫師週班表!$C$5:$T$44,$CU22,AS$57),""),1),""),IF(MID(IFERROR(INDEX(醫師週班表!$C$5:$T$44,$CU22,AS$57),""),2,1)="(",LEFT(IFERROR(INDEX(醫師週班表!$C$5:$T$44,$CU22,AS$57),""),1),IFERROR(INDEX(醫師週班表!$C$5:$T$44,$CU22,AS$57),"")))))))</f>
        <v/>
      </c>
      <c r="AT22" s="72">
        <f>IF(AT$59="X","",IF(AT$59&lt;&gt;"",AT$59,IF(IFERROR(INDEX(醫師週班表!$C$5:$T$44,$CU22,AT$57),"")=0,"",IF(MID(IFERROR(INDEX(醫師週班表!$C$5:$T$44,$CU22,AT$57),""),2,1)="/",MID(IFERROR(INDEX(醫師週班表!$C$5:$T$44,$CU22,AT$57),""),1+AT$58*2,1),IF(MID(IFERROR(INDEX(醫師週班表!$C$5:$T$44,$CU22,AT$57),""),3,1)="隔",IF(AT$58=0,LEFT(IFERROR(INDEX(醫師週班表!$C$5:$T$44,$CU22,AT$57),""),1),""),IF(MID(IFERROR(INDEX(醫師週班表!$C$5:$T$44,$CU22,AT$57),""),2,1)="(",LEFT(IFERROR(INDEX(醫師週班表!$C$5:$T$44,$CU22,AT$57),""),1),IFERROR(INDEX(醫師週班表!$C$5:$T$44,$CU22,AT$57),"")))))))</f>
        <v/>
      </c>
      <c r="AU22" s="71">
        <f>IF(AU$59="X","",IF(AU$59&lt;&gt;"",AU$59,IF(IFERROR(INDEX(醫師週班表!$C$5:$T$44,$CU22,AU$57),"")=0,"",IF(MID(IFERROR(INDEX(醫師週班表!$C$5:$T$44,$CU22,AU$57),""),2,1)="/",MID(IFERROR(INDEX(醫師週班表!$C$5:$T$44,$CU22,AU$57),""),1+AU$58*2,1),IF(MID(IFERROR(INDEX(醫師週班表!$C$5:$T$44,$CU22,AU$57),""),3,1)="隔",IF(AU$58=0,LEFT(IFERROR(INDEX(醫師週班表!$C$5:$T$44,$CU22,AU$57),""),1),""),IF(MID(IFERROR(INDEX(醫師週班表!$C$5:$T$44,$CU22,AU$57),""),2,1)="(",LEFT(IFERROR(INDEX(醫師週班表!$C$5:$T$44,$CU22,AU$57),""),1),IFERROR(INDEX(醫師週班表!$C$5:$T$44,$CU22,AU$57),"")))))))</f>
        <v/>
      </c>
      <c r="AV22" s="72">
        <f>IF(AV$59="X","",IF(AV$59&lt;&gt;"",AV$59,IF(IFERROR(INDEX(醫師週班表!$C$5:$T$44,$CU22,AV$57),"")=0,"",IF(MID(IFERROR(INDEX(醫師週班表!$C$5:$T$44,$CU22,AV$57),""),2,1)="/",MID(IFERROR(INDEX(醫師週班表!$C$5:$T$44,$CU22,AV$57),""),1+AV$58*2,1),IF(MID(IFERROR(INDEX(醫師週班表!$C$5:$T$44,$CU22,AV$57),""),3,1)="隔",IF(AV$58=0,LEFT(IFERROR(INDEX(醫師週班表!$C$5:$T$44,$CU22,AV$57),""),1),""),IF(MID(IFERROR(INDEX(醫師週班表!$C$5:$T$44,$CU22,AV$57),""),2,1)="(",LEFT(IFERROR(INDEX(醫師週班表!$C$5:$T$44,$CU22,AV$57),""),1),IFERROR(INDEX(醫師週班表!$C$5:$T$44,$CU22,AV$57),"")))))))</f>
        <v/>
      </c>
      <c r="AW22" s="72">
        <f>IF(AW$59="X","",IF(AW$59&lt;&gt;"",AW$59,IF(IFERROR(INDEX(醫師週班表!$C$5:$T$44,$CU22,AW$57),"")=0,"",IF(MID(IFERROR(INDEX(醫師週班表!$C$5:$T$44,$CU22,AW$57),""),2,1)="/",MID(IFERROR(INDEX(醫師週班表!$C$5:$T$44,$CU22,AW$57),""),1+AW$58*2,1),IF(MID(IFERROR(INDEX(醫師週班表!$C$5:$T$44,$CU22,AW$57),""),3,1)="隔",IF(AW$58=0,LEFT(IFERROR(INDEX(醫師週班表!$C$5:$T$44,$CU22,AW$57),""),1),""),IF(MID(IFERROR(INDEX(醫師週班表!$C$5:$T$44,$CU22,AW$57),""),2,1)="(",LEFT(IFERROR(INDEX(醫師週班表!$C$5:$T$44,$CU22,AW$57),""),1),IFERROR(INDEX(醫師週班表!$C$5:$T$44,$CU22,AW$57),"")))))))</f>
        <v/>
      </c>
      <c r="AX22" s="71">
        <f>IF(AX$59="X","",IF(AX$59&lt;&gt;"",AX$59,IF(IFERROR(INDEX(醫師週班表!$C$5:$T$44,$CU22,AX$57),"")=0,"",IF(MID(IFERROR(INDEX(醫師週班表!$C$5:$T$44,$CU22,AX$57),""),2,1)="/",MID(IFERROR(INDEX(醫師週班表!$C$5:$T$44,$CU22,AX$57),""),1+AX$58*2,1),IF(MID(IFERROR(INDEX(醫師週班表!$C$5:$T$44,$CU22,AX$57),""),3,1)="隔",IF(AX$58=0,LEFT(IFERROR(INDEX(醫師週班表!$C$5:$T$44,$CU22,AX$57),""),1),""),IF(MID(IFERROR(INDEX(醫師週班表!$C$5:$T$44,$CU22,AX$57),""),2,1)="(",LEFT(IFERROR(INDEX(醫師週班表!$C$5:$T$44,$CU22,AX$57),""),1),IFERROR(INDEX(醫師週班表!$C$5:$T$44,$CU22,AX$57),"")))))))</f>
        <v/>
      </c>
      <c r="AY22" s="72">
        <f>IF(AY$59="X","",IF(AY$59&lt;&gt;"",AY$59,IF(IFERROR(INDEX(醫師週班表!$C$5:$T$44,$CU22,AY$57),"")=0,"",IF(MID(IFERROR(INDEX(醫師週班表!$C$5:$T$44,$CU22,AY$57),""),2,1)="/",MID(IFERROR(INDEX(醫師週班表!$C$5:$T$44,$CU22,AY$57),""),1+AY$58*2,1),IF(MID(IFERROR(INDEX(醫師週班表!$C$5:$T$44,$CU22,AY$57),""),3,1)="隔",IF(AY$58=0,LEFT(IFERROR(INDEX(醫師週班表!$C$5:$T$44,$CU22,AY$57),""),1),""),IF(MID(IFERROR(INDEX(醫師週班表!$C$5:$T$44,$CU22,AY$57),""),2,1)="(",LEFT(IFERROR(INDEX(醫師週班表!$C$5:$T$44,$CU22,AY$57),""),1),IFERROR(INDEX(醫師週班表!$C$5:$T$44,$CU22,AY$57),"")))))))</f>
        <v/>
      </c>
      <c r="AZ22" s="72">
        <f>IF(AZ$59="X","",IF(AZ$59&lt;&gt;"",AZ$59,IF(IFERROR(INDEX(醫師週班表!$C$5:$T$44,$CU22,AZ$57),"")=0,"",IF(MID(IFERROR(INDEX(醫師週班表!$C$5:$T$44,$CU22,AZ$57),""),2,1)="/",MID(IFERROR(INDEX(醫師週班表!$C$5:$T$44,$CU22,AZ$57),""),1+AZ$58*2,1),IF(MID(IFERROR(INDEX(醫師週班表!$C$5:$T$44,$CU22,AZ$57),""),3,1)="隔",IF(AZ$58=0,LEFT(IFERROR(INDEX(醫師週班表!$C$5:$T$44,$CU22,AZ$57),""),1),""),IF(MID(IFERROR(INDEX(醫師週班表!$C$5:$T$44,$CU22,AZ$57),""),2,1)="(",LEFT(IFERROR(INDEX(醫師週班表!$C$5:$T$44,$CU22,AZ$57),""),1),IFERROR(INDEX(醫師週班表!$C$5:$T$44,$CU22,AZ$57),"")))))))</f>
        <v/>
      </c>
      <c r="BA22" s="71">
        <f>IF(BA$59="X","",IF(BA$59&lt;&gt;"",BA$59,IF(IFERROR(INDEX(醫師週班表!$C$5:$T$44,$CU22,BA$57),"")=0,"",IF(MID(IFERROR(INDEX(醫師週班表!$C$5:$T$44,$CU22,BA$57),""),2,1)="/",MID(IFERROR(INDEX(醫師週班表!$C$5:$T$44,$CU22,BA$57),""),1+BA$58*2,1),IF(MID(IFERROR(INDEX(醫師週班表!$C$5:$T$44,$CU22,BA$57),""),3,1)="隔",IF(BA$58=0,LEFT(IFERROR(INDEX(醫師週班表!$C$5:$T$44,$CU22,BA$57),""),1),""),IF(MID(IFERROR(INDEX(醫師週班表!$C$5:$T$44,$CU22,BA$57),""),2,1)="(",LEFT(IFERROR(INDEX(醫師週班表!$C$5:$T$44,$CU22,BA$57),""),1),IFERROR(INDEX(醫師週班表!$C$5:$T$44,$CU22,BA$57),"")))))))</f>
        <v/>
      </c>
      <c r="BB22" s="72">
        <f>IF(BB$59="X","",IF(BB$59&lt;&gt;"",BB$59,IF(IFERROR(INDEX(醫師週班表!$C$5:$T$44,$CU22,BB$57),"")=0,"",IF(MID(IFERROR(INDEX(醫師週班表!$C$5:$T$44,$CU22,BB$57),""),2,1)="/",MID(IFERROR(INDEX(醫師週班表!$C$5:$T$44,$CU22,BB$57),""),1+BB$58*2,1),IF(MID(IFERROR(INDEX(醫師週班表!$C$5:$T$44,$CU22,BB$57),""),3,1)="隔",IF(BB$58=0,LEFT(IFERROR(INDEX(醫師週班表!$C$5:$T$44,$CU22,BB$57),""),1),""),IF(MID(IFERROR(INDEX(醫師週班表!$C$5:$T$44,$CU22,BB$57),""),2,1)="(",LEFT(IFERROR(INDEX(醫師週班表!$C$5:$T$44,$CU22,BB$57),""),1),IFERROR(INDEX(醫師週班表!$C$5:$T$44,$CU22,BB$57),"")))))))</f>
        <v/>
      </c>
      <c r="BC22" s="72">
        <f>IF(BC$59="X","",IF(BC$59&lt;&gt;"",BC$59,IF(IFERROR(INDEX(醫師週班表!$C$5:$T$44,$CU22,BC$57),"")=0,"",IF(MID(IFERROR(INDEX(醫師週班表!$C$5:$T$44,$CU22,BC$57),""),2,1)="/",MID(IFERROR(INDEX(醫師週班表!$C$5:$T$44,$CU22,BC$57),""),1+BC$58*2,1),IF(MID(IFERROR(INDEX(醫師週班表!$C$5:$T$44,$CU22,BC$57),""),3,1)="隔",IF(BC$58=0,LEFT(IFERROR(INDEX(醫師週班表!$C$5:$T$44,$CU22,BC$57),""),1),""),IF(MID(IFERROR(INDEX(醫師週班表!$C$5:$T$44,$CU22,BC$57),""),2,1)="(",LEFT(IFERROR(INDEX(醫師週班表!$C$5:$T$44,$CU22,BC$57),""),1),IFERROR(INDEX(醫師週班表!$C$5:$T$44,$CU22,BC$57),"")))))))</f>
        <v/>
      </c>
      <c r="BD22" s="71">
        <f>IF(BD$59="X","",IF(BD$59&lt;&gt;"",BD$59,IF(IFERROR(INDEX(醫師週班表!$C$5:$T$44,$CU22,BD$57),"")=0,"",IF(MID(IFERROR(INDEX(醫師週班表!$C$5:$T$44,$CU22,BD$57),""),2,1)="/",MID(IFERROR(INDEX(醫師週班表!$C$5:$T$44,$CU22,BD$57),""),1+BD$58*2,1),IF(MID(IFERROR(INDEX(醫師週班表!$C$5:$T$44,$CU22,BD$57),""),3,1)="隔",IF(BD$58=0,LEFT(IFERROR(INDEX(醫師週班表!$C$5:$T$44,$CU22,BD$57),""),1),""),IF(MID(IFERROR(INDEX(醫師週班表!$C$5:$T$44,$CU22,BD$57),""),2,1)="(",LEFT(IFERROR(INDEX(醫師週班表!$C$5:$T$44,$CU22,BD$57),""),1),IFERROR(INDEX(醫師週班表!$C$5:$T$44,$CU22,BD$57),"")))))))</f>
        <v/>
      </c>
      <c r="BE22" s="72">
        <f>IF(BE$59="X","",IF(BE$59&lt;&gt;"",BE$59,IF(IFERROR(INDEX(醫師週班表!$C$5:$T$44,$CU22,BE$57),"")=0,"",IF(MID(IFERROR(INDEX(醫師週班表!$C$5:$T$44,$CU22,BE$57),""),2,1)="/",MID(IFERROR(INDEX(醫師週班表!$C$5:$T$44,$CU22,BE$57),""),1+BE$58*2,1),IF(MID(IFERROR(INDEX(醫師週班表!$C$5:$T$44,$CU22,BE$57),""),3,1)="隔",IF(BE$58=0,LEFT(IFERROR(INDEX(醫師週班表!$C$5:$T$44,$CU22,BE$57),""),1),""),IF(MID(IFERROR(INDEX(醫師週班表!$C$5:$T$44,$CU22,BE$57),""),2,1)="(",LEFT(IFERROR(INDEX(醫師週班表!$C$5:$T$44,$CU22,BE$57),""),1),IFERROR(INDEX(醫師週班表!$C$5:$T$44,$CU22,BE$57),"")))))))</f>
        <v/>
      </c>
      <c r="BF22" s="72">
        <f>IF(BF$59="X","",IF(BF$59&lt;&gt;"",BF$59,IF(IFERROR(INDEX(醫師週班表!$C$5:$T$44,$CU22,BF$57),"")=0,"",IF(MID(IFERROR(INDEX(醫師週班表!$C$5:$T$44,$CU22,BF$57),""),2,1)="/",MID(IFERROR(INDEX(醫師週班表!$C$5:$T$44,$CU22,BF$57),""),1+BF$58*2,1),IF(MID(IFERROR(INDEX(醫師週班表!$C$5:$T$44,$CU22,BF$57),""),3,1)="隔",IF(BF$58=0,LEFT(IFERROR(INDEX(醫師週班表!$C$5:$T$44,$CU22,BF$57),""),1),""),IF(MID(IFERROR(INDEX(醫師週班表!$C$5:$T$44,$CU22,BF$57),""),2,1)="(",LEFT(IFERROR(INDEX(醫師週班表!$C$5:$T$44,$CU22,BF$57),""),1),IFERROR(INDEX(醫師週班表!$C$5:$T$44,$CU22,BF$57),"")))))))</f>
        <v/>
      </c>
      <c r="BG22" s="71">
        <f>IF(BG$59="X","",IF(BG$59&lt;&gt;"",BG$59,IF(IFERROR(INDEX(醫師週班表!$C$5:$T$44,$CU22,BG$57),"")=0,"",IF(MID(IFERROR(INDEX(醫師週班表!$C$5:$T$44,$CU22,BG$57),""),2,1)="/",MID(IFERROR(INDEX(醫師週班表!$C$5:$T$44,$CU22,BG$57),""),1+BG$58*2,1),IF(MID(IFERROR(INDEX(醫師週班表!$C$5:$T$44,$CU22,BG$57),""),3,1)="隔",IF(BG$58=0,LEFT(IFERROR(INDEX(醫師週班表!$C$5:$T$44,$CU22,BG$57),""),1),""),IF(MID(IFERROR(INDEX(醫師週班表!$C$5:$T$44,$CU22,BG$57),""),2,1)="(",LEFT(IFERROR(INDEX(醫師週班表!$C$5:$T$44,$CU22,BG$57),""),1),IFERROR(INDEX(醫師週班表!$C$5:$T$44,$CU22,BG$57),"")))))))</f>
        <v/>
      </c>
      <c r="BH22" s="72">
        <f>IF(BH$59="X","",IF(BH$59&lt;&gt;"",BH$59,IF(IFERROR(INDEX(醫師週班表!$C$5:$T$44,$CU22,BH$57),"")=0,"",IF(MID(IFERROR(INDEX(醫師週班表!$C$5:$T$44,$CU22,BH$57),""),2,1)="/",MID(IFERROR(INDEX(醫師週班表!$C$5:$T$44,$CU22,BH$57),""),1+BH$58*2,1),IF(MID(IFERROR(INDEX(醫師週班表!$C$5:$T$44,$CU22,BH$57),""),3,1)="隔",IF(BH$58=0,LEFT(IFERROR(INDEX(醫師週班表!$C$5:$T$44,$CU22,BH$57),""),1),""),IF(MID(IFERROR(INDEX(醫師週班表!$C$5:$T$44,$CU22,BH$57),""),2,1)="(",LEFT(IFERROR(INDEX(醫師週班表!$C$5:$T$44,$CU22,BH$57),""),1),IFERROR(INDEX(醫師週班表!$C$5:$T$44,$CU22,BH$57),"")))))))</f>
        <v/>
      </c>
      <c r="BI22" s="72">
        <f>IF(BI$59="X","",IF(BI$59&lt;&gt;"",BI$59,IF(IFERROR(INDEX(醫師週班表!$C$5:$T$44,$CU22,BI$57),"")=0,"",IF(MID(IFERROR(INDEX(醫師週班表!$C$5:$T$44,$CU22,BI$57),""),2,1)="/",MID(IFERROR(INDEX(醫師週班表!$C$5:$T$44,$CU22,BI$57),""),1+BI$58*2,1),IF(MID(IFERROR(INDEX(醫師週班表!$C$5:$T$44,$CU22,BI$57),""),3,1)="隔",IF(BI$58=0,LEFT(IFERROR(INDEX(醫師週班表!$C$5:$T$44,$CU22,BI$57),""),1),""),IF(MID(IFERROR(INDEX(醫師週班表!$C$5:$T$44,$CU22,BI$57),""),2,1)="(",LEFT(IFERROR(INDEX(醫師週班表!$C$5:$T$44,$CU22,BI$57),""),1),IFERROR(INDEX(醫師週班表!$C$5:$T$44,$CU22,BI$57),"")))))))</f>
        <v/>
      </c>
      <c r="BJ22" s="71">
        <f>IF(BJ$59="X","",IF(BJ$59&lt;&gt;"",BJ$59,IF(IFERROR(INDEX(醫師週班表!$C$5:$T$44,$CU22,BJ$57),"")=0,"",IF(MID(IFERROR(INDEX(醫師週班表!$C$5:$T$44,$CU22,BJ$57),""),2,1)="/",MID(IFERROR(INDEX(醫師週班表!$C$5:$T$44,$CU22,BJ$57),""),1+BJ$58*2,1),IF(MID(IFERROR(INDEX(醫師週班表!$C$5:$T$44,$CU22,BJ$57),""),3,1)="隔",IF(BJ$58=0,LEFT(IFERROR(INDEX(醫師週班表!$C$5:$T$44,$CU22,BJ$57),""),1),""),IF(MID(IFERROR(INDEX(醫師週班表!$C$5:$T$44,$CU22,BJ$57),""),2,1)="(",LEFT(IFERROR(INDEX(醫師週班表!$C$5:$T$44,$CU22,BJ$57),""),1),IFERROR(INDEX(醫師週班表!$C$5:$T$44,$CU22,BJ$57),"")))))))</f>
        <v/>
      </c>
      <c r="BK22" s="72">
        <f>IF(BK$59="X","",IF(BK$59&lt;&gt;"",BK$59,IF(IFERROR(INDEX(醫師週班表!$C$5:$T$44,$CU22,BK$57),"")=0,"",IF(MID(IFERROR(INDEX(醫師週班表!$C$5:$T$44,$CU22,BK$57),""),2,1)="/",MID(IFERROR(INDEX(醫師週班表!$C$5:$T$44,$CU22,BK$57),""),1+BK$58*2,1),IF(MID(IFERROR(INDEX(醫師週班表!$C$5:$T$44,$CU22,BK$57),""),3,1)="隔",IF(BK$58=0,LEFT(IFERROR(INDEX(醫師週班表!$C$5:$T$44,$CU22,BK$57),""),1),""),IF(MID(IFERROR(INDEX(醫師週班表!$C$5:$T$44,$CU22,BK$57),""),2,1)="(",LEFT(IFERROR(INDEX(醫師週班表!$C$5:$T$44,$CU22,BK$57),""),1),IFERROR(INDEX(醫師週班表!$C$5:$T$44,$CU22,BK$57),"")))))))</f>
        <v/>
      </c>
      <c r="BL22" s="72">
        <f>IF(BL$59="X","",IF(BL$59&lt;&gt;"",BL$59,IF(IFERROR(INDEX(醫師週班表!$C$5:$T$44,$CU22,BL$57),"")=0,"",IF(MID(IFERROR(INDEX(醫師週班表!$C$5:$T$44,$CU22,BL$57),""),2,1)="/",MID(IFERROR(INDEX(醫師週班表!$C$5:$T$44,$CU22,BL$57),""),1+BL$58*2,1),IF(MID(IFERROR(INDEX(醫師週班表!$C$5:$T$44,$CU22,BL$57),""),3,1)="隔",IF(BL$58=0,LEFT(IFERROR(INDEX(醫師週班表!$C$5:$T$44,$CU22,BL$57),""),1),""),IF(MID(IFERROR(INDEX(醫師週班表!$C$5:$T$44,$CU22,BL$57),""),2,1)="(",LEFT(IFERROR(INDEX(醫師週班表!$C$5:$T$44,$CU22,BL$57),""),1),IFERROR(INDEX(醫師週班表!$C$5:$T$44,$CU22,BL$57),"")))))))</f>
        <v/>
      </c>
      <c r="BM22" s="71">
        <f>IF(BM$59="X","",IF(BM$59&lt;&gt;"",BM$59,IF(IFERROR(INDEX(醫師週班表!$C$5:$T$44,$CU22,BM$57),"")=0,"",IF(MID(IFERROR(INDEX(醫師週班表!$C$5:$T$44,$CU22,BM$57),""),2,1)="/",MID(IFERROR(INDEX(醫師週班表!$C$5:$T$44,$CU22,BM$57),""),1+BM$58*2,1),IF(MID(IFERROR(INDEX(醫師週班表!$C$5:$T$44,$CU22,BM$57),""),3,1)="隔",IF(BM$58=0,LEFT(IFERROR(INDEX(醫師週班表!$C$5:$T$44,$CU22,BM$57),""),1),""),IF(MID(IFERROR(INDEX(醫師週班表!$C$5:$T$44,$CU22,BM$57),""),2,1)="(",LEFT(IFERROR(INDEX(醫師週班表!$C$5:$T$44,$CU22,BM$57),""),1),IFERROR(INDEX(醫師週班表!$C$5:$T$44,$CU22,BM$57),"")))))))</f>
        <v/>
      </c>
      <c r="BN22" s="72">
        <f>IF(BN$59="X","",IF(BN$59&lt;&gt;"",BN$59,IF(IFERROR(INDEX(醫師週班表!$C$5:$T$44,$CU22,BN$57),"")=0,"",IF(MID(IFERROR(INDEX(醫師週班表!$C$5:$T$44,$CU22,BN$57),""),2,1)="/",MID(IFERROR(INDEX(醫師週班表!$C$5:$T$44,$CU22,BN$57),""),1+BN$58*2,1),IF(MID(IFERROR(INDEX(醫師週班表!$C$5:$T$44,$CU22,BN$57),""),3,1)="隔",IF(BN$58=0,LEFT(IFERROR(INDEX(醫師週班表!$C$5:$T$44,$CU22,BN$57),""),1),""),IF(MID(IFERROR(INDEX(醫師週班表!$C$5:$T$44,$CU22,BN$57),""),2,1)="(",LEFT(IFERROR(INDEX(醫師週班表!$C$5:$T$44,$CU22,BN$57),""),1),IFERROR(INDEX(醫師週班表!$C$5:$T$44,$CU22,BN$57),"")))))))</f>
        <v/>
      </c>
      <c r="BO22" s="72">
        <f>IF(BO$59="X","",IF(BO$59&lt;&gt;"",BO$59,IF(IFERROR(INDEX(醫師週班表!$C$5:$T$44,$CU22,BO$57),"")=0,"",IF(MID(IFERROR(INDEX(醫師週班表!$C$5:$T$44,$CU22,BO$57),""),2,1)="/",MID(IFERROR(INDEX(醫師週班表!$C$5:$T$44,$CU22,BO$57),""),1+BO$58*2,1),IF(MID(IFERROR(INDEX(醫師週班表!$C$5:$T$44,$CU22,BO$57),""),3,1)="隔",IF(BO$58=0,LEFT(IFERROR(INDEX(醫師週班表!$C$5:$T$44,$CU22,BO$57),""),1),""),IF(MID(IFERROR(INDEX(醫師週班表!$C$5:$T$44,$CU22,BO$57),""),2,1)="(",LEFT(IFERROR(INDEX(醫師週班表!$C$5:$T$44,$CU22,BO$57),""),1),IFERROR(INDEX(醫師週班表!$C$5:$T$44,$CU22,BO$57),"")))))))</f>
        <v/>
      </c>
      <c r="BP22" s="71">
        <f>IF(BP$59="X","",IF(BP$59&lt;&gt;"",BP$59,IF(IFERROR(INDEX(醫師週班表!$C$5:$T$44,$CU22,BP$57),"")=0,"",IF(MID(IFERROR(INDEX(醫師週班表!$C$5:$T$44,$CU22,BP$57),""),2,1)="/",MID(IFERROR(INDEX(醫師週班表!$C$5:$T$44,$CU22,BP$57),""),1+BP$58*2,1),IF(MID(IFERROR(INDEX(醫師週班表!$C$5:$T$44,$CU22,BP$57),""),3,1)="隔",IF(BP$58=0,LEFT(IFERROR(INDEX(醫師週班表!$C$5:$T$44,$CU22,BP$57),""),1),""),IF(MID(IFERROR(INDEX(醫師週班表!$C$5:$T$44,$CU22,BP$57),""),2,1)="(",LEFT(IFERROR(INDEX(醫師週班表!$C$5:$T$44,$CU22,BP$57),""),1),IFERROR(INDEX(醫師週班表!$C$5:$T$44,$CU22,BP$57),"")))))))</f>
        <v/>
      </c>
      <c r="BQ22" s="72">
        <f>IF(BQ$59="X","",IF(BQ$59&lt;&gt;"",BQ$59,IF(IFERROR(INDEX(醫師週班表!$C$5:$T$44,$CU22,BQ$57),"")=0,"",IF(MID(IFERROR(INDEX(醫師週班表!$C$5:$T$44,$CU22,BQ$57),""),2,1)="/",MID(IFERROR(INDEX(醫師週班表!$C$5:$T$44,$CU22,BQ$57),""),1+BQ$58*2,1),IF(MID(IFERROR(INDEX(醫師週班表!$C$5:$T$44,$CU22,BQ$57),""),3,1)="隔",IF(BQ$58=0,LEFT(IFERROR(INDEX(醫師週班表!$C$5:$T$44,$CU22,BQ$57),""),1),""),IF(MID(IFERROR(INDEX(醫師週班表!$C$5:$T$44,$CU22,BQ$57),""),2,1)="(",LEFT(IFERROR(INDEX(醫師週班表!$C$5:$T$44,$CU22,BQ$57),""),1),IFERROR(INDEX(醫師週班表!$C$5:$T$44,$CU22,BQ$57),"")))))))</f>
        <v/>
      </c>
      <c r="BR22" s="72">
        <f>IF(BR$59="X","",IF(BR$59&lt;&gt;"",BR$59,IF(IFERROR(INDEX(醫師週班表!$C$5:$T$44,$CU22,BR$57),"")=0,"",IF(MID(IFERROR(INDEX(醫師週班表!$C$5:$T$44,$CU22,BR$57),""),2,1)="/",MID(IFERROR(INDEX(醫師週班表!$C$5:$T$44,$CU22,BR$57),""),1+BR$58*2,1),IF(MID(IFERROR(INDEX(醫師週班表!$C$5:$T$44,$CU22,BR$57),""),3,1)="隔",IF(BR$58=0,LEFT(IFERROR(INDEX(醫師週班表!$C$5:$T$44,$CU22,BR$57),""),1),""),IF(MID(IFERROR(INDEX(醫師週班表!$C$5:$T$44,$CU22,BR$57),""),2,1)="(",LEFT(IFERROR(INDEX(醫師週班表!$C$5:$T$44,$CU22,BR$57),""),1),IFERROR(INDEX(醫師週班表!$C$5:$T$44,$CU22,BR$57),"")))))))</f>
        <v/>
      </c>
      <c r="BS22" s="71">
        <f>IF(BS$59="X","",IF(BS$59&lt;&gt;"",BS$59,IF(IFERROR(INDEX(醫師週班表!$C$5:$T$44,$CU22,BS$57),"")=0,"",IF(MID(IFERROR(INDEX(醫師週班表!$C$5:$T$44,$CU22,BS$57),""),2,1)="/",MID(IFERROR(INDEX(醫師週班表!$C$5:$T$44,$CU22,BS$57),""),1+BS$58*2,1),IF(MID(IFERROR(INDEX(醫師週班表!$C$5:$T$44,$CU22,BS$57),""),3,1)="隔",IF(BS$58=0,LEFT(IFERROR(INDEX(醫師週班表!$C$5:$T$44,$CU22,BS$57),""),1),""),IF(MID(IFERROR(INDEX(醫師週班表!$C$5:$T$44,$CU22,BS$57),""),2,1)="(",LEFT(IFERROR(INDEX(醫師週班表!$C$5:$T$44,$CU22,BS$57),""),1),IFERROR(INDEX(醫師週班表!$C$5:$T$44,$CU22,BS$57),"")))))))</f>
        <v/>
      </c>
      <c r="BT22" s="72">
        <f>IF(BT$59="X","",IF(BT$59&lt;&gt;"",BT$59,IF(IFERROR(INDEX(醫師週班表!$C$5:$T$44,$CU22,BT$57),"")=0,"",IF(MID(IFERROR(INDEX(醫師週班表!$C$5:$T$44,$CU22,BT$57),""),2,1)="/",MID(IFERROR(INDEX(醫師週班表!$C$5:$T$44,$CU22,BT$57),""),1+BT$58*2,1),IF(MID(IFERROR(INDEX(醫師週班表!$C$5:$T$44,$CU22,BT$57),""),3,1)="隔",IF(BT$58=0,LEFT(IFERROR(INDEX(醫師週班表!$C$5:$T$44,$CU22,BT$57),""),1),""),IF(MID(IFERROR(INDEX(醫師週班表!$C$5:$T$44,$CU22,BT$57),""),2,1)="(",LEFT(IFERROR(INDEX(醫師週班表!$C$5:$T$44,$CU22,BT$57),""),1),IFERROR(INDEX(醫師週班表!$C$5:$T$44,$CU22,BT$57),"")))))))</f>
        <v/>
      </c>
      <c r="BU22" s="72">
        <f>IF(BU$59="X","",IF(BU$59&lt;&gt;"",BU$59,IF(IFERROR(INDEX(醫師週班表!$C$5:$T$44,$CU22,BU$57),"")=0,"",IF(MID(IFERROR(INDEX(醫師週班表!$C$5:$T$44,$CU22,BU$57),""),2,1)="/",MID(IFERROR(INDEX(醫師週班表!$C$5:$T$44,$CU22,BU$57),""),1+BU$58*2,1),IF(MID(IFERROR(INDEX(醫師週班表!$C$5:$T$44,$CU22,BU$57),""),3,1)="隔",IF(BU$58=0,LEFT(IFERROR(INDEX(醫師週班表!$C$5:$T$44,$CU22,BU$57),""),1),""),IF(MID(IFERROR(INDEX(醫師週班表!$C$5:$T$44,$CU22,BU$57),""),2,1)="(",LEFT(IFERROR(INDEX(醫師週班表!$C$5:$T$44,$CU22,BU$57),""),1),IFERROR(INDEX(醫師週班表!$C$5:$T$44,$CU22,BU$57),"")))))))</f>
        <v/>
      </c>
      <c r="BV22" s="71">
        <f>IF(BV$59="X","",IF(BV$59&lt;&gt;"",BV$59,IF(IFERROR(INDEX(醫師週班表!$C$5:$T$44,$CU22,BV$57),"")=0,"",IF(MID(IFERROR(INDEX(醫師週班表!$C$5:$T$44,$CU22,BV$57),""),2,1)="/",MID(IFERROR(INDEX(醫師週班表!$C$5:$T$44,$CU22,BV$57),""),1+BV$58*2,1),IF(MID(IFERROR(INDEX(醫師週班表!$C$5:$T$44,$CU22,BV$57),""),3,1)="隔",IF(BV$58=0,LEFT(IFERROR(INDEX(醫師週班表!$C$5:$T$44,$CU22,BV$57),""),1),""),IF(MID(IFERROR(INDEX(醫師週班表!$C$5:$T$44,$CU22,BV$57),""),2,1)="(",LEFT(IFERROR(INDEX(醫師週班表!$C$5:$T$44,$CU22,BV$57),""),1),IFERROR(INDEX(醫師週班表!$C$5:$T$44,$CU22,BV$57),"")))))))</f>
        <v/>
      </c>
      <c r="BW22" s="72">
        <f>IF(BW$59="X","",IF(BW$59&lt;&gt;"",BW$59,IF(IFERROR(INDEX(醫師週班表!$C$5:$T$44,$CU22,BW$57),"")=0,"",IF(MID(IFERROR(INDEX(醫師週班表!$C$5:$T$44,$CU22,BW$57),""),2,1)="/",MID(IFERROR(INDEX(醫師週班表!$C$5:$T$44,$CU22,BW$57),""),1+BW$58*2,1),IF(MID(IFERROR(INDEX(醫師週班表!$C$5:$T$44,$CU22,BW$57),""),3,1)="隔",IF(BW$58=0,LEFT(IFERROR(INDEX(醫師週班表!$C$5:$T$44,$CU22,BW$57),""),1),""),IF(MID(IFERROR(INDEX(醫師週班表!$C$5:$T$44,$CU22,BW$57),""),2,1)="(",LEFT(IFERROR(INDEX(醫師週班表!$C$5:$T$44,$CU22,BW$57),""),1),IFERROR(INDEX(醫師週班表!$C$5:$T$44,$CU22,BW$57),"")))))))</f>
        <v/>
      </c>
      <c r="BX22" s="72">
        <f>IF(BX$59="X","",IF(BX$59&lt;&gt;"",BX$59,IF(IFERROR(INDEX(醫師週班表!$C$5:$T$44,$CU22,BX$57),"")=0,"",IF(MID(IFERROR(INDEX(醫師週班表!$C$5:$T$44,$CU22,BX$57),""),2,1)="/",MID(IFERROR(INDEX(醫師週班表!$C$5:$T$44,$CU22,BX$57),""),1+BX$58*2,1),IF(MID(IFERROR(INDEX(醫師週班表!$C$5:$T$44,$CU22,BX$57),""),3,1)="隔",IF(BX$58=0,LEFT(IFERROR(INDEX(醫師週班表!$C$5:$T$44,$CU22,BX$57),""),1),""),IF(MID(IFERROR(INDEX(醫師週班表!$C$5:$T$44,$CU22,BX$57),""),2,1)="(",LEFT(IFERROR(INDEX(醫師週班表!$C$5:$T$44,$CU22,BX$57),""),1),IFERROR(INDEX(醫師週班表!$C$5:$T$44,$CU22,BX$57),"")))))))</f>
        <v/>
      </c>
      <c r="BY22" s="71">
        <f>IF(BY$59="X","",IF(BY$59&lt;&gt;"",BY$59,IF(IFERROR(INDEX(醫師週班表!$C$5:$T$44,$CU22,BY$57),"")=0,"",IF(MID(IFERROR(INDEX(醫師週班表!$C$5:$T$44,$CU22,BY$57),""),2,1)="/",MID(IFERROR(INDEX(醫師週班表!$C$5:$T$44,$CU22,BY$57),""),1+BY$58*2,1),IF(MID(IFERROR(INDEX(醫師週班表!$C$5:$T$44,$CU22,BY$57),""),3,1)="隔",IF(BY$58=0,LEFT(IFERROR(INDEX(醫師週班表!$C$5:$T$44,$CU22,BY$57),""),1),""),IF(MID(IFERROR(INDEX(醫師週班表!$C$5:$T$44,$CU22,BY$57),""),2,1)="(",LEFT(IFERROR(INDEX(醫師週班表!$C$5:$T$44,$CU22,BY$57),""),1),IFERROR(INDEX(醫師週班表!$C$5:$T$44,$CU22,BY$57),"")))))))</f>
        <v/>
      </c>
      <c r="BZ22" s="72">
        <f>IF(BZ$59="X","",IF(BZ$59&lt;&gt;"",BZ$59,IF(IFERROR(INDEX(醫師週班表!$C$5:$T$44,$CU22,BZ$57),"")=0,"",IF(MID(IFERROR(INDEX(醫師週班表!$C$5:$T$44,$CU22,BZ$57),""),2,1)="/",MID(IFERROR(INDEX(醫師週班表!$C$5:$T$44,$CU22,BZ$57),""),1+BZ$58*2,1),IF(MID(IFERROR(INDEX(醫師週班表!$C$5:$T$44,$CU22,BZ$57),""),3,1)="隔",IF(BZ$58=0,LEFT(IFERROR(INDEX(醫師週班表!$C$5:$T$44,$CU22,BZ$57),""),1),""),IF(MID(IFERROR(INDEX(醫師週班表!$C$5:$T$44,$CU22,BZ$57),""),2,1)="(",LEFT(IFERROR(INDEX(醫師週班表!$C$5:$T$44,$CU22,BZ$57),""),1),IFERROR(INDEX(醫師週班表!$C$5:$T$44,$CU22,BZ$57),"")))))))</f>
        <v/>
      </c>
      <c r="CA22" s="72">
        <f>IF(CA$59="X","",IF(CA$59&lt;&gt;"",CA$59,IF(IFERROR(INDEX(醫師週班表!$C$5:$T$44,$CU22,CA$57),"")=0,"",IF(MID(IFERROR(INDEX(醫師週班表!$C$5:$T$44,$CU22,CA$57),""),2,1)="/",MID(IFERROR(INDEX(醫師週班表!$C$5:$T$44,$CU22,CA$57),""),1+CA$58*2,1),IF(MID(IFERROR(INDEX(醫師週班表!$C$5:$T$44,$CU22,CA$57),""),3,1)="隔",IF(CA$58=0,LEFT(IFERROR(INDEX(醫師週班表!$C$5:$T$44,$CU22,CA$57),""),1),""),IF(MID(IFERROR(INDEX(醫師週班表!$C$5:$T$44,$CU22,CA$57),""),2,1)="(",LEFT(IFERROR(INDEX(醫師週班表!$C$5:$T$44,$CU22,CA$57),""),1),IFERROR(INDEX(醫師週班表!$C$5:$T$44,$CU22,CA$57),"")))))))</f>
        <v/>
      </c>
      <c r="CB22" s="71">
        <f>IF(CB$59="X","",IF(CB$59&lt;&gt;"",CB$59,IF(IFERROR(INDEX(醫師週班表!$C$5:$T$44,$CU22,CB$57),"")=0,"",IF(MID(IFERROR(INDEX(醫師週班表!$C$5:$T$44,$CU22,CB$57),""),2,1)="/",MID(IFERROR(INDEX(醫師週班表!$C$5:$T$44,$CU22,CB$57),""),1+CB$58*2,1),IF(MID(IFERROR(INDEX(醫師週班表!$C$5:$T$44,$CU22,CB$57),""),3,1)="隔",IF(CB$58=0,LEFT(IFERROR(INDEX(醫師週班表!$C$5:$T$44,$CU22,CB$57),""),1),""),IF(MID(IFERROR(INDEX(醫師週班表!$C$5:$T$44,$CU22,CB$57),""),2,1)="(",LEFT(IFERROR(INDEX(醫師週班表!$C$5:$T$44,$CU22,CB$57),""),1),IFERROR(INDEX(醫師週班表!$C$5:$T$44,$CU22,CB$57),"")))))))</f>
        <v/>
      </c>
      <c r="CC22" s="72">
        <f>IF(CC$59="X","",IF(CC$59&lt;&gt;"",CC$59,IF(IFERROR(INDEX(醫師週班表!$C$5:$T$44,$CU22,CC$57),"")=0,"",IF(MID(IFERROR(INDEX(醫師週班表!$C$5:$T$44,$CU22,CC$57),""),2,1)="/",MID(IFERROR(INDEX(醫師週班表!$C$5:$T$44,$CU22,CC$57),""),1+CC$58*2,1),IF(MID(IFERROR(INDEX(醫師週班表!$C$5:$T$44,$CU22,CC$57),""),3,1)="隔",IF(CC$58=0,LEFT(IFERROR(INDEX(醫師週班表!$C$5:$T$44,$CU22,CC$57),""),1),""),IF(MID(IFERROR(INDEX(醫師週班表!$C$5:$T$44,$CU22,CC$57),""),2,1)="(",LEFT(IFERROR(INDEX(醫師週班表!$C$5:$T$44,$CU22,CC$57),""),1),IFERROR(INDEX(醫師週班表!$C$5:$T$44,$CU22,CC$57),"")))))))</f>
        <v/>
      </c>
      <c r="CD22" s="72">
        <f>IF(CD$59="X","",IF(CD$59&lt;&gt;"",CD$59,IF(IFERROR(INDEX(醫師週班表!$C$5:$T$44,$CU22,CD$57),"")=0,"",IF(MID(IFERROR(INDEX(醫師週班表!$C$5:$T$44,$CU22,CD$57),""),2,1)="/",MID(IFERROR(INDEX(醫師週班表!$C$5:$T$44,$CU22,CD$57),""),1+CD$58*2,1),IF(MID(IFERROR(INDEX(醫師週班表!$C$5:$T$44,$CU22,CD$57),""),3,1)="隔",IF(CD$58=0,LEFT(IFERROR(INDEX(醫師週班表!$C$5:$T$44,$CU22,CD$57),""),1),""),IF(MID(IFERROR(INDEX(醫師週班表!$C$5:$T$44,$CU22,CD$57),""),2,1)="(",LEFT(IFERROR(INDEX(醫師週班表!$C$5:$T$44,$CU22,CD$57),""),1),IFERROR(INDEX(醫師週班表!$C$5:$T$44,$CU22,CD$57),"")))))))</f>
        <v/>
      </c>
      <c r="CE22" s="71">
        <f>IF(CE$59="X","",IF(CE$59&lt;&gt;"",CE$59,IF(IFERROR(INDEX(醫師週班表!$C$5:$T$44,$CU22,CE$57),"")=0,"",IF(MID(IFERROR(INDEX(醫師週班表!$C$5:$T$44,$CU22,CE$57),""),2,1)="/",MID(IFERROR(INDEX(醫師週班表!$C$5:$T$44,$CU22,CE$57),""),1+CE$58*2,1),IF(MID(IFERROR(INDEX(醫師週班表!$C$5:$T$44,$CU22,CE$57),""),3,1)="隔",IF(CE$58=0,LEFT(IFERROR(INDEX(醫師週班表!$C$5:$T$44,$CU22,CE$57),""),1),""),IF(MID(IFERROR(INDEX(醫師週班表!$C$5:$T$44,$CU22,CE$57),""),2,1)="(",LEFT(IFERROR(INDEX(醫師週班表!$C$5:$T$44,$CU22,CE$57),""),1),IFERROR(INDEX(醫師週班表!$C$5:$T$44,$CU22,CE$57),"")))))))</f>
        <v/>
      </c>
      <c r="CF22" s="72">
        <f>IF(CF$59="X","",IF(CF$59&lt;&gt;"",CF$59,IF(IFERROR(INDEX(醫師週班表!$C$5:$T$44,$CU22,CF$57),"")=0,"",IF(MID(IFERROR(INDEX(醫師週班表!$C$5:$T$44,$CU22,CF$57),""),2,1)="/",MID(IFERROR(INDEX(醫師週班表!$C$5:$T$44,$CU22,CF$57),""),1+CF$58*2,1),IF(MID(IFERROR(INDEX(醫師週班表!$C$5:$T$44,$CU22,CF$57),""),3,1)="隔",IF(CF$58=0,LEFT(IFERROR(INDEX(醫師週班表!$C$5:$T$44,$CU22,CF$57),""),1),""),IF(MID(IFERROR(INDEX(醫師週班表!$C$5:$T$44,$CU22,CF$57),""),2,1)="(",LEFT(IFERROR(INDEX(醫師週班表!$C$5:$T$44,$CU22,CF$57),""),1),IFERROR(INDEX(醫師週班表!$C$5:$T$44,$CU22,CF$57),"")))))))</f>
        <v/>
      </c>
      <c r="CG22" s="72">
        <f>IF(CG$59="X","",IF(CG$59&lt;&gt;"",CG$59,IF(IFERROR(INDEX(醫師週班表!$C$5:$T$44,$CU22,CG$57),"")=0,"",IF(MID(IFERROR(INDEX(醫師週班表!$C$5:$T$44,$CU22,CG$57),""),2,1)="/",MID(IFERROR(INDEX(醫師週班表!$C$5:$T$44,$CU22,CG$57),""),1+CG$58*2,1),IF(MID(IFERROR(INDEX(醫師週班表!$C$5:$T$44,$CU22,CG$57),""),3,1)="隔",IF(CG$58=0,LEFT(IFERROR(INDEX(醫師週班表!$C$5:$T$44,$CU22,CG$57),""),1),""),IF(MID(IFERROR(INDEX(醫師週班表!$C$5:$T$44,$CU22,CG$57),""),2,1)="(",LEFT(IFERROR(INDEX(醫師週班表!$C$5:$T$44,$CU22,CG$57),""),1),IFERROR(INDEX(醫師週班表!$C$5:$T$44,$CU22,CG$57),"")))))))</f>
        <v/>
      </c>
      <c r="CH22" s="71">
        <f>IF(CH$59="X","",IF(CH$59&lt;&gt;"",CH$59,IF(IFERROR(INDEX(醫師週班表!$C$5:$T$44,$CU22,CH$57),"")=0,"",IF(MID(IFERROR(INDEX(醫師週班表!$C$5:$T$44,$CU22,CH$57),""),2,1)="/",MID(IFERROR(INDEX(醫師週班表!$C$5:$T$44,$CU22,CH$57),""),1+CH$58*2,1),IF(MID(IFERROR(INDEX(醫師週班表!$C$5:$T$44,$CU22,CH$57),""),3,1)="隔",IF(CH$58=0,LEFT(IFERROR(INDEX(醫師週班表!$C$5:$T$44,$CU22,CH$57),""),1),""),IF(MID(IFERROR(INDEX(醫師週班表!$C$5:$T$44,$CU22,CH$57),""),2,1)="(",LEFT(IFERROR(INDEX(醫師週班表!$C$5:$T$44,$CU22,CH$57),""),1),IFERROR(INDEX(醫師週班表!$C$5:$T$44,$CU22,CH$57),"")))))))</f>
        <v/>
      </c>
      <c r="CI22" s="72">
        <f>IF(CI$59="X","",IF(CI$59&lt;&gt;"",CI$59,IF(IFERROR(INDEX(醫師週班表!$C$5:$T$44,$CU22,CI$57),"")=0,"",IF(MID(IFERROR(INDEX(醫師週班表!$C$5:$T$44,$CU22,CI$57),""),2,1)="/",MID(IFERROR(INDEX(醫師週班表!$C$5:$T$44,$CU22,CI$57),""),1+CI$58*2,1),IF(MID(IFERROR(INDEX(醫師週班表!$C$5:$T$44,$CU22,CI$57),""),3,1)="隔",IF(CI$58=0,LEFT(IFERROR(INDEX(醫師週班表!$C$5:$T$44,$CU22,CI$57),""),1),""),IF(MID(IFERROR(INDEX(醫師週班表!$C$5:$T$44,$CU22,CI$57),""),2,1)="(",LEFT(IFERROR(INDEX(醫師週班表!$C$5:$T$44,$CU22,CI$57),""),1),IFERROR(INDEX(醫師週班表!$C$5:$T$44,$CU22,CI$57),"")))))))</f>
        <v/>
      </c>
      <c r="CJ22" s="72">
        <f>IF(CJ$59="X","",IF(CJ$59&lt;&gt;"",CJ$59,IF(IFERROR(INDEX(醫師週班表!$C$5:$T$44,$CU22,CJ$57),"")=0,"",IF(MID(IFERROR(INDEX(醫師週班表!$C$5:$T$44,$CU22,CJ$57),""),2,1)="/",MID(IFERROR(INDEX(醫師週班表!$C$5:$T$44,$CU22,CJ$57),""),1+CJ$58*2,1),IF(MID(IFERROR(INDEX(醫師週班表!$C$5:$T$44,$CU22,CJ$57),""),3,1)="隔",IF(CJ$58=0,LEFT(IFERROR(INDEX(醫師週班表!$C$5:$T$44,$CU22,CJ$57),""),1),""),IF(MID(IFERROR(INDEX(醫師週班表!$C$5:$T$44,$CU22,CJ$57),""),2,1)="(",LEFT(IFERROR(INDEX(醫師週班表!$C$5:$T$44,$CU22,CJ$57),""),1),IFERROR(INDEX(醫師週班表!$C$5:$T$44,$CU22,CJ$57),"")))))))</f>
        <v/>
      </c>
      <c r="CK22" s="71">
        <f>IF(CK$59="X","",IF(CK$59&lt;&gt;"",CK$59,IF(IFERROR(INDEX(醫師週班表!$C$5:$T$44,$CU22,CK$57),"")=0,"",IF(MID(IFERROR(INDEX(醫師週班表!$C$5:$T$44,$CU22,CK$57),""),2,1)="/",MID(IFERROR(INDEX(醫師週班表!$C$5:$T$44,$CU22,CK$57),""),1+CK$58*2,1),IF(MID(IFERROR(INDEX(醫師週班表!$C$5:$T$44,$CU22,CK$57),""),3,1)="隔",IF(CK$58=0,LEFT(IFERROR(INDEX(醫師週班表!$C$5:$T$44,$CU22,CK$57),""),1),""),IF(MID(IFERROR(INDEX(醫師週班表!$C$5:$T$44,$CU22,CK$57),""),2,1)="(",LEFT(IFERROR(INDEX(醫師週班表!$C$5:$T$44,$CU22,CK$57),""),1),IFERROR(INDEX(醫師週班表!$C$5:$T$44,$CU22,CK$57),"")))))))</f>
        <v/>
      </c>
      <c r="CL22" s="72">
        <f>IF(CL$59="X","",IF(CL$59&lt;&gt;"",CL$59,IF(IFERROR(INDEX(醫師週班表!$C$5:$T$44,$CU22,CL$57),"")=0,"",IF(MID(IFERROR(INDEX(醫師週班表!$C$5:$T$44,$CU22,CL$57),""),2,1)="/",MID(IFERROR(INDEX(醫師週班表!$C$5:$T$44,$CU22,CL$57),""),1+CL$58*2,1),IF(MID(IFERROR(INDEX(醫師週班表!$C$5:$T$44,$CU22,CL$57),""),3,1)="隔",IF(CL$58=0,LEFT(IFERROR(INDEX(醫師週班表!$C$5:$T$44,$CU22,CL$57),""),1),""),IF(MID(IFERROR(INDEX(醫師週班表!$C$5:$T$44,$CU22,CL$57),""),2,1)="(",LEFT(IFERROR(INDEX(醫師週班表!$C$5:$T$44,$CU22,CL$57),""),1),IFERROR(INDEX(醫師週班表!$C$5:$T$44,$CU22,CL$57),"")))))))</f>
        <v/>
      </c>
      <c r="CM22" s="72">
        <f>IF(CM$59="X","",IF(CM$59&lt;&gt;"",CM$59,IF(IFERROR(INDEX(醫師週班表!$C$5:$T$44,$CU22,CM$57),"")=0,"",IF(MID(IFERROR(INDEX(醫師週班表!$C$5:$T$44,$CU22,CM$57),""),2,1)="/",MID(IFERROR(INDEX(醫師週班表!$C$5:$T$44,$CU22,CM$57),""),1+CM$58*2,1),IF(MID(IFERROR(INDEX(醫師週班表!$C$5:$T$44,$CU22,CM$57),""),3,1)="隔",IF(CM$58=0,LEFT(IFERROR(INDEX(醫師週班表!$C$5:$T$44,$CU22,CM$57),""),1),""),IF(MID(IFERROR(INDEX(醫師週班表!$C$5:$T$44,$CU22,CM$57),""),2,1)="(",LEFT(IFERROR(INDEX(醫師週班表!$C$5:$T$44,$CU22,CM$57),""),1),IFERROR(INDEX(醫師週班表!$C$5:$T$44,$CU22,CM$57),"")))))))</f>
        <v/>
      </c>
      <c r="CN22" s="71">
        <f>IF(CN$59="X","",IF(CN$59&lt;&gt;"",CN$59,IF(IFERROR(INDEX(醫師週班表!$C$5:$T$44,$CU22,CN$57),"")=0,"",IF(MID(IFERROR(INDEX(醫師週班表!$C$5:$T$44,$CU22,CN$57),""),2,1)="/",MID(IFERROR(INDEX(醫師週班表!$C$5:$T$44,$CU22,CN$57),""),1+CN$58*2,1),IF(MID(IFERROR(INDEX(醫師週班表!$C$5:$T$44,$CU22,CN$57),""),3,1)="隔",IF(CN$58=0,LEFT(IFERROR(INDEX(醫師週班表!$C$5:$T$44,$CU22,CN$57),""),1),""),IF(MID(IFERROR(INDEX(醫師週班表!$C$5:$T$44,$CU22,CN$57),""),2,1)="(",LEFT(IFERROR(INDEX(醫師週班表!$C$5:$T$44,$CU22,CN$57),""),1),IFERROR(INDEX(醫師週班表!$C$5:$T$44,$CU22,CN$57),"")))))))</f>
        <v/>
      </c>
      <c r="CO22" s="72">
        <f>IF(CO$59="X","",IF(CO$59&lt;&gt;"",CO$59,IF(IFERROR(INDEX(醫師週班表!$C$5:$T$44,$CU22,CO$57),"")=0,"",IF(MID(IFERROR(INDEX(醫師週班表!$C$5:$T$44,$CU22,CO$57),""),2,1)="/",MID(IFERROR(INDEX(醫師週班表!$C$5:$T$44,$CU22,CO$57),""),1+CO$58*2,1),IF(MID(IFERROR(INDEX(醫師週班表!$C$5:$T$44,$CU22,CO$57),""),3,1)="隔",IF(CO$58=0,LEFT(IFERROR(INDEX(醫師週班表!$C$5:$T$44,$CU22,CO$57),""),1),""),IF(MID(IFERROR(INDEX(醫師週班表!$C$5:$T$44,$CU22,CO$57),""),2,1)="(",LEFT(IFERROR(INDEX(醫師週班表!$C$5:$T$44,$CU22,CO$57),""),1),IFERROR(INDEX(醫師週班表!$C$5:$T$44,$CU22,CO$57),"")))))))</f>
        <v/>
      </c>
      <c r="CP22" s="72">
        <f>IF(CP$59="X","",IF(CP$59&lt;&gt;"",CP$59,IF(IFERROR(INDEX(醫師週班表!$C$5:$T$44,$CU22,CP$57),"")=0,"",IF(MID(IFERROR(INDEX(醫師週班表!$C$5:$T$44,$CU22,CP$57),""),2,1)="/",MID(IFERROR(INDEX(醫師週班表!$C$5:$T$44,$CU22,CP$57),""),1+CP$58*2,1),IF(MID(IFERROR(INDEX(醫師週班表!$C$5:$T$44,$CU22,CP$57),""),3,1)="隔",IF(CP$58=0,LEFT(IFERROR(INDEX(醫師週班表!$C$5:$T$44,$CU22,CP$57),""),1),""),IF(MID(IFERROR(INDEX(醫師週班表!$C$5:$T$44,$CU22,CP$57),""),2,1)="(",LEFT(IFERROR(INDEX(醫師週班表!$C$5:$T$44,$CU22,CP$57),""),1),IFERROR(INDEX(醫師週班表!$C$5:$T$44,$CU22,CP$57),"")))))))</f>
        <v/>
      </c>
      <c r="CQ22" s="71">
        <f>IF(CQ$59="X","",IF(CQ$59&lt;&gt;"",CQ$59,IF(IFERROR(INDEX(醫師週班表!$C$5:$T$44,$CU22,CQ$57),"")=0,"",IF(MID(IFERROR(INDEX(醫師週班表!$C$5:$T$44,$CU22,CQ$57),""),2,1)="/",MID(IFERROR(INDEX(醫師週班表!$C$5:$T$44,$CU22,CQ$57),""),1+CQ$58*2,1),IF(MID(IFERROR(INDEX(醫師週班表!$C$5:$T$44,$CU22,CQ$57),""),3,1)="隔",IF(CQ$58=0,LEFT(IFERROR(INDEX(醫師週班表!$C$5:$T$44,$CU22,CQ$57),""),1),""),IF(MID(IFERROR(INDEX(醫師週班表!$C$5:$T$44,$CU22,CQ$57),""),2,1)="(",LEFT(IFERROR(INDEX(醫師週班表!$C$5:$T$44,$CU22,CQ$57),""),1),IFERROR(INDEX(醫師週班表!$C$5:$T$44,$CU22,CQ$57),"")))))))</f>
        <v/>
      </c>
      <c r="CR22" s="72">
        <f>IF(CR$59="X","",IF(CR$59&lt;&gt;"",CR$59,IF(IFERROR(INDEX(醫師週班表!$C$5:$T$44,$CU22,CR$57),"")=0,"",IF(MID(IFERROR(INDEX(醫師週班表!$C$5:$T$44,$CU22,CR$57),""),2,1)="/",MID(IFERROR(INDEX(醫師週班表!$C$5:$T$44,$CU22,CR$57),""),1+CR$58*2,1),IF(MID(IFERROR(INDEX(醫師週班表!$C$5:$T$44,$CU22,CR$57),""),3,1)="隔",IF(CR$58=0,LEFT(IFERROR(INDEX(醫師週班表!$C$5:$T$44,$CU22,CR$57),""),1),""),IF(MID(IFERROR(INDEX(醫師週班表!$C$5:$T$44,$CU22,CR$57),""),2,1)="(",LEFT(IFERROR(INDEX(醫師週班表!$C$5:$T$44,$CU22,CR$57),""),1),IFERROR(INDEX(醫師週班表!$C$5:$T$44,$CU22,CR$57),"")))))))</f>
        <v/>
      </c>
      <c r="CS22" s="72">
        <f>IF(CS$59="X","",IF(CS$59&lt;&gt;"",CS$59,IF(IFERROR(INDEX(醫師週班表!$C$5:$T$44,$CU22,CS$57),"")=0,"",IF(MID(IFERROR(INDEX(醫師週班表!$C$5:$T$44,$CU22,CS$57),""),2,1)="/",MID(IFERROR(INDEX(醫師週班表!$C$5:$T$44,$CU22,CS$57),""),1+CS$58*2,1),IF(MID(IFERROR(INDEX(醫師週班表!$C$5:$T$44,$CU22,CS$57),""),3,1)="隔",IF(CS$58=0,LEFT(IFERROR(INDEX(醫師週班表!$C$5:$T$44,$CU22,CS$57),""),1),""),IF(MID(IFERROR(INDEX(醫師週班表!$C$5:$T$44,$CU22,CS$57),""),2,1)="(",LEFT(IFERROR(INDEX(醫師週班表!$C$5:$T$44,$CU22,CS$57),""),1),IFERROR(INDEX(醫師週班表!$C$5:$T$44,$CU22,CS$57),"")))))))</f>
        <v/>
      </c>
      <c r="CU22" s="73">
        <f>IFERROR(MATCH($A22,醫師週班表!$A$5:$A$44,0),0)</f>
        <v/>
      </c>
    </row>
    <row r="23" ht="17" customHeight="1">
      <c r="A23" s="19" t="inlineStr">
        <is>
          <t>D018</t>
        </is>
      </c>
      <c r="B23" s="16" t="inlineStr">
        <is>
          <t>許博諺</t>
        </is>
      </c>
      <c r="C23" s="70" t="inlineStr"/>
      <c r="D23" s="16" t="inlineStr"/>
      <c r="E23" s="71">
        <f>IF(E$59="X","",IF(E$59&lt;&gt;"",E$59,IF(IFERROR(INDEX(醫師週班表!$C$5:$T$44,$CU23,E$57),"")=0,"",IF(MID(IFERROR(INDEX(醫師週班表!$C$5:$T$44,$CU23,E$57),""),2,1)="/",MID(IFERROR(INDEX(醫師週班表!$C$5:$T$44,$CU23,E$57),""),1+E$58*2,1),IF(MID(IFERROR(INDEX(醫師週班表!$C$5:$T$44,$CU23,E$57),""),3,1)="隔",IF(E$58=0,LEFT(IFERROR(INDEX(醫師週班表!$C$5:$T$44,$CU23,E$57),""),1),""),IF(MID(IFERROR(INDEX(醫師週班表!$C$5:$T$44,$CU23,E$57),""),2,1)="(",LEFT(IFERROR(INDEX(醫師週班表!$C$5:$T$44,$CU23,E$57),""),1),IFERROR(INDEX(醫師週班表!$C$5:$T$44,$CU23,E$57),"")))))))</f>
        <v/>
      </c>
      <c r="F23" s="72">
        <f>IF(F$59="X","",IF(F$59&lt;&gt;"",F$59,IF(IFERROR(INDEX(醫師週班表!$C$5:$T$44,$CU23,F$57),"")=0,"",IF(MID(IFERROR(INDEX(醫師週班表!$C$5:$T$44,$CU23,F$57),""),2,1)="/",MID(IFERROR(INDEX(醫師週班表!$C$5:$T$44,$CU23,F$57),""),1+F$58*2,1),IF(MID(IFERROR(INDEX(醫師週班表!$C$5:$T$44,$CU23,F$57),""),3,1)="隔",IF(F$58=0,LEFT(IFERROR(INDEX(醫師週班表!$C$5:$T$44,$CU23,F$57),""),1),""),IF(MID(IFERROR(INDEX(醫師週班表!$C$5:$T$44,$CU23,F$57),""),2,1)="(",LEFT(IFERROR(INDEX(醫師週班表!$C$5:$T$44,$CU23,F$57),""),1),IFERROR(INDEX(醫師週班表!$C$5:$T$44,$CU23,F$57),"")))))))</f>
        <v/>
      </c>
      <c r="G23" s="72">
        <f>IF(G$59="X","",IF(G$59&lt;&gt;"",G$59,IF(IFERROR(INDEX(醫師週班表!$C$5:$T$44,$CU23,G$57),"")=0,"",IF(MID(IFERROR(INDEX(醫師週班表!$C$5:$T$44,$CU23,G$57),""),2,1)="/",MID(IFERROR(INDEX(醫師週班表!$C$5:$T$44,$CU23,G$57),""),1+G$58*2,1),IF(MID(IFERROR(INDEX(醫師週班表!$C$5:$T$44,$CU23,G$57),""),3,1)="隔",IF(G$58=0,LEFT(IFERROR(INDEX(醫師週班表!$C$5:$T$44,$CU23,G$57),""),1),""),IF(MID(IFERROR(INDEX(醫師週班表!$C$5:$T$44,$CU23,G$57),""),2,1)="(",LEFT(IFERROR(INDEX(醫師週班表!$C$5:$T$44,$CU23,G$57),""),1),IFERROR(INDEX(醫師週班表!$C$5:$T$44,$CU23,G$57),"")))))))</f>
        <v/>
      </c>
      <c r="H23" s="71">
        <f>IF(H$59="X","",IF(H$59&lt;&gt;"",H$59,IF(IFERROR(INDEX(醫師週班表!$C$5:$T$44,$CU23,H$57),"")=0,"",IF(MID(IFERROR(INDEX(醫師週班表!$C$5:$T$44,$CU23,H$57),""),2,1)="/",MID(IFERROR(INDEX(醫師週班表!$C$5:$T$44,$CU23,H$57),""),1+H$58*2,1),IF(MID(IFERROR(INDEX(醫師週班表!$C$5:$T$44,$CU23,H$57),""),3,1)="隔",IF(H$58=0,LEFT(IFERROR(INDEX(醫師週班表!$C$5:$T$44,$CU23,H$57),""),1),""),IF(MID(IFERROR(INDEX(醫師週班表!$C$5:$T$44,$CU23,H$57),""),2,1)="(",LEFT(IFERROR(INDEX(醫師週班表!$C$5:$T$44,$CU23,H$57),""),1),IFERROR(INDEX(醫師週班表!$C$5:$T$44,$CU23,H$57),"")))))))</f>
        <v/>
      </c>
      <c r="I23" s="72">
        <f>IF(I$59="X","",IF(I$59&lt;&gt;"",I$59,IF(IFERROR(INDEX(醫師週班表!$C$5:$T$44,$CU23,I$57),"")=0,"",IF(MID(IFERROR(INDEX(醫師週班表!$C$5:$T$44,$CU23,I$57),""),2,1)="/",MID(IFERROR(INDEX(醫師週班表!$C$5:$T$44,$CU23,I$57),""),1+I$58*2,1),IF(MID(IFERROR(INDEX(醫師週班表!$C$5:$T$44,$CU23,I$57),""),3,1)="隔",IF(I$58=0,LEFT(IFERROR(INDEX(醫師週班表!$C$5:$T$44,$CU23,I$57),""),1),""),IF(MID(IFERROR(INDEX(醫師週班表!$C$5:$T$44,$CU23,I$57),""),2,1)="(",LEFT(IFERROR(INDEX(醫師週班表!$C$5:$T$44,$CU23,I$57),""),1),IFERROR(INDEX(醫師週班表!$C$5:$T$44,$CU23,I$57),"")))))))</f>
        <v/>
      </c>
      <c r="J23" s="72">
        <f>IF(J$59="X","",IF(J$59&lt;&gt;"",J$59,IF(IFERROR(INDEX(醫師週班表!$C$5:$T$44,$CU23,J$57),"")=0,"",IF(MID(IFERROR(INDEX(醫師週班表!$C$5:$T$44,$CU23,J$57),""),2,1)="/",MID(IFERROR(INDEX(醫師週班表!$C$5:$T$44,$CU23,J$57),""),1+J$58*2,1),IF(MID(IFERROR(INDEX(醫師週班表!$C$5:$T$44,$CU23,J$57),""),3,1)="隔",IF(J$58=0,LEFT(IFERROR(INDEX(醫師週班表!$C$5:$T$44,$CU23,J$57),""),1),""),IF(MID(IFERROR(INDEX(醫師週班表!$C$5:$T$44,$CU23,J$57),""),2,1)="(",LEFT(IFERROR(INDEX(醫師週班表!$C$5:$T$44,$CU23,J$57),""),1),IFERROR(INDEX(醫師週班表!$C$5:$T$44,$CU23,J$57),"")))))))</f>
        <v/>
      </c>
      <c r="K23" s="71">
        <f>IF(K$59="X","",IF(K$59&lt;&gt;"",K$59,IF(IFERROR(INDEX(醫師週班表!$C$5:$T$44,$CU23,K$57),"")=0,"",IF(MID(IFERROR(INDEX(醫師週班表!$C$5:$T$44,$CU23,K$57),""),2,1)="/",MID(IFERROR(INDEX(醫師週班表!$C$5:$T$44,$CU23,K$57),""),1+K$58*2,1),IF(MID(IFERROR(INDEX(醫師週班表!$C$5:$T$44,$CU23,K$57),""),3,1)="隔",IF(K$58=0,LEFT(IFERROR(INDEX(醫師週班表!$C$5:$T$44,$CU23,K$57),""),1),""),IF(MID(IFERROR(INDEX(醫師週班表!$C$5:$T$44,$CU23,K$57),""),2,1)="(",LEFT(IFERROR(INDEX(醫師週班表!$C$5:$T$44,$CU23,K$57),""),1),IFERROR(INDEX(醫師週班表!$C$5:$T$44,$CU23,K$57),"")))))))</f>
        <v/>
      </c>
      <c r="L23" s="72">
        <f>IF(L$59="X","",IF(L$59&lt;&gt;"",L$59,IF(IFERROR(INDEX(醫師週班表!$C$5:$T$44,$CU23,L$57),"")=0,"",IF(MID(IFERROR(INDEX(醫師週班表!$C$5:$T$44,$CU23,L$57),""),2,1)="/",MID(IFERROR(INDEX(醫師週班表!$C$5:$T$44,$CU23,L$57),""),1+L$58*2,1),IF(MID(IFERROR(INDEX(醫師週班表!$C$5:$T$44,$CU23,L$57),""),3,1)="隔",IF(L$58=0,LEFT(IFERROR(INDEX(醫師週班表!$C$5:$T$44,$CU23,L$57),""),1),""),IF(MID(IFERROR(INDEX(醫師週班表!$C$5:$T$44,$CU23,L$57),""),2,1)="(",LEFT(IFERROR(INDEX(醫師週班表!$C$5:$T$44,$CU23,L$57),""),1),IFERROR(INDEX(醫師週班表!$C$5:$T$44,$CU23,L$57),"")))))))</f>
        <v/>
      </c>
      <c r="M23" s="72">
        <f>IF(M$59="X","",IF(M$59&lt;&gt;"",M$59,IF(IFERROR(INDEX(醫師週班表!$C$5:$T$44,$CU23,M$57),"")=0,"",IF(MID(IFERROR(INDEX(醫師週班表!$C$5:$T$44,$CU23,M$57),""),2,1)="/",MID(IFERROR(INDEX(醫師週班表!$C$5:$T$44,$CU23,M$57),""),1+M$58*2,1),IF(MID(IFERROR(INDEX(醫師週班表!$C$5:$T$44,$CU23,M$57),""),3,1)="隔",IF(M$58=0,LEFT(IFERROR(INDEX(醫師週班表!$C$5:$T$44,$CU23,M$57),""),1),""),IF(MID(IFERROR(INDEX(醫師週班表!$C$5:$T$44,$CU23,M$57),""),2,1)="(",LEFT(IFERROR(INDEX(醫師週班表!$C$5:$T$44,$CU23,M$57),""),1),IFERROR(INDEX(醫師週班表!$C$5:$T$44,$CU23,M$57),"")))))))</f>
        <v/>
      </c>
      <c r="N23" s="71">
        <f>IF(N$59="X","",IF(N$59&lt;&gt;"",N$59,IF(IFERROR(INDEX(醫師週班表!$C$5:$T$44,$CU23,N$57),"")=0,"",IF(MID(IFERROR(INDEX(醫師週班表!$C$5:$T$44,$CU23,N$57),""),2,1)="/",MID(IFERROR(INDEX(醫師週班表!$C$5:$T$44,$CU23,N$57),""),1+N$58*2,1),IF(MID(IFERROR(INDEX(醫師週班表!$C$5:$T$44,$CU23,N$57),""),3,1)="隔",IF(N$58=0,LEFT(IFERROR(INDEX(醫師週班表!$C$5:$T$44,$CU23,N$57),""),1),""),IF(MID(IFERROR(INDEX(醫師週班表!$C$5:$T$44,$CU23,N$57),""),2,1)="(",LEFT(IFERROR(INDEX(醫師週班表!$C$5:$T$44,$CU23,N$57),""),1),IFERROR(INDEX(醫師週班表!$C$5:$T$44,$CU23,N$57),"")))))))</f>
        <v/>
      </c>
      <c r="O23" s="72">
        <f>IF(O$59="X","",IF(O$59&lt;&gt;"",O$59,IF(IFERROR(INDEX(醫師週班表!$C$5:$T$44,$CU23,O$57),"")=0,"",IF(MID(IFERROR(INDEX(醫師週班表!$C$5:$T$44,$CU23,O$57),""),2,1)="/",MID(IFERROR(INDEX(醫師週班表!$C$5:$T$44,$CU23,O$57),""),1+O$58*2,1),IF(MID(IFERROR(INDEX(醫師週班表!$C$5:$T$44,$CU23,O$57),""),3,1)="隔",IF(O$58=0,LEFT(IFERROR(INDEX(醫師週班表!$C$5:$T$44,$CU23,O$57),""),1),""),IF(MID(IFERROR(INDEX(醫師週班表!$C$5:$T$44,$CU23,O$57),""),2,1)="(",LEFT(IFERROR(INDEX(醫師週班表!$C$5:$T$44,$CU23,O$57),""),1),IFERROR(INDEX(醫師週班表!$C$5:$T$44,$CU23,O$57),"")))))))</f>
        <v/>
      </c>
      <c r="P23" s="72">
        <f>IF(P$59="X","",IF(P$59&lt;&gt;"",P$59,IF(IFERROR(INDEX(醫師週班表!$C$5:$T$44,$CU23,P$57),"")=0,"",IF(MID(IFERROR(INDEX(醫師週班表!$C$5:$T$44,$CU23,P$57),""),2,1)="/",MID(IFERROR(INDEX(醫師週班表!$C$5:$T$44,$CU23,P$57),""),1+P$58*2,1),IF(MID(IFERROR(INDEX(醫師週班表!$C$5:$T$44,$CU23,P$57),""),3,1)="隔",IF(P$58=0,LEFT(IFERROR(INDEX(醫師週班表!$C$5:$T$44,$CU23,P$57),""),1),""),IF(MID(IFERROR(INDEX(醫師週班表!$C$5:$T$44,$CU23,P$57),""),2,1)="(",LEFT(IFERROR(INDEX(醫師週班表!$C$5:$T$44,$CU23,P$57),""),1),IFERROR(INDEX(醫師週班表!$C$5:$T$44,$CU23,P$57),"")))))))</f>
        <v/>
      </c>
      <c r="Q23" s="71">
        <f>IF(Q$59="X","",IF(Q$59&lt;&gt;"",Q$59,IF(IFERROR(INDEX(醫師週班表!$C$5:$T$44,$CU23,Q$57),"")=0,"",IF(MID(IFERROR(INDEX(醫師週班表!$C$5:$T$44,$CU23,Q$57),""),2,1)="/",MID(IFERROR(INDEX(醫師週班表!$C$5:$T$44,$CU23,Q$57),""),1+Q$58*2,1),IF(MID(IFERROR(INDEX(醫師週班表!$C$5:$T$44,$CU23,Q$57),""),3,1)="隔",IF(Q$58=0,LEFT(IFERROR(INDEX(醫師週班表!$C$5:$T$44,$CU23,Q$57),""),1),""),IF(MID(IFERROR(INDEX(醫師週班表!$C$5:$T$44,$CU23,Q$57),""),2,1)="(",LEFT(IFERROR(INDEX(醫師週班表!$C$5:$T$44,$CU23,Q$57),""),1),IFERROR(INDEX(醫師週班表!$C$5:$T$44,$CU23,Q$57),"")))))))</f>
        <v/>
      </c>
      <c r="R23" s="72">
        <f>IF(R$59="X","",IF(R$59&lt;&gt;"",R$59,IF(IFERROR(INDEX(醫師週班表!$C$5:$T$44,$CU23,R$57),"")=0,"",IF(MID(IFERROR(INDEX(醫師週班表!$C$5:$T$44,$CU23,R$57),""),2,1)="/",MID(IFERROR(INDEX(醫師週班表!$C$5:$T$44,$CU23,R$57),""),1+R$58*2,1),IF(MID(IFERROR(INDEX(醫師週班表!$C$5:$T$44,$CU23,R$57),""),3,1)="隔",IF(R$58=0,LEFT(IFERROR(INDEX(醫師週班表!$C$5:$T$44,$CU23,R$57),""),1),""),IF(MID(IFERROR(INDEX(醫師週班表!$C$5:$T$44,$CU23,R$57),""),2,1)="(",LEFT(IFERROR(INDEX(醫師週班表!$C$5:$T$44,$CU23,R$57),""),1),IFERROR(INDEX(醫師週班表!$C$5:$T$44,$CU23,R$57),"")))))))</f>
        <v/>
      </c>
      <c r="S23" s="72">
        <f>IF(S$59="X","",IF(S$59&lt;&gt;"",S$59,IF(IFERROR(INDEX(醫師週班表!$C$5:$T$44,$CU23,S$57),"")=0,"",IF(MID(IFERROR(INDEX(醫師週班表!$C$5:$T$44,$CU23,S$57),""),2,1)="/",MID(IFERROR(INDEX(醫師週班表!$C$5:$T$44,$CU23,S$57),""),1+S$58*2,1),IF(MID(IFERROR(INDEX(醫師週班表!$C$5:$T$44,$CU23,S$57),""),3,1)="隔",IF(S$58=0,LEFT(IFERROR(INDEX(醫師週班表!$C$5:$T$44,$CU23,S$57),""),1),""),IF(MID(IFERROR(INDEX(醫師週班表!$C$5:$T$44,$CU23,S$57),""),2,1)="(",LEFT(IFERROR(INDEX(醫師週班表!$C$5:$T$44,$CU23,S$57),""),1),IFERROR(INDEX(醫師週班表!$C$5:$T$44,$CU23,S$57),"")))))))</f>
        <v/>
      </c>
      <c r="T23" s="71">
        <f>IF(T$59="X","",IF(T$59&lt;&gt;"",T$59,IF(IFERROR(INDEX(醫師週班表!$C$5:$T$44,$CU23,T$57),"")=0,"",IF(MID(IFERROR(INDEX(醫師週班表!$C$5:$T$44,$CU23,T$57),""),2,1)="/",MID(IFERROR(INDEX(醫師週班表!$C$5:$T$44,$CU23,T$57),""),1+T$58*2,1),IF(MID(IFERROR(INDEX(醫師週班表!$C$5:$T$44,$CU23,T$57),""),3,1)="隔",IF(T$58=0,LEFT(IFERROR(INDEX(醫師週班表!$C$5:$T$44,$CU23,T$57),""),1),""),IF(MID(IFERROR(INDEX(醫師週班表!$C$5:$T$44,$CU23,T$57),""),2,1)="(",LEFT(IFERROR(INDEX(醫師週班表!$C$5:$T$44,$CU23,T$57),""),1),IFERROR(INDEX(醫師週班表!$C$5:$T$44,$CU23,T$57),"")))))))</f>
        <v/>
      </c>
      <c r="U23" s="72">
        <f>IF(U$59="X","",IF(U$59&lt;&gt;"",U$59,IF(IFERROR(INDEX(醫師週班表!$C$5:$T$44,$CU23,U$57),"")=0,"",IF(MID(IFERROR(INDEX(醫師週班表!$C$5:$T$44,$CU23,U$57),""),2,1)="/",MID(IFERROR(INDEX(醫師週班表!$C$5:$T$44,$CU23,U$57),""),1+U$58*2,1),IF(MID(IFERROR(INDEX(醫師週班表!$C$5:$T$44,$CU23,U$57),""),3,1)="隔",IF(U$58=0,LEFT(IFERROR(INDEX(醫師週班表!$C$5:$T$44,$CU23,U$57),""),1),""),IF(MID(IFERROR(INDEX(醫師週班表!$C$5:$T$44,$CU23,U$57),""),2,1)="(",LEFT(IFERROR(INDEX(醫師週班表!$C$5:$T$44,$CU23,U$57),""),1),IFERROR(INDEX(醫師週班表!$C$5:$T$44,$CU23,U$57),"")))))))</f>
        <v/>
      </c>
      <c r="V23" s="72">
        <f>IF(V$59="X","",IF(V$59&lt;&gt;"",V$59,IF(IFERROR(INDEX(醫師週班表!$C$5:$T$44,$CU23,V$57),"")=0,"",IF(MID(IFERROR(INDEX(醫師週班表!$C$5:$T$44,$CU23,V$57),""),2,1)="/",MID(IFERROR(INDEX(醫師週班表!$C$5:$T$44,$CU23,V$57),""),1+V$58*2,1),IF(MID(IFERROR(INDEX(醫師週班表!$C$5:$T$44,$CU23,V$57),""),3,1)="隔",IF(V$58=0,LEFT(IFERROR(INDEX(醫師週班表!$C$5:$T$44,$CU23,V$57),""),1),""),IF(MID(IFERROR(INDEX(醫師週班表!$C$5:$T$44,$CU23,V$57),""),2,1)="(",LEFT(IFERROR(INDEX(醫師週班表!$C$5:$T$44,$CU23,V$57),""),1),IFERROR(INDEX(醫師週班表!$C$5:$T$44,$CU23,V$57),"")))))))</f>
        <v/>
      </c>
      <c r="W23" s="71">
        <f>IF(W$59="X","",IF(W$59&lt;&gt;"",W$59,IF(IFERROR(INDEX(醫師週班表!$C$5:$T$44,$CU23,W$57),"")=0,"",IF(MID(IFERROR(INDEX(醫師週班表!$C$5:$T$44,$CU23,W$57),""),2,1)="/",MID(IFERROR(INDEX(醫師週班表!$C$5:$T$44,$CU23,W$57),""),1+W$58*2,1),IF(MID(IFERROR(INDEX(醫師週班表!$C$5:$T$44,$CU23,W$57),""),3,1)="隔",IF(W$58=0,LEFT(IFERROR(INDEX(醫師週班表!$C$5:$T$44,$CU23,W$57),""),1),""),IF(MID(IFERROR(INDEX(醫師週班表!$C$5:$T$44,$CU23,W$57),""),2,1)="(",LEFT(IFERROR(INDEX(醫師週班表!$C$5:$T$44,$CU23,W$57),""),1),IFERROR(INDEX(醫師週班表!$C$5:$T$44,$CU23,W$57),"")))))))</f>
        <v/>
      </c>
      <c r="X23" s="72">
        <f>IF(X$59="X","",IF(X$59&lt;&gt;"",X$59,IF(IFERROR(INDEX(醫師週班表!$C$5:$T$44,$CU23,X$57),"")=0,"",IF(MID(IFERROR(INDEX(醫師週班表!$C$5:$T$44,$CU23,X$57),""),2,1)="/",MID(IFERROR(INDEX(醫師週班表!$C$5:$T$44,$CU23,X$57),""),1+X$58*2,1),IF(MID(IFERROR(INDEX(醫師週班表!$C$5:$T$44,$CU23,X$57),""),3,1)="隔",IF(X$58=0,LEFT(IFERROR(INDEX(醫師週班表!$C$5:$T$44,$CU23,X$57),""),1),""),IF(MID(IFERROR(INDEX(醫師週班表!$C$5:$T$44,$CU23,X$57),""),2,1)="(",LEFT(IFERROR(INDEX(醫師週班表!$C$5:$T$44,$CU23,X$57),""),1),IFERROR(INDEX(醫師週班表!$C$5:$T$44,$CU23,X$57),"")))))))</f>
        <v/>
      </c>
      <c r="Y23" s="72">
        <f>IF(Y$59="X","",IF(Y$59&lt;&gt;"",Y$59,IF(IFERROR(INDEX(醫師週班表!$C$5:$T$44,$CU23,Y$57),"")=0,"",IF(MID(IFERROR(INDEX(醫師週班表!$C$5:$T$44,$CU23,Y$57),""),2,1)="/",MID(IFERROR(INDEX(醫師週班表!$C$5:$T$44,$CU23,Y$57),""),1+Y$58*2,1),IF(MID(IFERROR(INDEX(醫師週班表!$C$5:$T$44,$CU23,Y$57),""),3,1)="隔",IF(Y$58=0,LEFT(IFERROR(INDEX(醫師週班表!$C$5:$T$44,$CU23,Y$57),""),1),""),IF(MID(IFERROR(INDEX(醫師週班表!$C$5:$T$44,$CU23,Y$57),""),2,1)="(",LEFT(IFERROR(INDEX(醫師週班表!$C$5:$T$44,$CU23,Y$57),""),1),IFERROR(INDEX(醫師週班表!$C$5:$T$44,$CU23,Y$57),"")))))))</f>
        <v/>
      </c>
      <c r="Z23" s="71">
        <f>IF(Z$59="X","",IF(Z$59&lt;&gt;"",Z$59,IF(IFERROR(INDEX(醫師週班表!$C$5:$T$44,$CU23,Z$57),"")=0,"",IF(MID(IFERROR(INDEX(醫師週班表!$C$5:$T$44,$CU23,Z$57),""),2,1)="/",MID(IFERROR(INDEX(醫師週班表!$C$5:$T$44,$CU23,Z$57),""),1+Z$58*2,1),IF(MID(IFERROR(INDEX(醫師週班表!$C$5:$T$44,$CU23,Z$57),""),3,1)="隔",IF(Z$58=0,LEFT(IFERROR(INDEX(醫師週班表!$C$5:$T$44,$CU23,Z$57),""),1),""),IF(MID(IFERROR(INDEX(醫師週班表!$C$5:$T$44,$CU23,Z$57),""),2,1)="(",LEFT(IFERROR(INDEX(醫師週班表!$C$5:$T$44,$CU23,Z$57),""),1),IFERROR(INDEX(醫師週班表!$C$5:$T$44,$CU23,Z$57),"")))))))</f>
        <v/>
      </c>
      <c r="AA23" s="72">
        <f>IF(AA$59="X","",IF(AA$59&lt;&gt;"",AA$59,IF(IFERROR(INDEX(醫師週班表!$C$5:$T$44,$CU23,AA$57),"")=0,"",IF(MID(IFERROR(INDEX(醫師週班表!$C$5:$T$44,$CU23,AA$57),""),2,1)="/",MID(IFERROR(INDEX(醫師週班表!$C$5:$T$44,$CU23,AA$57),""),1+AA$58*2,1),IF(MID(IFERROR(INDEX(醫師週班表!$C$5:$T$44,$CU23,AA$57),""),3,1)="隔",IF(AA$58=0,LEFT(IFERROR(INDEX(醫師週班表!$C$5:$T$44,$CU23,AA$57),""),1),""),IF(MID(IFERROR(INDEX(醫師週班表!$C$5:$T$44,$CU23,AA$57),""),2,1)="(",LEFT(IFERROR(INDEX(醫師週班表!$C$5:$T$44,$CU23,AA$57),""),1),IFERROR(INDEX(醫師週班表!$C$5:$T$44,$CU23,AA$57),"")))))))</f>
        <v/>
      </c>
      <c r="AB23" s="72">
        <f>IF(AB$59="X","",IF(AB$59&lt;&gt;"",AB$59,IF(IFERROR(INDEX(醫師週班表!$C$5:$T$44,$CU23,AB$57),"")=0,"",IF(MID(IFERROR(INDEX(醫師週班表!$C$5:$T$44,$CU23,AB$57),""),2,1)="/",MID(IFERROR(INDEX(醫師週班表!$C$5:$T$44,$CU23,AB$57),""),1+AB$58*2,1),IF(MID(IFERROR(INDEX(醫師週班表!$C$5:$T$44,$CU23,AB$57),""),3,1)="隔",IF(AB$58=0,LEFT(IFERROR(INDEX(醫師週班表!$C$5:$T$44,$CU23,AB$57),""),1),""),IF(MID(IFERROR(INDEX(醫師週班表!$C$5:$T$44,$CU23,AB$57),""),2,1)="(",LEFT(IFERROR(INDEX(醫師週班表!$C$5:$T$44,$CU23,AB$57),""),1),IFERROR(INDEX(醫師週班表!$C$5:$T$44,$CU23,AB$57),"")))))))</f>
        <v/>
      </c>
      <c r="AC23" s="71">
        <f>IF(AC$59="X","",IF(AC$59&lt;&gt;"",AC$59,IF(IFERROR(INDEX(醫師週班表!$C$5:$T$44,$CU23,AC$57),"")=0,"",IF(MID(IFERROR(INDEX(醫師週班表!$C$5:$T$44,$CU23,AC$57),""),2,1)="/",MID(IFERROR(INDEX(醫師週班表!$C$5:$T$44,$CU23,AC$57),""),1+AC$58*2,1),IF(MID(IFERROR(INDEX(醫師週班表!$C$5:$T$44,$CU23,AC$57),""),3,1)="隔",IF(AC$58=0,LEFT(IFERROR(INDEX(醫師週班表!$C$5:$T$44,$CU23,AC$57),""),1),""),IF(MID(IFERROR(INDEX(醫師週班表!$C$5:$T$44,$CU23,AC$57),""),2,1)="(",LEFT(IFERROR(INDEX(醫師週班表!$C$5:$T$44,$CU23,AC$57),""),1),IFERROR(INDEX(醫師週班表!$C$5:$T$44,$CU23,AC$57),"")))))))</f>
        <v/>
      </c>
      <c r="AD23" s="72">
        <f>IF(AD$59="X","",IF(AD$59&lt;&gt;"",AD$59,IF(IFERROR(INDEX(醫師週班表!$C$5:$T$44,$CU23,AD$57),"")=0,"",IF(MID(IFERROR(INDEX(醫師週班表!$C$5:$T$44,$CU23,AD$57),""),2,1)="/",MID(IFERROR(INDEX(醫師週班表!$C$5:$T$44,$CU23,AD$57),""),1+AD$58*2,1),IF(MID(IFERROR(INDEX(醫師週班表!$C$5:$T$44,$CU23,AD$57),""),3,1)="隔",IF(AD$58=0,LEFT(IFERROR(INDEX(醫師週班表!$C$5:$T$44,$CU23,AD$57),""),1),""),IF(MID(IFERROR(INDEX(醫師週班表!$C$5:$T$44,$CU23,AD$57),""),2,1)="(",LEFT(IFERROR(INDEX(醫師週班表!$C$5:$T$44,$CU23,AD$57),""),1),IFERROR(INDEX(醫師週班表!$C$5:$T$44,$CU23,AD$57),"")))))))</f>
        <v/>
      </c>
      <c r="AE23" s="72">
        <f>IF(AE$59="X","",IF(AE$59&lt;&gt;"",AE$59,IF(IFERROR(INDEX(醫師週班表!$C$5:$T$44,$CU23,AE$57),"")=0,"",IF(MID(IFERROR(INDEX(醫師週班表!$C$5:$T$44,$CU23,AE$57),""),2,1)="/",MID(IFERROR(INDEX(醫師週班表!$C$5:$T$44,$CU23,AE$57),""),1+AE$58*2,1),IF(MID(IFERROR(INDEX(醫師週班表!$C$5:$T$44,$CU23,AE$57),""),3,1)="隔",IF(AE$58=0,LEFT(IFERROR(INDEX(醫師週班表!$C$5:$T$44,$CU23,AE$57),""),1),""),IF(MID(IFERROR(INDEX(醫師週班表!$C$5:$T$44,$CU23,AE$57),""),2,1)="(",LEFT(IFERROR(INDEX(醫師週班表!$C$5:$T$44,$CU23,AE$57),""),1),IFERROR(INDEX(醫師週班表!$C$5:$T$44,$CU23,AE$57),"")))))))</f>
        <v/>
      </c>
      <c r="AF23" s="71">
        <f>IF(AF$59="X","",IF(AF$59&lt;&gt;"",AF$59,IF(IFERROR(INDEX(醫師週班表!$C$5:$T$44,$CU23,AF$57),"")=0,"",IF(MID(IFERROR(INDEX(醫師週班表!$C$5:$T$44,$CU23,AF$57),""),2,1)="/",MID(IFERROR(INDEX(醫師週班表!$C$5:$T$44,$CU23,AF$57),""),1+AF$58*2,1),IF(MID(IFERROR(INDEX(醫師週班表!$C$5:$T$44,$CU23,AF$57),""),3,1)="隔",IF(AF$58=0,LEFT(IFERROR(INDEX(醫師週班表!$C$5:$T$44,$CU23,AF$57),""),1),""),IF(MID(IFERROR(INDEX(醫師週班表!$C$5:$T$44,$CU23,AF$57),""),2,1)="(",LEFT(IFERROR(INDEX(醫師週班表!$C$5:$T$44,$CU23,AF$57),""),1),IFERROR(INDEX(醫師週班表!$C$5:$T$44,$CU23,AF$57),"")))))))</f>
        <v/>
      </c>
      <c r="AG23" s="72">
        <f>IF(AG$59="X","",IF(AG$59&lt;&gt;"",AG$59,IF(IFERROR(INDEX(醫師週班表!$C$5:$T$44,$CU23,AG$57),"")=0,"",IF(MID(IFERROR(INDEX(醫師週班表!$C$5:$T$44,$CU23,AG$57),""),2,1)="/",MID(IFERROR(INDEX(醫師週班表!$C$5:$T$44,$CU23,AG$57),""),1+AG$58*2,1),IF(MID(IFERROR(INDEX(醫師週班表!$C$5:$T$44,$CU23,AG$57),""),3,1)="隔",IF(AG$58=0,LEFT(IFERROR(INDEX(醫師週班表!$C$5:$T$44,$CU23,AG$57),""),1),""),IF(MID(IFERROR(INDEX(醫師週班表!$C$5:$T$44,$CU23,AG$57),""),2,1)="(",LEFT(IFERROR(INDEX(醫師週班表!$C$5:$T$44,$CU23,AG$57),""),1),IFERROR(INDEX(醫師週班表!$C$5:$T$44,$CU23,AG$57),"")))))))</f>
        <v/>
      </c>
      <c r="AH23" s="72">
        <f>IF(AH$59="X","",IF(AH$59&lt;&gt;"",AH$59,IF(IFERROR(INDEX(醫師週班表!$C$5:$T$44,$CU23,AH$57),"")=0,"",IF(MID(IFERROR(INDEX(醫師週班表!$C$5:$T$44,$CU23,AH$57),""),2,1)="/",MID(IFERROR(INDEX(醫師週班表!$C$5:$T$44,$CU23,AH$57),""),1+AH$58*2,1),IF(MID(IFERROR(INDEX(醫師週班表!$C$5:$T$44,$CU23,AH$57),""),3,1)="隔",IF(AH$58=0,LEFT(IFERROR(INDEX(醫師週班表!$C$5:$T$44,$CU23,AH$57),""),1),""),IF(MID(IFERROR(INDEX(醫師週班表!$C$5:$T$44,$CU23,AH$57),""),2,1)="(",LEFT(IFERROR(INDEX(醫師週班表!$C$5:$T$44,$CU23,AH$57),""),1),IFERROR(INDEX(醫師週班表!$C$5:$T$44,$CU23,AH$57),"")))))))</f>
        <v/>
      </c>
      <c r="AI23" s="71">
        <f>IF(AI$59="X","",IF(AI$59&lt;&gt;"",AI$59,IF(IFERROR(INDEX(醫師週班表!$C$5:$T$44,$CU23,AI$57),"")=0,"",IF(MID(IFERROR(INDEX(醫師週班表!$C$5:$T$44,$CU23,AI$57),""),2,1)="/",MID(IFERROR(INDEX(醫師週班表!$C$5:$T$44,$CU23,AI$57),""),1+AI$58*2,1),IF(MID(IFERROR(INDEX(醫師週班表!$C$5:$T$44,$CU23,AI$57),""),3,1)="隔",IF(AI$58=0,LEFT(IFERROR(INDEX(醫師週班表!$C$5:$T$44,$CU23,AI$57),""),1),""),IF(MID(IFERROR(INDEX(醫師週班表!$C$5:$T$44,$CU23,AI$57),""),2,1)="(",LEFT(IFERROR(INDEX(醫師週班表!$C$5:$T$44,$CU23,AI$57),""),1),IFERROR(INDEX(醫師週班表!$C$5:$T$44,$CU23,AI$57),"")))))))</f>
        <v/>
      </c>
      <c r="AJ23" s="72">
        <f>IF(AJ$59="X","",IF(AJ$59&lt;&gt;"",AJ$59,IF(IFERROR(INDEX(醫師週班表!$C$5:$T$44,$CU23,AJ$57),"")=0,"",IF(MID(IFERROR(INDEX(醫師週班表!$C$5:$T$44,$CU23,AJ$57),""),2,1)="/",MID(IFERROR(INDEX(醫師週班表!$C$5:$T$44,$CU23,AJ$57),""),1+AJ$58*2,1),IF(MID(IFERROR(INDEX(醫師週班表!$C$5:$T$44,$CU23,AJ$57),""),3,1)="隔",IF(AJ$58=0,LEFT(IFERROR(INDEX(醫師週班表!$C$5:$T$44,$CU23,AJ$57),""),1),""),IF(MID(IFERROR(INDEX(醫師週班表!$C$5:$T$44,$CU23,AJ$57),""),2,1)="(",LEFT(IFERROR(INDEX(醫師週班表!$C$5:$T$44,$CU23,AJ$57),""),1),IFERROR(INDEX(醫師週班表!$C$5:$T$44,$CU23,AJ$57),"")))))))</f>
        <v/>
      </c>
      <c r="AK23" s="72">
        <f>IF(AK$59="X","",IF(AK$59&lt;&gt;"",AK$59,IF(IFERROR(INDEX(醫師週班表!$C$5:$T$44,$CU23,AK$57),"")=0,"",IF(MID(IFERROR(INDEX(醫師週班表!$C$5:$T$44,$CU23,AK$57),""),2,1)="/",MID(IFERROR(INDEX(醫師週班表!$C$5:$T$44,$CU23,AK$57),""),1+AK$58*2,1),IF(MID(IFERROR(INDEX(醫師週班表!$C$5:$T$44,$CU23,AK$57),""),3,1)="隔",IF(AK$58=0,LEFT(IFERROR(INDEX(醫師週班表!$C$5:$T$44,$CU23,AK$57),""),1),""),IF(MID(IFERROR(INDEX(醫師週班表!$C$5:$T$44,$CU23,AK$57),""),2,1)="(",LEFT(IFERROR(INDEX(醫師週班表!$C$5:$T$44,$CU23,AK$57),""),1),IFERROR(INDEX(醫師週班表!$C$5:$T$44,$CU23,AK$57),"")))))))</f>
        <v/>
      </c>
      <c r="AL23" s="71">
        <f>IF(AL$59="X","",IF(AL$59&lt;&gt;"",AL$59,IF(IFERROR(INDEX(醫師週班表!$C$5:$T$44,$CU23,AL$57),"")=0,"",IF(MID(IFERROR(INDEX(醫師週班表!$C$5:$T$44,$CU23,AL$57),""),2,1)="/",MID(IFERROR(INDEX(醫師週班表!$C$5:$T$44,$CU23,AL$57),""),1+AL$58*2,1),IF(MID(IFERROR(INDEX(醫師週班表!$C$5:$T$44,$CU23,AL$57),""),3,1)="隔",IF(AL$58=0,LEFT(IFERROR(INDEX(醫師週班表!$C$5:$T$44,$CU23,AL$57),""),1),""),IF(MID(IFERROR(INDEX(醫師週班表!$C$5:$T$44,$CU23,AL$57),""),2,1)="(",LEFT(IFERROR(INDEX(醫師週班表!$C$5:$T$44,$CU23,AL$57),""),1),IFERROR(INDEX(醫師週班表!$C$5:$T$44,$CU23,AL$57),"")))))))</f>
        <v/>
      </c>
      <c r="AM23" s="72">
        <f>IF(AM$59="X","",IF(AM$59&lt;&gt;"",AM$59,IF(IFERROR(INDEX(醫師週班表!$C$5:$T$44,$CU23,AM$57),"")=0,"",IF(MID(IFERROR(INDEX(醫師週班表!$C$5:$T$44,$CU23,AM$57),""),2,1)="/",MID(IFERROR(INDEX(醫師週班表!$C$5:$T$44,$CU23,AM$57),""),1+AM$58*2,1),IF(MID(IFERROR(INDEX(醫師週班表!$C$5:$T$44,$CU23,AM$57),""),3,1)="隔",IF(AM$58=0,LEFT(IFERROR(INDEX(醫師週班表!$C$5:$T$44,$CU23,AM$57),""),1),""),IF(MID(IFERROR(INDEX(醫師週班表!$C$5:$T$44,$CU23,AM$57),""),2,1)="(",LEFT(IFERROR(INDEX(醫師週班表!$C$5:$T$44,$CU23,AM$57),""),1),IFERROR(INDEX(醫師週班表!$C$5:$T$44,$CU23,AM$57),"")))))))</f>
        <v/>
      </c>
      <c r="AN23" s="72">
        <f>IF(AN$59="X","",IF(AN$59&lt;&gt;"",AN$59,IF(IFERROR(INDEX(醫師週班表!$C$5:$T$44,$CU23,AN$57),"")=0,"",IF(MID(IFERROR(INDEX(醫師週班表!$C$5:$T$44,$CU23,AN$57),""),2,1)="/",MID(IFERROR(INDEX(醫師週班表!$C$5:$T$44,$CU23,AN$57),""),1+AN$58*2,1),IF(MID(IFERROR(INDEX(醫師週班表!$C$5:$T$44,$CU23,AN$57),""),3,1)="隔",IF(AN$58=0,LEFT(IFERROR(INDEX(醫師週班表!$C$5:$T$44,$CU23,AN$57),""),1),""),IF(MID(IFERROR(INDEX(醫師週班表!$C$5:$T$44,$CU23,AN$57),""),2,1)="(",LEFT(IFERROR(INDEX(醫師週班表!$C$5:$T$44,$CU23,AN$57),""),1),IFERROR(INDEX(醫師週班表!$C$5:$T$44,$CU23,AN$57),"")))))))</f>
        <v/>
      </c>
      <c r="AO23" s="71">
        <f>IF(AO$59="X","",IF(AO$59&lt;&gt;"",AO$59,IF(IFERROR(INDEX(醫師週班表!$C$5:$T$44,$CU23,AO$57),"")=0,"",IF(MID(IFERROR(INDEX(醫師週班表!$C$5:$T$44,$CU23,AO$57),""),2,1)="/",MID(IFERROR(INDEX(醫師週班表!$C$5:$T$44,$CU23,AO$57),""),1+AO$58*2,1),IF(MID(IFERROR(INDEX(醫師週班表!$C$5:$T$44,$CU23,AO$57),""),3,1)="隔",IF(AO$58=0,LEFT(IFERROR(INDEX(醫師週班表!$C$5:$T$44,$CU23,AO$57),""),1),""),IF(MID(IFERROR(INDEX(醫師週班表!$C$5:$T$44,$CU23,AO$57),""),2,1)="(",LEFT(IFERROR(INDEX(醫師週班表!$C$5:$T$44,$CU23,AO$57),""),1),IFERROR(INDEX(醫師週班表!$C$5:$T$44,$CU23,AO$57),"")))))))</f>
        <v/>
      </c>
      <c r="AP23" s="72">
        <f>IF(AP$59="X","",IF(AP$59&lt;&gt;"",AP$59,IF(IFERROR(INDEX(醫師週班表!$C$5:$T$44,$CU23,AP$57),"")=0,"",IF(MID(IFERROR(INDEX(醫師週班表!$C$5:$T$44,$CU23,AP$57),""),2,1)="/",MID(IFERROR(INDEX(醫師週班表!$C$5:$T$44,$CU23,AP$57),""),1+AP$58*2,1),IF(MID(IFERROR(INDEX(醫師週班表!$C$5:$T$44,$CU23,AP$57),""),3,1)="隔",IF(AP$58=0,LEFT(IFERROR(INDEX(醫師週班表!$C$5:$T$44,$CU23,AP$57),""),1),""),IF(MID(IFERROR(INDEX(醫師週班表!$C$5:$T$44,$CU23,AP$57),""),2,1)="(",LEFT(IFERROR(INDEX(醫師週班表!$C$5:$T$44,$CU23,AP$57),""),1),IFERROR(INDEX(醫師週班表!$C$5:$T$44,$CU23,AP$57),"")))))))</f>
        <v/>
      </c>
      <c r="AQ23" s="72">
        <f>IF(AQ$59="X","",IF(AQ$59&lt;&gt;"",AQ$59,IF(IFERROR(INDEX(醫師週班表!$C$5:$T$44,$CU23,AQ$57),"")=0,"",IF(MID(IFERROR(INDEX(醫師週班表!$C$5:$T$44,$CU23,AQ$57),""),2,1)="/",MID(IFERROR(INDEX(醫師週班表!$C$5:$T$44,$CU23,AQ$57),""),1+AQ$58*2,1),IF(MID(IFERROR(INDEX(醫師週班表!$C$5:$T$44,$CU23,AQ$57),""),3,1)="隔",IF(AQ$58=0,LEFT(IFERROR(INDEX(醫師週班表!$C$5:$T$44,$CU23,AQ$57),""),1),""),IF(MID(IFERROR(INDEX(醫師週班表!$C$5:$T$44,$CU23,AQ$57),""),2,1)="(",LEFT(IFERROR(INDEX(醫師週班表!$C$5:$T$44,$CU23,AQ$57),""),1),IFERROR(INDEX(醫師週班表!$C$5:$T$44,$CU23,AQ$57),"")))))))</f>
        <v/>
      </c>
      <c r="AR23" s="71">
        <f>IF(AR$59="X","",IF(AR$59&lt;&gt;"",AR$59,IF(IFERROR(INDEX(醫師週班表!$C$5:$T$44,$CU23,AR$57),"")=0,"",IF(MID(IFERROR(INDEX(醫師週班表!$C$5:$T$44,$CU23,AR$57),""),2,1)="/",MID(IFERROR(INDEX(醫師週班表!$C$5:$T$44,$CU23,AR$57),""),1+AR$58*2,1),IF(MID(IFERROR(INDEX(醫師週班表!$C$5:$T$44,$CU23,AR$57),""),3,1)="隔",IF(AR$58=0,LEFT(IFERROR(INDEX(醫師週班表!$C$5:$T$44,$CU23,AR$57),""),1),""),IF(MID(IFERROR(INDEX(醫師週班表!$C$5:$T$44,$CU23,AR$57),""),2,1)="(",LEFT(IFERROR(INDEX(醫師週班表!$C$5:$T$44,$CU23,AR$57),""),1),IFERROR(INDEX(醫師週班表!$C$5:$T$44,$CU23,AR$57),"")))))))</f>
        <v/>
      </c>
      <c r="AS23" s="72">
        <f>IF(AS$59="X","",IF(AS$59&lt;&gt;"",AS$59,IF(IFERROR(INDEX(醫師週班表!$C$5:$T$44,$CU23,AS$57),"")=0,"",IF(MID(IFERROR(INDEX(醫師週班表!$C$5:$T$44,$CU23,AS$57),""),2,1)="/",MID(IFERROR(INDEX(醫師週班表!$C$5:$T$44,$CU23,AS$57),""),1+AS$58*2,1),IF(MID(IFERROR(INDEX(醫師週班表!$C$5:$T$44,$CU23,AS$57),""),3,1)="隔",IF(AS$58=0,LEFT(IFERROR(INDEX(醫師週班表!$C$5:$T$44,$CU23,AS$57),""),1),""),IF(MID(IFERROR(INDEX(醫師週班表!$C$5:$T$44,$CU23,AS$57),""),2,1)="(",LEFT(IFERROR(INDEX(醫師週班表!$C$5:$T$44,$CU23,AS$57),""),1),IFERROR(INDEX(醫師週班表!$C$5:$T$44,$CU23,AS$57),"")))))))</f>
        <v/>
      </c>
      <c r="AT23" s="72">
        <f>IF(AT$59="X","",IF(AT$59&lt;&gt;"",AT$59,IF(IFERROR(INDEX(醫師週班表!$C$5:$T$44,$CU23,AT$57),"")=0,"",IF(MID(IFERROR(INDEX(醫師週班表!$C$5:$T$44,$CU23,AT$57),""),2,1)="/",MID(IFERROR(INDEX(醫師週班表!$C$5:$T$44,$CU23,AT$57),""),1+AT$58*2,1),IF(MID(IFERROR(INDEX(醫師週班表!$C$5:$T$44,$CU23,AT$57),""),3,1)="隔",IF(AT$58=0,LEFT(IFERROR(INDEX(醫師週班表!$C$5:$T$44,$CU23,AT$57),""),1),""),IF(MID(IFERROR(INDEX(醫師週班表!$C$5:$T$44,$CU23,AT$57),""),2,1)="(",LEFT(IFERROR(INDEX(醫師週班表!$C$5:$T$44,$CU23,AT$57),""),1),IFERROR(INDEX(醫師週班表!$C$5:$T$44,$CU23,AT$57),"")))))))</f>
        <v/>
      </c>
      <c r="AU23" s="71">
        <f>IF(AU$59="X","",IF(AU$59&lt;&gt;"",AU$59,IF(IFERROR(INDEX(醫師週班表!$C$5:$T$44,$CU23,AU$57),"")=0,"",IF(MID(IFERROR(INDEX(醫師週班表!$C$5:$T$44,$CU23,AU$57),""),2,1)="/",MID(IFERROR(INDEX(醫師週班表!$C$5:$T$44,$CU23,AU$57),""),1+AU$58*2,1),IF(MID(IFERROR(INDEX(醫師週班表!$C$5:$T$44,$CU23,AU$57),""),3,1)="隔",IF(AU$58=0,LEFT(IFERROR(INDEX(醫師週班表!$C$5:$T$44,$CU23,AU$57),""),1),""),IF(MID(IFERROR(INDEX(醫師週班表!$C$5:$T$44,$CU23,AU$57),""),2,1)="(",LEFT(IFERROR(INDEX(醫師週班表!$C$5:$T$44,$CU23,AU$57),""),1),IFERROR(INDEX(醫師週班表!$C$5:$T$44,$CU23,AU$57),"")))))))</f>
        <v/>
      </c>
      <c r="AV23" s="72">
        <f>IF(AV$59="X","",IF(AV$59&lt;&gt;"",AV$59,IF(IFERROR(INDEX(醫師週班表!$C$5:$T$44,$CU23,AV$57),"")=0,"",IF(MID(IFERROR(INDEX(醫師週班表!$C$5:$T$44,$CU23,AV$57),""),2,1)="/",MID(IFERROR(INDEX(醫師週班表!$C$5:$T$44,$CU23,AV$57),""),1+AV$58*2,1),IF(MID(IFERROR(INDEX(醫師週班表!$C$5:$T$44,$CU23,AV$57),""),3,1)="隔",IF(AV$58=0,LEFT(IFERROR(INDEX(醫師週班表!$C$5:$T$44,$CU23,AV$57),""),1),""),IF(MID(IFERROR(INDEX(醫師週班表!$C$5:$T$44,$CU23,AV$57),""),2,1)="(",LEFT(IFERROR(INDEX(醫師週班表!$C$5:$T$44,$CU23,AV$57),""),1),IFERROR(INDEX(醫師週班表!$C$5:$T$44,$CU23,AV$57),"")))))))</f>
        <v/>
      </c>
      <c r="AW23" s="72">
        <f>IF(AW$59="X","",IF(AW$59&lt;&gt;"",AW$59,IF(IFERROR(INDEX(醫師週班表!$C$5:$T$44,$CU23,AW$57),"")=0,"",IF(MID(IFERROR(INDEX(醫師週班表!$C$5:$T$44,$CU23,AW$57),""),2,1)="/",MID(IFERROR(INDEX(醫師週班表!$C$5:$T$44,$CU23,AW$57),""),1+AW$58*2,1),IF(MID(IFERROR(INDEX(醫師週班表!$C$5:$T$44,$CU23,AW$57),""),3,1)="隔",IF(AW$58=0,LEFT(IFERROR(INDEX(醫師週班表!$C$5:$T$44,$CU23,AW$57),""),1),""),IF(MID(IFERROR(INDEX(醫師週班表!$C$5:$T$44,$CU23,AW$57),""),2,1)="(",LEFT(IFERROR(INDEX(醫師週班表!$C$5:$T$44,$CU23,AW$57),""),1),IFERROR(INDEX(醫師週班表!$C$5:$T$44,$CU23,AW$57),"")))))))</f>
        <v/>
      </c>
      <c r="AX23" s="71">
        <f>IF(AX$59="X","",IF(AX$59&lt;&gt;"",AX$59,IF(IFERROR(INDEX(醫師週班表!$C$5:$T$44,$CU23,AX$57),"")=0,"",IF(MID(IFERROR(INDEX(醫師週班表!$C$5:$T$44,$CU23,AX$57),""),2,1)="/",MID(IFERROR(INDEX(醫師週班表!$C$5:$T$44,$CU23,AX$57),""),1+AX$58*2,1),IF(MID(IFERROR(INDEX(醫師週班表!$C$5:$T$44,$CU23,AX$57),""),3,1)="隔",IF(AX$58=0,LEFT(IFERROR(INDEX(醫師週班表!$C$5:$T$44,$CU23,AX$57),""),1),""),IF(MID(IFERROR(INDEX(醫師週班表!$C$5:$T$44,$CU23,AX$57),""),2,1)="(",LEFT(IFERROR(INDEX(醫師週班表!$C$5:$T$44,$CU23,AX$57),""),1),IFERROR(INDEX(醫師週班表!$C$5:$T$44,$CU23,AX$57),"")))))))</f>
        <v/>
      </c>
      <c r="AY23" s="72">
        <f>IF(AY$59="X","",IF(AY$59&lt;&gt;"",AY$59,IF(IFERROR(INDEX(醫師週班表!$C$5:$T$44,$CU23,AY$57),"")=0,"",IF(MID(IFERROR(INDEX(醫師週班表!$C$5:$T$44,$CU23,AY$57),""),2,1)="/",MID(IFERROR(INDEX(醫師週班表!$C$5:$T$44,$CU23,AY$57),""),1+AY$58*2,1),IF(MID(IFERROR(INDEX(醫師週班表!$C$5:$T$44,$CU23,AY$57),""),3,1)="隔",IF(AY$58=0,LEFT(IFERROR(INDEX(醫師週班表!$C$5:$T$44,$CU23,AY$57),""),1),""),IF(MID(IFERROR(INDEX(醫師週班表!$C$5:$T$44,$CU23,AY$57),""),2,1)="(",LEFT(IFERROR(INDEX(醫師週班表!$C$5:$T$44,$CU23,AY$57),""),1),IFERROR(INDEX(醫師週班表!$C$5:$T$44,$CU23,AY$57),"")))))))</f>
        <v/>
      </c>
      <c r="AZ23" s="72">
        <f>IF(AZ$59="X","",IF(AZ$59&lt;&gt;"",AZ$59,IF(IFERROR(INDEX(醫師週班表!$C$5:$T$44,$CU23,AZ$57),"")=0,"",IF(MID(IFERROR(INDEX(醫師週班表!$C$5:$T$44,$CU23,AZ$57),""),2,1)="/",MID(IFERROR(INDEX(醫師週班表!$C$5:$T$44,$CU23,AZ$57),""),1+AZ$58*2,1),IF(MID(IFERROR(INDEX(醫師週班表!$C$5:$T$44,$CU23,AZ$57),""),3,1)="隔",IF(AZ$58=0,LEFT(IFERROR(INDEX(醫師週班表!$C$5:$T$44,$CU23,AZ$57),""),1),""),IF(MID(IFERROR(INDEX(醫師週班表!$C$5:$T$44,$CU23,AZ$57),""),2,1)="(",LEFT(IFERROR(INDEX(醫師週班表!$C$5:$T$44,$CU23,AZ$57),""),1),IFERROR(INDEX(醫師週班表!$C$5:$T$44,$CU23,AZ$57),"")))))))</f>
        <v/>
      </c>
      <c r="BA23" s="71">
        <f>IF(BA$59="X","",IF(BA$59&lt;&gt;"",BA$59,IF(IFERROR(INDEX(醫師週班表!$C$5:$T$44,$CU23,BA$57),"")=0,"",IF(MID(IFERROR(INDEX(醫師週班表!$C$5:$T$44,$CU23,BA$57),""),2,1)="/",MID(IFERROR(INDEX(醫師週班表!$C$5:$T$44,$CU23,BA$57),""),1+BA$58*2,1),IF(MID(IFERROR(INDEX(醫師週班表!$C$5:$T$44,$CU23,BA$57),""),3,1)="隔",IF(BA$58=0,LEFT(IFERROR(INDEX(醫師週班表!$C$5:$T$44,$CU23,BA$57),""),1),""),IF(MID(IFERROR(INDEX(醫師週班表!$C$5:$T$44,$CU23,BA$57),""),2,1)="(",LEFT(IFERROR(INDEX(醫師週班表!$C$5:$T$44,$CU23,BA$57),""),1),IFERROR(INDEX(醫師週班表!$C$5:$T$44,$CU23,BA$57),"")))))))</f>
        <v/>
      </c>
      <c r="BB23" s="72">
        <f>IF(BB$59="X","",IF(BB$59&lt;&gt;"",BB$59,IF(IFERROR(INDEX(醫師週班表!$C$5:$T$44,$CU23,BB$57),"")=0,"",IF(MID(IFERROR(INDEX(醫師週班表!$C$5:$T$44,$CU23,BB$57),""),2,1)="/",MID(IFERROR(INDEX(醫師週班表!$C$5:$T$44,$CU23,BB$57),""),1+BB$58*2,1),IF(MID(IFERROR(INDEX(醫師週班表!$C$5:$T$44,$CU23,BB$57),""),3,1)="隔",IF(BB$58=0,LEFT(IFERROR(INDEX(醫師週班表!$C$5:$T$44,$CU23,BB$57),""),1),""),IF(MID(IFERROR(INDEX(醫師週班表!$C$5:$T$44,$CU23,BB$57),""),2,1)="(",LEFT(IFERROR(INDEX(醫師週班表!$C$5:$T$44,$CU23,BB$57),""),1),IFERROR(INDEX(醫師週班表!$C$5:$T$44,$CU23,BB$57),"")))))))</f>
        <v/>
      </c>
      <c r="BC23" s="72">
        <f>IF(BC$59="X","",IF(BC$59&lt;&gt;"",BC$59,IF(IFERROR(INDEX(醫師週班表!$C$5:$T$44,$CU23,BC$57),"")=0,"",IF(MID(IFERROR(INDEX(醫師週班表!$C$5:$T$44,$CU23,BC$57),""),2,1)="/",MID(IFERROR(INDEX(醫師週班表!$C$5:$T$44,$CU23,BC$57),""),1+BC$58*2,1),IF(MID(IFERROR(INDEX(醫師週班表!$C$5:$T$44,$CU23,BC$57),""),3,1)="隔",IF(BC$58=0,LEFT(IFERROR(INDEX(醫師週班表!$C$5:$T$44,$CU23,BC$57),""),1),""),IF(MID(IFERROR(INDEX(醫師週班表!$C$5:$T$44,$CU23,BC$57),""),2,1)="(",LEFT(IFERROR(INDEX(醫師週班表!$C$5:$T$44,$CU23,BC$57),""),1),IFERROR(INDEX(醫師週班表!$C$5:$T$44,$CU23,BC$57),"")))))))</f>
        <v/>
      </c>
      <c r="BD23" s="71">
        <f>IF(BD$59="X","",IF(BD$59&lt;&gt;"",BD$59,IF(IFERROR(INDEX(醫師週班表!$C$5:$T$44,$CU23,BD$57),"")=0,"",IF(MID(IFERROR(INDEX(醫師週班表!$C$5:$T$44,$CU23,BD$57),""),2,1)="/",MID(IFERROR(INDEX(醫師週班表!$C$5:$T$44,$CU23,BD$57),""),1+BD$58*2,1),IF(MID(IFERROR(INDEX(醫師週班表!$C$5:$T$44,$CU23,BD$57),""),3,1)="隔",IF(BD$58=0,LEFT(IFERROR(INDEX(醫師週班表!$C$5:$T$44,$CU23,BD$57),""),1),""),IF(MID(IFERROR(INDEX(醫師週班表!$C$5:$T$44,$CU23,BD$57),""),2,1)="(",LEFT(IFERROR(INDEX(醫師週班表!$C$5:$T$44,$CU23,BD$57),""),1),IFERROR(INDEX(醫師週班表!$C$5:$T$44,$CU23,BD$57),"")))))))</f>
        <v/>
      </c>
      <c r="BE23" s="72">
        <f>IF(BE$59="X","",IF(BE$59&lt;&gt;"",BE$59,IF(IFERROR(INDEX(醫師週班表!$C$5:$T$44,$CU23,BE$57),"")=0,"",IF(MID(IFERROR(INDEX(醫師週班表!$C$5:$T$44,$CU23,BE$57),""),2,1)="/",MID(IFERROR(INDEX(醫師週班表!$C$5:$T$44,$CU23,BE$57),""),1+BE$58*2,1),IF(MID(IFERROR(INDEX(醫師週班表!$C$5:$T$44,$CU23,BE$57),""),3,1)="隔",IF(BE$58=0,LEFT(IFERROR(INDEX(醫師週班表!$C$5:$T$44,$CU23,BE$57),""),1),""),IF(MID(IFERROR(INDEX(醫師週班表!$C$5:$T$44,$CU23,BE$57),""),2,1)="(",LEFT(IFERROR(INDEX(醫師週班表!$C$5:$T$44,$CU23,BE$57),""),1),IFERROR(INDEX(醫師週班表!$C$5:$T$44,$CU23,BE$57),"")))))))</f>
        <v/>
      </c>
      <c r="BF23" s="72">
        <f>IF(BF$59="X","",IF(BF$59&lt;&gt;"",BF$59,IF(IFERROR(INDEX(醫師週班表!$C$5:$T$44,$CU23,BF$57),"")=0,"",IF(MID(IFERROR(INDEX(醫師週班表!$C$5:$T$44,$CU23,BF$57),""),2,1)="/",MID(IFERROR(INDEX(醫師週班表!$C$5:$T$44,$CU23,BF$57),""),1+BF$58*2,1),IF(MID(IFERROR(INDEX(醫師週班表!$C$5:$T$44,$CU23,BF$57),""),3,1)="隔",IF(BF$58=0,LEFT(IFERROR(INDEX(醫師週班表!$C$5:$T$44,$CU23,BF$57),""),1),""),IF(MID(IFERROR(INDEX(醫師週班表!$C$5:$T$44,$CU23,BF$57),""),2,1)="(",LEFT(IFERROR(INDEX(醫師週班表!$C$5:$T$44,$CU23,BF$57),""),1),IFERROR(INDEX(醫師週班表!$C$5:$T$44,$CU23,BF$57),"")))))))</f>
        <v/>
      </c>
      <c r="BG23" s="71">
        <f>IF(BG$59="X","",IF(BG$59&lt;&gt;"",BG$59,IF(IFERROR(INDEX(醫師週班表!$C$5:$T$44,$CU23,BG$57),"")=0,"",IF(MID(IFERROR(INDEX(醫師週班表!$C$5:$T$44,$CU23,BG$57),""),2,1)="/",MID(IFERROR(INDEX(醫師週班表!$C$5:$T$44,$CU23,BG$57),""),1+BG$58*2,1),IF(MID(IFERROR(INDEX(醫師週班表!$C$5:$T$44,$CU23,BG$57),""),3,1)="隔",IF(BG$58=0,LEFT(IFERROR(INDEX(醫師週班表!$C$5:$T$44,$CU23,BG$57),""),1),""),IF(MID(IFERROR(INDEX(醫師週班表!$C$5:$T$44,$CU23,BG$57),""),2,1)="(",LEFT(IFERROR(INDEX(醫師週班表!$C$5:$T$44,$CU23,BG$57),""),1),IFERROR(INDEX(醫師週班表!$C$5:$T$44,$CU23,BG$57),"")))))))</f>
        <v/>
      </c>
      <c r="BH23" s="72">
        <f>IF(BH$59="X","",IF(BH$59&lt;&gt;"",BH$59,IF(IFERROR(INDEX(醫師週班表!$C$5:$T$44,$CU23,BH$57),"")=0,"",IF(MID(IFERROR(INDEX(醫師週班表!$C$5:$T$44,$CU23,BH$57),""),2,1)="/",MID(IFERROR(INDEX(醫師週班表!$C$5:$T$44,$CU23,BH$57),""),1+BH$58*2,1),IF(MID(IFERROR(INDEX(醫師週班表!$C$5:$T$44,$CU23,BH$57),""),3,1)="隔",IF(BH$58=0,LEFT(IFERROR(INDEX(醫師週班表!$C$5:$T$44,$CU23,BH$57),""),1),""),IF(MID(IFERROR(INDEX(醫師週班表!$C$5:$T$44,$CU23,BH$57),""),2,1)="(",LEFT(IFERROR(INDEX(醫師週班表!$C$5:$T$44,$CU23,BH$57),""),1),IFERROR(INDEX(醫師週班表!$C$5:$T$44,$CU23,BH$57),"")))))))</f>
        <v/>
      </c>
      <c r="BI23" s="72">
        <f>IF(BI$59="X","",IF(BI$59&lt;&gt;"",BI$59,IF(IFERROR(INDEX(醫師週班表!$C$5:$T$44,$CU23,BI$57),"")=0,"",IF(MID(IFERROR(INDEX(醫師週班表!$C$5:$T$44,$CU23,BI$57),""),2,1)="/",MID(IFERROR(INDEX(醫師週班表!$C$5:$T$44,$CU23,BI$57),""),1+BI$58*2,1),IF(MID(IFERROR(INDEX(醫師週班表!$C$5:$T$44,$CU23,BI$57),""),3,1)="隔",IF(BI$58=0,LEFT(IFERROR(INDEX(醫師週班表!$C$5:$T$44,$CU23,BI$57),""),1),""),IF(MID(IFERROR(INDEX(醫師週班表!$C$5:$T$44,$CU23,BI$57),""),2,1)="(",LEFT(IFERROR(INDEX(醫師週班表!$C$5:$T$44,$CU23,BI$57),""),1),IFERROR(INDEX(醫師週班表!$C$5:$T$44,$CU23,BI$57),"")))))))</f>
        <v/>
      </c>
      <c r="BJ23" s="71">
        <f>IF(BJ$59="X","",IF(BJ$59&lt;&gt;"",BJ$59,IF(IFERROR(INDEX(醫師週班表!$C$5:$T$44,$CU23,BJ$57),"")=0,"",IF(MID(IFERROR(INDEX(醫師週班表!$C$5:$T$44,$CU23,BJ$57),""),2,1)="/",MID(IFERROR(INDEX(醫師週班表!$C$5:$T$44,$CU23,BJ$57),""),1+BJ$58*2,1),IF(MID(IFERROR(INDEX(醫師週班表!$C$5:$T$44,$CU23,BJ$57),""),3,1)="隔",IF(BJ$58=0,LEFT(IFERROR(INDEX(醫師週班表!$C$5:$T$44,$CU23,BJ$57),""),1),""),IF(MID(IFERROR(INDEX(醫師週班表!$C$5:$T$44,$CU23,BJ$57),""),2,1)="(",LEFT(IFERROR(INDEX(醫師週班表!$C$5:$T$44,$CU23,BJ$57),""),1),IFERROR(INDEX(醫師週班表!$C$5:$T$44,$CU23,BJ$57),"")))))))</f>
        <v/>
      </c>
      <c r="BK23" s="72">
        <f>IF(BK$59="X","",IF(BK$59&lt;&gt;"",BK$59,IF(IFERROR(INDEX(醫師週班表!$C$5:$T$44,$CU23,BK$57),"")=0,"",IF(MID(IFERROR(INDEX(醫師週班表!$C$5:$T$44,$CU23,BK$57),""),2,1)="/",MID(IFERROR(INDEX(醫師週班表!$C$5:$T$44,$CU23,BK$57),""),1+BK$58*2,1),IF(MID(IFERROR(INDEX(醫師週班表!$C$5:$T$44,$CU23,BK$57),""),3,1)="隔",IF(BK$58=0,LEFT(IFERROR(INDEX(醫師週班表!$C$5:$T$44,$CU23,BK$57),""),1),""),IF(MID(IFERROR(INDEX(醫師週班表!$C$5:$T$44,$CU23,BK$57),""),2,1)="(",LEFT(IFERROR(INDEX(醫師週班表!$C$5:$T$44,$CU23,BK$57),""),1),IFERROR(INDEX(醫師週班表!$C$5:$T$44,$CU23,BK$57),"")))))))</f>
        <v/>
      </c>
      <c r="BL23" s="72">
        <f>IF(BL$59="X","",IF(BL$59&lt;&gt;"",BL$59,IF(IFERROR(INDEX(醫師週班表!$C$5:$T$44,$CU23,BL$57),"")=0,"",IF(MID(IFERROR(INDEX(醫師週班表!$C$5:$T$44,$CU23,BL$57),""),2,1)="/",MID(IFERROR(INDEX(醫師週班表!$C$5:$T$44,$CU23,BL$57),""),1+BL$58*2,1),IF(MID(IFERROR(INDEX(醫師週班表!$C$5:$T$44,$CU23,BL$57),""),3,1)="隔",IF(BL$58=0,LEFT(IFERROR(INDEX(醫師週班表!$C$5:$T$44,$CU23,BL$57),""),1),""),IF(MID(IFERROR(INDEX(醫師週班表!$C$5:$T$44,$CU23,BL$57),""),2,1)="(",LEFT(IFERROR(INDEX(醫師週班表!$C$5:$T$44,$CU23,BL$57),""),1),IFERROR(INDEX(醫師週班表!$C$5:$T$44,$CU23,BL$57),"")))))))</f>
        <v/>
      </c>
      <c r="BM23" s="71">
        <f>IF(BM$59="X","",IF(BM$59&lt;&gt;"",BM$59,IF(IFERROR(INDEX(醫師週班表!$C$5:$T$44,$CU23,BM$57),"")=0,"",IF(MID(IFERROR(INDEX(醫師週班表!$C$5:$T$44,$CU23,BM$57),""),2,1)="/",MID(IFERROR(INDEX(醫師週班表!$C$5:$T$44,$CU23,BM$57),""),1+BM$58*2,1),IF(MID(IFERROR(INDEX(醫師週班表!$C$5:$T$44,$CU23,BM$57),""),3,1)="隔",IF(BM$58=0,LEFT(IFERROR(INDEX(醫師週班表!$C$5:$T$44,$CU23,BM$57),""),1),""),IF(MID(IFERROR(INDEX(醫師週班表!$C$5:$T$44,$CU23,BM$57),""),2,1)="(",LEFT(IFERROR(INDEX(醫師週班表!$C$5:$T$44,$CU23,BM$57),""),1),IFERROR(INDEX(醫師週班表!$C$5:$T$44,$CU23,BM$57),"")))))))</f>
        <v/>
      </c>
      <c r="BN23" s="72">
        <f>IF(BN$59="X","",IF(BN$59&lt;&gt;"",BN$59,IF(IFERROR(INDEX(醫師週班表!$C$5:$T$44,$CU23,BN$57),"")=0,"",IF(MID(IFERROR(INDEX(醫師週班表!$C$5:$T$44,$CU23,BN$57),""),2,1)="/",MID(IFERROR(INDEX(醫師週班表!$C$5:$T$44,$CU23,BN$57),""),1+BN$58*2,1),IF(MID(IFERROR(INDEX(醫師週班表!$C$5:$T$44,$CU23,BN$57),""),3,1)="隔",IF(BN$58=0,LEFT(IFERROR(INDEX(醫師週班表!$C$5:$T$44,$CU23,BN$57),""),1),""),IF(MID(IFERROR(INDEX(醫師週班表!$C$5:$T$44,$CU23,BN$57),""),2,1)="(",LEFT(IFERROR(INDEX(醫師週班表!$C$5:$T$44,$CU23,BN$57),""),1),IFERROR(INDEX(醫師週班表!$C$5:$T$44,$CU23,BN$57),"")))))))</f>
        <v/>
      </c>
      <c r="BO23" s="72">
        <f>IF(BO$59="X","",IF(BO$59&lt;&gt;"",BO$59,IF(IFERROR(INDEX(醫師週班表!$C$5:$T$44,$CU23,BO$57),"")=0,"",IF(MID(IFERROR(INDEX(醫師週班表!$C$5:$T$44,$CU23,BO$57),""),2,1)="/",MID(IFERROR(INDEX(醫師週班表!$C$5:$T$44,$CU23,BO$57),""),1+BO$58*2,1),IF(MID(IFERROR(INDEX(醫師週班表!$C$5:$T$44,$CU23,BO$57),""),3,1)="隔",IF(BO$58=0,LEFT(IFERROR(INDEX(醫師週班表!$C$5:$T$44,$CU23,BO$57),""),1),""),IF(MID(IFERROR(INDEX(醫師週班表!$C$5:$T$44,$CU23,BO$57),""),2,1)="(",LEFT(IFERROR(INDEX(醫師週班表!$C$5:$T$44,$CU23,BO$57),""),1),IFERROR(INDEX(醫師週班表!$C$5:$T$44,$CU23,BO$57),"")))))))</f>
        <v/>
      </c>
      <c r="BP23" s="71">
        <f>IF(BP$59="X","",IF(BP$59&lt;&gt;"",BP$59,IF(IFERROR(INDEX(醫師週班表!$C$5:$T$44,$CU23,BP$57),"")=0,"",IF(MID(IFERROR(INDEX(醫師週班表!$C$5:$T$44,$CU23,BP$57),""),2,1)="/",MID(IFERROR(INDEX(醫師週班表!$C$5:$T$44,$CU23,BP$57),""),1+BP$58*2,1),IF(MID(IFERROR(INDEX(醫師週班表!$C$5:$T$44,$CU23,BP$57),""),3,1)="隔",IF(BP$58=0,LEFT(IFERROR(INDEX(醫師週班表!$C$5:$T$44,$CU23,BP$57),""),1),""),IF(MID(IFERROR(INDEX(醫師週班表!$C$5:$T$44,$CU23,BP$57),""),2,1)="(",LEFT(IFERROR(INDEX(醫師週班表!$C$5:$T$44,$CU23,BP$57),""),1),IFERROR(INDEX(醫師週班表!$C$5:$T$44,$CU23,BP$57),"")))))))</f>
        <v/>
      </c>
      <c r="BQ23" s="72">
        <f>IF(BQ$59="X","",IF(BQ$59&lt;&gt;"",BQ$59,IF(IFERROR(INDEX(醫師週班表!$C$5:$T$44,$CU23,BQ$57),"")=0,"",IF(MID(IFERROR(INDEX(醫師週班表!$C$5:$T$44,$CU23,BQ$57),""),2,1)="/",MID(IFERROR(INDEX(醫師週班表!$C$5:$T$44,$CU23,BQ$57),""),1+BQ$58*2,1),IF(MID(IFERROR(INDEX(醫師週班表!$C$5:$T$44,$CU23,BQ$57),""),3,1)="隔",IF(BQ$58=0,LEFT(IFERROR(INDEX(醫師週班表!$C$5:$T$44,$CU23,BQ$57),""),1),""),IF(MID(IFERROR(INDEX(醫師週班表!$C$5:$T$44,$CU23,BQ$57),""),2,1)="(",LEFT(IFERROR(INDEX(醫師週班表!$C$5:$T$44,$CU23,BQ$57),""),1),IFERROR(INDEX(醫師週班表!$C$5:$T$44,$CU23,BQ$57),"")))))))</f>
        <v/>
      </c>
      <c r="BR23" s="72">
        <f>IF(BR$59="X","",IF(BR$59&lt;&gt;"",BR$59,IF(IFERROR(INDEX(醫師週班表!$C$5:$T$44,$CU23,BR$57),"")=0,"",IF(MID(IFERROR(INDEX(醫師週班表!$C$5:$T$44,$CU23,BR$57),""),2,1)="/",MID(IFERROR(INDEX(醫師週班表!$C$5:$T$44,$CU23,BR$57),""),1+BR$58*2,1),IF(MID(IFERROR(INDEX(醫師週班表!$C$5:$T$44,$CU23,BR$57),""),3,1)="隔",IF(BR$58=0,LEFT(IFERROR(INDEX(醫師週班表!$C$5:$T$44,$CU23,BR$57),""),1),""),IF(MID(IFERROR(INDEX(醫師週班表!$C$5:$T$44,$CU23,BR$57),""),2,1)="(",LEFT(IFERROR(INDEX(醫師週班表!$C$5:$T$44,$CU23,BR$57),""),1),IFERROR(INDEX(醫師週班表!$C$5:$T$44,$CU23,BR$57),"")))))))</f>
        <v/>
      </c>
      <c r="BS23" s="71">
        <f>IF(BS$59="X","",IF(BS$59&lt;&gt;"",BS$59,IF(IFERROR(INDEX(醫師週班表!$C$5:$T$44,$CU23,BS$57),"")=0,"",IF(MID(IFERROR(INDEX(醫師週班表!$C$5:$T$44,$CU23,BS$57),""),2,1)="/",MID(IFERROR(INDEX(醫師週班表!$C$5:$T$44,$CU23,BS$57),""),1+BS$58*2,1),IF(MID(IFERROR(INDEX(醫師週班表!$C$5:$T$44,$CU23,BS$57),""),3,1)="隔",IF(BS$58=0,LEFT(IFERROR(INDEX(醫師週班表!$C$5:$T$44,$CU23,BS$57),""),1),""),IF(MID(IFERROR(INDEX(醫師週班表!$C$5:$T$44,$CU23,BS$57),""),2,1)="(",LEFT(IFERROR(INDEX(醫師週班表!$C$5:$T$44,$CU23,BS$57),""),1),IFERROR(INDEX(醫師週班表!$C$5:$T$44,$CU23,BS$57),"")))))))</f>
        <v/>
      </c>
      <c r="BT23" s="72">
        <f>IF(BT$59="X","",IF(BT$59&lt;&gt;"",BT$59,IF(IFERROR(INDEX(醫師週班表!$C$5:$T$44,$CU23,BT$57),"")=0,"",IF(MID(IFERROR(INDEX(醫師週班表!$C$5:$T$44,$CU23,BT$57),""),2,1)="/",MID(IFERROR(INDEX(醫師週班表!$C$5:$T$44,$CU23,BT$57),""),1+BT$58*2,1),IF(MID(IFERROR(INDEX(醫師週班表!$C$5:$T$44,$CU23,BT$57),""),3,1)="隔",IF(BT$58=0,LEFT(IFERROR(INDEX(醫師週班表!$C$5:$T$44,$CU23,BT$57),""),1),""),IF(MID(IFERROR(INDEX(醫師週班表!$C$5:$T$44,$CU23,BT$57),""),2,1)="(",LEFT(IFERROR(INDEX(醫師週班表!$C$5:$T$44,$CU23,BT$57),""),1),IFERROR(INDEX(醫師週班表!$C$5:$T$44,$CU23,BT$57),"")))))))</f>
        <v/>
      </c>
      <c r="BU23" s="72">
        <f>IF(BU$59="X","",IF(BU$59&lt;&gt;"",BU$59,IF(IFERROR(INDEX(醫師週班表!$C$5:$T$44,$CU23,BU$57),"")=0,"",IF(MID(IFERROR(INDEX(醫師週班表!$C$5:$T$44,$CU23,BU$57),""),2,1)="/",MID(IFERROR(INDEX(醫師週班表!$C$5:$T$44,$CU23,BU$57),""),1+BU$58*2,1),IF(MID(IFERROR(INDEX(醫師週班表!$C$5:$T$44,$CU23,BU$57),""),3,1)="隔",IF(BU$58=0,LEFT(IFERROR(INDEX(醫師週班表!$C$5:$T$44,$CU23,BU$57),""),1),""),IF(MID(IFERROR(INDEX(醫師週班表!$C$5:$T$44,$CU23,BU$57),""),2,1)="(",LEFT(IFERROR(INDEX(醫師週班表!$C$5:$T$44,$CU23,BU$57),""),1),IFERROR(INDEX(醫師週班表!$C$5:$T$44,$CU23,BU$57),"")))))))</f>
        <v/>
      </c>
      <c r="BV23" s="71">
        <f>IF(BV$59="X","",IF(BV$59&lt;&gt;"",BV$59,IF(IFERROR(INDEX(醫師週班表!$C$5:$T$44,$CU23,BV$57),"")=0,"",IF(MID(IFERROR(INDEX(醫師週班表!$C$5:$T$44,$CU23,BV$57),""),2,1)="/",MID(IFERROR(INDEX(醫師週班表!$C$5:$T$44,$CU23,BV$57),""),1+BV$58*2,1),IF(MID(IFERROR(INDEX(醫師週班表!$C$5:$T$44,$CU23,BV$57),""),3,1)="隔",IF(BV$58=0,LEFT(IFERROR(INDEX(醫師週班表!$C$5:$T$44,$CU23,BV$57),""),1),""),IF(MID(IFERROR(INDEX(醫師週班表!$C$5:$T$44,$CU23,BV$57),""),2,1)="(",LEFT(IFERROR(INDEX(醫師週班表!$C$5:$T$44,$CU23,BV$57),""),1),IFERROR(INDEX(醫師週班表!$C$5:$T$44,$CU23,BV$57),"")))))))</f>
        <v/>
      </c>
      <c r="BW23" s="72">
        <f>IF(BW$59="X","",IF(BW$59&lt;&gt;"",BW$59,IF(IFERROR(INDEX(醫師週班表!$C$5:$T$44,$CU23,BW$57),"")=0,"",IF(MID(IFERROR(INDEX(醫師週班表!$C$5:$T$44,$CU23,BW$57),""),2,1)="/",MID(IFERROR(INDEX(醫師週班表!$C$5:$T$44,$CU23,BW$57),""),1+BW$58*2,1),IF(MID(IFERROR(INDEX(醫師週班表!$C$5:$T$44,$CU23,BW$57),""),3,1)="隔",IF(BW$58=0,LEFT(IFERROR(INDEX(醫師週班表!$C$5:$T$44,$CU23,BW$57),""),1),""),IF(MID(IFERROR(INDEX(醫師週班表!$C$5:$T$44,$CU23,BW$57),""),2,1)="(",LEFT(IFERROR(INDEX(醫師週班表!$C$5:$T$44,$CU23,BW$57),""),1),IFERROR(INDEX(醫師週班表!$C$5:$T$44,$CU23,BW$57),"")))))))</f>
        <v/>
      </c>
      <c r="BX23" s="72">
        <f>IF(BX$59="X","",IF(BX$59&lt;&gt;"",BX$59,IF(IFERROR(INDEX(醫師週班表!$C$5:$T$44,$CU23,BX$57),"")=0,"",IF(MID(IFERROR(INDEX(醫師週班表!$C$5:$T$44,$CU23,BX$57),""),2,1)="/",MID(IFERROR(INDEX(醫師週班表!$C$5:$T$44,$CU23,BX$57),""),1+BX$58*2,1),IF(MID(IFERROR(INDEX(醫師週班表!$C$5:$T$44,$CU23,BX$57),""),3,1)="隔",IF(BX$58=0,LEFT(IFERROR(INDEX(醫師週班表!$C$5:$T$44,$CU23,BX$57),""),1),""),IF(MID(IFERROR(INDEX(醫師週班表!$C$5:$T$44,$CU23,BX$57),""),2,1)="(",LEFT(IFERROR(INDEX(醫師週班表!$C$5:$T$44,$CU23,BX$57),""),1),IFERROR(INDEX(醫師週班表!$C$5:$T$44,$CU23,BX$57),"")))))))</f>
        <v/>
      </c>
      <c r="BY23" s="71">
        <f>IF(BY$59="X","",IF(BY$59&lt;&gt;"",BY$59,IF(IFERROR(INDEX(醫師週班表!$C$5:$T$44,$CU23,BY$57),"")=0,"",IF(MID(IFERROR(INDEX(醫師週班表!$C$5:$T$44,$CU23,BY$57),""),2,1)="/",MID(IFERROR(INDEX(醫師週班表!$C$5:$T$44,$CU23,BY$57),""),1+BY$58*2,1),IF(MID(IFERROR(INDEX(醫師週班表!$C$5:$T$44,$CU23,BY$57),""),3,1)="隔",IF(BY$58=0,LEFT(IFERROR(INDEX(醫師週班表!$C$5:$T$44,$CU23,BY$57),""),1),""),IF(MID(IFERROR(INDEX(醫師週班表!$C$5:$T$44,$CU23,BY$57),""),2,1)="(",LEFT(IFERROR(INDEX(醫師週班表!$C$5:$T$44,$CU23,BY$57),""),1),IFERROR(INDEX(醫師週班表!$C$5:$T$44,$CU23,BY$57),"")))))))</f>
        <v/>
      </c>
      <c r="BZ23" s="72">
        <f>IF(BZ$59="X","",IF(BZ$59&lt;&gt;"",BZ$59,IF(IFERROR(INDEX(醫師週班表!$C$5:$T$44,$CU23,BZ$57),"")=0,"",IF(MID(IFERROR(INDEX(醫師週班表!$C$5:$T$44,$CU23,BZ$57),""),2,1)="/",MID(IFERROR(INDEX(醫師週班表!$C$5:$T$44,$CU23,BZ$57),""),1+BZ$58*2,1),IF(MID(IFERROR(INDEX(醫師週班表!$C$5:$T$44,$CU23,BZ$57),""),3,1)="隔",IF(BZ$58=0,LEFT(IFERROR(INDEX(醫師週班表!$C$5:$T$44,$CU23,BZ$57),""),1),""),IF(MID(IFERROR(INDEX(醫師週班表!$C$5:$T$44,$CU23,BZ$57),""),2,1)="(",LEFT(IFERROR(INDEX(醫師週班表!$C$5:$T$44,$CU23,BZ$57),""),1),IFERROR(INDEX(醫師週班表!$C$5:$T$44,$CU23,BZ$57),"")))))))</f>
        <v/>
      </c>
      <c r="CA23" s="72">
        <f>IF(CA$59="X","",IF(CA$59&lt;&gt;"",CA$59,IF(IFERROR(INDEX(醫師週班表!$C$5:$T$44,$CU23,CA$57),"")=0,"",IF(MID(IFERROR(INDEX(醫師週班表!$C$5:$T$44,$CU23,CA$57),""),2,1)="/",MID(IFERROR(INDEX(醫師週班表!$C$5:$T$44,$CU23,CA$57),""),1+CA$58*2,1),IF(MID(IFERROR(INDEX(醫師週班表!$C$5:$T$44,$CU23,CA$57),""),3,1)="隔",IF(CA$58=0,LEFT(IFERROR(INDEX(醫師週班表!$C$5:$T$44,$CU23,CA$57),""),1),""),IF(MID(IFERROR(INDEX(醫師週班表!$C$5:$T$44,$CU23,CA$57),""),2,1)="(",LEFT(IFERROR(INDEX(醫師週班表!$C$5:$T$44,$CU23,CA$57),""),1),IFERROR(INDEX(醫師週班表!$C$5:$T$44,$CU23,CA$57),"")))))))</f>
        <v/>
      </c>
      <c r="CB23" s="71">
        <f>IF(CB$59="X","",IF(CB$59&lt;&gt;"",CB$59,IF(IFERROR(INDEX(醫師週班表!$C$5:$T$44,$CU23,CB$57),"")=0,"",IF(MID(IFERROR(INDEX(醫師週班表!$C$5:$T$44,$CU23,CB$57),""),2,1)="/",MID(IFERROR(INDEX(醫師週班表!$C$5:$T$44,$CU23,CB$57),""),1+CB$58*2,1),IF(MID(IFERROR(INDEX(醫師週班表!$C$5:$T$44,$CU23,CB$57),""),3,1)="隔",IF(CB$58=0,LEFT(IFERROR(INDEX(醫師週班表!$C$5:$T$44,$CU23,CB$57),""),1),""),IF(MID(IFERROR(INDEX(醫師週班表!$C$5:$T$44,$CU23,CB$57),""),2,1)="(",LEFT(IFERROR(INDEX(醫師週班表!$C$5:$T$44,$CU23,CB$57),""),1),IFERROR(INDEX(醫師週班表!$C$5:$T$44,$CU23,CB$57),"")))))))</f>
        <v/>
      </c>
      <c r="CC23" s="72">
        <f>IF(CC$59="X","",IF(CC$59&lt;&gt;"",CC$59,IF(IFERROR(INDEX(醫師週班表!$C$5:$T$44,$CU23,CC$57),"")=0,"",IF(MID(IFERROR(INDEX(醫師週班表!$C$5:$T$44,$CU23,CC$57),""),2,1)="/",MID(IFERROR(INDEX(醫師週班表!$C$5:$T$44,$CU23,CC$57),""),1+CC$58*2,1),IF(MID(IFERROR(INDEX(醫師週班表!$C$5:$T$44,$CU23,CC$57),""),3,1)="隔",IF(CC$58=0,LEFT(IFERROR(INDEX(醫師週班表!$C$5:$T$44,$CU23,CC$57),""),1),""),IF(MID(IFERROR(INDEX(醫師週班表!$C$5:$T$44,$CU23,CC$57),""),2,1)="(",LEFT(IFERROR(INDEX(醫師週班表!$C$5:$T$44,$CU23,CC$57),""),1),IFERROR(INDEX(醫師週班表!$C$5:$T$44,$CU23,CC$57),"")))))))</f>
        <v/>
      </c>
      <c r="CD23" s="72">
        <f>IF(CD$59="X","",IF(CD$59&lt;&gt;"",CD$59,IF(IFERROR(INDEX(醫師週班表!$C$5:$T$44,$CU23,CD$57),"")=0,"",IF(MID(IFERROR(INDEX(醫師週班表!$C$5:$T$44,$CU23,CD$57),""),2,1)="/",MID(IFERROR(INDEX(醫師週班表!$C$5:$T$44,$CU23,CD$57),""),1+CD$58*2,1),IF(MID(IFERROR(INDEX(醫師週班表!$C$5:$T$44,$CU23,CD$57),""),3,1)="隔",IF(CD$58=0,LEFT(IFERROR(INDEX(醫師週班表!$C$5:$T$44,$CU23,CD$57),""),1),""),IF(MID(IFERROR(INDEX(醫師週班表!$C$5:$T$44,$CU23,CD$57),""),2,1)="(",LEFT(IFERROR(INDEX(醫師週班表!$C$5:$T$44,$CU23,CD$57),""),1),IFERROR(INDEX(醫師週班表!$C$5:$T$44,$CU23,CD$57),"")))))))</f>
        <v/>
      </c>
      <c r="CE23" s="71">
        <f>IF(CE$59="X","",IF(CE$59&lt;&gt;"",CE$59,IF(IFERROR(INDEX(醫師週班表!$C$5:$T$44,$CU23,CE$57),"")=0,"",IF(MID(IFERROR(INDEX(醫師週班表!$C$5:$T$44,$CU23,CE$57),""),2,1)="/",MID(IFERROR(INDEX(醫師週班表!$C$5:$T$44,$CU23,CE$57),""),1+CE$58*2,1),IF(MID(IFERROR(INDEX(醫師週班表!$C$5:$T$44,$CU23,CE$57),""),3,1)="隔",IF(CE$58=0,LEFT(IFERROR(INDEX(醫師週班表!$C$5:$T$44,$CU23,CE$57),""),1),""),IF(MID(IFERROR(INDEX(醫師週班表!$C$5:$T$44,$CU23,CE$57),""),2,1)="(",LEFT(IFERROR(INDEX(醫師週班表!$C$5:$T$44,$CU23,CE$57),""),1),IFERROR(INDEX(醫師週班表!$C$5:$T$44,$CU23,CE$57),"")))))))</f>
        <v/>
      </c>
      <c r="CF23" s="72">
        <f>IF(CF$59="X","",IF(CF$59&lt;&gt;"",CF$59,IF(IFERROR(INDEX(醫師週班表!$C$5:$T$44,$CU23,CF$57),"")=0,"",IF(MID(IFERROR(INDEX(醫師週班表!$C$5:$T$44,$CU23,CF$57),""),2,1)="/",MID(IFERROR(INDEX(醫師週班表!$C$5:$T$44,$CU23,CF$57),""),1+CF$58*2,1),IF(MID(IFERROR(INDEX(醫師週班表!$C$5:$T$44,$CU23,CF$57),""),3,1)="隔",IF(CF$58=0,LEFT(IFERROR(INDEX(醫師週班表!$C$5:$T$44,$CU23,CF$57),""),1),""),IF(MID(IFERROR(INDEX(醫師週班表!$C$5:$T$44,$CU23,CF$57),""),2,1)="(",LEFT(IFERROR(INDEX(醫師週班表!$C$5:$T$44,$CU23,CF$57),""),1),IFERROR(INDEX(醫師週班表!$C$5:$T$44,$CU23,CF$57),"")))))))</f>
        <v/>
      </c>
      <c r="CG23" s="72">
        <f>IF(CG$59="X","",IF(CG$59&lt;&gt;"",CG$59,IF(IFERROR(INDEX(醫師週班表!$C$5:$T$44,$CU23,CG$57),"")=0,"",IF(MID(IFERROR(INDEX(醫師週班表!$C$5:$T$44,$CU23,CG$57),""),2,1)="/",MID(IFERROR(INDEX(醫師週班表!$C$5:$T$44,$CU23,CG$57),""),1+CG$58*2,1),IF(MID(IFERROR(INDEX(醫師週班表!$C$5:$T$44,$CU23,CG$57),""),3,1)="隔",IF(CG$58=0,LEFT(IFERROR(INDEX(醫師週班表!$C$5:$T$44,$CU23,CG$57),""),1),""),IF(MID(IFERROR(INDEX(醫師週班表!$C$5:$T$44,$CU23,CG$57),""),2,1)="(",LEFT(IFERROR(INDEX(醫師週班表!$C$5:$T$44,$CU23,CG$57),""),1),IFERROR(INDEX(醫師週班表!$C$5:$T$44,$CU23,CG$57),"")))))))</f>
        <v/>
      </c>
      <c r="CH23" s="71">
        <f>IF(CH$59="X","",IF(CH$59&lt;&gt;"",CH$59,IF(IFERROR(INDEX(醫師週班表!$C$5:$T$44,$CU23,CH$57),"")=0,"",IF(MID(IFERROR(INDEX(醫師週班表!$C$5:$T$44,$CU23,CH$57),""),2,1)="/",MID(IFERROR(INDEX(醫師週班表!$C$5:$T$44,$CU23,CH$57),""),1+CH$58*2,1),IF(MID(IFERROR(INDEX(醫師週班表!$C$5:$T$44,$CU23,CH$57),""),3,1)="隔",IF(CH$58=0,LEFT(IFERROR(INDEX(醫師週班表!$C$5:$T$44,$CU23,CH$57),""),1),""),IF(MID(IFERROR(INDEX(醫師週班表!$C$5:$T$44,$CU23,CH$57),""),2,1)="(",LEFT(IFERROR(INDEX(醫師週班表!$C$5:$T$44,$CU23,CH$57),""),1),IFERROR(INDEX(醫師週班表!$C$5:$T$44,$CU23,CH$57),"")))))))</f>
        <v/>
      </c>
      <c r="CI23" s="72">
        <f>IF(CI$59="X","",IF(CI$59&lt;&gt;"",CI$59,IF(IFERROR(INDEX(醫師週班表!$C$5:$T$44,$CU23,CI$57),"")=0,"",IF(MID(IFERROR(INDEX(醫師週班表!$C$5:$T$44,$CU23,CI$57),""),2,1)="/",MID(IFERROR(INDEX(醫師週班表!$C$5:$T$44,$CU23,CI$57),""),1+CI$58*2,1),IF(MID(IFERROR(INDEX(醫師週班表!$C$5:$T$44,$CU23,CI$57),""),3,1)="隔",IF(CI$58=0,LEFT(IFERROR(INDEX(醫師週班表!$C$5:$T$44,$CU23,CI$57),""),1),""),IF(MID(IFERROR(INDEX(醫師週班表!$C$5:$T$44,$CU23,CI$57),""),2,1)="(",LEFT(IFERROR(INDEX(醫師週班表!$C$5:$T$44,$CU23,CI$57),""),1),IFERROR(INDEX(醫師週班表!$C$5:$T$44,$CU23,CI$57),"")))))))</f>
        <v/>
      </c>
      <c r="CJ23" s="72">
        <f>IF(CJ$59="X","",IF(CJ$59&lt;&gt;"",CJ$59,IF(IFERROR(INDEX(醫師週班表!$C$5:$T$44,$CU23,CJ$57),"")=0,"",IF(MID(IFERROR(INDEX(醫師週班表!$C$5:$T$44,$CU23,CJ$57),""),2,1)="/",MID(IFERROR(INDEX(醫師週班表!$C$5:$T$44,$CU23,CJ$57),""),1+CJ$58*2,1),IF(MID(IFERROR(INDEX(醫師週班表!$C$5:$T$44,$CU23,CJ$57),""),3,1)="隔",IF(CJ$58=0,LEFT(IFERROR(INDEX(醫師週班表!$C$5:$T$44,$CU23,CJ$57),""),1),""),IF(MID(IFERROR(INDEX(醫師週班表!$C$5:$T$44,$CU23,CJ$57),""),2,1)="(",LEFT(IFERROR(INDEX(醫師週班表!$C$5:$T$44,$CU23,CJ$57),""),1),IFERROR(INDEX(醫師週班表!$C$5:$T$44,$CU23,CJ$57),"")))))))</f>
        <v/>
      </c>
      <c r="CK23" s="71">
        <f>IF(CK$59="X","",IF(CK$59&lt;&gt;"",CK$59,IF(IFERROR(INDEX(醫師週班表!$C$5:$T$44,$CU23,CK$57),"")=0,"",IF(MID(IFERROR(INDEX(醫師週班表!$C$5:$T$44,$CU23,CK$57),""),2,1)="/",MID(IFERROR(INDEX(醫師週班表!$C$5:$T$44,$CU23,CK$57),""),1+CK$58*2,1),IF(MID(IFERROR(INDEX(醫師週班表!$C$5:$T$44,$CU23,CK$57),""),3,1)="隔",IF(CK$58=0,LEFT(IFERROR(INDEX(醫師週班表!$C$5:$T$44,$CU23,CK$57),""),1),""),IF(MID(IFERROR(INDEX(醫師週班表!$C$5:$T$44,$CU23,CK$57),""),2,1)="(",LEFT(IFERROR(INDEX(醫師週班表!$C$5:$T$44,$CU23,CK$57),""),1),IFERROR(INDEX(醫師週班表!$C$5:$T$44,$CU23,CK$57),"")))))))</f>
        <v/>
      </c>
      <c r="CL23" s="72">
        <f>IF(CL$59="X","",IF(CL$59&lt;&gt;"",CL$59,IF(IFERROR(INDEX(醫師週班表!$C$5:$T$44,$CU23,CL$57),"")=0,"",IF(MID(IFERROR(INDEX(醫師週班表!$C$5:$T$44,$CU23,CL$57),""),2,1)="/",MID(IFERROR(INDEX(醫師週班表!$C$5:$T$44,$CU23,CL$57),""),1+CL$58*2,1),IF(MID(IFERROR(INDEX(醫師週班表!$C$5:$T$44,$CU23,CL$57),""),3,1)="隔",IF(CL$58=0,LEFT(IFERROR(INDEX(醫師週班表!$C$5:$T$44,$CU23,CL$57),""),1),""),IF(MID(IFERROR(INDEX(醫師週班表!$C$5:$T$44,$CU23,CL$57),""),2,1)="(",LEFT(IFERROR(INDEX(醫師週班表!$C$5:$T$44,$CU23,CL$57),""),1),IFERROR(INDEX(醫師週班表!$C$5:$T$44,$CU23,CL$57),"")))))))</f>
        <v/>
      </c>
      <c r="CM23" s="72">
        <f>IF(CM$59="X","",IF(CM$59&lt;&gt;"",CM$59,IF(IFERROR(INDEX(醫師週班表!$C$5:$T$44,$CU23,CM$57),"")=0,"",IF(MID(IFERROR(INDEX(醫師週班表!$C$5:$T$44,$CU23,CM$57),""),2,1)="/",MID(IFERROR(INDEX(醫師週班表!$C$5:$T$44,$CU23,CM$57),""),1+CM$58*2,1),IF(MID(IFERROR(INDEX(醫師週班表!$C$5:$T$44,$CU23,CM$57),""),3,1)="隔",IF(CM$58=0,LEFT(IFERROR(INDEX(醫師週班表!$C$5:$T$44,$CU23,CM$57),""),1),""),IF(MID(IFERROR(INDEX(醫師週班表!$C$5:$T$44,$CU23,CM$57),""),2,1)="(",LEFT(IFERROR(INDEX(醫師週班表!$C$5:$T$44,$CU23,CM$57),""),1),IFERROR(INDEX(醫師週班表!$C$5:$T$44,$CU23,CM$57),"")))))))</f>
        <v/>
      </c>
      <c r="CN23" s="71">
        <f>IF(CN$59="X","",IF(CN$59&lt;&gt;"",CN$59,IF(IFERROR(INDEX(醫師週班表!$C$5:$T$44,$CU23,CN$57),"")=0,"",IF(MID(IFERROR(INDEX(醫師週班表!$C$5:$T$44,$CU23,CN$57),""),2,1)="/",MID(IFERROR(INDEX(醫師週班表!$C$5:$T$44,$CU23,CN$57),""),1+CN$58*2,1),IF(MID(IFERROR(INDEX(醫師週班表!$C$5:$T$44,$CU23,CN$57),""),3,1)="隔",IF(CN$58=0,LEFT(IFERROR(INDEX(醫師週班表!$C$5:$T$44,$CU23,CN$57),""),1),""),IF(MID(IFERROR(INDEX(醫師週班表!$C$5:$T$44,$CU23,CN$57),""),2,1)="(",LEFT(IFERROR(INDEX(醫師週班表!$C$5:$T$44,$CU23,CN$57),""),1),IFERROR(INDEX(醫師週班表!$C$5:$T$44,$CU23,CN$57),"")))))))</f>
        <v/>
      </c>
      <c r="CO23" s="72">
        <f>IF(CO$59="X","",IF(CO$59&lt;&gt;"",CO$59,IF(IFERROR(INDEX(醫師週班表!$C$5:$T$44,$CU23,CO$57),"")=0,"",IF(MID(IFERROR(INDEX(醫師週班表!$C$5:$T$44,$CU23,CO$57),""),2,1)="/",MID(IFERROR(INDEX(醫師週班表!$C$5:$T$44,$CU23,CO$57),""),1+CO$58*2,1),IF(MID(IFERROR(INDEX(醫師週班表!$C$5:$T$44,$CU23,CO$57),""),3,1)="隔",IF(CO$58=0,LEFT(IFERROR(INDEX(醫師週班表!$C$5:$T$44,$CU23,CO$57),""),1),""),IF(MID(IFERROR(INDEX(醫師週班表!$C$5:$T$44,$CU23,CO$57),""),2,1)="(",LEFT(IFERROR(INDEX(醫師週班表!$C$5:$T$44,$CU23,CO$57),""),1),IFERROR(INDEX(醫師週班表!$C$5:$T$44,$CU23,CO$57),"")))))))</f>
        <v/>
      </c>
      <c r="CP23" s="72">
        <f>IF(CP$59="X","",IF(CP$59&lt;&gt;"",CP$59,IF(IFERROR(INDEX(醫師週班表!$C$5:$T$44,$CU23,CP$57),"")=0,"",IF(MID(IFERROR(INDEX(醫師週班表!$C$5:$T$44,$CU23,CP$57),""),2,1)="/",MID(IFERROR(INDEX(醫師週班表!$C$5:$T$44,$CU23,CP$57),""),1+CP$58*2,1),IF(MID(IFERROR(INDEX(醫師週班表!$C$5:$T$44,$CU23,CP$57),""),3,1)="隔",IF(CP$58=0,LEFT(IFERROR(INDEX(醫師週班表!$C$5:$T$44,$CU23,CP$57),""),1),""),IF(MID(IFERROR(INDEX(醫師週班表!$C$5:$T$44,$CU23,CP$57),""),2,1)="(",LEFT(IFERROR(INDEX(醫師週班表!$C$5:$T$44,$CU23,CP$57),""),1),IFERROR(INDEX(醫師週班表!$C$5:$T$44,$CU23,CP$57),"")))))))</f>
        <v/>
      </c>
      <c r="CQ23" s="71">
        <f>IF(CQ$59="X","",IF(CQ$59&lt;&gt;"",CQ$59,IF(IFERROR(INDEX(醫師週班表!$C$5:$T$44,$CU23,CQ$57),"")=0,"",IF(MID(IFERROR(INDEX(醫師週班表!$C$5:$T$44,$CU23,CQ$57),""),2,1)="/",MID(IFERROR(INDEX(醫師週班表!$C$5:$T$44,$CU23,CQ$57),""),1+CQ$58*2,1),IF(MID(IFERROR(INDEX(醫師週班表!$C$5:$T$44,$CU23,CQ$57),""),3,1)="隔",IF(CQ$58=0,LEFT(IFERROR(INDEX(醫師週班表!$C$5:$T$44,$CU23,CQ$57),""),1),""),IF(MID(IFERROR(INDEX(醫師週班表!$C$5:$T$44,$CU23,CQ$57),""),2,1)="(",LEFT(IFERROR(INDEX(醫師週班表!$C$5:$T$44,$CU23,CQ$57),""),1),IFERROR(INDEX(醫師週班表!$C$5:$T$44,$CU23,CQ$57),"")))))))</f>
        <v/>
      </c>
      <c r="CR23" s="72">
        <f>IF(CR$59="X","",IF(CR$59&lt;&gt;"",CR$59,IF(IFERROR(INDEX(醫師週班表!$C$5:$T$44,$CU23,CR$57),"")=0,"",IF(MID(IFERROR(INDEX(醫師週班表!$C$5:$T$44,$CU23,CR$57),""),2,1)="/",MID(IFERROR(INDEX(醫師週班表!$C$5:$T$44,$CU23,CR$57),""),1+CR$58*2,1),IF(MID(IFERROR(INDEX(醫師週班表!$C$5:$T$44,$CU23,CR$57),""),3,1)="隔",IF(CR$58=0,LEFT(IFERROR(INDEX(醫師週班表!$C$5:$T$44,$CU23,CR$57),""),1),""),IF(MID(IFERROR(INDEX(醫師週班表!$C$5:$T$44,$CU23,CR$57),""),2,1)="(",LEFT(IFERROR(INDEX(醫師週班表!$C$5:$T$44,$CU23,CR$57),""),1),IFERROR(INDEX(醫師週班表!$C$5:$T$44,$CU23,CR$57),"")))))))</f>
        <v/>
      </c>
      <c r="CS23" s="72">
        <f>IF(CS$59="X","",IF(CS$59&lt;&gt;"",CS$59,IF(IFERROR(INDEX(醫師週班表!$C$5:$T$44,$CU23,CS$57),"")=0,"",IF(MID(IFERROR(INDEX(醫師週班表!$C$5:$T$44,$CU23,CS$57),""),2,1)="/",MID(IFERROR(INDEX(醫師週班表!$C$5:$T$44,$CU23,CS$57),""),1+CS$58*2,1),IF(MID(IFERROR(INDEX(醫師週班表!$C$5:$T$44,$CU23,CS$57),""),3,1)="隔",IF(CS$58=0,LEFT(IFERROR(INDEX(醫師週班表!$C$5:$T$44,$CU23,CS$57),""),1),""),IF(MID(IFERROR(INDEX(醫師週班表!$C$5:$T$44,$CU23,CS$57),""),2,1)="(",LEFT(IFERROR(INDEX(醫師週班表!$C$5:$T$44,$CU23,CS$57),""),1),IFERROR(INDEX(醫師週班表!$C$5:$T$44,$CU23,CS$57),"")))))))</f>
        <v/>
      </c>
      <c r="CU23" s="73">
        <f>IFERROR(MATCH($A23,醫師週班表!$A$5:$A$44,0),0)</f>
        <v/>
      </c>
    </row>
    <row r="24" ht="17" customHeight="1">
      <c r="A24" s="19" t="inlineStr">
        <is>
          <t>D019</t>
        </is>
      </c>
      <c r="B24" s="16" t="inlineStr">
        <is>
          <t>翁崎紘</t>
        </is>
      </c>
      <c r="C24" s="70" t="inlineStr"/>
      <c r="D24" s="16" t="inlineStr"/>
      <c r="E24" s="71">
        <f>IF(E$59="X","",IF(E$59&lt;&gt;"",E$59,IF(IFERROR(INDEX(醫師週班表!$C$5:$T$44,$CU24,E$57),"")=0,"",IF(MID(IFERROR(INDEX(醫師週班表!$C$5:$T$44,$CU24,E$57),""),2,1)="/",MID(IFERROR(INDEX(醫師週班表!$C$5:$T$44,$CU24,E$57),""),1+E$58*2,1),IF(MID(IFERROR(INDEX(醫師週班表!$C$5:$T$44,$CU24,E$57),""),3,1)="隔",IF(E$58=0,LEFT(IFERROR(INDEX(醫師週班表!$C$5:$T$44,$CU24,E$57),""),1),""),IF(MID(IFERROR(INDEX(醫師週班表!$C$5:$T$44,$CU24,E$57),""),2,1)="(",LEFT(IFERROR(INDEX(醫師週班表!$C$5:$T$44,$CU24,E$57),""),1),IFERROR(INDEX(醫師週班表!$C$5:$T$44,$CU24,E$57),"")))))))</f>
        <v/>
      </c>
      <c r="F24" s="72">
        <f>IF(F$59="X","",IF(F$59&lt;&gt;"",F$59,IF(IFERROR(INDEX(醫師週班表!$C$5:$T$44,$CU24,F$57),"")=0,"",IF(MID(IFERROR(INDEX(醫師週班表!$C$5:$T$44,$CU24,F$57),""),2,1)="/",MID(IFERROR(INDEX(醫師週班表!$C$5:$T$44,$CU24,F$57),""),1+F$58*2,1),IF(MID(IFERROR(INDEX(醫師週班表!$C$5:$T$44,$CU24,F$57),""),3,1)="隔",IF(F$58=0,LEFT(IFERROR(INDEX(醫師週班表!$C$5:$T$44,$CU24,F$57),""),1),""),IF(MID(IFERROR(INDEX(醫師週班表!$C$5:$T$44,$CU24,F$57),""),2,1)="(",LEFT(IFERROR(INDEX(醫師週班表!$C$5:$T$44,$CU24,F$57),""),1),IFERROR(INDEX(醫師週班表!$C$5:$T$44,$CU24,F$57),"")))))))</f>
        <v/>
      </c>
      <c r="G24" s="72">
        <f>IF(G$59="X","",IF(G$59&lt;&gt;"",G$59,IF(IFERROR(INDEX(醫師週班表!$C$5:$T$44,$CU24,G$57),"")=0,"",IF(MID(IFERROR(INDEX(醫師週班表!$C$5:$T$44,$CU24,G$57),""),2,1)="/",MID(IFERROR(INDEX(醫師週班表!$C$5:$T$44,$CU24,G$57),""),1+G$58*2,1),IF(MID(IFERROR(INDEX(醫師週班表!$C$5:$T$44,$CU24,G$57),""),3,1)="隔",IF(G$58=0,LEFT(IFERROR(INDEX(醫師週班表!$C$5:$T$44,$CU24,G$57),""),1),""),IF(MID(IFERROR(INDEX(醫師週班表!$C$5:$T$44,$CU24,G$57),""),2,1)="(",LEFT(IFERROR(INDEX(醫師週班表!$C$5:$T$44,$CU24,G$57),""),1),IFERROR(INDEX(醫師週班表!$C$5:$T$44,$CU24,G$57),"")))))))</f>
        <v/>
      </c>
      <c r="H24" s="71">
        <f>IF(H$59="X","",IF(H$59&lt;&gt;"",H$59,IF(IFERROR(INDEX(醫師週班表!$C$5:$T$44,$CU24,H$57),"")=0,"",IF(MID(IFERROR(INDEX(醫師週班表!$C$5:$T$44,$CU24,H$57),""),2,1)="/",MID(IFERROR(INDEX(醫師週班表!$C$5:$T$44,$CU24,H$57),""),1+H$58*2,1),IF(MID(IFERROR(INDEX(醫師週班表!$C$5:$T$44,$CU24,H$57),""),3,1)="隔",IF(H$58=0,LEFT(IFERROR(INDEX(醫師週班表!$C$5:$T$44,$CU24,H$57),""),1),""),IF(MID(IFERROR(INDEX(醫師週班表!$C$5:$T$44,$CU24,H$57),""),2,1)="(",LEFT(IFERROR(INDEX(醫師週班表!$C$5:$T$44,$CU24,H$57),""),1),IFERROR(INDEX(醫師週班表!$C$5:$T$44,$CU24,H$57),"")))))))</f>
        <v/>
      </c>
      <c r="I24" s="72">
        <f>IF(I$59="X","",IF(I$59&lt;&gt;"",I$59,IF(IFERROR(INDEX(醫師週班表!$C$5:$T$44,$CU24,I$57),"")=0,"",IF(MID(IFERROR(INDEX(醫師週班表!$C$5:$T$44,$CU24,I$57),""),2,1)="/",MID(IFERROR(INDEX(醫師週班表!$C$5:$T$44,$CU24,I$57),""),1+I$58*2,1),IF(MID(IFERROR(INDEX(醫師週班表!$C$5:$T$44,$CU24,I$57),""),3,1)="隔",IF(I$58=0,LEFT(IFERROR(INDEX(醫師週班表!$C$5:$T$44,$CU24,I$57),""),1),""),IF(MID(IFERROR(INDEX(醫師週班表!$C$5:$T$44,$CU24,I$57),""),2,1)="(",LEFT(IFERROR(INDEX(醫師週班表!$C$5:$T$44,$CU24,I$57),""),1),IFERROR(INDEX(醫師週班表!$C$5:$T$44,$CU24,I$57),"")))))))</f>
        <v/>
      </c>
      <c r="J24" s="72">
        <f>IF(J$59="X","",IF(J$59&lt;&gt;"",J$59,IF(IFERROR(INDEX(醫師週班表!$C$5:$T$44,$CU24,J$57),"")=0,"",IF(MID(IFERROR(INDEX(醫師週班表!$C$5:$T$44,$CU24,J$57),""),2,1)="/",MID(IFERROR(INDEX(醫師週班表!$C$5:$T$44,$CU24,J$57),""),1+J$58*2,1),IF(MID(IFERROR(INDEX(醫師週班表!$C$5:$T$44,$CU24,J$57),""),3,1)="隔",IF(J$58=0,LEFT(IFERROR(INDEX(醫師週班表!$C$5:$T$44,$CU24,J$57),""),1),""),IF(MID(IFERROR(INDEX(醫師週班表!$C$5:$T$44,$CU24,J$57),""),2,1)="(",LEFT(IFERROR(INDEX(醫師週班表!$C$5:$T$44,$CU24,J$57),""),1),IFERROR(INDEX(醫師週班表!$C$5:$T$44,$CU24,J$57),"")))))))</f>
        <v/>
      </c>
      <c r="K24" s="71">
        <f>IF(K$59="X","",IF(K$59&lt;&gt;"",K$59,IF(IFERROR(INDEX(醫師週班表!$C$5:$T$44,$CU24,K$57),"")=0,"",IF(MID(IFERROR(INDEX(醫師週班表!$C$5:$T$44,$CU24,K$57),""),2,1)="/",MID(IFERROR(INDEX(醫師週班表!$C$5:$T$44,$CU24,K$57),""),1+K$58*2,1),IF(MID(IFERROR(INDEX(醫師週班表!$C$5:$T$44,$CU24,K$57),""),3,1)="隔",IF(K$58=0,LEFT(IFERROR(INDEX(醫師週班表!$C$5:$T$44,$CU24,K$57),""),1),""),IF(MID(IFERROR(INDEX(醫師週班表!$C$5:$T$44,$CU24,K$57),""),2,1)="(",LEFT(IFERROR(INDEX(醫師週班表!$C$5:$T$44,$CU24,K$57),""),1),IFERROR(INDEX(醫師週班表!$C$5:$T$44,$CU24,K$57),"")))))))</f>
        <v/>
      </c>
      <c r="L24" s="72">
        <f>IF(L$59="X","",IF(L$59&lt;&gt;"",L$59,IF(IFERROR(INDEX(醫師週班表!$C$5:$T$44,$CU24,L$57),"")=0,"",IF(MID(IFERROR(INDEX(醫師週班表!$C$5:$T$44,$CU24,L$57),""),2,1)="/",MID(IFERROR(INDEX(醫師週班表!$C$5:$T$44,$CU24,L$57),""),1+L$58*2,1),IF(MID(IFERROR(INDEX(醫師週班表!$C$5:$T$44,$CU24,L$57),""),3,1)="隔",IF(L$58=0,LEFT(IFERROR(INDEX(醫師週班表!$C$5:$T$44,$CU24,L$57),""),1),""),IF(MID(IFERROR(INDEX(醫師週班表!$C$5:$T$44,$CU24,L$57),""),2,1)="(",LEFT(IFERROR(INDEX(醫師週班表!$C$5:$T$44,$CU24,L$57),""),1),IFERROR(INDEX(醫師週班表!$C$5:$T$44,$CU24,L$57),"")))))))</f>
        <v/>
      </c>
      <c r="M24" s="72">
        <f>IF(M$59="X","",IF(M$59&lt;&gt;"",M$59,IF(IFERROR(INDEX(醫師週班表!$C$5:$T$44,$CU24,M$57),"")=0,"",IF(MID(IFERROR(INDEX(醫師週班表!$C$5:$T$44,$CU24,M$57),""),2,1)="/",MID(IFERROR(INDEX(醫師週班表!$C$5:$T$44,$CU24,M$57),""),1+M$58*2,1),IF(MID(IFERROR(INDEX(醫師週班表!$C$5:$T$44,$CU24,M$57),""),3,1)="隔",IF(M$58=0,LEFT(IFERROR(INDEX(醫師週班表!$C$5:$T$44,$CU24,M$57),""),1),""),IF(MID(IFERROR(INDEX(醫師週班表!$C$5:$T$44,$CU24,M$57),""),2,1)="(",LEFT(IFERROR(INDEX(醫師週班表!$C$5:$T$44,$CU24,M$57),""),1),IFERROR(INDEX(醫師週班表!$C$5:$T$44,$CU24,M$57),"")))))))</f>
        <v/>
      </c>
      <c r="N24" s="71">
        <f>IF(N$59="X","",IF(N$59&lt;&gt;"",N$59,IF(IFERROR(INDEX(醫師週班表!$C$5:$T$44,$CU24,N$57),"")=0,"",IF(MID(IFERROR(INDEX(醫師週班表!$C$5:$T$44,$CU24,N$57),""),2,1)="/",MID(IFERROR(INDEX(醫師週班表!$C$5:$T$44,$CU24,N$57),""),1+N$58*2,1),IF(MID(IFERROR(INDEX(醫師週班表!$C$5:$T$44,$CU24,N$57),""),3,1)="隔",IF(N$58=0,LEFT(IFERROR(INDEX(醫師週班表!$C$5:$T$44,$CU24,N$57),""),1),""),IF(MID(IFERROR(INDEX(醫師週班表!$C$5:$T$44,$CU24,N$57),""),2,1)="(",LEFT(IFERROR(INDEX(醫師週班表!$C$5:$T$44,$CU24,N$57),""),1),IFERROR(INDEX(醫師週班表!$C$5:$T$44,$CU24,N$57),"")))))))</f>
        <v/>
      </c>
      <c r="O24" s="72">
        <f>IF(O$59="X","",IF(O$59&lt;&gt;"",O$59,IF(IFERROR(INDEX(醫師週班表!$C$5:$T$44,$CU24,O$57),"")=0,"",IF(MID(IFERROR(INDEX(醫師週班表!$C$5:$T$44,$CU24,O$57),""),2,1)="/",MID(IFERROR(INDEX(醫師週班表!$C$5:$T$44,$CU24,O$57),""),1+O$58*2,1),IF(MID(IFERROR(INDEX(醫師週班表!$C$5:$T$44,$CU24,O$57),""),3,1)="隔",IF(O$58=0,LEFT(IFERROR(INDEX(醫師週班表!$C$5:$T$44,$CU24,O$57),""),1),""),IF(MID(IFERROR(INDEX(醫師週班表!$C$5:$T$44,$CU24,O$57),""),2,1)="(",LEFT(IFERROR(INDEX(醫師週班表!$C$5:$T$44,$CU24,O$57),""),1),IFERROR(INDEX(醫師週班表!$C$5:$T$44,$CU24,O$57),"")))))))</f>
        <v/>
      </c>
      <c r="P24" s="72">
        <f>IF(P$59="X","",IF(P$59&lt;&gt;"",P$59,IF(IFERROR(INDEX(醫師週班表!$C$5:$T$44,$CU24,P$57),"")=0,"",IF(MID(IFERROR(INDEX(醫師週班表!$C$5:$T$44,$CU24,P$57),""),2,1)="/",MID(IFERROR(INDEX(醫師週班表!$C$5:$T$44,$CU24,P$57),""),1+P$58*2,1),IF(MID(IFERROR(INDEX(醫師週班表!$C$5:$T$44,$CU24,P$57),""),3,1)="隔",IF(P$58=0,LEFT(IFERROR(INDEX(醫師週班表!$C$5:$T$44,$CU24,P$57),""),1),""),IF(MID(IFERROR(INDEX(醫師週班表!$C$5:$T$44,$CU24,P$57),""),2,1)="(",LEFT(IFERROR(INDEX(醫師週班表!$C$5:$T$44,$CU24,P$57),""),1),IFERROR(INDEX(醫師週班表!$C$5:$T$44,$CU24,P$57),"")))))))</f>
        <v/>
      </c>
      <c r="Q24" s="71">
        <f>IF(Q$59="X","",IF(Q$59&lt;&gt;"",Q$59,IF(IFERROR(INDEX(醫師週班表!$C$5:$T$44,$CU24,Q$57),"")=0,"",IF(MID(IFERROR(INDEX(醫師週班表!$C$5:$T$44,$CU24,Q$57),""),2,1)="/",MID(IFERROR(INDEX(醫師週班表!$C$5:$T$44,$CU24,Q$57),""),1+Q$58*2,1),IF(MID(IFERROR(INDEX(醫師週班表!$C$5:$T$44,$CU24,Q$57),""),3,1)="隔",IF(Q$58=0,LEFT(IFERROR(INDEX(醫師週班表!$C$5:$T$44,$CU24,Q$57),""),1),""),IF(MID(IFERROR(INDEX(醫師週班表!$C$5:$T$44,$CU24,Q$57),""),2,1)="(",LEFT(IFERROR(INDEX(醫師週班表!$C$5:$T$44,$CU24,Q$57),""),1),IFERROR(INDEX(醫師週班表!$C$5:$T$44,$CU24,Q$57),"")))))))</f>
        <v/>
      </c>
      <c r="R24" s="72">
        <f>IF(R$59="X","",IF(R$59&lt;&gt;"",R$59,IF(IFERROR(INDEX(醫師週班表!$C$5:$T$44,$CU24,R$57),"")=0,"",IF(MID(IFERROR(INDEX(醫師週班表!$C$5:$T$44,$CU24,R$57),""),2,1)="/",MID(IFERROR(INDEX(醫師週班表!$C$5:$T$44,$CU24,R$57),""),1+R$58*2,1),IF(MID(IFERROR(INDEX(醫師週班表!$C$5:$T$44,$CU24,R$57),""),3,1)="隔",IF(R$58=0,LEFT(IFERROR(INDEX(醫師週班表!$C$5:$T$44,$CU24,R$57),""),1),""),IF(MID(IFERROR(INDEX(醫師週班表!$C$5:$T$44,$CU24,R$57),""),2,1)="(",LEFT(IFERROR(INDEX(醫師週班表!$C$5:$T$44,$CU24,R$57),""),1),IFERROR(INDEX(醫師週班表!$C$5:$T$44,$CU24,R$57),"")))))))</f>
        <v/>
      </c>
      <c r="S24" s="72">
        <f>IF(S$59="X","",IF(S$59&lt;&gt;"",S$59,IF(IFERROR(INDEX(醫師週班表!$C$5:$T$44,$CU24,S$57),"")=0,"",IF(MID(IFERROR(INDEX(醫師週班表!$C$5:$T$44,$CU24,S$57),""),2,1)="/",MID(IFERROR(INDEX(醫師週班表!$C$5:$T$44,$CU24,S$57),""),1+S$58*2,1),IF(MID(IFERROR(INDEX(醫師週班表!$C$5:$T$44,$CU24,S$57),""),3,1)="隔",IF(S$58=0,LEFT(IFERROR(INDEX(醫師週班表!$C$5:$T$44,$CU24,S$57),""),1),""),IF(MID(IFERROR(INDEX(醫師週班表!$C$5:$T$44,$CU24,S$57),""),2,1)="(",LEFT(IFERROR(INDEX(醫師週班表!$C$5:$T$44,$CU24,S$57),""),1),IFERROR(INDEX(醫師週班表!$C$5:$T$44,$CU24,S$57),"")))))))</f>
        <v/>
      </c>
      <c r="T24" s="71">
        <f>IF(T$59="X","",IF(T$59&lt;&gt;"",T$59,IF(IFERROR(INDEX(醫師週班表!$C$5:$T$44,$CU24,T$57),"")=0,"",IF(MID(IFERROR(INDEX(醫師週班表!$C$5:$T$44,$CU24,T$57),""),2,1)="/",MID(IFERROR(INDEX(醫師週班表!$C$5:$T$44,$CU24,T$57),""),1+T$58*2,1),IF(MID(IFERROR(INDEX(醫師週班表!$C$5:$T$44,$CU24,T$57),""),3,1)="隔",IF(T$58=0,LEFT(IFERROR(INDEX(醫師週班表!$C$5:$T$44,$CU24,T$57),""),1),""),IF(MID(IFERROR(INDEX(醫師週班表!$C$5:$T$44,$CU24,T$57),""),2,1)="(",LEFT(IFERROR(INDEX(醫師週班表!$C$5:$T$44,$CU24,T$57),""),1),IFERROR(INDEX(醫師週班表!$C$5:$T$44,$CU24,T$57),"")))))))</f>
        <v/>
      </c>
      <c r="U24" s="72">
        <f>IF(U$59="X","",IF(U$59&lt;&gt;"",U$59,IF(IFERROR(INDEX(醫師週班表!$C$5:$T$44,$CU24,U$57),"")=0,"",IF(MID(IFERROR(INDEX(醫師週班表!$C$5:$T$44,$CU24,U$57),""),2,1)="/",MID(IFERROR(INDEX(醫師週班表!$C$5:$T$44,$CU24,U$57),""),1+U$58*2,1),IF(MID(IFERROR(INDEX(醫師週班表!$C$5:$T$44,$CU24,U$57),""),3,1)="隔",IF(U$58=0,LEFT(IFERROR(INDEX(醫師週班表!$C$5:$T$44,$CU24,U$57),""),1),""),IF(MID(IFERROR(INDEX(醫師週班表!$C$5:$T$44,$CU24,U$57),""),2,1)="(",LEFT(IFERROR(INDEX(醫師週班表!$C$5:$T$44,$CU24,U$57),""),1),IFERROR(INDEX(醫師週班表!$C$5:$T$44,$CU24,U$57),"")))))))</f>
        <v/>
      </c>
      <c r="V24" s="72">
        <f>IF(V$59="X","",IF(V$59&lt;&gt;"",V$59,IF(IFERROR(INDEX(醫師週班表!$C$5:$T$44,$CU24,V$57),"")=0,"",IF(MID(IFERROR(INDEX(醫師週班表!$C$5:$T$44,$CU24,V$57),""),2,1)="/",MID(IFERROR(INDEX(醫師週班表!$C$5:$T$44,$CU24,V$57),""),1+V$58*2,1),IF(MID(IFERROR(INDEX(醫師週班表!$C$5:$T$44,$CU24,V$57),""),3,1)="隔",IF(V$58=0,LEFT(IFERROR(INDEX(醫師週班表!$C$5:$T$44,$CU24,V$57),""),1),""),IF(MID(IFERROR(INDEX(醫師週班表!$C$5:$T$44,$CU24,V$57),""),2,1)="(",LEFT(IFERROR(INDEX(醫師週班表!$C$5:$T$44,$CU24,V$57),""),1),IFERROR(INDEX(醫師週班表!$C$5:$T$44,$CU24,V$57),"")))))))</f>
        <v/>
      </c>
      <c r="W24" s="71">
        <f>IF(W$59="X","",IF(W$59&lt;&gt;"",W$59,IF(IFERROR(INDEX(醫師週班表!$C$5:$T$44,$CU24,W$57),"")=0,"",IF(MID(IFERROR(INDEX(醫師週班表!$C$5:$T$44,$CU24,W$57),""),2,1)="/",MID(IFERROR(INDEX(醫師週班表!$C$5:$T$44,$CU24,W$57),""),1+W$58*2,1),IF(MID(IFERROR(INDEX(醫師週班表!$C$5:$T$44,$CU24,W$57),""),3,1)="隔",IF(W$58=0,LEFT(IFERROR(INDEX(醫師週班表!$C$5:$T$44,$CU24,W$57),""),1),""),IF(MID(IFERROR(INDEX(醫師週班表!$C$5:$T$44,$CU24,W$57),""),2,1)="(",LEFT(IFERROR(INDEX(醫師週班表!$C$5:$T$44,$CU24,W$57),""),1),IFERROR(INDEX(醫師週班表!$C$5:$T$44,$CU24,W$57),"")))))))</f>
        <v/>
      </c>
      <c r="X24" s="72">
        <f>IF(X$59="X","",IF(X$59&lt;&gt;"",X$59,IF(IFERROR(INDEX(醫師週班表!$C$5:$T$44,$CU24,X$57),"")=0,"",IF(MID(IFERROR(INDEX(醫師週班表!$C$5:$T$44,$CU24,X$57),""),2,1)="/",MID(IFERROR(INDEX(醫師週班表!$C$5:$T$44,$CU24,X$57),""),1+X$58*2,1),IF(MID(IFERROR(INDEX(醫師週班表!$C$5:$T$44,$CU24,X$57),""),3,1)="隔",IF(X$58=0,LEFT(IFERROR(INDEX(醫師週班表!$C$5:$T$44,$CU24,X$57),""),1),""),IF(MID(IFERROR(INDEX(醫師週班表!$C$5:$T$44,$CU24,X$57),""),2,1)="(",LEFT(IFERROR(INDEX(醫師週班表!$C$5:$T$44,$CU24,X$57),""),1),IFERROR(INDEX(醫師週班表!$C$5:$T$44,$CU24,X$57),"")))))))</f>
        <v/>
      </c>
      <c r="Y24" s="72">
        <f>IF(Y$59="X","",IF(Y$59&lt;&gt;"",Y$59,IF(IFERROR(INDEX(醫師週班表!$C$5:$T$44,$CU24,Y$57),"")=0,"",IF(MID(IFERROR(INDEX(醫師週班表!$C$5:$T$44,$CU24,Y$57),""),2,1)="/",MID(IFERROR(INDEX(醫師週班表!$C$5:$T$44,$CU24,Y$57),""),1+Y$58*2,1),IF(MID(IFERROR(INDEX(醫師週班表!$C$5:$T$44,$CU24,Y$57),""),3,1)="隔",IF(Y$58=0,LEFT(IFERROR(INDEX(醫師週班表!$C$5:$T$44,$CU24,Y$57),""),1),""),IF(MID(IFERROR(INDEX(醫師週班表!$C$5:$T$44,$CU24,Y$57),""),2,1)="(",LEFT(IFERROR(INDEX(醫師週班表!$C$5:$T$44,$CU24,Y$57),""),1),IFERROR(INDEX(醫師週班表!$C$5:$T$44,$CU24,Y$57),"")))))))</f>
        <v/>
      </c>
      <c r="Z24" s="71">
        <f>IF(Z$59="X","",IF(Z$59&lt;&gt;"",Z$59,IF(IFERROR(INDEX(醫師週班表!$C$5:$T$44,$CU24,Z$57),"")=0,"",IF(MID(IFERROR(INDEX(醫師週班表!$C$5:$T$44,$CU24,Z$57),""),2,1)="/",MID(IFERROR(INDEX(醫師週班表!$C$5:$T$44,$CU24,Z$57),""),1+Z$58*2,1),IF(MID(IFERROR(INDEX(醫師週班表!$C$5:$T$44,$CU24,Z$57),""),3,1)="隔",IF(Z$58=0,LEFT(IFERROR(INDEX(醫師週班表!$C$5:$T$44,$CU24,Z$57),""),1),""),IF(MID(IFERROR(INDEX(醫師週班表!$C$5:$T$44,$CU24,Z$57),""),2,1)="(",LEFT(IFERROR(INDEX(醫師週班表!$C$5:$T$44,$CU24,Z$57),""),1),IFERROR(INDEX(醫師週班表!$C$5:$T$44,$CU24,Z$57),"")))))))</f>
        <v/>
      </c>
      <c r="AA24" s="72">
        <f>IF(AA$59="X","",IF(AA$59&lt;&gt;"",AA$59,IF(IFERROR(INDEX(醫師週班表!$C$5:$T$44,$CU24,AA$57),"")=0,"",IF(MID(IFERROR(INDEX(醫師週班表!$C$5:$T$44,$CU24,AA$57),""),2,1)="/",MID(IFERROR(INDEX(醫師週班表!$C$5:$T$44,$CU24,AA$57),""),1+AA$58*2,1),IF(MID(IFERROR(INDEX(醫師週班表!$C$5:$T$44,$CU24,AA$57),""),3,1)="隔",IF(AA$58=0,LEFT(IFERROR(INDEX(醫師週班表!$C$5:$T$44,$CU24,AA$57),""),1),""),IF(MID(IFERROR(INDEX(醫師週班表!$C$5:$T$44,$CU24,AA$57),""),2,1)="(",LEFT(IFERROR(INDEX(醫師週班表!$C$5:$T$44,$CU24,AA$57),""),1),IFERROR(INDEX(醫師週班表!$C$5:$T$44,$CU24,AA$57),"")))))))</f>
        <v/>
      </c>
      <c r="AB24" s="72">
        <f>IF(AB$59="X","",IF(AB$59&lt;&gt;"",AB$59,IF(IFERROR(INDEX(醫師週班表!$C$5:$T$44,$CU24,AB$57),"")=0,"",IF(MID(IFERROR(INDEX(醫師週班表!$C$5:$T$44,$CU24,AB$57),""),2,1)="/",MID(IFERROR(INDEX(醫師週班表!$C$5:$T$44,$CU24,AB$57),""),1+AB$58*2,1),IF(MID(IFERROR(INDEX(醫師週班表!$C$5:$T$44,$CU24,AB$57),""),3,1)="隔",IF(AB$58=0,LEFT(IFERROR(INDEX(醫師週班表!$C$5:$T$44,$CU24,AB$57),""),1),""),IF(MID(IFERROR(INDEX(醫師週班表!$C$5:$T$44,$CU24,AB$57),""),2,1)="(",LEFT(IFERROR(INDEX(醫師週班表!$C$5:$T$44,$CU24,AB$57),""),1),IFERROR(INDEX(醫師週班表!$C$5:$T$44,$CU24,AB$57),"")))))))</f>
        <v/>
      </c>
      <c r="AC24" s="71">
        <f>IF(AC$59="X","",IF(AC$59&lt;&gt;"",AC$59,IF(IFERROR(INDEX(醫師週班表!$C$5:$T$44,$CU24,AC$57),"")=0,"",IF(MID(IFERROR(INDEX(醫師週班表!$C$5:$T$44,$CU24,AC$57),""),2,1)="/",MID(IFERROR(INDEX(醫師週班表!$C$5:$T$44,$CU24,AC$57),""),1+AC$58*2,1),IF(MID(IFERROR(INDEX(醫師週班表!$C$5:$T$44,$CU24,AC$57),""),3,1)="隔",IF(AC$58=0,LEFT(IFERROR(INDEX(醫師週班表!$C$5:$T$44,$CU24,AC$57),""),1),""),IF(MID(IFERROR(INDEX(醫師週班表!$C$5:$T$44,$CU24,AC$57),""),2,1)="(",LEFT(IFERROR(INDEX(醫師週班表!$C$5:$T$44,$CU24,AC$57),""),1),IFERROR(INDEX(醫師週班表!$C$5:$T$44,$CU24,AC$57),"")))))))</f>
        <v/>
      </c>
      <c r="AD24" s="72">
        <f>IF(AD$59="X","",IF(AD$59&lt;&gt;"",AD$59,IF(IFERROR(INDEX(醫師週班表!$C$5:$T$44,$CU24,AD$57),"")=0,"",IF(MID(IFERROR(INDEX(醫師週班表!$C$5:$T$44,$CU24,AD$57),""),2,1)="/",MID(IFERROR(INDEX(醫師週班表!$C$5:$T$44,$CU24,AD$57),""),1+AD$58*2,1),IF(MID(IFERROR(INDEX(醫師週班表!$C$5:$T$44,$CU24,AD$57),""),3,1)="隔",IF(AD$58=0,LEFT(IFERROR(INDEX(醫師週班表!$C$5:$T$44,$CU24,AD$57),""),1),""),IF(MID(IFERROR(INDEX(醫師週班表!$C$5:$T$44,$CU24,AD$57),""),2,1)="(",LEFT(IFERROR(INDEX(醫師週班表!$C$5:$T$44,$CU24,AD$57),""),1),IFERROR(INDEX(醫師週班表!$C$5:$T$44,$CU24,AD$57),"")))))))</f>
        <v/>
      </c>
      <c r="AE24" s="72">
        <f>IF(AE$59="X","",IF(AE$59&lt;&gt;"",AE$59,IF(IFERROR(INDEX(醫師週班表!$C$5:$T$44,$CU24,AE$57),"")=0,"",IF(MID(IFERROR(INDEX(醫師週班表!$C$5:$T$44,$CU24,AE$57),""),2,1)="/",MID(IFERROR(INDEX(醫師週班表!$C$5:$T$44,$CU24,AE$57),""),1+AE$58*2,1),IF(MID(IFERROR(INDEX(醫師週班表!$C$5:$T$44,$CU24,AE$57),""),3,1)="隔",IF(AE$58=0,LEFT(IFERROR(INDEX(醫師週班表!$C$5:$T$44,$CU24,AE$57),""),1),""),IF(MID(IFERROR(INDEX(醫師週班表!$C$5:$T$44,$CU24,AE$57),""),2,1)="(",LEFT(IFERROR(INDEX(醫師週班表!$C$5:$T$44,$CU24,AE$57),""),1),IFERROR(INDEX(醫師週班表!$C$5:$T$44,$CU24,AE$57),"")))))))</f>
        <v/>
      </c>
      <c r="AF24" s="71">
        <f>IF(AF$59="X","",IF(AF$59&lt;&gt;"",AF$59,IF(IFERROR(INDEX(醫師週班表!$C$5:$T$44,$CU24,AF$57),"")=0,"",IF(MID(IFERROR(INDEX(醫師週班表!$C$5:$T$44,$CU24,AF$57),""),2,1)="/",MID(IFERROR(INDEX(醫師週班表!$C$5:$T$44,$CU24,AF$57),""),1+AF$58*2,1),IF(MID(IFERROR(INDEX(醫師週班表!$C$5:$T$44,$CU24,AF$57),""),3,1)="隔",IF(AF$58=0,LEFT(IFERROR(INDEX(醫師週班表!$C$5:$T$44,$CU24,AF$57),""),1),""),IF(MID(IFERROR(INDEX(醫師週班表!$C$5:$T$44,$CU24,AF$57),""),2,1)="(",LEFT(IFERROR(INDEX(醫師週班表!$C$5:$T$44,$CU24,AF$57),""),1),IFERROR(INDEX(醫師週班表!$C$5:$T$44,$CU24,AF$57),"")))))))</f>
        <v/>
      </c>
      <c r="AG24" s="72">
        <f>IF(AG$59="X","",IF(AG$59&lt;&gt;"",AG$59,IF(IFERROR(INDEX(醫師週班表!$C$5:$T$44,$CU24,AG$57),"")=0,"",IF(MID(IFERROR(INDEX(醫師週班表!$C$5:$T$44,$CU24,AG$57),""),2,1)="/",MID(IFERROR(INDEX(醫師週班表!$C$5:$T$44,$CU24,AG$57),""),1+AG$58*2,1),IF(MID(IFERROR(INDEX(醫師週班表!$C$5:$T$44,$CU24,AG$57),""),3,1)="隔",IF(AG$58=0,LEFT(IFERROR(INDEX(醫師週班表!$C$5:$T$44,$CU24,AG$57),""),1),""),IF(MID(IFERROR(INDEX(醫師週班表!$C$5:$T$44,$CU24,AG$57),""),2,1)="(",LEFT(IFERROR(INDEX(醫師週班表!$C$5:$T$44,$CU24,AG$57),""),1),IFERROR(INDEX(醫師週班表!$C$5:$T$44,$CU24,AG$57),"")))))))</f>
        <v/>
      </c>
      <c r="AH24" s="72">
        <f>IF(AH$59="X","",IF(AH$59&lt;&gt;"",AH$59,IF(IFERROR(INDEX(醫師週班表!$C$5:$T$44,$CU24,AH$57),"")=0,"",IF(MID(IFERROR(INDEX(醫師週班表!$C$5:$T$44,$CU24,AH$57),""),2,1)="/",MID(IFERROR(INDEX(醫師週班表!$C$5:$T$44,$CU24,AH$57),""),1+AH$58*2,1),IF(MID(IFERROR(INDEX(醫師週班表!$C$5:$T$44,$CU24,AH$57),""),3,1)="隔",IF(AH$58=0,LEFT(IFERROR(INDEX(醫師週班表!$C$5:$T$44,$CU24,AH$57),""),1),""),IF(MID(IFERROR(INDEX(醫師週班表!$C$5:$T$44,$CU24,AH$57),""),2,1)="(",LEFT(IFERROR(INDEX(醫師週班表!$C$5:$T$44,$CU24,AH$57),""),1),IFERROR(INDEX(醫師週班表!$C$5:$T$44,$CU24,AH$57),"")))))))</f>
        <v/>
      </c>
      <c r="AI24" s="71">
        <f>IF(AI$59="X","",IF(AI$59&lt;&gt;"",AI$59,IF(IFERROR(INDEX(醫師週班表!$C$5:$T$44,$CU24,AI$57),"")=0,"",IF(MID(IFERROR(INDEX(醫師週班表!$C$5:$T$44,$CU24,AI$57),""),2,1)="/",MID(IFERROR(INDEX(醫師週班表!$C$5:$T$44,$CU24,AI$57),""),1+AI$58*2,1),IF(MID(IFERROR(INDEX(醫師週班表!$C$5:$T$44,$CU24,AI$57),""),3,1)="隔",IF(AI$58=0,LEFT(IFERROR(INDEX(醫師週班表!$C$5:$T$44,$CU24,AI$57),""),1),""),IF(MID(IFERROR(INDEX(醫師週班表!$C$5:$T$44,$CU24,AI$57),""),2,1)="(",LEFT(IFERROR(INDEX(醫師週班表!$C$5:$T$44,$CU24,AI$57),""),1),IFERROR(INDEX(醫師週班表!$C$5:$T$44,$CU24,AI$57),"")))))))</f>
        <v/>
      </c>
      <c r="AJ24" s="72">
        <f>IF(AJ$59="X","",IF(AJ$59&lt;&gt;"",AJ$59,IF(IFERROR(INDEX(醫師週班表!$C$5:$T$44,$CU24,AJ$57),"")=0,"",IF(MID(IFERROR(INDEX(醫師週班表!$C$5:$T$44,$CU24,AJ$57),""),2,1)="/",MID(IFERROR(INDEX(醫師週班表!$C$5:$T$44,$CU24,AJ$57),""),1+AJ$58*2,1),IF(MID(IFERROR(INDEX(醫師週班表!$C$5:$T$44,$CU24,AJ$57),""),3,1)="隔",IF(AJ$58=0,LEFT(IFERROR(INDEX(醫師週班表!$C$5:$T$44,$CU24,AJ$57),""),1),""),IF(MID(IFERROR(INDEX(醫師週班表!$C$5:$T$44,$CU24,AJ$57),""),2,1)="(",LEFT(IFERROR(INDEX(醫師週班表!$C$5:$T$44,$CU24,AJ$57),""),1),IFERROR(INDEX(醫師週班表!$C$5:$T$44,$CU24,AJ$57),"")))))))</f>
        <v/>
      </c>
      <c r="AK24" s="72">
        <f>IF(AK$59="X","",IF(AK$59&lt;&gt;"",AK$59,IF(IFERROR(INDEX(醫師週班表!$C$5:$T$44,$CU24,AK$57),"")=0,"",IF(MID(IFERROR(INDEX(醫師週班表!$C$5:$T$44,$CU24,AK$57),""),2,1)="/",MID(IFERROR(INDEX(醫師週班表!$C$5:$T$44,$CU24,AK$57),""),1+AK$58*2,1),IF(MID(IFERROR(INDEX(醫師週班表!$C$5:$T$44,$CU24,AK$57),""),3,1)="隔",IF(AK$58=0,LEFT(IFERROR(INDEX(醫師週班表!$C$5:$T$44,$CU24,AK$57),""),1),""),IF(MID(IFERROR(INDEX(醫師週班表!$C$5:$T$44,$CU24,AK$57),""),2,1)="(",LEFT(IFERROR(INDEX(醫師週班表!$C$5:$T$44,$CU24,AK$57),""),1),IFERROR(INDEX(醫師週班表!$C$5:$T$44,$CU24,AK$57),"")))))))</f>
        <v/>
      </c>
      <c r="AL24" s="71">
        <f>IF(AL$59="X","",IF(AL$59&lt;&gt;"",AL$59,IF(IFERROR(INDEX(醫師週班表!$C$5:$T$44,$CU24,AL$57),"")=0,"",IF(MID(IFERROR(INDEX(醫師週班表!$C$5:$T$44,$CU24,AL$57),""),2,1)="/",MID(IFERROR(INDEX(醫師週班表!$C$5:$T$44,$CU24,AL$57),""),1+AL$58*2,1),IF(MID(IFERROR(INDEX(醫師週班表!$C$5:$T$44,$CU24,AL$57),""),3,1)="隔",IF(AL$58=0,LEFT(IFERROR(INDEX(醫師週班表!$C$5:$T$44,$CU24,AL$57),""),1),""),IF(MID(IFERROR(INDEX(醫師週班表!$C$5:$T$44,$CU24,AL$57),""),2,1)="(",LEFT(IFERROR(INDEX(醫師週班表!$C$5:$T$44,$CU24,AL$57),""),1),IFERROR(INDEX(醫師週班表!$C$5:$T$44,$CU24,AL$57),"")))))))</f>
        <v/>
      </c>
      <c r="AM24" s="72">
        <f>IF(AM$59="X","",IF(AM$59&lt;&gt;"",AM$59,IF(IFERROR(INDEX(醫師週班表!$C$5:$T$44,$CU24,AM$57),"")=0,"",IF(MID(IFERROR(INDEX(醫師週班表!$C$5:$T$44,$CU24,AM$57),""),2,1)="/",MID(IFERROR(INDEX(醫師週班表!$C$5:$T$44,$CU24,AM$57),""),1+AM$58*2,1),IF(MID(IFERROR(INDEX(醫師週班表!$C$5:$T$44,$CU24,AM$57),""),3,1)="隔",IF(AM$58=0,LEFT(IFERROR(INDEX(醫師週班表!$C$5:$T$44,$CU24,AM$57),""),1),""),IF(MID(IFERROR(INDEX(醫師週班表!$C$5:$T$44,$CU24,AM$57),""),2,1)="(",LEFT(IFERROR(INDEX(醫師週班表!$C$5:$T$44,$CU24,AM$57),""),1),IFERROR(INDEX(醫師週班表!$C$5:$T$44,$CU24,AM$57),"")))))))</f>
        <v/>
      </c>
      <c r="AN24" s="72">
        <f>IF(AN$59="X","",IF(AN$59&lt;&gt;"",AN$59,IF(IFERROR(INDEX(醫師週班表!$C$5:$T$44,$CU24,AN$57),"")=0,"",IF(MID(IFERROR(INDEX(醫師週班表!$C$5:$T$44,$CU24,AN$57),""),2,1)="/",MID(IFERROR(INDEX(醫師週班表!$C$5:$T$44,$CU24,AN$57),""),1+AN$58*2,1),IF(MID(IFERROR(INDEX(醫師週班表!$C$5:$T$44,$CU24,AN$57),""),3,1)="隔",IF(AN$58=0,LEFT(IFERROR(INDEX(醫師週班表!$C$5:$T$44,$CU24,AN$57),""),1),""),IF(MID(IFERROR(INDEX(醫師週班表!$C$5:$T$44,$CU24,AN$57),""),2,1)="(",LEFT(IFERROR(INDEX(醫師週班表!$C$5:$T$44,$CU24,AN$57),""),1),IFERROR(INDEX(醫師週班表!$C$5:$T$44,$CU24,AN$57),"")))))))</f>
        <v/>
      </c>
      <c r="AO24" s="71">
        <f>IF(AO$59="X","",IF(AO$59&lt;&gt;"",AO$59,IF(IFERROR(INDEX(醫師週班表!$C$5:$T$44,$CU24,AO$57),"")=0,"",IF(MID(IFERROR(INDEX(醫師週班表!$C$5:$T$44,$CU24,AO$57),""),2,1)="/",MID(IFERROR(INDEX(醫師週班表!$C$5:$T$44,$CU24,AO$57),""),1+AO$58*2,1),IF(MID(IFERROR(INDEX(醫師週班表!$C$5:$T$44,$CU24,AO$57),""),3,1)="隔",IF(AO$58=0,LEFT(IFERROR(INDEX(醫師週班表!$C$5:$T$44,$CU24,AO$57),""),1),""),IF(MID(IFERROR(INDEX(醫師週班表!$C$5:$T$44,$CU24,AO$57),""),2,1)="(",LEFT(IFERROR(INDEX(醫師週班表!$C$5:$T$44,$CU24,AO$57),""),1),IFERROR(INDEX(醫師週班表!$C$5:$T$44,$CU24,AO$57),"")))))))</f>
        <v/>
      </c>
      <c r="AP24" s="72">
        <f>IF(AP$59="X","",IF(AP$59&lt;&gt;"",AP$59,IF(IFERROR(INDEX(醫師週班表!$C$5:$T$44,$CU24,AP$57),"")=0,"",IF(MID(IFERROR(INDEX(醫師週班表!$C$5:$T$44,$CU24,AP$57),""),2,1)="/",MID(IFERROR(INDEX(醫師週班表!$C$5:$T$44,$CU24,AP$57),""),1+AP$58*2,1),IF(MID(IFERROR(INDEX(醫師週班表!$C$5:$T$44,$CU24,AP$57),""),3,1)="隔",IF(AP$58=0,LEFT(IFERROR(INDEX(醫師週班表!$C$5:$T$44,$CU24,AP$57),""),1),""),IF(MID(IFERROR(INDEX(醫師週班表!$C$5:$T$44,$CU24,AP$57),""),2,1)="(",LEFT(IFERROR(INDEX(醫師週班表!$C$5:$T$44,$CU24,AP$57),""),1),IFERROR(INDEX(醫師週班表!$C$5:$T$44,$CU24,AP$57),"")))))))</f>
        <v/>
      </c>
      <c r="AQ24" s="72">
        <f>IF(AQ$59="X","",IF(AQ$59&lt;&gt;"",AQ$59,IF(IFERROR(INDEX(醫師週班表!$C$5:$T$44,$CU24,AQ$57),"")=0,"",IF(MID(IFERROR(INDEX(醫師週班表!$C$5:$T$44,$CU24,AQ$57),""),2,1)="/",MID(IFERROR(INDEX(醫師週班表!$C$5:$T$44,$CU24,AQ$57),""),1+AQ$58*2,1),IF(MID(IFERROR(INDEX(醫師週班表!$C$5:$T$44,$CU24,AQ$57),""),3,1)="隔",IF(AQ$58=0,LEFT(IFERROR(INDEX(醫師週班表!$C$5:$T$44,$CU24,AQ$57),""),1),""),IF(MID(IFERROR(INDEX(醫師週班表!$C$5:$T$44,$CU24,AQ$57),""),2,1)="(",LEFT(IFERROR(INDEX(醫師週班表!$C$5:$T$44,$CU24,AQ$57),""),1),IFERROR(INDEX(醫師週班表!$C$5:$T$44,$CU24,AQ$57),"")))))))</f>
        <v/>
      </c>
      <c r="AR24" s="71">
        <f>IF(AR$59="X","",IF(AR$59&lt;&gt;"",AR$59,IF(IFERROR(INDEX(醫師週班表!$C$5:$T$44,$CU24,AR$57),"")=0,"",IF(MID(IFERROR(INDEX(醫師週班表!$C$5:$T$44,$CU24,AR$57),""),2,1)="/",MID(IFERROR(INDEX(醫師週班表!$C$5:$T$44,$CU24,AR$57),""),1+AR$58*2,1),IF(MID(IFERROR(INDEX(醫師週班表!$C$5:$T$44,$CU24,AR$57),""),3,1)="隔",IF(AR$58=0,LEFT(IFERROR(INDEX(醫師週班表!$C$5:$T$44,$CU24,AR$57),""),1),""),IF(MID(IFERROR(INDEX(醫師週班表!$C$5:$T$44,$CU24,AR$57),""),2,1)="(",LEFT(IFERROR(INDEX(醫師週班表!$C$5:$T$44,$CU24,AR$57),""),1),IFERROR(INDEX(醫師週班表!$C$5:$T$44,$CU24,AR$57),"")))))))</f>
        <v/>
      </c>
      <c r="AS24" s="72">
        <f>IF(AS$59="X","",IF(AS$59&lt;&gt;"",AS$59,IF(IFERROR(INDEX(醫師週班表!$C$5:$T$44,$CU24,AS$57),"")=0,"",IF(MID(IFERROR(INDEX(醫師週班表!$C$5:$T$44,$CU24,AS$57),""),2,1)="/",MID(IFERROR(INDEX(醫師週班表!$C$5:$T$44,$CU24,AS$57),""),1+AS$58*2,1),IF(MID(IFERROR(INDEX(醫師週班表!$C$5:$T$44,$CU24,AS$57),""),3,1)="隔",IF(AS$58=0,LEFT(IFERROR(INDEX(醫師週班表!$C$5:$T$44,$CU24,AS$57),""),1),""),IF(MID(IFERROR(INDEX(醫師週班表!$C$5:$T$44,$CU24,AS$57),""),2,1)="(",LEFT(IFERROR(INDEX(醫師週班表!$C$5:$T$44,$CU24,AS$57),""),1),IFERROR(INDEX(醫師週班表!$C$5:$T$44,$CU24,AS$57),"")))))))</f>
        <v/>
      </c>
      <c r="AT24" s="72">
        <f>IF(AT$59="X","",IF(AT$59&lt;&gt;"",AT$59,IF(IFERROR(INDEX(醫師週班表!$C$5:$T$44,$CU24,AT$57),"")=0,"",IF(MID(IFERROR(INDEX(醫師週班表!$C$5:$T$44,$CU24,AT$57),""),2,1)="/",MID(IFERROR(INDEX(醫師週班表!$C$5:$T$44,$CU24,AT$57),""),1+AT$58*2,1),IF(MID(IFERROR(INDEX(醫師週班表!$C$5:$T$44,$CU24,AT$57),""),3,1)="隔",IF(AT$58=0,LEFT(IFERROR(INDEX(醫師週班表!$C$5:$T$44,$CU24,AT$57),""),1),""),IF(MID(IFERROR(INDEX(醫師週班表!$C$5:$T$44,$CU24,AT$57),""),2,1)="(",LEFT(IFERROR(INDEX(醫師週班表!$C$5:$T$44,$CU24,AT$57),""),1),IFERROR(INDEX(醫師週班表!$C$5:$T$44,$CU24,AT$57),"")))))))</f>
        <v/>
      </c>
      <c r="AU24" s="71">
        <f>IF(AU$59="X","",IF(AU$59&lt;&gt;"",AU$59,IF(IFERROR(INDEX(醫師週班表!$C$5:$T$44,$CU24,AU$57),"")=0,"",IF(MID(IFERROR(INDEX(醫師週班表!$C$5:$T$44,$CU24,AU$57),""),2,1)="/",MID(IFERROR(INDEX(醫師週班表!$C$5:$T$44,$CU24,AU$57),""),1+AU$58*2,1),IF(MID(IFERROR(INDEX(醫師週班表!$C$5:$T$44,$CU24,AU$57),""),3,1)="隔",IF(AU$58=0,LEFT(IFERROR(INDEX(醫師週班表!$C$5:$T$44,$CU24,AU$57),""),1),""),IF(MID(IFERROR(INDEX(醫師週班表!$C$5:$T$44,$CU24,AU$57),""),2,1)="(",LEFT(IFERROR(INDEX(醫師週班表!$C$5:$T$44,$CU24,AU$57),""),1),IFERROR(INDEX(醫師週班表!$C$5:$T$44,$CU24,AU$57),"")))))))</f>
        <v/>
      </c>
      <c r="AV24" s="72">
        <f>IF(AV$59="X","",IF(AV$59&lt;&gt;"",AV$59,IF(IFERROR(INDEX(醫師週班表!$C$5:$T$44,$CU24,AV$57),"")=0,"",IF(MID(IFERROR(INDEX(醫師週班表!$C$5:$T$44,$CU24,AV$57),""),2,1)="/",MID(IFERROR(INDEX(醫師週班表!$C$5:$T$44,$CU24,AV$57),""),1+AV$58*2,1),IF(MID(IFERROR(INDEX(醫師週班表!$C$5:$T$44,$CU24,AV$57),""),3,1)="隔",IF(AV$58=0,LEFT(IFERROR(INDEX(醫師週班表!$C$5:$T$44,$CU24,AV$57),""),1),""),IF(MID(IFERROR(INDEX(醫師週班表!$C$5:$T$44,$CU24,AV$57),""),2,1)="(",LEFT(IFERROR(INDEX(醫師週班表!$C$5:$T$44,$CU24,AV$57),""),1),IFERROR(INDEX(醫師週班表!$C$5:$T$44,$CU24,AV$57),"")))))))</f>
        <v/>
      </c>
      <c r="AW24" s="72">
        <f>IF(AW$59="X","",IF(AW$59&lt;&gt;"",AW$59,IF(IFERROR(INDEX(醫師週班表!$C$5:$T$44,$CU24,AW$57),"")=0,"",IF(MID(IFERROR(INDEX(醫師週班表!$C$5:$T$44,$CU24,AW$57),""),2,1)="/",MID(IFERROR(INDEX(醫師週班表!$C$5:$T$44,$CU24,AW$57),""),1+AW$58*2,1),IF(MID(IFERROR(INDEX(醫師週班表!$C$5:$T$44,$CU24,AW$57),""),3,1)="隔",IF(AW$58=0,LEFT(IFERROR(INDEX(醫師週班表!$C$5:$T$44,$CU24,AW$57),""),1),""),IF(MID(IFERROR(INDEX(醫師週班表!$C$5:$T$44,$CU24,AW$57),""),2,1)="(",LEFT(IFERROR(INDEX(醫師週班表!$C$5:$T$44,$CU24,AW$57),""),1),IFERROR(INDEX(醫師週班表!$C$5:$T$44,$CU24,AW$57),"")))))))</f>
        <v/>
      </c>
      <c r="AX24" s="71">
        <f>IF(AX$59="X","",IF(AX$59&lt;&gt;"",AX$59,IF(IFERROR(INDEX(醫師週班表!$C$5:$T$44,$CU24,AX$57),"")=0,"",IF(MID(IFERROR(INDEX(醫師週班表!$C$5:$T$44,$CU24,AX$57),""),2,1)="/",MID(IFERROR(INDEX(醫師週班表!$C$5:$T$44,$CU24,AX$57),""),1+AX$58*2,1),IF(MID(IFERROR(INDEX(醫師週班表!$C$5:$T$44,$CU24,AX$57),""),3,1)="隔",IF(AX$58=0,LEFT(IFERROR(INDEX(醫師週班表!$C$5:$T$44,$CU24,AX$57),""),1),""),IF(MID(IFERROR(INDEX(醫師週班表!$C$5:$T$44,$CU24,AX$57),""),2,1)="(",LEFT(IFERROR(INDEX(醫師週班表!$C$5:$T$44,$CU24,AX$57),""),1),IFERROR(INDEX(醫師週班表!$C$5:$T$44,$CU24,AX$57),"")))))))</f>
        <v/>
      </c>
      <c r="AY24" s="72">
        <f>IF(AY$59="X","",IF(AY$59&lt;&gt;"",AY$59,IF(IFERROR(INDEX(醫師週班表!$C$5:$T$44,$CU24,AY$57),"")=0,"",IF(MID(IFERROR(INDEX(醫師週班表!$C$5:$T$44,$CU24,AY$57),""),2,1)="/",MID(IFERROR(INDEX(醫師週班表!$C$5:$T$44,$CU24,AY$57),""),1+AY$58*2,1),IF(MID(IFERROR(INDEX(醫師週班表!$C$5:$T$44,$CU24,AY$57),""),3,1)="隔",IF(AY$58=0,LEFT(IFERROR(INDEX(醫師週班表!$C$5:$T$44,$CU24,AY$57),""),1),""),IF(MID(IFERROR(INDEX(醫師週班表!$C$5:$T$44,$CU24,AY$57),""),2,1)="(",LEFT(IFERROR(INDEX(醫師週班表!$C$5:$T$44,$CU24,AY$57),""),1),IFERROR(INDEX(醫師週班表!$C$5:$T$44,$CU24,AY$57),"")))))))</f>
        <v/>
      </c>
      <c r="AZ24" s="72">
        <f>IF(AZ$59="X","",IF(AZ$59&lt;&gt;"",AZ$59,IF(IFERROR(INDEX(醫師週班表!$C$5:$T$44,$CU24,AZ$57),"")=0,"",IF(MID(IFERROR(INDEX(醫師週班表!$C$5:$T$44,$CU24,AZ$57),""),2,1)="/",MID(IFERROR(INDEX(醫師週班表!$C$5:$T$44,$CU24,AZ$57),""),1+AZ$58*2,1),IF(MID(IFERROR(INDEX(醫師週班表!$C$5:$T$44,$CU24,AZ$57),""),3,1)="隔",IF(AZ$58=0,LEFT(IFERROR(INDEX(醫師週班表!$C$5:$T$44,$CU24,AZ$57),""),1),""),IF(MID(IFERROR(INDEX(醫師週班表!$C$5:$T$44,$CU24,AZ$57),""),2,1)="(",LEFT(IFERROR(INDEX(醫師週班表!$C$5:$T$44,$CU24,AZ$57),""),1),IFERROR(INDEX(醫師週班表!$C$5:$T$44,$CU24,AZ$57),"")))))))</f>
        <v/>
      </c>
      <c r="BA24" s="71">
        <f>IF(BA$59="X","",IF(BA$59&lt;&gt;"",BA$59,IF(IFERROR(INDEX(醫師週班表!$C$5:$T$44,$CU24,BA$57),"")=0,"",IF(MID(IFERROR(INDEX(醫師週班表!$C$5:$T$44,$CU24,BA$57),""),2,1)="/",MID(IFERROR(INDEX(醫師週班表!$C$5:$T$44,$CU24,BA$57),""),1+BA$58*2,1),IF(MID(IFERROR(INDEX(醫師週班表!$C$5:$T$44,$CU24,BA$57),""),3,1)="隔",IF(BA$58=0,LEFT(IFERROR(INDEX(醫師週班表!$C$5:$T$44,$CU24,BA$57),""),1),""),IF(MID(IFERROR(INDEX(醫師週班表!$C$5:$T$44,$CU24,BA$57),""),2,1)="(",LEFT(IFERROR(INDEX(醫師週班表!$C$5:$T$44,$CU24,BA$57),""),1),IFERROR(INDEX(醫師週班表!$C$5:$T$44,$CU24,BA$57),"")))))))</f>
        <v/>
      </c>
      <c r="BB24" s="72">
        <f>IF(BB$59="X","",IF(BB$59&lt;&gt;"",BB$59,IF(IFERROR(INDEX(醫師週班表!$C$5:$T$44,$CU24,BB$57),"")=0,"",IF(MID(IFERROR(INDEX(醫師週班表!$C$5:$T$44,$CU24,BB$57),""),2,1)="/",MID(IFERROR(INDEX(醫師週班表!$C$5:$T$44,$CU24,BB$57),""),1+BB$58*2,1),IF(MID(IFERROR(INDEX(醫師週班表!$C$5:$T$44,$CU24,BB$57),""),3,1)="隔",IF(BB$58=0,LEFT(IFERROR(INDEX(醫師週班表!$C$5:$T$44,$CU24,BB$57),""),1),""),IF(MID(IFERROR(INDEX(醫師週班表!$C$5:$T$44,$CU24,BB$57),""),2,1)="(",LEFT(IFERROR(INDEX(醫師週班表!$C$5:$T$44,$CU24,BB$57),""),1),IFERROR(INDEX(醫師週班表!$C$5:$T$44,$CU24,BB$57),"")))))))</f>
        <v/>
      </c>
      <c r="BC24" s="72">
        <f>IF(BC$59="X","",IF(BC$59&lt;&gt;"",BC$59,IF(IFERROR(INDEX(醫師週班表!$C$5:$T$44,$CU24,BC$57),"")=0,"",IF(MID(IFERROR(INDEX(醫師週班表!$C$5:$T$44,$CU24,BC$57),""),2,1)="/",MID(IFERROR(INDEX(醫師週班表!$C$5:$T$44,$CU24,BC$57),""),1+BC$58*2,1),IF(MID(IFERROR(INDEX(醫師週班表!$C$5:$T$44,$CU24,BC$57),""),3,1)="隔",IF(BC$58=0,LEFT(IFERROR(INDEX(醫師週班表!$C$5:$T$44,$CU24,BC$57),""),1),""),IF(MID(IFERROR(INDEX(醫師週班表!$C$5:$T$44,$CU24,BC$57),""),2,1)="(",LEFT(IFERROR(INDEX(醫師週班表!$C$5:$T$44,$CU24,BC$57),""),1),IFERROR(INDEX(醫師週班表!$C$5:$T$44,$CU24,BC$57),"")))))))</f>
        <v/>
      </c>
      <c r="BD24" s="71">
        <f>IF(BD$59="X","",IF(BD$59&lt;&gt;"",BD$59,IF(IFERROR(INDEX(醫師週班表!$C$5:$T$44,$CU24,BD$57),"")=0,"",IF(MID(IFERROR(INDEX(醫師週班表!$C$5:$T$44,$CU24,BD$57),""),2,1)="/",MID(IFERROR(INDEX(醫師週班表!$C$5:$T$44,$CU24,BD$57),""),1+BD$58*2,1),IF(MID(IFERROR(INDEX(醫師週班表!$C$5:$T$44,$CU24,BD$57),""),3,1)="隔",IF(BD$58=0,LEFT(IFERROR(INDEX(醫師週班表!$C$5:$T$44,$CU24,BD$57),""),1),""),IF(MID(IFERROR(INDEX(醫師週班表!$C$5:$T$44,$CU24,BD$57),""),2,1)="(",LEFT(IFERROR(INDEX(醫師週班表!$C$5:$T$44,$CU24,BD$57),""),1),IFERROR(INDEX(醫師週班表!$C$5:$T$44,$CU24,BD$57),"")))))))</f>
        <v/>
      </c>
      <c r="BE24" s="72">
        <f>IF(BE$59="X","",IF(BE$59&lt;&gt;"",BE$59,IF(IFERROR(INDEX(醫師週班表!$C$5:$T$44,$CU24,BE$57),"")=0,"",IF(MID(IFERROR(INDEX(醫師週班表!$C$5:$T$44,$CU24,BE$57),""),2,1)="/",MID(IFERROR(INDEX(醫師週班表!$C$5:$T$44,$CU24,BE$57),""),1+BE$58*2,1),IF(MID(IFERROR(INDEX(醫師週班表!$C$5:$T$44,$CU24,BE$57),""),3,1)="隔",IF(BE$58=0,LEFT(IFERROR(INDEX(醫師週班表!$C$5:$T$44,$CU24,BE$57),""),1),""),IF(MID(IFERROR(INDEX(醫師週班表!$C$5:$T$44,$CU24,BE$57),""),2,1)="(",LEFT(IFERROR(INDEX(醫師週班表!$C$5:$T$44,$CU24,BE$57),""),1),IFERROR(INDEX(醫師週班表!$C$5:$T$44,$CU24,BE$57),"")))))))</f>
        <v/>
      </c>
      <c r="BF24" s="72">
        <f>IF(BF$59="X","",IF(BF$59&lt;&gt;"",BF$59,IF(IFERROR(INDEX(醫師週班表!$C$5:$T$44,$CU24,BF$57),"")=0,"",IF(MID(IFERROR(INDEX(醫師週班表!$C$5:$T$44,$CU24,BF$57),""),2,1)="/",MID(IFERROR(INDEX(醫師週班表!$C$5:$T$44,$CU24,BF$57),""),1+BF$58*2,1),IF(MID(IFERROR(INDEX(醫師週班表!$C$5:$T$44,$CU24,BF$57),""),3,1)="隔",IF(BF$58=0,LEFT(IFERROR(INDEX(醫師週班表!$C$5:$T$44,$CU24,BF$57),""),1),""),IF(MID(IFERROR(INDEX(醫師週班表!$C$5:$T$44,$CU24,BF$57),""),2,1)="(",LEFT(IFERROR(INDEX(醫師週班表!$C$5:$T$44,$CU24,BF$57),""),1),IFERROR(INDEX(醫師週班表!$C$5:$T$44,$CU24,BF$57),"")))))))</f>
        <v/>
      </c>
      <c r="BG24" s="71">
        <f>IF(BG$59="X","",IF(BG$59&lt;&gt;"",BG$59,IF(IFERROR(INDEX(醫師週班表!$C$5:$T$44,$CU24,BG$57),"")=0,"",IF(MID(IFERROR(INDEX(醫師週班表!$C$5:$T$44,$CU24,BG$57),""),2,1)="/",MID(IFERROR(INDEX(醫師週班表!$C$5:$T$44,$CU24,BG$57),""),1+BG$58*2,1),IF(MID(IFERROR(INDEX(醫師週班表!$C$5:$T$44,$CU24,BG$57),""),3,1)="隔",IF(BG$58=0,LEFT(IFERROR(INDEX(醫師週班表!$C$5:$T$44,$CU24,BG$57),""),1),""),IF(MID(IFERROR(INDEX(醫師週班表!$C$5:$T$44,$CU24,BG$57),""),2,1)="(",LEFT(IFERROR(INDEX(醫師週班表!$C$5:$T$44,$CU24,BG$57),""),1),IFERROR(INDEX(醫師週班表!$C$5:$T$44,$CU24,BG$57),"")))))))</f>
        <v/>
      </c>
      <c r="BH24" s="72">
        <f>IF(BH$59="X","",IF(BH$59&lt;&gt;"",BH$59,IF(IFERROR(INDEX(醫師週班表!$C$5:$T$44,$CU24,BH$57),"")=0,"",IF(MID(IFERROR(INDEX(醫師週班表!$C$5:$T$44,$CU24,BH$57),""),2,1)="/",MID(IFERROR(INDEX(醫師週班表!$C$5:$T$44,$CU24,BH$57),""),1+BH$58*2,1),IF(MID(IFERROR(INDEX(醫師週班表!$C$5:$T$44,$CU24,BH$57),""),3,1)="隔",IF(BH$58=0,LEFT(IFERROR(INDEX(醫師週班表!$C$5:$T$44,$CU24,BH$57),""),1),""),IF(MID(IFERROR(INDEX(醫師週班表!$C$5:$T$44,$CU24,BH$57),""),2,1)="(",LEFT(IFERROR(INDEX(醫師週班表!$C$5:$T$44,$CU24,BH$57),""),1),IFERROR(INDEX(醫師週班表!$C$5:$T$44,$CU24,BH$57),"")))))))</f>
        <v/>
      </c>
      <c r="BI24" s="72">
        <f>IF(BI$59="X","",IF(BI$59&lt;&gt;"",BI$59,IF(IFERROR(INDEX(醫師週班表!$C$5:$T$44,$CU24,BI$57),"")=0,"",IF(MID(IFERROR(INDEX(醫師週班表!$C$5:$T$44,$CU24,BI$57),""),2,1)="/",MID(IFERROR(INDEX(醫師週班表!$C$5:$T$44,$CU24,BI$57),""),1+BI$58*2,1),IF(MID(IFERROR(INDEX(醫師週班表!$C$5:$T$44,$CU24,BI$57),""),3,1)="隔",IF(BI$58=0,LEFT(IFERROR(INDEX(醫師週班表!$C$5:$T$44,$CU24,BI$57),""),1),""),IF(MID(IFERROR(INDEX(醫師週班表!$C$5:$T$44,$CU24,BI$57),""),2,1)="(",LEFT(IFERROR(INDEX(醫師週班表!$C$5:$T$44,$CU24,BI$57),""),1),IFERROR(INDEX(醫師週班表!$C$5:$T$44,$CU24,BI$57),"")))))))</f>
        <v/>
      </c>
      <c r="BJ24" s="71">
        <f>IF(BJ$59="X","",IF(BJ$59&lt;&gt;"",BJ$59,IF(IFERROR(INDEX(醫師週班表!$C$5:$T$44,$CU24,BJ$57),"")=0,"",IF(MID(IFERROR(INDEX(醫師週班表!$C$5:$T$44,$CU24,BJ$57),""),2,1)="/",MID(IFERROR(INDEX(醫師週班表!$C$5:$T$44,$CU24,BJ$57),""),1+BJ$58*2,1),IF(MID(IFERROR(INDEX(醫師週班表!$C$5:$T$44,$CU24,BJ$57),""),3,1)="隔",IF(BJ$58=0,LEFT(IFERROR(INDEX(醫師週班表!$C$5:$T$44,$CU24,BJ$57),""),1),""),IF(MID(IFERROR(INDEX(醫師週班表!$C$5:$T$44,$CU24,BJ$57),""),2,1)="(",LEFT(IFERROR(INDEX(醫師週班表!$C$5:$T$44,$CU24,BJ$57),""),1),IFERROR(INDEX(醫師週班表!$C$5:$T$44,$CU24,BJ$57),"")))))))</f>
        <v/>
      </c>
      <c r="BK24" s="72">
        <f>IF(BK$59="X","",IF(BK$59&lt;&gt;"",BK$59,IF(IFERROR(INDEX(醫師週班表!$C$5:$T$44,$CU24,BK$57),"")=0,"",IF(MID(IFERROR(INDEX(醫師週班表!$C$5:$T$44,$CU24,BK$57),""),2,1)="/",MID(IFERROR(INDEX(醫師週班表!$C$5:$T$44,$CU24,BK$57),""),1+BK$58*2,1),IF(MID(IFERROR(INDEX(醫師週班表!$C$5:$T$44,$CU24,BK$57),""),3,1)="隔",IF(BK$58=0,LEFT(IFERROR(INDEX(醫師週班表!$C$5:$T$44,$CU24,BK$57),""),1),""),IF(MID(IFERROR(INDEX(醫師週班表!$C$5:$T$44,$CU24,BK$57),""),2,1)="(",LEFT(IFERROR(INDEX(醫師週班表!$C$5:$T$44,$CU24,BK$57),""),1),IFERROR(INDEX(醫師週班表!$C$5:$T$44,$CU24,BK$57),"")))))))</f>
        <v/>
      </c>
      <c r="BL24" s="72">
        <f>IF(BL$59="X","",IF(BL$59&lt;&gt;"",BL$59,IF(IFERROR(INDEX(醫師週班表!$C$5:$T$44,$CU24,BL$57),"")=0,"",IF(MID(IFERROR(INDEX(醫師週班表!$C$5:$T$44,$CU24,BL$57),""),2,1)="/",MID(IFERROR(INDEX(醫師週班表!$C$5:$T$44,$CU24,BL$57),""),1+BL$58*2,1),IF(MID(IFERROR(INDEX(醫師週班表!$C$5:$T$44,$CU24,BL$57),""),3,1)="隔",IF(BL$58=0,LEFT(IFERROR(INDEX(醫師週班表!$C$5:$T$44,$CU24,BL$57),""),1),""),IF(MID(IFERROR(INDEX(醫師週班表!$C$5:$T$44,$CU24,BL$57),""),2,1)="(",LEFT(IFERROR(INDEX(醫師週班表!$C$5:$T$44,$CU24,BL$57),""),1),IFERROR(INDEX(醫師週班表!$C$5:$T$44,$CU24,BL$57),"")))))))</f>
        <v/>
      </c>
      <c r="BM24" s="71">
        <f>IF(BM$59="X","",IF(BM$59&lt;&gt;"",BM$59,IF(IFERROR(INDEX(醫師週班表!$C$5:$T$44,$CU24,BM$57),"")=0,"",IF(MID(IFERROR(INDEX(醫師週班表!$C$5:$T$44,$CU24,BM$57),""),2,1)="/",MID(IFERROR(INDEX(醫師週班表!$C$5:$T$44,$CU24,BM$57),""),1+BM$58*2,1),IF(MID(IFERROR(INDEX(醫師週班表!$C$5:$T$44,$CU24,BM$57),""),3,1)="隔",IF(BM$58=0,LEFT(IFERROR(INDEX(醫師週班表!$C$5:$T$44,$CU24,BM$57),""),1),""),IF(MID(IFERROR(INDEX(醫師週班表!$C$5:$T$44,$CU24,BM$57),""),2,1)="(",LEFT(IFERROR(INDEX(醫師週班表!$C$5:$T$44,$CU24,BM$57),""),1),IFERROR(INDEX(醫師週班表!$C$5:$T$44,$CU24,BM$57),"")))))))</f>
        <v/>
      </c>
      <c r="BN24" s="72">
        <f>IF(BN$59="X","",IF(BN$59&lt;&gt;"",BN$59,IF(IFERROR(INDEX(醫師週班表!$C$5:$T$44,$CU24,BN$57),"")=0,"",IF(MID(IFERROR(INDEX(醫師週班表!$C$5:$T$44,$CU24,BN$57),""),2,1)="/",MID(IFERROR(INDEX(醫師週班表!$C$5:$T$44,$CU24,BN$57),""),1+BN$58*2,1),IF(MID(IFERROR(INDEX(醫師週班表!$C$5:$T$44,$CU24,BN$57),""),3,1)="隔",IF(BN$58=0,LEFT(IFERROR(INDEX(醫師週班表!$C$5:$T$44,$CU24,BN$57),""),1),""),IF(MID(IFERROR(INDEX(醫師週班表!$C$5:$T$44,$CU24,BN$57),""),2,1)="(",LEFT(IFERROR(INDEX(醫師週班表!$C$5:$T$44,$CU24,BN$57),""),1),IFERROR(INDEX(醫師週班表!$C$5:$T$44,$CU24,BN$57),"")))))))</f>
        <v/>
      </c>
      <c r="BO24" s="72">
        <f>IF(BO$59="X","",IF(BO$59&lt;&gt;"",BO$59,IF(IFERROR(INDEX(醫師週班表!$C$5:$T$44,$CU24,BO$57),"")=0,"",IF(MID(IFERROR(INDEX(醫師週班表!$C$5:$T$44,$CU24,BO$57),""),2,1)="/",MID(IFERROR(INDEX(醫師週班表!$C$5:$T$44,$CU24,BO$57),""),1+BO$58*2,1),IF(MID(IFERROR(INDEX(醫師週班表!$C$5:$T$44,$CU24,BO$57),""),3,1)="隔",IF(BO$58=0,LEFT(IFERROR(INDEX(醫師週班表!$C$5:$T$44,$CU24,BO$57),""),1),""),IF(MID(IFERROR(INDEX(醫師週班表!$C$5:$T$44,$CU24,BO$57),""),2,1)="(",LEFT(IFERROR(INDEX(醫師週班表!$C$5:$T$44,$CU24,BO$57),""),1),IFERROR(INDEX(醫師週班表!$C$5:$T$44,$CU24,BO$57),"")))))))</f>
        <v/>
      </c>
      <c r="BP24" s="71">
        <f>IF(BP$59="X","",IF(BP$59&lt;&gt;"",BP$59,IF(IFERROR(INDEX(醫師週班表!$C$5:$T$44,$CU24,BP$57),"")=0,"",IF(MID(IFERROR(INDEX(醫師週班表!$C$5:$T$44,$CU24,BP$57),""),2,1)="/",MID(IFERROR(INDEX(醫師週班表!$C$5:$T$44,$CU24,BP$57),""),1+BP$58*2,1),IF(MID(IFERROR(INDEX(醫師週班表!$C$5:$T$44,$CU24,BP$57),""),3,1)="隔",IF(BP$58=0,LEFT(IFERROR(INDEX(醫師週班表!$C$5:$T$44,$CU24,BP$57),""),1),""),IF(MID(IFERROR(INDEX(醫師週班表!$C$5:$T$44,$CU24,BP$57),""),2,1)="(",LEFT(IFERROR(INDEX(醫師週班表!$C$5:$T$44,$CU24,BP$57),""),1),IFERROR(INDEX(醫師週班表!$C$5:$T$44,$CU24,BP$57),"")))))))</f>
        <v/>
      </c>
      <c r="BQ24" s="72">
        <f>IF(BQ$59="X","",IF(BQ$59&lt;&gt;"",BQ$59,IF(IFERROR(INDEX(醫師週班表!$C$5:$T$44,$CU24,BQ$57),"")=0,"",IF(MID(IFERROR(INDEX(醫師週班表!$C$5:$T$44,$CU24,BQ$57),""),2,1)="/",MID(IFERROR(INDEX(醫師週班表!$C$5:$T$44,$CU24,BQ$57),""),1+BQ$58*2,1),IF(MID(IFERROR(INDEX(醫師週班表!$C$5:$T$44,$CU24,BQ$57),""),3,1)="隔",IF(BQ$58=0,LEFT(IFERROR(INDEX(醫師週班表!$C$5:$T$44,$CU24,BQ$57),""),1),""),IF(MID(IFERROR(INDEX(醫師週班表!$C$5:$T$44,$CU24,BQ$57),""),2,1)="(",LEFT(IFERROR(INDEX(醫師週班表!$C$5:$T$44,$CU24,BQ$57),""),1),IFERROR(INDEX(醫師週班表!$C$5:$T$44,$CU24,BQ$57),"")))))))</f>
        <v/>
      </c>
      <c r="BR24" s="72">
        <f>IF(BR$59="X","",IF(BR$59&lt;&gt;"",BR$59,IF(IFERROR(INDEX(醫師週班表!$C$5:$T$44,$CU24,BR$57),"")=0,"",IF(MID(IFERROR(INDEX(醫師週班表!$C$5:$T$44,$CU24,BR$57),""),2,1)="/",MID(IFERROR(INDEX(醫師週班表!$C$5:$T$44,$CU24,BR$57),""),1+BR$58*2,1),IF(MID(IFERROR(INDEX(醫師週班表!$C$5:$T$44,$CU24,BR$57),""),3,1)="隔",IF(BR$58=0,LEFT(IFERROR(INDEX(醫師週班表!$C$5:$T$44,$CU24,BR$57),""),1),""),IF(MID(IFERROR(INDEX(醫師週班表!$C$5:$T$44,$CU24,BR$57),""),2,1)="(",LEFT(IFERROR(INDEX(醫師週班表!$C$5:$T$44,$CU24,BR$57),""),1),IFERROR(INDEX(醫師週班表!$C$5:$T$44,$CU24,BR$57),"")))))))</f>
        <v/>
      </c>
      <c r="BS24" s="71">
        <f>IF(BS$59="X","",IF(BS$59&lt;&gt;"",BS$59,IF(IFERROR(INDEX(醫師週班表!$C$5:$T$44,$CU24,BS$57),"")=0,"",IF(MID(IFERROR(INDEX(醫師週班表!$C$5:$T$44,$CU24,BS$57),""),2,1)="/",MID(IFERROR(INDEX(醫師週班表!$C$5:$T$44,$CU24,BS$57),""),1+BS$58*2,1),IF(MID(IFERROR(INDEX(醫師週班表!$C$5:$T$44,$CU24,BS$57),""),3,1)="隔",IF(BS$58=0,LEFT(IFERROR(INDEX(醫師週班表!$C$5:$T$44,$CU24,BS$57),""),1),""),IF(MID(IFERROR(INDEX(醫師週班表!$C$5:$T$44,$CU24,BS$57),""),2,1)="(",LEFT(IFERROR(INDEX(醫師週班表!$C$5:$T$44,$CU24,BS$57),""),1),IFERROR(INDEX(醫師週班表!$C$5:$T$44,$CU24,BS$57),"")))))))</f>
        <v/>
      </c>
      <c r="BT24" s="72">
        <f>IF(BT$59="X","",IF(BT$59&lt;&gt;"",BT$59,IF(IFERROR(INDEX(醫師週班表!$C$5:$T$44,$CU24,BT$57),"")=0,"",IF(MID(IFERROR(INDEX(醫師週班表!$C$5:$T$44,$CU24,BT$57),""),2,1)="/",MID(IFERROR(INDEX(醫師週班表!$C$5:$T$44,$CU24,BT$57),""),1+BT$58*2,1),IF(MID(IFERROR(INDEX(醫師週班表!$C$5:$T$44,$CU24,BT$57),""),3,1)="隔",IF(BT$58=0,LEFT(IFERROR(INDEX(醫師週班表!$C$5:$T$44,$CU24,BT$57),""),1),""),IF(MID(IFERROR(INDEX(醫師週班表!$C$5:$T$44,$CU24,BT$57),""),2,1)="(",LEFT(IFERROR(INDEX(醫師週班表!$C$5:$T$44,$CU24,BT$57),""),1),IFERROR(INDEX(醫師週班表!$C$5:$T$44,$CU24,BT$57),"")))))))</f>
        <v/>
      </c>
      <c r="BU24" s="72">
        <f>IF(BU$59="X","",IF(BU$59&lt;&gt;"",BU$59,IF(IFERROR(INDEX(醫師週班表!$C$5:$T$44,$CU24,BU$57),"")=0,"",IF(MID(IFERROR(INDEX(醫師週班表!$C$5:$T$44,$CU24,BU$57),""),2,1)="/",MID(IFERROR(INDEX(醫師週班表!$C$5:$T$44,$CU24,BU$57),""),1+BU$58*2,1),IF(MID(IFERROR(INDEX(醫師週班表!$C$5:$T$44,$CU24,BU$57),""),3,1)="隔",IF(BU$58=0,LEFT(IFERROR(INDEX(醫師週班表!$C$5:$T$44,$CU24,BU$57),""),1),""),IF(MID(IFERROR(INDEX(醫師週班表!$C$5:$T$44,$CU24,BU$57),""),2,1)="(",LEFT(IFERROR(INDEX(醫師週班表!$C$5:$T$44,$CU24,BU$57),""),1),IFERROR(INDEX(醫師週班表!$C$5:$T$44,$CU24,BU$57),"")))))))</f>
        <v/>
      </c>
      <c r="BV24" s="71">
        <f>IF(BV$59="X","",IF(BV$59&lt;&gt;"",BV$59,IF(IFERROR(INDEX(醫師週班表!$C$5:$T$44,$CU24,BV$57),"")=0,"",IF(MID(IFERROR(INDEX(醫師週班表!$C$5:$T$44,$CU24,BV$57),""),2,1)="/",MID(IFERROR(INDEX(醫師週班表!$C$5:$T$44,$CU24,BV$57),""),1+BV$58*2,1),IF(MID(IFERROR(INDEX(醫師週班表!$C$5:$T$44,$CU24,BV$57),""),3,1)="隔",IF(BV$58=0,LEFT(IFERROR(INDEX(醫師週班表!$C$5:$T$44,$CU24,BV$57),""),1),""),IF(MID(IFERROR(INDEX(醫師週班表!$C$5:$T$44,$CU24,BV$57),""),2,1)="(",LEFT(IFERROR(INDEX(醫師週班表!$C$5:$T$44,$CU24,BV$57),""),1),IFERROR(INDEX(醫師週班表!$C$5:$T$44,$CU24,BV$57),"")))))))</f>
        <v/>
      </c>
      <c r="BW24" s="72">
        <f>IF(BW$59="X","",IF(BW$59&lt;&gt;"",BW$59,IF(IFERROR(INDEX(醫師週班表!$C$5:$T$44,$CU24,BW$57),"")=0,"",IF(MID(IFERROR(INDEX(醫師週班表!$C$5:$T$44,$CU24,BW$57),""),2,1)="/",MID(IFERROR(INDEX(醫師週班表!$C$5:$T$44,$CU24,BW$57),""),1+BW$58*2,1),IF(MID(IFERROR(INDEX(醫師週班表!$C$5:$T$44,$CU24,BW$57),""),3,1)="隔",IF(BW$58=0,LEFT(IFERROR(INDEX(醫師週班表!$C$5:$T$44,$CU24,BW$57),""),1),""),IF(MID(IFERROR(INDEX(醫師週班表!$C$5:$T$44,$CU24,BW$57),""),2,1)="(",LEFT(IFERROR(INDEX(醫師週班表!$C$5:$T$44,$CU24,BW$57),""),1),IFERROR(INDEX(醫師週班表!$C$5:$T$44,$CU24,BW$57),"")))))))</f>
        <v/>
      </c>
      <c r="BX24" s="72">
        <f>IF(BX$59="X","",IF(BX$59&lt;&gt;"",BX$59,IF(IFERROR(INDEX(醫師週班表!$C$5:$T$44,$CU24,BX$57),"")=0,"",IF(MID(IFERROR(INDEX(醫師週班表!$C$5:$T$44,$CU24,BX$57),""),2,1)="/",MID(IFERROR(INDEX(醫師週班表!$C$5:$T$44,$CU24,BX$57),""),1+BX$58*2,1),IF(MID(IFERROR(INDEX(醫師週班表!$C$5:$T$44,$CU24,BX$57),""),3,1)="隔",IF(BX$58=0,LEFT(IFERROR(INDEX(醫師週班表!$C$5:$T$44,$CU24,BX$57),""),1),""),IF(MID(IFERROR(INDEX(醫師週班表!$C$5:$T$44,$CU24,BX$57),""),2,1)="(",LEFT(IFERROR(INDEX(醫師週班表!$C$5:$T$44,$CU24,BX$57),""),1),IFERROR(INDEX(醫師週班表!$C$5:$T$44,$CU24,BX$57),"")))))))</f>
        <v/>
      </c>
      <c r="BY24" s="71">
        <f>IF(BY$59="X","",IF(BY$59&lt;&gt;"",BY$59,IF(IFERROR(INDEX(醫師週班表!$C$5:$T$44,$CU24,BY$57),"")=0,"",IF(MID(IFERROR(INDEX(醫師週班表!$C$5:$T$44,$CU24,BY$57),""),2,1)="/",MID(IFERROR(INDEX(醫師週班表!$C$5:$T$44,$CU24,BY$57),""),1+BY$58*2,1),IF(MID(IFERROR(INDEX(醫師週班表!$C$5:$T$44,$CU24,BY$57),""),3,1)="隔",IF(BY$58=0,LEFT(IFERROR(INDEX(醫師週班表!$C$5:$T$44,$CU24,BY$57),""),1),""),IF(MID(IFERROR(INDEX(醫師週班表!$C$5:$T$44,$CU24,BY$57),""),2,1)="(",LEFT(IFERROR(INDEX(醫師週班表!$C$5:$T$44,$CU24,BY$57),""),1),IFERROR(INDEX(醫師週班表!$C$5:$T$44,$CU24,BY$57),"")))))))</f>
        <v/>
      </c>
      <c r="BZ24" s="72">
        <f>IF(BZ$59="X","",IF(BZ$59&lt;&gt;"",BZ$59,IF(IFERROR(INDEX(醫師週班表!$C$5:$T$44,$CU24,BZ$57),"")=0,"",IF(MID(IFERROR(INDEX(醫師週班表!$C$5:$T$44,$CU24,BZ$57),""),2,1)="/",MID(IFERROR(INDEX(醫師週班表!$C$5:$T$44,$CU24,BZ$57),""),1+BZ$58*2,1),IF(MID(IFERROR(INDEX(醫師週班表!$C$5:$T$44,$CU24,BZ$57),""),3,1)="隔",IF(BZ$58=0,LEFT(IFERROR(INDEX(醫師週班表!$C$5:$T$44,$CU24,BZ$57),""),1),""),IF(MID(IFERROR(INDEX(醫師週班表!$C$5:$T$44,$CU24,BZ$57),""),2,1)="(",LEFT(IFERROR(INDEX(醫師週班表!$C$5:$T$44,$CU24,BZ$57),""),1),IFERROR(INDEX(醫師週班表!$C$5:$T$44,$CU24,BZ$57),"")))))))</f>
        <v/>
      </c>
      <c r="CA24" s="72">
        <f>IF(CA$59="X","",IF(CA$59&lt;&gt;"",CA$59,IF(IFERROR(INDEX(醫師週班表!$C$5:$T$44,$CU24,CA$57),"")=0,"",IF(MID(IFERROR(INDEX(醫師週班表!$C$5:$T$44,$CU24,CA$57),""),2,1)="/",MID(IFERROR(INDEX(醫師週班表!$C$5:$T$44,$CU24,CA$57),""),1+CA$58*2,1),IF(MID(IFERROR(INDEX(醫師週班表!$C$5:$T$44,$CU24,CA$57),""),3,1)="隔",IF(CA$58=0,LEFT(IFERROR(INDEX(醫師週班表!$C$5:$T$44,$CU24,CA$57),""),1),""),IF(MID(IFERROR(INDEX(醫師週班表!$C$5:$T$44,$CU24,CA$57),""),2,1)="(",LEFT(IFERROR(INDEX(醫師週班表!$C$5:$T$44,$CU24,CA$57),""),1),IFERROR(INDEX(醫師週班表!$C$5:$T$44,$CU24,CA$57),"")))))))</f>
        <v/>
      </c>
      <c r="CB24" s="71">
        <f>IF(CB$59="X","",IF(CB$59&lt;&gt;"",CB$59,IF(IFERROR(INDEX(醫師週班表!$C$5:$T$44,$CU24,CB$57),"")=0,"",IF(MID(IFERROR(INDEX(醫師週班表!$C$5:$T$44,$CU24,CB$57),""),2,1)="/",MID(IFERROR(INDEX(醫師週班表!$C$5:$T$44,$CU24,CB$57),""),1+CB$58*2,1),IF(MID(IFERROR(INDEX(醫師週班表!$C$5:$T$44,$CU24,CB$57),""),3,1)="隔",IF(CB$58=0,LEFT(IFERROR(INDEX(醫師週班表!$C$5:$T$44,$CU24,CB$57),""),1),""),IF(MID(IFERROR(INDEX(醫師週班表!$C$5:$T$44,$CU24,CB$57),""),2,1)="(",LEFT(IFERROR(INDEX(醫師週班表!$C$5:$T$44,$CU24,CB$57),""),1),IFERROR(INDEX(醫師週班表!$C$5:$T$44,$CU24,CB$57),"")))))))</f>
        <v/>
      </c>
      <c r="CC24" s="72">
        <f>IF(CC$59="X","",IF(CC$59&lt;&gt;"",CC$59,IF(IFERROR(INDEX(醫師週班表!$C$5:$T$44,$CU24,CC$57),"")=0,"",IF(MID(IFERROR(INDEX(醫師週班表!$C$5:$T$44,$CU24,CC$57),""),2,1)="/",MID(IFERROR(INDEX(醫師週班表!$C$5:$T$44,$CU24,CC$57),""),1+CC$58*2,1),IF(MID(IFERROR(INDEX(醫師週班表!$C$5:$T$44,$CU24,CC$57),""),3,1)="隔",IF(CC$58=0,LEFT(IFERROR(INDEX(醫師週班表!$C$5:$T$44,$CU24,CC$57),""),1),""),IF(MID(IFERROR(INDEX(醫師週班表!$C$5:$T$44,$CU24,CC$57),""),2,1)="(",LEFT(IFERROR(INDEX(醫師週班表!$C$5:$T$44,$CU24,CC$57),""),1),IFERROR(INDEX(醫師週班表!$C$5:$T$44,$CU24,CC$57),"")))))))</f>
        <v/>
      </c>
      <c r="CD24" s="72">
        <f>IF(CD$59="X","",IF(CD$59&lt;&gt;"",CD$59,IF(IFERROR(INDEX(醫師週班表!$C$5:$T$44,$CU24,CD$57),"")=0,"",IF(MID(IFERROR(INDEX(醫師週班表!$C$5:$T$44,$CU24,CD$57),""),2,1)="/",MID(IFERROR(INDEX(醫師週班表!$C$5:$T$44,$CU24,CD$57),""),1+CD$58*2,1),IF(MID(IFERROR(INDEX(醫師週班表!$C$5:$T$44,$CU24,CD$57),""),3,1)="隔",IF(CD$58=0,LEFT(IFERROR(INDEX(醫師週班表!$C$5:$T$44,$CU24,CD$57),""),1),""),IF(MID(IFERROR(INDEX(醫師週班表!$C$5:$T$44,$CU24,CD$57),""),2,1)="(",LEFT(IFERROR(INDEX(醫師週班表!$C$5:$T$44,$CU24,CD$57),""),1),IFERROR(INDEX(醫師週班表!$C$5:$T$44,$CU24,CD$57),"")))))))</f>
        <v/>
      </c>
      <c r="CE24" s="71">
        <f>IF(CE$59="X","",IF(CE$59&lt;&gt;"",CE$59,IF(IFERROR(INDEX(醫師週班表!$C$5:$T$44,$CU24,CE$57),"")=0,"",IF(MID(IFERROR(INDEX(醫師週班表!$C$5:$T$44,$CU24,CE$57),""),2,1)="/",MID(IFERROR(INDEX(醫師週班表!$C$5:$T$44,$CU24,CE$57),""),1+CE$58*2,1),IF(MID(IFERROR(INDEX(醫師週班表!$C$5:$T$44,$CU24,CE$57),""),3,1)="隔",IF(CE$58=0,LEFT(IFERROR(INDEX(醫師週班表!$C$5:$T$44,$CU24,CE$57),""),1),""),IF(MID(IFERROR(INDEX(醫師週班表!$C$5:$T$44,$CU24,CE$57),""),2,1)="(",LEFT(IFERROR(INDEX(醫師週班表!$C$5:$T$44,$CU24,CE$57),""),1),IFERROR(INDEX(醫師週班表!$C$5:$T$44,$CU24,CE$57),"")))))))</f>
        <v/>
      </c>
      <c r="CF24" s="72">
        <f>IF(CF$59="X","",IF(CF$59&lt;&gt;"",CF$59,IF(IFERROR(INDEX(醫師週班表!$C$5:$T$44,$CU24,CF$57),"")=0,"",IF(MID(IFERROR(INDEX(醫師週班表!$C$5:$T$44,$CU24,CF$57),""),2,1)="/",MID(IFERROR(INDEX(醫師週班表!$C$5:$T$44,$CU24,CF$57),""),1+CF$58*2,1),IF(MID(IFERROR(INDEX(醫師週班表!$C$5:$T$44,$CU24,CF$57),""),3,1)="隔",IF(CF$58=0,LEFT(IFERROR(INDEX(醫師週班表!$C$5:$T$44,$CU24,CF$57),""),1),""),IF(MID(IFERROR(INDEX(醫師週班表!$C$5:$T$44,$CU24,CF$57),""),2,1)="(",LEFT(IFERROR(INDEX(醫師週班表!$C$5:$T$44,$CU24,CF$57),""),1),IFERROR(INDEX(醫師週班表!$C$5:$T$44,$CU24,CF$57),"")))))))</f>
        <v/>
      </c>
      <c r="CG24" s="72">
        <f>IF(CG$59="X","",IF(CG$59&lt;&gt;"",CG$59,IF(IFERROR(INDEX(醫師週班表!$C$5:$T$44,$CU24,CG$57),"")=0,"",IF(MID(IFERROR(INDEX(醫師週班表!$C$5:$T$44,$CU24,CG$57),""),2,1)="/",MID(IFERROR(INDEX(醫師週班表!$C$5:$T$44,$CU24,CG$57),""),1+CG$58*2,1),IF(MID(IFERROR(INDEX(醫師週班表!$C$5:$T$44,$CU24,CG$57),""),3,1)="隔",IF(CG$58=0,LEFT(IFERROR(INDEX(醫師週班表!$C$5:$T$44,$CU24,CG$57),""),1),""),IF(MID(IFERROR(INDEX(醫師週班表!$C$5:$T$44,$CU24,CG$57),""),2,1)="(",LEFT(IFERROR(INDEX(醫師週班表!$C$5:$T$44,$CU24,CG$57),""),1),IFERROR(INDEX(醫師週班表!$C$5:$T$44,$CU24,CG$57),"")))))))</f>
        <v/>
      </c>
      <c r="CH24" s="71">
        <f>IF(CH$59="X","",IF(CH$59&lt;&gt;"",CH$59,IF(IFERROR(INDEX(醫師週班表!$C$5:$T$44,$CU24,CH$57),"")=0,"",IF(MID(IFERROR(INDEX(醫師週班表!$C$5:$T$44,$CU24,CH$57),""),2,1)="/",MID(IFERROR(INDEX(醫師週班表!$C$5:$T$44,$CU24,CH$57),""),1+CH$58*2,1),IF(MID(IFERROR(INDEX(醫師週班表!$C$5:$T$44,$CU24,CH$57),""),3,1)="隔",IF(CH$58=0,LEFT(IFERROR(INDEX(醫師週班表!$C$5:$T$44,$CU24,CH$57),""),1),""),IF(MID(IFERROR(INDEX(醫師週班表!$C$5:$T$44,$CU24,CH$57),""),2,1)="(",LEFT(IFERROR(INDEX(醫師週班表!$C$5:$T$44,$CU24,CH$57),""),1),IFERROR(INDEX(醫師週班表!$C$5:$T$44,$CU24,CH$57),"")))))))</f>
        <v/>
      </c>
      <c r="CI24" s="72">
        <f>IF(CI$59="X","",IF(CI$59&lt;&gt;"",CI$59,IF(IFERROR(INDEX(醫師週班表!$C$5:$T$44,$CU24,CI$57),"")=0,"",IF(MID(IFERROR(INDEX(醫師週班表!$C$5:$T$44,$CU24,CI$57),""),2,1)="/",MID(IFERROR(INDEX(醫師週班表!$C$5:$T$44,$CU24,CI$57),""),1+CI$58*2,1),IF(MID(IFERROR(INDEX(醫師週班表!$C$5:$T$44,$CU24,CI$57),""),3,1)="隔",IF(CI$58=0,LEFT(IFERROR(INDEX(醫師週班表!$C$5:$T$44,$CU24,CI$57),""),1),""),IF(MID(IFERROR(INDEX(醫師週班表!$C$5:$T$44,$CU24,CI$57),""),2,1)="(",LEFT(IFERROR(INDEX(醫師週班表!$C$5:$T$44,$CU24,CI$57),""),1),IFERROR(INDEX(醫師週班表!$C$5:$T$44,$CU24,CI$57),"")))))))</f>
        <v/>
      </c>
      <c r="CJ24" s="72">
        <f>IF(CJ$59="X","",IF(CJ$59&lt;&gt;"",CJ$59,IF(IFERROR(INDEX(醫師週班表!$C$5:$T$44,$CU24,CJ$57),"")=0,"",IF(MID(IFERROR(INDEX(醫師週班表!$C$5:$T$44,$CU24,CJ$57),""),2,1)="/",MID(IFERROR(INDEX(醫師週班表!$C$5:$T$44,$CU24,CJ$57),""),1+CJ$58*2,1),IF(MID(IFERROR(INDEX(醫師週班表!$C$5:$T$44,$CU24,CJ$57),""),3,1)="隔",IF(CJ$58=0,LEFT(IFERROR(INDEX(醫師週班表!$C$5:$T$44,$CU24,CJ$57),""),1),""),IF(MID(IFERROR(INDEX(醫師週班表!$C$5:$T$44,$CU24,CJ$57),""),2,1)="(",LEFT(IFERROR(INDEX(醫師週班表!$C$5:$T$44,$CU24,CJ$57),""),1),IFERROR(INDEX(醫師週班表!$C$5:$T$44,$CU24,CJ$57),"")))))))</f>
        <v/>
      </c>
      <c r="CK24" s="71">
        <f>IF(CK$59="X","",IF(CK$59&lt;&gt;"",CK$59,IF(IFERROR(INDEX(醫師週班表!$C$5:$T$44,$CU24,CK$57),"")=0,"",IF(MID(IFERROR(INDEX(醫師週班表!$C$5:$T$44,$CU24,CK$57),""),2,1)="/",MID(IFERROR(INDEX(醫師週班表!$C$5:$T$44,$CU24,CK$57),""),1+CK$58*2,1),IF(MID(IFERROR(INDEX(醫師週班表!$C$5:$T$44,$CU24,CK$57),""),3,1)="隔",IF(CK$58=0,LEFT(IFERROR(INDEX(醫師週班表!$C$5:$T$44,$CU24,CK$57),""),1),""),IF(MID(IFERROR(INDEX(醫師週班表!$C$5:$T$44,$CU24,CK$57),""),2,1)="(",LEFT(IFERROR(INDEX(醫師週班表!$C$5:$T$44,$CU24,CK$57),""),1),IFERROR(INDEX(醫師週班表!$C$5:$T$44,$CU24,CK$57),"")))))))</f>
        <v/>
      </c>
      <c r="CL24" s="72">
        <f>IF(CL$59="X","",IF(CL$59&lt;&gt;"",CL$59,IF(IFERROR(INDEX(醫師週班表!$C$5:$T$44,$CU24,CL$57),"")=0,"",IF(MID(IFERROR(INDEX(醫師週班表!$C$5:$T$44,$CU24,CL$57),""),2,1)="/",MID(IFERROR(INDEX(醫師週班表!$C$5:$T$44,$CU24,CL$57),""),1+CL$58*2,1),IF(MID(IFERROR(INDEX(醫師週班表!$C$5:$T$44,$CU24,CL$57),""),3,1)="隔",IF(CL$58=0,LEFT(IFERROR(INDEX(醫師週班表!$C$5:$T$44,$CU24,CL$57),""),1),""),IF(MID(IFERROR(INDEX(醫師週班表!$C$5:$T$44,$CU24,CL$57),""),2,1)="(",LEFT(IFERROR(INDEX(醫師週班表!$C$5:$T$44,$CU24,CL$57),""),1),IFERROR(INDEX(醫師週班表!$C$5:$T$44,$CU24,CL$57),"")))))))</f>
        <v/>
      </c>
      <c r="CM24" s="72">
        <f>IF(CM$59="X","",IF(CM$59&lt;&gt;"",CM$59,IF(IFERROR(INDEX(醫師週班表!$C$5:$T$44,$CU24,CM$57),"")=0,"",IF(MID(IFERROR(INDEX(醫師週班表!$C$5:$T$44,$CU24,CM$57),""),2,1)="/",MID(IFERROR(INDEX(醫師週班表!$C$5:$T$44,$CU24,CM$57),""),1+CM$58*2,1),IF(MID(IFERROR(INDEX(醫師週班表!$C$5:$T$44,$CU24,CM$57),""),3,1)="隔",IF(CM$58=0,LEFT(IFERROR(INDEX(醫師週班表!$C$5:$T$44,$CU24,CM$57),""),1),""),IF(MID(IFERROR(INDEX(醫師週班表!$C$5:$T$44,$CU24,CM$57),""),2,1)="(",LEFT(IFERROR(INDEX(醫師週班表!$C$5:$T$44,$CU24,CM$57),""),1),IFERROR(INDEX(醫師週班表!$C$5:$T$44,$CU24,CM$57),"")))))))</f>
        <v/>
      </c>
      <c r="CN24" s="71">
        <f>IF(CN$59="X","",IF(CN$59&lt;&gt;"",CN$59,IF(IFERROR(INDEX(醫師週班表!$C$5:$T$44,$CU24,CN$57),"")=0,"",IF(MID(IFERROR(INDEX(醫師週班表!$C$5:$T$44,$CU24,CN$57),""),2,1)="/",MID(IFERROR(INDEX(醫師週班表!$C$5:$T$44,$CU24,CN$57),""),1+CN$58*2,1),IF(MID(IFERROR(INDEX(醫師週班表!$C$5:$T$44,$CU24,CN$57),""),3,1)="隔",IF(CN$58=0,LEFT(IFERROR(INDEX(醫師週班表!$C$5:$T$44,$CU24,CN$57),""),1),""),IF(MID(IFERROR(INDEX(醫師週班表!$C$5:$T$44,$CU24,CN$57),""),2,1)="(",LEFT(IFERROR(INDEX(醫師週班表!$C$5:$T$44,$CU24,CN$57),""),1),IFERROR(INDEX(醫師週班表!$C$5:$T$44,$CU24,CN$57),"")))))))</f>
        <v/>
      </c>
      <c r="CO24" s="72">
        <f>IF(CO$59="X","",IF(CO$59&lt;&gt;"",CO$59,IF(IFERROR(INDEX(醫師週班表!$C$5:$T$44,$CU24,CO$57),"")=0,"",IF(MID(IFERROR(INDEX(醫師週班表!$C$5:$T$44,$CU24,CO$57),""),2,1)="/",MID(IFERROR(INDEX(醫師週班表!$C$5:$T$44,$CU24,CO$57),""),1+CO$58*2,1),IF(MID(IFERROR(INDEX(醫師週班表!$C$5:$T$44,$CU24,CO$57),""),3,1)="隔",IF(CO$58=0,LEFT(IFERROR(INDEX(醫師週班表!$C$5:$T$44,$CU24,CO$57),""),1),""),IF(MID(IFERROR(INDEX(醫師週班表!$C$5:$T$44,$CU24,CO$57),""),2,1)="(",LEFT(IFERROR(INDEX(醫師週班表!$C$5:$T$44,$CU24,CO$57),""),1),IFERROR(INDEX(醫師週班表!$C$5:$T$44,$CU24,CO$57),"")))))))</f>
        <v/>
      </c>
      <c r="CP24" s="72">
        <f>IF(CP$59="X","",IF(CP$59&lt;&gt;"",CP$59,IF(IFERROR(INDEX(醫師週班表!$C$5:$T$44,$CU24,CP$57),"")=0,"",IF(MID(IFERROR(INDEX(醫師週班表!$C$5:$T$44,$CU24,CP$57),""),2,1)="/",MID(IFERROR(INDEX(醫師週班表!$C$5:$T$44,$CU24,CP$57),""),1+CP$58*2,1),IF(MID(IFERROR(INDEX(醫師週班表!$C$5:$T$44,$CU24,CP$57),""),3,1)="隔",IF(CP$58=0,LEFT(IFERROR(INDEX(醫師週班表!$C$5:$T$44,$CU24,CP$57),""),1),""),IF(MID(IFERROR(INDEX(醫師週班表!$C$5:$T$44,$CU24,CP$57),""),2,1)="(",LEFT(IFERROR(INDEX(醫師週班表!$C$5:$T$44,$CU24,CP$57),""),1),IFERROR(INDEX(醫師週班表!$C$5:$T$44,$CU24,CP$57),"")))))))</f>
        <v/>
      </c>
      <c r="CQ24" s="71">
        <f>IF(CQ$59="X","",IF(CQ$59&lt;&gt;"",CQ$59,IF(IFERROR(INDEX(醫師週班表!$C$5:$T$44,$CU24,CQ$57),"")=0,"",IF(MID(IFERROR(INDEX(醫師週班表!$C$5:$T$44,$CU24,CQ$57),""),2,1)="/",MID(IFERROR(INDEX(醫師週班表!$C$5:$T$44,$CU24,CQ$57),""),1+CQ$58*2,1),IF(MID(IFERROR(INDEX(醫師週班表!$C$5:$T$44,$CU24,CQ$57),""),3,1)="隔",IF(CQ$58=0,LEFT(IFERROR(INDEX(醫師週班表!$C$5:$T$44,$CU24,CQ$57),""),1),""),IF(MID(IFERROR(INDEX(醫師週班表!$C$5:$T$44,$CU24,CQ$57),""),2,1)="(",LEFT(IFERROR(INDEX(醫師週班表!$C$5:$T$44,$CU24,CQ$57),""),1),IFERROR(INDEX(醫師週班表!$C$5:$T$44,$CU24,CQ$57),"")))))))</f>
        <v/>
      </c>
      <c r="CR24" s="72">
        <f>IF(CR$59="X","",IF(CR$59&lt;&gt;"",CR$59,IF(IFERROR(INDEX(醫師週班表!$C$5:$T$44,$CU24,CR$57),"")=0,"",IF(MID(IFERROR(INDEX(醫師週班表!$C$5:$T$44,$CU24,CR$57),""),2,1)="/",MID(IFERROR(INDEX(醫師週班表!$C$5:$T$44,$CU24,CR$57),""),1+CR$58*2,1),IF(MID(IFERROR(INDEX(醫師週班表!$C$5:$T$44,$CU24,CR$57),""),3,1)="隔",IF(CR$58=0,LEFT(IFERROR(INDEX(醫師週班表!$C$5:$T$44,$CU24,CR$57),""),1),""),IF(MID(IFERROR(INDEX(醫師週班表!$C$5:$T$44,$CU24,CR$57),""),2,1)="(",LEFT(IFERROR(INDEX(醫師週班表!$C$5:$T$44,$CU24,CR$57),""),1),IFERROR(INDEX(醫師週班表!$C$5:$T$44,$CU24,CR$57),"")))))))</f>
        <v/>
      </c>
      <c r="CS24" s="72">
        <f>IF(CS$59="X","",IF(CS$59&lt;&gt;"",CS$59,IF(IFERROR(INDEX(醫師週班表!$C$5:$T$44,$CU24,CS$57),"")=0,"",IF(MID(IFERROR(INDEX(醫師週班表!$C$5:$T$44,$CU24,CS$57),""),2,1)="/",MID(IFERROR(INDEX(醫師週班表!$C$5:$T$44,$CU24,CS$57),""),1+CS$58*2,1),IF(MID(IFERROR(INDEX(醫師週班表!$C$5:$T$44,$CU24,CS$57),""),3,1)="隔",IF(CS$58=0,LEFT(IFERROR(INDEX(醫師週班表!$C$5:$T$44,$CU24,CS$57),""),1),""),IF(MID(IFERROR(INDEX(醫師週班表!$C$5:$T$44,$CU24,CS$57),""),2,1)="(",LEFT(IFERROR(INDEX(醫師週班表!$C$5:$T$44,$CU24,CS$57),""),1),IFERROR(INDEX(醫師週班表!$C$5:$T$44,$CU24,CS$57),"")))))))</f>
        <v/>
      </c>
      <c r="CU24" s="73">
        <f>IFERROR(MATCH($A24,醫師週班表!$A$5:$A$44,0),0)</f>
        <v/>
      </c>
    </row>
    <row r="25" ht="17" customHeight="1">
      <c r="A25" s="19" t="inlineStr">
        <is>
          <t>D020</t>
        </is>
      </c>
      <c r="B25" s="16" t="inlineStr">
        <is>
          <t>余柏萱</t>
        </is>
      </c>
      <c r="C25" s="70" t="inlineStr"/>
      <c r="D25" s="16" t="inlineStr"/>
      <c r="E25" s="71">
        <f>IF(E$59="X","",IF(E$59&lt;&gt;"",E$59,IF(IFERROR(INDEX(醫師週班表!$C$5:$T$44,$CU25,E$57),"")=0,"",IF(MID(IFERROR(INDEX(醫師週班表!$C$5:$T$44,$CU25,E$57),""),2,1)="/",MID(IFERROR(INDEX(醫師週班表!$C$5:$T$44,$CU25,E$57),""),1+E$58*2,1),IF(MID(IFERROR(INDEX(醫師週班表!$C$5:$T$44,$CU25,E$57),""),3,1)="隔",IF(E$58=0,LEFT(IFERROR(INDEX(醫師週班表!$C$5:$T$44,$CU25,E$57),""),1),""),IF(MID(IFERROR(INDEX(醫師週班表!$C$5:$T$44,$CU25,E$57),""),2,1)="(",LEFT(IFERROR(INDEX(醫師週班表!$C$5:$T$44,$CU25,E$57),""),1),IFERROR(INDEX(醫師週班表!$C$5:$T$44,$CU25,E$57),"")))))))</f>
        <v/>
      </c>
      <c r="F25" s="72">
        <f>IF(F$59="X","",IF(F$59&lt;&gt;"",F$59,IF(IFERROR(INDEX(醫師週班表!$C$5:$T$44,$CU25,F$57),"")=0,"",IF(MID(IFERROR(INDEX(醫師週班表!$C$5:$T$44,$CU25,F$57),""),2,1)="/",MID(IFERROR(INDEX(醫師週班表!$C$5:$T$44,$CU25,F$57),""),1+F$58*2,1),IF(MID(IFERROR(INDEX(醫師週班表!$C$5:$T$44,$CU25,F$57),""),3,1)="隔",IF(F$58=0,LEFT(IFERROR(INDEX(醫師週班表!$C$5:$T$44,$CU25,F$57),""),1),""),IF(MID(IFERROR(INDEX(醫師週班表!$C$5:$T$44,$CU25,F$57),""),2,1)="(",LEFT(IFERROR(INDEX(醫師週班表!$C$5:$T$44,$CU25,F$57),""),1),IFERROR(INDEX(醫師週班表!$C$5:$T$44,$CU25,F$57),"")))))))</f>
        <v/>
      </c>
      <c r="G25" s="72">
        <f>IF(G$59="X","",IF(G$59&lt;&gt;"",G$59,IF(IFERROR(INDEX(醫師週班表!$C$5:$T$44,$CU25,G$57),"")=0,"",IF(MID(IFERROR(INDEX(醫師週班表!$C$5:$T$44,$CU25,G$57),""),2,1)="/",MID(IFERROR(INDEX(醫師週班表!$C$5:$T$44,$CU25,G$57),""),1+G$58*2,1),IF(MID(IFERROR(INDEX(醫師週班表!$C$5:$T$44,$CU25,G$57),""),3,1)="隔",IF(G$58=0,LEFT(IFERROR(INDEX(醫師週班表!$C$5:$T$44,$CU25,G$57),""),1),""),IF(MID(IFERROR(INDEX(醫師週班表!$C$5:$T$44,$CU25,G$57),""),2,1)="(",LEFT(IFERROR(INDEX(醫師週班表!$C$5:$T$44,$CU25,G$57),""),1),IFERROR(INDEX(醫師週班表!$C$5:$T$44,$CU25,G$57),"")))))))</f>
        <v/>
      </c>
      <c r="H25" s="71">
        <f>IF(H$59="X","",IF(H$59&lt;&gt;"",H$59,IF(IFERROR(INDEX(醫師週班表!$C$5:$T$44,$CU25,H$57),"")=0,"",IF(MID(IFERROR(INDEX(醫師週班表!$C$5:$T$44,$CU25,H$57),""),2,1)="/",MID(IFERROR(INDEX(醫師週班表!$C$5:$T$44,$CU25,H$57),""),1+H$58*2,1),IF(MID(IFERROR(INDEX(醫師週班表!$C$5:$T$44,$CU25,H$57),""),3,1)="隔",IF(H$58=0,LEFT(IFERROR(INDEX(醫師週班表!$C$5:$T$44,$CU25,H$57),""),1),""),IF(MID(IFERROR(INDEX(醫師週班表!$C$5:$T$44,$CU25,H$57),""),2,1)="(",LEFT(IFERROR(INDEX(醫師週班表!$C$5:$T$44,$CU25,H$57),""),1),IFERROR(INDEX(醫師週班表!$C$5:$T$44,$CU25,H$57),"")))))))</f>
        <v/>
      </c>
      <c r="I25" s="72">
        <f>IF(I$59="X","",IF(I$59&lt;&gt;"",I$59,IF(IFERROR(INDEX(醫師週班表!$C$5:$T$44,$CU25,I$57),"")=0,"",IF(MID(IFERROR(INDEX(醫師週班表!$C$5:$T$44,$CU25,I$57),""),2,1)="/",MID(IFERROR(INDEX(醫師週班表!$C$5:$T$44,$CU25,I$57),""),1+I$58*2,1),IF(MID(IFERROR(INDEX(醫師週班表!$C$5:$T$44,$CU25,I$57),""),3,1)="隔",IF(I$58=0,LEFT(IFERROR(INDEX(醫師週班表!$C$5:$T$44,$CU25,I$57),""),1),""),IF(MID(IFERROR(INDEX(醫師週班表!$C$5:$T$44,$CU25,I$57),""),2,1)="(",LEFT(IFERROR(INDEX(醫師週班表!$C$5:$T$44,$CU25,I$57),""),1),IFERROR(INDEX(醫師週班表!$C$5:$T$44,$CU25,I$57),"")))))))</f>
        <v/>
      </c>
      <c r="J25" s="72">
        <f>IF(J$59="X","",IF(J$59&lt;&gt;"",J$59,IF(IFERROR(INDEX(醫師週班表!$C$5:$T$44,$CU25,J$57),"")=0,"",IF(MID(IFERROR(INDEX(醫師週班表!$C$5:$T$44,$CU25,J$57),""),2,1)="/",MID(IFERROR(INDEX(醫師週班表!$C$5:$T$44,$CU25,J$57),""),1+J$58*2,1),IF(MID(IFERROR(INDEX(醫師週班表!$C$5:$T$44,$CU25,J$57),""),3,1)="隔",IF(J$58=0,LEFT(IFERROR(INDEX(醫師週班表!$C$5:$T$44,$CU25,J$57),""),1),""),IF(MID(IFERROR(INDEX(醫師週班表!$C$5:$T$44,$CU25,J$57),""),2,1)="(",LEFT(IFERROR(INDEX(醫師週班表!$C$5:$T$44,$CU25,J$57),""),1),IFERROR(INDEX(醫師週班表!$C$5:$T$44,$CU25,J$57),"")))))))</f>
        <v/>
      </c>
      <c r="K25" s="71">
        <f>IF(K$59="X","",IF(K$59&lt;&gt;"",K$59,IF(IFERROR(INDEX(醫師週班表!$C$5:$T$44,$CU25,K$57),"")=0,"",IF(MID(IFERROR(INDEX(醫師週班表!$C$5:$T$44,$CU25,K$57),""),2,1)="/",MID(IFERROR(INDEX(醫師週班表!$C$5:$T$44,$CU25,K$57),""),1+K$58*2,1),IF(MID(IFERROR(INDEX(醫師週班表!$C$5:$T$44,$CU25,K$57),""),3,1)="隔",IF(K$58=0,LEFT(IFERROR(INDEX(醫師週班表!$C$5:$T$44,$CU25,K$57),""),1),""),IF(MID(IFERROR(INDEX(醫師週班表!$C$5:$T$44,$CU25,K$57),""),2,1)="(",LEFT(IFERROR(INDEX(醫師週班表!$C$5:$T$44,$CU25,K$57),""),1),IFERROR(INDEX(醫師週班表!$C$5:$T$44,$CU25,K$57),"")))))))</f>
        <v/>
      </c>
      <c r="L25" s="72">
        <f>IF(L$59="X","",IF(L$59&lt;&gt;"",L$59,IF(IFERROR(INDEX(醫師週班表!$C$5:$T$44,$CU25,L$57),"")=0,"",IF(MID(IFERROR(INDEX(醫師週班表!$C$5:$T$44,$CU25,L$57),""),2,1)="/",MID(IFERROR(INDEX(醫師週班表!$C$5:$T$44,$CU25,L$57),""),1+L$58*2,1),IF(MID(IFERROR(INDEX(醫師週班表!$C$5:$T$44,$CU25,L$57),""),3,1)="隔",IF(L$58=0,LEFT(IFERROR(INDEX(醫師週班表!$C$5:$T$44,$CU25,L$57),""),1),""),IF(MID(IFERROR(INDEX(醫師週班表!$C$5:$T$44,$CU25,L$57),""),2,1)="(",LEFT(IFERROR(INDEX(醫師週班表!$C$5:$T$44,$CU25,L$57),""),1),IFERROR(INDEX(醫師週班表!$C$5:$T$44,$CU25,L$57),"")))))))</f>
        <v/>
      </c>
      <c r="M25" s="72">
        <f>IF(M$59="X","",IF(M$59&lt;&gt;"",M$59,IF(IFERROR(INDEX(醫師週班表!$C$5:$T$44,$CU25,M$57),"")=0,"",IF(MID(IFERROR(INDEX(醫師週班表!$C$5:$T$44,$CU25,M$57),""),2,1)="/",MID(IFERROR(INDEX(醫師週班表!$C$5:$T$44,$CU25,M$57),""),1+M$58*2,1),IF(MID(IFERROR(INDEX(醫師週班表!$C$5:$T$44,$CU25,M$57),""),3,1)="隔",IF(M$58=0,LEFT(IFERROR(INDEX(醫師週班表!$C$5:$T$44,$CU25,M$57),""),1),""),IF(MID(IFERROR(INDEX(醫師週班表!$C$5:$T$44,$CU25,M$57),""),2,1)="(",LEFT(IFERROR(INDEX(醫師週班表!$C$5:$T$44,$CU25,M$57),""),1),IFERROR(INDEX(醫師週班表!$C$5:$T$44,$CU25,M$57),"")))))))</f>
        <v/>
      </c>
      <c r="N25" s="71">
        <f>IF(N$59="X","",IF(N$59&lt;&gt;"",N$59,IF(IFERROR(INDEX(醫師週班表!$C$5:$T$44,$CU25,N$57),"")=0,"",IF(MID(IFERROR(INDEX(醫師週班表!$C$5:$T$44,$CU25,N$57),""),2,1)="/",MID(IFERROR(INDEX(醫師週班表!$C$5:$T$44,$CU25,N$57),""),1+N$58*2,1),IF(MID(IFERROR(INDEX(醫師週班表!$C$5:$T$44,$CU25,N$57),""),3,1)="隔",IF(N$58=0,LEFT(IFERROR(INDEX(醫師週班表!$C$5:$T$44,$CU25,N$57),""),1),""),IF(MID(IFERROR(INDEX(醫師週班表!$C$5:$T$44,$CU25,N$57),""),2,1)="(",LEFT(IFERROR(INDEX(醫師週班表!$C$5:$T$44,$CU25,N$57),""),1),IFERROR(INDEX(醫師週班表!$C$5:$T$44,$CU25,N$57),"")))))))</f>
        <v/>
      </c>
      <c r="O25" s="72">
        <f>IF(O$59="X","",IF(O$59&lt;&gt;"",O$59,IF(IFERROR(INDEX(醫師週班表!$C$5:$T$44,$CU25,O$57),"")=0,"",IF(MID(IFERROR(INDEX(醫師週班表!$C$5:$T$44,$CU25,O$57),""),2,1)="/",MID(IFERROR(INDEX(醫師週班表!$C$5:$T$44,$CU25,O$57),""),1+O$58*2,1),IF(MID(IFERROR(INDEX(醫師週班表!$C$5:$T$44,$CU25,O$57),""),3,1)="隔",IF(O$58=0,LEFT(IFERROR(INDEX(醫師週班表!$C$5:$T$44,$CU25,O$57),""),1),""),IF(MID(IFERROR(INDEX(醫師週班表!$C$5:$T$44,$CU25,O$57),""),2,1)="(",LEFT(IFERROR(INDEX(醫師週班表!$C$5:$T$44,$CU25,O$57),""),1),IFERROR(INDEX(醫師週班表!$C$5:$T$44,$CU25,O$57),"")))))))</f>
        <v/>
      </c>
      <c r="P25" s="72">
        <f>IF(P$59="X","",IF(P$59&lt;&gt;"",P$59,IF(IFERROR(INDEX(醫師週班表!$C$5:$T$44,$CU25,P$57),"")=0,"",IF(MID(IFERROR(INDEX(醫師週班表!$C$5:$T$44,$CU25,P$57),""),2,1)="/",MID(IFERROR(INDEX(醫師週班表!$C$5:$T$44,$CU25,P$57),""),1+P$58*2,1),IF(MID(IFERROR(INDEX(醫師週班表!$C$5:$T$44,$CU25,P$57),""),3,1)="隔",IF(P$58=0,LEFT(IFERROR(INDEX(醫師週班表!$C$5:$T$44,$CU25,P$57),""),1),""),IF(MID(IFERROR(INDEX(醫師週班表!$C$5:$T$44,$CU25,P$57),""),2,1)="(",LEFT(IFERROR(INDEX(醫師週班表!$C$5:$T$44,$CU25,P$57),""),1),IFERROR(INDEX(醫師週班表!$C$5:$T$44,$CU25,P$57),"")))))))</f>
        <v/>
      </c>
      <c r="Q25" s="71">
        <f>IF(Q$59="X","",IF(Q$59&lt;&gt;"",Q$59,IF(IFERROR(INDEX(醫師週班表!$C$5:$T$44,$CU25,Q$57),"")=0,"",IF(MID(IFERROR(INDEX(醫師週班表!$C$5:$T$44,$CU25,Q$57),""),2,1)="/",MID(IFERROR(INDEX(醫師週班表!$C$5:$T$44,$CU25,Q$57),""),1+Q$58*2,1),IF(MID(IFERROR(INDEX(醫師週班表!$C$5:$T$44,$CU25,Q$57),""),3,1)="隔",IF(Q$58=0,LEFT(IFERROR(INDEX(醫師週班表!$C$5:$T$44,$CU25,Q$57),""),1),""),IF(MID(IFERROR(INDEX(醫師週班表!$C$5:$T$44,$CU25,Q$57),""),2,1)="(",LEFT(IFERROR(INDEX(醫師週班表!$C$5:$T$44,$CU25,Q$57),""),1),IFERROR(INDEX(醫師週班表!$C$5:$T$44,$CU25,Q$57),"")))))))</f>
        <v/>
      </c>
      <c r="R25" s="72">
        <f>IF(R$59="X","",IF(R$59&lt;&gt;"",R$59,IF(IFERROR(INDEX(醫師週班表!$C$5:$T$44,$CU25,R$57),"")=0,"",IF(MID(IFERROR(INDEX(醫師週班表!$C$5:$T$44,$CU25,R$57),""),2,1)="/",MID(IFERROR(INDEX(醫師週班表!$C$5:$T$44,$CU25,R$57),""),1+R$58*2,1),IF(MID(IFERROR(INDEX(醫師週班表!$C$5:$T$44,$CU25,R$57),""),3,1)="隔",IF(R$58=0,LEFT(IFERROR(INDEX(醫師週班表!$C$5:$T$44,$CU25,R$57),""),1),""),IF(MID(IFERROR(INDEX(醫師週班表!$C$5:$T$44,$CU25,R$57),""),2,1)="(",LEFT(IFERROR(INDEX(醫師週班表!$C$5:$T$44,$CU25,R$57),""),1),IFERROR(INDEX(醫師週班表!$C$5:$T$44,$CU25,R$57),"")))))))</f>
        <v/>
      </c>
      <c r="S25" s="72">
        <f>IF(S$59="X","",IF(S$59&lt;&gt;"",S$59,IF(IFERROR(INDEX(醫師週班表!$C$5:$T$44,$CU25,S$57),"")=0,"",IF(MID(IFERROR(INDEX(醫師週班表!$C$5:$T$44,$CU25,S$57),""),2,1)="/",MID(IFERROR(INDEX(醫師週班表!$C$5:$T$44,$CU25,S$57),""),1+S$58*2,1),IF(MID(IFERROR(INDEX(醫師週班表!$C$5:$T$44,$CU25,S$57),""),3,1)="隔",IF(S$58=0,LEFT(IFERROR(INDEX(醫師週班表!$C$5:$T$44,$CU25,S$57),""),1),""),IF(MID(IFERROR(INDEX(醫師週班表!$C$5:$T$44,$CU25,S$57),""),2,1)="(",LEFT(IFERROR(INDEX(醫師週班表!$C$5:$T$44,$CU25,S$57),""),1),IFERROR(INDEX(醫師週班表!$C$5:$T$44,$CU25,S$57),"")))))))</f>
        <v/>
      </c>
      <c r="T25" s="71">
        <f>IF(T$59="X","",IF(T$59&lt;&gt;"",T$59,IF(IFERROR(INDEX(醫師週班表!$C$5:$T$44,$CU25,T$57),"")=0,"",IF(MID(IFERROR(INDEX(醫師週班表!$C$5:$T$44,$CU25,T$57),""),2,1)="/",MID(IFERROR(INDEX(醫師週班表!$C$5:$T$44,$CU25,T$57),""),1+T$58*2,1),IF(MID(IFERROR(INDEX(醫師週班表!$C$5:$T$44,$CU25,T$57),""),3,1)="隔",IF(T$58=0,LEFT(IFERROR(INDEX(醫師週班表!$C$5:$T$44,$CU25,T$57),""),1),""),IF(MID(IFERROR(INDEX(醫師週班表!$C$5:$T$44,$CU25,T$57),""),2,1)="(",LEFT(IFERROR(INDEX(醫師週班表!$C$5:$T$44,$CU25,T$57),""),1),IFERROR(INDEX(醫師週班表!$C$5:$T$44,$CU25,T$57),"")))))))</f>
        <v/>
      </c>
      <c r="U25" s="72">
        <f>IF(U$59="X","",IF(U$59&lt;&gt;"",U$59,IF(IFERROR(INDEX(醫師週班表!$C$5:$T$44,$CU25,U$57),"")=0,"",IF(MID(IFERROR(INDEX(醫師週班表!$C$5:$T$44,$CU25,U$57),""),2,1)="/",MID(IFERROR(INDEX(醫師週班表!$C$5:$T$44,$CU25,U$57),""),1+U$58*2,1),IF(MID(IFERROR(INDEX(醫師週班表!$C$5:$T$44,$CU25,U$57),""),3,1)="隔",IF(U$58=0,LEFT(IFERROR(INDEX(醫師週班表!$C$5:$T$44,$CU25,U$57),""),1),""),IF(MID(IFERROR(INDEX(醫師週班表!$C$5:$T$44,$CU25,U$57),""),2,1)="(",LEFT(IFERROR(INDEX(醫師週班表!$C$5:$T$44,$CU25,U$57),""),1),IFERROR(INDEX(醫師週班表!$C$5:$T$44,$CU25,U$57),"")))))))</f>
        <v/>
      </c>
      <c r="V25" s="72">
        <f>IF(V$59="X","",IF(V$59&lt;&gt;"",V$59,IF(IFERROR(INDEX(醫師週班表!$C$5:$T$44,$CU25,V$57),"")=0,"",IF(MID(IFERROR(INDEX(醫師週班表!$C$5:$T$44,$CU25,V$57),""),2,1)="/",MID(IFERROR(INDEX(醫師週班表!$C$5:$T$44,$CU25,V$57),""),1+V$58*2,1),IF(MID(IFERROR(INDEX(醫師週班表!$C$5:$T$44,$CU25,V$57),""),3,1)="隔",IF(V$58=0,LEFT(IFERROR(INDEX(醫師週班表!$C$5:$T$44,$CU25,V$57),""),1),""),IF(MID(IFERROR(INDEX(醫師週班表!$C$5:$T$44,$CU25,V$57),""),2,1)="(",LEFT(IFERROR(INDEX(醫師週班表!$C$5:$T$44,$CU25,V$57),""),1),IFERROR(INDEX(醫師週班表!$C$5:$T$44,$CU25,V$57),"")))))))</f>
        <v/>
      </c>
      <c r="W25" s="71">
        <f>IF(W$59="X","",IF(W$59&lt;&gt;"",W$59,IF(IFERROR(INDEX(醫師週班表!$C$5:$T$44,$CU25,W$57),"")=0,"",IF(MID(IFERROR(INDEX(醫師週班表!$C$5:$T$44,$CU25,W$57),""),2,1)="/",MID(IFERROR(INDEX(醫師週班表!$C$5:$T$44,$CU25,W$57),""),1+W$58*2,1),IF(MID(IFERROR(INDEX(醫師週班表!$C$5:$T$44,$CU25,W$57),""),3,1)="隔",IF(W$58=0,LEFT(IFERROR(INDEX(醫師週班表!$C$5:$T$44,$CU25,W$57),""),1),""),IF(MID(IFERROR(INDEX(醫師週班表!$C$5:$T$44,$CU25,W$57),""),2,1)="(",LEFT(IFERROR(INDEX(醫師週班表!$C$5:$T$44,$CU25,W$57),""),1),IFERROR(INDEX(醫師週班表!$C$5:$T$44,$CU25,W$57),"")))))))</f>
        <v/>
      </c>
      <c r="X25" s="72">
        <f>IF(X$59="X","",IF(X$59&lt;&gt;"",X$59,IF(IFERROR(INDEX(醫師週班表!$C$5:$T$44,$CU25,X$57),"")=0,"",IF(MID(IFERROR(INDEX(醫師週班表!$C$5:$T$44,$CU25,X$57),""),2,1)="/",MID(IFERROR(INDEX(醫師週班表!$C$5:$T$44,$CU25,X$57),""),1+X$58*2,1),IF(MID(IFERROR(INDEX(醫師週班表!$C$5:$T$44,$CU25,X$57),""),3,1)="隔",IF(X$58=0,LEFT(IFERROR(INDEX(醫師週班表!$C$5:$T$44,$CU25,X$57),""),1),""),IF(MID(IFERROR(INDEX(醫師週班表!$C$5:$T$44,$CU25,X$57),""),2,1)="(",LEFT(IFERROR(INDEX(醫師週班表!$C$5:$T$44,$CU25,X$57),""),1),IFERROR(INDEX(醫師週班表!$C$5:$T$44,$CU25,X$57),"")))))))</f>
        <v/>
      </c>
      <c r="Y25" s="72">
        <f>IF(Y$59="X","",IF(Y$59&lt;&gt;"",Y$59,IF(IFERROR(INDEX(醫師週班表!$C$5:$T$44,$CU25,Y$57),"")=0,"",IF(MID(IFERROR(INDEX(醫師週班表!$C$5:$T$44,$CU25,Y$57),""),2,1)="/",MID(IFERROR(INDEX(醫師週班表!$C$5:$T$44,$CU25,Y$57),""),1+Y$58*2,1),IF(MID(IFERROR(INDEX(醫師週班表!$C$5:$T$44,$CU25,Y$57),""),3,1)="隔",IF(Y$58=0,LEFT(IFERROR(INDEX(醫師週班表!$C$5:$T$44,$CU25,Y$57),""),1),""),IF(MID(IFERROR(INDEX(醫師週班表!$C$5:$T$44,$CU25,Y$57),""),2,1)="(",LEFT(IFERROR(INDEX(醫師週班表!$C$5:$T$44,$CU25,Y$57),""),1),IFERROR(INDEX(醫師週班表!$C$5:$T$44,$CU25,Y$57),"")))))))</f>
        <v/>
      </c>
      <c r="Z25" s="71">
        <f>IF(Z$59="X","",IF(Z$59&lt;&gt;"",Z$59,IF(IFERROR(INDEX(醫師週班表!$C$5:$T$44,$CU25,Z$57),"")=0,"",IF(MID(IFERROR(INDEX(醫師週班表!$C$5:$T$44,$CU25,Z$57),""),2,1)="/",MID(IFERROR(INDEX(醫師週班表!$C$5:$T$44,$CU25,Z$57),""),1+Z$58*2,1),IF(MID(IFERROR(INDEX(醫師週班表!$C$5:$T$44,$CU25,Z$57),""),3,1)="隔",IF(Z$58=0,LEFT(IFERROR(INDEX(醫師週班表!$C$5:$T$44,$CU25,Z$57),""),1),""),IF(MID(IFERROR(INDEX(醫師週班表!$C$5:$T$44,$CU25,Z$57),""),2,1)="(",LEFT(IFERROR(INDEX(醫師週班表!$C$5:$T$44,$CU25,Z$57),""),1),IFERROR(INDEX(醫師週班表!$C$5:$T$44,$CU25,Z$57),"")))))))</f>
        <v/>
      </c>
      <c r="AA25" s="72">
        <f>IF(AA$59="X","",IF(AA$59&lt;&gt;"",AA$59,IF(IFERROR(INDEX(醫師週班表!$C$5:$T$44,$CU25,AA$57),"")=0,"",IF(MID(IFERROR(INDEX(醫師週班表!$C$5:$T$44,$CU25,AA$57),""),2,1)="/",MID(IFERROR(INDEX(醫師週班表!$C$5:$T$44,$CU25,AA$57),""),1+AA$58*2,1),IF(MID(IFERROR(INDEX(醫師週班表!$C$5:$T$44,$CU25,AA$57),""),3,1)="隔",IF(AA$58=0,LEFT(IFERROR(INDEX(醫師週班表!$C$5:$T$44,$CU25,AA$57),""),1),""),IF(MID(IFERROR(INDEX(醫師週班表!$C$5:$T$44,$CU25,AA$57),""),2,1)="(",LEFT(IFERROR(INDEX(醫師週班表!$C$5:$T$44,$CU25,AA$57),""),1),IFERROR(INDEX(醫師週班表!$C$5:$T$44,$CU25,AA$57),"")))))))</f>
        <v/>
      </c>
      <c r="AB25" s="72">
        <f>IF(AB$59="X","",IF(AB$59&lt;&gt;"",AB$59,IF(IFERROR(INDEX(醫師週班表!$C$5:$T$44,$CU25,AB$57),"")=0,"",IF(MID(IFERROR(INDEX(醫師週班表!$C$5:$T$44,$CU25,AB$57),""),2,1)="/",MID(IFERROR(INDEX(醫師週班表!$C$5:$T$44,$CU25,AB$57),""),1+AB$58*2,1),IF(MID(IFERROR(INDEX(醫師週班表!$C$5:$T$44,$CU25,AB$57),""),3,1)="隔",IF(AB$58=0,LEFT(IFERROR(INDEX(醫師週班表!$C$5:$T$44,$CU25,AB$57),""),1),""),IF(MID(IFERROR(INDEX(醫師週班表!$C$5:$T$44,$CU25,AB$57),""),2,1)="(",LEFT(IFERROR(INDEX(醫師週班表!$C$5:$T$44,$CU25,AB$57),""),1),IFERROR(INDEX(醫師週班表!$C$5:$T$44,$CU25,AB$57),"")))))))</f>
        <v/>
      </c>
      <c r="AC25" s="71">
        <f>IF(AC$59="X","",IF(AC$59&lt;&gt;"",AC$59,IF(IFERROR(INDEX(醫師週班表!$C$5:$T$44,$CU25,AC$57),"")=0,"",IF(MID(IFERROR(INDEX(醫師週班表!$C$5:$T$44,$CU25,AC$57),""),2,1)="/",MID(IFERROR(INDEX(醫師週班表!$C$5:$T$44,$CU25,AC$57),""),1+AC$58*2,1),IF(MID(IFERROR(INDEX(醫師週班表!$C$5:$T$44,$CU25,AC$57),""),3,1)="隔",IF(AC$58=0,LEFT(IFERROR(INDEX(醫師週班表!$C$5:$T$44,$CU25,AC$57),""),1),""),IF(MID(IFERROR(INDEX(醫師週班表!$C$5:$T$44,$CU25,AC$57),""),2,1)="(",LEFT(IFERROR(INDEX(醫師週班表!$C$5:$T$44,$CU25,AC$57),""),1),IFERROR(INDEX(醫師週班表!$C$5:$T$44,$CU25,AC$57),"")))))))</f>
        <v/>
      </c>
      <c r="AD25" s="72">
        <f>IF(AD$59="X","",IF(AD$59&lt;&gt;"",AD$59,IF(IFERROR(INDEX(醫師週班表!$C$5:$T$44,$CU25,AD$57),"")=0,"",IF(MID(IFERROR(INDEX(醫師週班表!$C$5:$T$44,$CU25,AD$57),""),2,1)="/",MID(IFERROR(INDEX(醫師週班表!$C$5:$T$44,$CU25,AD$57),""),1+AD$58*2,1),IF(MID(IFERROR(INDEX(醫師週班表!$C$5:$T$44,$CU25,AD$57),""),3,1)="隔",IF(AD$58=0,LEFT(IFERROR(INDEX(醫師週班表!$C$5:$T$44,$CU25,AD$57),""),1),""),IF(MID(IFERROR(INDEX(醫師週班表!$C$5:$T$44,$CU25,AD$57),""),2,1)="(",LEFT(IFERROR(INDEX(醫師週班表!$C$5:$T$44,$CU25,AD$57),""),1),IFERROR(INDEX(醫師週班表!$C$5:$T$44,$CU25,AD$57),"")))))))</f>
        <v/>
      </c>
      <c r="AE25" s="72">
        <f>IF(AE$59="X","",IF(AE$59&lt;&gt;"",AE$59,IF(IFERROR(INDEX(醫師週班表!$C$5:$T$44,$CU25,AE$57),"")=0,"",IF(MID(IFERROR(INDEX(醫師週班表!$C$5:$T$44,$CU25,AE$57),""),2,1)="/",MID(IFERROR(INDEX(醫師週班表!$C$5:$T$44,$CU25,AE$57),""),1+AE$58*2,1),IF(MID(IFERROR(INDEX(醫師週班表!$C$5:$T$44,$CU25,AE$57),""),3,1)="隔",IF(AE$58=0,LEFT(IFERROR(INDEX(醫師週班表!$C$5:$T$44,$CU25,AE$57),""),1),""),IF(MID(IFERROR(INDEX(醫師週班表!$C$5:$T$44,$CU25,AE$57),""),2,1)="(",LEFT(IFERROR(INDEX(醫師週班表!$C$5:$T$44,$CU25,AE$57),""),1),IFERROR(INDEX(醫師週班表!$C$5:$T$44,$CU25,AE$57),"")))))))</f>
        <v/>
      </c>
      <c r="AF25" s="71">
        <f>IF(AF$59="X","",IF(AF$59&lt;&gt;"",AF$59,IF(IFERROR(INDEX(醫師週班表!$C$5:$T$44,$CU25,AF$57),"")=0,"",IF(MID(IFERROR(INDEX(醫師週班表!$C$5:$T$44,$CU25,AF$57),""),2,1)="/",MID(IFERROR(INDEX(醫師週班表!$C$5:$T$44,$CU25,AF$57),""),1+AF$58*2,1),IF(MID(IFERROR(INDEX(醫師週班表!$C$5:$T$44,$CU25,AF$57),""),3,1)="隔",IF(AF$58=0,LEFT(IFERROR(INDEX(醫師週班表!$C$5:$T$44,$CU25,AF$57),""),1),""),IF(MID(IFERROR(INDEX(醫師週班表!$C$5:$T$44,$CU25,AF$57),""),2,1)="(",LEFT(IFERROR(INDEX(醫師週班表!$C$5:$T$44,$CU25,AF$57),""),1),IFERROR(INDEX(醫師週班表!$C$5:$T$44,$CU25,AF$57),"")))))))</f>
        <v/>
      </c>
      <c r="AG25" s="72">
        <f>IF(AG$59="X","",IF(AG$59&lt;&gt;"",AG$59,IF(IFERROR(INDEX(醫師週班表!$C$5:$T$44,$CU25,AG$57),"")=0,"",IF(MID(IFERROR(INDEX(醫師週班表!$C$5:$T$44,$CU25,AG$57),""),2,1)="/",MID(IFERROR(INDEX(醫師週班表!$C$5:$T$44,$CU25,AG$57),""),1+AG$58*2,1),IF(MID(IFERROR(INDEX(醫師週班表!$C$5:$T$44,$CU25,AG$57),""),3,1)="隔",IF(AG$58=0,LEFT(IFERROR(INDEX(醫師週班表!$C$5:$T$44,$CU25,AG$57),""),1),""),IF(MID(IFERROR(INDEX(醫師週班表!$C$5:$T$44,$CU25,AG$57),""),2,1)="(",LEFT(IFERROR(INDEX(醫師週班表!$C$5:$T$44,$CU25,AG$57),""),1),IFERROR(INDEX(醫師週班表!$C$5:$T$44,$CU25,AG$57),"")))))))</f>
        <v/>
      </c>
      <c r="AH25" s="72">
        <f>IF(AH$59="X","",IF(AH$59&lt;&gt;"",AH$59,IF(IFERROR(INDEX(醫師週班表!$C$5:$T$44,$CU25,AH$57),"")=0,"",IF(MID(IFERROR(INDEX(醫師週班表!$C$5:$T$44,$CU25,AH$57),""),2,1)="/",MID(IFERROR(INDEX(醫師週班表!$C$5:$T$44,$CU25,AH$57),""),1+AH$58*2,1),IF(MID(IFERROR(INDEX(醫師週班表!$C$5:$T$44,$CU25,AH$57),""),3,1)="隔",IF(AH$58=0,LEFT(IFERROR(INDEX(醫師週班表!$C$5:$T$44,$CU25,AH$57),""),1),""),IF(MID(IFERROR(INDEX(醫師週班表!$C$5:$T$44,$CU25,AH$57),""),2,1)="(",LEFT(IFERROR(INDEX(醫師週班表!$C$5:$T$44,$CU25,AH$57),""),1),IFERROR(INDEX(醫師週班表!$C$5:$T$44,$CU25,AH$57),"")))))))</f>
        <v/>
      </c>
      <c r="AI25" s="71">
        <f>IF(AI$59="X","",IF(AI$59&lt;&gt;"",AI$59,IF(IFERROR(INDEX(醫師週班表!$C$5:$T$44,$CU25,AI$57),"")=0,"",IF(MID(IFERROR(INDEX(醫師週班表!$C$5:$T$44,$CU25,AI$57),""),2,1)="/",MID(IFERROR(INDEX(醫師週班表!$C$5:$T$44,$CU25,AI$57),""),1+AI$58*2,1),IF(MID(IFERROR(INDEX(醫師週班表!$C$5:$T$44,$CU25,AI$57),""),3,1)="隔",IF(AI$58=0,LEFT(IFERROR(INDEX(醫師週班表!$C$5:$T$44,$CU25,AI$57),""),1),""),IF(MID(IFERROR(INDEX(醫師週班表!$C$5:$T$44,$CU25,AI$57),""),2,1)="(",LEFT(IFERROR(INDEX(醫師週班表!$C$5:$T$44,$CU25,AI$57),""),1),IFERROR(INDEX(醫師週班表!$C$5:$T$44,$CU25,AI$57),"")))))))</f>
        <v/>
      </c>
      <c r="AJ25" s="72">
        <f>IF(AJ$59="X","",IF(AJ$59&lt;&gt;"",AJ$59,IF(IFERROR(INDEX(醫師週班表!$C$5:$T$44,$CU25,AJ$57),"")=0,"",IF(MID(IFERROR(INDEX(醫師週班表!$C$5:$T$44,$CU25,AJ$57),""),2,1)="/",MID(IFERROR(INDEX(醫師週班表!$C$5:$T$44,$CU25,AJ$57),""),1+AJ$58*2,1),IF(MID(IFERROR(INDEX(醫師週班表!$C$5:$T$44,$CU25,AJ$57),""),3,1)="隔",IF(AJ$58=0,LEFT(IFERROR(INDEX(醫師週班表!$C$5:$T$44,$CU25,AJ$57),""),1),""),IF(MID(IFERROR(INDEX(醫師週班表!$C$5:$T$44,$CU25,AJ$57),""),2,1)="(",LEFT(IFERROR(INDEX(醫師週班表!$C$5:$T$44,$CU25,AJ$57),""),1),IFERROR(INDEX(醫師週班表!$C$5:$T$44,$CU25,AJ$57),"")))))))</f>
        <v/>
      </c>
      <c r="AK25" s="72">
        <f>IF(AK$59="X","",IF(AK$59&lt;&gt;"",AK$59,IF(IFERROR(INDEX(醫師週班表!$C$5:$T$44,$CU25,AK$57),"")=0,"",IF(MID(IFERROR(INDEX(醫師週班表!$C$5:$T$44,$CU25,AK$57),""),2,1)="/",MID(IFERROR(INDEX(醫師週班表!$C$5:$T$44,$CU25,AK$57),""),1+AK$58*2,1),IF(MID(IFERROR(INDEX(醫師週班表!$C$5:$T$44,$CU25,AK$57),""),3,1)="隔",IF(AK$58=0,LEFT(IFERROR(INDEX(醫師週班表!$C$5:$T$44,$CU25,AK$57),""),1),""),IF(MID(IFERROR(INDEX(醫師週班表!$C$5:$T$44,$CU25,AK$57),""),2,1)="(",LEFT(IFERROR(INDEX(醫師週班表!$C$5:$T$44,$CU25,AK$57),""),1),IFERROR(INDEX(醫師週班表!$C$5:$T$44,$CU25,AK$57),"")))))))</f>
        <v/>
      </c>
      <c r="AL25" s="71">
        <f>IF(AL$59="X","",IF(AL$59&lt;&gt;"",AL$59,IF(IFERROR(INDEX(醫師週班表!$C$5:$T$44,$CU25,AL$57),"")=0,"",IF(MID(IFERROR(INDEX(醫師週班表!$C$5:$T$44,$CU25,AL$57),""),2,1)="/",MID(IFERROR(INDEX(醫師週班表!$C$5:$T$44,$CU25,AL$57),""),1+AL$58*2,1),IF(MID(IFERROR(INDEX(醫師週班表!$C$5:$T$44,$CU25,AL$57),""),3,1)="隔",IF(AL$58=0,LEFT(IFERROR(INDEX(醫師週班表!$C$5:$T$44,$CU25,AL$57),""),1),""),IF(MID(IFERROR(INDEX(醫師週班表!$C$5:$T$44,$CU25,AL$57),""),2,1)="(",LEFT(IFERROR(INDEX(醫師週班表!$C$5:$T$44,$CU25,AL$57),""),1),IFERROR(INDEX(醫師週班表!$C$5:$T$44,$CU25,AL$57),"")))))))</f>
        <v/>
      </c>
      <c r="AM25" s="72">
        <f>IF(AM$59="X","",IF(AM$59&lt;&gt;"",AM$59,IF(IFERROR(INDEX(醫師週班表!$C$5:$T$44,$CU25,AM$57),"")=0,"",IF(MID(IFERROR(INDEX(醫師週班表!$C$5:$T$44,$CU25,AM$57),""),2,1)="/",MID(IFERROR(INDEX(醫師週班表!$C$5:$T$44,$CU25,AM$57),""),1+AM$58*2,1),IF(MID(IFERROR(INDEX(醫師週班表!$C$5:$T$44,$CU25,AM$57),""),3,1)="隔",IF(AM$58=0,LEFT(IFERROR(INDEX(醫師週班表!$C$5:$T$44,$CU25,AM$57),""),1),""),IF(MID(IFERROR(INDEX(醫師週班表!$C$5:$T$44,$CU25,AM$57),""),2,1)="(",LEFT(IFERROR(INDEX(醫師週班表!$C$5:$T$44,$CU25,AM$57),""),1),IFERROR(INDEX(醫師週班表!$C$5:$T$44,$CU25,AM$57),"")))))))</f>
        <v/>
      </c>
      <c r="AN25" s="72">
        <f>IF(AN$59="X","",IF(AN$59&lt;&gt;"",AN$59,IF(IFERROR(INDEX(醫師週班表!$C$5:$T$44,$CU25,AN$57),"")=0,"",IF(MID(IFERROR(INDEX(醫師週班表!$C$5:$T$44,$CU25,AN$57),""),2,1)="/",MID(IFERROR(INDEX(醫師週班表!$C$5:$T$44,$CU25,AN$57),""),1+AN$58*2,1),IF(MID(IFERROR(INDEX(醫師週班表!$C$5:$T$44,$CU25,AN$57),""),3,1)="隔",IF(AN$58=0,LEFT(IFERROR(INDEX(醫師週班表!$C$5:$T$44,$CU25,AN$57),""),1),""),IF(MID(IFERROR(INDEX(醫師週班表!$C$5:$T$44,$CU25,AN$57),""),2,1)="(",LEFT(IFERROR(INDEX(醫師週班表!$C$5:$T$44,$CU25,AN$57),""),1),IFERROR(INDEX(醫師週班表!$C$5:$T$44,$CU25,AN$57),"")))))))</f>
        <v/>
      </c>
      <c r="AO25" s="71">
        <f>IF(AO$59="X","",IF(AO$59&lt;&gt;"",AO$59,IF(IFERROR(INDEX(醫師週班表!$C$5:$T$44,$CU25,AO$57),"")=0,"",IF(MID(IFERROR(INDEX(醫師週班表!$C$5:$T$44,$CU25,AO$57),""),2,1)="/",MID(IFERROR(INDEX(醫師週班表!$C$5:$T$44,$CU25,AO$57),""),1+AO$58*2,1),IF(MID(IFERROR(INDEX(醫師週班表!$C$5:$T$44,$CU25,AO$57),""),3,1)="隔",IF(AO$58=0,LEFT(IFERROR(INDEX(醫師週班表!$C$5:$T$44,$CU25,AO$57),""),1),""),IF(MID(IFERROR(INDEX(醫師週班表!$C$5:$T$44,$CU25,AO$57),""),2,1)="(",LEFT(IFERROR(INDEX(醫師週班表!$C$5:$T$44,$CU25,AO$57),""),1),IFERROR(INDEX(醫師週班表!$C$5:$T$44,$CU25,AO$57),"")))))))</f>
        <v/>
      </c>
      <c r="AP25" s="72">
        <f>IF(AP$59="X","",IF(AP$59&lt;&gt;"",AP$59,IF(IFERROR(INDEX(醫師週班表!$C$5:$T$44,$CU25,AP$57),"")=0,"",IF(MID(IFERROR(INDEX(醫師週班表!$C$5:$T$44,$CU25,AP$57),""),2,1)="/",MID(IFERROR(INDEX(醫師週班表!$C$5:$T$44,$CU25,AP$57),""),1+AP$58*2,1),IF(MID(IFERROR(INDEX(醫師週班表!$C$5:$T$44,$CU25,AP$57),""),3,1)="隔",IF(AP$58=0,LEFT(IFERROR(INDEX(醫師週班表!$C$5:$T$44,$CU25,AP$57),""),1),""),IF(MID(IFERROR(INDEX(醫師週班表!$C$5:$T$44,$CU25,AP$57),""),2,1)="(",LEFT(IFERROR(INDEX(醫師週班表!$C$5:$T$44,$CU25,AP$57),""),1),IFERROR(INDEX(醫師週班表!$C$5:$T$44,$CU25,AP$57),"")))))))</f>
        <v/>
      </c>
      <c r="AQ25" s="72">
        <f>IF(AQ$59="X","",IF(AQ$59&lt;&gt;"",AQ$59,IF(IFERROR(INDEX(醫師週班表!$C$5:$T$44,$CU25,AQ$57),"")=0,"",IF(MID(IFERROR(INDEX(醫師週班表!$C$5:$T$44,$CU25,AQ$57),""),2,1)="/",MID(IFERROR(INDEX(醫師週班表!$C$5:$T$44,$CU25,AQ$57),""),1+AQ$58*2,1),IF(MID(IFERROR(INDEX(醫師週班表!$C$5:$T$44,$CU25,AQ$57),""),3,1)="隔",IF(AQ$58=0,LEFT(IFERROR(INDEX(醫師週班表!$C$5:$T$44,$CU25,AQ$57),""),1),""),IF(MID(IFERROR(INDEX(醫師週班表!$C$5:$T$44,$CU25,AQ$57),""),2,1)="(",LEFT(IFERROR(INDEX(醫師週班表!$C$5:$T$44,$CU25,AQ$57),""),1),IFERROR(INDEX(醫師週班表!$C$5:$T$44,$CU25,AQ$57),"")))))))</f>
        <v/>
      </c>
      <c r="AR25" s="71">
        <f>IF(AR$59="X","",IF(AR$59&lt;&gt;"",AR$59,IF(IFERROR(INDEX(醫師週班表!$C$5:$T$44,$CU25,AR$57),"")=0,"",IF(MID(IFERROR(INDEX(醫師週班表!$C$5:$T$44,$CU25,AR$57),""),2,1)="/",MID(IFERROR(INDEX(醫師週班表!$C$5:$T$44,$CU25,AR$57),""),1+AR$58*2,1),IF(MID(IFERROR(INDEX(醫師週班表!$C$5:$T$44,$CU25,AR$57),""),3,1)="隔",IF(AR$58=0,LEFT(IFERROR(INDEX(醫師週班表!$C$5:$T$44,$CU25,AR$57),""),1),""),IF(MID(IFERROR(INDEX(醫師週班表!$C$5:$T$44,$CU25,AR$57),""),2,1)="(",LEFT(IFERROR(INDEX(醫師週班表!$C$5:$T$44,$CU25,AR$57),""),1),IFERROR(INDEX(醫師週班表!$C$5:$T$44,$CU25,AR$57),"")))))))</f>
        <v/>
      </c>
      <c r="AS25" s="72">
        <f>IF(AS$59="X","",IF(AS$59&lt;&gt;"",AS$59,IF(IFERROR(INDEX(醫師週班表!$C$5:$T$44,$CU25,AS$57),"")=0,"",IF(MID(IFERROR(INDEX(醫師週班表!$C$5:$T$44,$CU25,AS$57),""),2,1)="/",MID(IFERROR(INDEX(醫師週班表!$C$5:$T$44,$CU25,AS$57),""),1+AS$58*2,1),IF(MID(IFERROR(INDEX(醫師週班表!$C$5:$T$44,$CU25,AS$57),""),3,1)="隔",IF(AS$58=0,LEFT(IFERROR(INDEX(醫師週班表!$C$5:$T$44,$CU25,AS$57),""),1),""),IF(MID(IFERROR(INDEX(醫師週班表!$C$5:$T$44,$CU25,AS$57),""),2,1)="(",LEFT(IFERROR(INDEX(醫師週班表!$C$5:$T$44,$CU25,AS$57),""),1),IFERROR(INDEX(醫師週班表!$C$5:$T$44,$CU25,AS$57),"")))))))</f>
        <v/>
      </c>
      <c r="AT25" s="72">
        <f>IF(AT$59="X","",IF(AT$59&lt;&gt;"",AT$59,IF(IFERROR(INDEX(醫師週班表!$C$5:$T$44,$CU25,AT$57),"")=0,"",IF(MID(IFERROR(INDEX(醫師週班表!$C$5:$T$44,$CU25,AT$57),""),2,1)="/",MID(IFERROR(INDEX(醫師週班表!$C$5:$T$44,$CU25,AT$57),""),1+AT$58*2,1),IF(MID(IFERROR(INDEX(醫師週班表!$C$5:$T$44,$CU25,AT$57),""),3,1)="隔",IF(AT$58=0,LEFT(IFERROR(INDEX(醫師週班表!$C$5:$T$44,$CU25,AT$57),""),1),""),IF(MID(IFERROR(INDEX(醫師週班表!$C$5:$T$44,$CU25,AT$57),""),2,1)="(",LEFT(IFERROR(INDEX(醫師週班表!$C$5:$T$44,$CU25,AT$57),""),1),IFERROR(INDEX(醫師週班表!$C$5:$T$44,$CU25,AT$57),"")))))))</f>
        <v/>
      </c>
      <c r="AU25" s="71">
        <f>IF(AU$59="X","",IF(AU$59&lt;&gt;"",AU$59,IF(IFERROR(INDEX(醫師週班表!$C$5:$T$44,$CU25,AU$57),"")=0,"",IF(MID(IFERROR(INDEX(醫師週班表!$C$5:$T$44,$CU25,AU$57),""),2,1)="/",MID(IFERROR(INDEX(醫師週班表!$C$5:$T$44,$CU25,AU$57),""),1+AU$58*2,1),IF(MID(IFERROR(INDEX(醫師週班表!$C$5:$T$44,$CU25,AU$57),""),3,1)="隔",IF(AU$58=0,LEFT(IFERROR(INDEX(醫師週班表!$C$5:$T$44,$CU25,AU$57),""),1),""),IF(MID(IFERROR(INDEX(醫師週班表!$C$5:$T$44,$CU25,AU$57),""),2,1)="(",LEFT(IFERROR(INDEX(醫師週班表!$C$5:$T$44,$CU25,AU$57),""),1),IFERROR(INDEX(醫師週班表!$C$5:$T$44,$CU25,AU$57),"")))))))</f>
        <v/>
      </c>
      <c r="AV25" s="72">
        <f>IF(AV$59="X","",IF(AV$59&lt;&gt;"",AV$59,IF(IFERROR(INDEX(醫師週班表!$C$5:$T$44,$CU25,AV$57),"")=0,"",IF(MID(IFERROR(INDEX(醫師週班表!$C$5:$T$44,$CU25,AV$57),""),2,1)="/",MID(IFERROR(INDEX(醫師週班表!$C$5:$T$44,$CU25,AV$57),""),1+AV$58*2,1),IF(MID(IFERROR(INDEX(醫師週班表!$C$5:$T$44,$CU25,AV$57),""),3,1)="隔",IF(AV$58=0,LEFT(IFERROR(INDEX(醫師週班表!$C$5:$T$44,$CU25,AV$57),""),1),""),IF(MID(IFERROR(INDEX(醫師週班表!$C$5:$T$44,$CU25,AV$57),""),2,1)="(",LEFT(IFERROR(INDEX(醫師週班表!$C$5:$T$44,$CU25,AV$57),""),1),IFERROR(INDEX(醫師週班表!$C$5:$T$44,$CU25,AV$57),"")))))))</f>
        <v/>
      </c>
      <c r="AW25" s="72">
        <f>IF(AW$59="X","",IF(AW$59&lt;&gt;"",AW$59,IF(IFERROR(INDEX(醫師週班表!$C$5:$T$44,$CU25,AW$57),"")=0,"",IF(MID(IFERROR(INDEX(醫師週班表!$C$5:$T$44,$CU25,AW$57),""),2,1)="/",MID(IFERROR(INDEX(醫師週班表!$C$5:$T$44,$CU25,AW$57),""),1+AW$58*2,1),IF(MID(IFERROR(INDEX(醫師週班表!$C$5:$T$44,$CU25,AW$57),""),3,1)="隔",IF(AW$58=0,LEFT(IFERROR(INDEX(醫師週班表!$C$5:$T$44,$CU25,AW$57),""),1),""),IF(MID(IFERROR(INDEX(醫師週班表!$C$5:$T$44,$CU25,AW$57),""),2,1)="(",LEFT(IFERROR(INDEX(醫師週班表!$C$5:$T$44,$CU25,AW$57),""),1),IFERROR(INDEX(醫師週班表!$C$5:$T$44,$CU25,AW$57),"")))))))</f>
        <v/>
      </c>
      <c r="AX25" s="71">
        <f>IF(AX$59="X","",IF(AX$59&lt;&gt;"",AX$59,IF(IFERROR(INDEX(醫師週班表!$C$5:$T$44,$CU25,AX$57),"")=0,"",IF(MID(IFERROR(INDEX(醫師週班表!$C$5:$T$44,$CU25,AX$57),""),2,1)="/",MID(IFERROR(INDEX(醫師週班表!$C$5:$T$44,$CU25,AX$57),""),1+AX$58*2,1),IF(MID(IFERROR(INDEX(醫師週班表!$C$5:$T$44,$CU25,AX$57),""),3,1)="隔",IF(AX$58=0,LEFT(IFERROR(INDEX(醫師週班表!$C$5:$T$44,$CU25,AX$57),""),1),""),IF(MID(IFERROR(INDEX(醫師週班表!$C$5:$T$44,$CU25,AX$57),""),2,1)="(",LEFT(IFERROR(INDEX(醫師週班表!$C$5:$T$44,$CU25,AX$57),""),1),IFERROR(INDEX(醫師週班表!$C$5:$T$44,$CU25,AX$57),"")))))))</f>
        <v/>
      </c>
      <c r="AY25" s="72">
        <f>IF(AY$59="X","",IF(AY$59&lt;&gt;"",AY$59,IF(IFERROR(INDEX(醫師週班表!$C$5:$T$44,$CU25,AY$57),"")=0,"",IF(MID(IFERROR(INDEX(醫師週班表!$C$5:$T$44,$CU25,AY$57),""),2,1)="/",MID(IFERROR(INDEX(醫師週班表!$C$5:$T$44,$CU25,AY$57),""),1+AY$58*2,1),IF(MID(IFERROR(INDEX(醫師週班表!$C$5:$T$44,$CU25,AY$57),""),3,1)="隔",IF(AY$58=0,LEFT(IFERROR(INDEX(醫師週班表!$C$5:$T$44,$CU25,AY$57),""),1),""),IF(MID(IFERROR(INDEX(醫師週班表!$C$5:$T$44,$CU25,AY$57),""),2,1)="(",LEFT(IFERROR(INDEX(醫師週班表!$C$5:$T$44,$CU25,AY$57),""),1),IFERROR(INDEX(醫師週班表!$C$5:$T$44,$CU25,AY$57),"")))))))</f>
        <v/>
      </c>
      <c r="AZ25" s="72">
        <f>IF(AZ$59="X","",IF(AZ$59&lt;&gt;"",AZ$59,IF(IFERROR(INDEX(醫師週班表!$C$5:$T$44,$CU25,AZ$57),"")=0,"",IF(MID(IFERROR(INDEX(醫師週班表!$C$5:$T$44,$CU25,AZ$57),""),2,1)="/",MID(IFERROR(INDEX(醫師週班表!$C$5:$T$44,$CU25,AZ$57),""),1+AZ$58*2,1),IF(MID(IFERROR(INDEX(醫師週班表!$C$5:$T$44,$CU25,AZ$57),""),3,1)="隔",IF(AZ$58=0,LEFT(IFERROR(INDEX(醫師週班表!$C$5:$T$44,$CU25,AZ$57),""),1),""),IF(MID(IFERROR(INDEX(醫師週班表!$C$5:$T$44,$CU25,AZ$57),""),2,1)="(",LEFT(IFERROR(INDEX(醫師週班表!$C$5:$T$44,$CU25,AZ$57),""),1),IFERROR(INDEX(醫師週班表!$C$5:$T$44,$CU25,AZ$57),"")))))))</f>
        <v/>
      </c>
      <c r="BA25" s="71">
        <f>IF(BA$59="X","",IF(BA$59&lt;&gt;"",BA$59,IF(IFERROR(INDEX(醫師週班表!$C$5:$T$44,$CU25,BA$57),"")=0,"",IF(MID(IFERROR(INDEX(醫師週班表!$C$5:$T$44,$CU25,BA$57),""),2,1)="/",MID(IFERROR(INDEX(醫師週班表!$C$5:$T$44,$CU25,BA$57),""),1+BA$58*2,1),IF(MID(IFERROR(INDEX(醫師週班表!$C$5:$T$44,$CU25,BA$57),""),3,1)="隔",IF(BA$58=0,LEFT(IFERROR(INDEX(醫師週班表!$C$5:$T$44,$CU25,BA$57),""),1),""),IF(MID(IFERROR(INDEX(醫師週班表!$C$5:$T$44,$CU25,BA$57),""),2,1)="(",LEFT(IFERROR(INDEX(醫師週班表!$C$5:$T$44,$CU25,BA$57),""),1),IFERROR(INDEX(醫師週班表!$C$5:$T$44,$CU25,BA$57),"")))))))</f>
        <v/>
      </c>
      <c r="BB25" s="72">
        <f>IF(BB$59="X","",IF(BB$59&lt;&gt;"",BB$59,IF(IFERROR(INDEX(醫師週班表!$C$5:$T$44,$CU25,BB$57),"")=0,"",IF(MID(IFERROR(INDEX(醫師週班表!$C$5:$T$44,$CU25,BB$57),""),2,1)="/",MID(IFERROR(INDEX(醫師週班表!$C$5:$T$44,$CU25,BB$57),""),1+BB$58*2,1),IF(MID(IFERROR(INDEX(醫師週班表!$C$5:$T$44,$CU25,BB$57),""),3,1)="隔",IF(BB$58=0,LEFT(IFERROR(INDEX(醫師週班表!$C$5:$T$44,$CU25,BB$57),""),1),""),IF(MID(IFERROR(INDEX(醫師週班表!$C$5:$T$44,$CU25,BB$57),""),2,1)="(",LEFT(IFERROR(INDEX(醫師週班表!$C$5:$T$44,$CU25,BB$57),""),1),IFERROR(INDEX(醫師週班表!$C$5:$T$44,$CU25,BB$57),"")))))))</f>
        <v/>
      </c>
      <c r="BC25" s="72">
        <f>IF(BC$59="X","",IF(BC$59&lt;&gt;"",BC$59,IF(IFERROR(INDEX(醫師週班表!$C$5:$T$44,$CU25,BC$57),"")=0,"",IF(MID(IFERROR(INDEX(醫師週班表!$C$5:$T$44,$CU25,BC$57),""),2,1)="/",MID(IFERROR(INDEX(醫師週班表!$C$5:$T$44,$CU25,BC$57),""),1+BC$58*2,1),IF(MID(IFERROR(INDEX(醫師週班表!$C$5:$T$44,$CU25,BC$57),""),3,1)="隔",IF(BC$58=0,LEFT(IFERROR(INDEX(醫師週班表!$C$5:$T$44,$CU25,BC$57),""),1),""),IF(MID(IFERROR(INDEX(醫師週班表!$C$5:$T$44,$CU25,BC$57),""),2,1)="(",LEFT(IFERROR(INDEX(醫師週班表!$C$5:$T$44,$CU25,BC$57),""),1),IFERROR(INDEX(醫師週班表!$C$5:$T$44,$CU25,BC$57),"")))))))</f>
        <v/>
      </c>
      <c r="BD25" s="71">
        <f>IF(BD$59="X","",IF(BD$59&lt;&gt;"",BD$59,IF(IFERROR(INDEX(醫師週班表!$C$5:$T$44,$CU25,BD$57),"")=0,"",IF(MID(IFERROR(INDEX(醫師週班表!$C$5:$T$44,$CU25,BD$57),""),2,1)="/",MID(IFERROR(INDEX(醫師週班表!$C$5:$T$44,$CU25,BD$57),""),1+BD$58*2,1),IF(MID(IFERROR(INDEX(醫師週班表!$C$5:$T$44,$CU25,BD$57),""),3,1)="隔",IF(BD$58=0,LEFT(IFERROR(INDEX(醫師週班表!$C$5:$T$44,$CU25,BD$57),""),1),""),IF(MID(IFERROR(INDEX(醫師週班表!$C$5:$T$44,$CU25,BD$57),""),2,1)="(",LEFT(IFERROR(INDEX(醫師週班表!$C$5:$T$44,$CU25,BD$57),""),1),IFERROR(INDEX(醫師週班表!$C$5:$T$44,$CU25,BD$57),"")))))))</f>
        <v/>
      </c>
      <c r="BE25" s="72">
        <f>IF(BE$59="X","",IF(BE$59&lt;&gt;"",BE$59,IF(IFERROR(INDEX(醫師週班表!$C$5:$T$44,$CU25,BE$57),"")=0,"",IF(MID(IFERROR(INDEX(醫師週班表!$C$5:$T$44,$CU25,BE$57),""),2,1)="/",MID(IFERROR(INDEX(醫師週班表!$C$5:$T$44,$CU25,BE$57),""),1+BE$58*2,1),IF(MID(IFERROR(INDEX(醫師週班表!$C$5:$T$44,$CU25,BE$57),""),3,1)="隔",IF(BE$58=0,LEFT(IFERROR(INDEX(醫師週班表!$C$5:$T$44,$CU25,BE$57),""),1),""),IF(MID(IFERROR(INDEX(醫師週班表!$C$5:$T$44,$CU25,BE$57),""),2,1)="(",LEFT(IFERROR(INDEX(醫師週班表!$C$5:$T$44,$CU25,BE$57),""),1),IFERROR(INDEX(醫師週班表!$C$5:$T$44,$CU25,BE$57),"")))))))</f>
        <v/>
      </c>
      <c r="BF25" s="72">
        <f>IF(BF$59="X","",IF(BF$59&lt;&gt;"",BF$59,IF(IFERROR(INDEX(醫師週班表!$C$5:$T$44,$CU25,BF$57),"")=0,"",IF(MID(IFERROR(INDEX(醫師週班表!$C$5:$T$44,$CU25,BF$57),""),2,1)="/",MID(IFERROR(INDEX(醫師週班表!$C$5:$T$44,$CU25,BF$57),""),1+BF$58*2,1),IF(MID(IFERROR(INDEX(醫師週班表!$C$5:$T$44,$CU25,BF$57),""),3,1)="隔",IF(BF$58=0,LEFT(IFERROR(INDEX(醫師週班表!$C$5:$T$44,$CU25,BF$57),""),1),""),IF(MID(IFERROR(INDEX(醫師週班表!$C$5:$T$44,$CU25,BF$57),""),2,1)="(",LEFT(IFERROR(INDEX(醫師週班表!$C$5:$T$44,$CU25,BF$57),""),1),IFERROR(INDEX(醫師週班表!$C$5:$T$44,$CU25,BF$57),"")))))))</f>
        <v/>
      </c>
      <c r="BG25" s="71">
        <f>IF(BG$59="X","",IF(BG$59&lt;&gt;"",BG$59,IF(IFERROR(INDEX(醫師週班表!$C$5:$T$44,$CU25,BG$57),"")=0,"",IF(MID(IFERROR(INDEX(醫師週班表!$C$5:$T$44,$CU25,BG$57),""),2,1)="/",MID(IFERROR(INDEX(醫師週班表!$C$5:$T$44,$CU25,BG$57),""),1+BG$58*2,1),IF(MID(IFERROR(INDEX(醫師週班表!$C$5:$T$44,$CU25,BG$57),""),3,1)="隔",IF(BG$58=0,LEFT(IFERROR(INDEX(醫師週班表!$C$5:$T$44,$CU25,BG$57),""),1),""),IF(MID(IFERROR(INDEX(醫師週班表!$C$5:$T$44,$CU25,BG$57),""),2,1)="(",LEFT(IFERROR(INDEX(醫師週班表!$C$5:$T$44,$CU25,BG$57),""),1),IFERROR(INDEX(醫師週班表!$C$5:$T$44,$CU25,BG$57),"")))))))</f>
        <v/>
      </c>
      <c r="BH25" s="72">
        <f>IF(BH$59="X","",IF(BH$59&lt;&gt;"",BH$59,IF(IFERROR(INDEX(醫師週班表!$C$5:$T$44,$CU25,BH$57),"")=0,"",IF(MID(IFERROR(INDEX(醫師週班表!$C$5:$T$44,$CU25,BH$57),""),2,1)="/",MID(IFERROR(INDEX(醫師週班表!$C$5:$T$44,$CU25,BH$57),""),1+BH$58*2,1),IF(MID(IFERROR(INDEX(醫師週班表!$C$5:$T$44,$CU25,BH$57),""),3,1)="隔",IF(BH$58=0,LEFT(IFERROR(INDEX(醫師週班表!$C$5:$T$44,$CU25,BH$57),""),1),""),IF(MID(IFERROR(INDEX(醫師週班表!$C$5:$T$44,$CU25,BH$57),""),2,1)="(",LEFT(IFERROR(INDEX(醫師週班表!$C$5:$T$44,$CU25,BH$57),""),1),IFERROR(INDEX(醫師週班表!$C$5:$T$44,$CU25,BH$57),"")))))))</f>
        <v/>
      </c>
      <c r="BI25" s="72">
        <f>IF(BI$59="X","",IF(BI$59&lt;&gt;"",BI$59,IF(IFERROR(INDEX(醫師週班表!$C$5:$T$44,$CU25,BI$57),"")=0,"",IF(MID(IFERROR(INDEX(醫師週班表!$C$5:$T$44,$CU25,BI$57),""),2,1)="/",MID(IFERROR(INDEX(醫師週班表!$C$5:$T$44,$CU25,BI$57),""),1+BI$58*2,1),IF(MID(IFERROR(INDEX(醫師週班表!$C$5:$T$44,$CU25,BI$57),""),3,1)="隔",IF(BI$58=0,LEFT(IFERROR(INDEX(醫師週班表!$C$5:$T$44,$CU25,BI$57),""),1),""),IF(MID(IFERROR(INDEX(醫師週班表!$C$5:$T$44,$CU25,BI$57),""),2,1)="(",LEFT(IFERROR(INDEX(醫師週班表!$C$5:$T$44,$CU25,BI$57),""),1),IFERROR(INDEX(醫師週班表!$C$5:$T$44,$CU25,BI$57),"")))))))</f>
        <v/>
      </c>
      <c r="BJ25" s="71">
        <f>IF(BJ$59="X","",IF(BJ$59&lt;&gt;"",BJ$59,IF(IFERROR(INDEX(醫師週班表!$C$5:$T$44,$CU25,BJ$57),"")=0,"",IF(MID(IFERROR(INDEX(醫師週班表!$C$5:$T$44,$CU25,BJ$57),""),2,1)="/",MID(IFERROR(INDEX(醫師週班表!$C$5:$T$44,$CU25,BJ$57),""),1+BJ$58*2,1),IF(MID(IFERROR(INDEX(醫師週班表!$C$5:$T$44,$CU25,BJ$57),""),3,1)="隔",IF(BJ$58=0,LEFT(IFERROR(INDEX(醫師週班表!$C$5:$T$44,$CU25,BJ$57),""),1),""),IF(MID(IFERROR(INDEX(醫師週班表!$C$5:$T$44,$CU25,BJ$57),""),2,1)="(",LEFT(IFERROR(INDEX(醫師週班表!$C$5:$T$44,$CU25,BJ$57),""),1),IFERROR(INDEX(醫師週班表!$C$5:$T$44,$CU25,BJ$57),"")))))))</f>
        <v/>
      </c>
      <c r="BK25" s="72">
        <f>IF(BK$59="X","",IF(BK$59&lt;&gt;"",BK$59,IF(IFERROR(INDEX(醫師週班表!$C$5:$T$44,$CU25,BK$57),"")=0,"",IF(MID(IFERROR(INDEX(醫師週班表!$C$5:$T$44,$CU25,BK$57),""),2,1)="/",MID(IFERROR(INDEX(醫師週班表!$C$5:$T$44,$CU25,BK$57),""),1+BK$58*2,1),IF(MID(IFERROR(INDEX(醫師週班表!$C$5:$T$44,$CU25,BK$57),""),3,1)="隔",IF(BK$58=0,LEFT(IFERROR(INDEX(醫師週班表!$C$5:$T$44,$CU25,BK$57),""),1),""),IF(MID(IFERROR(INDEX(醫師週班表!$C$5:$T$44,$CU25,BK$57),""),2,1)="(",LEFT(IFERROR(INDEX(醫師週班表!$C$5:$T$44,$CU25,BK$57),""),1),IFERROR(INDEX(醫師週班表!$C$5:$T$44,$CU25,BK$57),"")))))))</f>
        <v/>
      </c>
      <c r="BL25" s="72">
        <f>IF(BL$59="X","",IF(BL$59&lt;&gt;"",BL$59,IF(IFERROR(INDEX(醫師週班表!$C$5:$T$44,$CU25,BL$57),"")=0,"",IF(MID(IFERROR(INDEX(醫師週班表!$C$5:$T$44,$CU25,BL$57),""),2,1)="/",MID(IFERROR(INDEX(醫師週班表!$C$5:$T$44,$CU25,BL$57),""),1+BL$58*2,1),IF(MID(IFERROR(INDEX(醫師週班表!$C$5:$T$44,$CU25,BL$57),""),3,1)="隔",IF(BL$58=0,LEFT(IFERROR(INDEX(醫師週班表!$C$5:$T$44,$CU25,BL$57),""),1),""),IF(MID(IFERROR(INDEX(醫師週班表!$C$5:$T$44,$CU25,BL$57),""),2,1)="(",LEFT(IFERROR(INDEX(醫師週班表!$C$5:$T$44,$CU25,BL$57),""),1),IFERROR(INDEX(醫師週班表!$C$5:$T$44,$CU25,BL$57),"")))))))</f>
        <v/>
      </c>
      <c r="BM25" s="71">
        <f>IF(BM$59="X","",IF(BM$59&lt;&gt;"",BM$59,IF(IFERROR(INDEX(醫師週班表!$C$5:$T$44,$CU25,BM$57),"")=0,"",IF(MID(IFERROR(INDEX(醫師週班表!$C$5:$T$44,$CU25,BM$57),""),2,1)="/",MID(IFERROR(INDEX(醫師週班表!$C$5:$T$44,$CU25,BM$57),""),1+BM$58*2,1),IF(MID(IFERROR(INDEX(醫師週班表!$C$5:$T$44,$CU25,BM$57),""),3,1)="隔",IF(BM$58=0,LEFT(IFERROR(INDEX(醫師週班表!$C$5:$T$44,$CU25,BM$57),""),1),""),IF(MID(IFERROR(INDEX(醫師週班表!$C$5:$T$44,$CU25,BM$57),""),2,1)="(",LEFT(IFERROR(INDEX(醫師週班表!$C$5:$T$44,$CU25,BM$57),""),1),IFERROR(INDEX(醫師週班表!$C$5:$T$44,$CU25,BM$57),"")))))))</f>
        <v/>
      </c>
      <c r="BN25" s="72">
        <f>IF(BN$59="X","",IF(BN$59&lt;&gt;"",BN$59,IF(IFERROR(INDEX(醫師週班表!$C$5:$T$44,$CU25,BN$57),"")=0,"",IF(MID(IFERROR(INDEX(醫師週班表!$C$5:$T$44,$CU25,BN$57),""),2,1)="/",MID(IFERROR(INDEX(醫師週班表!$C$5:$T$44,$CU25,BN$57),""),1+BN$58*2,1),IF(MID(IFERROR(INDEX(醫師週班表!$C$5:$T$44,$CU25,BN$57),""),3,1)="隔",IF(BN$58=0,LEFT(IFERROR(INDEX(醫師週班表!$C$5:$T$44,$CU25,BN$57),""),1),""),IF(MID(IFERROR(INDEX(醫師週班表!$C$5:$T$44,$CU25,BN$57),""),2,1)="(",LEFT(IFERROR(INDEX(醫師週班表!$C$5:$T$44,$CU25,BN$57),""),1),IFERROR(INDEX(醫師週班表!$C$5:$T$44,$CU25,BN$57),"")))))))</f>
        <v/>
      </c>
      <c r="BO25" s="72">
        <f>IF(BO$59="X","",IF(BO$59&lt;&gt;"",BO$59,IF(IFERROR(INDEX(醫師週班表!$C$5:$T$44,$CU25,BO$57),"")=0,"",IF(MID(IFERROR(INDEX(醫師週班表!$C$5:$T$44,$CU25,BO$57),""),2,1)="/",MID(IFERROR(INDEX(醫師週班表!$C$5:$T$44,$CU25,BO$57),""),1+BO$58*2,1),IF(MID(IFERROR(INDEX(醫師週班表!$C$5:$T$44,$CU25,BO$57),""),3,1)="隔",IF(BO$58=0,LEFT(IFERROR(INDEX(醫師週班表!$C$5:$T$44,$CU25,BO$57),""),1),""),IF(MID(IFERROR(INDEX(醫師週班表!$C$5:$T$44,$CU25,BO$57),""),2,1)="(",LEFT(IFERROR(INDEX(醫師週班表!$C$5:$T$44,$CU25,BO$57),""),1),IFERROR(INDEX(醫師週班表!$C$5:$T$44,$CU25,BO$57),"")))))))</f>
        <v/>
      </c>
      <c r="BP25" s="71">
        <f>IF(BP$59="X","",IF(BP$59&lt;&gt;"",BP$59,IF(IFERROR(INDEX(醫師週班表!$C$5:$T$44,$CU25,BP$57),"")=0,"",IF(MID(IFERROR(INDEX(醫師週班表!$C$5:$T$44,$CU25,BP$57),""),2,1)="/",MID(IFERROR(INDEX(醫師週班表!$C$5:$T$44,$CU25,BP$57),""),1+BP$58*2,1),IF(MID(IFERROR(INDEX(醫師週班表!$C$5:$T$44,$CU25,BP$57),""),3,1)="隔",IF(BP$58=0,LEFT(IFERROR(INDEX(醫師週班表!$C$5:$T$44,$CU25,BP$57),""),1),""),IF(MID(IFERROR(INDEX(醫師週班表!$C$5:$T$44,$CU25,BP$57),""),2,1)="(",LEFT(IFERROR(INDEX(醫師週班表!$C$5:$T$44,$CU25,BP$57),""),1),IFERROR(INDEX(醫師週班表!$C$5:$T$44,$CU25,BP$57),"")))))))</f>
        <v/>
      </c>
      <c r="BQ25" s="72">
        <f>IF(BQ$59="X","",IF(BQ$59&lt;&gt;"",BQ$59,IF(IFERROR(INDEX(醫師週班表!$C$5:$T$44,$CU25,BQ$57),"")=0,"",IF(MID(IFERROR(INDEX(醫師週班表!$C$5:$T$44,$CU25,BQ$57),""),2,1)="/",MID(IFERROR(INDEX(醫師週班表!$C$5:$T$44,$CU25,BQ$57),""),1+BQ$58*2,1),IF(MID(IFERROR(INDEX(醫師週班表!$C$5:$T$44,$CU25,BQ$57),""),3,1)="隔",IF(BQ$58=0,LEFT(IFERROR(INDEX(醫師週班表!$C$5:$T$44,$CU25,BQ$57),""),1),""),IF(MID(IFERROR(INDEX(醫師週班表!$C$5:$T$44,$CU25,BQ$57),""),2,1)="(",LEFT(IFERROR(INDEX(醫師週班表!$C$5:$T$44,$CU25,BQ$57),""),1),IFERROR(INDEX(醫師週班表!$C$5:$T$44,$CU25,BQ$57),"")))))))</f>
        <v/>
      </c>
      <c r="BR25" s="72">
        <f>IF(BR$59="X","",IF(BR$59&lt;&gt;"",BR$59,IF(IFERROR(INDEX(醫師週班表!$C$5:$T$44,$CU25,BR$57),"")=0,"",IF(MID(IFERROR(INDEX(醫師週班表!$C$5:$T$44,$CU25,BR$57),""),2,1)="/",MID(IFERROR(INDEX(醫師週班表!$C$5:$T$44,$CU25,BR$57),""),1+BR$58*2,1),IF(MID(IFERROR(INDEX(醫師週班表!$C$5:$T$44,$CU25,BR$57),""),3,1)="隔",IF(BR$58=0,LEFT(IFERROR(INDEX(醫師週班表!$C$5:$T$44,$CU25,BR$57),""),1),""),IF(MID(IFERROR(INDEX(醫師週班表!$C$5:$T$44,$CU25,BR$57),""),2,1)="(",LEFT(IFERROR(INDEX(醫師週班表!$C$5:$T$44,$CU25,BR$57),""),1),IFERROR(INDEX(醫師週班表!$C$5:$T$44,$CU25,BR$57),"")))))))</f>
        <v/>
      </c>
      <c r="BS25" s="71">
        <f>IF(BS$59="X","",IF(BS$59&lt;&gt;"",BS$59,IF(IFERROR(INDEX(醫師週班表!$C$5:$T$44,$CU25,BS$57),"")=0,"",IF(MID(IFERROR(INDEX(醫師週班表!$C$5:$T$44,$CU25,BS$57),""),2,1)="/",MID(IFERROR(INDEX(醫師週班表!$C$5:$T$44,$CU25,BS$57),""),1+BS$58*2,1),IF(MID(IFERROR(INDEX(醫師週班表!$C$5:$T$44,$CU25,BS$57),""),3,1)="隔",IF(BS$58=0,LEFT(IFERROR(INDEX(醫師週班表!$C$5:$T$44,$CU25,BS$57),""),1),""),IF(MID(IFERROR(INDEX(醫師週班表!$C$5:$T$44,$CU25,BS$57),""),2,1)="(",LEFT(IFERROR(INDEX(醫師週班表!$C$5:$T$44,$CU25,BS$57),""),1),IFERROR(INDEX(醫師週班表!$C$5:$T$44,$CU25,BS$57),"")))))))</f>
        <v/>
      </c>
      <c r="BT25" s="72">
        <f>IF(BT$59="X","",IF(BT$59&lt;&gt;"",BT$59,IF(IFERROR(INDEX(醫師週班表!$C$5:$T$44,$CU25,BT$57),"")=0,"",IF(MID(IFERROR(INDEX(醫師週班表!$C$5:$T$44,$CU25,BT$57),""),2,1)="/",MID(IFERROR(INDEX(醫師週班表!$C$5:$T$44,$CU25,BT$57),""),1+BT$58*2,1),IF(MID(IFERROR(INDEX(醫師週班表!$C$5:$T$44,$CU25,BT$57),""),3,1)="隔",IF(BT$58=0,LEFT(IFERROR(INDEX(醫師週班表!$C$5:$T$44,$CU25,BT$57),""),1),""),IF(MID(IFERROR(INDEX(醫師週班表!$C$5:$T$44,$CU25,BT$57),""),2,1)="(",LEFT(IFERROR(INDEX(醫師週班表!$C$5:$T$44,$CU25,BT$57),""),1),IFERROR(INDEX(醫師週班表!$C$5:$T$44,$CU25,BT$57),"")))))))</f>
        <v/>
      </c>
      <c r="BU25" s="72">
        <f>IF(BU$59="X","",IF(BU$59&lt;&gt;"",BU$59,IF(IFERROR(INDEX(醫師週班表!$C$5:$T$44,$CU25,BU$57),"")=0,"",IF(MID(IFERROR(INDEX(醫師週班表!$C$5:$T$44,$CU25,BU$57),""),2,1)="/",MID(IFERROR(INDEX(醫師週班表!$C$5:$T$44,$CU25,BU$57),""),1+BU$58*2,1),IF(MID(IFERROR(INDEX(醫師週班表!$C$5:$T$44,$CU25,BU$57),""),3,1)="隔",IF(BU$58=0,LEFT(IFERROR(INDEX(醫師週班表!$C$5:$T$44,$CU25,BU$57),""),1),""),IF(MID(IFERROR(INDEX(醫師週班表!$C$5:$T$44,$CU25,BU$57),""),2,1)="(",LEFT(IFERROR(INDEX(醫師週班表!$C$5:$T$44,$CU25,BU$57),""),1),IFERROR(INDEX(醫師週班表!$C$5:$T$44,$CU25,BU$57),"")))))))</f>
        <v/>
      </c>
      <c r="BV25" s="71">
        <f>IF(BV$59="X","",IF(BV$59&lt;&gt;"",BV$59,IF(IFERROR(INDEX(醫師週班表!$C$5:$T$44,$CU25,BV$57),"")=0,"",IF(MID(IFERROR(INDEX(醫師週班表!$C$5:$T$44,$CU25,BV$57),""),2,1)="/",MID(IFERROR(INDEX(醫師週班表!$C$5:$T$44,$CU25,BV$57),""),1+BV$58*2,1),IF(MID(IFERROR(INDEX(醫師週班表!$C$5:$T$44,$CU25,BV$57),""),3,1)="隔",IF(BV$58=0,LEFT(IFERROR(INDEX(醫師週班表!$C$5:$T$44,$CU25,BV$57),""),1),""),IF(MID(IFERROR(INDEX(醫師週班表!$C$5:$T$44,$CU25,BV$57),""),2,1)="(",LEFT(IFERROR(INDEX(醫師週班表!$C$5:$T$44,$CU25,BV$57),""),1),IFERROR(INDEX(醫師週班表!$C$5:$T$44,$CU25,BV$57),"")))))))</f>
        <v/>
      </c>
      <c r="BW25" s="72">
        <f>IF(BW$59="X","",IF(BW$59&lt;&gt;"",BW$59,IF(IFERROR(INDEX(醫師週班表!$C$5:$T$44,$CU25,BW$57),"")=0,"",IF(MID(IFERROR(INDEX(醫師週班表!$C$5:$T$44,$CU25,BW$57),""),2,1)="/",MID(IFERROR(INDEX(醫師週班表!$C$5:$T$44,$CU25,BW$57),""),1+BW$58*2,1),IF(MID(IFERROR(INDEX(醫師週班表!$C$5:$T$44,$CU25,BW$57),""),3,1)="隔",IF(BW$58=0,LEFT(IFERROR(INDEX(醫師週班表!$C$5:$T$44,$CU25,BW$57),""),1),""),IF(MID(IFERROR(INDEX(醫師週班表!$C$5:$T$44,$CU25,BW$57),""),2,1)="(",LEFT(IFERROR(INDEX(醫師週班表!$C$5:$T$44,$CU25,BW$57),""),1),IFERROR(INDEX(醫師週班表!$C$5:$T$44,$CU25,BW$57),"")))))))</f>
        <v/>
      </c>
      <c r="BX25" s="72">
        <f>IF(BX$59="X","",IF(BX$59&lt;&gt;"",BX$59,IF(IFERROR(INDEX(醫師週班表!$C$5:$T$44,$CU25,BX$57),"")=0,"",IF(MID(IFERROR(INDEX(醫師週班表!$C$5:$T$44,$CU25,BX$57),""),2,1)="/",MID(IFERROR(INDEX(醫師週班表!$C$5:$T$44,$CU25,BX$57),""),1+BX$58*2,1),IF(MID(IFERROR(INDEX(醫師週班表!$C$5:$T$44,$CU25,BX$57),""),3,1)="隔",IF(BX$58=0,LEFT(IFERROR(INDEX(醫師週班表!$C$5:$T$44,$CU25,BX$57),""),1),""),IF(MID(IFERROR(INDEX(醫師週班表!$C$5:$T$44,$CU25,BX$57),""),2,1)="(",LEFT(IFERROR(INDEX(醫師週班表!$C$5:$T$44,$CU25,BX$57),""),1),IFERROR(INDEX(醫師週班表!$C$5:$T$44,$CU25,BX$57),"")))))))</f>
        <v/>
      </c>
      <c r="BY25" s="71">
        <f>IF(BY$59="X","",IF(BY$59&lt;&gt;"",BY$59,IF(IFERROR(INDEX(醫師週班表!$C$5:$T$44,$CU25,BY$57),"")=0,"",IF(MID(IFERROR(INDEX(醫師週班表!$C$5:$T$44,$CU25,BY$57),""),2,1)="/",MID(IFERROR(INDEX(醫師週班表!$C$5:$T$44,$CU25,BY$57),""),1+BY$58*2,1),IF(MID(IFERROR(INDEX(醫師週班表!$C$5:$T$44,$CU25,BY$57),""),3,1)="隔",IF(BY$58=0,LEFT(IFERROR(INDEX(醫師週班表!$C$5:$T$44,$CU25,BY$57),""),1),""),IF(MID(IFERROR(INDEX(醫師週班表!$C$5:$T$44,$CU25,BY$57),""),2,1)="(",LEFT(IFERROR(INDEX(醫師週班表!$C$5:$T$44,$CU25,BY$57),""),1),IFERROR(INDEX(醫師週班表!$C$5:$T$44,$CU25,BY$57),"")))))))</f>
        <v/>
      </c>
      <c r="BZ25" s="72">
        <f>IF(BZ$59="X","",IF(BZ$59&lt;&gt;"",BZ$59,IF(IFERROR(INDEX(醫師週班表!$C$5:$T$44,$CU25,BZ$57),"")=0,"",IF(MID(IFERROR(INDEX(醫師週班表!$C$5:$T$44,$CU25,BZ$57),""),2,1)="/",MID(IFERROR(INDEX(醫師週班表!$C$5:$T$44,$CU25,BZ$57),""),1+BZ$58*2,1),IF(MID(IFERROR(INDEX(醫師週班表!$C$5:$T$44,$CU25,BZ$57),""),3,1)="隔",IF(BZ$58=0,LEFT(IFERROR(INDEX(醫師週班表!$C$5:$T$44,$CU25,BZ$57),""),1),""),IF(MID(IFERROR(INDEX(醫師週班表!$C$5:$T$44,$CU25,BZ$57),""),2,1)="(",LEFT(IFERROR(INDEX(醫師週班表!$C$5:$T$44,$CU25,BZ$57),""),1),IFERROR(INDEX(醫師週班表!$C$5:$T$44,$CU25,BZ$57),"")))))))</f>
        <v/>
      </c>
      <c r="CA25" s="72">
        <f>IF(CA$59="X","",IF(CA$59&lt;&gt;"",CA$59,IF(IFERROR(INDEX(醫師週班表!$C$5:$T$44,$CU25,CA$57),"")=0,"",IF(MID(IFERROR(INDEX(醫師週班表!$C$5:$T$44,$CU25,CA$57),""),2,1)="/",MID(IFERROR(INDEX(醫師週班表!$C$5:$T$44,$CU25,CA$57),""),1+CA$58*2,1),IF(MID(IFERROR(INDEX(醫師週班表!$C$5:$T$44,$CU25,CA$57),""),3,1)="隔",IF(CA$58=0,LEFT(IFERROR(INDEX(醫師週班表!$C$5:$T$44,$CU25,CA$57),""),1),""),IF(MID(IFERROR(INDEX(醫師週班表!$C$5:$T$44,$CU25,CA$57),""),2,1)="(",LEFT(IFERROR(INDEX(醫師週班表!$C$5:$T$44,$CU25,CA$57),""),1),IFERROR(INDEX(醫師週班表!$C$5:$T$44,$CU25,CA$57),"")))))))</f>
        <v/>
      </c>
      <c r="CB25" s="71">
        <f>IF(CB$59="X","",IF(CB$59&lt;&gt;"",CB$59,IF(IFERROR(INDEX(醫師週班表!$C$5:$T$44,$CU25,CB$57),"")=0,"",IF(MID(IFERROR(INDEX(醫師週班表!$C$5:$T$44,$CU25,CB$57),""),2,1)="/",MID(IFERROR(INDEX(醫師週班表!$C$5:$T$44,$CU25,CB$57),""),1+CB$58*2,1),IF(MID(IFERROR(INDEX(醫師週班表!$C$5:$T$44,$CU25,CB$57),""),3,1)="隔",IF(CB$58=0,LEFT(IFERROR(INDEX(醫師週班表!$C$5:$T$44,$CU25,CB$57),""),1),""),IF(MID(IFERROR(INDEX(醫師週班表!$C$5:$T$44,$CU25,CB$57),""),2,1)="(",LEFT(IFERROR(INDEX(醫師週班表!$C$5:$T$44,$CU25,CB$57),""),1),IFERROR(INDEX(醫師週班表!$C$5:$T$44,$CU25,CB$57),"")))))))</f>
        <v/>
      </c>
      <c r="CC25" s="72">
        <f>IF(CC$59="X","",IF(CC$59&lt;&gt;"",CC$59,IF(IFERROR(INDEX(醫師週班表!$C$5:$T$44,$CU25,CC$57),"")=0,"",IF(MID(IFERROR(INDEX(醫師週班表!$C$5:$T$44,$CU25,CC$57),""),2,1)="/",MID(IFERROR(INDEX(醫師週班表!$C$5:$T$44,$CU25,CC$57),""),1+CC$58*2,1),IF(MID(IFERROR(INDEX(醫師週班表!$C$5:$T$44,$CU25,CC$57),""),3,1)="隔",IF(CC$58=0,LEFT(IFERROR(INDEX(醫師週班表!$C$5:$T$44,$CU25,CC$57),""),1),""),IF(MID(IFERROR(INDEX(醫師週班表!$C$5:$T$44,$CU25,CC$57),""),2,1)="(",LEFT(IFERROR(INDEX(醫師週班表!$C$5:$T$44,$CU25,CC$57),""),1),IFERROR(INDEX(醫師週班表!$C$5:$T$44,$CU25,CC$57),"")))))))</f>
        <v/>
      </c>
      <c r="CD25" s="72">
        <f>IF(CD$59="X","",IF(CD$59&lt;&gt;"",CD$59,IF(IFERROR(INDEX(醫師週班表!$C$5:$T$44,$CU25,CD$57),"")=0,"",IF(MID(IFERROR(INDEX(醫師週班表!$C$5:$T$44,$CU25,CD$57),""),2,1)="/",MID(IFERROR(INDEX(醫師週班表!$C$5:$T$44,$CU25,CD$57),""),1+CD$58*2,1),IF(MID(IFERROR(INDEX(醫師週班表!$C$5:$T$44,$CU25,CD$57),""),3,1)="隔",IF(CD$58=0,LEFT(IFERROR(INDEX(醫師週班表!$C$5:$T$44,$CU25,CD$57),""),1),""),IF(MID(IFERROR(INDEX(醫師週班表!$C$5:$T$44,$CU25,CD$57),""),2,1)="(",LEFT(IFERROR(INDEX(醫師週班表!$C$5:$T$44,$CU25,CD$57),""),1),IFERROR(INDEX(醫師週班表!$C$5:$T$44,$CU25,CD$57),"")))))))</f>
        <v/>
      </c>
      <c r="CE25" s="71">
        <f>IF(CE$59="X","",IF(CE$59&lt;&gt;"",CE$59,IF(IFERROR(INDEX(醫師週班表!$C$5:$T$44,$CU25,CE$57),"")=0,"",IF(MID(IFERROR(INDEX(醫師週班表!$C$5:$T$44,$CU25,CE$57),""),2,1)="/",MID(IFERROR(INDEX(醫師週班表!$C$5:$T$44,$CU25,CE$57),""),1+CE$58*2,1),IF(MID(IFERROR(INDEX(醫師週班表!$C$5:$T$44,$CU25,CE$57),""),3,1)="隔",IF(CE$58=0,LEFT(IFERROR(INDEX(醫師週班表!$C$5:$T$44,$CU25,CE$57),""),1),""),IF(MID(IFERROR(INDEX(醫師週班表!$C$5:$T$44,$CU25,CE$57),""),2,1)="(",LEFT(IFERROR(INDEX(醫師週班表!$C$5:$T$44,$CU25,CE$57),""),1),IFERROR(INDEX(醫師週班表!$C$5:$T$44,$CU25,CE$57),"")))))))</f>
        <v/>
      </c>
      <c r="CF25" s="72">
        <f>IF(CF$59="X","",IF(CF$59&lt;&gt;"",CF$59,IF(IFERROR(INDEX(醫師週班表!$C$5:$T$44,$CU25,CF$57),"")=0,"",IF(MID(IFERROR(INDEX(醫師週班表!$C$5:$T$44,$CU25,CF$57),""),2,1)="/",MID(IFERROR(INDEX(醫師週班表!$C$5:$T$44,$CU25,CF$57),""),1+CF$58*2,1),IF(MID(IFERROR(INDEX(醫師週班表!$C$5:$T$44,$CU25,CF$57),""),3,1)="隔",IF(CF$58=0,LEFT(IFERROR(INDEX(醫師週班表!$C$5:$T$44,$CU25,CF$57),""),1),""),IF(MID(IFERROR(INDEX(醫師週班表!$C$5:$T$44,$CU25,CF$57),""),2,1)="(",LEFT(IFERROR(INDEX(醫師週班表!$C$5:$T$44,$CU25,CF$57),""),1),IFERROR(INDEX(醫師週班表!$C$5:$T$44,$CU25,CF$57),"")))))))</f>
        <v/>
      </c>
      <c r="CG25" s="72">
        <f>IF(CG$59="X","",IF(CG$59&lt;&gt;"",CG$59,IF(IFERROR(INDEX(醫師週班表!$C$5:$T$44,$CU25,CG$57),"")=0,"",IF(MID(IFERROR(INDEX(醫師週班表!$C$5:$T$44,$CU25,CG$57),""),2,1)="/",MID(IFERROR(INDEX(醫師週班表!$C$5:$T$44,$CU25,CG$57),""),1+CG$58*2,1),IF(MID(IFERROR(INDEX(醫師週班表!$C$5:$T$44,$CU25,CG$57),""),3,1)="隔",IF(CG$58=0,LEFT(IFERROR(INDEX(醫師週班表!$C$5:$T$44,$CU25,CG$57),""),1),""),IF(MID(IFERROR(INDEX(醫師週班表!$C$5:$T$44,$CU25,CG$57),""),2,1)="(",LEFT(IFERROR(INDEX(醫師週班表!$C$5:$T$44,$CU25,CG$57),""),1),IFERROR(INDEX(醫師週班表!$C$5:$T$44,$CU25,CG$57),"")))))))</f>
        <v/>
      </c>
      <c r="CH25" s="71">
        <f>IF(CH$59="X","",IF(CH$59&lt;&gt;"",CH$59,IF(IFERROR(INDEX(醫師週班表!$C$5:$T$44,$CU25,CH$57),"")=0,"",IF(MID(IFERROR(INDEX(醫師週班表!$C$5:$T$44,$CU25,CH$57),""),2,1)="/",MID(IFERROR(INDEX(醫師週班表!$C$5:$T$44,$CU25,CH$57),""),1+CH$58*2,1),IF(MID(IFERROR(INDEX(醫師週班表!$C$5:$T$44,$CU25,CH$57),""),3,1)="隔",IF(CH$58=0,LEFT(IFERROR(INDEX(醫師週班表!$C$5:$T$44,$CU25,CH$57),""),1),""),IF(MID(IFERROR(INDEX(醫師週班表!$C$5:$T$44,$CU25,CH$57),""),2,1)="(",LEFT(IFERROR(INDEX(醫師週班表!$C$5:$T$44,$CU25,CH$57),""),1),IFERROR(INDEX(醫師週班表!$C$5:$T$44,$CU25,CH$57),"")))))))</f>
        <v/>
      </c>
      <c r="CI25" s="72">
        <f>IF(CI$59="X","",IF(CI$59&lt;&gt;"",CI$59,IF(IFERROR(INDEX(醫師週班表!$C$5:$T$44,$CU25,CI$57),"")=0,"",IF(MID(IFERROR(INDEX(醫師週班表!$C$5:$T$44,$CU25,CI$57),""),2,1)="/",MID(IFERROR(INDEX(醫師週班表!$C$5:$T$44,$CU25,CI$57),""),1+CI$58*2,1),IF(MID(IFERROR(INDEX(醫師週班表!$C$5:$T$44,$CU25,CI$57),""),3,1)="隔",IF(CI$58=0,LEFT(IFERROR(INDEX(醫師週班表!$C$5:$T$44,$CU25,CI$57),""),1),""),IF(MID(IFERROR(INDEX(醫師週班表!$C$5:$T$44,$CU25,CI$57),""),2,1)="(",LEFT(IFERROR(INDEX(醫師週班表!$C$5:$T$44,$CU25,CI$57),""),1),IFERROR(INDEX(醫師週班表!$C$5:$T$44,$CU25,CI$57),"")))))))</f>
        <v/>
      </c>
      <c r="CJ25" s="72">
        <f>IF(CJ$59="X","",IF(CJ$59&lt;&gt;"",CJ$59,IF(IFERROR(INDEX(醫師週班表!$C$5:$T$44,$CU25,CJ$57),"")=0,"",IF(MID(IFERROR(INDEX(醫師週班表!$C$5:$T$44,$CU25,CJ$57),""),2,1)="/",MID(IFERROR(INDEX(醫師週班表!$C$5:$T$44,$CU25,CJ$57),""),1+CJ$58*2,1),IF(MID(IFERROR(INDEX(醫師週班表!$C$5:$T$44,$CU25,CJ$57),""),3,1)="隔",IF(CJ$58=0,LEFT(IFERROR(INDEX(醫師週班表!$C$5:$T$44,$CU25,CJ$57),""),1),""),IF(MID(IFERROR(INDEX(醫師週班表!$C$5:$T$44,$CU25,CJ$57),""),2,1)="(",LEFT(IFERROR(INDEX(醫師週班表!$C$5:$T$44,$CU25,CJ$57),""),1),IFERROR(INDEX(醫師週班表!$C$5:$T$44,$CU25,CJ$57),"")))))))</f>
        <v/>
      </c>
      <c r="CK25" s="71">
        <f>IF(CK$59="X","",IF(CK$59&lt;&gt;"",CK$59,IF(IFERROR(INDEX(醫師週班表!$C$5:$T$44,$CU25,CK$57),"")=0,"",IF(MID(IFERROR(INDEX(醫師週班表!$C$5:$T$44,$CU25,CK$57),""),2,1)="/",MID(IFERROR(INDEX(醫師週班表!$C$5:$T$44,$CU25,CK$57),""),1+CK$58*2,1),IF(MID(IFERROR(INDEX(醫師週班表!$C$5:$T$44,$CU25,CK$57),""),3,1)="隔",IF(CK$58=0,LEFT(IFERROR(INDEX(醫師週班表!$C$5:$T$44,$CU25,CK$57),""),1),""),IF(MID(IFERROR(INDEX(醫師週班表!$C$5:$T$44,$CU25,CK$57),""),2,1)="(",LEFT(IFERROR(INDEX(醫師週班表!$C$5:$T$44,$CU25,CK$57),""),1),IFERROR(INDEX(醫師週班表!$C$5:$T$44,$CU25,CK$57),"")))))))</f>
        <v/>
      </c>
      <c r="CL25" s="72">
        <f>IF(CL$59="X","",IF(CL$59&lt;&gt;"",CL$59,IF(IFERROR(INDEX(醫師週班表!$C$5:$T$44,$CU25,CL$57),"")=0,"",IF(MID(IFERROR(INDEX(醫師週班表!$C$5:$T$44,$CU25,CL$57),""),2,1)="/",MID(IFERROR(INDEX(醫師週班表!$C$5:$T$44,$CU25,CL$57),""),1+CL$58*2,1),IF(MID(IFERROR(INDEX(醫師週班表!$C$5:$T$44,$CU25,CL$57),""),3,1)="隔",IF(CL$58=0,LEFT(IFERROR(INDEX(醫師週班表!$C$5:$T$44,$CU25,CL$57),""),1),""),IF(MID(IFERROR(INDEX(醫師週班表!$C$5:$T$44,$CU25,CL$57),""),2,1)="(",LEFT(IFERROR(INDEX(醫師週班表!$C$5:$T$44,$CU25,CL$57),""),1),IFERROR(INDEX(醫師週班表!$C$5:$T$44,$CU25,CL$57),"")))))))</f>
        <v/>
      </c>
      <c r="CM25" s="72">
        <f>IF(CM$59="X","",IF(CM$59&lt;&gt;"",CM$59,IF(IFERROR(INDEX(醫師週班表!$C$5:$T$44,$CU25,CM$57),"")=0,"",IF(MID(IFERROR(INDEX(醫師週班表!$C$5:$T$44,$CU25,CM$57),""),2,1)="/",MID(IFERROR(INDEX(醫師週班表!$C$5:$T$44,$CU25,CM$57),""),1+CM$58*2,1),IF(MID(IFERROR(INDEX(醫師週班表!$C$5:$T$44,$CU25,CM$57),""),3,1)="隔",IF(CM$58=0,LEFT(IFERROR(INDEX(醫師週班表!$C$5:$T$44,$CU25,CM$57),""),1),""),IF(MID(IFERROR(INDEX(醫師週班表!$C$5:$T$44,$CU25,CM$57),""),2,1)="(",LEFT(IFERROR(INDEX(醫師週班表!$C$5:$T$44,$CU25,CM$57),""),1),IFERROR(INDEX(醫師週班表!$C$5:$T$44,$CU25,CM$57),"")))))))</f>
        <v/>
      </c>
      <c r="CN25" s="71">
        <f>IF(CN$59="X","",IF(CN$59&lt;&gt;"",CN$59,IF(IFERROR(INDEX(醫師週班表!$C$5:$T$44,$CU25,CN$57),"")=0,"",IF(MID(IFERROR(INDEX(醫師週班表!$C$5:$T$44,$CU25,CN$57),""),2,1)="/",MID(IFERROR(INDEX(醫師週班表!$C$5:$T$44,$CU25,CN$57),""),1+CN$58*2,1),IF(MID(IFERROR(INDEX(醫師週班表!$C$5:$T$44,$CU25,CN$57),""),3,1)="隔",IF(CN$58=0,LEFT(IFERROR(INDEX(醫師週班表!$C$5:$T$44,$CU25,CN$57),""),1),""),IF(MID(IFERROR(INDEX(醫師週班表!$C$5:$T$44,$CU25,CN$57),""),2,1)="(",LEFT(IFERROR(INDEX(醫師週班表!$C$5:$T$44,$CU25,CN$57),""),1),IFERROR(INDEX(醫師週班表!$C$5:$T$44,$CU25,CN$57),"")))))))</f>
        <v/>
      </c>
      <c r="CO25" s="72">
        <f>IF(CO$59="X","",IF(CO$59&lt;&gt;"",CO$59,IF(IFERROR(INDEX(醫師週班表!$C$5:$T$44,$CU25,CO$57),"")=0,"",IF(MID(IFERROR(INDEX(醫師週班表!$C$5:$T$44,$CU25,CO$57),""),2,1)="/",MID(IFERROR(INDEX(醫師週班表!$C$5:$T$44,$CU25,CO$57),""),1+CO$58*2,1),IF(MID(IFERROR(INDEX(醫師週班表!$C$5:$T$44,$CU25,CO$57),""),3,1)="隔",IF(CO$58=0,LEFT(IFERROR(INDEX(醫師週班表!$C$5:$T$44,$CU25,CO$57),""),1),""),IF(MID(IFERROR(INDEX(醫師週班表!$C$5:$T$44,$CU25,CO$57),""),2,1)="(",LEFT(IFERROR(INDEX(醫師週班表!$C$5:$T$44,$CU25,CO$57),""),1),IFERROR(INDEX(醫師週班表!$C$5:$T$44,$CU25,CO$57),"")))))))</f>
        <v/>
      </c>
      <c r="CP25" s="72">
        <f>IF(CP$59="X","",IF(CP$59&lt;&gt;"",CP$59,IF(IFERROR(INDEX(醫師週班表!$C$5:$T$44,$CU25,CP$57),"")=0,"",IF(MID(IFERROR(INDEX(醫師週班表!$C$5:$T$44,$CU25,CP$57),""),2,1)="/",MID(IFERROR(INDEX(醫師週班表!$C$5:$T$44,$CU25,CP$57),""),1+CP$58*2,1),IF(MID(IFERROR(INDEX(醫師週班表!$C$5:$T$44,$CU25,CP$57),""),3,1)="隔",IF(CP$58=0,LEFT(IFERROR(INDEX(醫師週班表!$C$5:$T$44,$CU25,CP$57),""),1),""),IF(MID(IFERROR(INDEX(醫師週班表!$C$5:$T$44,$CU25,CP$57),""),2,1)="(",LEFT(IFERROR(INDEX(醫師週班表!$C$5:$T$44,$CU25,CP$57),""),1),IFERROR(INDEX(醫師週班表!$C$5:$T$44,$CU25,CP$57),"")))))))</f>
        <v/>
      </c>
      <c r="CQ25" s="71">
        <f>IF(CQ$59="X","",IF(CQ$59&lt;&gt;"",CQ$59,IF(IFERROR(INDEX(醫師週班表!$C$5:$T$44,$CU25,CQ$57),"")=0,"",IF(MID(IFERROR(INDEX(醫師週班表!$C$5:$T$44,$CU25,CQ$57),""),2,1)="/",MID(IFERROR(INDEX(醫師週班表!$C$5:$T$44,$CU25,CQ$57),""),1+CQ$58*2,1),IF(MID(IFERROR(INDEX(醫師週班表!$C$5:$T$44,$CU25,CQ$57),""),3,1)="隔",IF(CQ$58=0,LEFT(IFERROR(INDEX(醫師週班表!$C$5:$T$44,$CU25,CQ$57),""),1),""),IF(MID(IFERROR(INDEX(醫師週班表!$C$5:$T$44,$CU25,CQ$57),""),2,1)="(",LEFT(IFERROR(INDEX(醫師週班表!$C$5:$T$44,$CU25,CQ$57),""),1),IFERROR(INDEX(醫師週班表!$C$5:$T$44,$CU25,CQ$57),"")))))))</f>
        <v/>
      </c>
      <c r="CR25" s="72">
        <f>IF(CR$59="X","",IF(CR$59&lt;&gt;"",CR$59,IF(IFERROR(INDEX(醫師週班表!$C$5:$T$44,$CU25,CR$57),"")=0,"",IF(MID(IFERROR(INDEX(醫師週班表!$C$5:$T$44,$CU25,CR$57),""),2,1)="/",MID(IFERROR(INDEX(醫師週班表!$C$5:$T$44,$CU25,CR$57),""),1+CR$58*2,1),IF(MID(IFERROR(INDEX(醫師週班表!$C$5:$T$44,$CU25,CR$57),""),3,1)="隔",IF(CR$58=0,LEFT(IFERROR(INDEX(醫師週班表!$C$5:$T$44,$CU25,CR$57),""),1),""),IF(MID(IFERROR(INDEX(醫師週班表!$C$5:$T$44,$CU25,CR$57),""),2,1)="(",LEFT(IFERROR(INDEX(醫師週班表!$C$5:$T$44,$CU25,CR$57),""),1),IFERROR(INDEX(醫師週班表!$C$5:$T$44,$CU25,CR$57),"")))))))</f>
        <v/>
      </c>
      <c r="CS25" s="72">
        <f>IF(CS$59="X","",IF(CS$59&lt;&gt;"",CS$59,IF(IFERROR(INDEX(醫師週班表!$C$5:$T$44,$CU25,CS$57),"")=0,"",IF(MID(IFERROR(INDEX(醫師週班表!$C$5:$T$44,$CU25,CS$57),""),2,1)="/",MID(IFERROR(INDEX(醫師週班表!$C$5:$T$44,$CU25,CS$57),""),1+CS$58*2,1),IF(MID(IFERROR(INDEX(醫師週班表!$C$5:$T$44,$CU25,CS$57),""),3,1)="隔",IF(CS$58=0,LEFT(IFERROR(INDEX(醫師週班表!$C$5:$T$44,$CU25,CS$57),""),1),""),IF(MID(IFERROR(INDEX(醫師週班表!$C$5:$T$44,$CU25,CS$57),""),2,1)="(",LEFT(IFERROR(INDEX(醫師週班表!$C$5:$T$44,$CU25,CS$57),""),1),IFERROR(INDEX(醫師週班表!$C$5:$T$44,$CU25,CS$57),"")))))))</f>
        <v/>
      </c>
      <c r="CU25" s="73">
        <f>IFERROR(MATCH($A25,醫師週班表!$A$5:$A$44,0),0)</f>
        <v/>
      </c>
    </row>
    <row r="26" ht="17" customHeight="1">
      <c r="A26" s="19" t="inlineStr">
        <is>
          <t>D021</t>
        </is>
      </c>
      <c r="B26" s="16" t="inlineStr">
        <is>
          <t>鄭博文</t>
        </is>
      </c>
      <c r="C26" s="70" t="inlineStr"/>
      <c r="D26" s="16" t="inlineStr"/>
      <c r="E26" s="71">
        <f>IF(E$59="X","",IF(E$59&lt;&gt;"",E$59,IF(IFERROR(INDEX(醫師週班表!$C$5:$T$44,$CU26,E$57),"")=0,"",IF(MID(IFERROR(INDEX(醫師週班表!$C$5:$T$44,$CU26,E$57),""),2,1)="/",MID(IFERROR(INDEX(醫師週班表!$C$5:$T$44,$CU26,E$57),""),1+E$58*2,1),IF(MID(IFERROR(INDEX(醫師週班表!$C$5:$T$44,$CU26,E$57),""),3,1)="隔",IF(E$58=0,LEFT(IFERROR(INDEX(醫師週班表!$C$5:$T$44,$CU26,E$57),""),1),""),IF(MID(IFERROR(INDEX(醫師週班表!$C$5:$T$44,$CU26,E$57),""),2,1)="(",LEFT(IFERROR(INDEX(醫師週班表!$C$5:$T$44,$CU26,E$57),""),1),IFERROR(INDEX(醫師週班表!$C$5:$T$44,$CU26,E$57),"")))))))</f>
        <v/>
      </c>
      <c r="F26" s="72">
        <f>IF(F$59="X","",IF(F$59&lt;&gt;"",F$59,IF(IFERROR(INDEX(醫師週班表!$C$5:$T$44,$CU26,F$57),"")=0,"",IF(MID(IFERROR(INDEX(醫師週班表!$C$5:$T$44,$CU26,F$57),""),2,1)="/",MID(IFERROR(INDEX(醫師週班表!$C$5:$T$44,$CU26,F$57),""),1+F$58*2,1),IF(MID(IFERROR(INDEX(醫師週班表!$C$5:$T$44,$CU26,F$57),""),3,1)="隔",IF(F$58=0,LEFT(IFERROR(INDEX(醫師週班表!$C$5:$T$44,$CU26,F$57),""),1),""),IF(MID(IFERROR(INDEX(醫師週班表!$C$5:$T$44,$CU26,F$57),""),2,1)="(",LEFT(IFERROR(INDEX(醫師週班表!$C$5:$T$44,$CU26,F$57),""),1),IFERROR(INDEX(醫師週班表!$C$5:$T$44,$CU26,F$57),"")))))))</f>
        <v/>
      </c>
      <c r="G26" s="72">
        <f>IF(G$59="X","",IF(G$59&lt;&gt;"",G$59,IF(IFERROR(INDEX(醫師週班表!$C$5:$T$44,$CU26,G$57),"")=0,"",IF(MID(IFERROR(INDEX(醫師週班表!$C$5:$T$44,$CU26,G$57),""),2,1)="/",MID(IFERROR(INDEX(醫師週班表!$C$5:$T$44,$CU26,G$57),""),1+G$58*2,1),IF(MID(IFERROR(INDEX(醫師週班表!$C$5:$T$44,$CU26,G$57),""),3,1)="隔",IF(G$58=0,LEFT(IFERROR(INDEX(醫師週班表!$C$5:$T$44,$CU26,G$57),""),1),""),IF(MID(IFERROR(INDEX(醫師週班表!$C$5:$T$44,$CU26,G$57),""),2,1)="(",LEFT(IFERROR(INDEX(醫師週班表!$C$5:$T$44,$CU26,G$57),""),1),IFERROR(INDEX(醫師週班表!$C$5:$T$44,$CU26,G$57),"")))))))</f>
        <v/>
      </c>
      <c r="H26" s="71">
        <f>IF(H$59="X","",IF(H$59&lt;&gt;"",H$59,IF(IFERROR(INDEX(醫師週班表!$C$5:$T$44,$CU26,H$57),"")=0,"",IF(MID(IFERROR(INDEX(醫師週班表!$C$5:$T$44,$CU26,H$57),""),2,1)="/",MID(IFERROR(INDEX(醫師週班表!$C$5:$T$44,$CU26,H$57),""),1+H$58*2,1),IF(MID(IFERROR(INDEX(醫師週班表!$C$5:$T$44,$CU26,H$57),""),3,1)="隔",IF(H$58=0,LEFT(IFERROR(INDEX(醫師週班表!$C$5:$T$44,$CU26,H$57),""),1),""),IF(MID(IFERROR(INDEX(醫師週班表!$C$5:$T$44,$CU26,H$57),""),2,1)="(",LEFT(IFERROR(INDEX(醫師週班表!$C$5:$T$44,$CU26,H$57),""),1),IFERROR(INDEX(醫師週班表!$C$5:$T$44,$CU26,H$57),"")))))))</f>
        <v/>
      </c>
      <c r="I26" s="72">
        <f>IF(I$59="X","",IF(I$59&lt;&gt;"",I$59,IF(IFERROR(INDEX(醫師週班表!$C$5:$T$44,$CU26,I$57),"")=0,"",IF(MID(IFERROR(INDEX(醫師週班表!$C$5:$T$44,$CU26,I$57),""),2,1)="/",MID(IFERROR(INDEX(醫師週班表!$C$5:$T$44,$CU26,I$57),""),1+I$58*2,1),IF(MID(IFERROR(INDEX(醫師週班表!$C$5:$T$44,$CU26,I$57),""),3,1)="隔",IF(I$58=0,LEFT(IFERROR(INDEX(醫師週班表!$C$5:$T$44,$CU26,I$57),""),1),""),IF(MID(IFERROR(INDEX(醫師週班表!$C$5:$T$44,$CU26,I$57),""),2,1)="(",LEFT(IFERROR(INDEX(醫師週班表!$C$5:$T$44,$CU26,I$57),""),1),IFERROR(INDEX(醫師週班表!$C$5:$T$44,$CU26,I$57),"")))))))</f>
        <v/>
      </c>
      <c r="J26" s="72">
        <f>IF(J$59="X","",IF(J$59&lt;&gt;"",J$59,IF(IFERROR(INDEX(醫師週班表!$C$5:$T$44,$CU26,J$57),"")=0,"",IF(MID(IFERROR(INDEX(醫師週班表!$C$5:$T$44,$CU26,J$57),""),2,1)="/",MID(IFERROR(INDEX(醫師週班表!$C$5:$T$44,$CU26,J$57),""),1+J$58*2,1),IF(MID(IFERROR(INDEX(醫師週班表!$C$5:$T$44,$CU26,J$57),""),3,1)="隔",IF(J$58=0,LEFT(IFERROR(INDEX(醫師週班表!$C$5:$T$44,$CU26,J$57),""),1),""),IF(MID(IFERROR(INDEX(醫師週班表!$C$5:$T$44,$CU26,J$57),""),2,1)="(",LEFT(IFERROR(INDEX(醫師週班表!$C$5:$T$44,$CU26,J$57),""),1),IFERROR(INDEX(醫師週班表!$C$5:$T$44,$CU26,J$57),"")))))))</f>
        <v/>
      </c>
      <c r="K26" s="71">
        <f>IF(K$59="X","",IF(K$59&lt;&gt;"",K$59,IF(IFERROR(INDEX(醫師週班表!$C$5:$T$44,$CU26,K$57),"")=0,"",IF(MID(IFERROR(INDEX(醫師週班表!$C$5:$T$44,$CU26,K$57),""),2,1)="/",MID(IFERROR(INDEX(醫師週班表!$C$5:$T$44,$CU26,K$57),""),1+K$58*2,1),IF(MID(IFERROR(INDEX(醫師週班表!$C$5:$T$44,$CU26,K$57),""),3,1)="隔",IF(K$58=0,LEFT(IFERROR(INDEX(醫師週班表!$C$5:$T$44,$CU26,K$57),""),1),""),IF(MID(IFERROR(INDEX(醫師週班表!$C$5:$T$44,$CU26,K$57),""),2,1)="(",LEFT(IFERROR(INDEX(醫師週班表!$C$5:$T$44,$CU26,K$57),""),1),IFERROR(INDEX(醫師週班表!$C$5:$T$44,$CU26,K$57),"")))))))</f>
        <v/>
      </c>
      <c r="L26" s="72">
        <f>IF(L$59="X","",IF(L$59&lt;&gt;"",L$59,IF(IFERROR(INDEX(醫師週班表!$C$5:$T$44,$CU26,L$57),"")=0,"",IF(MID(IFERROR(INDEX(醫師週班表!$C$5:$T$44,$CU26,L$57),""),2,1)="/",MID(IFERROR(INDEX(醫師週班表!$C$5:$T$44,$CU26,L$57),""),1+L$58*2,1),IF(MID(IFERROR(INDEX(醫師週班表!$C$5:$T$44,$CU26,L$57),""),3,1)="隔",IF(L$58=0,LEFT(IFERROR(INDEX(醫師週班表!$C$5:$T$44,$CU26,L$57),""),1),""),IF(MID(IFERROR(INDEX(醫師週班表!$C$5:$T$44,$CU26,L$57),""),2,1)="(",LEFT(IFERROR(INDEX(醫師週班表!$C$5:$T$44,$CU26,L$57),""),1),IFERROR(INDEX(醫師週班表!$C$5:$T$44,$CU26,L$57),"")))))))</f>
        <v/>
      </c>
      <c r="M26" s="72">
        <f>IF(M$59="X","",IF(M$59&lt;&gt;"",M$59,IF(IFERROR(INDEX(醫師週班表!$C$5:$T$44,$CU26,M$57),"")=0,"",IF(MID(IFERROR(INDEX(醫師週班表!$C$5:$T$44,$CU26,M$57),""),2,1)="/",MID(IFERROR(INDEX(醫師週班表!$C$5:$T$44,$CU26,M$57),""),1+M$58*2,1),IF(MID(IFERROR(INDEX(醫師週班表!$C$5:$T$44,$CU26,M$57),""),3,1)="隔",IF(M$58=0,LEFT(IFERROR(INDEX(醫師週班表!$C$5:$T$44,$CU26,M$57),""),1),""),IF(MID(IFERROR(INDEX(醫師週班表!$C$5:$T$44,$CU26,M$57),""),2,1)="(",LEFT(IFERROR(INDEX(醫師週班表!$C$5:$T$44,$CU26,M$57),""),1),IFERROR(INDEX(醫師週班表!$C$5:$T$44,$CU26,M$57),"")))))))</f>
        <v/>
      </c>
      <c r="N26" s="71">
        <f>IF(N$59="X","",IF(N$59&lt;&gt;"",N$59,IF(IFERROR(INDEX(醫師週班表!$C$5:$T$44,$CU26,N$57),"")=0,"",IF(MID(IFERROR(INDEX(醫師週班表!$C$5:$T$44,$CU26,N$57),""),2,1)="/",MID(IFERROR(INDEX(醫師週班表!$C$5:$T$44,$CU26,N$57),""),1+N$58*2,1),IF(MID(IFERROR(INDEX(醫師週班表!$C$5:$T$44,$CU26,N$57),""),3,1)="隔",IF(N$58=0,LEFT(IFERROR(INDEX(醫師週班表!$C$5:$T$44,$CU26,N$57),""),1),""),IF(MID(IFERROR(INDEX(醫師週班表!$C$5:$T$44,$CU26,N$57),""),2,1)="(",LEFT(IFERROR(INDEX(醫師週班表!$C$5:$T$44,$CU26,N$57),""),1),IFERROR(INDEX(醫師週班表!$C$5:$T$44,$CU26,N$57),"")))))))</f>
        <v/>
      </c>
      <c r="O26" s="72">
        <f>IF(O$59="X","",IF(O$59&lt;&gt;"",O$59,IF(IFERROR(INDEX(醫師週班表!$C$5:$T$44,$CU26,O$57),"")=0,"",IF(MID(IFERROR(INDEX(醫師週班表!$C$5:$T$44,$CU26,O$57),""),2,1)="/",MID(IFERROR(INDEX(醫師週班表!$C$5:$T$44,$CU26,O$57),""),1+O$58*2,1),IF(MID(IFERROR(INDEX(醫師週班表!$C$5:$T$44,$CU26,O$57),""),3,1)="隔",IF(O$58=0,LEFT(IFERROR(INDEX(醫師週班表!$C$5:$T$44,$CU26,O$57),""),1),""),IF(MID(IFERROR(INDEX(醫師週班表!$C$5:$T$44,$CU26,O$57),""),2,1)="(",LEFT(IFERROR(INDEX(醫師週班表!$C$5:$T$44,$CU26,O$57),""),1),IFERROR(INDEX(醫師週班表!$C$5:$T$44,$CU26,O$57),"")))))))</f>
        <v/>
      </c>
      <c r="P26" s="72">
        <f>IF(P$59="X","",IF(P$59&lt;&gt;"",P$59,IF(IFERROR(INDEX(醫師週班表!$C$5:$T$44,$CU26,P$57),"")=0,"",IF(MID(IFERROR(INDEX(醫師週班表!$C$5:$T$44,$CU26,P$57),""),2,1)="/",MID(IFERROR(INDEX(醫師週班表!$C$5:$T$44,$CU26,P$57),""),1+P$58*2,1),IF(MID(IFERROR(INDEX(醫師週班表!$C$5:$T$44,$CU26,P$57),""),3,1)="隔",IF(P$58=0,LEFT(IFERROR(INDEX(醫師週班表!$C$5:$T$44,$CU26,P$57),""),1),""),IF(MID(IFERROR(INDEX(醫師週班表!$C$5:$T$44,$CU26,P$57),""),2,1)="(",LEFT(IFERROR(INDEX(醫師週班表!$C$5:$T$44,$CU26,P$57),""),1),IFERROR(INDEX(醫師週班表!$C$5:$T$44,$CU26,P$57),"")))))))</f>
        <v/>
      </c>
      <c r="Q26" s="71">
        <f>IF(Q$59="X","",IF(Q$59&lt;&gt;"",Q$59,IF(IFERROR(INDEX(醫師週班表!$C$5:$T$44,$CU26,Q$57),"")=0,"",IF(MID(IFERROR(INDEX(醫師週班表!$C$5:$T$44,$CU26,Q$57),""),2,1)="/",MID(IFERROR(INDEX(醫師週班表!$C$5:$T$44,$CU26,Q$57),""),1+Q$58*2,1),IF(MID(IFERROR(INDEX(醫師週班表!$C$5:$T$44,$CU26,Q$57),""),3,1)="隔",IF(Q$58=0,LEFT(IFERROR(INDEX(醫師週班表!$C$5:$T$44,$CU26,Q$57),""),1),""),IF(MID(IFERROR(INDEX(醫師週班表!$C$5:$T$44,$CU26,Q$57),""),2,1)="(",LEFT(IFERROR(INDEX(醫師週班表!$C$5:$T$44,$CU26,Q$57),""),1),IFERROR(INDEX(醫師週班表!$C$5:$T$44,$CU26,Q$57),"")))))))</f>
        <v/>
      </c>
      <c r="R26" s="72">
        <f>IF(R$59="X","",IF(R$59&lt;&gt;"",R$59,IF(IFERROR(INDEX(醫師週班表!$C$5:$T$44,$CU26,R$57),"")=0,"",IF(MID(IFERROR(INDEX(醫師週班表!$C$5:$T$44,$CU26,R$57),""),2,1)="/",MID(IFERROR(INDEX(醫師週班表!$C$5:$T$44,$CU26,R$57),""),1+R$58*2,1),IF(MID(IFERROR(INDEX(醫師週班表!$C$5:$T$44,$CU26,R$57),""),3,1)="隔",IF(R$58=0,LEFT(IFERROR(INDEX(醫師週班表!$C$5:$T$44,$CU26,R$57),""),1),""),IF(MID(IFERROR(INDEX(醫師週班表!$C$5:$T$44,$CU26,R$57),""),2,1)="(",LEFT(IFERROR(INDEX(醫師週班表!$C$5:$T$44,$CU26,R$57),""),1),IFERROR(INDEX(醫師週班表!$C$5:$T$44,$CU26,R$57),"")))))))</f>
        <v/>
      </c>
      <c r="S26" s="72">
        <f>IF(S$59="X","",IF(S$59&lt;&gt;"",S$59,IF(IFERROR(INDEX(醫師週班表!$C$5:$T$44,$CU26,S$57),"")=0,"",IF(MID(IFERROR(INDEX(醫師週班表!$C$5:$T$44,$CU26,S$57),""),2,1)="/",MID(IFERROR(INDEX(醫師週班表!$C$5:$T$44,$CU26,S$57),""),1+S$58*2,1),IF(MID(IFERROR(INDEX(醫師週班表!$C$5:$T$44,$CU26,S$57),""),3,1)="隔",IF(S$58=0,LEFT(IFERROR(INDEX(醫師週班表!$C$5:$T$44,$CU26,S$57),""),1),""),IF(MID(IFERROR(INDEX(醫師週班表!$C$5:$T$44,$CU26,S$57),""),2,1)="(",LEFT(IFERROR(INDEX(醫師週班表!$C$5:$T$44,$CU26,S$57),""),1),IFERROR(INDEX(醫師週班表!$C$5:$T$44,$CU26,S$57),"")))))))</f>
        <v/>
      </c>
      <c r="T26" s="71">
        <f>IF(T$59="X","",IF(T$59&lt;&gt;"",T$59,IF(IFERROR(INDEX(醫師週班表!$C$5:$T$44,$CU26,T$57),"")=0,"",IF(MID(IFERROR(INDEX(醫師週班表!$C$5:$T$44,$CU26,T$57),""),2,1)="/",MID(IFERROR(INDEX(醫師週班表!$C$5:$T$44,$CU26,T$57),""),1+T$58*2,1),IF(MID(IFERROR(INDEX(醫師週班表!$C$5:$T$44,$CU26,T$57),""),3,1)="隔",IF(T$58=0,LEFT(IFERROR(INDEX(醫師週班表!$C$5:$T$44,$CU26,T$57),""),1),""),IF(MID(IFERROR(INDEX(醫師週班表!$C$5:$T$44,$CU26,T$57),""),2,1)="(",LEFT(IFERROR(INDEX(醫師週班表!$C$5:$T$44,$CU26,T$57),""),1),IFERROR(INDEX(醫師週班表!$C$5:$T$44,$CU26,T$57),"")))))))</f>
        <v/>
      </c>
      <c r="U26" s="72">
        <f>IF(U$59="X","",IF(U$59&lt;&gt;"",U$59,IF(IFERROR(INDEX(醫師週班表!$C$5:$T$44,$CU26,U$57),"")=0,"",IF(MID(IFERROR(INDEX(醫師週班表!$C$5:$T$44,$CU26,U$57),""),2,1)="/",MID(IFERROR(INDEX(醫師週班表!$C$5:$T$44,$CU26,U$57),""),1+U$58*2,1),IF(MID(IFERROR(INDEX(醫師週班表!$C$5:$T$44,$CU26,U$57),""),3,1)="隔",IF(U$58=0,LEFT(IFERROR(INDEX(醫師週班表!$C$5:$T$44,$CU26,U$57),""),1),""),IF(MID(IFERROR(INDEX(醫師週班表!$C$5:$T$44,$CU26,U$57),""),2,1)="(",LEFT(IFERROR(INDEX(醫師週班表!$C$5:$T$44,$CU26,U$57),""),1),IFERROR(INDEX(醫師週班表!$C$5:$T$44,$CU26,U$57),"")))))))</f>
        <v/>
      </c>
      <c r="V26" s="72">
        <f>IF(V$59="X","",IF(V$59&lt;&gt;"",V$59,IF(IFERROR(INDEX(醫師週班表!$C$5:$T$44,$CU26,V$57),"")=0,"",IF(MID(IFERROR(INDEX(醫師週班表!$C$5:$T$44,$CU26,V$57),""),2,1)="/",MID(IFERROR(INDEX(醫師週班表!$C$5:$T$44,$CU26,V$57),""),1+V$58*2,1),IF(MID(IFERROR(INDEX(醫師週班表!$C$5:$T$44,$CU26,V$57),""),3,1)="隔",IF(V$58=0,LEFT(IFERROR(INDEX(醫師週班表!$C$5:$T$44,$CU26,V$57),""),1),""),IF(MID(IFERROR(INDEX(醫師週班表!$C$5:$T$44,$CU26,V$57),""),2,1)="(",LEFT(IFERROR(INDEX(醫師週班表!$C$5:$T$44,$CU26,V$57),""),1),IFERROR(INDEX(醫師週班表!$C$5:$T$44,$CU26,V$57),"")))))))</f>
        <v/>
      </c>
      <c r="W26" s="71">
        <f>IF(W$59="X","",IF(W$59&lt;&gt;"",W$59,IF(IFERROR(INDEX(醫師週班表!$C$5:$T$44,$CU26,W$57),"")=0,"",IF(MID(IFERROR(INDEX(醫師週班表!$C$5:$T$44,$CU26,W$57),""),2,1)="/",MID(IFERROR(INDEX(醫師週班表!$C$5:$T$44,$CU26,W$57),""),1+W$58*2,1),IF(MID(IFERROR(INDEX(醫師週班表!$C$5:$T$44,$CU26,W$57),""),3,1)="隔",IF(W$58=0,LEFT(IFERROR(INDEX(醫師週班表!$C$5:$T$44,$CU26,W$57),""),1),""),IF(MID(IFERROR(INDEX(醫師週班表!$C$5:$T$44,$CU26,W$57),""),2,1)="(",LEFT(IFERROR(INDEX(醫師週班表!$C$5:$T$44,$CU26,W$57),""),1),IFERROR(INDEX(醫師週班表!$C$5:$T$44,$CU26,W$57),"")))))))</f>
        <v/>
      </c>
      <c r="X26" s="72">
        <f>IF(X$59="X","",IF(X$59&lt;&gt;"",X$59,IF(IFERROR(INDEX(醫師週班表!$C$5:$T$44,$CU26,X$57),"")=0,"",IF(MID(IFERROR(INDEX(醫師週班表!$C$5:$T$44,$CU26,X$57),""),2,1)="/",MID(IFERROR(INDEX(醫師週班表!$C$5:$T$44,$CU26,X$57),""),1+X$58*2,1),IF(MID(IFERROR(INDEX(醫師週班表!$C$5:$T$44,$CU26,X$57),""),3,1)="隔",IF(X$58=0,LEFT(IFERROR(INDEX(醫師週班表!$C$5:$T$44,$CU26,X$57),""),1),""),IF(MID(IFERROR(INDEX(醫師週班表!$C$5:$T$44,$CU26,X$57),""),2,1)="(",LEFT(IFERROR(INDEX(醫師週班表!$C$5:$T$44,$CU26,X$57),""),1),IFERROR(INDEX(醫師週班表!$C$5:$T$44,$CU26,X$57),"")))))))</f>
        <v/>
      </c>
      <c r="Y26" s="72">
        <f>IF(Y$59="X","",IF(Y$59&lt;&gt;"",Y$59,IF(IFERROR(INDEX(醫師週班表!$C$5:$T$44,$CU26,Y$57),"")=0,"",IF(MID(IFERROR(INDEX(醫師週班表!$C$5:$T$44,$CU26,Y$57),""),2,1)="/",MID(IFERROR(INDEX(醫師週班表!$C$5:$T$44,$CU26,Y$57),""),1+Y$58*2,1),IF(MID(IFERROR(INDEX(醫師週班表!$C$5:$T$44,$CU26,Y$57),""),3,1)="隔",IF(Y$58=0,LEFT(IFERROR(INDEX(醫師週班表!$C$5:$T$44,$CU26,Y$57),""),1),""),IF(MID(IFERROR(INDEX(醫師週班表!$C$5:$T$44,$CU26,Y$57),""),2,1)="(",LEFT(IFERROR(INDEX(醫師週班表!$C$5:$T$44,$CU26,Y$57),""),1),IFERROR(INDEX(醫師週班表!$C$5:$T$44,$CU26,Y$57),"")))))))</f>
        <v/>
      </c>
      <c r="Z26" s="71">
        <f>IF(Z$59="X","",IF(Z$59&lt;&gt;"",Z$59,IF(IFERROR(INDEX(醫師週班表!$C$5:$T$44,$CU26,Z$57),"")=0,"",IF(MID(IFERROR(INDEX(醫師週班表!$C$5:$T$44,$CU26,Z$57),""),2,1)="/",MID(IFERROR(INDEX(醫師週班表!$C$5:$T$44,$CU26,Z$57),""),1+Z$58*2,1),IF(MID(IFERROR(INDEX(醫師週班表!$C$5:$T$44,$CU26,Z$57),""),3,1)="隔",IF(Z$58=0,LEFT(IFERROR(INDEX(醫師週班表!$C$5:$T$44,$CU26,Z$57),""),1),""),IF(MID(IFERROR(INDEX(醫師週班表!$C$5:$T$44,$CU26,Z$57),""),2,1)="(",LEFT(IFERROR(INDEX(醫師週班表!$C$5:$T$44,$CU26,Z$57),""),1),IFERROR(INDEX(醫師週班表!$C$5:$T$44,$CU26,Z$57),"")))))))</f>
        <v/>
      </c>
      <c r="AA26" s="72">
        <f>IF(AA$59="X","",IF(AA$59&lt;&gt;"",AA$59,IF(IFERROR(INDEX(醫師週班表!$C$5:$T$44,$CU26,AA$57),"")=0,"",IF(MID(IFERROR(INDEX(醫師週班表!$C$5:$T$44,$CU26,AA$57),""),2,1)="/",MID(IFERROR(INDEX(醫師週班表!$C$5:$T$44,$CU26,AA$57),""),1+AA$58*2,1),IF(MID(IFERROR(INDEX(醫師週班表!$C$5:$T$44,$CU26,AA$57),""),3,1)="隔",IF(AA$58=0,LEFT(IFERROR(INDEX(醫師週班表!$C$5:$T$44,$CU26,AA$57),""),1),""),IF(MID(IFERROR(INDEX(醫師週班表!$C$5:$T$44,$CU26,AA$57),""),2,1)="(",LEFT(IFERROR(INDEX(醫師週班表!$C$5:$T$44,$CU26,AA$57),""),1),IFERROR(INDEX(醫師週班表!$C$5:$T$44,$CU26,AA$57),"")))))))</f>
        <v/>
      </c>
      <c r="AB26" s="72">
        <f>IF(AB$59="X","",IF(AB$59&lt;&gt;"",AB$59,IF(IFERROR(INDEX(醫師週班表!$C$5:$T$44,$CU26,AB$57),"")=0,"",IF(MID(IFERROR(INDEX(醫師週班表!$C$5:$T$44,$CU26,AB$57),""),2,1)="/",MID(IFERROR(INDEX(醫師週班表!$C$5:$T$44,$CU26,AB$57),""),1+AB$58*2,1),IF(MID(IFERROR(INDEX(醫師週班表!$C$5:$T$44,$CU26,AB$57),""),3,1)="隔",IF(AB$58=0,LEFT(IFERROR(INDEX(醫師週班表!$C$5:$T$44,$CU26,AB$57),""),1),""),IF(MID(IFERROR(INDEX(醫師週班表!$C$5:$T$44,$CU26,AB$57),""),2,1)="(",LEFT(IFERROR(INDEX(醫師週班表!$C$5:$T$44,$CU26,AB$57),""),1),IFERROR(INDEX(醫師週班表!$C$5:$T$44,$CU26,AB$57),"")))))))</f>
        <v/>
      </c>
      <c r="AC26" s="71">
        <f>IF(AC$59="X","",IF(AC$59&lt;&gt;"",AC$59,IF(IFERROR(INDEX(醫師週班表!$C$5:$T$44,$CU26,AC$57),"")=0,"",IF(MID(IFERROR(INDEX(醫師週班表!$C$5:$T$44,$CU26,AC$57),""),2,1)="/",MID(IFERROR(INDEX(醫師週班表!$C$5:$T$44,$CU26,AC$57),""),1+AC$58*2,1),IF(MID(IFERROR(INDEX(醫師週班表!$C$5:$T$44,$CU26,AC$57),""),3,1)="隔",IF(AC$58=0,LEFT(IFERROR(INDEX(醫師週班表!$C$5:$T$44,$CU26,AC$57),""),1),""),IF(MID(IFERROR(INDEX(醫師週班表!$C$5:$T$44,$CU26,AC$57),""),2,1)="(",LEFT(IFERROR(INDEX(醫師週班表!$C$5:$T$44,$CU26,AC$57),""),1),IFERROR(INDEX(醫師週班表!$C$5:$T$44,$CU26,AC$57),"")))))))</f>
        <v/>
      </c>
      <c r="AD26" s="72">
        <f>IF(AD$59="X","",IF(AD$59&lt;&gt;"",AD$59,IF(IFERROR(INDEX(醫師週班表!$C$5:$T$44,$CU26,AD$57),"")=0,"",IF(MID(IFERROR(INDEX(醫師週班表!$C$5:$T$44,$CU26,AD$57),""),2,1)="/",MID(IFERROR(INDEX(醫師週班表!$C$5:$T$44,$CU26,AD$57),""),1+AD$58*2,1),IF(MID(IFERROR(INDEX(醫師週班表!$C$5:$T$44,$CU26,AD$57),""),3,1)="隔",IF(AD$58=0,LEFT(IFERROR(INDEX(醫師週班表!$C$5:$T$44,$CU26,AD$57),""),1),""),IF(MID(IFERROR(INDEX(醫師週班表!$C$5:$T$44,$CU26,AD$57),""),2,1)="(",LEFT(IFERROR(INDEX(醫師週班表!$C$5:$T$44,$CU26,AD$57),""),1),IFERROR(INDEX(醫師週班表!$C$5:$T$44,$CU26,AD$57),"")))))))</f>
        <v/>
      </c>
      <c r="AE26" s="72">
        <f>IF(AE$59="X","",IF(AE$59&lt;&gt;"",AE$59,IF(IFERROR(INDEX(醫師週班表!$C$5:$T$44,$CU26,AE$57),"")=0,"",IF(MID(IFERROR(INDEX(醫師週班表!$C$5:$T$44,$CU26,AE$57),""),2,1)="/",MID(IFERROR(INDEX(醫師週班表!$C$5:$T$44,$CU26,AE$57),""),1+AE$58*2,1),IF(MID(IFERROR(INDEX(醫師週班表!$C$5:$T$44,$CU26,AE$57),""),3,1)="隔",IF(AE$58=0,LEFT(IFERROR(INDEX(醫師週班表!$C$5:$T$44,$CU26,AE$57),""),1),""),IF(MID(IFERROR(INDEX(醫師週班表!$C$5:$T$44,$CU26,AE$57),""),2,1)="(",LEFT(IFERROR(INDEX(醫師週班表!$C$5:$T$44,$CU26,AE$57),""),1),IFERROR(INDEX(醫師週班表!$C$5:$T$44,$CU26,AE$57),"")))))))</f>
        <v/>
      </c>
      <c r="AF26" s="71">
        <f>IF(AF$59="X","",IF(AF$59&lt;&gt;"",AF$59,IF(IFERROR(INDEX(醫師週班表!$C$5:$T$44,$CU26,AF$57),"")=0,"",IF(MID(IFERROR(INDEX(醫師週班表!$C$5:$T$44,$CU26,AF$57),""),2,1)="/",MID(IFERROR(INDEX(醫師週班表!$C$5:$T$44,$CU26,AF$57),""),1+AF$58*2,1),IF(MID(IFERROR(INDEX(醫師週班表!$C$5:$T$44,$CU26,AF$57),""),3,1)="隔",IF(AF$58=0,LEFT(IFERROR(INDEX(醫師週班表!$C$5:$T$44,$CU26,AF$57),""),1),""),IF(MID(IFERROR(INDEX(醫師週班表!$C$5:$T$44,$CU26,AF$57),""),2,1)="(",LEFT(IFERROR(INDEX(醫師週班表!$C$5:$T$44,$CU26,AF$57),""),1),IFERROR(INDEX(醫師週班表!$C$5:$T$44,$CU26,AF$57),"")))))))</f>
        <v/>
      </c>
      <c r="AG26" s="72">
        <f>IF(AG$59="X","",IF(AG$59&lt;&gt;"",AG$59,IF(IFERROR(INDEX(醫師週班表!$C$5:$T$44,$CU26,AG$57),"")=0,"",IF(MID(IFERROR(INDEX(醫師週班表!$C$5:$T$44,$CU26,AG$57),""),2,1)="/",MID(IFERROR(INDEX(醫師週班表!$C$5:$T$44,$CU26,AG$57),""),1+AG$58*2,1),IF(MID(IFERROR(INDEX(醫師週班表!$C$5:$T$44,$CU26,AG$57),""),3,1)="隔",IF(AG$58=0,LEFT(IFERROR(INDEX(醫師週班表!$C$5:$T$44,$CU26,AG$57),""),1),""),IF(MID(IFERROR(INDEX(醫師週班表!$C$5:$T$44,$CU26,AG$57),""),2,1)="(",LEFT(IFERROR(INDEX(醫師週班表!$C$5:$T$44,$CU26,AG$57),""),1),IFERROR(INDEX(醫師週班表!$C$5:$T$44,$CU26,AG$57),"")))))))</f>
        <v/>
      </c>
      <c r="AH26" s="72">
        <f>IF(AH$59="X","",IF(AH$59&lt;&gt;"",AH$59,IF(IFERROR(INDEX(醫師週班表!$C$5:$T$44,$CU26,AH$57),"")=0,"",IF(MID(IFERROR(INDEX(醫師週班表!$C$5:$T$44,$CU26,AH$57),""),2,1)="/",MID(IFERROR(INDEX(醫師週班表!$C$5:$T$44,$CU26,AH$57),""),1+AH$58*2,1),IF(MID(IFERROR(INDEX(醫師週班表!$C$5:$T$44,$CU26,AH$57),""),3,1)="隔",IF(AH$58=0,LEFT(IFERROR(INDEX(醫師週班表!$C$5:$T$44,$CU26,AH$57),""),1),""),IF(MID(IFERROR(INDEX(醫師週班表!$C$5:$T$44,$CU26,AH$57),""),2,1)="(",LEFT(IFERROR(INDEX(醫師週班表!$C$5:$T$44,$CU26,AH$57),""),1),IFERROR(INDEX(醫師週班表!$C$5:$T$44,$CU26,AH$57),"")))))))</f>
        <v/>
      </c>
      <c r="AI26" s="71">
        <f>IF(AI$59="X","",IF(AI$59&lt;&gt;"",AI$59,IF(IFERROR(INDEX(醫師週班表!$C$5:$T$44,$CU26,AI$57),"")=0,"",IF(MID(IFERROR(INDEX(醫師週班表!$C$5:$T$44,$CU26,AI$57),""),2,1)="/",MID(IFERROR(INDEX(醫師週班表!$C$5:$T$44,$CU26,AI$57),""),1+AI$58*2,1),IF(MID(IFERROR(INDEX(醫師週班表!$C$5:$T$44,$CU26,AI$57),""),3,1)="隔",IF(AI$58=0,LEFT(IFERROR(INDEX(醫師週班表!$C$5:$T$44,$CU26,AI$57),""),1),""),IF(MID(IFERROR(INDEX(醫師週班表!$C$5:$T$44,$CU26,AI$57),""),2,1)="(",LEFT(IFERROR(INDEX(醫師週班表!$C$5:$T$44,$CU26,AI$57),""),1),IFERROR(INDEX(醫師週班表!$C$5:$T$44,$CU26,AI$57),"")))))))</f>
        <v/>
      </c>
      <c r="AJ26" s="72">
        <f>IF(AJ$59="X","",IF(AJ$59&lt;&gt;"",AJ$59,IF(IFERROR(INDEX(醫師週班表!$C$5:$T$44,$CU26,AJ$57),"")=0,"",IF(MID(IFERROR(INDEX(醫師週班表!$C$5:$T$44,$CU26,AJ$57),""),2,1)="/",MID(IFERROR(INDEX(醫師週班表!$C$5:$T$44,$CU26,AJ$57),""),1+AJ$58*2,1),IF(MID(IFERROR(INDEX(醫師週班表!$C$5:$T$44,$CU26,AJ$57),""),3,1)="隔",IF(AJ$58=0,LEFT(IFERROR(INDEX(醫師週班表!$C$5:$T$44,$CU26,AJ$57),""),1),""),IF(MID(IFERROR(INDEX(醫師週班表!$C$5:$T$44,$CU26,AJ$57),""),2,1)="(",LEFT(IFERROR(INDEX(醫師週班表!$C$5:$T$44,$CU26,AJ$57),""),1),IFERROR(INDEX(醫師週班表!$C$5:$T$44,$CU26,AJ$57),"")))))))</f>
        <v/>
      </c>
      <c r="AK26" s="72">
        <f>IF(AK$59="X","",IF(AK$59&lt;&gt;"",AK$59,IF(IFERROR(INDEX(醫師週班表!$C$5:$T$44,$CU26,AK$57),"")=0,"",IF(MID(IFERROR(INDEX(醫師週班表!$C$5:$T$44,$CU26,AK$57),""),2,1)="/",MID(IFERROR(INDEX(醫師週班表!$C$5:$T$44,$CU26,AK$57),""),1+AK$58*2,1),IF(MID(IFERROR(INDEX(醫師週班表!$C$5:$T$44,$CU26,AK$57),""),3,1)="隔",IF(AK$58=0,LEFT(IFERROR(INDEX(醫師週班表!$C$5:$T$44,$CU26,AK$57),""),1),""),IF(MID(IFERROR(INDEX(醫師週班表!$C$5:$T$44,$CU26,AK$57),""),2,1)="(",LEFT(IFERROR(INDEX(醫師週班表!$C$5:$T$44,$CU26,AK$57),""),1),IFERROR(INDEX(醫師週班表!$C$5:$T$44,$CU26,AK$57),"")))))))</f>
        <v/>
      </c>
      <c r="AL26" s="71">
        <f>IF(AL$59="X","",IF(AL$59&lt;&gt;"",AL$59,IF(IFERROR(INDEX(醫師週班表!$C$5:$T$44,$CU26,AL$57),"")=0,"",IF(MID(IFERROR(INDEX(醫師週班表!$C$5:$T$44,$CU26,AL$57),""),2,1)="/",MID(IFERROR(INDEX(醫師週班表!$C$5:$T$44,$CU26,AL$57),""),1+AL$58*2,1),IF(MID(IFERROR(INDEX(醫師週班表!$C$5:$T$44,$CU26,AL$57),""),3,1)="隔",IF(AL$58=0,LEFT(IFERROR(INDEX(醫師週班表!$C$5:$T$44,$CU26,AL$57),""),1),""),IF(MID(IFERROR(INDEX(醫師週班表!$C$5:$T$44,$CU26,AL$57),""),2,1)="(",LEFT(IFERROR(INDEX(醫師週班表!$C$5:$T$44,$CU26,AL$57),""),1),IFERROR(INDEX(醫師週班表!$C$5:$T$44,$CU26,AL$57),"")))))))</f>
        <v/>
      </c>
      <c r="AM26" s="72">
        <f>IF(AM$59="X","",IF(AM$59&lt;&gt;"",AM$59,IF(IFERROR(INDEX(醫師週班表!$C$5:$T$44,$CU26,AM$57),"")=0,"",IF(MID(IFERROR(INDEX(醫師週班表!$C$5:$T$44,$CU26,AM$57),""),2,1)="/",MID(IFERROR(INDEX(醫師週班表!$C$5:$T$44,$CU26,AM$57),""),1+AM$58*2,1),IF(MID(IFERROR(INDEX(醫師週班表!$C$5:$T$44,$CU26,AM$57),""),3,1)="隔",IF(AM$58=0,LEFT(IFERROR(INDEX(醫師週班表!$C$5:$T$44,$CU26,AM$57),""),1),""),IF(MID(IFERROR(INDEX(醫師週班表!$C$5:$T$44,$CU26,AM$57),""),2,1)="(",LEFT(IFERROR(INDEX(醫師週班表!$C$5:$T$44,$CU26,AM$57),""),1),IFERROR(INDEX(醫師週班表!$C$5:$T$44,$CU26,AM$57),"")))))))</f>
        <v/>
      </c>
      <c r="AN26" s="72">
        <f>IF(AN$59="X","",IF(AN$59&lt;&gt;"",AN$59,IF(IFERROR(INDEX(醫師週班表!$C$5:$T$44,$CU26,AN$57),"")=0,"",IF(MID(IFERROR(INDEX(醫師週班表!$C$5:$T$44,$CU26,AN$57),""),2,1)="/",MID(IFERROR(INDEX(醫師週班表!$C$5:$T$44,$CU26,AN$57),""),1+AN$58*2,1),IF(MID(IFERROR(INDEX(醫師週班表!$C$5:$T$44,$CU26,AN$57),""),3,1)="隔",IF(AN$58=0,LEFT(IFERROR(INDEX(醫師週班表!$C$5:$T$44,$CU26,AN$57),""),1),""),IF(MID(IFERROR(INDEX(醫師週班表!$C$5:$T$44,$CU26,AN$57),""),2,1)="(",LEFT(IFERROR(INDEX(醫師週班表!$C$5:$T$44,$CU26,AN$57),""),1),IFERROR(INDEX(醫師週班表!$C$5:$T$44,$CU26,AN$57),"")))))))</f>
        <v/>
      </c>
      <c r="AO26" s="71">
        <f>IF(AO$59="X","",IF(AO$59&lt;&gt;"",AO$59,IF(IFERROR(INDEX(醫師週班表!$C$5:$T$44,$CU26,AO$57),"")=0,"",IF(MID(IFERROR(INDEX(醫師週班表!$C$5:$T$44,$CU26,AO$57),""),2,1)="/",MID(IFERROR(INDEX(醫師週班表!$C$5:$T$44,$CU26,AO$57),""),1+AO$58*2,1),IF(MID(IFERROR(INDEX(醫師週班表!$C$5:$T$44,$CU26,AO$57),""),3,1)="隔",IF(AO$58=0,LEFT(IFERROR(INDEX(醫師週班表!$C$5:$T$44,$CU26,AO$57),""),1),""),IF(MID(IFERROR(INDEX(醫師週班表!$C$5:$T$44,$CU26,AO$57),""),2,1)="(",LEFT(IFERROR(INDEX(醫師週班表!$C$5:$T$44,$CU26,AO$57),""),1),IFERROR(INDEX(醫師週班表!$C$5:$T$44,$CU26,AO$57),"")))))))</f>
        <v/>
      </c>
      <c r="AP26" s="72">
        <f>IF(AP$59="X","",IF(AP$59&lt;&gt;"",AP$59,IF(IFERROR(INDEX(醫師週班表!$C$5:$T$44,$CU26,AP$57),"")=0,"",IF(MID(IFERROR(INDEX(醫師週班表!$C$5:$T$44,$CU26,AP$57),""),2,1)="/",MID(IFERROR(INDEX(醫師週班表!$C$5:$T$44,$CU26,AP$57),""),1+AP$58*2,1),IF(MID(IFERROR(INDEX(醫師週班表!$C$5:$T$44,$CU26,AP$57),""),3,1)="隔",IF(AP$58=0,LEFT(IFERROR(INDEX(醫師週班表!$C$5:$T$44,$CU26,AP$57),""),1),""),IF(MID(IFERROR(INDEX(醫師週班表!$C$5:$T$44,$CU26,AP$57),""),2,1)="(",LEFT(IFERROR(INDEX(醫師週班表!$C$5:$T$44,$CU26,AP$57),""),1),IFERROR(INDEX(醫師週班表!$C$5:$T$44,$CU26,AP$57),"")))))))</f>
        <v/>
      </c>
      <c r="AQ26" s="72">
        <f>IF(AQ$59="X","",IF(AQ$59&lt;&gt;"",AQ$59,IF(IFERROR(INDEX(醫師週班表!$C$5:$T$44,$CU26,AQ$57),"")=0,"",IF(MID(IFERROR(INDEX(醫師週班表!$C$5:$T$44,$CU26,AQ$57),""),2,1)="/",MID(IFERROR(INDEX(醫師週班表!$C$5:$T$44,$CU26,AQ$57),""),1+AQ$58*2,1),IF(MID(IFERROR(INDEX(醫師週班表!$C$5:$T$44,$CU26,AQ$57),""),3,1)="隔",IF(AQ$58=0,LEFT(IFERROR(INDEX(醫師週班表!$C$5:$T$44,$CU26,AQ$57),""),1),""),IF(MID(IFERROR(INDEX(醫師週班表!$C$5:$T$44,$CU26,AQ$57),""),2,1)="(",LEFT(IFERROR(INDEX(醫師週班表!$C$5:$T$44,$CU26,AQ$57),""),1),IFERROR(INDEX(醫師週班表!$C$5:$T$44,$CU26,AQ$57),"")))))))</f>
        <v/>
      </c>
      <c r="AR26" s="71">
        <f>IF(AR$59="X","",IF(AR$59&lt;&gt;"",AR$59,IF(IFERROR(INDEX(醫師週班表!$C$5:$T$44,$CU26,AR$57),"")=0,"",IF(MID(IFERROR(INDEX(醫師週班表!$C$5:$T$44,$CU26,AR$57),""),2,1)="/",MID(IFERROR(INDEX(醫師週班表!$C$5:$T$44,$CU26,AR$57),""),1+AR$58*2,1),IF(MID(IFERROR(INDEX(醫師週班表!$C$5:$T$44,$CU26,AR$57),""),3,1)="隔",IF(AR$58=0,LEFT(IFERROR(INDEX(醫師週班表!$C$5:$T$44,$CU26,AR$57),""),1),""),IF(MID(IFERROR(INDEX(醫師週班表!$C$5:$T$44,$CU26,AR$57),""),2,1)="(",LEFT(IFERROR(INDEX(醫師週班表!$C$5:$T$44,$CU26,AR$57),""),1),IFERROR(INDEX(醫師週班表!$C$5:$T$44,$CU26,AR$57),"")))))))</f>
        <v/>
      </c>
      <c r="AS26" s="72">
        <f>IF(AS$59="X","",IF(AS$59&lt;&gt;"",AS$59,IF(IFERROR(INDEX(醫師週班表!$C$5:$T$44,$CU26,AS$57),"")=0,"",IF(MID(IFERROR(INDEX(醫師週班表!$C$5:$T$44,$CU26,AS$57),""),2,1)="/",MID(IFERROR(INDEX(醫師週班表!$C$5:$T$44,$CU26,AS$57),""),1+AS$58*2,1),IF(MID(IFERROR(INDEX(醫師週班表!$C$5:$T$44,$CU26,AS$57),""),3,1)="隔",IF(AS$58=0,LEFT(IFERROR(INDEX(醫師週班表!$C$5:$T$44,$CU26,AS$57),""),1),""),IF(MID(IFERROR(INDEX(醫師週班表!$C$5:$T$44,$CU26,AS$57),""),2,1)="(",LEFT(IFERROR(INDEX(醫師週班表!$C$5:$T$44,$CU26,AS$57),""),1),IFERROR(INDEX(醫師週班表!$C$5:$T$44,$CU26,AS$57),"")))))))</f>
        <v/>
      </c>
      <c r="AT26" s="72">
        <f>IF(AT$59="X","",IF(AT$59&lt;&gt;"",AT$59,IF(IFERROR(INDEX(醫師週班表!$C$5:$T$44,$CU26,AT$57),"")=0,"",IF(MID(IFERROR(INDEX(醫師週班表!$C$5:$T$44,$CU26,AT$57),""),2,1)="/",MID(IFERROR(INDEX(醫師週班表!$C$5:$T$44,$CU26,AT$57),""),1+AT$58*2,1),IF(MID(IFERROR(INDEX(醫師週班表!$C$5:$T$44,$CU26,AT$57),""),3,1)="隔",IF(AT$58=0,LEFT(IFERROR(INDEX(醫師週班表!$C$5:$T$44,$CU26,AT$57),""),1),""),IF(MID(IFERROR(INDEX(醫師週班表!$C$5:$T$44,$CU26,AT$57),""),2,1)="(",LEFT(IFERROR(INDEX(醫師週班表!$C$5:$T$44,$CU26,AT$57),""),1),IFERROR(INDEX(醫師週班表!$C$5:$T$44,$CU26,AT$57),"")))))))</f>
        <v/>
      </c>
      <c r="AU26" s="71">
        <f>IF(AU$59="X","",IF(AU$59&lt;&gt;"",AU$59,IF(IFERROR(INDEX(醫師週班表!$C$5:$T$44,$CU26,AU$57),"")=0,"",IF(MID(IFERROR(INDEX(醫師週班表!$C$5:$T$44,$CU26,AU$57),""),2,1)="/",MID(IFERROR(INDEX(醫師週班表!$C$5:$T$44,$CU26,AU$57),""),1+AU$58*2,1),IF(MID(IFERROR(INDEX(醫師週班表!$C$5:$T$44,$CU26,AU$57),""),3,1)="隔",IF(AU$58=0,LEFT(IFERROR(INDEX(醫師週班表!$C$5:$T$44,$CU26,AU$57),""),1),""),IF(MID(IFERROR(INDEX(醫師週班表!$C$5:$T$44,$CU26,AU$57),""),2,1)="(",LEFT(IFERROR(INDEX(醫師週班表!$C$5:$T$44,$CU26,AU$57),""),1),IFERROR(INDEX(醫師週班表!$C$5:$T$44,$CU26,AU$57),"")))))))</f>
        <v/>
      </c>
      <c r="AV26" s="72">
        <f>IF(AV$59="X","",IF(AV$59&lt;&gt;"",AV$59,IF(IFERROR(INDEX(醫師週班表!$C$5:$T$44,$CU26,AV$57),"")=0,"",IF(MID(IFERROR(INDEX(醫師週班表!$C$5:$T$44,$CU26,AV$57),""),2,1)="/",MID(IFERROR(INDEX(醫師週班表!$C$5:$T$44,$CU26,AV$57),""),1+AV$58*2,1),IF(MID(IFERROR(INDEX(醫師週班表!$C$5:$T$44,$CU26,AV$57),""),3,1)="隔",IF(AV$58=0,LEFT(IFERROR(INDEX(醫師週班表!$C$5:$T$44,$CU26,AV$57),""),1),""),IF(MID(IFERROR(INDEX(醫師週班表!$C$5:$T$44,$CU26,AV$57),""),2,1)="(",LEFT(IFERROR(INDEX(醫師週班表!$C$5:$T$44,$CU26,AV$57),""),1),IFERROR(INDEX(醫師週班表!$C$5:$T$44,$CU26,AV$57),"")))))))</f>
        <v/>
      </c>
      <c r="AW26" s="72">
        <f>IF(AW$59="X","",IF(AW$59&lt;&gt;"",AW$59,IF(IFERROR(INDEX(醫師週班表!$C$5:$T$44,$CU26,AW$57),"")=0,"",IF(MID(IFERROR(INDEX(醫師週班表!$C$5:$T$44,$CU26,AW$57),""),2,1)="/",MID(IFERROR(INDEX(醫師週班表!$C$5:$T$44,$CU26,AW$57),""),1+AW$58*2,1),IF(MID(IFERROR(INDEX(醫師週班表!$C$5:$T$44,$CU26,AW$57),""),3,1)="隔",IF(AW$58=0,LEFT(IFERROR(INDEX(醫師週班表!$C$5:$T$44,$CU26,AW$57),""),1),""),IF(MID(IFERROR(INDEX(醫師週班表!$C$5:$T$44,$CU26,AW$57),""),2,1)="(",LEFT(IFERROR(INDEX(醫師週班表!$C$5:$T$44,$CU26,AW$57),""),1),IFERROR(INDEX(醫師週班表!$C$5:$T$44,$CU26,AW$57),"")))))))</f>
        <v/>
      </c>
      <c r="AX26" s="71">
        <f>IF(AX$59="X","",IF(AX$59&lt;&gt;"",AX$59,IF(IFERROR(INDEX(醫師週班表!$C$5:$T$44,$CU26,AX$57),"")=0,"",IF(MID(IFERROR(INDEX(醫師週班表!$C$5:$T$44,$CU26,AX$57),""),2,1)="/",MID(IFERROR(INDEX(醫師週班表!$C$5:$T$44,$CU26,AX$57),""),1+AX$58*2,1),IF(MID(IFERROR(INDEX(醫師週班表!$C$5:$T$44,$CU26,AX$57),""),3,1)="隔",IF(AX$58=0,LEFT(IFERROR(INDEX(醫師週班表!$C$5:$T$44,$CU26,AX$57),""),1),""),IF(MID(IFERROR(INDEX(醫師週班表!$C$5:$T$44,$CU26,AX$57),""),2,1)="(",LEFT(IFERROR(INDEX(醫師週班表!$C$5:$T$44,$CU26,AX$57),""),1),IFERROR(INDEX(醫師週班表!$C$5:$T$44,$CU26,AX$57),"")))))))</f>
        <v/>
      </c>
      <c r="AY26" s="72">
        <f>IF(AY$59="X","",IF(AY$59&lt;&gt;"",AY$59,IF(IFERROR(INDEX(醫師週班表!$C$5:$T$44,$CU26,AY$57),"")=0,"",IF(MID(IFERROR(INDEX(醫師週班表!$C$5:$T$44,$CU26,AY$57),""),2,1)="/",MID(IFERROR(INDEX(醫師週班表!$C$5:$T$44,$CU26,AY$57),""),1+AY$58*2,1),IF(MID(IFERROR(INDEX(醫師週班表!$C$5:$T$44,$CU26,AY$57),""),3,1)="隔",IF(AY$58=0,LEFT(IFERROR(INDEX(醫師週班表!$C$5:$T$44,$CU26,AY$57),""),1),""),IF(MID(IFERROR(INDEX(醫師週班表!$C$5:$T$44,$CU26,AY$57),""),2,1)="(",LEFT(IFERROR(INDEX(醫師週班表!$C$5:$T$44,$CU26,AY$57),""),1),IFERROR(INDEX(醫師週班表!$C$5:$T$44,$CU26,AY$57),"")))))))</f>
        <v/>
      </c>
      <c r="AZ26" s="72">
        <f>IF(AZ$59="X","",IF(AZ$59&lt;&gt;"",AZ$59,IF(IFERROR(INDEX(醫師週班表!$C$5:$T$44,$CU26,AZ$57),"")=0,"",IF(MID(IFERROR(INDEX(醫師週班表!$C$5:$T$44,$CU26,AZ$57),""),2,1)="/",MID(IFERROR(INDEX(醫師週班表!$C$5:$T$44,$CU26,AZ$57),""),1+AZ$58*2,1),IF(MID(IFERROR(INDEX(醫師週班表!$C$5:$T$44,$CU26,AZ$57),""),3,1)="隔",IF(AZ$58=0,LEFT(IFERROR(INDEX(醫師週班表!$C$5:$T$44,$CU26,AZ$57),""),1),""),IF(MID(IFERROR(INDEX(醫師週班表!$C$5:$T$44,$CU26,AZ$57),""),2,1)="(",LEFT(IFERROR(INDEX(醫師週班表!$C$5:$T$44,$CU26,AZ$57),""),1),IFERROR(INDEX(醫師週班表!$C$5:$T$44,$CU26,AZ$57),"")))))))</f>
        <v/>
      </c>
      <c r="BA26" s="71">
        <f>IF(BA$59="X","",IF(BA$59&lt;&gt;"",BA$59,IF(IFERROR(INDEX(醫師週班表!$C$5:$T$44,$CU26,BA$57),"")=0,"",IF(MID(IFERROR(INDEX(醫師週班表!$C$5:$T$44,$CU26,BA$57),""),2,1)="/",MID(IFERROR(INDEX(醫師週班表!$C$5:$T$44,$CU26,BA$57),""),1+BA$58*2,1),IF(MID(IFERROR(INDEX(醫師週班表!$C$5:$T$44,$CU26,BA$57),""),3,1)="隔",IF(BA$58=0,LEFT(IFERROR(INDEX(醫師週班表!$C$5:$T$44,$CU26,BA$57),""),1),""),IF(MID(IFERROR(INDEX(醫師週班表!$C$5:$T$44,$CU26,BA$57),""),2,1)="(",LEFT(IFERROR(INDEX(醫師週班表!$C$5:$T$44,$CU26,BA$57),""),1),IFERROR(INDEX(醫師週班表!$C$5:$T$44,$CU26,BA$57),"")))))))</f>
        <v/>
      </c>
      <c r="BB26" s="72">
        <f>IF(BB$59="X","",IF(BB$59&lt;&gt;"",BB$59,IF(IFERROR(INDEX(醫師週班表!$C$5:$T$44,$CU26,BB$57),"")=0,"",IF(MID(IFERROR(INDEX(醫師週班表!$C$5:$T$44,$CU26,BB$57),""),2,1)="/",MID(IFERROR(INDEX(醫師週班表!$C$5:$T$44,$CU26,BB$57),""),1+BB$58*2,1),IF(MID(IFERROR(INDEX(醫師週班表!$C$5:$T$44,$CU26,BB$57),""),3,1)="隔",IF(BB$58=0,LEFT(IFERROR(INDEX(醫師週班表!$C$5:$T$44,$CU26,BB$57),""),1),""),IF(MID(IFERROR(INDEX(醫師週班表!$C$5:$T$44,$CU26,BB$57),""),2,1)="(",LEFT(IFERROR(INDEX(醫師週班表!$C$5:$T$44,$CU26,BB$57),""),1),IFERROR(INDEX(醫師週班表!$C$5:$T$44,$CU26,BB$57),"")))))))</f>
        <v/>
      </c>
      <c r="BC26" s="72">
        <f>IF(BC$59="X","",IF(BC$59&lt;&gt;"",BC$59,IF(IFERROR(INDEX(醫師週班表!$C$5:$T$44,$CU26,BC$57),"")=0,"",IF(MID(IFERROR(INDEX(醫師週班表!$C$5:$T$44,$CU26,BC$57),""),2,1)="/",MID(IFERROR(INDEX(醫師週班表!$C$5:$T$44,$CU26,BC$57),""),1+BC$58*2,1),IF(MID(IFERROR(INDEX(醫師週班表!$C$5:$T$44,$CU26,BC$57),""),3,1)="隔",IF(BC$58=0,LEFT(IFERROR(INDEX(醫師週班表!$C$5:$T$44,$CU26,BC$57),""),1),""),IF(MID(IFERROR(INDEX(醫師週班表!$C$5:$T$44,$CU26,BC$57),""),2,1)="(",LEFT(IFERROR(INDEX(醫師週班表!$C$5:$T$44,$CU26,BC$57),""),1),IFERROR(INDEX(醫師週班表!$C$5:$T$44,$CU26,BC$57),"")))))))</f>
        <v/>
      </c>
      <c r="BD26" s="71">
        <f>IF(BD$59="X","",IF(BD$59&lt;&gt;"",BD$59,IF(IFERROR(INDEX(醫師週班表!$C$5:$T$44,$CU26,BD$57),"")=0,"",IF(MID(IFERROR(INDEX(醫師週班表!$C$5:$T$44,$CU26,BD$57),""),2,1)="/",MID(IFERROR(INDEX(醫師週班表!$C$5:$T$44,$CU26,BD$57),""),1+BD$58*2,1),IF(MID(IFERROR(INDEX(醫師週班表!$C$5:$T$44,$CU26,BD$57),""),3,1)="隔",IF(BD$58=0,LEFT(IFERROR(INDEX(醫師週班表!$C$5:$T$44,$CU26,BD$57),""),1),""),IF(MID(IFERROR(INDEX(醫師週班表!$C$5:$T$44,$CU26,BD$57),""),2,1)="(",LEFT(IFERROR(INDEX(醫師週班表!$C$5:$T$44,$CU26,BD$57),""),1),IFERROR(INDEX(醫師週班表!$C$5:$T$44,$CU26,BD$57),"")))))))</f>
        <v/>
      </c>
      <c r="BE26" s="72">
        <f>IF(BE$59="X","",IF(BE$59&lt;&gt;"",BE$59,IF(IFERROR(INDEX(醫師週班表!$C$5:$T$44,$CU26,BE$57),"")=0,"",IF(MID(IFERROR(INDEX(醫師週班表!$C$5:$T$44,$CU26,BE$57),""),2,1)="/",MID(IFERROR(INDEX(醫師週班表!$C$5:$T$44,$CU26,BE$57),""),1+BE$58*2,1),IF(MID(IFERROR(INDEX(醫師週班表!$C$5:$T$44,$CU26,BE$57),""),3,1)="隔",IF(BE$58=0,LEFT(IFERROR(INDEX(醫師週班表!$C$5:$T$44,$CU26,BE$57),""),1),""),IF(MID(IFERROR(INDEX(醫師週班表!$C$5:$T$44,$CU26,BE$57),""),2,1)="(",LEFT(IFERROR(INDEX(醫師週班表!$C$5:$T$44,$CU26,BE$57),""),1),IFERROR(INDEX(醫師週班表!$C$5:$T$44,$CU26,BE$57),"")))))))</f>
        <v/>
      </c>
      <c r="BF26" s="72">
        <f>IF(BF$59="X","",IF(BF$59&lt;&gt;"",BF$59,IF(IFERROR(INDEX(醫師週班表!$C$5:$T$44,$CU26,BF$57),"")=0,"",IF(MID(IFERROR(INDEX(醫師週班表!$C$5:$T$44,$CU26,BF$57),""),2,1)="/",MID(IFERROR(INDEX(醫師週班表!$C$5:$T$44,$CU26,BF$57),""),1+BF$58*2,1),IF(MID(IFERROR(INDEX(醫師週班表!$C$5:$T$44,$CU26,BF$57),""),3,1)="隔",IF(BF$58=0,LEFT(IFERROR(INDEX(醫師週班表!$C$5:$T$44,$CU26,BF$57),""),1),""),IF(MID(IFERROR(INDEX(醫師週班表!$C$5:$T$44,$CU26,BF$57),""),2,1)="(",LEFT(IFERROR(INDEX(醫師週班表!$C$5:$T$44,$CU26,BF$57),""),1),IFERROR(INDEX(醫師週班表!$C$5:$T$44,$CU26,BF$57),"")))))))</f>
        <v/>
      </c>
      <c r="BG26" s="71">
        <f>IF(BG$59="X","",IF(BG$59&lt;&gt;"",BG$59,IF(IFERROR(INDEX(醫師週班表!$C$5:$T$44,$CU26,BG$57),"")=0,"",IF(MID(IFERROR(INDEX(醫師週班表!$C$5:$T$44,$CU26,BG$57),""),2,1)="/",MID(IFERROR(INDEX(醫師週班表!$C$5:$T$44,$CU26,BG$57),""),1+BG$58*2,1),IF(MID(IFERROR(INDEX(醫師週班表!$C$5:$T$44,$CU26,BG$57),""),3,1)="隔",IF(BG$58=0,LEFT(IFERROR(INDEX(醫師週班表!$C$5:$T$44,$CU26,BG$57),""),1),""),IF(MID(IFERROR(INDEX(醫師週班表!$C$5:$T$44,$CU26,BG$57),""),2,1)="(",LEFT(IFERROR(INDEX(醫師週班表!$C$5:$T$44,$CU26,BG$57),""),1),IFERROR(INDEX(醫師週班表!$C$5:$T$44,$CU26,BG$57),"")))))))</f>
        <v/>
      </c>
      <c r="BH26" s="72">
        <f>IF(BH$59="X","",IF(BH$59&lt;&gt;"",BH$59,IF(IFERROR(INDEX(醫師週班表!$C$5:$T$44,$CU26,BH$57),"")=0,"",IF(MID(IFERROR(INDEX(醫師週班表!$C$5:$T$44,$CU26,BH$57),""),2,1)="/",MID(IFERROR(INDEX(醫師週班表!$C$5:$T$44,$CU26,BH$57),""),1+BH$58*2,1),IF(MID(IFERROR(INDEX(醫師週班表!$C$5:$T$44,$CU26,BH$57),""),3,1)="隔",IF(BH$58=0,LEFT(IFERROR(INDEX(醫師週班表!$C$5:$T$44,$CU26,BH$57),""),1),""),IF(MID(IFERROR(INDEX(醫師週班表!$C$5:$T$44,$CU26,BH$57),""),2,1)="(",LEFT(IFERROR(INDEX(醫師週班表!$C$5:$T$44,$CU26,BH$57),""),1),IFERROR(INDEX(醫師週班表!$C$5:$T$44,$CU26,BH$57),"")))))))</f>
        <v/>
      </c>
      <c r="BI26" s="72">
        <f>IF(BI$59="X","",IF(BI$59&lt;&gt;"",BI$59,IF(IFERROR(INDEX(醫師週班表!$C$5:$T$44,$CU26,BI$57),"")=0,"",IF(MID(IFERROR(INDEX(醫師週班表!$C$5:$T$44,$CU26,BI$57),""),2,1)="/",MID(IFERROR(INDEX(醫師週班表!$C$5:$T$44,$CU26,BI$57),""),1+BI$58*2,1),IF(MID(IFERROR(INDEX(醫師週班表!$C$5:$T$44,$CU26,BI$57),""),3,1)="隔",IF(BI$58=0,LEFT(IFERROR(INDEX(醫師週班表!$C$5:$T$44,$CU26,BI$57),""),1),""),IF(MID(IFERROR(INDEX(醫師週班表!$C$5:$T$44,$CU26,BI$57),""),2,1)="(",LEFT(IFERROR(INDEX(醫師週班表!$C$5:$T$44,$CU26,BI$57),""),1),IFERROR(INDEX(醫師週班表!$C$5:$T$44,$CU26,BI$57),"")))))))</f>
        <v/>
      </c>
      <c r="BJ26" s="71">
        <f>IF(BJ$59="X","",IF(BJ$59&lt;&gt;"",BJ$59,IF(IFERROR(INDEX(醫師週班表!$C$5:$T$44,$CU26,BJ$57),"")=0,"",IF(MID(IFERROR(INDEX(醫師週班表!$C$5:$T$44,$CU26,BJ$57),""),2,1)="/",MID(IFERROR(INDEX(醫師週班表!$C$5:$T$44,$CU26,BJ$57),""),1+BJ$58*2,1),IF(MID(IFERROR(INDEX(醫師週班表!$C$5:$T$44,$CU26,BJ$57),""),3,1)="隔",IF(BJ$58=0,LEFT(IFERROR(INDEX(醫師週班表!$C$5:$T$44,$CU26,BJ$57),""),1),""),IF(MID(IFERROR(INDEX(醫師週班表!$C$5:$T$44,$CU26,BJ$57),""),2,1)="(",LEFT(IFERROR(INDEX(醫師週班表!$C$5:$T$44,$CU26,BJ$57),""),1),IFERROR(INDEX(醫師週班表!$C$5:$T$44,$CU26,BJ$57),"")))))))</f>
        <v/>
      </c>
      <c r="BK26" s="72">
        <f>IF(BK$59="X","",IF(BK$59&lt;&gt;"",BK$59,IF(IFERROR(INDEX(醫師週班表!$C$5:$T$44,$CU26,BK$57),"")=0,"",IF(MID(IFERROR(INDEX(醫師週班表!$C$5:$T$44,$CU26,BK$57),""),2,1)="/",MID(IFERROR(INDEX(醫師週班表!$C$5:$T$44,$CU26,BK$57),""),1+BK$58*2,1),IF(MID(IFERROR(INDEX(醫師週班表!$C$5:$T$44,$CU26,BK$57),""),3,1)="隔",IF(BK$58=0,LEFT(IFERROR(INDEX(醫師週班表!$C$5:$T$44,$CU26,BK$57),""),1),""),IF(MID(IFERROR(INDEX(醫師週班表!$C$5:$T$44,$CU26,BK$57),""),2,1)="(",LEFT(IFERROR(INDEX(醫師週班表!$C$5:$T$44,$CU26,BK$57),""),1),IFERROR(INDEX(醫師週班表!$C$5:$T$44,$CU26,BK$57),"")))))))</f>
        <v/>
      </c>
      <c r="BL26" s="72">
        <f>IF(BL$59="X","",IF(BL$59&lt;&gt;"",BL$59,IF(IFERROR(INDEX(醫師週班表!$C$5:$T$44,$CU26,BL$57),"")=0,"",IF(MID(IFERROR(INDEX(醫師週班表!$C$5:$T$44,$CU26,BL$57),""),2,1)="/",MID(IFERROR(INDEX(醫師週班表!$C$5:$T$44,$CU26,BL$57),""),1+BL$58*2,1),IF(MID(IFERROR(INDEX(醫師週班表!$C$5:$T$44,$CU26,BL$57),""),3,1)="隔",IF(BL$58=0,LEFT(IFERROR(INDEX(醫師週班表!$C$5:$T$44,$CU26,BL$57),""),1),""),IF(MID(IFERROR(INDEX(醫師週班表!$C$5:$T$44,$CU26,BL$57),""),2,1)="(",LEFT(IFERROR(INDEX(醫師週班表!$C$5:$T$44,$CU26,BL$57),""),1),IFERROR(INDEX(醫師週班表!$C$5:$T$44,$CU26,BL$57),"")))))))</f>
        <v/>
      </c>
      <c r="BM26" s="71">
        <f>IF(BM$59="X","",IF(BM$59&lt;&gt;"",BM$59,IF(IFERROR(INDEX(醫師週班表!$C$5:$T$44,$CU26,BM$57),"")=0,"",IF(MID(IFERROR(INDEX(醫師週班表!$C$5:$T$44,$CU26,BM$57),""),2,1)="/",MID(IFERROR(INDEX(醫師週班表!$C$5:$T$44,$CU26,BM$57),""),1+BM$58*2,1),IF(MID(IFERROR(INDEX(醫師週班表!$C$5:$T$44,$CU26,BM$57),""),3,1)="隔",IF(BM$58=0,LEFT(IFERROR(INDEX(醫師週班表!$C$5:$T$44,$CU26,BM$57),""),1),""),IF(MID(IFERROR(INDEX(醫師週班表!$C$5:$T$44,$CU26,BM$57),""),2,1)="(",LEFT(IFERROR(INDEX(醫師週班表!$C$5:$T$44,$CU26,BM$57),""),1),IFERROR(INDEX(醫師週班表!$C$5:$T$44,$CU26,BM$57),"")))))))</f>
        <v/>
      </c>
      <c r="BN26" s="72">
        <f>IF(BN$59="X","",IF(BN$59&lt;&gt;"",BN$59,IF(IFERROR(INDEX(醫師週班表!$C$5:$T$44,$CU26,BN$57),"")=0,"",IF(MID(IFERROR(INDEX(醫師週班表!$C$5:$T$44,$CU26,BN$57),""),2,1)="/",MID(IFERROR(INDEX(醫師週班表!$C$5:$T$44,$CU26,BN$57),""),1+BN$58*2,1),IF(MID(IFERROR(INDEX(醫師週班表!$C$5:$T$44,$CU26,BN$57),""),3,1)="隔",IF(BN$58=0,LEFT(IFERROR(INDEX(醫師週班表!$C$5:$T$44,$CU26,BN$57),""),1),""),IF(MID(IFERROR(INDEX(醫師週班表!$C$5:$T$44,$CU26,BN$57),""),2,1)="(",LEFT(IFERROR(INDEX(醫師週班表!$C$5:$T$44,$CU26,BN$57),""),1),IFERROR(INDEX(醫師週班表!$C$5:$T$44,$CU26,BN$57),"")))))))</f>
        <v/>
      </c>
      <c r="BO26" s="72">
        <f>IF(BO$59="X","",IF(BO$59&lt;&gt;"",BO$59,IF(IFERROR(INDEX(醫師週班表!$C$5:$T$44,$CU26,BO$57),"")=0,"",IF(MID(IFERROR(INDEX(醫師週班表!$C$5:$T$44,$CU26,BO$57),""),2,1)="/",MID(IFERROR(INDEX(醫師週班表!$C$5:$T$44,$CU26,BO$57),""),1+BO$58*2,1),IF(MID(IFERROR(INDEX(醫師週班表!$C$5:$T$44,$CU26,BO$57),""),3,1)="隔",IF(BO$58=0,LEFT(IFERROR(INDEX(醫師週班表!$C$5:$T$44,$CU26,BO$57),""),1),""),IF(MID(IFERROR(INDEX(醫師週班表!$C$5:$T$44,$CU26,BO$57),""),2,1)="(",LEFT(IFERROR(INDEX(醫師週班表!$C$5:$T$44,$CU26,BO$57),""),1),IFERROR(INDEX(醫師週班表!$C$5:$T$44,$CU26,BO$57),"")))))))</f>
        <v/>
      </c>
      <c r="BP26" s="71">
        <f>IF(BP$59="X","",IF(BP$59&lt;&gt;"",BP$59,IF(IFERROR(INDEX(醫師週班表!$C$5:$T$44,$CU26,BP$57),"")=0,"",IF(MID(IFERROR(INDEX(醫師週班表!$C$5:$T$44,$CU26,BP$57),""),2,1)="/",MID(IFERROR(INDEX(醫師週班表!$C$5:$T$44,$CU26,BP$57),""),1+BP$58*2,1),IF(MID(IFERROR(INDEX(醫師週班表!$C$5:$T$44,$CU26,BP$57),""),3,1)="隔",IF(BP$58=0,LEFT(IFERROR(INDEX(醫師週班表!$C$5:$T$44,$CU26,BP$57),""),1),""),IF(MID(IFERROR(INDEX(醫師週班表!$C$5:$T$44,$CU26,BP$57),""),2,1)="(",LEFT(IFERROR(INDEX(醫師週班表!$C$5:$T$44,$CU26,BP$57),""),1),IFERROR(INDEX(醫師週班表!$C$5:$T$44,$CU26,BP$57),"")))))))</f>
        <v/>
      </c>
      <c r="BQ26" s="72">
        <f>IF(BQ$59="X","",IF(BQ$59&lt;&gt;"",BQ$59,IF(IFERROR(INDEX(醫師週班表!$C$5:$T$44,$CU26,BQ$57),"")=0,"",IF(MID(IFERROR(INDEX(醫師週班表!$C$5:$T$44,$CU26,BQ$57),""),2,1)="/",MID(IFERROR(INDEX(醫師週班表!$C$5:$T$44,$CU26,BQ$57),""),1+BQ$58*2,1),IF(MID(IFERROR(INDEX(醫師週班表!$C$5:$T$44,$CU26,BQ$57),""),3,1)="隔",IF(BQ$58=0,LEFT(IFERROR(INDEX(醫師週班表!$C$5:$T$44,$CU26,BQ$57),""),1),""),IF(MID(IFERROR(INDEX(醫師週班表!$C$5:$T$44,$CU26,BQ$57),""),2,1)="(",LEFT(IFERROR(INDEX(醫師週班表!$C$5:$T$44,$CU26,BQ$57),""),1),IFERROR(INDEX(醫師週班表!$C$5:$T$44,$CU26,BQ$57),"")))))))</f>
        <v/>
      </c>
      <c r="BR26" s="72">
        <f>IF(BR$59="X","",IF(BR$59&lt;&gt;"",BR$59,IF(IFERROR(INDEX(醫師週班表!$C$5:$T$44,$CU26,BR$57),"")=0,"",IF(MID(IFERROR(INDEX(醫師週班表!$C$5:$T$44,$CU26,BR$57),""),2,1)="/",MID(IFERROR(INDEX(醫師週班表!$C$5:$T$44,$CU26,BR$57),""),1+BR$58*2,1),IF(MID(IFERROR(INDEX(醫師週班表!$C$5:$T$44,$CU26,BR$57),""),3,1)="隔",IF(BR$58=0,LEFT(IFERROR(INDEX(醫師週班表!$C$5:$T$44,$CU26,BR$57),""),1),""),IF(MID(IFERROR(INDEX(醫師週班表!$C$5:$T$44,$CU26,BR$57),""),2,1)="(",LEFT(IFERROR(INDEX(醫師週班表!$C$5:$T$44,$CU26,BR$57),""),1),IFERROR(INDEX(醫師週班表!$C$5:$T$44,$CU26,BR$57),"")))))))</f>
        <v/>
      </c>
      <c r="BS26" s="71">
        <f>IF(BS$59="X","",IF(BS$59&lt;&gt;"",BS$59,IF(IFERROR(INDEX(醫師週班表!$C$5:$T$44,$CU26,BS$57),"")=0,"",IF(MID(IFERROR(INDEX(醫師週班表!$C$5:$T$44,$CU26,BS$57),""),2,1)="/",MID(IFERROR(INDEX(醫師週班表!$C$5:$T$44,$CU26,BS$57),""),1+BS$58*2,1),IF(MID(IFERROR(INDEX(醫師週班表!$C$5:$T$44,$CU26,BS$57),""),3,1)="隔",IF(BS$58=0,LEFT(IFERROR(INDEX(醫師週班表!$C$5:$T$44,$CU26,BS$57),""),1),""),IF(MID(IFERROR(INDEX(醫師週班表!$C$5:$T$44,$CU26,BS$57),""),2,1)="(",LEFT(IFERROR(INDEX(醫師週班表!$C$5:$T$44,$CU26,BS$57),""),1),IFERROR(INDEX(醫師週班表!$C$5:$T$44,$CU26,BS$57),"")))))))</f>
        <v/>
      </c>
      <c r="BT26" s="72">
        <f>IF(BT$59="X","",IF(BT$59&lt;&gt;"",BT$59,IF(IFERROR(INDEX(醫師週班表!$C$5:$T$44,$CU26,BT$57),"")=0,"",IF(MID(IFERROR(INDEX(醫師週班表!$C$5:$T$44,$CU26,BT$57),""),2,1)="/",MID(IFERROR(INDEX(醫師週班表!$C$5:$T$44,$CU26,BT$57),""),1+BT$58*2,1),IF(MID(IFERROR(INDEX(醫師週班表!$C$5:$T$44,$CU26,BT$57),""),3,1)="隔",IF(BT$58=0,LEFT(IFERROR(INDEX(醫師週班表!$C$5:$T$44,$CU26,BT$57),""),1),""),IF(MID(IFERROR(INDEX(醫師週班表!$C$5:$T$44,$CU26,BT$57),""),2,1)="(",LEFT(IFERROR(INDEX(醫師週班表!$C$5:$T$44,$CU26,BT$57),""),1),IFERROR(INDEX(醫師週班表!$C$5:$T$44,$CU26,BT$57),"")))))))</f>
        <v/>
      </c>
      <c r="BU26" s="72">
        <f>IF(BU$59="X","",IF(BU$59&lt;&gt;"",BU$59,IF(IFERROR(INDEX(醫師週班表!$C$5:$T$44,$CU26,BU$57),"")=0,"",IF(MID(IFERROR(INDEX(醫師週班表!$C$5:$T$44,$CU26,BU$57),""),2,1)="/",MID(IFERROR(INDEX(醫師週班表!$C$5:$T$44,$CU26,BU$57),""),1+BU$58*2,1),IF(MID(IFERROR(INDEX(醫師週班表!$C$5:$T$44,$CU26,BU$57),""),3,1)="隔",IF(BU$58=0,LEFT(IFERROR(INDEX(醫師週班表!$C$5:$T$44,$CU26,BU$57),""),1),""),IF(MID(IFERROR(INDEX(醫師週班表!$C$5:$T$44,$CU26,BU$57),""),2,1)="(",LEFT(IFERROR(INDEX(醫師週班表!$C$5:$T$44,$CU26,BU$57),""),1),IFERROR(INDEX(醫師週班表!$C$5:$T$44,$CU26,BU$57),"")))))))</f>
        <v/>
      </c>
      <c r="BV26" s="71">
        <f>IF(BV$59="X","",IF(BV$59&lt;&gt;"",BV$59,IF(IFERROR(INDEX(醫師週班表!$C$5:$T$44,$CU26,BV$57),"")=0,"",IF(MID(IFERROR(INDEX(醫師週班表!$C$5:$T$44,$CU26,BV$57),""),2,1)="/",MID(IFERROR(INDEX(醫師週班表!$C$5:$T$44,$CU26,BV$57),""),1+BV$58*2,1),IF(MID(IFERROR(INDEX(醫師週班表!$C$5:$T$44,$CU26,BV$57),""),3,1)="隔",IF(BV$58=0,LEFT(IFERROR(INDEX(醫師週班表!$C$5:$T$44,$CU26,BV$57),""),1),""),IF(MID(IFERROR(INDEX(醫師週班表!$C$5:$T$44,$CU26,BV$57),""),2,1)="(",LEFT(IFERROR(INDEX(醫師週班表!$C$5:$T$44,$CU26,BV$57),""),1),IFERROR(INDEX(醫師週班表!$C$5:$T$44,$CU26,BV$57),"")))))))</f>
        <v/>
      </c>
      <c r="BW26" s="72">
        <f>IF(BW$59="X","",IF(BW$59&lt;&gt;"",BW$59,IF(IFERROR(INDEX(醫師週班表!$C$5:$T$44,$CU26,BW$57),"")=0,"",IF(MID(IFERROR(INDEX(醫師週班表!$C$5:$T$44,$CU26,BW$57),""),2,1)="/",MID(IFERROR(INDEX(醫師週班表!$C$5:$T$44,$CU26,BW$57),""),1+BW$58*2,1),IF(MID(IFERROR(INDEX(醫師週班表!$C$5:$T$44,$CU26,BW$57),""),3,1)="隔",IF(BW$58=0,LEFT(IFERROR(INDEX(醫師週班表!$C$5:$T$44,$CU26,BW$57),""),1),""),IF(MID(IFERROR(INDEX(醫師週班表!$C$5:$T$44,$CU26,BW$57),""),2,1)="(",LEFT(IFERROR(INDEX(醫師週班表!$C$5:$T$44,$CU26,BW$57),""),1),IFERROR(INDEX(醫師週班表!$C$5:$T$44,$CU26,BW$57),"")))))))</f>
        <v/>
      </c>
      <c r="BX26" s="72">
        <f>IF(BX$59="X","",IF(BX$59&lt;&gt;"",BX$59,IF(IFERROR(INDEX(醫師週班表!$C$5:$T$44,$CU26,BX$57),"")=0,"",IF(MID(IFERROR(INDEX(醫師週班表!$C$5:$T$44,$CU26,BX$57),""),2,1)="/",MID(IFERROR(INDEX(醫師週班表!$C$5:$T$44,$CU26,BX$57),""),1+BX$58*2,1),IF(MID(IFERROR(INDEX(醫師週班表!$C$5:$T$44,$CU26,BX$57),""),3,1)="隔",IF(BX$58=0,LEFT(IFERROR(INDEX(醫師週班表!$C$5:$T$44,$CU26,BX$57),""),1),""),IF(MID(IFERROR(INDEX(醫師週班表!$C$5:$T$44,$CU26,BX$57),""),2,1)="(",LEFT(IFERROR(INDEX(醫師週班表!$C$5:$T$44,$CU26,BX$57),""),1),IFERROR(INDEX(醫師週班表!$C$5:$T$44,$CU26,BX$57),"")))))))</f>
        <v/>
      </c>
      <c r="BY26" s="71">
        <f>IF(BY$59="X","",IF(BY$59&lt;&gt;"",BY$59,IF(IFERROR(INDEX(醫師週班表!$C$5:$T$44,$CU26,BY$57),"")=0,"",IF(MID(IFERROR(INDEX(醫師週班表!$C$5:$T$44,$CU26,BY$57),""),2,1)="/",MID(IFERROR(INDEX(醫師週班表!$C$5:$T$44,$CU26,BY$57),""),1+BY$58*2,1),IF(MID(IFERROR(INDEX(醫師週班表!$C$5:$T$44,$CU26,BY$57),""),3,1)="隔",IF(BY$58=0,LEFT(IFERROR(INDEX(醫師週班表!$C$5:$T$44,$CU26,BY$57),""),1),""),IF(MID(IFERROR(INDEX(醫師週班表!$C$5:$T$44,$CU26,BY$57),""),2,1)="(",LEFT(IFERROR(INDEX(醫師週班表!$C$5:$T$44,$CU26,BY$57),""),1),IFERROR(INDEX(醫師週班表!$C$5:$T$44,$CU26,BY$57),"")))))))</f>
        <v/>
      </c>
      <c r="BZ26" s="72">
        <f>IF(BZ$59="X","",IF(BZ$59&lt;&gt;"",BZ$59,IF(IFERROR(INDEX(醫師週班表!$C$5:$T$44,$CU26,BZ$57),"")=0,"",IF(MID(IFERROR(INDEX(醫師週班表!$C$5:$T$44,$CU26,BZ$57),""),2,1)="/",MID(IFERROR(INDEX(醫師週班表!$C$5:$T$44,$CU26,BZ$57),""),1+BZ$58*2,1),IF(MID(IFERROR(INDEX(醫師週班表!$C$5:$T$44,$CU26,BZ$57),""),3,1)="隔",IF(BZ$58=0,LEFT(IFERROR(INDEX(醫師週班表!$C$5:$T$44,$CU26,BZ$57),""),1),""),IF(MID(IFERROR(INDEX(醫師週班表!$C$5:$T$44,$CU26,BZ$57),""),2,1)="(",LEFT(IFERROR(INDEX(醫師週班表!$C$5:$T$44,$CU26,BZ$57),""),1),IFERROR(INDEX(醫師週班表!$C$5:$T$44,$CU26,BZ$57),"")))))))</f>
        <v/>
      </c>
      <c r="CA26" s="72">
        <f>IF(CA$59="X","",IF(CA$59&lt;&gt;"",CA$59,IF(IFERROR(INDEX(醫師週班表!$C$5:$T$44,$CU26,CA$57),"")=0,"",IF(MID(IFERROR(INDEX(醫師週班表!$C$5:$T$44,$CU26,CA$57),""),2,1)="/",MID(IFERROR(INDEX(醫師週班表!$C$5:$T$44,$CU26,CA$57),""),1+CA$58*2,1),IF(MID(IFERROR(INDEX(醫師週班表!$C$5:$T$44,$CU26,CA$57),""),3,1)="隔",IF(CA$58=0,LEFT(IFERROR(INDEX(醫師週班表!$C$5:$T$44,$CU26,CA$57),""),1),""),IF(MID(IFERROR(INDEX(醫師週班表!$C$5:$T$44,$CU26,CA$57),""),2,1)="(",LEFT(IFERROR(INDEX(醫師週班表!$C$5:$T$44,$CU26,CA$57),""),1),IFERROR(INDEX(醫師週班表!$C$5:$T$44,$CU26,CA$57),"")))))))</f>
        <v/>
      </c>
      <c r="CB26" s="71">
        <f>IF(CB$59="X","",IF(CB$59&lt;&gt;"",CB$59,IF(IFERROR(INDEX(醫師週班表!$C$5:$T$44,$CU26,CB$57),"")=0,"",IF(MID(IFERROR(INDEX(醫師週班表!$C$5:$T$44,$CU26,CB$57),""),2,1)="/",MID(IFERROR(INDEX(醫師週班表!$C$5:$T$44,$CU26,CB$57),""),1+CB$58*2,1),IF(MID(IFERROR(INDEX(醫師週班表!$C$5:$T$44,$CU26,CB$57),""),3,1)="隔",IF(CB$58=0,LEFT(IFERROR(INDEX(醫師週班表!$C$5:$T$44,$CU26,CB$57),""),1),""),IF(MID(IFERROR(INDEX(醫師週班表!$C$5:$T$44,$CU26,CB$57),""),2,1)="(",LEFT(IFERROR(INDEX(醫師週班表!$C$5:$T$44,$CU26,CB$57),""),1),IFERROR(INDEX(醫師週班表!$C$5:$T$44,$CU26,CB$57),"")))))))</f>
        <v/>
      </c>
      <c r="CC26" s="72">
        <f>IF(CC$59="X","",IF(CC$59&lt;&gt;"",CC$59,IF(IFERROR(INDEX(醫師週班表!$C$5:$T$44,$CU26,CC$57),"")=0,"",IF(MID(IFERROR(INDEX(醫師週班表!$C$5:$T$44,$CU26,CC$57),""),2,1)="/",MID(IFERROR(INDEX(醫師週班表!$C$5:$T$44,$CU26,CC$57),""),1+CC$58*2,1),IF(MID(IFERROR(INDEX(醫師週班表!$C$5:$T$44,$CU26,CC$57),""),3,1)="隔",IF(CC$58=0,LEFT(IFERROR(INDEX(醫師週班表!$C$5:$T$44,$CU26,CC$57),""),1),""),IF(MID(IFERROR(INDEX(醫師週班表!$C$5:$T$44,$CU26,CC$57),""),2,1)="(",LEFT(IFERROR(INDEX(醫師週班表!$C$5:$T$44,$CU26,CC$57),""),1),IFERROR(INDEX(醫師週班表!$C$5:$T$44,$CU26,CC$57),"")))))))</f>
        <v/>
      </c>
      <c r="CD26" s="72">
        <f>IF(CD$59="X","",IF(CD$59&lt;&gt;"",CD$59,IF(IFERROR(INDEX(醫師週班表!$C$5:$T$44,$CU26,CD$57),"")=0,"",IF(MID(IFERROR(INDEX(醫師週班表!$C$5:$T$44,$CU26,CD$57),""),2,1)="/",MID(IFERROR(INDEX(醫師週班表!$C$5:$T$44,$CU26,CD$57),""),1+CD$58*2,1),IF(MID(IFERROR(INDEX(醫師週班表!$C$5:$T$44,$CU26,CD$57),""),3,1)="隔",IF(CD$58=0,LEFT(IFERROR(INDEX(醫師週班表!$C$5:$T$44,$CU26,CD$57),""),1),""),IF(MID(IFERROR(INDEX(醫師週班表!$C$5:$T$44,$CU26,CD$57),""),2,1)="(",LEFT(IFERROR(INDEX(醫師週班表!$C$5:$T$44,$CU26,CD$57),""),1),IFERROR(INDEX(醫師週班表!$C$5:$T$44,$CU26,CD$57),"")))))))</f>
        <v/>
      </c>
      <c r="CE26" s="71">
        <f>IF(CE$59="X","",IF(CE$59&lt;&gt;"",CE$59,IF(IFERROR(INDEX(醫師週班表!$C$5:$T$44,$CU26,CE$57),"")=0,"",IF(MID(IFERROR(INDEX(醫師週班表!$C$5:$T$44,$CU26,CE$57),""),2,1)="/",MID(IFERROR(INDEX(醫師週班表!$C$5:$T$44,$CU26,CE$57),""),1+CE$58*2,1),IF(MID(IFERROR(INDEX(醫師週班表!$C$5:$T$44,$CU26,CE$57),""),3,1)="隔",IF(CE$58=0,LEFT(IFERROR(INDEX(醫師週班表!$C$5:$T$44,$CU26,CE$57),""),1),""),IF(MID(IFERROR(INDEX(醫師週班表!$C$5:$T$44,$CU26,CE$57),""),2,1)="(",LEFT(IFERROR(INDEX(醫師週班表!$C$5:$T$44,$CU26,CE$57),""),1),IFERROR(INDEX(醫師週班表!$C$5:$T$44,$CU26,CE$57),"")))))))</f>
        <v/>
      </c>
      <c r="CF26" s="72">
        <f>IF(CF$59="X","",IF(CF$59&lt;&gt;"",CF$59,IF(IFERROR(INDEX(醫師週班表!$C$5:$T$44,$CU26,CF$57),"")=0,"",IF(MID(IFERROR(INDEX(醫師週班表!$C$5:$T$44,$CU26,CF$57),""),2,1)="/",MID(IFERROR(INDEX(醫師週班表!$C$5:$T$44,$CU26,CF$57),""),1+CF$58*2,1),IF(MID(IFERROR(INDEX(醫師週班表!$C$5:$T$44,$CU26,CF$57),""),3,1)="隔",IF(CF$58=0,LEFT(IFERROR(INDEX(醫師週班表!$C$5:$T$44,$CU26,CF$57),""),1),""),IF(MID(IFERROR(INDEX(醫師週班表!$C$5:$T$44,$CU26,CF$57),""),2,1)="(",LEFT(IFERROR(INDEX(醫師週班表!$C$5:$T$44,$CU26,CF$57),""),1),IFERROR(INDEX(醫師週班表!$C$5:$T$44,$CU26,CF$57),"")))))))</f>
        <v/>
      </c>
      <c r="CG26" s="72">
        <f>IF(CG$59="X","",IF(CG$59&lt;&gt;"",CG$59,IF(IFERROR(INDEX(醫師週班表!$C$5:$T$44,$CU26,CG$57),"")=0,"",IF(MID(IFERROR(INDEX(醫師週班表!$C$5:$T$44,$CU26,CG$57),""),2,1)="/",MID(IFERROR(INDEX(醫師週班表!$C$5:$T$44,$CU26,CG$57),""),1+CG$58*2,1),IF(MID(IFERROR(INDEX(醫師週班表!$C$5:$T$44,$CU26,CG$57),""),3,1)="隔",IF(CG$58=0,LEFT(IFERROR(INDEX(醫師週班表!$C$5:$T$44,$CU26,CG$57),""),1),""),IF(MID(IFERROR(INDEX(醫師週班表!$C$5:$T$44,$CU26,CG$57),""),2,1)="(",LEFT(IFERROR(INDEX(醫師週班表!$C$5:$T$44,$CU26,CG$57),""),1),IFERROR(INDEX(醫師週班表!$C$5:$T$44,$CU26,CG$57),"")))))))</f>
        <v/>
      </c>
      <c r="CH26" s="71">
        <f>IF(CH$59="X","",IF(CH$59&lt;&gt;"",CH$59,IF(IFERROR(INDEX(醫師週班表!$C$5:$T$44,$CU26,CH$57),"")=0,"",IF(MID(IFERROR(INDEX(醫師週班表!$C$5:$T$44,$CU26,CH$57),""),2,1)="/",MID(IFERROR(INDEX(醫師週班表!$C$5:$T$44,$CU26,CH$57),""),1+CH$58*2,1),IF(MID(IFERROR(INDEX(醫師週班表!$C$5:$T$44,$CU26,CH$57),""),3,1)="隔",IF(CH$58=0,LEFT(IFERROR(INDEX(醫師週班表!$C$5:$T$44,$CU26,CH$57),""),1),""),IF(MID(IFERROR(INDEX(醫師週班表!$C$5:$T$44,$CU26,CH$57),""),2,1)="(",LEFT(IFERROR(INDEX(醫師週班表!$C$5:$T$44,$CU26,CH$57),""),1),IFERROR(INDEX(醫師週班表!$C$5:$T$44,$CU26,CH$57),"")))))))</f>
        <v/>
      </c>
      <c r="CI26" s="72">
        <f>IF(CI$59="X","",IF(CI$59&lt;&gt;"",CI$59,IF(IFERROR(INDEX(醫師週班表!$C$5:$T$44,$CU26,CI$57),"")=0,"",IF(MID(IFERROR(INDEX(醫師週班表!$C$5:$T$44,$CU26,CI$57),""),2,1)="/",MID(IFERROR(INDEX(醫師週班表!$C$5:$T$44,$CU26,CI$57),""),1+CI$58*2,1),IF(MID(IFERROR(INDEX(醫師週班表!$C$5:$T$44,$CU26,CI$57),""),3,1)="隔",IF(CI$58=0,LEFT(IFERROR(INDEX(醫師週班表!$C$5:$T$44,$CU26,CI$57),""),1),""),IF(MID(IFERROR(INDEX(醫師週班表!$C$5:$T$44,$CU26,CI$57),""),2,1)="(",LEFT(IFERROR(INDEX(醫師週班表!$C$5:$T$44,$CU26,CI$57),""),1),IFERROR(INDEX(醫師週班表!$C$5:$T$44,$CU26,CI$57),"")))))))</f>
        <v/>
      </c>
      <c r="CJ26" s="72">
        <f>IF(CJ$59="X","",IF(CJ$59&lt;&gt;"",CJ$59,IF(IFERROR(INDEX(醫師週班表!$C$5:$T$44,$CU26,CJ$57),"")=0,"",IF(MID(IFERROR(INDEX(醫師週班表!$C$5:$T$44,$CU26,CJ$57),""),2,1)="/",MID(IFERROR(INDEX(醫師週班表!$C$5:$T$44,$CU26,CJ$57),""),1+CJ$58*2,1),IF(MID(IFERROR(INDEX(醫師週班表!$C$5:$T$44,$CU26,CJ$57),""),3,1)="隔",IF(CJ$58=0,LEFT(IFERROR(INDEX(醫師週班表!$C$5:$T$44,$CU26,CJ$57),""),1),""),IF(MID(IFERROR(INDEX(醫師週班表!$C$5:$T$44,$CU26,CJ$57),""),2,1)="(",LEFT(IFERROR(INDEX(醫師週班表!$C$5:$T$44,$CU26,CJ$57),""),1),IFERROR(INDEX(醫師週班表!$C$5:$T$44,$CU26,CJ$57),"")))))))</f>
        <v/>
      </c>
      <c r="CK26" s="71">
        <f>IF(CK$59="X","",IF(CK$59&lt;&gt;"",CK$59,IF(IFERROR(INDEX(醫師週班表!$C$5:$T$44,$CU26,CK$57),"")=0,"",IF(MID(IFERROR(INDEX(醫師週班表!$C$5:$T$44,$CU26,CK$57),""),2,1)="/",MID(IFERROR(INDEX(醫師週班表!$C$5:$T$44,$CU26,CK$57),""),1+CK$58*2,1),IF(MID(IFERROR(INDEX(醫師週班表!$C$5:$T$44,$CU26,CK$57),""),3,1)="隔",IF(CK$58=0,LEFT(IFERROR(INDEX(醫師週班表!$C$5:$T$44,$CU26,CK$57),""),1),""),IF(MID(IFERROR(INDEX(醫師週班表!$C$5:$T$44,$CU26,CK$57),""),2,1)="(",LEFT(IFERROR(INDEX(醫師週班表!$C$5:$T$44,$CU26,CK$57),""),1),IFERROR(INDEX(醫師週班表!$C$5:$T$44,$CU26,CK$57),"")))))))</f>
        <v/>
      </c>
      <c r="CL26" s="72">
        <f>IF(CL$59="X","",IF(CL$59&lt;&gt;"",CL$59,IF(IFERROR(INDEX(醫師週班表!$C$5:$T$44,$CU26,CL$57),"")=0,"",IF(MID(IFERROR(INDEX(醫師週班表!$C$5:$T$44,$CU26,CL$57),""),2,1)="/",MID(IFERROR(INDEX(醫師週班表!$C$5:$T$44,$CU26,CL$57),""),1+CL$58*2,1),IF(MID(IFERROR(INDEX(醫師週班表!$C$5:$T$44,$CU26,CL$57),""),3,1)="隔",IF(CL$58=0,LEFT(IFERROR(INDEX(醫師週班表!$C$5:$T$44,$CU26,CL$57),""),1),""),IF(MID(IFERROR(INDEX(醫師週班表!$C$5:$T$44,$CU26,CL$57),""),2,1)="(",LEFT(IFERROR(INDEX(醫師週班表!$C$5:$T$44,$CU26,CL$57),""),1),IFERROR(INDEX(醫師週班表!$C$5:$T$44,$CU26,CL$57),"")))))))</f>
        <v/>
      </c>
      <c r="CM26" s="72">
        <f>IF(CM$59="X","",IF(CM$59&lt;&gt;"",CM$59,IF(IFERROR(INDEX(醫師週班表!$C$5:$T$44,$CU26,CM$57),"")=0,"",IF(MID(IFERROR(INDEX(醫師週班表!$C$5:$T$44,$CU26,CM$57),""),2,1)="/",MID(IFERROR(INDEX(醫師週班表!$C$5:$T$44,$CU26,CM$57),""),1+CM$58*2,1),IF(MID(IFERROR(INDEX(醫師週班表!$C$5:$T$44,$CU26,CM$57),""),3,1)="隔",IF(CM$58=0,LEFT(IFERROR(INDEX(醫師週班表!$C$5:$T$44,$CU26,CM$57),""),1),""),IF(MID(IFERROR(INDEX(醫師週班表!$C$5:$T$44,$CU26,CM$57),""),2,1)="(",LEFT(IFERROR(INDEX(醫師週班表!$C$5:$T$44,$CU26,CM$57),""),1),IFERROR(INDEX(醫師週班表!$C$5:$T$44,$CU26,CM$57),"")))))))</f>
        <v/>
      </c>
      <c r="CN26" s="71">
        <f>IF(CN$59="X","",IF(CN$59&lt;&gt;"",CN$59,IF(IFERROR(INDEX(醫師週班表!$C$5:$T$44,$CU26,CN$57),"")=0,"",IF(MID(IFERROR(INDEX(醫師週班表!$C$5:$T$44,$CU26,CN$57),""),2,1)="/",MID(IFERROR(INDEX(醫師週班表!$C$5:$T$44,$CU26,CN$57),""),1+CN$58*2,1),IF(MID(IFERROR(INDEX(醫師週班表!$C$5:$T$44,$CU26,CN$57),""),3,1)="隔",IF(CN$58=0,LEFT(IFERROR(INDEX(醫師週班表!$C$5:$T$44,$CU26,CN$57),""),1),""),IF(MID(IFERROR(INDEX(醫師週班表!$C$5:$T$44,$CU26,CN$57),""),2,1)="(",LEFT(IFERROR(INDEX(醫師週班表!$C$5:$T$44,$CU26,CN$57),""),1),IFERROR(INDEX(醫師週班表!$C$5:$T$44,$CU26,CN$57),"")))))))</f>
        <v/>
      </c>
      <c r="CO26" s="72">
        <f>IF(CO$59="X","",IF(CO$59&lt;&gt;"",CO$59,IF(IFERROR(INDEX(醫師週班表!$C$5:$T$44,$CU26,CO$57),"")=0,"",IF(MID(IFERROR(INDEX(醫師週班表!$C$5:$T$44,$CU26,CO$57),""),2,1)="/",MID(IFERROR(INDEX(醫師週班表!$C$5:$T$44,$CU26,CO$57),""),1+CO$58*2,1),IF(MID(IFERROR(INDEX(醫師週班表!$C$5:$T$44,$CU26,CO$57),""),3,1)="隔",IF(CO$58=0,LEFT(IFERROR(INDEX(醫師週班表!$C$5:$T$44,$CU26,CO$57),""),1),""),IF(MID(IFERROR(INDEX(醫師週班表!$C$5:$T$44,$CU26,CO$57),""),2,1)="(",LEFT(IFERROR(INDEX(醫師週班表!$C$5:$T$44,$CU26,CO$57),""),1),IFERROR(INDEX(醫師週班表!$C$5:$T$44,$CU26,CO$57),"")))))))</f>
        <v/>
      </c>
      <c r="CP26" s="72">
        <f>IF(CP$59="X","",IF(CP$59&lt;&gt;"",CP$59,IF(IFERROR(INDEX(醫師週班表!$C$5:$T$44,$CU26,CP$57),"")=0,"",IF(MID(IFERROR(INDEX(醫師週班表!$C$5:$T$44,$CU26,CP$57),""),2,1)="/",MID(IFERROR(INDEX(醫師週班表!$C$5:$T$44,$CU26,CP$57),""),1+CP$58*2,1),IF(MID(IFERROR(INDEX(醫師週班表!$C$5:$T$44,$CU26,CP$57),""),3,1)="隔",IF(CP$58=0,LEFT(IFERROR(INDEX(醫師週班表!$C$5:$T$44,$CU26,CP$57),""),1),""),IF(MID(IFERROR(INDEX(醫師週班表!$C$5:$T$44,$CU26,CP$57),""),2,1)="(",LEFT(IFERROR(INDEX(醫師週班表!$C$5:$T$44,$CU26,CP$57),""),1),IFERROR(INDEX(醫師週班表!$C$5:$T$44,$CU26,CP$57),"")))))))</f>
        <v/>
      </c>
      <c r="CQ26" s="71">
        <f>IF(CQ$59="X","",IF(CQ$59&lt;&gt;"",CQ$59,IF(IFERROR(INDEX(醫師週班表!$C$5:$T$44,$CU26,CQ$57),"")=0,"",IF(MID(IFERROR(INDEX(醫師週班表!$C$5:$T$44,$CU26,CQ$57),""),2,1)="/",MID(IFERROR(INDEX(醫師週班表!$C$5:$T$44,$CU26,CQ$57),""),1+CQ$58*2,1),IF(MID(IFERROR(INDEX(醫師週班表!$C$5:$T$44,$CU26,CQ$57),""),3,1)="隔",IF(CQ$58=0,LEFT(IFERROR(INDEX(醫師週班表!$C$5:$T$44,$CU26,CQ$57),""),1),""),IF(MID(IFERROR(INDEX(醫師週班表!$C$5:$T$44,$CU26,CQ$57),""),2,1)="(",LEFT(IFERROR(INDEX(醫師週班表!$C$5:$T$44,$CU26,CQ$57),""),1),IFERROR(INDEX(醫師週班表!$C$5:$T$44,$CU26,CQ$57),"")))))))</f>
        <v/>
      </c>
      <c r="CR26" s="72">
        <f>IF(CR$59="X","",IF(CR$59&lt;&gt;"",CR$59,IF(IFERROR(INDEX(醫師週班表!$C$5:$T$44,$CU26,CR$57),"")=0,"",IF(MID(IFERROR(INDEX(醫師週班表!$C$5:$T$44,$CU26,CR$57),""),2,1)="/",MID(IFERROR(INDEX(醫師週班表!$C$5:$T$44,$CU26,CR$57),""),1+CR$58*2,1),IF(MID(IFERROR(INDEX(醫師週班表!$C$5:$T$44,$CU26,CR$57),""),3,1)="隔",IF(CR$58=0,LEFT(IFERROR(INDEX(醫師週班表!$C$5:$T$44,$CU26,CR$57),""),1),""),IF(MID(IFERROR(INDEX(醫師週班表!$C$5:$T$44,$CU26,CR$57),""),2,1)="(",LEFT(IFERROR(INDEX(醫師週班表!$C$5:$T$44,$CU26,CR$57),""),1),IFERROR(INDEX(醫師週班表!$C$5:$T$44,$CU26,CR$57),"")))))))</f>
        <v/>
      </c>
      <c r="CS26" s="72">
        <f>IF(CS$59="X","",IF(CS$59&lt;&gt;"",CS$59,IF(IFERROR(INDEX(醫師週班表!$C$5:$T$44,$CU26,CS$57),"")=0,"",IF(MID(IFERROR(INDEX(醫師週班表!$C$5:$T$44,$CU26,CS$57),""),2,1)="/",MID(IFERROR(INDEX(醫師週班表!$C$5:$T$44,$CU26,CS$57),""),1+CS$58*2,1),IF(MID(IFERROR(INDEX(醫師週班表!$C$5:$T$44,$CU26,CS$57),""),3,1)="隔",IF(CS$58=0,LEFT(IFERROR(INDEX(醫師週班表!$C$5:$T$44,$CU26,CS$57),""),1),""),IF(MID(IFERROR(INDEX(醫師週班表!$C$5:$T$44,$CU26,CS$57),""),2,1)="(",LEFT(IFERROR(INDEX(醫師週班表!$C$5:$T$44,$CU26,CS$57),""),1),IFERROR(INDEX(醫師週班表!$C$5:$T$44,$CU26,CS$57),"")))))))</f>
        <v/>
      </c>
      <c r="CU26" s="73">
        <f>IFERROR(MATCH($A26,醫師週班表!$A$5:$A$44,0),0)</f>
        <v/>
      </c>
    </row>
    <row r="27" ht="17" customHeight="1">
      <c r="A27" s="19" t="inlineStr">
        <is>
          <t>D022</t>
        </is>
      </c>
      <c r="B27" s="16" t="inlineStr">
        <is>
          <t>黃育亭</t>
        </is>
      </c>
      <c r="C27" s="70" t="inlineStr">
        <is>
          <t>兒童</t>
        </is>
      </c>
      <c r="D27" s="16" t="inlineStr">
        <is>
          <t>寶貝牙院長</t>
        </is>
      </c>
      <c r="E27" s="71">
        <f>IF(E$59="X","",IF(E$59&lt;&gt;"",E$59,IF(IFERROR(INDEX(醫師週班表!$C$5:$T$44,$CU27,E$57),"")=0,"",IF(MID(IFERROR(INDEX(醫師週班表!$C$5:$T$44,$CU27,E$57),""),2,1)="/",MID(IFERROR(INDEX(醫師週班表!$C$5:$T$44,$CU27,E$57),""),1+E$58*2,1),IF(MID(IFERROR(INDEX(醫師週班表!$C$5:$T$44,$CU27,E$57),""),3,1)="隔",IF(E$58=0,LEFT(IFERROR(INDEX(醫師週班表!$C$5:$T$44,$CU27,E$57),""),1),""),IF(MID(IFERROR(INDEX(醫師週班表!$C$5:$T$44,$CU27,E$57),""),2,1)="(",LEFT(IFERROR(INDEX(醫師週班表!$C$5:$T$44,$CU27,E$57),""),1),IFERROR(INDEX(醫師週班表!$C$5:$T$44,$CU27,E$57),"")))))))</f>
        <v/>
      </c>
      <c r="F27" s="72">
        <f>IF(F$59="X","",IF(F$59&lt;&gt;"",F$59,IF(IFERROR(INDEX(醫師週班表!$C$5:$T$44,$CU27,F$57),"")=0,"",IF(MID(IFERROR(INDEX(醫師週班表!$C$5:$T$44,$CU27,F$57),""),2,1)="/",MID(IFERROR(INDEX(醫師週班表!$C$5:$T$44,$CU27,F$57),""),1+F$58*2,1),IF(MID(IFERROR(INDEX(醫師週班表!$C$5:$T$44,$CU27,F$57),""),3,1)="隔",IF(F$58=0,LEFT(IFERROR(INDEX(醫師週班表!$C$5:$T$44,$CU27,F$57),""),1),""),IF(MID(IFERROR(INDEX(醫師週班表!$C$5:$T$44,$CU27,F$57),""),2,1)="(",LEFT(IFERROR(INDEX(醫師週班表!$C$5:$T$44,$CU27,F$57),""),1),IFERROR(INDEX(醫師週班表!$C$5:$T$44,$CU27,F$57),"")))))))</f>
        <v/>
      </c>
      <c r="G27" s="72">
        <f>IF(G$59="X","",IF(G$59&lt;&gt;"",G$59,IF(IFERROR(INDEX(醫師週班表!$C$5:$T$44,$CU27,G$57),"")=0,"",IF(MID(IFERROR(INDEX(醫師週班表!$C$5:$T$44,$CU27,G$57),""),2,1)="/",MID(IFERROR(INDEX(醫師週班表!$C$5:$T$44,$CU27,G$57),""),1+G$58*2,1),IF(MID(IFERROR(INDEX(醫師週班表!$C$5:$T$44,$CU27,G$57),""),3,1)="隔",IF(G$58=0,LEFT(IFERROR(INDEX(醫師週班表!$C$5:$T$44,$CU27,G$57),""),1),""),IF(MID(IFERROR(INDEX(醫師週班表!$C$5:$T$44,$CU27,G$57),""),2,1)="(",LEFT(IFERROR(INDEX(醫師週班表!$C$5:$T$44,$CU27,G$57),""),1),IFERROR(INDEX(醫師週班表!$C$5:$T$44,$CU27,G$57),"")))))))</f>
        <v/>
      </c>
      <c r="H27" s="71">
        <f>IF(H$59="X","",IF(H$59&lt;&gt;"",H$59,IF(IFERROR(INDEX(醫師週班表!$C$5:$T$44,$CU27,H$57),"")=0,"",IF(MID(IFERROR(INDEX(醫師週班表!$C$5:$T$44,$CU27,H$57),""),2,1)="/",MID(IFERROR(INDEX(醫師週班表!$C$5:$T$44,$CU27,H$57),""),1+H$58*2,1),IF(MID(IFERROR(INDEX(醫師週班表!$C$5:$T$44,$CU27,H$57),""),3,1)="隔",IF(H$58=0,LEFT(IFERROR(INDEX(醫師週班表!$C$5:$T$44,$CU27,H$57),""),1),""),IF(MID(IFERROR(INDEX(醫師週班表!$C$5:$T$44,$CU27,H$57),""),2,1)="(",LEFT(IFERROR(INDEX(醫師週班表!$C$5:$T$44,$CU27,H$57),""),1),IFERROR(INDEX(醫師週班表!$C$5:$T$44,$CU27,H$57),"")))))))</f>
        <v/>
      </c>
      <c r="I27" s="72">
        <f>IF(I$59="X","",IF(I$59&lt;&gt;"",I$59,IF(IFERROR(INDEX(醫師週班表!$C$5:$T$44,$CU27,I$57),"")=0,"",IF(MID(IFERROR(INDEX(醫師週班表!$C$5:$T$44,$CU27,I$57),""),2,1)="/",MID(IFERROR(INDEX(醫師週班表!$C$5:$T$44,$CU27,I$57),""),1+I$58*2,1),IF(MID(IFERROR(INDEX(醫師週班表!$C$5:$T$44,$CU27,I$57),""),3,1)="隔",IF(I$58=0,LEFT(IFERROR(INDEX(醫師週班表!$C$5:$T$44,$CU27,I$57),""),1),""),IF(MID(IFERROR(INDEX(醫師週班表!$C$5:$T$44,$CU27,I$57),""),2,1)="(",LEFT(IFERROR(INDEX(醫師週班表!$C$5:$T$44,$CU27,I$57),""),1),IFERROR(INDEX(醫師週班表!$C$5:$T$44,$CU27,I$57),"")))))))</f>
        <v/>
      </c>
      <c r="J27" s="72">
        <f>IF(J$59="X","",IF(J$59&lt;&gt;"",J$59,IF(IFERROR(INDEX(醫師週班表!$C$5:$T$44,$CU27,J$57),"")=0,"",IF(MID(IFERROR(INDEX(醫師週班表!$C$5:$T$44,$CU27,J$57),""),2,1)="/",MID(IFERROR(INDEX(醫師週班表!$C$5:$T$44,$CU27,J$57),""),1+J$58*2,1),IF(MID(IFERROR(INDEX(醫師週班表!$C$5:$T$44,$CU27,J$57),""),3,1)="隔",IF(J$58=0,LEFT(IFERROR(INDEX(醫師週班表!$C$5:$T$44,$CU27,J$57),""),1),""),IF(MID(IFERROR(INDEX(醫師週班表!$C$5:$T$44,$CU27,J$57),""),2,1)="(",LEFT(IFERROR(INDEX(醫師週班表!$C$5:$T$44,$CU27,J$57),""),1),IFERROR(INDEX(醫師週班表!$C$5:$T$44,$CU27,J$57),"")))))))</f>
        <v/>
      </c>
      <c r="K27" s="71">
        <f>IF(K$59="X","",IF(K$59&lt;&gt;"",K$59,IF(IFERROR(INDEX(醫師週班表!$C$5:$T$44,$CU27,K$57),"")=0,"",IF(MID(IFERROR(INDEX(醫師週班表!$C$5:$T$44,$CU27,K$57),""),2,1)="/",MID(IFERROR(INDEX(醫師週班表!$C$5:$T$44,$CU27,K$57),""),1+K$58*2,1),IF(MID(IFERROR(INDEX(醫師週班表!$C$5:$T$44,$CU27,K$57),""),3,1)="隔",IF(K$58=0,LEFT(IFERROR(INDEX(醫師週班表!$C$5:$T$44,$CU27,K$57),""),1),""),IF(MID(IFERROR(INDEX(醫師週班表!$C$5:$T$44,$CU27,K$57),""),2,1)="(",LEFT(IFERROR(INDEX(醫師週班表!$C$5:$T$44,$CU27,K$57),""),1),IFERROR(INDEX(醫師週班表!$C$5:$T$44,$CU27,K$57),"")))))))</f>
        <v/>
      </c>
      <c r="L27" s="72">
        <f>IF(L$59="X","",IF(L$59&lt;&gt;"",L$59,IF(IFERROR(INDEX(醫師週班表!$C$5:$T$44,$CU27,L$57),"")=0,"",IF(MID(IFERROR(INDEX(醫師週班表!$C$5:$T$44,$CU27,L$57),""),2,1)="/",MID(IFERROR(INDEX(醫師週班表!$C$5:$T$44,$CU27,L$57),""),1+L$58*2,1),IF(MID(IFERROR(INDEX(醫師週班表!$C$5:$T$44,$CU27,L$57),""),3,1)="隔",IF(L$58=0,LEFT(IFERROR(INDEX(醫師週班表!$C$5:$T$44,$CU27,L$57),""),1),""),IF(MID(IFERROR(INDEX(醫師週班表!$C$5:$T$44,$CU27,L$57),""),2,1)="(",LEFT(IFERROR(INDEX(醫師週班表!$C$5:$T$44,$CU27,L$57),""),1),IFERROR(INDEX(醫師週班表!$C$5:$T$44,$CU27,L$57),"")))))))</f>
        <v/>
      </c>
      <c r="M27" s="72">
        <f>IF(M$59="X","",IF(M$59&lt;&gt;"",M$59,IF(IFERROR(INDEX(醫師週班表!$C$5:$T$44,$CU27,M$57),"")=0,"",IF(MID(IFERROR(INDEX(醫師週班表!$C$5:$T$44,$CU27,M$57),""),2,1)="/",MID(IFERROR(INDEX(醫師週班表!$C$5:$T$44,$CU27,M$57),""),1+M$58*2,1),IF(MID(IFERROR(INDEX(醫師週班表!$C$5:$T$44,$CU27,M$57),""),3,1)="隔",IF(M$58=0,LEFT(IFERROR(INDEX(醫師週班表!$C$5:$T$44,$CU27,M$57),""),1),""),IF(MID(IFERROR(INDEX(醫師週班表!$C$5:$T$44,$CU27,M$57),""),2,1)="(",LEFT(IFERROR(INDEX(醫師週班表!$C$5:$T$44,$CU27,M$57),""),1),IFERROR(INDEX(醫師週班表!$C$5:$T$44,$CU27,M$57),"")))))))</f>
        <v/>
      </c>
      <c r="N27" s="71">
        <f>IF(N$59="X","",IF(N$59&lt;&gt;"",N$59,IF(IFERROR(INDEX(醫師週班表!$C$5:$T$44,$CU27,N$57),"")=0,"",IF(MID(IFERROR(INDEX(醫師週班表!$C$5:$T$44,$CU27,N$57),""),2,1)="/",MID(IFERROR(INDEX(醫師週班表!$C$5:$T$44,$CU27,N$57),""),1+N$58*2,1),IF(MID(IFERROR(INDEX(醫師週班表!$C$5:$T$44,$CU27,N$57),""),3,1)="隔",IF(N$58=0,LEFT(IFERROR(INDEX(醫師週班表!$C$5:$T$44,$CU27,N$57),""),1),""),IF(MID(IFERROR(INDEX(醫師週班表!$C$5:$T$44,$CU27,N$57),""),2,1)="(",LEFT(IFERROR(INDEX(醫師週班表!$C$5:$T$44,$CU27,N$57),""),1),IFERROR(INDEX(醫師週班表!$C$5:$T$44,$CU27,N$57),"")))))))</f>
        <v/>
      </c>
      <c r="O27" s="72">
        <f>IF(O$59="X","",IF(O$59&lt;&gt;"",O$59,IF(IFERROR(INDEX(醫師週班表!$C$5:$T$44,$CU27,O$57),"")=0,"",IF(MID(IFERROR(INDEX(醫師週班表!$C$5:$T$44,$CU27,O$57),""),2,1)="/",MID(IFERROR(INDEX(醫師週班表!$C$5:$T$44,$CU27,O$57),""),1+O$58*2,1),IF(MID(IFERROR(INDEX(醫師週班表!$C$5:$T$44,$CU27,O$57),""),3,1)="隔",IF(O$58=0,LEFT(IFERROR(INDEX(醫師週班表!$C$5:$T$44,$CU27,O$57),""),1),""),IF(MID(IFERROR(INDEX(醫師週班表!$C$5:$T$44,$CU27,O$57),""),2,1)="(",LEFT(IFERROR(INDEX(醫師週班表!$C$5:$T$44,$CU27,O$57),""),1),IFERROR(INDEX(醫師週班表!$C$5:$T$44,$CU27,O$57),"")))))))</f>
        <v/>
      </c>
      <c r="P27" s="72">
        <f>IF(P$59="X","",IF(P$59&lt;&gt;"",P$59,IF(IFERROR(INDEX(醫師週班表!$C$5:$T$44,$CU27,P$57),"")=0,"",IF(MID(IFERROR(INDEX(醫師週班表!$C$5:$T$44,$CU27,P$57),""),2,1)="/",MID(IFERROR(INDEX(醫師週班表!$C$5:$T$44,$CU27,P$57),""),1+P$58*2,1),IF(MID(IFERROR(INDEX(醫師週班表!$C$5:$T$44,$CU27,P$57),""),3,1)="隔",IF(P$58=0,LEFT(IFERROR(INDEX(醫師週班表!$C$5:$T$44,$CU27,P$57),""),1),""),IF(MID(IFERROR(INDEX(醫師週班表!$C$5:$T$44,$CU27,P$57),""),2,1)="(",LEFT(IFERROR(INDEX(醫師週班表!$C$5:$T$44,$CU27,P$57),""),1),IFERROR(INDEX(醫師週班表!$C$5:$T$44,$CU27,P$57),"")))))))</f>
        <v/>
      </c>
      <c r="Q27" s="71">
        <f>IF(Q$59="X","",IF(Q$59&lt;&gt;"",Q$59,IF(IFERROR(INDEX(醫師週班表!$C$5:$T$44,$CU27,Q$57),"")=0,"",IF(MID(IFERROR(INDEX(醫師週班表!$C$5:$T$44,$CU27,Q$57),""),2,1)="/",MID(IFERROR(INDEX(醫師週班表!$C$5:$T$44,$CU27,Q$57),""),1+Q$58*2,1),IF(MID(IFERROR(INDEX(醫師週班表!$C$5:$T$44,$CU27,Q$57),""),3,1)="隔",IF(Q$58=0,LEFT(IFERROR(INDEX(醫師週班表!$C$5:$T$44,$CU27,Q$57),""),1),""),IF(MID(IFERROR(INDEX(醫師週班表!$C$5:$T$44,$CU27,Q$57),""),2,1)="(",LEFT(IFERROR(INDEX(醫師週班表!$C$5:$T$44,$CU27,Q$57),""),1),IFERROR(INDEX(醫師週班表!$C$5:$T$44,$CU27,Q$57),"")))))))</f>
        <v/>
      </c>
      <c r="R27" s="72">
        <f>IF(R$59="X","",IF(R$59&lt;&gt;"",R$59,IF(IFERROR(INDEX(醫師週班表!$C$5:$T$44,$CU27,R$57),"")=0,"",IF(MID(IFERROR(INDEX(醫師週班表!$C$5:$T$44,$CU27,R$57),""),2,1)="/",MID(IFERROR(INDEX(醫師週班表!$C$5:$T$44,$CU27,R$57),""),1+R$58*2,1),IF(MID(IFERROR(INDEX(醫師週班表!$C$5:$T$44,$CU27,R$57),""),3,1)="隔",IF(R$58=0,LEFT(IFERROR(INDEX(醫師週班表!$C$5:$T$44,$CU27,R$57),""),1),""),IF(MID(IFERROR(INDEX(醫師週班表!$C$5:$T$44,$CU27,R$57),""),2,1)="(",LEFT(IFERROR(INDEX(醫師週班表!$C$5:$T$44,$CU27,R$57),""),1),IFERROR(INDEX(醫師週班表!$C$5:$T$44,$CU27,R$57),"")))))))</f>
        <v/>
      </c>
      <c r="S27" s="72">
        <f>IF(S$59="X","",IF(S$59&lt;&gt;"",S$59,IF(IFERROR(INDEX(醫師週班表!$C$5:$T$44,$CU27,S$57),"")=0,"",IF(MID(IFERROR(INDEX(醫師週班表!$C$5:$T$44,$CU27,S$57),""),2,1)="/",MID(IFERROR(INDEX(醫師週班表!$C$5:$T$44,$CU27,S$57),""),1+S$58*2,1),IF(MID(IFERROR(INDEX(醫師週班表!$C$5:$T$44,$CU27,S$57),""),3,1)="隔",IF(S$58=0,LEFT(IFERROR(INDEX(醫師週班表!$C$5:$T$44,$CU27,S$57),""),1),""),IF(MID(IFERROR(INDEX(醫師週班表!$C$5:$T$44,$CU27,S$57),""),2,1)="(",LEFT(IFERROR(INDEX(醫師週班表!$C$5:$T$44,$CU27,S$57),""),1),IFERROR(INDEX(醫師週班表!$C$5:$T$44,$CU27,S$57),"")))))))</f>
        <v/>
      </c>
      <c r="T27" s="71">
        <f>IF(T$59="X","",IF(T$59&lt;&gt;"",T$59,IF(IFERROR(INDEX(醫師週班表!$C$5:$T$44,$CU27,T$57),"")=0,"",IF(MID(IFERROR(INDEX(醫師週班表!$C$5:$T$44,$CU27,T$57),""),2,1)="/",MID(IFERROR(INDEX(醫師週班表!$C$5:$T$44,$CU27,T$57),""),1+T$58*2,1),IF(MID(IFERROR(INDEX(醫師週班表!$C$5:$T$44,$CU27,T$57),""),3,1)="隔",IF(T$58=0,LEFT(IFERROR(INDEX(醫師週班表!$C$5:$T$44,$CU27,T$57),""),1),""),IF(MID(IFERROR(INDEX(醫師週班表!$C$5:$T$44,$CU27,T$57),""),2,1)="(",LEFT(IFERROR(INDEX(醫師週班表!$C$5:$T$44,$CU27,T$57),""),1),IFERROR(INDEX(醫師週班表!$C$5:$T$44,$CU27,T$57),"")))))))</f>
        <v/>
      </c>
      <c r="U27" s="72">
        <f>IF(U$59="X","",IF(U$59&lt;&gt;"",U$59,IF(IFERROR(INDEX(醫師週班表!$C$5:$T$44,$CU27,U$57),"")=0,"",IF(MID(IFERROR(INDEX(醫師週班表!$C$5:$T$44,$CU27,U$57),""),2,1)="/",MID(IFERROR(INDEX(醫師週班表!$C$5:$T$44,$CU27,U$57),""),1+U$58*2,1),IF(MID(IFERROR(INDEX(醫師週班表!$C$5:$T$44,$CU27,U$57),""),3,1)="隔",IF(U$58=0,LEFT(IFERROR(INDEX(醫師週班表!$C$5:$T$44,$CU27,U$57),""),1),""),IF(MID(IFERROR(INDEX(醫師週班表!$C$5:$T$44,$CU27,U$57),""),2,1)="(",LEFT(IFERROR(INDEX(醫師週班表!$C$5:$T$44,$CU27,U$57),""),1),IFERROR(INDEX(醫師週班表!$C$5:$T$44,$CU27,U$57),"")))))))</f>
        <v/>
      </c>
      <c r="V27" s="72">
        <f>IF(V$59="X","",IF(V$59&lt;&gt;"",V$59,IF(IFERROR(INDEX(醫師週班表!$C$5:$T$44,$CU27,V$57),"")=0,"",IF(MID(IFERROR(INDEX(醫師週班表!$C$5:$T$44,$CU27,V$57),""),2,1)="/",MID(IFERROR(INDEX(醫師週班表!$C$5:$T$44,$CU27,V$57),""),1+V$58*2,1),IF(MID(IFERROR(INDEX(醫師週班表!$C$5:$T$44,$CU27,V$57),""),3,1)="隔",IF(V$58=0,LEFT(IFERROR(INDEX(醫師週班表!$C$5:$T$44,$CU27,V$57),""),1),""),IF(MID(IFERROR(INDEX(醫師週班表!$C$5:$T$44,$CU27,V$57),""),2,1)="(",LEFT(IFERROR(INDEX(醫師週班表!$C$5:$T$44,$CU27,V$57),""),1),IFERROR(INDEX(醫師週班表!$C$5:$T$44,$CU27,V$57),"")))))))</f>
        <v/>
      </c>
      <c r="W27" s="71">
        <f>IF(W$59="X","",IF(W$59&lt;&gt;"",W$59,IF(IFERROR(INDEX(醫師週班表!$C$5:$T$44,$CU27,W$57),"")=0,"",IF(MID(IFERROR(INDEX(醫師週班表!$C$5:$T$44,$CU27,W$57),""),2,1)="/",MID(IFERROR(INDEX(醫師週班表!$C$5:$T$44,$CU27,W$57),""),1+W$58*2,1),IF(MID(IFERROR(INDEX(醫師週班表!$C$5:$T$44,$CU27,W$57),""),3,1)="隔",IF(W$58=0,LEFT(IFERROR(INDEX(醫師週班表!$C$5:$T$44,$CU27,W$57),""),1),""),IF(MID(IFERROR(INDEX(醫師週班表!$C$5:$T$44,$CU27,W$57),""),2,1)="(",LEFT(IFERROR(INDEX(醫師週班表!$C$5:$T$44,$CU27,W$57),""),1),IFERROR(INDEX(醫師週班表!$C$5:$T$44,$CU27,W$57),"")))))))</f>
        <v/>
      </c>
      <c r="X27" s="72">
        <f>IF(X$59="X","",IF(X$59&lt;&gt;"",X$59,IF(IFERROR(INDEX(醫師週班表!$C$5:$T$44,$CU27,X$57),"")=0,"",IF(MID(IFERROR(INDEX(醫師週班表!$C$5:$T$44,$CU27,X$57),""),2,1)="/",MID(IFERROR(INDEX(醫師週班表!$C$5:$T$44,$CU27,X$57),""),1+X$58*2,1),IF(MID(IFERROR(INDEX(醫師週班表!$C$5:$T$44,$CU27,X$57),""),3,1)="隔",IF(X$58=0,LEFT(IFERROR(INDEX(醫師週班表!$C$5:$T$44,$CU27,X$57),""),1),""),IF(MID(IFERROR(INDEX(醫師週班表!$C$5:$T$44,$CU27,X$57),""),2,1)="(",LEFT(IFERROR(INDEX(醫師週班表!$C$5:$T$44,$CU27,X$57),""),1),IFERROR(INDEX(醫師週班表!$C$5:$T$44,$CU27,X$57),"")))))))</f>
        <v/>
      </c>
      <c r="Y27" s="72">
        <f>IF(Y$59="X","",IF(Y$59&lt;&gt;"",Y$59,IF(IFERROR(INDEX(醫師週班表!$C$5:$T$44,$CU27,Y$57),"")=0,"",IF(MID(IFERROR(INDEX(醫師週班表!$C$5:$T$44,$CU27,Y$57),""),2,1)="/",MID(IFERROR(INDEX(醫師週班表!$C$5:$T$44,$CU27,Y$57),""),1+Y$58*2,1),IF(MID(IFERROR(INDEX(醫師週班表!$C$5:$T$44,$CU27,Y$57),""),3,1)="隔",IF(Y$58=0,LEFT(IFERROR(INDEX(醫師週班表!$C$5:$T$44,$CU27,Y$57),""),1),""),IF(MID(IFERROR(INDEX(醫師週班表!$C$5:$T$44,$CU27,Y$57),""),2,1)="(",LEFT(IFERROR(INDEX(醫師週班表!$C$5:$T$44,$CU27,Y$57),""),1),IFERROR(INDEX(醫師週班表!$C$5:$T$44,$CU27,Y$57),"")))))))</f>
        <v/>
      </c>
      <c r="Z27" s="71">
        <f>IF(Z$59="X","",IF(Z$59&lt;&gt;"",Z$59,IF(IFERROR(INDEX(醫師週班表!$C$5:$T$44,$CU27,Z$57),"")=0,"",IF(MID(IFERROR(INDEX(醫師週班表!$C$5:$T$44,$CU27,Z$57),""),2,1)="/",MID(IFERROR(INDEX(醫師週班表!$C$5:$T$44,$CU27,Z$57),""),1+Z$58*2,1),IF(MID(IFERROR(INDEX(醫師週班表!$C$5:$T$44,$CU27,Z$57),""),3,1)="隔",IF(Z$58=0,LEFT(IFERROR(INDEX(醫師週班表!$C$5:$T$44,$CU27,Z$57),""),1),""),IF(MID(IFERROR(INDEX(醫師週班表!$C$5:$T$44,$CU27,Z$57),""),2,1)="(",LEFT(IFERROR(INDEX(醫師週班表!$C$5:$T$44,$CU27,Z$57),""),1),IFERROR(INDEX(醫師週班表!$C$5:$T$44,$CU27,Z$57),"")))))))</f>
        <v/>
      </c>
      <c r="AA27" s="72">
        <f>IF(AA$59="X","",IF(AA$59&lt;&gt;"",AA$59,IF(IFERROR(INDEX(醫師週班表!$C$5:$T$44,$CU27,AA$57),"")=0,"",IF(MID(IFERROR(INDEX(醫師週班表!$C$5:$T$44,$CU27,AA$57),""),2,1)="/",MID(IFERROR(INDEX(醫師週班表!$C$5:$T$44,$CU27,AA$57),""),1+AA$58*2,1),IF(MID(IFERROR(INDEX(醫師週班表!$C$5:$T$44,$CU27,AA$57),""),3,1)="隔",IF(AA$58=0,LEFT(IFERROR(INDEX(醫師週班表!$C$5:$T$44,$CU27,AA$57),""),1),""),IF(MID(IFERROR(INDEX(醫師週班表!$C$5:$T$44,$CU27,AA$57),""),2,1)="(",LEFT(IFERROR(INDEX(醫師週班表!$C$5:$T$44,$CU27,AA$57),""),1),IFERROR(INDEX(醫師週班表!$C$5:$T$44,$CU27,AA$57),"")))))))</f>
        <v/>
      </c>
      <c r="AB27" s="72">
        <f>IF(AB$59="X","",IF(AB$59&lt;&gt;"",AB$59,IF(IFERROR(INDEX(醫師週班表!$C$5:$T$44,$CU27,AB$57),"")=0,"",IF(MID(IFERROR(INDEX(醫師週班表!$C$5:$T$44,$CU27,AB$57),""),2,1)="/",MID(IFERROR(INDEX(醫師週班表!$C$5:$T$44,$CU27,AB$57),""),1+AB$58*2,1),IF(MID(IFERROR(INDEX(醫師週班表!$C$5:$T$44,$CU27,AB$57),""),3,1)="隔",IF(AB$58=0,LEFT(IFERROR(INDEX(醫師週班表!$C$5:$T$44,$CU27,AB$57),""),1),""),IF(MID(IFERROR(INDEX(醫師週班表!$C$5:$T$44,$CU27,AB$57),""),2,1)="(",LEFT(IFERROR(INDEX(醫師週班表!$C$5:$T$44,$CU27,AB$57),""),1),IFERROR(INDEX(醫師週班表!$C$5:$T$44,$CU27,AB$57),"")))))))</f>
        <v/>
      </c>
      <c r="AC27" s="71">
        <f>IF(AC$59="X","",IF(AC$59&lt;&gt;"",AC$59,IF(IFERROR(INDEX(醫師週班表!$C$5:$T$44,$CU27,AC$57),"")=0,"",IF(MID(IFERROR(INDEX(醫師週班表!$C$5:$T$44,$CU27,AC$57),""),2,1)="/",MID(IFERROR(INDEX(醫師週班表!$C$5:$T$44,$CU27,AC$57),""),1+AC$58*2,1),IF(MID(IFERROR(INDEX(醫師週班表!$C$5:$T$44,$CU27,AC$57),""),3,1)="隔",IF(AC$58=0,LEFT(IFERROR(INDEX(醫師週班表!$C$5:$T$44,$CU27,AC$57),""),1),""),IF(MID(IFERROR(INDEX(醫師週班表!$C$5:$T$44,$CU27,AC$57),""),2,1)="(",LEFT(IFERROR(INDEX(醫師週班表!$C$5:$T$44,$CU27,AC$57),""),1),IFERROR(INDEX(醫師週班表!$C$5:$T$44,$CU27,AC$57),"")))))))</f>
        <v/>
      </c>
      <c r="AD27" s="72">
        <f>IF(AD$59="X","",IF(AD$59&lt;&gt;"",AD$59,IF(IFERROR(INDEX(醫師週班表!$C$5:$T$44,$CU27,AD$57),"")=0,"",IF(MID(IFERROR(INDEX(醫師週班表!$C$5:$T$44,$CU27,AD$57),""),2,1)="/",MID(IFERROR(INDEX(醫師週班表!$C$5:$T$44,$CU27,AD$57),""),1+AD$58*2,1),IF(MID(IFERROR(INDEX(醫師週班表!$C$5:$T$44,$CU27,AD$57),""),3,1)="隔",IF(AD$58=0,LEFT(IFERROR(INDEX(醫師週班表!$C$5:$T$44,$CU27,AD$57),""),1),""),IF(MID(IFERROR(INDEX(醫師週班表!$C$5:$T$44,$CU27,AD$57),""),2,1)="(",LEFT(IFERROR(INDEX(醫師週班表!$C$5:$T$44,$CU27,AD$57),""),1),IFERROR(INDEX(醫師週班表!$C$5:$T$44,$CU27,AD$57),"")))))))</f>
        <v/>
      </c>
      <c r="AE27" s="72">
        <f>IF(AE$59="X","",IF(AE$59&lt;&gt;"",AE$59,IF(IFERROR(INDEX(醫師週班表!$C$5:$T$44,$CU27,AE$57),"")=0,"",IF(MID(IFERROR(INDEX(醫師週班表!$C$5:$T$44,$CU27,AE$57),""),2,1)="/",MID(IFERROR(INDEX(醫師週班表!$C$5:$T$44,$CU27,AE$57),""),1+AE$58*2,1),IF(MID(IFERROR(INDEX(醫師週班表!$C$5:$T$44,$CU27,AE$57),""),3,1)="隔",IF(AE$58=0,LEFT(IFERROR(INDEX(醫師週班表!$C$5:$T$44,$CU27,AE$57),""),1),""),IF(MID(IFERROR(INDEX(醫師週班表!$C$5:$T$44,$CU27,AE$57),""),2,1)="(",LEFT(IFERROR(INDEX(醫師週班表!$C$5:$T$44,$CU27,AE$57),""),1),IFERROR(INDEX(醫師週班表!$C$5:$T$44,$CU27,AE$57),"")))))))</f>
        <v/>
      </c>
      <c r="AF27" s="71">
        <f>IF(AF$59="X","",IF(AF$59&lt;&gt;"",AF$59,IF(IFERROR(INDEX(醫師週班表!$C$5:$T$44,$CU27,AF$57),"")=0,"",IF(MID(IFERROR(INDEX(醫師週班表!$C$5:$T$44,$CU27,AF$57),""),2,1)="/",MID(IFERROR(INDEX(醫師週班表!$C$5:$T$44,$CU27,AF$57),""),1+AF$58*2,1),IF(MID(IFERROR(INDEX(醫師週班表!$C$5:$T$44,$CU27,AF$57),""),3,1)="隔",IF(AF$58=0,LEFT(IFERROR(INDEX(醫師週班表!$C$5:$T$44,$CU27,AF$57),""),1),""),IF(MID(IFERROR(INDEX(醫師週班表!$C$5:$T$44,$CU27,AF$57),""),2,1)="(",LEFT(IFERROR(INDEX(醫師週班表!$C$5:$T$44,$CU27,AF$57),""),1),IFERROR(INDEX(醫師週班表!$C$5:$T$44,$CU27,AF$57),"")))))))</f>
        <v/>
      </c>
      <c r="AG27" s="72">
        <f>IF(AG$59="X","",IF(AG$59&lt;&gt;"",AG$59,IF(IFERROR(INDEX(醫師週班表!$C$5:$T$44,$CU27,AG$57),"")=0,"",IF(MID(IFERROR(INDEX(醫師週班表!$C$5:$T$44,$CU27,AG$57),""),2,1)="/",MID(IFERROR(INDEX(醫師週班表!$C$5:$T$44,$CU27,AG$57),""),1+AG$58*2,1),IF(MID(IFERROR(INDEX(醫師週班表!$C$5:$T$44,$CU27,AG$57),""),3,1)="隔",IF(AG$58=0,LEFT(IFERROR(INDEX(醫師週班表!$C$5:$T$44,$CU27,AG$57),""),1),""),IF(MID(IFERROR(INDEX(醫師週班表!$C$5:$T$44,$CU27,AG$57),""),2,1)="(",LEFT(IFERROR(INDEX(醫師週班表!$C$5:$T$44,$CU27,AG$57),""),1),IFERROR(INDEX(醫師週班表!$C$5:$T$44,$CU27,AG$57),"")))))))</f>
        <v/>
      </c>
      <c r="AH27" s="72">
        <f>IF(AH$59="X","",IF(AH$59&lt;&gt;"",AH$59,IF(IFERROR(INDEX(醫師週班表!$C$5:$T$44,$CU27,AH$57),"")=0,"",IF(MID(IFERROR(INDEX(醫師週班表!$C$5:$T$44,$CU27,AH$57),""),2,1)="/",MID(IFERROR(INDEX(醫師週班表!$C$5:$T$44,$CU27,AH$57),""),1+AH$58*2,1),IF(MID(IFERROR(INDEX(醫師週班表!$C$5:$T$44,$CU27,AH$57),""),3,1)="隔",IF(AH$58=0,LEFT(IFERROR(INDEX(醫師週班表!$C$5:$T$44,$CU27,AH$57),""),1),""),IF(MID(IFERROR(INDEX(醫師週班表!$C$5:$T$44,$CU27,AH$57),""),2,1)="(",LEFT(IFERROR(INDEX(醫師週班表!$C$5:$T$44,$CU27,AH$57),""),1),IFERROR(INDEX(醫師週班表!$C$5:$T$44,$CU27,AH$57),"")))))))</f>
        <v/>
      </c>
      <c r="AI27" s="71">
        <f>IF(AI$59="X","",IF(AI$59&lt;&gt;"",AI$59,IF(IFERROR(INDEX(醫師週班表!$C$5:$T$44,$CU27,AI$57),"")=0,"",IF(MID(IFERROR(INDEX(醫師週班表!$C$5:$T$44,$CU27,AI$57),""),2,1)="/",MID(IFERROR(INDEX(醫師週班表!$C$5:$T$44,$CU27,AI$57),""),1+AI$58*2,1),IF(MID(IFERROR(INDEX(醫師週班表!$C$5:$T$44,$CU27,AI$57),""),3,1)="隔",IF(AI$58=0,LEFT(IFERROR(INDEX(醫師週班表!$C$5:$T$44,$CU27,AI$57),""),1),""),IF(MID(IFERROR(INDEX(醫師週班表!$C$5:$T$44,$CU27,AI$57),""),2,1)="(",LEFT(IFERROR(INDEX(醫師週班表!$C$5:$T$44,$CU27,AI$57),""),1),IFERROR(INDEX(醫師週班表!$C$5:$T$44,$CU27,AI$57),"")))))))</f>
        <v/>
      </c>
      <c r="AJ27" s="72">
        <f>IF(AJ$59="X","",IF(AJ$59&lt;&gt;"",AJ$59,IF(IFERROR(INDEX(醫師週班表!$C$5:$T$44,$CU27,AJ$57),"")=0,"",IF(MID(IFERROR(INDEX(醫師週班表!$C$5:$T$44,$CU27,AJ$57),""),2,1)="/",MID(IFERROR(INDEX(醫師週班表!$C$5:$T$44,$CU27,AJ$57),""),1+AJ$58*2,1),IF(MID(IFERROR(INDEX(醫師週班表!$C$5:$T$44,$CU27,AJ$57),""),3,1)="隔",IF(AJ$58=0,LEFT(IFERROR(INDEX(醫師週班表!$C$5:$T$44,$CU27,AJ$57),""),1),""),IF(MID(IFERROR(INDEX(醫師週班表!$C$5:$T$44,$CU27,AJ$57),""),2,1)="(",LEFT(IFERROR(INDEX(醫師週班表!$C$5:$T$44,$CU27,AJ$57),""),1),IFERROR(INDEX(醫師週班表!$C$5:$T$44,$CU27,AJ$57),"")))))))</f>
        <v/>
      </c>
      <c r="AK27" s="72">
        <f>IF(AK$59="X","",IF(AK$59&lt;&gt;"",AK$59,IF(IFERROR(INDEX(醫師週班表!$C$5:$T$44,$CU27,AK$57),"")=0,"",IF(MID(IFERROR(INDEX(醫師週班表!$C$5:$T$44,$CU27,AK$57),""),2,1)="/",MID(IFERROR(INDEX(醫師週班表!$C$5:$T$44,$CU27,AK$57),""),1+AK$58*2,1),IF(MID(IFERROR(INDEX(醫師週班表!$C$5:$T$44,$CU27,AK$57),""),3,1)="隔",IF(AK$58=0,LEFT(IFERROR(INDEX(醫師週班表!$C$5:$T$44,$CU27,AK$57),""),1),""),IF(MID(IFERROR(INDEX(醫師週班表!$C$5:$T$44,$CU27,AK$57),""),2,1)="(",LEFT(IFERROR(INDEX(醫師週班表!$C$5:$T$44,$CU27,AK$57),""),1),IFERROR(INDEX(醫師週班表!$C$5:$T$44,$CU27,AK$57),"")))))))</f>
        <v/>
      </c>
      <c r="AL27" s="71">
        <f>IF(AL$59="X","",IF(AL$59&lt;&gt;"",AL$59,IF(IFERROR(INDEX(醫師週班表!$C$5:$T$44,$CU27,AL$57),"")=0,"",IF(MID(IFERROR(INDEX(醫師週班表!$C$5:$T$44,$CU27,AL$57),""),2,1)="/",MID(IFERROR(INDEX(醫師週班表!$C$5:$T$44,$CU27,AL$57),""),1+AL$58*2,1),IF(MID(IFERROR(INDEX(醫師週班表!$C$5:$T$44,$CU27,AL$57),""),3,1)="隔",IF(AL$58=0,LEFT(IFERROR(INDEX(醫師週班表!$C$5:$T$44,$CU27,AL$57),""),1),""),IF(MID(IFERROR(INDEX(醫師週班表!$C$5:$T$44,$CU27,AL$57),""),2,1)="(",LEFT(IFERROR(INDEX(醫師週班表!$C$5:$T$44,$CU27,AL$57),""),1),IFERROR(INDEX(醫師週班表!$C$5:$T$44,$CU27,AL$57),"")))))))</f>
        <v/>
      </c>
      <c r="AM27" s="72">
        <f>IF(AM$59="X","",IF(AM$59&lt;&gt;"",AM$59,IF(IFERROR(INDEX(醫師週班表!$C$5:$T$44,$CU27,AM$57),"")=0,"",IF(MID(IFERROR(INDEX(醫師週班表!$C$5:$T$44,$CU27,AM$57),""),2,1)="/",MID(IFERROR(INDEX(醫師週班表!$C$5:$T$44,$CU27,AM$57),""),1+AM$58*2,1),IF(MID(IFERROR(INDEX(醫師週班表!$C$5:$T$44,$CU27,AM$57),""),3,1)="隔",IF(AM$58=0,LEFT(IFERROR(INDEX(醫師週班表!$C$5:$T$44,$CU27,AM$57),""),1),""),IF(MID(IFERROR(INDEX(醫師週班表!$C$5:$T$44,$CU27,AM$57),""),2,1)="(",LEFT(IFERROR(INDEX(醫師週班表!$C$5:$T$44,$CU27,AM$57),""),1),IFERROR(INDEX(醫師週班表!$C$5:$T$44,$CU27,AM$57),"")))))))</f>
        <v/>
      </c>
      <c r="AN27" s="72">
        <f>IF(AN$59="X","",IF(AN$59&lt;&gt;"",AN$59,IF(IFERROR(INDEX(醫師週班表!$C$5:$T$44,$CU27,AN$57),"")=0,"",IF(MID(IFERROR(INDEX(醫師週班表!$C$5:$T$44,$CU27,AN$57),""),2,1)="/",MID(IFERROR(INDEX(醫師週班表!$C$5:$T$44,$CU27,AN$57),""),1+AN$58*2,1),IF(MID(IFERROR(INDEX(醫師週班表!$C$5:$T$44,$CU27,AN$57),""),3,1)="隔",IF(AN$58=0,LEFT(IFERROR(INDEX(醫師週班表!$C$5:$T$44,$CU27,AN$57),""),1),""),IF(MID(IFERROR(INDEX(醫師週班表!$C$5:$T$44,$CU27,AN$57),""),2,1)="(",LEFT(IFERROR(INDEX(醫師週班表!$C$5:$T$44,$CU27,AN$57),""),1),IFERROR(INDEX(醫師週班表!$C$5:$T$44,$CU27,AN$57),"")))))))</f>
        <v/>
      </c>
      <c r="AO27" s="71">
        <f>IF(AO$59="X","",IF(AO$59&lt;&gt;"",AO$59,IF(IFERROR(INDEX(醫師週班表!$C$5:$T$44,$CU27,AO$57),"")=0,"",IF(MID(IFERROR(INDEX(醫師週班表!$C$5:$T$44,$CU27,AO$57),""),2,1)="/",MID(IFERROR(INDEX(醫師週班表!$C$5:$T$44,$CU27,AO$57),""),1+AO$58*2,1),IF(MID(IFERROR(INDEX(醫師週班表!$C$5:$T$44,$CU27,AO$57),""),3,1)="隔",IF(AO$58=0,LEFT(IFERROR(INDEX(醫師週班表!$C$5:$T$44,$CU27,AO$57),""),1),""),IF(MID(IFERROR(INDEX(醫師週班表!$C$5:$T$44,$CU27,AO$57),""),2,1)="(",LEFT(IFERROR(INDEX(醫師週班表!$C$5:$T$44,$CU27,AO$57),""),1),IFERROR(INDEX(醫師週班表!$C$5:$T$44,$CU27,AO$57),"")))))))</f>
        <v/>
      </c>
      <c r="AP27" s="72">
        <f>IF(AP$59="X","",IF(AP$59&lt;&gt;"",AP$59,IF(IFERROR(INDEX(醫師週班表!$C$5:$T$44,$CU27,AP$57),"")=0,"",IF(MID(IFERROR(INDEX(醫師週班表!$C$5:$T$44,$CU27,AP$57),""),2,1)="/",MID(IFERROR(INDEX(醫師週班表!$C$5:$T$44,$CU27,AP$57),""),1+AP$58*2,1),IF(MID(IFERROR(INDEX(醫師週班表!$C$5:$T$44,$CU27,AP$57),""),3,1)="隔",IF(AP$58=0,LEFT(IFERROR(INDEX(醫師週班表!$C$5:$T$44,$CU27,AP$57),""),1),""),IF(MID(IFERROR(INDEX(醫師週班表!$C$5:$T$44,$CU27,AP$57),""),2,1)="(",LEFT(IFERROR(INDEX(醫師週班表!$C$5:$T$44,$CU27,AP$57),""),1),IFERROR(INDEX(醫師週班表!$C$5:$T$44,$CU27,AP$57),"")))))))</f>
        <v/>
      </c>
      <c r="AQ27" s="72">
        <f>IF(AQ$59="X","",IF(AQ$59&lt;&gt;"",AQ$59,IF(IFERROR(INDEX(醫師週班表!$C$5:$T$44,$CU27,AQ$57),"")=0,"",IF(MID(IFERROR(INDEX(醫師週班表!$C$5:$T$44,$CU27,AQ$57),""),2,1)="/",MID(IFERROR(INDEX(醫師週班表!$C$5:$T$44,$CU27,AQ$57),""),1+AQ$58*2,1),IF(MID(IFERROR(INDEX(醫師週班表!$C$5:$T$44,$CU27,AQ$57),""),3,1)="隔",IF(AQ$58=0,LEFT(IFERROR(INDEX(醫師週班表!$C$5:$T$44,$CU27,AQ$57),""),1),""),IF(MID(IFERROR(INDEX(醫師週班表!$C$5:$T$44,$CU27,AQ$57),""),2,1)="(",LEFT(IFERROR(INDEX(醫師週班表!$C$5:$T$44,$CU27,AQ$57),""),1),IFERROR(INDEX(醫師週班表!$C$5:$T$44,$CU27,AQ$57),"")))))))</f>
        <v/>
      </c>
      <c r="AR27" s="71">
        <f>IF(AR$59="X","",IF(AR$59&lt;&gt;"",AR$59,IF(IFERROR(INDEX(醫師週班表!$C$5:$T$44,$CU27,AR$57),"")=0,"",IF(MID(IFERROR(INDEX(醫師週班表!$C$5:$T$44,$CU27,AR$57),""),2,1)="/",MID(IFERROR(INDEX(醫師週班表!$C$5:$T$44,$CU27,AR$57),""),1+AR$58*2,1),IF(MID(IFERROR(INDEX(醫師週班表!$C$5:$T$44,$CU27,AR$57),""),3,1)="隔",IF(AR$58=0,LEFT(IFERROR(INDEX(醫師週班表!$C$5:$T$44,$CU27,AR$57),""),1),""),IF(MID(IFERROR(INDEX(醫師週班表!$C$5:$T$44,$CU27,AR$57),""),2,1)="(",LEFT(IFERROR(INDEX(醫師週班表!$C$5:$T$44,$CU27,AR$57),""),1),IFERROR(INDEX(醫師週班表!$C$5:$T$44,$CU27,AR$57),"")))))))</f>
        <v/>
      </c>
      <c r="AS27" s="72">
        <f>IF(AS$59="X","",IF(AS$59&lt;&gt;"",AS$59,IF(IFERROR(INDEX(醫師週班表!$C$5:$T$44,$CU27,AS$57),"")=0,"",IF(MID(IFERROR(INDEX(醫師週班表!$C$5:$T$44,$CU27,AS$57),""),2,1)="/",MID(IFERROR(INDEX(醫師週班表!$C$5:$T$44,$CU27,AS$57),""),1+AS$58*2,1),IF(MID(IFERROR(INDEX(醫師週班表!$C$5:$T$44,$CU27,AS$57),""),3,1)="隔",IF(AS$58=0,LEFT(IFERROR(INDEX(醫師週班表!$C$5:$T$44,$CU27,AS$57),""),1),""),IF(MID(IFERROR(INDEX(醫師週班表!$C$5:$T$44,$CU27,AS$57),""),2,1)="(",LEFT(IFERROR(INDEX(醫師週班表!$C$5:$T$44,$CU27,AS$57),""),1),IFERROR(INDEX(醫師週班表!$C$5:$T$44,$CU27,AS$57),"")))))))</f>
        <v/>
      </c>
      <c r="AT27" s="72">
        <f>IF(AT$59="X","",IF(AT$59&lt;&gt;"",AT$59,IF(IFERROR(INDEX(醫師週班表!$C$5:$T$44,$CU27,AT$57),"")=0,"",IF(MID(IFERROR(INDEX(醫師週班表!$C$5:$T$44,$CU27,AT$57),""),2,1)="/",MID(IFERROR(INDEX(醫師週班表!$C$5:$T$44,$CU27,AT$57),""),1+AT$58*2,1),IF(MID(IFERROR(INDEX(醫師週班表!$C$5:$T$44,$CU27,AT$57),""),3,1)="隔",IF(AT$58=0,LEFT(IFERROR(INDEX(醫師週班表!$C$5:$T$44,$CU27,AT$57),""),1),""),IF(MID(IFERROR(INDEX(醫師週班表!$C$5:$T$44,$CU27,AT$57),""),2,1)="(",LEFT(IFERROR(INDEX(醫師週班表!$C$5:$T$44,$CU27,AT$57),""),1),IFERROR(INDEX(醫師週班表!$C$5:$T$44,$CU27,AT$57),"")))))))</f>
        <v/>
      </c>
      <c r="AU27" s="71">
        <f>IF(AU$59="X","",IF(AU$59&lt;&gt;"",AU$59,IF(IFERROR(INDEX(醫師週班表!$C$5:$T$44,$CU27,AU$57),"")=0,"",IF(MID(IFERROR(INDEX(醫師週班表!$C$5:$T$44,$CU27,AU$57),""),2,1)="/",MID(IFERROR(INDEX(醫師週班表!$C$5:$T$44,$CU27,AU$57),""),1+AU$58*2,1),IF(MID(IFERROR(INDEX(醫師週班表!$C$5:$T$44,$CU27,AU$57),""),3,1)="隔",IF(AU$58=0,LEFT(IFERROR(INDEX(醫師週班表!$C$5:$T$44,$CU27,AU$57),""),1),""),IF(MID(IFERROR(INDEX(醫師週班表!$C$5:$T$44,$CU27,AU$57),""),2,1)="(",LEFT(IFERROR(INDEX(醫師週班表!$C$5:$T$44,$CU27,AU$57),""),1),IFERROR(INDEX(醫師週班表!$C$5:$T$44,$CU27,AU$57),"")))))))</f>
        <v/>
      </c>
      <c r="AV27" s="72">
        <f>IF(AV$59="X","",IF(AV$59&lt;&gt;"",AV$59,IF(IFERROR(INDEX(醫師週班表!$C$5:$T$44,$CU27,AV$57),"")=0,"",IF(MID(IFERROR(INDEX(醫師週班表!$C$5:$T$44,$CU27,AV$57),""),2,1)="/",MID(IFERROR(INDEX(醫師週班表!$C$5:$T$44,$CU27,AV$57),""),1+AV$58*2,1),IF(MID(IFERROR(INDEX(醫師週班表!$C$5:$T$44,$CU27,AV$57),""),3,1)="隔",IF(AV$58=0,LEFT(IFERROR(INDEX(醫師週班表!$C$5:$T$44,$CU27,AV$57),""),1),""),IF(MID(IFERROR(INDEX(醫師週班表!$C$5:$T$44,$CU27,AV$57),""),2,1)="(",LEFT(IFERROR(INDEX(醫師週班表!$C$5:$T$44,$CU27,AV$57),""),1),IFERROR(INDEX(醫師週班表!$C$5:$T$44,$CU27,AV$57),"")))))))</f>
        <v/>
      </c>
      <c r="AW27" s="72">
        <f>IF(AW$59="X","",IF(AW$59&lt;&gt;"",AW$59,IF(IFERROR(INDEX(醫師週班表!$C$5:$T$44,$CU27,AW$57),"")=0,"",IF(MID(IFERROR(INDEX(醫師週班表!$C$5:$T$44,$CU27,AW$57),""),2,1)="/",MID(IFERROR(INDEX(醫師週班表!$C$5:$T$44,$CU27,AW$57),""),1+AW$58*2,1),IF(MID(IFERROR(INDEX(醫師週班表!$C$5:$T$44,$CU27,AW$57),""),3,1)="隔",IF(AW$58=0,LEFT(IFERROR(INDEX(醫師週班表!$C$5:$T$44,$CU27,AW$57),""),1),""),IF(MID(IFERROR(INDEX(醫師週班表!$C$5:$T$44,$CU27,AW$57),""),2,1)="(",LEFT(IFERROR(INDEX(醫師週班表!$C$5:$T$44,$CU27,AW$57),""),1),IFERROR(INDEX(醫師週班表!$C$5:$T$44,$CU27,AW$57),"")))))))</f>
        <v/>
      </c>
      <c r="AX27" s="71">
        <f>IF(AX$59="X","",IF(AX$59&lt;&gt;"",AX$59,IF(IFERROR(INDEX(醫師週班表!$C$5:$T$44,$CU27,AX$57),"")=0,"",IF(MID(IFERROR(INDEX(醫師週班表!$C$5:$T$44,$CU27,AX$57),""),2,1)="/",MID(IFERROR(INDEX(醫師週班表!$C$5:$T$44,$CU27,AX$57),""),1+AX$58*2,1),IF(MID(IFERROR(INDEX(醫師週班表!$C$5:$T$44,$CU27,AX$57),""),3,1)="隔",IF(AX$58=0,LEFT(IFERROR(INDEX(醫師週班表!$C$5:$T$44,$CU27,AX$57),""),1),""),IF(MID(IFERROR(INDEX(醫師週班表!$C$5:$T$44,$CU27,AX$57),""),2,1)="(",LEFT(IFERROR(INDEX(醫師週班表!$C$5:$T$44,$CU27,AX$57),""),1),IFERROR(INDEX(醫師週班表!$C$5:$T$44,$CU27,AX$57),"")))))))</f>
        <v/>
      </c>
      <c r="AY27" s="72">
        <f>IF(AY$59="X","",IF(AY$59&lt;&gt;"",AY$59,IF(IFERROR(INDEX(醫師週班表!$C$5:$T$44,$CU27,AY$57),"")=0,"",IF(MID(IFERROR(INDEX(醫師週班表!$C$5:$T$44,$CU27,AY$57),""),2,1)="/",MID(IFERROR(INDEX(醫師週班表!$C$5:$T$44,$CU27,AY$57),""),1+AY$58*2,1),IF(MID(IFERROR(INDEX(醫師週班表!$C$5:$T$44,$CU27,AY$57),""),3,1)="隔",IF(AY$58=0,LEFT(IFERROR(INDEX(醫師週班表!$C$5:$T$44,$CU27,AY$57),""),1),""),IF(MID(IFERROR(INDEX(醫師週班表!$C$5:$T$44,$CU27,AY$57),""),2,1)="(",LEFT(IFERROR(INDEX(醫師週班表!$C$5:$T$44,$CU27,AY$57),""),1),IFERROR(INDEX(醫師週班表!$C$5:$T$44,$CU27,AY$57),"")))))))</f>
        <v/>
      </c>
      <c r="AZ27" s="72">
        <f>IF(AZ$59="X","",IF(AZ$59&lt;&gt;"",AZ$59,IF(IFERROR(INDEX(醫師週班表!$C$5:$T$44,$CU27,AZ$57),"")=0,"",IF(MID(IFERROR(INDEX(醫師週班表!$C$5:$T$44,$CU27,AZ$57),""),2,1)="/",MID(IFERROR(INDEX(醫師週班表!$C$5:$T$44,$CU27,AZ$57),""),1+AZ$58*2,1),IF(MID(IFERROR(INDEX(醫師週班表!$C$5:$T$44,$CU27,AZ$57),""),3,1)="隔",IF(AZ$58=0,LEFT(IFERROR(INDEX(醫師週班表!$C$5:$T$44,$CU27,AZ$57),""),1),""),IF(MID(IFERROR(INDEX(醫師週班表!$C$5:$T$44,$CU27,AZ$57),""),2,1)="(",LEFT(IFERROR(INDEX(醫師週班表!$C$5:$T$44,$CU27,AZ$57),""),1),IFERROR(INDEX(醫師週班表!$C$5:$T$44,$CU27,AZ$57),"")))))))</f>
        <v/>
      </c>
      <c r="BA27" s="71">
        <f>IF(BA$59="X","",IF(BA$59&lt;&gt;"",BA$59,IF(IFERROR(INDEX(醫師週班表!$C$5:$T$44,$CU27,BA$57),"")=0,"",IF(MID(IFERROR(INDEX(醫師週班表!$C$5:$T$44,$CU27,BA$57),""),2,1)="/",MID(IFERROR(INDEX(醫師週班表!$C$5:$T$44,$CU27,BA$57),""),1+BA$58*2,1),IF(MID(IFERROR(INDEX(醫師週班表!$C$5:$T$44,$CU27,BA$57),""),3,1)="隔",IF(BA$58=0,LEFT(IFERROR(INDEX(醫師週班表!$C$5:$T$44,$CU27,BA$57),""),1),""),IF(MID(IFERROR(INDEX(醫師週班表!$C$5:$T$44,$CU27,BA$57),""),2,1)="(",LEFT(IFERROR(INDEX(醫師週班表!$C$5:$T$44,$CU27,BA$57),""),1),IFERROR(INDEX(醫師週班表!$C$5:$T$44,$CU27,BA$57),"")))))))</f>
        <v/>
      </c>
      <c r="BB27" s="72">
        <f>IF(BB$59="X","",IF(BB$59&lt;&gt;"",BB$59,IF(IFERROR(INDEX(醫師週班表!$C$5:$T$44,$CU27,BB$57),"")=0,"",IF(MID(IFERROR(INDEX(醫師週班表!$C$5:$T$44,$CU27,BB$57),""),2,1)="/",MID(IFERROR(INDEX(醫師週班表!$C$5:$T$44,$CU27,BB$57),""),1+BB$58*2,1),IF(MID(IFERROR(INDEX(醫師週班表!$C$5:$T$44,$CU27,BB$57),""),3,1)="隔",IF(BB$58=0,LEFT(IFERROR(INDEX(醫師週班表!$C$5:$T$44,$CU27,BB$57),""),1),""),IF(MID(IFERROR(INDEX(醫師週班表!$C$5:$T$44,$CU27,BB$57),""),2,1)="(",LEFT(IFERROR(INDEX(醫師週班表!$C$5:$T$44,$CU27,BB$57),""),1),IFERROR(INDEX(醫師週班表!$C$5:$T$44,$CU27,BB$57),"")))))))</f>
        <v/>
      </c>
      <c r="BC27" s="72">
        <f>IF(BC$59="X","",IF(BC$59&lt;&gt;"",BC$59,IF(IFERROR(INDEX(醫師週班表!$C$5:$T$44,$CU27,BC$57),"")=0,"",IF(MID(IFERROR(INDEX(醫師週班表!$C$5:$T$44,$CU27,BC$57),""),2,1)="/",MID(IFERROR(INDEX(醫師週班表!$C$5:$T$44,$CU27,BC$57),""),1+BC$58*2,1),IF(MID(IFERROR(INDEX(醫師週班表!$C$5:$T$44,$CU27,BC$57),""),3,1)="隔",IF(BC$58=0,LEFT(IFERROR(INDEX(醫師週班表!$C$5:$T$44,$CU27,BC$57),""),1),""),IF(MID(IFERROR(INDEX(醫師週班表!$C$5:$T$44,$CU27,BC$57),""),2,1)="(",LEFT(IFERROR(INDEX(醫師週班表!$C$5:$T$44,$CU27,BC$57),""),1),IFERROR(INDEX(醫師週班表!$C$5:$T$44,$CU27,BC$57),"")))))))</f>
        <v/>
      </c>
      <c r="BD27" s="71">
        <f>IF(BD$59="X","",IF(BD$59&lt;&gt;"",BD$59,IF(IFERROR(INDEX(醫師週班表!$C$5:$T$44,$CU27,BD$57),"")=0,"",IF(MID(IFERROR(INDEX(醫師週班表!$C$5:$T$44,$CU27,BD$57),""),2,1)="/",MID(IFERROR(INDEX(醫師週班表!$C$5:$T$44,$CU27,BD$57),""),1+BD$58*2,1),IF(MID(IFERROR(INDEX(醫師週班表!$C$5:$T$44,$CU27,BD$57),""),3,1)="隔",IF(BD$58=0,LEFT(IFERROR(INDEX(醫師週班表!$C$5:$T$44,$CU27,BD$57),""),1),""),IF(MID(IFERROR(INDEX(醫師週班表!$C$5:$T$44,$CU27,BD$57),""),2,1)="(",LEFT(IFERROR(INDEX(醫師週班表!$C$5:$T$44,$CU27,BD$57),""),1),IFERROR(INDEX(醫師週班表!$C$5:$T$44,$CU27,BD$57),"")))))))</f>
        <v/>
      </c>
      <c r="BE27" s="72">
        <f>IF(BE$59="X","",IF(BE$59&lt;&gt;"",BE$59,IF(IFERROR(INDEX(醫師週班表!$C$5:$T$44,$CU27,BE$57),"")=0,"",IF(MID(IFERROR(INDEX(醫師週班表!$C$5:$T$44,$CU27,BE$57),""),2,1)="/",MID(IFERROR(INDEX(醫師週班表!$C$5:$T$44,$CU27,BE$57),""),1+BE$58*2,1),IF(MID(IFERROR(INDEX(醫師週班表!$C$5:$T$44,$CU27,BE$57),""),3,1)="隔",IF(BE$58=0,LEFT(IFERROR(INDEX(醫師週班表!$C$5:$T$44,$CU27,BE$57),""),1),""),IF(MID(IFERROR(INDEX(醫師週班表!$C$5:$T$44,$CU27,BE$57),""),2,1)="(",LEFT(IFERROR(INDEX(醫師週班表!$C$5:$T$44,$CU27,BE$57),""),1),IFERROR(INDEX(醫師週班表!$C$5:$T$44,$CU27,BE$57),"")))))))</f>
        <v/>
      </c>
      <c r="BF27" s="72">
        <f>IF(BF$59="X","",IF(BF$59&lt;&gt;"",BF$59,IF(IFERROR(INDEX(醫師週班表!$C$5:$T$44,$CU27,BF$57),"")=0,"",IF(MID(IFERROR(INDEX(醫師週班表!$C$5:$T$44,$CU27,BF$57),""),2,1)="/",MID(IFERROR(INDEX(醫師週班表!$C$5:$T$44,$CU27,BF$57),""),1+BF$58*2,1),IF(MID(IFERROR(INDEX(醫師週班表!$C$5:$T$44,$CU27,BF$57),""),3,1)="隔",IF(BF$58=0,LEFT(IFERROR(INDEX(醫師週班表!$C$5:$T$44,$CU27,BF$57),""),1),""),IF(MID(IFERROR(INDEX(醫師週班表!$C$5:$T$44,$CU27,BF$57),""),2,1)="(",LEFT(IFERROR(INDEX(醫師週班表!$C$5:$T$44,$CU27,BF$57),""),1),IFERROR(INDEX(醫師週班表!$C$5:$T$44,$CU27,BF$57),"")))))))</f>
        <v/>
      </c>
      <c r="BG27" s="71">
        <f>IF(BG$59="X","",IF(BG$59&lt;&gt;"",BG$59,IF(IFERROR(INDEX(醫師週班表!$C$5:$T$44,$CU27,BG$57),"")=0,"",IF(MID(IFERROR(INDEX(醫師週班表!$C$5:$T$44,$CU27,BG$57),""),2,1)="/",MID(IFERROR(INDEX(醫師週班表!$C$5:$T$44,$CU27,BG$57),""),1+BG$58*2,1),IF(MID(IFERROR(INDEX(醫師週班表!$C$5:$T$44,$CU27,BG$57),""),3,1)="隔",IF(BG$58=0,LEFT(IFERROR(INDEX(醫師週班表!$C$5:$T$44,$CU27,BG$57),""),1),""),IF(MID(IFERROR(INDEX(醫師週班表!$C$5:$T$44,$CU27,BG$57),""),2,1)="(",LEFT(IFERROR(INDEX(醫師週班表!$C$5:$T$44,$CU27,BG$57),""),1),IFERROR(INDEX(醫師週班表!$C$5:$T$44,$CU27,BG$57),"")))))))</f>
        <v/>
      </c>
      <c r="BH27" s="72">
        <f>IF(BH$59="X","",IF(BH$59&lt;&gt;"",BH$59,IF(IFERROR(INDEX(醫師週班表!$C$5:$T$44,$CU27,BH$57),"")=0,"",IF(MID(IFERROR(INDEX(醫師週班表!$C$5:$T$44,$CU27,BH$57),""),2,1)="/",MID(IFERROR(INDEX(醫師週班表!$C$5:$T$44,$CU27,BH$57),""),1+BH$58*2,1),IF(MID(IFERROR(INDEX(醫師週班表!$C$5:$T$44,$CU27,BH$57),""),3,1)="隔",IF(BH$58=0,LEFT(IFERROR(INDEX(醫師週班表!$C$5:$T$44,$CU27,BH$57),""),1),""),IF(MID(IFERROR(INDEX(醫師週班表!$C$5:$T$44,$CU27,BH$57),""),2,1)="(",LEFT(IFERROR(INDEX(醫師週班表!$C$5:$T$44,$CU27,BH$57),""),1),IFERROR(INDEX(醫師週班表!$C$5:$T$44,$CU27,BH$57),"")))))))</f>
        <v/>
      </c>
      <c r="BI27" s="72">
        <f>IF(BI$59="X","",IF(BI$59&lt;&gt;"",BI$59,IF(IFERROR(INDEX(醫師週班表!$C$5:$T$44,$CU27,BI$57),"")=0,"",IF(MID(IFERROR(INDEX(醫師週班表!$C$5:$T$44,$CU27,BI$57),""),2,1)="/",MID(IFERROR(INDEX(醫師週班表!$C$5:$T$44,$CU27,BI$57),""),1+BI$58*2,1),IF(MID(IFERROR(INDEX(醫師週班表!$C$5:$T$44,$CU27,BI$57),""),3,1)="隔",IF(BI$58=0,LEFT(IFERROR(INDEX(醫師週班表!$C$5:$T$44,$CU27,BI$57),""),1),""),IF(MID(IFERROR(INDEX(醫師週班表!$C$5:$T$44,$CU27,BI$57),""),2,1)="(",LEFT(IFERROR(INDEX(醫師週班表!$C$5:$T$44,$CU27,BI$57),""),1),IFERROR(INDEX(醫師週班表!$C$5:$T$44,$CU27,BI$57),"")))))))</f>
        <v/>
      </c>
      <c r="BJ27" s="71">
        <f>IF(BJ$59="X","",IF(BJ$59&lt;&gt;"",BJ$59,IF(IFERROR(INDEX(醫師週班表!$C$5:$T$44,$CU27,BJ$57),"")=0,"",IF(MID(IFERROR(INDEX(醫師週班表!$C$5:$T$44,$CU27,BJ$57),""),2,1)="/",MID(IFERROR(INDEX(醫師週班表!$C$5:$T$44,$CU27,BJ$57),""),1+BJ$58*2,1),IF(MID(IFERROR(INDEX(醫師週班表!$C$5:$T$44,$CU27,BJ$57),""),3,1)="隔",IF(BJ$58=0,LEFT(IFERROR(INDEX(醫師週班表!$C$5:$T$44,$CU27,BJ$57),""),1),""),IF(MID(IFERROR(INDEX(醫師週班表!$C$5:$T$44,$CU27,BJ$57),""),2,1)="(",LEFT(IFERROR(INDEX(醫師週班表!$C$5:$T$44,$CU27,BJ$57),""),1),IFERROR(INDEX(醫師週班表!$C$5:$T$44,$CU27,BJ$57),"")))))))</f>
        <v/>
      </c>
      <c r="BK27" s="72">
        <f>IF(BK$59="X","",IF(BK$59&lt;&gt;"",BK$59,IF(IFERROR(INDEX(醫師週班表!$C$5:$T$44,$CU27,BK$57),"")=0,"",IF(MID(IFERROR(INDEX(醫師週班表!$C$5:$T$44,$CU27,BK$57),""),2,1)="/",MID(IFERROR(INDEX(醫師週班表!$C$5:$T$44,$CU27,BK$57),""),1+BK$58*2,1),IF(MID(IFERROR(INDEX(醫師週班表!$C$5:$T$44,$CU27,BK$57),""),3,1)="隔",IF(BK$58=0,LEFT(IFERROR(INDEX(醫師週班表!$C$5:$T$44,$CU27,BK$57),""),1),""),IF(MID(IFERROR(INDEX(醫師週班表!$C$5:$T$44,$CU27,BK$57),""),2,1)="(",LEFT(IFERROR(INDEX(醫師週班表!$C$5:$T$44,$CU27,BK$57),""),1),IFERROR(INDEX(醫師週班表!$C$5:$T$44,$CU27,BK$57),"")))))))</f>
        <v/>
      </c>
      <c r="BL27" s="72">
        <f>IF(BL$59="X","",IF(BL$59&lt;&gt;"",BL$59,IF(IFERROR(INDEX(醫師週班表!$C$5:$T$44,$CU27,BL$57),"")=0,"",IF(MID(IFERROR(INDEX(醫師週班表!$C$5:$T$44,$CU27,BL$57),""),2,1)="/",MID(IFERROR(INDEX(醫師週班表!$C$5:$T$44,$CU27,BL$57),""),1+BL$58*2,1),IF(MID(IFERROR(INDEX(醫師週班表!$C$5:$T$44,$CU27,BL$57),""),3,1)="隔",IF(BL$58=0,LEFT(IFERROR(INDEX(醫師週班表!$C$5:$T$44,$CU27,BL$57),""),1),""),IF(MID(IFERROR(INDEX(醫師週班表!$C$5:$T$44,$CU27,BL$57),""),2,1)="(",LEFT(IFERROR(INDEX(醫師週班表!$C$5:$T$44,$CU27,BL$57),""),1),IFERROR(INDEX(醫師週班表!$C$5:$T$44,$CU27,BL$57),"")))))))</f>
        <v/>
      </c>
      <c r="BM27" s="71">
        <f>IF(BM$59="X","",IF(BM$59&lt;&gt;"",BM$59,IF(IFERROR(INDEX(醫師週班表!$C$5:$T$44,$CU27,BM$57),"")=0,"",IF(MID(IFERROR(INDEX(醫師週班表!$C$5:$T$44,$CU27,BM$57),""),2,1)="/",MID(IFERROR(INDEX(醫師週班表!$C$5:$T$44,$CU27,BM$57),""),1+BM$58*2,1),IF(MID(IFERROR(INDEX(醫師週班表!$C$5:$T$44,$CU27,BM$57),""),3,1)="隔",IF(BM$58=0,LEFT(IFERROR(INDEX(醫師週班表!$C$5:$T$44,$CU27,BM$57),""),1),""),IF(MID(IFERROR(INDEX(醫師週班表!$C$5:$T$44,$CU27,BM$57),""),2,1)="(",LEFT(IFERROR(INDEX(醫師週班表!$C$5:$T$44,$CU27,BM$57),""),1),IFERROR(INDEX(醫師週班表!$C$5:$T$44,$CU27,BM$57),"")))))))</f>
        <v/>
      </c>
      <c r="BN27" s="72">
        <f>IF(BN$59="X","",IF(BN$59&lt;&gt;"",BN$59,IF(IFERROR(INDEX(醫師週班表!$C$5:$T$44,$CU27,BN$57),"")=0,"",IF(MID(IFERROR(INDEX(醫師週班表!$C$5:$T$44,$CU27,BN$57),""),2,1)="/",MID(IFERROR(INDEX(醫師週班表!$C$5:$T$44,$CU27,BN$57),""),1+BN$58*2,1),IF(MID(IFERROR(INDEX(醫師週班表!$C$5:$T$44,$CU27,BN$57),""),3,1)="隔",IF(BN$58=0,LEFT(IFERROR(INDEX(醫師週班表!$C$5:$T$44,$CU27,BN$57),""),1),""),IF(MID(IFERROR(INDEX(醫師週班表!$C$5:$T$44,$CU27,BN$57),""),2,1)="(",LEFT(IFERROR(INDEX(醫師週班表!$C$5:$T$44,$CU27,BN$57),""),1),IFERROR(INDEX(醫師週班表!$C$5:$T$44,$CU27,BN$57),"")))))))</f>
        <v/>
      </c>
      <c r="BO27" s="72">
        <f>IF(BO$59="X","",IF(BO$59&lt;&gt;"",BO$59,IF(IFERROR(INDEX(醫師週班表!$C$5:$T$44,$CU27,BO$57),"")=0,"",IF(MID(IFERROR(INDEX(醫師週班表!$C$5:$T$44,$CU27,BO$57),""),2,1)="/",MID(IFERROR(INDEX(醫師週班表!$C$5:$T$44,$CU27,BO$57),""),1+BO$58*2,1),IF(MID(IFERROR(INDEX(醫師週班表!$C$5:$T$44,$CU27,BO$57),""),3,1)="隔",IF(BO$58=0,LEFT(IFERROR(INDEX(醫師週班表!$C$5:$T$44,$CU27,BO$57),""),1),""),IF(MID(IFERROR(INDEX(醫師週班表!$C$5:$T$44,$CU27,BO$57),""),2,1)="(",LEFT(IFERROR(INDEX(醫師週班表!$C$5:$T$44,$CU27,BO$57),""),1),IFERROR(INDEX(醫師週班表!$C$5:$T$44,$CU27,BO$57),"")))))))</f>
        <v/>
      </c>
      <c r="BP27" s="71">
        <f>IF(BP$59="X","",IF(BP$59&lt;&gt;"",BP$59,IF(IFERROR(INDEX(醫師週班表!$C$5:$T$44,$CU27,BP$57),"")=0,"",IF(MID(IFERROR(INDEX(醫師週班表!$C$5:$T$44,$CU27,BP$57),""),2,1)="/",MID(IFERROR(INDEX(醫師週班表!$C$5:$T$44,$CU27,BP$57),""),1+BP$58*2,1),IF(MID(IFERROR(INDEX(醫師週班表!$C$5:$T$44,$CU27,BP$57),""),3,1)="隔",IF(BP$58=0,LEFT(IFERROR(INDEX(醫師週班表!$C$5:$T$44,$CU27,BP$57),""),1),""),IF(MID(IFERROR(INDEX(醫師週班表!$C$5:$T$44,$CU27,BP$57),""),2,1)="(",LEFT(IFERROR(INDEX(醫師週班表!$C$5:$T$44,$CU27,BP$57),""),1),IFERROR(INDEX(醫師週班表!$C$5:$T$44,$CU27,BP$57),"")))))))</f>
        <v/>
      </c>
      <c r="BQ27" s="72">
        <f>IF(BQ$59="X","",IF(BQ$59&lt;&gt;"",BQ$59,IF(IFERROR(INDEX(醫師週班表!$C$5:$T$44,$CU27,BQ$57),"")=0,"",IF(MID(IFERROR(INDEX(醫師週班表!$C$5:$T$44,$CU27,BQ$57),""),2,1)="/",MID(IFERROR(INDEX(醫師週班表!$C$5:$T$44,$CU27,BQ$57),""),1+BQ$58*2,1),IF(MID(IFERROR(INDEX(醫師週班表!$C$5:$T$44,$CU27,BQ$57),""),3,1)="隔",IF(BQ$58=0,LEFT(IFERROR(INDEX(醫師週班表!$C$5:$T$44,$CU27,BQ$57),""),1),""),IF(MID(IFERROR(INDEX(醫師週班表!$C$5:$T$44,$CU27,BQ$57),""),2,1)="(",LEFT(IFERROR(INDEX(醫師週班表!$C$5:$T$44,$CU27,BQ$57),""),1),IFERROR(INDEX(醫師週班表!$C$5:$T$44,$CU27,BQ$57),"")))))))</f>
        <v/>
      </c>
      <c r="BR27" s="72">
        <f>IF(BR$59="X","",IF(BR$59&lt;&gt;"",BR$59,IF(IFERROR(INDEX(醫師週班表!$C$5:$T$44,$CU27,BR$57),"")=0,"",IF(MID(IFERROR(INDEX(醫師週班表!$C$5:$T$44,$CU27,BR$57),""),2,1)="/",MID(IFERROR(INDEX(醫師週班表!$C$5:$T$44,$CU27,BR$57),""),1+BR$58*2,1),IF(MID(IFERROR(INDEX(醫師週班表!$C$5:$T$44,$CU27,BR$57),""),3,1)="隔",IF(BR$58=0,LEFT(IFERROR(INDEX(醫師週班表!$C$5:$T$44,$CU27,BR$57),""),1),""),IF(MID(IFERROR(INDEX(醫師週班表!$C$5:$T$44,$CU27,BR$57),""),2,1)="(",LEFT(IFERROR(INDEX(醫師週班表!$C$5:$T$44,$CU27,BR$57),""),1),IFERROR(INDEX(醫師週班表!$C$5:$T$44,$CU27,BR$57),"")))))))</f>
        <v/>
      </c>
      <c r="BS27" s="71">
        <f>IF(BS$59="X","",IF(BS$59&lt;&gt;"",BS$59,IF(IFERROR(INDEX(醫師週班表!$C$5:$T$44,$CU27,BS$57),"")=0,"",IF(MID(IFERROR(INDEX(醫師週班表!$C$5:$T$44,$CU27,BS$57),""),2,1)="/",MID(IFERROR(INDEX(醫師週班表!$C$5:$T$44,$CU27,BS$57),""),1+BS$58*2,1),IF(MID(IFERROR(INDEX(醫師週班表!$C$5:$T$44,$CU27,BS$57),""),3,1)="隔",IF(BS$58=0,LEFT(IFERROR(INDEX(醫師週班表!$C$5:$T$44,$CU27,BS$57),""),1),""),IF(MID(IFERROR(INDEX(醫師週班表!$C$5:$T$44,$CU27,BS$57),""),2,1)="(",LEFT(IFERROR(INDEX(醫師週班表!$C$5:$T$44,$CU27,BS$57),""),1),IFERROR(INDEX(醫師週班表!$C$5:$T$44,$CU27,BS$57),"")))))))</f>
        <v/>
      </c>
      <c r="BT27" s="72">
        <f>IF(BT$59="X","",IF(BT$59&lt;&gt;"",BT$59,IF(IFERROR(INDEX(醫師週班表!$C$5:$T$44,$CU27,BT$57),"")=0,"",IF(MID(IFERROR(INDEX(醫師週班表!$C$5:$T$44,$CU27,BT$57),""),2,1)="/",MID(IFERROR(INDEX(醫師週班表!$C$5:$T$44,$CU27,BT$57),""),1+BT$58*2,1),IF(MID(IFERROR(INDEX(醫師週班表!$C$5:$T$44,$CU27,BT$57),""),3,1)="隔",IF(BT$58=0,LEFT(IFERROR(INDEX(醫師週班表!$C$5:$T$44,$CU27,BT$57),""),1),""),IF(MID(IFERROR(INDEX(醫師週班表!$C$5:$T$44,$CU27,BT$57),""),2,1)="(",LEFT(IFERROR(INDEX(醫師週班表!$C$5:$T$44,$CU27,BT$57),""),1),IFERROR(INDEX(醫師週班表!$C$5:$T$44,$CU27,BT$57),"")))))))</f>
        <v/>
      </c>
      <c r="BU27" s="72">
        <f>IF(BU$59="X","",IF(BU$59&lt;&gt;"",BU$59,IF(IFERROR(INDEX(醫師週班表!$C$5:$T$44,$CU27,BU$57),"")=0,"",IF(MID(IFERROR(INDEX(醫師週班表!$C$5:$T$44,$CU27,BU$57),""),2,1)="/",MID(IFERROR(INDEX(醫師週班表!$C$5:$T$44,$CU27,BU$57),""),1+BU$58*2,1),IF(MID(IFERROR(INDEX(醫師週班表!$C$5:$T$44,$CU27,BU$57),""),3,1)="隔",IF(BU$58=0,LEFT(IFERROR(INDEX(醫師週班表!$C$5:$T$44,$CU27,BU$57),""),1),""),IF(MID(IFERROR(INDEX(醫師週班表!$C$5:$T$44,$CU27,BU$57),""),2,1)="(",LEFT(IFERROR(INDEX(醫師週班表!$C$5:$T$44,$CU27,BU$57),""),1),IFERROR(INDEX(醫師週班表!$C$5:$T$44,$CU27,BU$57),"")))))))</f>
        <v/>
      </c>
      <c r="BV27" s="71">
        <f>IF(BV$59="X","",IF(BV$59&lt;&gt;"",BV$59,IF(IFERROR(INDEX(醫師週班表!$C$5:$T$44,$CU27,BV$57),"")=0,"",IF(MID(IFERROR(INDEX(醫師週班表!$C$5:$T$44,$CU27,BV$57),""),2,1)="/",MID(IFERROR(INDEX(醫師週班表!$C$5:$T$44,$CU27,BV$57),""),1+BV$58*2,1),IF(MID(IFERROR(INDEX(醫師週班表!$C$5:$T$44,$CU27,BV$57),""),3,1)="隔",IF(BV$58=0,LEFT(IFERROR(INDEX(醫師週班表!$C$5:$T$44,$CU27,BV$57),""),1),""),IF(MID(IFERROR(INDEX(醫師週班表!$C$5:$T$44,$CU27,BV$57),""),2,1)="(",LEFT(IFERROR(INDEX(醫師週班表!$C$5:$T$44,$CU27,BV$57),""),1),IFERROR(INDEX(醫師週班表!$C$5:$T$44,$CU27,BV$57),"")))))))</f>
        <v/>
      </c>
      <c r="BW27" s="72">
        <f>IF(BW$59="X","",IF(BW$59&lt;&gt;"",BW$59,IF(IFERROR(INDEX(醫師週班表!$C$5:$T$44,$CU27,BW$57),"")=0,"",IF(MID(IFERROR(INDEX(醫師週班表!$C$5:$T$44,$CU27,BW$57),""),2,1)="/",MID(IFERROR(INDEX(醫師週班表!$C$5:$T$44,$CU27,BW$57),""),1+BW$58*2,1),IF(MID(IFERROR(INDEX(醫師週班表!$C$5:$T$44,$CU27,BW$57),""),3,1)="隔",IF(BW$58=0,LEFT(IFERROR(INDEX(醫師週班表!$C$5:$T$44,$CU27,BW$57),""),1),""),IF(MID(IFERROR(INDEX(醫師週班表!$C$5:$T$44,$CU27,BW$57),""),2,1)="(",LEFT(IFERROR(INDEX(醫師週班表!$C$5:$T$44,$CU27,BW$57),""),1),IFERROR(INDEX(醫師週班表!$C$5:$T$44,$CU27,BW$57),"")))))))</f>
        <v/>
      </c>
      <c r="BX27" s="72">
        <f>IF(BX$59="X","",IF(BX$59&lt;&gt;"",BX$59,IF(IFERROR(INDEX(醫師週班表!$C$5:$T$44,$CU27,BX$57),"")=0,"",IF(MID(IFERROR(INDEX(醫師週班表!$C$5:$T$44,$CU27,BX$57),""),2,1)="/",MID(IFERROR(INDEX(醫師週班表!$C$5:$T$44,$CU27,BX$57),""),1+BX$58*2,1),IF(MID(IFERROR(INDEX(醫師週班表!$C$5:$T$44,$CU27,BX$57),""),3,1)="隔",IF(BX$58=0,LEFT(IFERROR(INDEX(醫師週班表!$C$5:$T$44,$CU27,BX$57),""),1),""),IF(MID(IFERROR(INDEX(醫師週班表!$C$5:$T$44,$CU27,BX$57),""),2,1)="(",LEFT(IFERROR(INDEX(醫師週班表!$C$5:$T$44,$CU27,BX$57),""),1),IFERROR(INDEX(醫師週班表!$C$5:$T$44,$CU27,BX$57),"")))))))</f>
        <v/>
      </c>
      <c r="BY27" s="71">
        <f>IF(BY$59="X","",IF(BY$59&lt;&gt;"",BY$59,IF(IFERROR(INDEX(醫師週班表!$C$5:$T$44,$CU27,BY$57),"")=0,"",IF(MID(IFERROR(INDEX(醫師週班表!$C$5:$T$44,$CU27,BY$57),""),2,1)="/",MID(IFERROR(INDEX(醫師週班表!$C$5:$T$44,$CU27,BY$57),""),1+BY$58*2,1),IF(MID(IFERROR(INDEX(醫師週班表!$C$5:$T$44,$CU27,BY$57),""),3,1)="隔",IF(BY$58=0,LEFT(IFERROR(INDEX(醫師週班表!$C$5:$T$44,$CU27,BY$57),""),1),""),IF(MID(IFERROR(INDEX(醫師週班表!$C$5:$T$44,$CU27,BY$57),""),2,1)="(",LEFT(IFERROR(INDEX(醫師週班表!$C$5:$T$44,$CU27,BY$57),""),1),IFERROR(INDEX(醫師週班表!$C$5:$T$44,$CU27,BY$57),"")))))))</f>
        <v/>
      </c>
      <c r="BZ27" s="72">
        <f>IF(BZ$59="X","",IF(BZ$59&lt;&gt;"",BZ$59,IF(IFERROR(INDEX(醫師週班表!$C$5:$T$44,$CU27,BZ$57),"")=0,"",IF(MID(IFERROR(INDEX(醫師週班表!$C$5:$T$44,$CU27,BZ$57),""),2,1)="/",MID(IFERROR(INDEX(醫師週班表!$C$5:$T$44,$CU27,BZ$57),""),1+BZ$58*2,1),IF(MID(IFERROR(INDEX(醫師週班表!$C$5:$T$44,$CU27,BZ$57),""),3,1)="隔",IF(BZ$58=0,LEFT(IFERROR(INDEX(醫師週班表!$C$5:$T$44,$CU27,BZ$57),""),1),""),IF(MID(IFERROR(INDEX(醫師週班表!$C$5:$T$44,$CU27,BZ$57),""),2,1)="(",LEFT(IFERROR(INDEX(醫師週班表!$C$5:$T$44,$CU27,BZ$57),""),1),IFERROR(INDEX(醫師週班表!$C$5:$T$44,$CU27,BZ$57),"")))))))</f>
        <v/>
      </c>
      <c r="CA27" s="72">
        <f>IF(CA$59="X","",IF(CA$59&lt;&gt;"",CA$59,IF(IFERROR(INDEX(醫師週班表!$C$5:$T$44,$CU27,CA$57),"")=0,"",IF(MID(IFERROR(INDEX(醫師週班表!$C$5:$T$44,$CU27,CA$57),""),2,1)="/",MID(IFERROR(INDEX(醫師週班表!$C$5:$T$44,$CU27,CA$57),""),1+CA$58*2,1),IF(MID(IFERROR(INDEX(醫師週班表!$C$5:$T$44,$CU27,CA$57),""),3,1)="隔",IF(CA$58=0,LEFT(IFERROR(INDEX(醫師週班表!$C$5:$T$44,$CU27,CA$57),""),1),""),IF(MID(IFERROR(INDEX(醫師週班表!$C$5:$T$44,$CU27,CA$57),""),2,1)="(",LEFT(IFERROR(INDEX(醫師週班表!$C$5:$T$44,$CU27,CA$57),""),1),IFERROR(INDEX(醫師週班表!$C$5:$T$44,$CU27,CA$57),"")))))))</f>
        <v/>
      </c>
      <c r="CB27" s="71">
        <f>IF(CB$59="X","",IF(CB$59&lt;&gt;"",CB$59,IF(IFERROR(INDEX(醫師週班表!$C$5:$T$44,$CU27,CB$57),"")=0,"",IF(MID(IFERROR(INDEX(醫師週班表!$C$5:$T$44,$CU27,CB$57),""),2,1)="/",MID(IFERROR(INDEX(醫師週班表!$C$5:$T$44,$CU27,CB$57),""),1+CB$58*2,1),IF(MID(IFERROR(INDEX(醫師週班表!$C$5:$T$44,$CU27,CB$57),""),3,1)="隔",IF(CB$58=0,LEFT(IFERROR(INDEX(醫師週班表!$C$5:$T$44,$CU27,CB$57),""),1),""),IF(MID(IFERROR(INDEX(醫師週班表!$C$5:$T$44,$CU27,CB$57),""),2,1)="(",LEFT(IFERROR(INDEX(醫師週班表!$C$5:$T$44,$CU27,CB$57),""),1),IFERROR(INDEX(醫師週班表!$C$5:$T$44,$CU27,CB$57),"")))))))</f>
        <v/>
      </c>
      <c r="CC27" s="72">
        <f>IF(CC$59="X","",IF(CC$59&lt;&gt;"",CC$59,IF(IFERROR(INDEX(醫師週班表!$C$5:$T$44,$CU27,CC$57),"")=0,"",IF(MID(IFERROR(INDEX(醫師週班表!$C$5:$T$44,$CU27,CC$57),""),2,1)="/",MID(IFERROR(INDEX(醫師週班表!$C$5:$T$44,$CU27,CC$57),""),1+CC$58*2,1),IF(MID(IFERROR(INDEX(醫師週班表!$C$5:$T$44,$CU27,CC$57),""),3,1)="隔",IF(CC$58=0,LEFT(IFERROR(INDEX(醫師週班表!$C$5:$T$44,$CU27,CC$57),""),1),""),IF(MID(IFERROR(INDEX(醫師週班表!$C$5:$T$44,$CU27,CC$57),""),2,1)="(",LEFT(IFERROR(INDEX(醫師週班表!$C$5:$T$44,$CU27,CC$57),""),1),IFERROR(INDEX(醫師週班表!$C$5:$T$44,$CU27,CC$57),"")))))))</f>
        <v/>
      </c>
      <c r="CD27" s="72">
        <f>IF(CD$59="X","",IF(CD$59&lt;&gt;"",CD$59,IF(IFERROR(INDEX(醫師週班表!$C$5:$T$44,$CU27,CD$57),"")=0,"",IF(MID(IFERROR(INDEX(醫師週班表!$C$5:$T$44,$CU27,CD$57),""),2,1)="/",MID(IFERROR(INDEX(醫師週班表!$C$5:$T$44,$CU27,CD$57),""),1+CD$58*2,1),IF(MID(IFERROR(INDEX(醫師週班表!$C$5:$T$44,$CU27,CD$57),""),3,1)="隔",IF(CD$58=0,LEFT(IFERROR(INDEX(醫師週班表!$C$5:$T$44,$CU27,CD$57),""),1),""),IF(MID(IFERROR(INDEX(醫師週班表!$C$5:$T$44,$CU27,CD$57),""),2,1)="(",LEFT(IFERROR(INDEX(醫師週班表!$C$5:$T$44,$CU27,CD$57),""),1),IFERROR(INDEX(醫師週班表!$C$5:$T$44,$CU27,CD$57),"")))))))</f>
        <v/>
      </c>
      <c r="CE27" s="71">
        <f>IF(CE$59="X","",IF(CE$59&lt;&gt;"",CE$59,IF(IFERROR(INDEX(醫師週班表!$C$5:$T$44,$CU27,CE$57),"")=0,"",IF(MID(IFERROR(INDEX(醫師週班表!$C$5:$T$44,$CU27,CE$57),""),2,1)="/",MID(IFERROR(INDEX(醫師週班表!$C$5:$T$44,$CU27,CE$57),""),1+CE$58*2,1),IF(MID(IFERROR(INDEX(醫師週班表!$C$5:$T$44,$CU27,CE$57),""),3,1)="隔",IF(CE$58=0,LEFT(IFERROR(INDEX(醫師週班表!$C$5:$T$44,$CU27,CE$57),""),1),""),IF(MID(IFERROR(INDEX(醫師週班表!$C$5:$T$44,$CU27,CE$57),""),2,1)="(",LEFT(IFERROR(INDEX(醫師週班表!$C$5:$T$44,$CU27,CE$57),""),1),IFERROR(INDEX(醫師週班表!$C$5:$T$44,$CU27,CE$57),"")))))))</f>
        <v/>
      </c>
      <c r="CF27" s="72">
        <f>IF(CF$59="X","",IF(CF$59&lt;&gt;"",CF$59,IF(IFERROR(INDEX(醫師週班表!$C$5:$T$44,$CU27,CF$57),"")=0,"",IF(MID(IFERROR(INDEX(醫師週班表!$C$5:$T$44,$CU27,CF$57),""),2,1)="/",MID(IFERROR(INDEX(醫師週班表!$C$5:$T$44,$CU27,CF$57),""),1+CF$58*2,1),IF(MID(IFERROR(INDEX(醫師週班表!$C$5:$T$44,$CU27,CF$57),""),3,1)="隔",IF(CF$58=0,LEFT(IFERROR(INDEX(醫師週班表!$C$5:$T$44,$CU27,CF$57),""),1),""),IF(MID(IFERROR(INDEX(醫師週班表!$C$5:$T$44,$CU27,CF$57),""),2,1)="(",LEFT(IFERROR(INDEX(醫師週班表!$C$5:$T$44,$CU27,CF$57),""),1),IFERROR(INDEX(醫師週班表!$C$5:$T$44,$CU27,CF$57),"")))))))</f>
        <v/>
      </c>
      <c r="CG27" s="72">
        <f>IF(CG$59="X","",IF(CG$59&lt;&gt;"",CG$59,IF(IFERROR(INDEX(醫師週班表!$C$5:$T$44,$CU27,CG$57),"")=0,"",IF(MID(IFERROR(INDEX(醫師週班表!$C$5:$T$44,$CU27,CG$57),""),2,1)="/",MID(IFERROR(INDEX(醫師週班表!$C$5:$T$44,$CU27,CG$57),""),1+CG$58*2,1),IF(MID(IFERROR(INDEX(醫師週班表!$C$5:$T$44,$CU27,CG$57),""),3,1)="隔",IF(CG$58=0,LEFT(IFERROR(INDEX(醫師週班表!$C$5:$T$44,$CU27,CG$57),""),1),""),IF(MID(IFERROR(INDEX(醫師週班表!$C$5:$T$44,$CU27,CG$57),""),2,1)="(",LEFT(IFERROR(INDEX(醫師週班表!$C$5:$T$44,$CU27,CG$57),""),1),IFERROR(INDEX(醫師週班表!$C$5:$T$44,$CU27,CG$57),"")))))))</f>
        <v/>
      </c>
      <c r="CH27" s="71">
        <f>IF(CH$59="X","",IF(CH$59&lt;&gt;"",CH$59,IF(IFERROR(INDEX(醫師週班表!$C$5:$T$44,$CU27,CH$57),"")=0,"",IF(MID(IFERROR(INDEX(醫師週班表!$C$5:$T$44,$CU27,CH$57),""),2,1)="/",MID(IFERROR(INDEX(醫師週班表!$C$5:$T$44,$CU27,CH$57),""),1+CH$58*2,1),IF(MID(IFERROR(INDEX(醫師週班表!$C$5:$T$44,$CU27,CH$57),""),3,1)="隔",IF(CH$58=0,LEFT(IFERROR(INDEX(醫師週班表!$C$5:$T$44,$CU27,CH$57),""),1),""),IF(MID(IFERROR(INDEX(醫師週班表!$C$5:$T$44,$CU27,CH$57),""),2,1)="(",LEFT(IFERROR(INDEX(醫師週班表!$C$5:$T$44,$CU27,CH$57),""),1),IFERROR(INDEX(醫師週班表!$C$5:$T$44,$CU27,CH$57),"")))))))</f>
        <v/>
      </c>
      <c r="CI27" s="72">
        <f>IF(CI$59="X","",IF(CI$59&lt;&gt;"",CI$59,IF(IFERROR(INDEX(醫師週班表!$C$5:$T$44,$CU27,CI$57),"")=0,"",IF(MID(IFERROR(INDEX(醫師週班表!$C$5:$T$44,$CU27,CI$57),""),2,1)="/",MID(IFERROR(INDEX(醫師週班表!$C$5:$T$44,$CU27,CI$57),""),1+CI$58*2,1),IF(MID(IFERROR(INDEX(醫師週班表!$C$5:$T$44,$CU27,CI$57),""),3,1)="隔",IF(CI$58=0,LEFT(IFERROR(INDEX(醫師週班表!$C$5:$T$44,$CU27,CI$57),""),1),""),IF(MID(IFERROR(INDEX(醫師週班表!$C$5:$T$44,$CU27,CI$57),""),2,1)="(",LEFT(IFERROR(INDEX(醫師週班表!$C$5:$T$44,$CU27,CI$57),""),1),IFERROR(INDEX(醫師週班表!$C$5:$T$44,$CU27,CI$57),"")))))))</f>
        <v/>
      </c>
      <c r="CJ27" s="72">
        <f>IF(CJ$59="X","",IF(CJ$59&lt;&gt;"",CJ$59,IF(IFERROR(INDEX(醫師週班表!$C$5:$T$44,$CU27,CJ$57),"")=0,"",IF(MID(IFERROR(INDEX(醫師週班表!$C$5:$T$44,$CU27,CJ$57),""),2,1)="/",MID(IFERROR(INDEX(醫師週班表!$C$5:$T$44,$CU27,CJ$57),""),1+CJ$58*2,1),IF(MID(IFERROR(INDEX(醫師週班表!$C$5:$T$44,$CU27,CJ$57),""),3,1)="隔",IF(CJ$58=0,LEFT(IFERROR(INDEX(醫師週班表!$C$5:$T$44,$CU27,CJ$57),""),1),""),IF(MID(IFERROR(INDEX(醫師週班表!$C$5:$T$44,$CU27,CJ$57),""),2,1)="(",LEFT(IFERROR(INDEX(醫師週班表!$C$5:$T$44,$CU27,CJ$57),""),1),IFERROR(INDEX(醫師週班表!$C$5:$T$44,$CU27,CJ$57),"")))))))</f>
        <v/>
      </c>
      <c r="CK27" s="71">
        <f>IF(CK$59="X","",IF(CK$59&lt;&gt;"",CK$59,IF(IFERROR(INDEX(醫師週班表!$C$5:$T$44,$CU27,CK$57),"")=0,"",IF(MID(IFERROR(INDEX(醫師週班表!$C$5:$T$44,$CU27,CK$57),""),2,1)="/",MID(IFERROR(INDEX(醫師週班表!$C$5:$T$44,$CU27,CK$57),""),1+CK$58*2,1),IF(MID(IFERROR(INDEX(醫師週班表!$C$5:$T$44,$CU27,CK$57),""),3,1)="隔",IF(CK$58=0,LEFT(IFERROR(INDEX(醫師週班表!$C$5:$T$44,$CU27,CK$57),""),1),""),IF(MID(IFERROR(INDEX(醫師週班表!$C$5:$T$44,$CU27,CK$57),""),2,1)="(",LEFT(IFERROR(INDEX(醫師週班表!$C$5:$T$44,$CU27,CK$57),""),1),IFERROR(INDEX(醫師週班表!$C$5:$T$44,$CU27,CK$57),"")))))))</f>
        <v/>
      </c>
      <c r="CL27" s="72">
        <f>IF(CL$59="X","",IF(CL$59&lt;&gt;"",CL$59,IF(IFERROR(INDEX(醫師週班表!$C$5:$T$44,$CU27,CL$57),"")=0,"",IF(MID(IFERROR(INDEX(醫師週班表!$C$5:$T$44,$CU27,CL$57),""),2,1)="/",MID(IFERROR(INDEX(醫師週班表!$C$5:$T$44,$CU27,CL$57),""),1+CL$58*2,1),IF(MID(IFERROR(INDEX(醫師週班表!$C$5:$T$44,$CU27,CL$57),""),3,1)="隔",IF(CL$58=0,LEFT(IFERROR(INDEX(醫師週班表!$C$5:$T$44,$CU27,CL$57),""),1),""),IF(MID(IFERROR(INDEX(醫師週班表!$C$5:$T$44,$CU27,CL$57),""),2,1)="(",LEFT(IFERROR(INDEX(醫師週班表!$C$5:$T$44,$CU27,CL$57),""),1),IFERROR(INDEX(醫師週班表!$C$5:$T$44,$CU27,CL$57),"")))))))</f>
        <v/>
      </c>
      <c r="CM27" s="72">
        <f>IF(CM$59="X","",IF(CM$59&lt;&gt;"",CM$59,IF(IFERROR(INDEX(醫師週班表!$C$5:$T$44,$CU27,CM$57),"")=0,"",IF(MID(IFERROR(INDEX(醫師週班表!$C$5:$T$44,$CU27,CM$57),""),2,1)="/",MID(IFERROR(INDEX(醫師週班表!$C$5:$T$44,$CU27,CM$57),""),1+CM$58*2,1),IF(MID(IFERROR(INDEX(醫師週班表!$C$5:$T$44,$CU27,CM$57),""),3,1)="隔",IF(CM$58=0,LEFT(IFERROR(INDEX(醫師週班表!$C$5:$T$44,$CU27,CM$57),""),1),""),IF(MID(IFERROR(INDEX(醫師週班表!$C$5:$T$44,$CU27,CM$57),""),2,1)="(",LEFT(IFERROR(INDEX(醫師週班表!$C$5:$T$44,$CU27,CM$57),""),1),IFERROR(INDEX(醫師週班表!$C$5:$T$44,$CU27,CM$57),"")))))))</f>
        <v/>
      </c>
      <c r="CN27" s="71">
        <f>IF(CN$59="X","",IF(CN$59&lt;&gt;"",CN$59,IF(IFERROR(INDEX(醫師週班表!$C$5:$T$44,$CU27,CN$57),"")=0,"",IF(MID(IFERROR(INDEX(醫師週班表!$C$5:$T$44,$CU27,CN$57),""),2,1)="/",MID(IFERROR(INDEX(醫師週班表!$C$5:$T$44,$CU27,CN$57),""),1+CN$58*2,1),IF(MID(IFERROR(INDEX(醫師週班表!$C$5:$T$44,$CU27,CN$57),""),3,1)="隔",IF(CN$58=0,LEFT(IFERROR(INDEX(醫師週班表!$C$5:$T$44,$CU27,CN$57),""),1),""),IF(MID(IFERROR(INDEX(醫師週班表!$C$5:$T$44,$CU27,CN$57),""),2,1)="(",LEFT(IFERROR(INDEX(醫師週班表!$C$5:$T$44,$CU27,CN$57),""),1),IFERROR(INDEX(醫師週班表!$C$5:$T$44,$CU27,CN$57),"")))))))</f>
        <v/>
      </c>
      <c r="CO27" s="72">
        <f>IF(CO$59="X","",IF(CO$59&lt;&gt;"",CO$59,IF(IFERROR(INDEX(醫師週班表!$C$5:$T$44,$CU27,CO$57),"")=0,"",IF(MID(IFERROR(INDEX(醫師週班表!$C$5:$T$44,$CU27,CO$57),""),2,1)="/",MID(IFERROR(INDEX(醫師週班表!$C$5:$T$44,$CU27,CO$57),""),1+CO$58*2,1),IF(MID(IFERROR(INDEX(醫師週班表!$C$5:$T$44,$CU27,CO$57),""),3,1)="隔",IF(CO$58=0,LEFT(IFERROR(INDEX(醫師週班表!$C$5:$T$44,$CU27,CO$57),""),1),""),IF(MID(IFERROR(INDEX(醫師週班表!$C$5:$T$44,$CU27,CO$57),""),2,1)="(",LEFT(IFERROR(INDEX(醫師週班表!$C$5:$T$44,$CU27,CO$57),""),1),IFERROR(INDEX(醫師週班表!$C$5:$T$44,$CU27,CO$57),"")))))))</f>
        <v/>
      </c>
      <c r="CP27" s="72">
        <f>IF(CP$59="X","",IF(CP$59&lt;&gt;"",CP$59,IF(IFERROR(INDEX(醫師週班表!$C$5:$T$44,$CU27,CP$57),"")=0,"",IF(MID(IFERROR(INDEX(醫師週班表!$C$5:$T$44,$CU27,CP$57),""),2,1)="/",MID(IFERROR(INDEX(醫師週班表!$C$5:$T$44,$CU27,CP$57),""),1+CP$58*2,1),IF(MID(IFERROR(INDEX(醫師週班表!$C$5:$T$44,$CU27,CP$57),""),3,1)="隔",IF(CP$58=0,LEFT(IFERROR(INDEX(醫師週班表!$C$5:$T$44,$CU27,CP$57),""),1),""),IF(MID(IFERROR(INDEX(醫師週班表!$C$5:$T$44,$CU27,CP$57),""),2,1)="(",LEFT(IFERROR(INDEX(醫師週班表!$C$5:$T$44,$CU27,CP$57),""),1),IFERROR(INDEX(醫師週班表!$C$5:$T$44,$CU27,CP$57),"")))))))</f>
        <v/>
      </c>
      <c r="CQ27" s="71">
        <f>IF(CQ$59="X","",IF(CQ$59&lt;&gt;"",CQ$59,IF(IFERROR(INDEX(醫師週班表!$C$5:$T$44,$CU27,CQ$57),"")=0,"",IF(MID(IFERROR(INDEX(醫師週班表!$C$5:$T$44,$CU27,CQ$57),""),2,1)="/",MID(IFERROR(INDEX(醫師週班表!$C$5:$T$44,$CU27,CQ$57),""),1+CQ$58*2,1),IF(MID(IFERROR(INDEX(醫師週班表!$C$5:$T$44,$CU27,CQ$57),""),3,1)="隔",IF(CQ$58=0,LEFT(IFERROR(INDEX(醫師週班表!$C$5:$T$44,$CU27,CQ$57),""),1),""),IF(MID(IFERROR(INDEX(醫師週班表!$C$5:$T$44,$CU27,CQ$57),""),2,1)="(",LEFT(IFERROR(INDEX(醫師週班表!$C$5:$T$44,$CU27,CQ$57),""),1),IFERROR(INDEX(醫師週班表!$C$5:$T$44,$CU27,CQ$57),"")))))))</f>
        <v/>
      </c>
      <c r="CR27" s="72">
        <f>IF(CR$59="X","",IF(CR$59&lt;&gt;"",CR$59,IF(IFERROR(INDEX(醫師週班表!$C$5:$T$44,$CU27,CR$57),"")=0,"",IF(MID(IFERROR(INDEX(醫師週班表!$C$5:$T$44,$CU27,CR$57),""),2,1)="/",MID(IFERROR(INDEX(醫師週班表!$C$5:$T$44,$CU27,CR$57),""),1+CR$58*2,1),IF(MID(IFERROR(INDEX(醫師週班表!$C$5:$T$44,$CU27,CR$57),""),3,1)="隔",IF(CR$58=0,LEFT(IFERROR(INDEX(醫師週班表!$C$5:$T$44,$CU27,CR$57),""),1),""),IF(MID(IFERROR(INDEX(醫師週班表!$C$5:$T$44,$CU27,CR$57),""),2,1)="(",LEFT(IFERROR(INDEX(醫師週班表!$C$5:$T$44,$CU27,CR$57),""),1),IFERROR(INDEX(醫師週班表!$C$5:$T$44,$CU27,CR$57),"")))))))</f>
        <v/>
      </c>
      <c r="CS27" s="72">
        <f>IF(CS$59="X","",IF(CS$59&lt;&gt;"",CS$59,IF(IFERROR(INDEX(醫師週班表!$C$5:$T$44,$CU27,CS$57),"")=0,"",IF(MID(IFERROR(INDEX(醫師週班表!$C$5:$T$44,$CU27,CS$57),""),2,1)="/",MID(IFERROR(INDEX(醫師週班表!$C$5:$T$44,$CU27,CS$57),""),1+CS$58*2,1),IF(MID(IFERROR(INDEX(醫師週班表!$C$5:$T$44,$CU27,CS$57),""),3,1)="隔",IF(CS$58=0,LEFT(IFERROR(INDEX(醫師週班表!$C$5:$T$44,$CU27,CS$57),""),1),""),IF(MID(IFERROR(INDEX(醫師週班表!$C$5:$T$44,$CU27,CS$57),""),2,1)="(",LEFT(IFERROR(INDEX(醫師週班表!$C$5:$T$44,$CU27,CS$57),""),1),IFERROR(INDEX(醫師週班表!$C$5:$T$44,$CU27,CS$57),"")))))))</f>
        <v/>
      </c>
      <c r="CU27" s="73">
        <f>IFERROR(MATCH($A27,醫師週班表!$A$5:$A$44,0),0)</f>
        <v/>
      </c>
    </row>
    <row r="28" ht="17" customHeight="1">
      <c r="A28" s="19" t="inlineStr">
        <is>
          <t>D023</t>
        </is>
      </c>
      <c r="B28" s="16" t="inlineStr">
        <is>
          <t>黃婷愉</t>
        </is>
      </c>
      <c r="C28" s="70" t="inlineStr">
        <is>
          <t>口外</t>
        </is>
      </c>
      <c r="D28" s="16" t="inlineStr"/>
      <c r="E28" s="71">
        <f>IF(E$59="X","",IF(E$59&lt;&gt;"",E$59,IF(IFERROR(INDEX(醫師週班表!$C$5:$T$44,$CU28,E$57),"")=0,"",IF(MID(IFERROR(INDEX(醫師週班表!$C$5:$T$44,$CU28,E$57),""),2,1)="/",MID(IFERROR(INDEX(醫師週班表!$C$5:$T$44,$CU28,E$57),""),1+E$58*2,1),IF(MID(IFERROR(INDEX(醫師週班表!$C$5:$T$44,$CU28,E$57),""),3,1)="隔",IF(E$58=0,LEFT(IFERROR(INDEX(醫師週班表!$C$5:$T$44,$CU28,E$57),""),1),""),IF(MID(IFERROR(INDEX(醫師週班表!$C$5:$T$44,$CU28,E$57),""),2,1)="(",LEFT(IFERROR(INDEX(醫師週班表!$C$5:$T$44,$CU28,E$57),""),1),IFERROR(INDEX(醫師週班表!$C$5:$T$44,$CU28,E$57),"")))))))</f>
        <v/>
      </c>
      <c r="F28" s="72">
        <f>IF(F$59="X","",IF(F$59&lt;&gt;"",F$59,IF(IFERROR(INDEX(醫師週班表!$C$5:$T$44,$CU28,F$57),"")=0,"",IF(MID(IFERROR(INDEX(醫師週班表!$C$5:$T$44,$CU28,F$57),""),2,1)="/",MID(IFERROR(INDEX(醫師週班表!$C$5:$T$44,$CU28,F$57),""),1+F$58*2,1),IF(MID(IFERROR(INDEX(醫師週班表!$C$5:$T$44,$CU28,F$57),""),3,1)="隔",IF(F$58=0,LEFT(IFERROR(INDEX(醫師週班表!$C$5:$T$44,$CU28,F$57),""),1),""),IF(MID(IFERROR(INDEX(醫師週班表!$C$5:$T$44,$CU28,F$57),""),2,1)="(",LEFT(IFERROR(INDEX(醫師週班表!$C$5:$T$44,$CU28,F$57),""),1),IFERROR(INDEX(醫師週班表!$C$5:$T$44,$CU28,F$57),"")))))))</f>
        <v/>
      </c>
      <c r="G28" s="72">
        <f>IF(G$59="X","",IF(G$59&lt;&gt;"",G$59,IF(IFERROR(INDEX(醫師週班表!$C$5:$T$44,$CU28,G$57),"")=0,"",IF(MID(IFERROR(INDEX(醫師週班表!$C$5:$T$44,$CU28,G$57),""),2,1)="/",MID(IFERROR(INDEX(醫師週班表!$C$5:$T$44,$CU28,G$57),""),1+G$58*2,1),IF(MID(IFERROR(INDEX(醫師週班表!$C$5:$T$44,$CU28,G$57),""),3,1)="隔",IF(G$58=0,LEFT(IFERROR(INDEX(醫師週班表!$C$5:$T$44,$CU28,G$57),""),1),""),IF(MID(IFERROR(INDEX(醫師週班表!$C$5:$T$44,$CU28,G$57),""),2,1)="(",LEFT(IFERROR(INDEX(醫師週班表!$C$5:$T$44,$CU28,G$57),""),1),IFERROR(INDEX(醫師週班表!$C$5:$T$44,$CU28,G$57),"")))))))</f>
        <v/>
      </c>
      <c r="H28" s="71">
        <f>IF(H$59="X","",IF(H$59&lt;&gt;"",H$59,IF(IFERROR(INDEX(醫師週班表!$C$5:$T$44,$CU28,H$57),"")=0,"",IF(MID(IFERROR(INDEX(醫師週班表!$C$5:$T$44,$CU28,H$57),""),2,1)="/",MID(IFERROR(INDEX(醫師週班表!$C$5:$T$44,$CU28,H$57),""),1+H$58*2,1),IF(MID(IFERROR(INDEX(醫師週班表!$C$5:$T$44,$CU28,H$57),""),3,1)="隔",IF(H$58=0,LEFT(IFERROR(INDEX(醫師週班表!$C$5:$T$44,$CU28,H$57),""),1),""),IF(MID(IFERROR(INDEX(醫師週班表!$C$5:$T$44,$CU28,H$57),""),2,1)="(",LEFT(IFERROR(INDEX(醫師週班表!$C$5:$T$44,$CU28,H$57),""),1),IFERROR(INDEX(醫師週班表!$C$5:$T$44,$CU28,H$57),"")))))))</f>
        <v/>
      </c>
      <c r="I28" s="72">
        <f>IF(I$59="X","",IF(I$59&lt;&gt;"",I$59,IF(IFERROR(INDEX(醫師週班表!$C$5:$T$44,$CU28,I$57),"")=0,"",IF(MID(IFERROR(INDEX(醫師週班表!$C$5:$T$44,$CU28,I$57),""),2,1)="/",MID(IFERROR(INDEX(醫師週班表!$C$5:$T$44,$CU28,I$57),""),1+I$58*2,1),IF(MID(IFERROR(INDEX(醫師週班表!$C$5:$T$44,$CU28,I$57),""),3,1)="隔",IF(I$58=0,LEFT(IFERROR(INDEX(醫師週班表!$C$5:$T$44,$CU28,I$57),""),1),""),IF(MID(IFERROR(INDEX(醫師週班表!$C$5:$T$44,$CU28,I$57),""),2,1)="(",LEFT(IFERROR(INDEX(醫師週班表!$C$5:$T$44,$CU28,I$57),""),1),IFERROR(INDEX(醫師週班表!$C$5:$T$44,$CU28,I$57),"")))))))</f>
        <v/>
      </c>
      <c r="J28" s="72">
        <f>IF(J$59="X","",IF(J$59&lt;&gt;"",J$59,IF(IFERROR(INDEX(醫師週班表!$C$5:$T$44,$CU28,J$57),"")=0,"",IF(MID(IFERROR(INDEX(醫師週班表!$C$5:$T$44,$CU28,J$57),""),2,1)="/",MID(IFERROR(INDEX(醫師週班表!$C$5:$T$44,$CU28,J$57),""),1+J$58*2,1),IF(MID(IFERROR(INDEX(醫師週班表!$C$5:$T$44,$CU28,J$57),""),3,1)="隔",IF(J$58=0,LEFT(IFERROR(INDEX(醫師週班表!$C$5:$T$44,$CU28,J$57),""),1),""),IF(MID(IFERROR(INDEX(醫師週班表!$C$5:$T$44,$CU28,J$57),""),2,1)="(",LEFT(IFERROR(INDEX(醫師週班表!$C$5:$T$44,$CU28,J$57),""),1),IFERROR(INDEX(醫師週班表!$C$5:$T$44,$CU28,J$57),"")))))))</f>
        <v/>
      </c>
      <c r="K28" s="71">
        <f>IF(K$59="X","",IF(K$59&lt;&gt;"",K$59,IF(IFERROR(INDEX(醫師週班表!$C$5:$T$44,$CU28,K$57),"")=0,"",IF(MID(IFERROR(INDEX(醫師週班表!$C$5:$T$44,$CU28,K$57),""),2,1)="/",MID(IFERROR(INDEX(醫師週班表!$C$5:$T$44,$CU28,K$57),""),1+K$58*2,1),IF(MID(IFERROR(INDEX(醫師週班表!$C$5:$T$44,$CU28,K$57),""),3,1)="隔",IF(K$58=0,LEFT(IFERROR(INDEX(醫師週班表!$C$5:$T$44,$CU28,K$57),""),1),""),IF(MID(IFERROR(INDEX(醫師週班表!$C$5:$T$44,$CU28,K$57),""),2,1)="(",LEFT(IFERROR(INDEX(醫師週班表!$C$5:$T$44,$CU28,K$57),""),1),IFERROR(INDEX(醫師週班表!$C$5:$T$44,$CU28,K$57),"")))))))</f>
        <v/>
      </c>
      <c r="L28" s="72">
        <f>IF(L$59="X","",IF(L$59&lt;&gt;"",L$59,IF(IFERROR(INDEX(醫師週班表!$C$5:$T$44,$CU28,L$57),"")=0,"",IF(MID(IFERROR(INDEX(醫師週班表!$C$5:$T$44,$CU28,L$57),""),2,1)="/",MID(IFERROR(INDEX(醫師週班表!$C$5:$T$44,$CU28,L$57),""),1+L$58*2,1),IF(MID(IFERROR(INDEX(醫師週班表!$C$5:$T$44,$CU28,L$57),""),3,1)="隔",IF(L$58=0,LEFT(IFERROR(INDEX(醫師週班表!$C$5:$T$44,$CU28,L$57),""),1),""),IF(MID(IFERROR(INDEX(醫師週班表!$C$5:$T$44,$CU28,L$57),""),2,1)="(",LEFT(IFERROR(INDEX(醫師週班表!$C$5:$T$44,$CU28,L$57),""),1),IFERROR(INDEX(醫師週班表!$C$5:$T$44,$CU28,L$57),"")))))))</f>
        <v/>
      </c>
      <c r="M28" s="72">
        <f>IF(M$59="X","",IF(M$59&lt;&gt;"",M$59,IF(IFERROR(INDEX(醫師週班表!$C$5:$T$44,$CU28,M$57),"")=0,"",IF(MID(IFERROR(INDEX(醫師週班表!$C$5:$T$44,$CU28,M$57),""),2,1)="/",MID(IFERROR(INDEX(醫師週班表!$C$5:$T$44,$CU28,M$57),""),1+M$58*2,1),IF(MID(IFERROR(INDEX(醫師週班表!$C$5:$T$44,$CU28,M$57),""),3,1)="隔",IF(M$58=0,LEFT(IFERROR(INDEX(醫師週班表!$C$5:$T$44,$CU28,M$57),""),1),""),IF(MID(IFERROR(INDEX(醫師週班表!$C$5:$T$44,$CU28,M$57),""),2,1)="(",LEFT(IFERROR(INDEX(醫師週班表!$C$5:$T$44,$CU28,M$57),""),1),IFERROR(INDEX(醫師週班表!$C$5:$T$44,$CU28,M$57),"")))))))</f>
        <v/>
      </c>
      <c r="N28" s="71">
        <f>IF(N$59="X","",IF(N$59&lt;&gt;"",N$59,IF(IFERROR(INDEX(醫師週班表!$C$5:$T$44,$CU28,N$57),"")=0,"",IF(MID(IFERROR(INDEX(醫師週班表!$C$5:$T$44,$CU28,N$57),""),2,1)="/",MID(IFERROR(INDEX(醫師週班表!$C$5:$T$44,$CU28,N$57),""),1+N$58*2,1),IF(MID(IFERROR(INDEX(醫師週班表!$C$5:$T$44,$CU28,N$57),""),3,1)="隔",IF(N$58=0,LEFT(IFERROR(INDEX(醫師週班表!$C$5:$T$44,$CU28,N$57),""),1),""),IF(MID(IFERROR(INDEX(醫師週班表!$C$5:$T$44,$CU28,N$57),""),2,1)="(",LEFT(IFERROR(INDEX(醫師週班表!$C$5:$T$44,$CU28,N$57),""),1),IFERROR(INDEX(醫師週班表!$C$5:$T$44,$CU28,N$57),"")))))))</f>
        <v/>
      </c>
      <c r="O28" s="72">
        <f>IF(O$59="X","",IF(O$59&lt;&gt;"",O$59,IF(IFERROR(INDEX(醫師週班表!$C$5:$T$44,$CU28,O$57),"")=0,"",IF(MID(IFERROR(INDEX(醫師週班表!$C$5:$T$44,$CU28,O$57),""),2,1)="/",MID(IFERROR(INDEX(醫師週班表!$C$5:$T$44,$CU28,O$57),""),1+O$58*2,1),IF(MID(IFERROR(INDEX(醫師週班表!$C$5:$T$44,$CU28,O$57),""),3,1)="隔",IF(O$58=0,LEFT(IFERROR(INDEX(醫師週班表!$C$5:$T$44,$CU28,O$57),""),1),""),IF(MID(IFERROR(INDEX(醫師週班表!$C$5:$T$44,$CU28,O$57),""),2,1)="(",LEFT(IFERROR(INDEX(醫師週班表!$C$5:$T$44,$CU28,O$57),""),1),IFERROR(INDEX(醫師週班表!$C$5:$T$44,$CU28,O$57),"")))))))</f>
        <v/>
      </c>
      <c r="P28" s="72">
        <f>IF(P$59="X","",IF(P$59&lt;&gt;"",P$59,IF(IFERROR(INDEX(醫師週班表!$C$5:$T$44,$CU28,P$57),"")=0,"",IF(MID(IFERROR(INDEX(醫師週班表!$C$5:$T$44,$CU28,P$57),""),2,1)="/",MID(IFERROR(INDEX(醫師週班表!$C$5:$T$44,$CU28,P$57),""),1+P$58*2,1),IF(MID(IFERROR(INDEX(醫師週班表!$C$5:$T$44,$CU28,P$57),""),3,1)="隔",IF(P$58=0,LEFT(IFERROR(INDEX(醫師週班表!$C$5:$T$44,$CU28,P$57),""),1),""),IF(MID(IFERROR(INDEX(醫師週班表!$C$5:$T$44,$CU28,P$57),""),2,1)="(",LEFT(IFERROR(INDEX(醫師週班表!$C$5:$T$44,$CU28,P$57),""),1),IFERROR(INDEX(醫師週班表!$C$5:$T$44,$CU28,P$57),"")))))))</f>
        <v/>
      </c>
      <c r="Q28" s="71">
        <f>IF(Q$59="X","",IF(Q$59&lt;&gt;"",Q$59,IF(IFERROR(INDEX(醫師週班表!$C$5:$T$44,$CU28,Q$57),"")=0,"",IF(MID(IFERROR(INDEX(醫師週班表!$C$5:$T$44,$CU28,Q$57),""),2,1)="/",MID(IFERROR(INDEX(醫師週班表!$C$5:$T$44,$CU28,Q$57),""),1+Q$58*2,1),IF(MID(IFERROR(INDEX(醫師週班表!$C$5:$T$44,$CU28,Q$57),""),3,1)="隔",IF(Q$58=0,LEFT(IFERROR(INDEX(醫師週班表!$C$5:$T$44,$CU28,Q$57),""),1),""),IF(MID(IFERROR(INDEX(醫師週班表!$C$5:$T$44,$CU28,Q$57),""),2,1)="(",LEFT(IFERROR(INDEX(醫師週班表!$C$5:$T$44,$CU28,Q$57),""),1),IFERROR(INDEX(醫師週班表!$C$5:$T$44,$CU28,Q$57),"")))))))</f>
        <v/>
      </c>
      <c r="R28" s="72">
        <f>IF(R$59="X","",IF(R$59&lt;&gt;"",R$59,IF(IFERROR(INDEX(醫師週班表!$C$5:$T$44,$CU28,R$57),"")=0,"",IF(MID(IFERROR(INDEX(醫師週班表!$C$5:$T$44,$CU28,R$57),""),2,1)="/",MID(IFERROR(INDEX(醫師週班表!$C$5:$T$44,$CU28,R$57),""),1+R$58*2,1),IF(MID(IFERROR(INDEX(醫師週班表!$C$5:$T$44,$CU28,R$57),""),3,1)="隔",IF(R$58=0,LEFT(IFERROR(INDEX(醫師週班表!$C$5:$T$44,$CU28,R$57),""),1),""),IF(MID(IFERROR(INDEX(醫師週班表!$C$5:$T$44,$CU28,R$57),""),2,1)="(",LEFT(IFERROR(INDEX(醫師週班表!$C$5:$T$44,$CU28,R$57),""),1),IFERROR(INDEX(醫師週班表!$C$5:$T$44,$CU28,R$57),"")))))))</f>
        <v/>
      </c>
      <c r="S28" s="72">
        <f>IF(S$59="X","",IF(S$59&lt;&gt;"",S$59,IF(IFERROR(INDEX(醫師週班表!$C$5:$T$44,$CU28,S$57),"")=0,"",IF(MID(IFERROR(INDEX(醫師週班表!$C$5:$T$44,$CU28,S$57),""),2,1)="/",MID(IFERROR(INDEX(醫師週班表!$C$5:$T$44,$CU28,S$57),""),1+S$58*2,1),IF(MID(IFERROR(INDEX(醫師週班表!$C$5:$T$44,$CU28,S$57),""),3,1)="隔",IF(S$58=0,LEFT(IFERROR(INDEX(醫師週班表!$C$5:$T$44,$CU28,S$57),""),1),""),IF(MID(IFERROR(INDEX(醫師週班表!$C$5:$T$44,$CU28,S$57),""),2,1)="(",LEFT(IFERROR(INDEX(醫師週班表!$C$5:$T$44,$CU28,S$57),""),1),IFERROR(INDEX(醫師週班表!$C$5:$T$44,$CU28,S$57),"")))))))</f>
        <v/>
      </c>
      <c r="T28" s="71">
        <f>IF(T$59="X","",IF(T$59&lt;&gt;"",T$59,IF(IFERROR(INDEX(醫師週班表!$C$5:$T$44,$CU28,T$57),"")=0,"",IF(MID(IFERROR(INDEX(醫師週班表!$C$5:$T$44,$CU28,T$57),""),2,1)="/",MID(IFERROR(INDEX(醫師週班表!$C$5:$T$44,$CU28,T$57),""),1+T$58*2,1),IF(MID(IFERROR(INDEX(醫師週班表!$C$5:$T$44,$CU28,T$57),""),3,1)="隔",IF(T$58=0,LEFT(IFERROR(INDEX(醫師週班表!$C$5:$T$44,$CU28,T$57),""),1),""),IF(MID(IFERROR(INDEX(醫師週班表!$C$5:$T$44,$CU28,T$57),""),2,1)="(",LEFT(IFERROR(INDEX(醫師週班表!$C$5:$T$44,$CU28,T$57),""),1),IFERROR(INDEX(醫師週班表!$C$5:$T$44,$CU28,T$57),"")))))))</f>
        <v/>
      </c>
      <c r="U28" s="72">
        <f>IF(U$59="X","",IF(U$59&lt;&gt;"",U$59,IF(IFERROR(INDEX(醫師週班表!$C$5:$T$44,$CU28,U$57),"")=0,"",IF(MID(IFERROR(INDEX(醫師週班表!$C$5:$T$44,$CU28,U$57),""),2,1)="/",MID(IFERROR(INDEX(醫師週班表!$C$5:$T$44,$CU28,U$57),""),1+U$58*2,1),IF(MID(IFERROR(INDEX(醫師週班表!$C$5:$T$44,$CU28,U$57),""),3,1)="隔",IF(U$58=0,LEFT(IFERROR(INDEX(醫師週班表!$C$5:$T$44,$CU28,U$57),""),1),""),IF(MID(IFERROR(INDEX(醫師週班表!$C$5:$T$44,$CU28,U$57),""),2,1)="(",LEFT(IFERROR(INDEX(醫師週班表!$C$5:$T$44,$CU28,U$57),""),1),IFERROR(INDEX(醫師週班表!$C$5:$T$44,$CU28,U$57),"")))))))</f>
        <v/>
      </c>
      <c r="V28" s="72">
        <f>IF(V$59="X","",IF(V$59&lt;&gt;"",V$59,IF(IFERROR(INDEX(醫師週班表!$C$5:$T$44,$CU28,V$57),"")=0,"",IF(MID(IFERROR(INDEX(醫師週班表!$C$5:$T$44,$CU28,V$57),""),2,1)="/",MID(IFERROR(INDEX(醫師週班表!$C$5:$T$44,$CU28,V$57),""),1+V$58*2,1),IF(MID(IFERROR(INDEX(醫師週班表!$C$5:$T$44,$CU28,V$57),""),3,1)="隔",IF(V$58=0,LEFT(IFERROR(INDEX(醫師週班表!$C$5:$T$44,$CU28,V$57),""),1),""),IF(MID(IFERROR(INDEX(醫師週班表!$C$5:$T$44,$CU28,V$57),""),2,1)="(",LEFT(IFERROR(INDEX(醫師週班表!$C$5:$T$44,$CU28,V$57),""),1),IFERROR(INDEX(醫師週班表!$C$5:$T$44,$CU28,V$57),"")))))))</f>
        <v/>
      </c>
      <c r="W28" s="71">
        <f>IF(W$59="X","",IF(W$59&lt;&gt;"",W$59,IF(IFERROR(INDEX(醫師週班表!$C$5:$T$44,$CU28,W$57),"")=0,"",IF(MID(IFERROR(INDEX(醫師週班表!$C$5:$T$44,$CU28,W$57),""),2,1)="/",MID(IFERROR(INDEX(醫師週班表!$C$5:$T$44,$CU28,W$57),""),1+W$58*2,1),IF(MID(IFERROR(INDEX(醫師週班表!$C$5:$T$44,$CU28,W$57),""),3,1)="隔",IF(W$58=0,LEFT(IFERROR(INDEX(醫師週班表!$C$5:$T$44,$CU28,W$57),""),1),""),IF(MID(IFERROR(INDEX(醫師週班表!$C$5:$T$44,$CU28,W$57),""),2,1)="(",LEFT(IFERROR(INDEX(醫師週班表!$C$5:$T$44,$CU28,W$57),""),1),IFERROR(INDEX(醫師週班表!$C$5:$T$44,$CU28,W$57),"")))))))</f>
        <v/>
      </c>
      <c r="X28" s="72">
        <f>IF(X$59="X","",IF(X$59&lt;&gt;"",X$59,IF(IFERROR(INDEX(醫師週班表!$C$5:$T$44,$CU28,X$57),"")=0,"",IF(MID(IFERROR(INDEX(醫師週班表!$C$5:$T$44,$CU28,X$57),""),2,1)="/",MID(IFERROR(INDEX(醫師週班表!$C$5:$T$44,$CU28,X$57),""),1+X$58*2,1),IF(MID(IFERROR(INDEX(醫師週班表!$C$5:$T$44,$CU28,X$57),""),3,1)="隔",IF(X$58=0,LEFT(IFERROR(INDEX(醫師週班表!$C$5:$T$44,$CU28,X$57),""),1),""),IF(MID(IFERROR(INDEX(醫師週班表!$C$5:$T$44,$CU28,X$57),""),2,1)="(",LEFT(IFERROR(INDEX(醫師週班表!$C$5:$T$44,$CU28,X$57),""),1),IFERROR(INDEX(醫師週班表!$C$5:$T$44,$CU28,X$57),"")))))))</f>
        <v/>
      </c>
      <c r="Y28" s="72">
        <f>IF(Y$59="X","",IF(Y$59&lt;&gt;"",Y$59,IF(IFERROR(INDEX(醫師週班表!$C$5:$T$44,$CU28,Y$57),"")=0,"",IF(MID(IFERROR(INDEX(醫師週班表!$C$5:$T$44,$CU28,Y$57),""),2,1)="/",MID(IFERROR(INDEX(醫師週班表!$C$5:$T$44,$CU28,Y$57),""),1+Y$58*2,1),IF(MID(IFERROR(INDEX(醫師週班表!$C$5:$T$44,$CU28,Y$57),""),3,1)="隔",IF(Y$58=0,LEFT(IFERROR(INDEX(醫師週班表!$C$5:$T$44,$CU28,Y$57),""),1),""),IF(MID(IFERROR(INDEX(醫師週班表!$C$5:$T$44,$CU28,Y$57),""),2,1)="(",LEFT(IFERROR(INDEX(醫師週班表!$C$5:$T$44,$CU28,Y$57),""),1),IFERROR(INDEX(醫師週班表!$C$5:$T$44,$CU28,Y$57),"")))))))</f>
        <v/>
      </c>
      <c r="Z28" s="71">
        <f>IF(Z$59="X","",IF(Z$59&lt;&gt;"",Z$59,IF(IFERROR(INDEX(醫師週班表!$C$5:$T$44,$CU28,Z$57),"")=0,"",IF(MID(IFERROR(INDEX(醫師週班表!$C$5:$T$44,$CU28,Z$57),""),2,1)="/",MID(IFERROR(INDEX(醫師週班表!$C$5:$T$44,$CU28,Z$57),""),1+Z$58*2,1),IF(MID(IFERROR(INDEX(醫師週班表!$C$5:$T$44,$CU28,Z$57),""),3,1)="隔",IF(Z$58=0,LEFT(IFERROR(INDEX(醫師週班表!$C$5:$T$44,$CU28,Z$57),""),1),""),IF(MID(IFERROR(INDEX(醫師週班表!$C$5:$T$44,$CU28,Z$57),""),2,1)="(",LEFT(IFERROR(INDEX(醫師週班表!$C$5:$T$44,$CU28,Z$57),""),1),IFERROR(INDEX(醫師週班表!$C$5:$T$44,$CU28,Z$57),"")))))))</f>
        <v/>
      </c>
      <c r="AA28" s="72">
        <f>IF(AA$59="X","",IF(AA$59&lt;&gt;"",AA$59,IF(IFERROR(INDEX(醫師週班表!$C$5:$T$44,$CU28,AA$57),"")=0,"",IF(MID(IFERROR(INDEX(醫師週班表!$C$5:$T$44,$CU28,AA$57),""),2,1)="/",MID(IFERROR(INDEX(醫師週班表!$C$5:$T$44,$CU28,AA$57),""),1+AA$58*2,1),IF(MID(IFERROR(INDEX(醫師週班表!$C$5:$T$44,$CU28,AA$57),""),3,1)="隔",IF(AA$58=0,LEFT(IFERROR(INDEX(醫師週班表!$C$5:$T$44,$CU28,AA$57),""),1),""),IF(MID(IFERROR(INDEX(醫師週班表!$C$5:$T$44,$CU28,AA$57),""),2,1)="(",LEFT(IFERROR(INDEX(醫師週班表!$C$5:$T$44,$CU28,AA$57),""),1),IFERROR(INDEX(醫師週班表!$C$5:$T$44,$CU28,AA$57),"")))))))</f>
        <v/>
      </c>
      <c r="AB28" s="72">
        <f>IF(AB$59="X","",IF(AB$59&lt;&gt;"",AB$59,IF(IFERROR(INDEX(醫師週班表!$C$5:$T$44,$CU28,AB$57),"")=0,"",IF(MID(IFERROR(INDEX(醫師週班表!$C$5:$T$44,$CU28,AB$57),""),2,1)="/",MID(IFERROR(INDEX(醫師週班表!$C$5:$T$44,$CU28,AB$57),""),1+AB$58*2,1),IF(MID(IFERROR(INDEX(醫師週班表!$C$5:$T$44,$CU28,AB$57),""),3,1)="隔",IF(AB$58=0,LEFT(IFERROR(INDEX(醫師週班表!$C$5:$T$44,$CU28,AB$57),""),1),""),IF(MID(IFERROR(INDEX(醫師週班表!$C$5:$T$44,$CU28,AB$57),""),2,1)="(",LEFT(IFERROR(INDEX(醫師週班表!$C$5:$T$44,$CU28,AB$57),""),1),IFERROR(INDEX(醫師週班表!$C$5:$T$44,$CU28,AB$57),"")))))))</f>
        <v/>
      </c>
      <c r="AC28" s="71">
        <f>IF(AC$59="X","",IF(AC$59&lt;&gt;"",AC$59,IF(IFERROR(INDEX(醫師週班表!$C$5:$T$44,$CU28,AC$57),"")=0,"",IF(MID(IFERROR(INDEX(醫師週班表!$C$5:$T$44,$CU28,AC$57),""),2,1)="/",MID(IFERROR(INDEX(醫師週班表!$C$5:$T$44,$CU28,AC$57),""),1+AC$58*2,1),IF(MID(IFERROR(INDEX(醫師週班表!$C$5:$T$44,$CU28,AC$57),""),3,1)="隔",IF(AC$58=0,LEFT(IFERROR(INDEX(醫師週班表!$C$5:$T$44,$CU28,AC$57),""),1),""),IF(MID(IFERROR(INDEX(醫師週班表!$C$5:$T$44,$CU28,AC$57),""),2,1)="(",LEFT(IFERROR(INDEX(醫師週班表!$C$5:$T$44,$CU28,AC$57),""),1),IFERROR(INDEX(醫師週班表!$C$5:$T$44,$CU28,AC$57),"")))))))</f>
        <v/>
      </c>
      <c r="AD28" s="72">
        <f>IF(AD$59="X","",IF(AD$59&lt;&gt;"",AD$59,IF(IFERROR(INDEX(醫師週班表!$C$5:$T$44,$CU28,AD$57),"")=0,"",IF(MID(IFERROR(INDEX(醫師週班表!$C$5:$T$44,$CU28,AD$57),""),2,1)="/",MID(IFERROR(INDEX(醫師週班表!$C$5:$T$44,$CU28,AD$57),""),1+AD$58*2,1),IF(MID(IFERROR(INDEX(醫師週班表!$C$5:$T$44,$CU28,AD$57),""),3,1)="隔",IF(AD$58=0,LEFT(IFERROR(INDEX(醫師週班表!$C$5:$T$44,$CU28,AD$57),""),1),""),IF(MID(IFERROR(INDEX(醫師週班表!$C$5:$T$44,$CU28,AD$57),""),2,1)="(",LEFT(IFERROR(INDEX(醫師週班表!$C$5:$T$44,$CU28,AD$57),""),1),IFERROR(INDEX(醫師週班表!$C$5:$T$44,$CU28,AD$57),"")))))))</f>
        <v/>
      </c>
      <c r="AE28" s="72">
        <f>IF(AE$59="X","",IF(AE$59&lt;&gt;"",AE$59,IF(IFERROR(INDEX(醫師週班表!$C$5:$T$44,$CU28,AE$57),"")=0,"",IF(MID(IFERROR(INDEX(醫師週班表!$C$5:$T$44,$CU28,AE$57),""),2,1)="/",MID(IFERROR(INDEX(醫師週班表!$C$5:$T$44,$CU28,AE$57),""),1+AE$58*2,1),IF(MID(IFERROR(INDEX(醫師週班表!$C$5:$T$44,$CU28,AE$57),""),3,1)="隔",IF(AE$58=0,LEFT(IFERROR(INDEX(醫師週班表!$C$5:$T$44,$CU28,AE$57),""),1),""),IF(MID(IFERROR(INDEX(醫師週班表!$C$5:$T$44,$CU28,AE$57),""),2,1)="(",LEFT(IFERROR(INDEX(醫師週班表!$C$5:$T$44,$CU28,AE$57),""),1),IFERROR(INDEX(醫師週班表!$C$5:$T$44,$CU28,AE$57),"")))))))</f>
        <v/>
      </c>
      <c r="AF28" s="71">
        <f>IF(AF$59="X","",IF(AF$59&lt;&gt;"",AF$59,IF(IFERROR(INDEX(醫師週班表!$C$5:$T$44,$CU28,AF$57),"")=0,"",IF(MID(IFERROR(INDEX(醫師週班表!$C$5:$T$44,$CU28,AF$57),""),2,1)="/",MID(IFERROR(INDEX(醫師週班表!$C$5:$T$44,$CU28,AF$57),""),1+AF$58*2,1),IF(MID(IFERROR(INDEX(醫師週班表!$C$5:$T$44,$CU28,AF$57),""),3,1)="隔",IF(AF$58=0,LEFT(IFERROR(INDEX(醫師週班表!$C$5:$T$44,$CU28,AF$57),""),1),""),IF(MID(IFERROR(INDEX(醫師週班表!$C$5:$T$44,$CU28,AF$57),""),2,1)="(",LEFT(IFERROR(INDEX(醫師週班表!$C$5:$T$44,$CU28,AF$57),""),1),IFERROR(INDEX(醫師週班表!$C$5:$T$44,$CU28,AF$57),"")))))))</f>
        <v/>
      </c>
      <c r="AG28" s="72">
        <f>IF(AG$59="X","",IF(AG$59&lt;&gt;"",AG$59,IF(IFERROR(INDEX(醫師週班表!$C$5:$T$44,$CU28,AG$57),"")=0,"",IF(MID(IFERROR(INDEX(醫師週班表!$C$5:$T$44,$CU28,AG$57),""),2,1)="/",MID(IFERROR(INDEX(醫師週班表!$C$5:$T$44,$CU28,AG$57),""),1+AG$58*2,1),IF(MID(IFERROR(INDEX(醫師週班表!$C$5:$T$44,$CU28,AG$57),""),3,1)="隔",IF(AG$58=0,LEFT(IFERROR(INDEX(醫師週班表!$C$5:$T$44,$CU28,AG$57),""),1),""),IF(MID(IFERROR(INDEX(醫師週班表!$C$5:$T$44,$CU28,AG$57),""),2,1)="(",LEFT(IFERROR(INDEX(醫師週班表!$C$5:$T$44,$CU28,AG$57),""),1),IFERROR(INDEX(醫師週班表!$C$5:$T$44,$CU28,AG$57),"")))))))</f>
        <v/>
      </c>
      <c r="AH28" s="72">
        <f>IF(AH$59="X","",IF(AH$59&lt;&gt;"",AH$59,IF(IFERROR(INDEX(醫師週班表!$C$5:$T$44,$CU28,AH$57),"")=0,"",IF(MID(IFERROR(INDEX(醫師週班表!$C$5:$T$44,$CU28,AH$57),""),2,1)="/",MID(IFERROR(INDEX(醫師週班表!$C$5:$T$44,$CU28,AH$57),""),1+AH$58*2,1),IF(MID(IFERROR(INDEX(醫師週班表!$C$5:$T$44,$CU28,AH$57),""),3,1)="隔",IF(AH$58=0,LEFT(IFERROR(INDEX(醫師週班表!$C$5:$T$44,$CU28,AH$57),""),1),""),IF(MID(IFERROR(INDEX(醫師週班表!$C$5:$T$44,$CU28,AH$57),""),2,1)="(",LEFT(IFERROR(INDEX(醫師週班表!$C$5:$T$44,$CU28,AH$57),""),1),IFERROR(INDEX(醫師週班表!$C$5:$T$44,$CU28,AH$57),"")))))))</f>
        <v/>
      </c>
      <c r="AI28" s="71">
        <f>IF(AI$59="X","",IF(AI$59&lt;&gt;"",AI$59,IF(IFERROR(INDEX(醫師週班表!$C$5:$T$44,$CU28,AI$57),"")=0,"",IF(MID(IFERROR(INDEX(醫師週班表!$C$5:$T$44,$CU28,AI$57),""),2,1)="/",MID(IFERROR(INDEX(醫師週班表!$C$5:$T$44,$CU28,AI$57),""),1+AI$58*2,1),IF(MID(IFERROR(INDEX(醫師週班表!$C$5:$T$44,$CU28,AI$57),""),3,1)="隔",IF(AI$58=0,LEFT(IFERROR(INDEX(醫師週班表!$C$5:$T$44,$CU28,AI$57),""),1),""),IF(MID(IFERROR(INDEX(醫師週班表!$C$5:$T$44,$CU28,AI$57),""),2,1)="(",LEFT(IFERROR(INDEX(醫師週班表!$C$5:$T$44,$CU28,AI$57),""),1),IFERROR(INDEX(醫師週班表!$C$5:$T$44,$CU28,AI$57),"")))))))</f>
        <v/>
      </c>
      <c r="AJ28" s="72">
        <f>IF(AJ$59="X","",IF(AJ$59&lt;&gt;"",AJ$59,IF(IFERROR(INDEX(醫師週班表!$C$5:$T$44,$CU28,AJ$57),"")=0,"",IF(MID(IFERROR(INDEX(醫師週班表!$C$5:$T$44,$CU28,AJ$57),""),2,1)="/",MID(IFERROR(INDEX(醫師週班表!$C$5:$T$44,$CU28,AJ$57),""),1+AJ$58*2,1),IF(MID(IFERROR(INDEX(醫師週班表!$C$5:$T$44,$CU28,AJ$57),""),3,1)="隔",IF(AJ$58=0,LEFT(IFERROR(INDEX(醫師週班表!$C$5:$T$44,$CU28,AJ$57),""),1),""),IF(MID(IFERROR(INDEX(醫師週班表!$C$5:$T$44,$CU28,AJ$57),""),2,1)="(",LEFT(IFERROR(INDEX(醫師週班表!$C$5:$T$44,$CU28,AJ$57),""),1),IFERROR(INDEX(醫師週班表!$C$5:$T$44,$CU28,AJ$57),"")))))))</f>
        <v/>
      </c>
      <c r="AK28" s="72">
        <f>IF(AK$59="X","",IF(AK$59&lt;&gt;"",AK$59,IF(IFERROR(INDEX(醫師週班表!$C$5:$T$44,$CU28,AK$57),"")=0,"",IF(MID(IFERROR(INDEX(醫師週班表!$C$5:$T$44,$CU28,AK$57),""),2,1)="/",MID(IFERROR(INDEX(醫師週班表!$C$5:$T$44,$CU28,AK$57),""),1+AK$58*2,1),IF(MID(IFERROR(INDEX(醫師週班表!$C$5:$T$44,$CU28,AK$57),""),3,1)="隔",IF(AK$58=0,LEFT(IFERROR(INDEX(醫師週班表!$C$5:$T$44,$CU28,AK$57),""),1),""),IF(MID(IFERROR(INDEX(醫師週班表!$C$5:$T$44,$CU28,AK$57),""),2,1)="(",LEFT(IFERROR(INDEX(醫師週班表!$C$5:$T$44,$CU28,AK$57),""),1),IFERROR(INDEX(醫師週班表!$C$5:$T$44,$CU28,AK$57),"")))))))</f>
        <v/>
      </c>
      <c r="AL28" s="71">
        <f>IF(AL$59="X","",IF(AL$59&lt;&gt;"",AL$59,IF(IFERROR(INDEX(醫師週班表!$C$5:$T$44,$CU28,AL$57),"")=0,"",IF(MID(IFERROR(INDEX(醫師週班表!$C$5:$T$44,$CU28,AL$57),""),2,1)="/",MID(IFERROR(INDEX(醫師週班表!$C$5:$T$44,$CU28,AL$57),""),1+AL$58*2,1),IF(MID(IFERROR(INDEX(醫師週班表!$C$5:$T$44,$CU28,AL$57),""),3,1)="隔",IF(AL$58=0,LEFT(IFERROR(INDEX(醫師週班表!$C$5:$T$44,$CU28,AL$57),""),1),""),IF(MID(IFERROR(INDEX(醫師週班表!$C$5:$T$44,$CU28,AL$57),""),2,1)="(",LEFT(IFERROR(INDEX(醫師週班表!$C$5:$T$44,$CU28,AL$57),""),1),IFERROR(INDEX(醫師週班表!$C$5:$T$44,$CU28,AL$57),"")))))))</f>
        <v/>
      </c>
      <c r="AM28" s="72">
        <f>IF(AM$59="X","",IF(AM$59&lt;&gt;"",AM$59,IF(IFERROR(INDEX(醫師週班表!$C$5:$T$44,$CU28,AM$57),"")=0,"",IF(MID(IFERROR(INDEX(醫師週班表!$C$5:$T$44,$CU28,AM$57),""),2,1)="/",MID(IFERROR(INDEX(醫師週班表!$C$5:$T$44,$CU28,AM$57),""),1+AM$58*2,1),IF(MID(IFERROR(INDEX(醫師週班表!$C$5:$T$44,$CU28,AM$57),""),3,1)="隔",IF(AM$58=0,LEFT(IFERROR(INDEX(醫師週班表!$C$5:$T$44,$CU28,AM$57),""),1),""),IF(MID(IFERROR(INDEX(醫師週班表!$C$5:$T$44,$CU28,AM$57),""),2,1)="(",LEFT(IFERROR(INDEX(醫師週班表!$C$5:$T$44,$CU28,AM$57),""),1),IFERROR(INDEX(醫師週班表!$C$5:$T$44,$CU28,AM$57),"")))))))</f>
        <v/>
      </c>
      <c r="AN28" s="72">
        <f>IF(AN$59="X","",IF(AN$59&lt;&gt;"",AN$59,IF(IFERROR(INDEX(醫師週班表!$C$5:$T$44,$CU28,AN$57),"")=0,"",IF(MID(IFERROR(INDEX(醫師週班表!$C$5:$T$44,$CU28,AN$57),""),2,1)="/",MID(IFERROR(INDEX(醫師週班表!$C$5:$T$44,$CU28,AN$57),""),1+AN$58*2,1),IF(MID(IFERROR(INDEX(醫師週班表!$C$5:$T$44,$CU28,AN$57),""),3,1)="隔",IF(AN$58=0,LEFT(IFERROR(INDEX(醫師週班表!$C$5:$T$44,$CU28,AN$57),""),1),""),IF(MID(IFERROR(INDEX(醫師週班表!$C$5:$T$44,$CU28,AN$57),""),2,1)="(",LEFT(IFERROR(INDEX(醫師週班表!$C$5:$T$44,$CU28,AN$57),""),1),IFERROR(INDEX(醫師週班表!$C$5:$T$44,$CU28,AN$57),"")))))))</f>
        <v/>
      </c>
      <c r="AO28" s="71">
        <f>IF(AO$59="X","",IF(AO$59&lt;&gt;"",AO$59,IF(IFERROR(INDEX(醫師週班表!$C$5:$T$44,$CU28,AO$57),"")=0,"",IF(MID(IFERROR(INDEX(醫師週班表!$C$5:$T$44,$CU28,AO$57),""),2,1)="/",MID(IFERROR(INDEX(醫師週班表!$C$5:$T$44,$CU28,AO$57),""),1+AO$58*2,1),IF(MID(IFERROR(INDEX(醫師週班表!$C$5:$T$44,$CU28,AO$57),""),3,1)="隔",IF(AO$58=0,LEFT(IFERROR(INDEX(醫師週班表!$C$5:$T$44,$CU28,AO$57),""),1),""),IF(MID(IFERROR(INDEX(醫師週班表!$C$5:$T$44,$CU28,AO$57),""),2,1)="(",LEFT(IFERROR(INDEX(醫師週班表!$C$5:$T$44,$CU28,AO$57),""),1),IFERROR(INDEX(醫師週班表!$C$5:$T$44,$CU28,AO$57),"")))))))</f>
        <v/>
      </c>
      <c r="AP28" s="72">
        <f>IF(AP$59="X","",IF(AP$59&lt;&gt;"",AP$59,IF(IFERROR(INDEX(醫師週班表!$C$5:$T$44,$CU28,AP$57),"")=0,"",IF(MID(IFERROR(INDEX(醫師週班表!$C$5:$T$44,$CU28,AP$57),""),2,1)="/",MID(IFERROR(INDEX(醫師週班表!$C$5:$T$44,$CU28,AP$57),""),1+AP$58*2,1),IF(MID(IFERROR(INDEX(醫師週班表!$C$5:$T$44,$CU28,AP$57),""),3,1)="隔",IF(AP$58=0,LEFT(IFERROR(INDEX(醫師週班表!$C$5:$T$44,$CU28,AP$57),""),1),""),IF(MID(IFERROR(INDEX(醫師週班表!$C$5:$T$44,$CU28,AP$57),""),2,1)="(",LEFT(IFERROR(INDEX(醫師週班表!$C$5:$T$44,$CU28,AP$57),""),1),IFERROR(INDEX(醫師週班表!$C$5:$T$44,$CU28,AP$57),"")))))))</f>
        <v/>
      </c>
      <c r="AQ28" s="72">
        <f>IF(AQ$59="X","",IF(AQ$59&lt;&gt;"",AQ$59,IF(IFERROR(INDEX(醫師週班表!$C$5:$T$44,$CU28,AQ$57),"")=0,"",IF(MID(IFERROR(INDEX(醫師週班表!$C$5:$T$44,$CU28,AQ$57),""),2,1)="/",MID(IFERROR(INDEX(醫師週班表!$C$5:$T$44,$CU28,AQ$57),""),1+AQ$58*2,1),IF(MID(IFERROR(INDEX(醫師週班表!$C$5:$T$44,$CU28,AQ$57),""),3,1)="隔",IF(AQ$58=0,LEFT(IFERROR(INDEX(醫師週班表!$C$5:$T$44,$CU28,AQ$57),""),1),""),IF(MID(IFERROR(INDEX(醫師週班表!$C$5:$T$44,$CU28,AQ$57),""),2,1)="(",LEFT(IFERROR(INDEX(醫師週班表!$C$5:$T$44,$CU28,AQ$57),""),1),IFERROR(INDEX(醫師週班表!$C$5:$T$44,$CU28,AQ$57),"")))))))</f>
        <v/>
      </c>
      <c r="AR28" s="71">
        <f>IF(AR$59="X","",IF(AR$59&lt;&gt;"",AR$59,IF(IFERROR(INDEX(醫師週班表!$C$5:$T$44,$CU28,AR$57),"")=0,"",IF(MID(IFERROR(INDEX(醫師週班表!$C$5:$T$44,$CU28,AR$57),""),2,1)="/",MID(IFERROR(INDEX(醫師週班表!$C$5:$T$44,$CU28,AR$57),""),1+AR$58*2,1),IF(MID(IFERROR(INDEX(醫師週班表!$C$5:$T$44,$CU28,AR$57),""),3,1)="隔",IF(AR$58=0,LEFT(IFERROR(INDEX(醫師週班表!$C$5:$T$44,$CU28,AR$57),""),1),""),IF(MID(IFERROR(INDEX(醫師週班表!$C$5:$T$44,$CU28,AR$57),""),2,1)="(",LEFT(IFERROR(INDEX(醫師週班表!$C$5:$T$44,$CU28,AR$57),""),1),IFERROR(INDEX(醫師週班表!$C$5:$T$44,$CU28,AR$57),"")))))))</f>
        <v/>
      </c>
      <c r="AS28" s="72">
        <f>IF(AS$59="X","",IF(AS$59&lt;&gt;"",AS$59,IF(IFERROR(INDEX(醫師週班表!$C$5:$T$44,$CU28,AS$57),"")=0,"",IF(MID(IFERROR(INDEX(醫師週班表!$C$5:$T$44,$CU28,AS$57),""),2,1)="/",MID(IFERROR(INDEX(醫師週班表!$C$5:$T$44,$CU28,AS$57),""),1+AS$58*2,1),IF(MID(IFERROR(INDEX(醫師週班表!$C$5:$T$44,$CU28,AS$57),""),3,1)="隔",IF(AS$58=0,LEFT(IFERROR(INDEX(醫師週班表!$C$5:$T$44,$CU28,AS$57),""),1),""),IF(MID(IFERROR(INDEX(醫師週班表!$C$5:$T$44,$CU28,AS$57),""),2,1)="(",LEFT(IFERROR(INDEX(醫師週班表!$C$5:$T$44,$CU28,AS$57),""),1),IFERROR(INDEX(醫師週班表!$C$5:$T$44,$CU28,AS$57),"")))))))</f>
        <v/>
      </c>
      <c r="AT28" s="72">
        <f>IF(AT$59="X","",IF(AT$59&lt;&gt;"",AT$59,IF(IFERROR(INDEX(醫師週班表!$C$5:$T$44,$CU28,AT$57),"")=0,"",IF(MID(IFERROR(INDEX(醫師週班表!$C$5:$T$44,$CU28,AT$57),""),2,1)="/",MID(IFERROR(INDEX(醫師週班表!$C$5:$T$44,$CU28,AT$57),""),1+AT$58*2,1),IF(MID(IFERROR(INDEX(醫師週班表!$C$5:$T$44,$CU28,AT$57),""),3,1)="隔",IF(AT$58=0,LEFT(IFERROR(INDEX(醫師週班表!$C$5:$T$44,$CU28,AT$57),""),1),""),IF(MID(IFERROR(INDEX(醫師週班表!$C$5:$T$44,$CU28,AT$57),""),2,1)="(",LEFT(IFERROR(INDEX(醫師週班表!$C$5:$T$44,$CU28,AT$57),""),1),IFERROR(INDEX(醫師週班表!$C$5:$T$44,$CU28,AT$57),"")))))))</f>
        <v/>
      </c>
      <c r="AU28" s="71">
        <f>IF(AU$59="X","",IF(AU$59&lt;&gt;"",AU$59,IF(IFERROR(INDEX(醫師週班表!$C$5:$T$44,$CU28,AU$57),"")=0,"",IF(MID(IFERROR(INDEX(醫師週班表!$C$5:$T$44,$CU28,AU$57),""),2,1)="/",MID(IFERROR(INDEX(醫師週班表!$C$5:$T$44,$CU28,AU$57),""),1+AU$58*2,1),IF(MID(IFERROR(INDEX(醫師週班表!$C$5:$T$44,$CU28,AU$57),""),3,1)="隔",IF(AU$58=0,LEFT(IFERROR(INDEX(醫師週班表!$C$5:$T$44,$CU28,AU$57),""),1),""),IF(MID(IFERROR(INDEX(醫師週班表!$C$5:$T$44,$CU28,AU$57),""),2,1)="(",LEFT(IFERROR(INDEX(醫師週班表!$C$5:$T$44,$CU28,AU$57),""),1),IFERROR(INDEX(醫師週班表!$C$5:$T$44,$CU28,AU$57),"")))))))</f>
        <v/>
      </c>
      <c r="AV28" s="72">
        <f>IF(AV$59="X","",IF(AV$59&lt;&gt;"",AV$59,IF(IFERROR(INDEX(醫師週班表!$C$5:$T$44,$CU28,AV$57),"")=0,"",IF(MID(IFERROR(INDEX(醫師週班表!$C$5:$T$44,$CU28,AV$57),""),2,1)="/",MID(IFERROR(INDEX(醫師週班表!$C$5:$T$44,$CU28,AV$57),""),1+AV$58*2,1),IF(MID(IFERROR(INDEX(醫師週班表!$C$5:$T$44,$CU28,AV$57),""),3,1)="隔",IF(AV$58=0,LEFT(IFERROR(INDEX(醫師週班表!$C$5:$T$44,$CU28,AV$57),""),1),""),IF(MID(IFERROR(INDEX(醫師週班表!$C$5:$T$44,$CU28,AV$57),""),2,1)="(",LEFT(IFERROR(INDEX(醫師週班表!$C$5:$T$44,$CU28,AV$57),""),1),IFERROR(INDEX(醫師週班表!$C$5:$T$44,$CU28,AV$57),"")))))))</f>
        <v/>
      </c>
      <c r="AW28" s="72">
        <f>IF(AW$59="X","",IF(AW$59&lt;&gt;"",AW$59,IF(IFERROR(INDEX(醫師週班表!$C$5:$T$44,$CU28,AW$57),"")=0,"",IF(MID(IFERROR(INDEX(醫師週班表!$C$5:$T$44,$CU28,AW$57),""),2,1)="/",MID(IFERROR(INDEX(醫師週班表!$C$5:$T$44,$CU28,AW$57),""),1+AW$58*2,1),IF(MID(IFERROR(INDEX(醫師週班表!$C$5:$T$44,$CU28,AW$57),""),3,1)="隔",IF(AW$58=0,LEFT(IFERROR(INDEX(醫師週班表!$C$5:$T$44,$CU28,AW$57),""),1),""),IF(MID(IFERROR(INDEX(醫師週班表!$C$5:$T$44,$CU28,AW$57),""),2,1)="(",LEFT(IFERROR(INDEX(醫師週班表!$C$5:$T$44,$CU28,AW$57),""),1),IFERROR(INDEX(醫師週班表!$C$5:$T$44,$CU28,AW$57),"")))))))</f>
        <v/>
      </c>
      <c r="AX28" s="71">
        <f>IF(AX$59="X","",IF(AX$59&lt;&gt;"",AX$59,IF(IFERROR(INDEX(醫師週班表!$C$5:$T$44,$CU28,AX$57),"")=0,"",IF(MID(IFERROR(INDEX(醫師週班表!$C$5:$T$44,$CU28,AX$57),""),2,1)="/",MID(IFERROR(INDEX(醫師週班表!$C$5:$T$44,$CU28,AX$57),""),1+AX$58*2,1),IF(MID(IFERROR(INDEX(醫師週班表!$C$5:$T$44,$CU28,AX$57),""),3,1)="隔",IF(AX$58=0,LEFT(IFERROR(INDEX(醫師週班表!$C$5:$T$44,$CU28,AX$57),""),1),""),IF(MID(IFERROR(INDEX(醫師週班表!$C$5:$T$44,$CU28,AX$57),""),2,1)="(",LEFT(IFERROR(INDEX(醫師週班表!$C$5:$T$44,$CU28,AX$57),""),1),IFERROR(INDEX(醫師週班表!$C$5:$T$44,$CU28,AX$57),"")))))))</f>
        <v/>
      </c>
      <c r="AY28" s="72">
        <f>IF(AY$59="X","",IF(AY$59&lt;&gt;"",AY$59,IF(IFERROR(INDEX(醫師週班表!$C$5:$T$44,$CU28,AY$57),"")=0,"",IF(MID(IFERROR(INDEX(醫師週班表!$C$5:$T$44,$CU28,AY$57),""),2,1)="/",MID(IFERROR(INDEX(醫師週班表!$C$5:$T$44,$CU28,AY$57),""),1+AY$58*2,1),IF(MID(IFERROR(INDEX(醫師週班表!$C$5:$T$44,$CU28,AY$57),""),3,1)="隔",IF(AY$58=0,LEFT(IFERROR(INDEX(醫師週班表!$C$5:$T$44,$CU28,AY$57),""),1),""),IF(MID(IFERROR(INDEX(醫師週班表!$C$5:$T$44,$CU28,AY$57),""),2,1)="(",LEFT(IFERROR(INDEX(醫師週班表!$C$5:$T$44,$CU28,AY$57),""),1),IFERROR(INDEX(醫師週班表!$C$5:$T$44,$CU28,AY$57),"")))))))</f>
        <v/>
      </c>
      <c r="AZ28" s="72">
        <f>IF(AZ$59="X","",IF(AZ$59&lt;&gt;"",AZ$59,IF(IFERROR(INDEX(醫師週班表!$C$5:$T$44,$CU28,AZ$57),"")=0,"",IF(MID(IFERROR(INDEX(醫師週班表!$C$5:$T$44,$CU28,AZ$57),""),2,1)="/",MID(IFERROR(INDEX(醫師週班表!$C$5:$T$44,$CU28,AZ$57),""),1+AZ$58*2,1),IF(MID(IFERROR(INDEX(醫師週班表!$C$5:$T$44,$CU28,AZ$57),""),3,1)="隔",IF(AZ$58=0,LEFT(IFERROR(INDEX(醫師週班表!$C$5:$T$44,$CU28,AZ$57),""),1),""),IF(MID(IFERROR(INDEX(醫師週班表!$C$5:$T$44,$CU28,AZ$57),""),2,1)="(",LEFT(IFERROR(INDEX(醫師週班表!$C$5:$T$44,$CU28,AZ$57),""),1),IFERROR(INDEX(醫師週班表!$C$5:$T$44,$CU28,AZ$57),"")))))))</f>
        <v/>
      </c>
      <c r="BA28" s="71">
        <f>IF(BA$59="X","",IF(BA$59&lt;&gt;"",BA$59,IF(IFERROR(INDEX(醫師週班表!$C$5:$T$44,$CU28,BA$57),"")=0,"",IF(MID(IFERROR(INDEX(醫師週班表!$C$5:$T$44,$CU28,BA$57),""),2,1)="/",MID(IFERROR(INDEX(醫師週班表!$C$5:$T$44,$CU28,BA$57),""),1+BA$58*2,1),IF(MID(IFERROR(INDEX(醫師週班表!$C$5:$T$44,$CU28,BA$57),""),3,1)="隔",IF(BA$58=0,LEFT(IFERROR(INDEX(醫師週班表!$C$5:$T$44,$CU28,BA$57),""),1),""),IF(MID(IFERROR(INDEX(醫師週班表!$C$5:$T$44,$CU28,BA$57),""),2,1)="(",LEFT(IFERROR(INDEX(醫師週班表!$C$5:$T$44,$CU28,BA$57),""),1),IFERROR(INDEX(醫師週班表!$C$5:$T$44,$CU28,BA$57),"")))))))</f>
        <v/>
      </c>
      <c r="BB28" s="72">
        <f>IF(BB$59="X","",IF(BB$59&lt;&gt;"",BB$59,IF(IFERROR(INDEX(醫師週班表!$C$5:$T$44,$CU28,BB$57),"")=0,"",IF(MID(IFERROR(INDEX(醫師週班表!$C$5:$T$44,$CU28,BB$57),""),2,1)="/",MID(IFERROR(INDEX(醫師週班表!$C$5:$T$44,$CU28,BB$57),""),1+BB$58*2,1),IF(MID(IFERROR(INDEX(醫師週班表!$C$5:$T$44,$CU28,BB$57),""),3,1)="隔",IF(BB$58=0,LEFT(IFERROR(INDEX(醫師週班表!$C$5:$T$44,$CU28,BB$57),""),1),""),IF(MID(IFERROR(INDEX(醫師週班表!$C$5:$T$44,$CU28,BB$57),""),2,1)="(",LEFT(IFERROR(INDEX(醫師週班表!$C$5:$T$44,$CU28,BB$57),""),1),IFERROR(INDEX(醫師週班表!$C$5:$T$44,$CU28,BB$57),"")))))))</f>
        <v/>
      </c>
      <c r="BC28" s="72">
        <f>IF(BC$59="X","",IF(BC$59&lt;&gt;"",BC$59,IF(IFERROR(INDEX(醫師週班表!$C$5:$T$44,$CU28,BC$57),"")=0,"",IF(MID(IFERROR(INDEX(醫師週班表!$C$5:$T$44,$CU28,BC$57),""),2,1)="/",MID(IFERROR(INDEX(醫師週班表!$C$5:$T$44,$CU28,BC$57),""),1+BC$58*2,1),IF(MID(IFERROR(INDEX(醫師週班表!$C$5:$T$44,$CU28,BC$57),""),3,1)="隔",IF(BC$58=0,LEFT(IFERROR(INDEX(醫師週班表!$C$5:$T$44,$CU28,BC$57),""),1),""),IF(MID(IFERROR(INDEX(醫師週班表!$C$5:$T$44,$CU28,BC$57),""),2,1)="(",LEFT(IFERROR(INDEX(醫師週班表!$C$5:$T$44,$CU28,BC$57),""),1),IFERROR(INDEX(醫師週班表!$C$5:$T$44,$CU28,BC$57),"")))))))</f>
        <v/>
      </c>
      <c r="BD28" s="71">
        <f>IF(BD$59="X","",IF(BD$59&lt;&gt;"",BD$59,IF(IFERROR(INDEX(醫師週班表!$C$5:$T$44,$CU28,BD$57),"")=0,"",IF(MID(IFERROR(INDEX(醫師週班表!$C$5:$T$44,$CU28,BD$57),""),2,1)="/",MID(IFERROR(INDEX(醫師週班表!$C$5:$T$44,$CU28,BD$57),""),1+BD$58*2,1),IF(MID(IFERROR(INDEX(醫師週班表!$C$5:$T$44,$CU28,BD$57),""),3,1)="隔",IF(BD$58=0,LEFT(IFERROR(INDEX(醫師週班表!$C$5:$T$44,$CU28,BD$57),""),1),""),IF(MID(IFERROR(INDEX(醫師週班表!$C$5:$T$44,$CU28,BD$57),""),2,1)="(",LEFT(IFERROR(INDEX(醫師週班表!$C$5:$T$44,$CU28,BD$57),""),1),IFERROR(INDEX(醫師週班表!$C$5:$T$44,$CU28,BD$57),"")))))))</f>
        <v/>
      </c>
      <c r="BE28" s="72">
        <f>IF(BE$59="X","",IF(BE$59&lt;&gt;"",BE$59,IF(IFERROR(INDEX(醫師週班表!$C$5:$T$44,$CU28,BE$57),"")=0,"",IF(MID(IFERROR(INDEX(醫師週班表!$C$5:$T$44,$CU28,BE$57),""),2,1)="/",MID(IFERROR(INDEX(醫師週班表!$C$5:$T$44,$CU28,BE$57),""),1+BE$58*2,1),IF(MID(IFERROR(INDEX(醫師週班表!$C$5:$T$44,$CU28,BE$57),""),3,1)="隔",IF(BE$58=0,LEFT(IFERROR(INDEX(醫師週班表!$C$5:$T$44,$CU28,BE$57),""),1),""),IF(MID(IFERROR(INDEX(醫師週班表!$C$5:$T$44,$CU28,BE$57),""),2,1)="(",LEFT(IFERROR(INDEX(醫師週班表!$C$5:$T$44,$CU28,BE$57),""),1),IFERROR(INDEX(醫師週班表!$C$5:$T$44,$CU28,BE$57),"")))))))</f>
        <v/>
      </c>
      <c r="BF28" s="72">
        <f>IF(BF$59="X","",IF(BF$59&lt;&gt;"",BF$59,IF(IFERROR(INDEX(醫師週班表!$C$5:$T$44,$CU28,BF$57),"")=0,"",IF(MID(IFERROR(INDEX(醫師週班表!$C$5:$T$44,$CU28,BF$57),""),2,1)="/",MID(IFERROR(INDEX(醫師週班表!$C$5:$T$44,$CU28,BF$57),""),1+BF$58*2,1),IF(MID(IFERROR(INDEX(醫師週班表!$C$5:$T$44,$CU28,BF$57),""),3,1)="隔",IF(BF$58=0,LEFT(IFERROR(INDEX(醫師週班表!$C$5:$T$44,$CU28,BF$57),""),1),""),IF(MID(IFERROR(INDEX(醫師週班表!$C$5:$T$44,$CU28,BF$57),""),2,1)="(",LEFT(IFERROR(INDEX(醫師週班表!$C$5:$T$44,$CU28,BF$57),""),1),IFERROR(INDEX(醫師週班表!$C$5:$T$44,$CU28,BF$57),"")))))))</f>
        <v/>
      </c>
      <c r="BG28" s="71">
        <f>IF(BG$59="X","",IF(BG$59&lt;&gt;"",BG$59,IF(IFERROR(INDEX(醫師週班表!$C$5:$T$44,$CU28,BG$57),"")=0,"",IF(MID(IFERROR(INDEX(醫師週班表!$C$5:$T$44,$CU28,BG$57),""),2,1)="/",MID(IFERROR(INDEX(醫師週班表!$C$5:$T$44,$CU28,BG$57),""),1+BG$58*2,1),IF(MID(IFERROR(INDEX(醫師週班表!$C$5:$T$44,$CU28,BG$57),""),3,1)="隔",IF(BG$58=0,LEFT(IFERROR(INDEX(醫師週班表!$C$5:$T$44,$CU28,BG$57),""),1),""),IF(MID(IFERROR(INDEX(醫師週班表!$C$5:$T$44,$CU28,BG$57),""),2,1)="(",LEFT(IFERROR(INDEX(醫師週班表!$C$5:$T$44,$CU28,BG$57),""),1),IFERROR(INDEX(醫師週班表!$C$5:$T$44,$CU28,BG$57),"")))))))</f>
        <v/>
      </c>
      <c r="BH28" s="72">
        <f>IF(BH$59="X","",IF(BH$59&lt;&gt;"",BH$59,IF(IFERROR(INDEX(醫師週班表!$C$5:$T$44,$CU28,BH$57),"")=0,"",IF(MID(IFERROR(INDEX(醫師週班表!$C$5:$T$44,$CU28,BH$57),""),2,1)="/",MID(IFERROR(INDEX(醫師週班表!$C$5:$T$44,$CU28,BH$57),""),1+BH$58*2,1),IF(MID(IFERROR(INDEX(醫師週班表!$C$5:$T$44,$CU28,BH$57),""),3,1)="隔",IF(BH$58=0,LEFT(IFERROR(INDEX(醫師週班表!$C$5:$T$44,$CU28,BH$57),""),1),""),IF(MID(IFERROR(INDEX(醫師週班表!$C$5:$T$44,$CU28,BH$57),""),2,1)="(",LEFT(IFERROR(INDEX(醫師週班表!$C$5:$T$44,$CU28,BH$57),""),1),IFERROR(INDEX(醫師週班表!$C$5:$T$44,$CU28,BH$57),"")))))))</f>
        <v/>
      </c>
      <c r="BI28" s="72">
        <f>IF(BI$59="X","",IF(BI$59&lt;&gt;"",BI$59,IF(IFERROR(INDEX(醫師週班表!$C$5:$T$44,$CU28,BI$57),"")=0,"",IF(MID(IFERROR(INDEX(醫師週班表!$C$5:$T$44,$CU28,BI$57),""),2,1)="/",MID(IFERROR(INDEX(醫師週班表!$C$5:$T$44,$CU28,BI$57),""),1+BI$58*2,1),IF(MID(IFERROR(INDEX(醫師週班表!$C$5:$T$44,$CU28,BI$57),""),3,1)="隔",IF(BI$58=0,LEFT(IFERROR(INDEX(醫師週班表!$C$5:$T$44,$CU28,BI$57),""),1),""),IF(MID(IFERROR(INDEX(醫師週班表!$C$5:$T$44,$CU28,BI$57),""),2,1)="(",LEFT(IFERROR(INDEX(醫師週班表!$C$5:$T$44,$CU28,BI$57),""),1),IFERROR(INDEX(醫師週班表!$C$5:$T$44,$CU28,BI$57),"")))))))</f>
        <v/>
      </c>
      <c r="BJ28" s="71">
        <f>IF(BJ$59="X","",IF(BJ$59&lt;&gt;"",BJ$59,IF(IFERROR(INDEX(醫師週班表!$C$5:$T$44,$CU28,BJ$57),"")=0,"",IF(MID(IFERROR(INDEX(醫師週班表!$C$5:$T$44,$CU28,BJ$57),""),2,1)="/",MID(IFERROR(INDEX(醫師週班表!$C$5:$T$44,$CU28,BJ$57),""),1+BJ$58*2,1),IF(MID(IFERROR(INDEX(醫師週班表!$C$5:$T$44,$CU28,BJ$57),""),3,1)="隔",IF(BJ$58=0,LEFT(IFERROR(INDEX(醫師週班表!$C$5:$T$44,$CU28,BJ$57),""),1),""),IF(MID(IFERROR(INDEX(醫師週班表!$C$5:$T$44,$CU28,BJ$57),""),2,1)="(",LEFT(IFERROR(INDEX(醫師週班表!$C$5:$T$44,$CU28,BJ$57),""),1),IFERROR(INDEX(醫師週班表!$C$5:$T$44,$CU28,BJ$57),"")))))))</f>
        <v/>
      </c>
      <c r="BK28" s="72">
        <f>IF(BK$59="X","",IF(BK$59&lt;&gt;"",BK$59,IF(IFERROR(INDEX(醫師週班表!$C$5:$T$44,$CU28,BK$57),"")=0,"",IF(MID(IFERROR(INDEX(醫師週班表!$C$5:$T$44,$CU28,BK$57),""),2,1)="/",MID(IFERROR(INDEX(醫師週班表!$C$5:$T$44,$CU28,BK$57),""),1+BK$58*2,1),IF(MID(IFERROR(INDEX(醫師週班表!$C$5:$T$44,$CU28,BK$57),""),3,1)="隔",IF(BK$58=0,LEFT(IFERROR(INDEX(醫師週班表!$C$5:$T$44,$CU28,BK$57),""),1),""),IF(MID(IFERROR(INDEX(醫師週班表!$C$5:$T$44,$CU28,BK$57),""),2,1)="(",LEFT(IFERROR(INDEX(醫師週班表!$C$5:$T$44,$CU28,BK$57),""),1),IFERROR(INDEX(醫師週班表!$C$5:$T$44,$CU28,BK$57),"")))))))</f>
        <v/>
      </c>
      <c r="BL28" s="72">
        <f>IF(BL$59="X","",IF(BL$59&lt;&gt;"",BL$59,IF(IFERROR(INDEX(醫師週班表!$C$5:$T$44,$CU28,BL$57),"")=0,"",IF(MID(IFERROR(INDEX(醫師週班表!$C$5:$T$44,$CU28,BL$57),""),2,1)="/",MID(IFERROR(INDEX(醫師週班表!$C$5:$T$44,$CU28,BL$57),""),1+BL$58*2,1),IF(MID(IFERROR(INDEX(醫師週班表!$C$5:$T$44,$CU28,BL$57),""),3,1)="隔",IF(BL$58=0,LEFT(IFERROR(INDEX(醫師週班表!$C$5:$T$44,$CU28,BL$57),""),1),""),IF(MID(IFERROR(INDEX(醫師週班表!$C$5:$T$44,$CU28,BL$57),""),2,1)="(",LEFT(IFERROR(INDEX(醫師週班表!$C$5:$T$44,$CU28,BL$57),""),1),IFERROR(INDEX(醫師週班表!$C$5:$T$44,$CU28,BL$57),"")))))))</f>
        <v/>
      </c>
      <c r="BM28" s="71">
        <f>IF(BM$59="X","",IF(BM$59&lt;&gt;"",BM$59,IF(IFERROR(INDEX(醫師週班表!$C$5:$T$44,$CU28,BM$57),"")=0,"",IF(MID(IFERROR(INDEX(醫師週班表!$C$5:$T$44,$CU28,BM$57),""),2,1)="/",MID(IFERROR(INDEX(醫師週班表!$C$5:$T$44,$CU28,BM$57),""),1+BM$58*2,1),IF(MID(IFERROR(INDEX(醫師週班表!$C$5:$T$44,$CU28,BM$57),""),3,1)="隔",IF(BM$58=0,LEFT(IFERROR(INDEX(醫師週班表!$C$5:$T$44,$CU28,BM$57),""),1),""),IF(MID(IFERROR(INDEX(醫師週班表!$C$5:$T$44,$CU28,BM$57),""),2,1)="(",LEFT(IFERROR(INDEX(醫師週班表!$C$5:$T$44,$CU28,BM$57),""),1),IFERROR(INDEX(醫師週班表!$C$5:$T$44,$CU28,BM$57),"")))))))</f>
        <v/>
      </c>
      <c r="BN28" s="72">
        <f>IF(BN$59="X","",IF(BN$59&lt;&gt;"",BN$59,IF(IFERROR(INDEX(醫師週班表!$C$5:$T$44,$CU28,BN$57),"")=0,"",IF(MID(IFERROR(INDEX(醫師週班表!$C$5:$T$44,$CU28,BN$57),""),2,1)="/",MID(IFERROR(INDEX(醫師週班表!$C$5:$T$44,$CU28,BN$57),""),1+BN$58*2,1),IF(MID(IFERROR(INDEX(醫師週班表!$C$5:$T$44,$CU28,BN$57),""),3,1)="隔",IF(BN$58=0,LEFT(IFERROR(INDEX(醫師週班表!$C$5:$T$44,$CU28,BN$57),""),1),""),IF(MID(IFERROR(INDEX(醫師週班表!$C$5:$T$44,$CU28,BN$57),""),2,1)="(",LEFT(IFERROR(INDEX(醫師週班表!$C$5:$T$44,$CU28,BN$57),""),1),IFERROR(INDEX(醫師週班表!$C$5:$T$44,$CU28,BN$57),"")))))))</f>
        <v/>
      </c>
      <c r="BO28" s="72">
        <f>IF(BO$59="X","",IF(BO$59&lt;&gt;"",BO$59,IF(IFERROR(INDEX(醫師週班表!$C$5:$T$44,$CU28,BO$57),"")=0,"",IF(MID(IFERROR(INDEX(醫師週班表!$C$5:$T$44,$CU28,BO$57),""),2,1)="/",MID(IFERROR(INDEX(醫師週班表!$C$5:$T$44,$CU28,BO$57),""),1+BO$58*2,1),IF(MID(IFERROR(INDEX(醫師週班表!$C$5:$T$44,$CU28,BO$57),""),3,1)="隔",IF(BO$58=0,LEFT(IFERROR(INDEX(醫師週班表!$C$5:$T$44,$CU28,BO$57),""),1),""),IF(MID(IFERROR(INDEX(醫師週班表!$C$5:$T$44,$CU28,BO$57),""),2,1)="(",LEFT(IFERROR(INDEX(醫師週班表!$C$5:$T$44,$CU28,BO$57),""),1),IFERROR(INDEX(醫師週班表!$C$5:$T$44,$CU28,BO$57),"")))))))</f>
        <v/>
      </c>
      <c r="BP28" s="71">
        <f>IF(BP$59="X","",IF(BP$59&lt;&gt;"",BP$59,IF(IFERROR(INDEX(醫師週班表!$C$5:$T$44,$CU28,BP$57),"")=0,"",IF(MID(IFERROR(INDEX(醫師週班表!$C$5:$T$44,$CU28,BP$57),""),2,1)="/",MID(IFERROR(INDEX(醫師週班表!$C$5:$T$44,$CU28,BP$57),""),1+BP$58*2,1),IF(MID(IFERROR(INDEX(醫師週班表!$C$5:$T$44,$CU28,BP$57),""),3,1)="隔",IF(BP$58=0,LEFT(IFERROR(INDEX(醫師週班表!$C$5:$T$44,$CU28,BP$57),""),1),""),IF(MID(IFERROR(INDEX(醫師週班表!$C$5:$T$44,$CU28,BP$57),""),2,1)="(",LEFT(IFERROR(INDEX(醫師週班表!$C$5:$T$44,$CU28,BP$57),""),1),IFERROR(INDEX(醫師週班表!$C$5:$T$44,$CU28,BP$57),"")))))))</f>
        <v/>
      </c>
      <c r="BQ28" s="72">
        <f>IF(BQ$59="X","",IF(BQ$59&lt;&gt;"",BQ$59,IF(IFERROR(INDEX(醫師週班表!$C$5:$T$44,$CU28,BQ$57),"")=0,"",IF(MID(IFERROR(INDEX(醫師週班表!$C$5:$T$44,$CU28,BQ$57),""),2,1)="/",MID(IFERROR(INDEX(醫師週班表!$C$5:$T$44,$CU28,BQ$57),""),1+BQ$58*2,1),IF(MID(IFERROR(INDEX(醫師週班表!$C$5:$T$44,$CU28,BQ$57),""),3,1)="隔",IF(BQ$58=0,LEFT(IFERROR(INDEX(醫師週班表!$C$5:$T$44,$CU28,BQ$57),""),1),""),IF(MID(IFERROR(INDEX(醫師週班表!$C$5:$T$44,$CU28,BQ$57),""),2,1)="(",LEFT(IFERROR(INDEX(醫師週班表!$C$5:$T$44,$CU28,BQ$57),""),1),IFERROR(INDEX(醫師週班表!$C$5:$T$44,$CU28,BQ$57),"")))))))</f>
        <v/>
      </c>
      <c r="BR28" s="72">
        <f>IF(BR$59="X","",IF(BR$59&lt;&gt;"",BR$59,IF(IFERROR(INDEX(醫師週班表!$C$5:$T$44,$CU28,BR$57),"")=0,"",IF(MID(IFERROR(INDEX(醫師週班表!$C$5:$T$44,$CU28,BR$57),""),2,1)="/",MID(IFERROR(INDEX(醫師週班表!$C$5:$T$44,$CU28,BR$57),""),1+BR$58*2,1),IF(MID(IFERROR(INDEX(醫師週班表!$C$5:$T$44,$CU28,BR$57),""),3,1)="隔",IF(BR$58=0,LEFT(IFERROR(INDEX(醫師週班表!$C$5:$T$44,$CU28,BR$57),""),1),""),IF(MID(IFERROR(INDEX(醫師週班表!$C$5:$T$44,$CU28,BR$57),""),2,1)="(",LEFT(IFERROR(INDEX(醫師週班表!$C$5:$T$44,$CU28,BR$57),""),1),IFERROR(INDEX(醫師週班表!$C$5:$T$44,$CU28,BR$57),"")))))))</f>
        <v/>
      </c>
      <c r="BS28" s="71">
        <f>IF(BS$59="X","",IF(BS$59&lt;&gt;"",BS$59,IF(IFERROR(INDEX(醫師週班表!$C$5:$T$44,$CU28,BS$57),"")=0,"",IF(MID(IFERROR(INDEX(醫師週班表!$C$5:$T$44,$CU28,BS$57),""),2,1)="/",MID(IFERROR(INDEX(醫師週班表!$C$5:$T$44,$CU28,BS$57),""),1+BS$58*2,1),IF(MID(IFERROR(INDEX(醫師週班表!$C$5:$T$44,$CU28,BS$57),""),3,1)="隔",IF(BS$58=0,LEFT(IFERROR(INDEX(醫師週班表!$C$5:$T$44,$CU28,BS$57),""),1),""),IF(MID(IFERROR(INDEX(醫師週班表!$C$5:$T$44,$CU28,BS$57),""),2,1)="(",LEFT(IFERROR(INDEX(醫師週班表!$C$5:$T$44,$CU28,BS$57),""),1),IFERROR(INDEX(醫師週班表!$C$5:$T$44,$CU28,BS$57),"")))))))</f>
        <v/>
      </c>
      <c r="BT28" s="72">
        <f>IF(BT$59="X","",IF(BT$59&lt;&gt;"",BT$59,IF(IFERROR(INDEX(醫師週班表!$C$5:$T$44,$CU28,BT$57),"")=0,"",IF(MID(IFERROR(INDEX(醫師週班表!$C$5:$T$44,$CU28,BT$57),""),2,1)="/",MID(IFERROR(INDEX(醫師週班表!$C$5:$T$44,$CU28,BT$57),""),1+BT$58*2,1),IF(MID(IFERROR(INDEX(醫師週班表!$C$5:$T$44,$CU28,BT$57),""),3,1)="隔",IF(BT$58=0,LEFT(IFERROR(INDEX(醫師週班表!$C$5:$T$44,$CU28,BT$57),""),1),""),IF(MID(IFERROR(INDEX(醫師週班表!$C$5:$T$44,$CU28,BT$57),""),2,1)="(",LEFT(IFERROR(INDEX(醫師週班表!$C$5:$T$44,$CU28,BT$57),""),1),IFERROR(INDEX(醫師週班表!$C$5:$T$44,$CU28,BT$57),"")))))))</f>
        <v/>
      </c>
      <c r="BU28" s="72">
        <f>IF(BU$59="X","",IF(BU$59&lt;&gt;"",BU$59,IF(IFERROR(INDEX(醫師週班表!$C$5:$T$44,$CU28,BU$57),"")=0,"",IF(MID(IFERROR(INDEX(醫師週班表!$C$5:$T$44,$CU28,BU$57),""),2,1)="/",MID(IFERROR(INDEX(醫師週班表!$C$5:$T$44,$CU28,BU$57),""),1+BU$58*2,1),IF(MID(IFERROR(INDEX(醫師週班表!$C$5:$T$44,$CU28,BU$57),""),3,1)="隔",IF(BU$58=0,LEFT(IFERROR(INDEX(醫師週班表!$C$5:$T$44,$CU28,BU$57),""),1),""),IF(MID(IFERROR(INDEX(醫師週班表!$C$5:$T$44,$CU28,BU$57),""),2,1)="(",LEFT(IFERROR(INDEX(醫師週班表!$C$5:$T$44,$CU28,BU$57),""),1),IFERROR(INDEX(醫師週班表!$C$5:$T$44,$CU28,BU$57),"")))))))</f>
        <v/>
      </c>
      <c r="BV28" s="71">
        <f>IF(BV$59="X","",IF(BV$59&lt;&gt;"",BV$59,IF(IFERROR(INDEX(醫師週班表!$C$5:$T$44,$CU28,BV$57),"")=0,"",IF(MID(IFERROR(INDEX(醫師週班表!$C$5:$T$44,$CU28,BV$57),""),2,1)="/",MID(IFERROR(INDEX(醫師週班表!$C$5:$T$44,$CU28,BV$57),""),1+BV$58*2,1),IF(MID(IFERROR(INDEX(醫師週班表!$C$5:$T$44,$CU28,BV$57),""),3,1)="隔",IF(BV$58=0,LEFT(IFERROR(INDEX(醫師週班表!$C$5:$T$44,$CU28,BV$57),""),1),""),IF(MID(IFERROR(INDEX(醫師週班表!$C$5:$T$44,$CU28,BV$57),""),2,1)="(",LEFT(IFERROR(INDEX(醫師週班表!$C$5:$T$44,$CU28,BV$57),""),1),IFERROR(INDEX(醫師週班表!$C$5:$T$44,$CU28,BV$57),"")))))))</f>
        <v/>
      </c>
      <c r="BW28" s="72">
        <f>IF(BW$59="X","",IF(BW$59&lt;&gt;"",BW$59,IF(IFERROR(INDEX(醫師週班表!$C$5:$T$44,$CU28,BW$57),"")=0,"",IF(MID(IFERROR(INDEX(醫師週班表!$C$5:$T$44,$CU28,BW$57),""),2,1)="/",MID(IFERROR(INDEX(醫師週班表!$C$5:$T$44,$CU28,BW$57),""),1+BW$58*2,1),IF(MID(IFERROR(INDEX(醫師週班表!$C$5:$T$44,$CU28,BW$57),""),3,1)="隔",IF(BW$58=0,LEFT(IFERROR(INDEX(醫師週班表!$C$5:$T$44,$CU28,BW$57),""),1),""),IF(MID(IFERROR(INDEX(醫師週班表!$C$5:$T$44,$CU28,BW$57),""),2,1)="(",LEFT(IFERROR(INDEX(醫師週班表!$C$5:$T$44,$CU28,BW$57),""),1),IFERROR(INDEX(醫師週班表!$C$5:$T$44,$CU28,BW$57),"")))))))</f>
        <v/>
      </c>
      <c r="BX28" s="72">
        <f>IF(BX$59="X","",IF(BX$59&lt;&gt;"",BX$59,IF(IFERROR(INDEX(醫師週班表!$C$5:$T$44,$CU28,BX$57),"")=0,"",IF(MID(IFERROR(INDEX(醫師週班表!$C$5:$T$44,$CU28,BX$57),""),2,1)="/",MID(IFERROR(INDEX(醫師週班表!$C$5:$T$44,$CU28,BX$57),""),1+BX$58*2,1),IF(MID(IFERROR(INDEX(醫師週班表!$C$5:$T$44,$CU28,BX$57),""),3,1)="隔",IF(BX$58=0,LEFT(IFERROR(INDEX(醫師週班表!$C$5:$T$44,$CU28,BX$57),""),1),""),IF(MID(IFERROR(INDEX(醫師週班表!$C$5:$T$44,$CU28,BX$57),""),2,1)="(",LEFT(IFERROR(INDEX(醫師週班表!$C$5:$T$44,$CU28,BX$57),""),1),IFERROR(INDEX(醫師週班表!$C$5:$T$44,$CU28,BX$57),"")))))))</f>
        <v/>
      </c>
      <c r="BY28" s="71">
        <f>IF(BY$59="X","",IF(BY$59&lt;&gt;"",BY$59,IF(IFERROR(INDEX(醫師週班表!$C$5:$T$44,$CU28,BY$57),"")=0,"",IF(MID(IFERROR(INDEX(醫師週班表!$C$5:$T$44,$CU28,BY$57),""),2,1)="/",MID(IFERROR(INDEX(醫師週班表!$C$5:$T$44,$CU28,BY$57),""),1+BY$58*2,1),IF(MID(IFERROR(INDEX(醫師週班表!$C$5:$T$44,$CU28,BY$57),""),3,1)="隔",IF(BY$58=0,LEFT(IFERROR(INDEX(醫師週班表!$C$5:$T$44,$CU28,BY$57),""),1),""),IF(MID(IFERROR(INDEX(醫師週班表!$C$5:$T$44,$CU28,BY$57),""),2,1)="(",LEFT(IFERROR(INDEX(醫師週班表!$C$5:$T$44,$CU28,BY$57),""),1),IFERROR(INDEX(醫師週班表!$C$5:$T$44,$CU28,BY$57),"")))))))</f>
        <v/>
      </c>
      <c r="BZ28" s="72">
        <f>IF(BZ$59="X","",IF(BZ$59&lt;&gt;"",BZ$59,IF(IFERROR(INDEX(醫師週班表!$C$5:$T$44,$CU28,BZ$57),"")=0,"",IF(MID(IFERROR(INDEX(醫師週班表!$C$5:$T$44,$CU28,BZ$57),""),2,1)="/",MID(IFERROR(INDEX(醫師週班表!$C$5:$T$44,$CU28,BZ$57),""),1+BZ$58*2,1),IF(MID(IFERROR(INDEX(醫師週班表!$C$5:$T$44,$CU28,BZ$57),""),3,1)="隔",IF(BZ$58=0,LEFT(IFERROR(INDEX(醫師週班表!$C$5:$T$44,$CU28,BZ$57),""),1),""),IF(MID(IFERROR(INDEX(醫師週班表!$C$5:$T$44,$CU28,BZ$57),""),2,1)="(",LEFT(IFERROR(INDEX(醫師週班表!$C$5:$T$44,$CU28,BZ$57),""),1),IFERROR(INDEX(醫師週班表!$C$5:$T$44,$CU28,BZ$57),"")))))))</f>
        <v/>
      </c>
      <c r="CA28" s="72">
        <f>IF(CA$59="X","",IF(CA$59&lt;&gt;"",CA$59,IF(IFERROR(INDEX(醫師週班表!$C$5:$T$44,$CU28,CA$57),"")=0,"",IF(MID(IFERROR(INDEX(醫師週班表!$C$5:$T$44,$CU28,CA$57),""),2,1)="/",MID(IFERROR(INDEX(醫師週班表!$C$5:$T$44,$CU28,CA$57),""),1+CA$58*2,1),IF(MID(IFERROR(INDEX(醫師週班表!$C$5:$T$44,$CU28,CA$57),""),3,1)="隔",IF(CA$58=0,LEFT(IFERROR(INDEX(醫師週班表!$C$5:$T$44,$CU28,CA$57),""),1),""),IF(MID(IFERROR(INDEX(醫師週班表!$C$5:$T$44,$CU28,CA$57),""),2,1)="(",LEFT(IFERROR(INDEX(醫師週班表!$C$5:$T$44,$CU28,CA$57),""),1),IFERROR(INDEX(醫師週班表!$C$5:$T$44,$CU28,CA$57),"")))))))</f>
        <v/>
      </c>
      <c r="CB28" s="71">
        <f>IF(CB$59="X","",IF(CB$59&lt;&gt;"",CB$59,IF(IFERROR(INDEX(醫師週班表!$C$5:$T$44,$CU28,CB$57),"")=0,"",IF(MID(IFERROR(INDEX(醫師週班表!$C$5:$T$44,$CU28,CB$57),""),2,1)="/",MID(IFERROR(INDEX(醫師週班表!$C$5:$T$44,$CU28,CB$57),""),1+CB$58*2,1),IF(MID(IFERROR(INDEX(醫師週班表!$C$5:$T$44,$CU28,CB$57),""),3,1)="隔",IF(CB$58=0,LEFT(IFERROR(INDEX(醫師週班表!$C$5:$T$44,$CU28,CB$57),""),1),""),IF(MID(IFERROR(INDEX(醫師週班表!$C$5:$T$44,$CU28,CB$57),""),2,1)="(",LEFT(IFERROR(INDEX(醫師週班表!$C$5:$T$44,$CU28,CB$57),""),1),IFERROR(INDEX(醫師週班表!$C$5:$T$44,$CU28,CB$57),"")))))))</f>
        <v/>
      </c>
      <c r="CC28" s="72">
        <f>IF(CC$59="X","",IF(CC$59&lt;&gt;"",CC$59,IF(IFERROR(INDEX(醫師週班表!$C$5:$T$44,$CU28,CC$57),"")=0,"",IF(MID(IFERROR(INDEX(醫師週班表!$C$5:$T$44,$CU28,CC$57),""),2,1)="/",MID(IFERROR(INDEX(醫師週班表!$C$5:$T$44,$CU28,CC$57),""),1+CC$58*2,1),IF(MID(IFERROR(INDEX(醫師週班表!$C$5:$T$44,$CU28,CC$57),""),3,1)="隔",IF(CC$58=0,LEFT(IFERROR(INDEX(醫師週班表!$C$5:$T$44,$CU28,CC$57),""),1),""),IF(MID(IFERROR(INDEX(醫師週班表!$C$5:$T$44,$CU28,CC$57),""),2,1)="(",LEFT(IFERROR(INDEX(醫師週班表!$C$5:$T$44,$CU28,CC$57),""),1),IFERROR(INDEX(醫師週班表!$C$5:$T$44,$CU28,CC$57),"")))))))</f>
        <v/>
      </c>
      <c r="CD28" s="72">
        <f>IF(CD$59="X","",IF(CD$59&lt;&gt;"",CD$59,IF(IFERROR(INDEX(醫師週班表!$C$5:$T$44,$CU28,CD$57),"")=0,"",IF(MID(IFERROR(INDEX(醫師週班表!$C$5:$T$44,$CU28,CD$57),""),2,1)="/",MID(IFERROR(INDEX(醫師週班表!$C$5:$T$44,$CU28,CD$57),""),1+CD$58*2,1),IF(MID(IFERROR(INDEX(醫師週班表!$C$5:$T$44,$CU28,CD$57),""),3,1)="隔",IF(CD$58=0,LEFT(IFERROR(INDEX(醫師週班表!$C$5:$T$44,$CU28,CD$57),""),1),""),IF(MID(IFERROR(INDEX(醫師週班表!$C$5:$T$44,$CU28,CD$57),""),2,1)="(",LEFT(IFERROR(INDEX(醫師週班表!$C$5:$T$44,$CU28,CD$57),""),1),IFERROR(INDEX(醫師週班表!$C$5:$T$44,$CU28,CD$57),"")))))))</f>
        <v/>
      </c>
      <c r="CE28" s="71">
        <f>IF(CE$59="X","",IF(CE$59&lt;&gt;"",CE$59,IF(IFERROR(INDEX(醫師週班表!$C$5:$T$44,$CU28,CE$57),"")=0,"",IF(MID(IFERROR(INDEX(醫師週班表!$C$5:$T$44,$CU28,CE$57),""),2,1)="/",MID(IFERROR(INDEX(醫師週班表!$C$5:$T$44,$CU28,CE$57),""),1+CE$58*2,1),IF(MID(IFERROR(INDEX(醫師週班表!$C$5:$T$44,$CU28,CE$57),""),3,1)="隔",IF(CE$58=0,LEFT(IFERROR(INDEX(醫師週班表!$C$5:$T$44,$CU28,CE$57),""),1),""),IF(MID(IFERROR(INDEX(醫師週班表!$C$5:$T$44,$CU28,CE$57),""),2,1)="(",LEFT(IFERROR(INDEX(醫師週班表!$C$5:$T$44,$CU28,CE$57),""),1),IFERROR(INDEX(醫師週班表!$C$5:$T$44,$CU28,CE$57),"")))))))</f>
        <v/>
      </c>
      <c r="CF28" s="72">
        <f>IF(CF$59="X","",IF(CF$59&lt;&gt;"",CF$59,IF(IFERROR(INDEX(醫師週班表!$C$5:$T$44,$CU28,CF$57),"")=0,"",IF(MID(IFERROR(INDEX(醫師週班表!$C$5:$T$44,$CU28,CF$57),""),2,1)="/",MID(IFERROR(INDEX(醫師週班表!$C$5:$T$44,$CU28,CF$57),""),1+CF$58*2,1),IF(MID(IFERROR(INDEX(醫師週班表!$C$5:$T$44,$CU28,CF$57),""),3,1)="隔",IF(CF$58=0,LEFT(IFERROR(INDEX(醫師週班表!$C$5:$T$44,$CU28,CF$57),""),1),""),IF(MID(IFERROR(INDEX(醫師週班表!$C$5:$T$44,$CU28,CF$57),""),2,1)="(",LEFT(IFERROR(INDEX(醫師週班表!$C$5:$T$44,$CU28,CF$57),""),1),IFERROR(INDEX(醫師週班表!$C$5:$T$44,$CU28,CF$57),"")))))))</f>
        <v/>
      </c>
      <c r="CG28" s="72">
        <f>IF(CG$59="X","",IF(CG$59&lt;&gt;"",CG$59,IF(IFERROR(INDEX(醫師週班表!$C$5:$T$44,$CU28,CG$57),"")=0,"",IF(MID(IFERROR(INDEX(醫師週班表!$C$5:$T$44,$CU28,CG$57),""),2,1)="/",MID(IFERROR(INDEX(醫師週班表!$C$5:$T$44,$CU28,CG$57),""),1+CG$58*2,1),IF(MID(IFERROR(INDEX(醫師週班表!$C$5:$T$44,$CU28,CG$57),""),3,1)="隔",IF(CG$58=0,LEFT(IFERROR(INDEX(醫師週班表!$C$5:$T$44,$CU28,CG$57),""),1),""),IF(MID(IFERROR(INDEX(醫師週班表!$C$5:$T$44,$CU28,CG$57),""),2,1)="(",LEFT(IFERROR(INDEX(醫師週班表!$C$5:$T$44,$CU28,CG$57),""),1),IFERROR(INDEX(醫師週班表!$C$5:$T$44,$CU28,CG$57),"")))))))</f>
        <v/>
      </c>
      <c r="CH28" s="71">
        <f>IF(CH$59="X","",IF(CH$59&lt;&gt;"",CH$59,IF(IFERROR(INDEX(醫師週班表!$C$5:$T$44,$CU28,CH$57),"")=0,"",IF(MID(IFERROR(INDEX(醫師週班表!$C$5:$T$44,$CU28,CH$57),""),2,1)="/",MID(IFERROR(INDEX(醫師週班表!$C$5:$T$44,$CU28,CH$57),""),1+CH$58*2,1),IF(MID(IFERROR(INDEX(醫師週班表!$C$5:$T$44,$CU28,CH$57),""),3,1)="隔",IF(CH$58=0,LEFT(IFERROR(INDEX(醫師週班表!$C$5:$T$44,$CU28,CH$57),""),1),""),IF(MID(IFERROR(INDEX(醫師週班表!$C$5:$T$44,$CU28,CH$57),""),2,1)="(",LEFT(IFERROR(INDEX(醫師週班表!$C$5:$T$44,$CU28,CH$57),""),1),IFERROR(INDEX(醫師週班表!$C$5:$T$44,$CU28,CH$57),"")))))))</f>
        <v/>
      </c>
      <c r="CI28" s="72">
        <f>IF(CI$59="X","",IF(CI$59&lt;&gt;"",CI$59,IF(IFERROR(INDEX(醫師週班表!$C$5:$T$44,$CU28,CI$57),"")=0,"",IF(MID(IFERROR(INDEX(醫師週班表!$C$5:$T$44,$CU28,CI$57),""),2,1)="/",MID(IFERROR(INDEX(醫師週班表!$C$5:$T$44,$CU28,CI$57),""),1+CI$58*2,1),IF(MID(IFERROR(INDEX(醫師週班表!$C$5:$T$44,$CU28,CI$57),""),3,1)="隔",IF(CI$58=0,LEFT(IFERROR(INDEX(醫師週班表!$C$5:$T$44,$CU28,CI$57),""),1),""),IF(MID(IFERROR(INDEX(醫師週班表!$C$5:$T$44,$CU28,CI$57),""),2,1)="(",LEFT(IFERROR(INDEX(醫師週班表!$C$5:$T$44,$CU28,CI$57),""),1),IFERROR(INDEX(醫師週班表!$C$5:$T$44,$CU28,CI$57),"")))))))</f>
        <v/>
      </c>
      <c r="CJ28" s="72">
        <f>IF(CJ$59="X","",IF(CJ$59&lt;&gt;"",CJ$59,IF(IFERROR(INDEX(醫師週班表!$C$5:$T$44,$CU28,CJ$57),"")=0,"",IF(MID(IFERROR(INDEX(醫師週班表!$C$5:$T$44,$CU28,CJ$57),""),2,1)="/",MID(IFERROR(INDEX(醫師週班表!$C$5:$T$44,$CU28,CJ$57),""),1+CJ$58*2,1),IF(MID(IFERROR(INDEX(醫師週班表!$C$5:$T$44,$CU28,CJ$57),""),3,1)="隔",IF(CJ$58=0,LEFT(IFERROR(INDEX(醫師週班表!$C$5:$T$44,$CU28,CJ$57),""),1),""),IF(MID(IFERROR(INDEX(醫師週班表!$C$5:$T$44,$CU28,CJ$57),""),2,1)="(",LEFT(IFERROR(INDEX(醫師週班表!$C$5:$T$44,$CU28,CJ$57),""),1),IFERROR(INDEX(醫師週班表!$C$5:$T$44,$CU28,CJ$57),"")))))))</f>
        <v/>
      </c>
      <c r="CK28" s="71">
        <f>IF(CK$59="X","",IF(CK$59&lt;&gt;"",CK$59,IF(IFERROR(INDEX(醫師週班表!$C$5:$T$44,$CU28,CK$57),"")=0,"",IF(MID(IFERROR(INDEX(醫師週班表!$C$5:$T$44,$CU28,CK$57),""),2,1)="/",MID(IFERROR(INDEX(醫師週班表!$C$5:$T$44,$CU28,CK$57),""),1+CK$58*2,1),IF(MID(IFERROR(INDEX(醫師週班表!$C$5:$T$44,$CU28,CK$57),""),3,1)="隔",IF(CK$58=0,LEFT(IFERROR(INDEX(醫師週班表!$C$5:$T$44,$CU28,CK$57),""),1),""),IF(MID(IFERROR(INDEX(醫師週班表!$C$5:$T$44,$CU28,CK$57),""),2,1)="(",LEFT(IFERROR(INDEX(醫師週班表!$C$5:$T$44,$CU28,CK$57),""),1),IFERROR(INDEX(醫師週班表!$C$5:$T$44,$CU28,CK$57),"")))))))</f>
        <v/>
      </c>
      <c r="CL28" s="72">
        <f>IF(CL$59="X","",IF(CL$59&lt;&gt;"",CL$59,IF(IFERROR(INDEX(醫師週班表!$C$5:$T$44,$CU28,CL$57),"")=0,"",IF(MID(IFERROR(INDEX(醫師週班表!$C$5:$T$44,$CU28,CL$57),""),2,1)="/",MID(IFERROR(INDEX(醫師週班表!$C$5:$T$44,$CU28,CL$57),""),1+CL$58*2,1),IF(MID(IFERROR(INDEX(醫師週班表!$C$5:$T$44,$CU28,CL$57),""),3,1)="隔",IF(CL$58=0,LEFT(IFERROR(INDEX(醫師週班表!$C$5:$T$44,$CU28,CL$57),""),1),""),IF(MID(IFERROR(INDEX(醫師週班表!$C$5:$T$44,$CU28,CL$57),""),2,1)="(",LEFT(IFERROR(INDEX(醫師週班表!$C$5:$T$44,$CU28,CL$57),""),1),IFERROR(INDEX(醫師週班表!$C$5:$T$44,$CU28,CL$57),"")))))))</f>
        <v/>
      </c>
      <c r="CM28" s="72">
        <f>IF(CM$59="X","",IF(CM$59&lt;&gt;"",CM$59,IF(IFERROR(INDEX(醫師週班表!$C$5:$T$44,$CU28,CM$57),"")=0,"",IF(MID(IFERROR(INDEX(醫師週班表!$C$5:$T$44,$CU28,CM$57),""),2,1)="/",MID(IFERROR(INDEX(醫師週班表!$C$5:$T$44,$CU28,CM$57),""),1+CM$58*2,1),IF(MID(IFERROR(INDEX(醫師週班表!$C$5:$T$44,$CU28,CM$57),""),3,1)="隔",IF(CM$58=0,LEFT(IFERROR(INDEX(醫師週班表!$C$5:$T$44,$CU28,CM$57),""),1),""),IF(MID(IFERROR(INDEX(醫師週班表!$C$5:$T$44,$CU28,CM$57),""),2,1)="(",LEFT(IFERROR(INDEX(醫師週班表!$C$5:$T$44,$CU28,CM$57),""),1),IFERROR(INDEX(醫師週班表!$C$5:$T$44,$CU28,CM$57),"")))))))</f>
        <v/>
      </c>
      <c r="CN28" s="71">
        <f>IF(CN$59="X","",IF(CN$59&lt;&gt;"",CN$59,IF(IFERROR(INDEX(醫師週班表!$C$5:$T$44,$CU28,CN$57),"")=0,"",IF(MID(IFERROR(INDEX(醫師週班表!$C$5:$T$44,$CU28,CN$57),""),2,1)="/",MID(IFERROR(INDEX(醫師週班表!$C$5:$T$44,$CU28,CN$57),""),1+CN$58*2,1),IF(MID(IFERROR(INDEX(醫師週班表!$C$5:$T$44,$CU28,CN$57),""),3,1)="隔",IF(CN$58=0,LEFT(IFERROR(INDEX(醫師週班表!$C$5:$T$44,$CU28,CN$57),""),1),""),IF(MID(IFERROR(INDEX(醫師週班表!$C$5:$T$44,$CU28,CN$57),""),2,1)="(",LEFT(IFERROR(INDEX(醫師週班表!$C$5:$T$44,$CU28,CN$57),""),1),IFERROR(INDEX(醫師週班表!$C$5:$T$44,$CU28,CN$57),"")))))))</f>
        <v/>
      </c>
      <c r="CO28" s="72">
        <f>IF(CO$59="X","",IF(CO$59&lt;&gt;"",CO$59,IF(IFERROR(INDEX(醫師週班表!$C$5:$T$44,$CU28,CO$57),"")=0,"",IF(MID(IFERROR(INDEX(醫師週班表!$C$5:$T$44,$CU28,CO$57),""),2,1)="/",MID(IFERROR(INDEX(醫師週班表!$C$5:$T$44,$CU28,CO$57),""),1+CO$58*2,1),IF(MID(IFERROR(INDEX(醫師週班表!$C$5:$T$44,$CU28,CO$57),""),3,1)="隔",IF(CO$58=0,LEFT(IFERROR(INDEX(醫師週班表!$C$5:$T$44,$CU28,CO$57),""),1),""),IF(MID(IFERROR(INDEX(醫師週班表!$C$5:$T$44,$CU28,CO$57),""),2,1)="(",LEFT(IFERROR(INDEX(醫師週班表!$C$5:$T$44,$CU28,CO$57),""),1),IFERROR(INDEX(醫師週班表!$C$5:$T$44,$CU28,CO$57),"")))))))</f>
        <v/>
      </c>
      <c r="CP28" s="72">
        <f>IF(CP$59="X","",IF(CP$59&lt;&gt;"",CP$59,IF(IFERROR(INDEX(醫師週班表!$C$5:$T$44,$CU28,CP$57),"")=0,"",IF(MID(IFERROR(INDEX(醫師週班表!$C$5:$T$44,$CU28,CP$57),""),2,1)="/",MID(IFERROR(INDEX(醫師週班表!$C$5:$T$44,$CU28,CP$57),""),1+CP$58*2,1),IF(MID(IFERROR(INDEX(醫師週班表!$C$5:$T$44,$CU28,CP$57),""),3,1)="隔",IF(CP$58=0,LEFT(IFERROR(INDEX(醫師週班表!$C$5:$T$44,$CU28,CP$57),""),1),""),IF(MID(IFERROR(INDEX(醫師週班表!$C$5:$T$44,$CU28,CP$57),""),2,1)="(",LEFT(IFERROR(INDEX(醫師週班表!$C$5:$T$44,$CU28,CP$57),""),1),IFERROR(INDEX(醫師週班表!$C$5:$T$44,$CU28,CP$57),"")))))))</f>
        <v/>
      </c>
      <c r="CQ28" s="71">
        <f>IF(CQ$59="X","",IF(CQ$59&lt;&gt;"",CQ$59,IF(IFERROR(INDEX(醫師週班表!$C$5:$T$44,$CU28,CQ$57),"")=0,"",IF(MID(IFERROR(INDEX(醫師週班表!$C$5:$T$44,$CU28,CQ$57),""),2,1)="/",MID(IFERROR(INDEX(醫師週班表!$C$5:$T$44,$CU28,CQ$57),""),1+CQ$58*2,1),IF(MID(IFERROR(INDEX(醫師週班表!$C$5:$T$44,$CU28,CQ$57),""),3,1)="隔",IF(CQ$58=0,LEFT(IFERROR(INDEX(醫師週班表!$C$5:$T$44,$CU28,CQ$57),""),1),""),IF(MID(IFERROR(INDEX(醫師週班表!$C$5:$T$44,$CU28,CQ$57),""),2,1)="(",LEFT(IFERROR(INDEX(醫師週班表!$C$5:$T$44,$CU28,CQ$57),""),1),IFERROR(INDEX(醫師週班表!$C$5:$T$44,$CU28,CQ$57),"")))))))</f>
        <v/>
      </c>
      <c r="CR28" s="72">
        <f>IF(CR$59="X","",IF(CR$59&lt;&gt;"",CR$59,IF(IFERROR(INDEX(醫師週班表!$C$5:$T$44,$CU28,CR$57),"")=0,"",IF(MID(IFERROR(INDEX(醫師週班表!$C$5:$T$44,$CU28,CR$57),""),2,1)="/",MID(IFERROR(INDEX(醫師週班表!$C$5:$T$44,$CU28,CR$57),""),1+CR$58*2,1),IF(MID(IFERROR(INDEX(醫師週班表!$C$5:$T$44,$CU28,CR$57),""),3,1)="隔",IF(CR$58=0,LEFT(IFERROR(INDEX(醫師週班表!$C$5:$T$44,$CU28,CR$57),""),1),""),IF(MID(IFERROR(INDEX(醫師週班表!$C$5:$T$44,$CU28,CR$57),""),2,1)="(",LEFT(IFERROR(INDEX(醫師週班表!$C$5:$T$44,$CU28,CR$57),""),1),IFERROR(INDEX(醫師週班表!$C$5:$T$44,$CU28,CR$57),"")))))))</f>
        <v/>
      </c>
      <c r="CS28" s="72">
        <f>IF(CS$59="X","",IF(CS$59&lt;&gt;"",CS$59,IF(IFERROR(INDEX(醫師週班表!$C$5:$T$44,$CU28,CS$57),"")=0,"",IF(MID(IFERROR(INDEX(醫師週班表!$C$5:$T$44,$CU28,CS$57),""),2,1)="/",MID(IFERROR(INDEX(醫師週班表!$C$5:$T$44,$CU28,CS$57),""),1+CS$58*2,1),IF(MID(IFERROR(INDEX(醫師週班表!$C$5:$T$44,$CU28,CS$57),""),3,1)="隔",IF(CS$58=0,LEFT(IFERROR(INDEX(醫師週班表!$C$5:$T$44,$CU28,CS$57),""),1),""),IF(MID(IFERROR(INDEX(醫師週班表!$C$5:$T$44,$CU28,CS$57),""),2,1)="(",LEFT(IFERROR(INDEX(醫師週班表!$C$5:$T$44,$CU28,CS$57),""),1),IFERROR(INDEX(醫師週班表!$C$5:$T$44,$CU28,CS$57),"")))))))</f>
        <v/>
      </c>
      <c r="CU28" s="73">
        <f>IFERROR(MATCH($A28,醫師週班表!$A$5:$A$44,0),0)</f>
        <v/>
      </c>
    </row>
    <row r="29" ht="17" customHeight="1">
      <c r="A29" s="19" t="inlineStr">
        <is>
          <t>D024</t>
        </is>
      </c>
      <c r="B29" s="16" t="inlineStr">
        <is>
          <t>林紓安</t>
        </is>
      </c>
      <c r="C29" s="70" t="inlineStr">
        <is>
          <t>兒童</t>
        </is>
      </c>
      <c r="D29" s="16" t="inlineStr"/>
      <c r="E29" s="71">
        <f>IF(E$59="X","",IF(E$59&lt;&gt;"",E$59,IF(IFERROR(INDEX(醫師週班表!$C$5:$T$44,$CU29,E$57),"")=0,"",IF(MID(IFERROR(INDEX(醫師週班表!$C$5:$T$44,$CU29,E$57),""),2,1)="/",MID(IFERROR(INDEX(醫師週班表!$C$5:$T$44,$CU29,E$57),""),1+E$58*2,1),IF(MID(IFERROR(INDEX(醫師週班表!$C$5:$T$44,$CU29,E$57),""),3,1)="隔",IF(E$58=0,LEFT(IFERROR(INDEX(醫師週班表!$C$5:$T$44,$CU29,E$57),""),1),""),IF(MID(IFERROR(INDEX(醫師週班表!$C$5:$T$44,$CU29,E$57),""),2,1)="(",LEFT(IFERROR(INDEX(醫師週班表!$C$5:$T$44,$CU29,E$57),""),1),IFERROR(INDEX(醫師週班表!$C$5:$T$44,$CU29,E$57),"")))))))</f>
        <v/>
      </c>
      <c r="F29" s="72">
        <f>IF(F$59="X","",IF(F$59&lt;&gt;"",F$59,IF(IFERROR(INDEX(醫師週班表!$C$5:$T$44,$CU29,F$57),"")=0,"",IF(MID(IFERROR(INDEX(醫師週班表!$C$5:$T$44,$CU29,F$57),""),2,1)="/",MID(IFERROR(INDEX(醫師週班表!$C$5:$T$44,$CU29,F$57),""),1+F$58*2,1),IF(MID(IFERROR(INDEX(醫師週班表!$C$5:$T$44,$CU29,F$57),""),3,1)="隔",IF(F$58=0,LEFT(IFERROR(INDEX(醫師週班表!$C$5:$T$44,$CU29,F$57),""),1),""),IF(MID(IFERROR(INDEX(醫師週班表!$C$5:$T$44,$CU29,F$57),""),2,1)="(",LEFT(IFERROR(INDEX(醫師週班表!$C$5:$T$44,$CU29,F$57),""),1),IFERROR(INDEX(醫師週班表!$C$5:$T$44,$CU29,F$57),"")))))))</f>
        <v/>
      </c>
      <c r="G29" s="72">
        <f>IF(G$59="X","",IF(G$59&lt;&gt;"",G$59,IF(IFERROR(INDEX(醫師週班表!$C$5:$T$44,$CU29,G$57),"")=0,"",IF(MID(IFERROR(INDEX(醫師週班表!$C$5:$T$44,$CU29,G$57),""),2,1)="/",MID(IFERROR(INDEX(醫師週班表!$C$5:$T$44,$CU29,G$57),""),1+G$58*2,1),IF(MID(IFERROR(INDEX(醫師週班表!$C$5:$T$44,$CU29,G$57),""),3,1)="隔",IF(G$58=0,LEFT(IFERROR(INDEX(醫師週班表!$C$5:$T$44,$CU29,G$57),""),1),""),IF(MID(IFERROR(INDEX(醫師週班表!$C$5:$T$44,$CU29,G$57),""),2,1)="(",LEFT(IFERROR(INDEX(醫師週班表!$C$5:$T$44,$CU29,G$57),""),1),IFERROR(INDEX(醫師週班表!$C$5:$T$44,$CU29,G$57),"")))))))</f>
        <v/>
      </c>
      <c r="H29" s="71">
        <f>IF(H$59="X","",IF(H$59&lt;&gt;"",H$59,IF(IFERROR(INDEX(醫師週班表!$C$5:$T$44,$CU29,H$57),"")=0,"",IF(MID(IFERROR(INDEX(醫師週班表!$C$5:$T$44,$CU29,H$57),""),2,1)="/",MID(IFERROR(INDEX(醫師週班表!$C$5:$T$44,$CU29,H$57),""),1+H$58*2,1),IF(MID(IFERROR(INDEX(醫師週班表!$C$5:$T$44,$CU29,H$57),""),3,1)="隔",IF(H$58=0,LEFT(IFERROR(INDEX(醫師週班表!$C$5:$T$44,$CU29,H$57),""),1),""),IF(MID(IFERROR(INDEX(醫師週班表!$C$5:$T$44,$CU29,H$57),""),2,1)="(",LEFT(IFERROR(INDEX(醫師週班表!$C$5:$T$44,$CU29,H$57),""),1),IFERROR(INDEX(醫師週班表!$C$5:$T$44,$CU29,H$57),"")))))))</f>
        <v/>
      </c>
      <c r="I29" s="72">
        <f>IF(I$59="X","",IF(I$59&lt;&gt;"",I$59,IF(IFERROR(INDEX(醫師週班表!$C$5:$T$44,$CU29,I$57),"")=0,"",IF(MID(IFERROR(INDEX(醫師週班表!$C$5:$T$44,$CU29,I$57),""),2,1)="/",MID(IFERROR(INDEX(醫師週班表!$C$5:$T$44,$CU29,I$57),""),1+I$58*2,1),IF(MID(IFERROR(INDEX(醫師週班表!$C$5:$T$44,$CU29,I$57),""),3,1)="隔",IF(I$58=0,LEFT(IFERROR(INDEX(醫師週班表!$C$5:$T$44,$CU29,I$57),""),1),""),IF(MID(IFERROR(INDEX(醫師週班表!$C$5:$T$44,$CU29,I$57),""),2,1)="(",LEFT(IFERROR(INDEX(醫師週班表!$C$5:$T$44,$CU29,I$57),""),1),IFERROR(INDEX(醫師週班表!$C$5:$T$44,$CU29,I$57),"")))))))</f>
        <v/>
      </c>
      <c r="J29" s="72">
        <f>IF(J$59="X","",IF(J$59&lt;&gt;"",J$59,IF(IFERROR(INDEX(醫師週班表!$C$5:$T$44,$CU29,J$57),"")=0,"",IF(MID(IFERROR(INDEX(醫師週班表!$C$5:$T$44,$CU29,J$57),""),2,1)="/",MID(IFERROR(INDEX(醫師週班表!$C$5:$T$44,$CU29,J$57),""),1+J$58*2,1),IF(MID(IFERROR(INDEX(醫師週班表!$C$5:$T$44,$CU29,J$57),""),3,1)="隔",IF(J$58=0,LEFT(IFERROR(INDEX(醫師週班表!$C$5:$T$44,$CU29,J$57),""),1),""),IF(MID(IFERROR(INDEX(醫師週班表!$C$5:$T$44,$CU29,J$57),""),2,1)="(",LEFT(IFERROR(INDEX(醫師週班表!$C$5:$T$44,$CU29,J$57),""),1),IFERROR(INDEX(醫師週班表!$C$5:$T$44,$CU29,J$57),"")))))))</f>
        <v/>
      </c>
      <c r="K29" s="71">
        <f>IF(K$59="X","",IF(K$59&lt;&gt;"",K$59,IF(IFERROR(INDEX(醫師週班表!$C$5:$T$44,$CU29,K$57),"")=0,"",IF(MID(IFERROR(INDEX(醫師週班表!$C$5:$T$44,$CU29,K$57),""),2,1)="/",MID(IFERROR(INDEX(醫師週班表!$C$5:$T$44,$CU29,K$57),""),1+K$58*2,1),IF(MID(IFERROR(INDEX(醫師週班表!$C$5:$T$44,$CU29,K$57),""),3,1)="隔",IF(K$58=0,LEFT(IFERROR(INDEX(醫師週班表!$C$5:$T$44,$CU29,K$57),""),1),""),IF(MID(IFERROR(INDEX(醫師週班表!$C$5:$T$44,$CU29,K$57),""),2,1)="(",LEFT(IFERROR(INDEX(醫師週班表!$C$5:$T$44,$CU29,K$57),""),1),IFERROR(INDEX(醫師週班表!$C$5:$T$44,$CU29,K$57),"")))))))</f>
        <v/>
      </c>
      <c r="L29" s="72">
        <f>IF(L$59="X","",IF(L$59&lt;&gt;"",L$59,IF(IFERROR(INDEX(醫師週班表!$C$5:$T$44,$CU29,L$57),"")=0,"",IF(MID(IFERROR(INDEX(醫師週班表!$C$5:$T$44,$CU29,L$57),""),2,1)="/",MID(IFERROR(INDEX(醫師週班表!$C$5:$T$44,$CU29,L$57),""),1+L$58*2,1),IF(MID(IFERROR(INDEX(醫師週班表!$C$5:$T$44,$CU29,L$57),""),3,1)="隔",IF(L$58=0,LEFT(IFERROR(INDEX(醫師週班表!$C$5:$T$44,$CU29,L$57),""),1),""),IF(MID(IFERROR(INDEX(醫師週班表!$C$5:$T$44,$CU29,L$57),""),2,1)="(",LEFT(IFERROR(INDEX(醫師週班表!$C$5:$T$44,$CU29,L$57),""),1),IFERROR(INDEX(醫師週班表!$C$5:$T$44,$CU29,L$57),"")))))))</f>
        <v/>
      </c>
      <c r="M29" s="72">
        <f>IF(M$59="X","",IF(M$59&lt;&gt;"",M$59,IF(IFERROR(INDEX(醫師週班表!$C$5:$T$44,$CU29,M$57),"")=0,"",IF(MID(IFERROR(INDEX(醫師週班表!$C$5:$T$44,$CU29,M$57),""),2,1)="/",MID(IFERROR(INDEX(醫師週班表!$C$5:$T$44,$CU29,M$57),""),1+M$58*2,1),IF(MID(IFERROR(INDEX(醫師週班表!$C$5:$T$44,$CU29,M$57),""),3,1)="隔",IF(M$58=0,LEFT(IFERROR(INDEX(醫師週班表!$C$5:$T$44,$CU29,M$57),""),1),""),IF(MID(IFERROR(INDEX(醫師週班表!$C$5:$T$44,$CU29,M$57),""),2,1)="(",LEFT(IFERROR(INDEX(醫師週班表!$C$5:$T$44,$CU29,M$57),""),1),IFERROR(INDEX(醫師週班表!$C$5:$T$44,$CU29,M$57),"")))))))</f>
        <v/>
      </c>
      <c r="N29" s="71">
        <f>IF(N$59="X","",IF(N$59&lt;&gt;"",N$59,IF(IFERROR(INDEX(醫師週班表!$C$5:$T$44,$CU29,N$57),"")=0,"",IF(MID(IFERROR(INDEX(醫師週班表!$C$5:$T$44,$CU29,N$57),""),2,1)="/",MID(IFERROR(INDEX(醫師週班表!$C$5:$T$44,$CU29,N$57),""),1+N$58*2,1),IF(MID(IFERROR(INDEX(醫師週班表!$C$5:$T$44,$CU29,N$57),""),3,1)="隔",IF(N$58=0,LEFT(IFERROR(INDEX(醫師週班表!$C$5:$T$44,$CU29,N$57),""),1),""),IF(MID(IFERROR(INDEX(醫師週班表!$C$5:$T$44,$CU29,N$57),""),2,1)="(",LEFT(IFERROR(INDEX(醫師週班表!$C$5:$T$44,$CU29,N$57),""),1),IFERROR(INDEX(醫師週班表!$C$5:$T$44,$CU29,N$57),"")))))))</f>
        <v/>
      </c>
      <c r="O29" s="72">
        <f>IF(O$59="X","",IF(O$59&lt;&gt;"",O$59,IF(IFERROR(INDEX(醫師週班表!$C$5:$T$44,$CU29,O$57),"")=0,"",IF(MID(IFERROR(INDEX(醫師週班表!$C$5:$T$44,$CU29,O$57),""),2,1)="/",MID(IFERROR(INDEX(醫師週班表!$C$5:$T$44,$CU29,O$57),""),1+O$58*2,1),IF(MID(IFERROR(INDEX(醫師週班表!$C$5:$T$44,$CU29,O$57),""),3,1)="隔",IF(O$58=0,LEFT(IFERROR(INDEX(醫師週班表!$C$5:$T$44,$CU29,O$57),""),1),""),IF(MID(IFERROR(INDEX(醫師週班表!$C$5:$T$44,$CU29,O$57),""),2,1)="(",LEFT(IFERROR(INDEX(醫師週班表!$C$5:$T$44,$CU29,O$57),""),1),IFERROR(INDEX(醫師週班表!$C$5:$T$44,$CU29,O$57),"")))))))</f>
        <v/>
      </c>
      <c r="P29" s="72">
        <f>IF(P$59="X","",IF(P$59&lt;&gt;"",P$59,IF(IFERROR(INDEX(醫師週班表!$C$5:$T$44,$CU29,P$57),"")=0,"",IF(MID(IFERROR(INDEX(醫師週班表!$C$5:$T$44,$CU29,P$57),""),2,1)="/",MID(IFERROR(INDEX(醫師週班表!$C$5:$T$44,$CU29,P$57),""),1+P$58*2,1),IF(MID(IFERROR(INDEX(醫師週班表!$C$5:$T$44,$CU29,P$57),""),3,1)="隔",IF(P$58=0,LEFT(IFERROR(INDEX(醫師週班表!$C$5:$T$44,$CU29,P$57),""),1),""),IF(MID(IFERROR(INDEX(醫師週班表!$C$5:$T$44,$CU29,P$57),""),2,1)="(",LEFT(IFERROR(INDEX(醫師週班表!$C$5:$T$44,$CU29,P$57),""),1),IFERROR(INDEX(醫師週班表!$C$5:$T$44,$CU29,P$57),"")))))))</f>
        <v/>
      </c>
      <c r="Q29" s="71">
        <f>IF(Q$59="X","",IF(Q$59&lt;&gt;"",Q$59,IF(IFERROR(INDEX(醫師週班表!$C$5:$T$44,$CU29,Q$57),"")=0,"",IF(MID(IFERROR(INDEX(醫師週班表!$C$5:$T$44,$CU29,Q$57),""),2,1)="/",MID(IFERROR(INDEX(醫師週班表!$C$5:$T$44,$CU29,Q$57),""),1+Q$58*2,1),IF(MID(IFERROR(INDEX(醫師週班表!$C$5:$T$44,$CU29,Q$57),""),3,1)="隔",IF(Q$58=0,LEFT(IFERROR(INDEX(醫師週班表!$C$5:$T$44,$CU29,Q$57),""),1),""),IF(MID(IFERROR(INDEX(醫師週班表!$C$5:$T$44,$CU29,Q$57),""),2,1)="(",LEFT(IFERROR(INDEX(醫師週班表!$C$5:$T$44,$CU29,Q$57),""),1),IFERROR(INDEX(醫師週班表!$C$5:$T$44,$CU29,Q$57),"")))))))</f>
        <v/>
      </c>
      <c r="R29" s="72">
        <f>IF(R$59="X","",IF(R$59&lt;&gt;"",R$59,IF(IFERROR(INDEX(醫師週班表!$C$5:$T$44,$CU29,R$57),"")=0,"",IF(MID(IFERROR(INDEX(醫師週班表!$C$5:$T$44,$CU29,R$57),""),2,1)="/",MID(IFERROR(INDEX(醫師週班表!$C$5:$T$44,$CU29,R$57),""),1+R$58*2,1),IF(MID(IFERROR(INDEX(醫師週班表!$C$5:$T$44,$CU29,R$57),""),3,1)="隔",IF(R$58=0,LEFT(IFERROR(INDEX(醫師週班表!$C$5:$T$44,$CU29,R$57),""),1),""),IF(MID(IFERROR(INDEX(醫師週班表!$C$5:$T$44,$CU29,R$57),""),2,1)="(",LEFT(IFERROR(INDEX(醫師週班表!$C$5:$T$44,$CU29,R$57),""),1),IFERROR(INDEX(醫師週班表!$C$5:$T$44,$CU29,R$57),"")))))))</f>
        <v/>
      </c>
      <c r="S29" s="72">
        <f>IF(S$59="X","",IF(S$59&lt;&gt;"",S$59,IF(IFERROR(INDEX(醫師週班表!$C$5:$T$44,$CU29,S$57),"")=0,"",IF(MID(IFERROR(INDEX(醫師週班表!$C$5:$T$44,$CU29,S$57),""),2,1)="/",MID(IFERROR(INDEX(醫師週班表!$C$5:$T$44,$CU29,S$57),""),1+S$58*2,1),IF(MID(IFERROR(INDEX(醫師週班表!$C$5:$T$44,$CU29,S$57),""),3,1)="隔",IF(S$58=0,LEFT(IFERROR(INDEX(醫師週班表!$C$5:$T$44,$CU29,S$57),""),1),""),IF(MID(IFERROR(INDEX(醫師週班表!$C$5:$T$44,$CU29,S$57),""),2,1)="(",LEFT(IFERROR(INDEX(醫師週班表!$C$5:$T$44,$CU29,S$57),""),1),IFERROR(INDEX(醫師週班表!$C$5:$T$44,$CU29,S$57),"")))))))</f>
        <v/>
      </c>
      <c r="T29" s="71">
        <f>IF(T$59="X","",IF(T$59&lt;&gt;"",T$59,IF(IFERROR(INDEX(醫師週班表!$C$5:$T$44,$CU29,T$57),"")=0,"",IF(MID(IFERROR(INDEX(醫師週班表!$C$5:$T$44,$CU29,T$57),""),2,1)="/",MID(IFERROR(INDEX(醫師週班表!$C$5:$T$44,$CU29,T$57),""),1+T$58*2,1),IF(MID(IFERROR(INDEX(醫師週班表!$C$5:$T$44,$CU29,T$57),""),3,1)="隔",IF(T$58=0,LEFT(IFERROR(INDEX(醫師週班表!$C$5:$T$44,$CU29,T$57),""),1),""),IF(MID(IFERROR(INDEX(醫師週班表!$C$5:$T$44,$CU29,T$57),""),2,1)="(",LEFT(IFERROR(INDEX(醫師週班表!$C$5:$T$44,$CU29,T$57),""),1),IFERROR(INDEX(醫師週班表!$C$5:$T$44,$CU29,T$57),"")))))))</f>
        <v/>
      </c>
      <c r="U29" s="72">
        <f>IF(U$59="X","",IF(U$59&lt;&gt;"",U$59,IF(IFERROR(INDEX(醫師週班表!$C$5:$T$44,$CU29,U$57),"")=0,"",IF(MID(IFERROR(INDEX(醫師週班表!$C$5:$T$44,$CU29,U$57),""),2,1)="/",MID(IFERROR(INDEX(醫師週班表!$C$5:$T$44,$CU29,U$57),""),1+U$58*2,1),IF(MID(IFERROR(INDEX(醫師週班表!$C$5:$T$44,$CU29,U$57),""),3,1)="隔",IF(U$58=0,LEFT(IFERROR(INDEX(醫師週班表!$C$5:$T$44,$CU29,U$57),""),1),""),IF(MID(IFERROR(INDEX(醫師週班表!$C$5:$T$44,$CU29,U$57),""),2,1)="(",LEFT(IFERROR(INDEX(醫師週班表!$C$5:$T$44,$CU29,U$57),""),1),IFERROR(INDEX(醫師週班表!$C$5:$T$44,$CU29,U$57),"")))))))</f>
        <v/>
      </c>
      <c r="V29" s="72">
        <f>IF(V$59="X","",IF(V$59&lt;&gt;"",V$59,IF(IFERROR(INDEX(醫師週班表!$C$5:$T$44,$CU29,V$57),"")=0,"",IF(MID(IFERROR(INDEX(醫師週班表!$C$5:$T$44,$CU29,V$57),""),2,1)="/",MID(IFERROR(INDEX(醫師週班表!$C$5:$T$44,$CU29,V$57),""),1+V$58*2,1),IF(MID(IFERROR(INDEX(醫師週班表!$C$5:$T$44,$CU29,V$57),""),3,1)="隔",IF(V$58=0,LEFT(IFERROR(INDEX(醫師週班表!$C$5:$T$44,$CU29,V$57),""),1),""),IF(MID(IFERROR(INDEX(醫師週班表!$C$5:$T$44,$CU29,V$57),""),2,1)="(",LEFT(IFERROR(INDEX(醫師週班表!$C$5:$T$44,$CU29,V$57),""),1),IFERROR(INDEX(醫師週班表!$C$5:$T$44,$CU29,V$57),"")))))))</f>
        <v/>
      </c>
      <c r="W29" s="71">
        <f>IF(W$59="X","",IF(W$59&lt;&gt;"",W$59,IF(IFERROR(INDEX(醫師週班表!$C$5:$T$44,$CU29,W$57),"")=0,"",IF(MID(IFERROR(INDEX(醫師週班表!$C$5:$T$44,$CU29,W$57),""),2,1)="/",MID(IFERROR(INDEX(醫師週班表!$C$5:$T$44,$CU29,W$57),""),1+W$58*2,1),IF(MID(IFERROR(INDEX(醫師週班表!$C$5:$T$44,$CU29,W$57),""),3,1)="隔",IF(W$58=0,LEFT(IFERROR(INDEX(醫師週班表!$C$5:$T$44,$CU29,W$57),""),1),""),IF(MID(IFERROR(INDEX(醫師週班表!$C$5:$T$44,$CU29,W$57),""),2,1)="(",LEFT(IFERROR(INDEX(醫師週班表!$C$5:$T$44,$CU29,W$57),""),1),IFERROR(INDEX(醫師週班表!$C$5:$T$44,$CU29,W$57),"")))))))</f>
        <v/>
      </c>
      <c r="X29" s="72">
        <f>IF(X$59="X","",IF(X$59&lt;&gt;"",X$59,IF(IFERROR(INDEX(醫師週班表!$C$5:$T$44,$CU29,X$57),"")=0,"",IF(MID(IFERROR(INDEX(醫師週班表!$C$5:$T$44,$CU29,X$57),""),2,1)="/",MID(IFERROR(INDEX(醫師週班表!$C$5:$T$44,$CU29,X$57),""),1+X$58*2,1),IF(MID(IFERROR(INDEX(醫師週班表!$C$5:$T$44,$CU29,X$57),""),3,1)="隔",IF(X$58=0,LEFT(IFERROR(INDEX(醫師週班表!$C$5:$T$44,$CU29,X$57),""),1),""),IF(MID(IFERROR(INDEX(醫師週班表!$C$5:$T$44,$CU29,X$57),""),2,1)="(",LEFT(IFERROR(INDEX(醫師週班表!$C$5:$T$44,$CU29,X$57),""),1),IFERROR(INDEX(醫師週班表!$C$5:$T$44,$CU29,X$57),"")))))))</f>
        <v/>
      </c>
      <c r="Y29" s="72">
        <f>IF(Y$59="X","",IF(Y$59&lt;&gt;"",Y$59,IF(IFERROR(INDEX(醫師週班表!$C$5:$T$44,$CU29,Y$57),"")=0,"",IF(MID(IFERROR(INDEX(醫師週班表!$C$5:$T$44,$CU29,Y$57),""),2,1)="/",MID(IFERROR(INDEX(醫師週班表!$C$5:$T$44,$CU29,Y$57),""),1+Y$58*2,1),IF(MID(IFERROR(INDEX(醫師週班表!$C$5:$T$44,$CU29,Y$57),""),3,1)="隔",IF(Y$58=0,LEFT(IFERROR(INDEX(醫師週班表!$C$5:$T$44,$CU29,Y$57),""),1),""),IF(MID(IFERROR(INDEX(醫師週班表!$C$5:$T$44,$CU29,Y$57),""),2,1)="(",LEFT(IFERROR(INDEX(醫師週班表!$C$5:$T$44,$CU29,Y$57),""),1),IFERROR(INDEX(醫師週班表!$C$5:$T$44,$CU29,Y$57),"")))))))</f>
        <v/>
      </c>
      <c r="Z29" s="71">
        <f>IF(Z$59="X","",IF(Z$59&lt;&gt;"",Z$59,IF(IFERROR(INDEX(醫師週班表!$C$5:$T$44,$CU29,Z$57),"")=0,"",IF(MID(IFERROR(INDEX(醫師週班表!$C$5:$T$44,$CU29,Z$57),""),2,1)="/",MID(IFERROR(INDEX(醫師週班表!$C$5:$T$44,$CU29,Z$57),""),1+Z$58*2,1),IF(MID(IFERROR(INDEX(醫師週班表!$C$5:$T$44,$CU29,Z$57),""),3,1)="隔",IF(Z$58=0,LEFT(IFERROR(INDEX(醫師週班表!$C$5:$T$44,$CU29,Z$57),""),1),""),IF(MID(IFERROR(INDEX(醫師週班表!$C$5:$T$44,$CU29,Z$57),""),2,1)="(",LEFT(IFERROR(INDEX(醫師週班表!$C$5:$T$44,$CU29,Z$57),""),1),IFERROR(INDEX(醫師週班表!$C$5:$T$44,$CU29,Z$57),"")))))))</f>
        <v/>
      </c>
      <c r="AA29" s="72">
        <f>IF(AA$59="X","",IF(AA$59&lt;&gt;"",AA$59,IF(IFERROR(INDEX(醫師週班表!$C$5:$T$44,$CU29,AA$57),"")=0,"",IF(MID(IFERROR(INDEX(醫師週班表!$C$5:$T$44,$CU29,AA$57),""),2,1)="/",MID(IFERROR(INDEX(醫師週班表!$C$5:$T$44,$CU29,AA$57),""),1+AA$58*2,1),IF(MID(IFERROR(INDEX(醫師週班表!$C$5:$T$44,$CU29,AA$57),""),3,1)="隔",IF(AA$58=0,LEFT(IFERROR(INDEX(醫師週班表!$C$5:$T$44,$CU29,AA$57),""),1),""),IF(MID(IFERROR(INDEX(醫師週班表!$C$5:$T$44,$CU29,AA$57),""),2,1)="(",LEFT(IFERROR(INDEX(醫師週班表!$C$5:$T$44,$CU29,AA$57),""),1),IFERROR(INDEX(醫師週班表!$C$5:$T$44,$CU29,AA$57),"")))))))</f>
        <v/>
      </c>
      <c r="AB29" s="72">
        <f>IF(AB$59="X","",IF(AB$59&lt;&gt;"",AB$59,IF(IFERROR(INDEX(醫師週班表!$C$5:$T$44,$CU29,AB$57),"")=0,"",IF(MID(IFERROR(INDEX(醫師週班表!$C$5:$T$44,$CU29,AB$57),""),2,1)="/",MID(IFERROR(INDEX(醫師週班表!$C$5:$T$44,$CU29,AB$57),""),1+AB$58*2,1),IF(MID(IFERROR(INDEX(醫師週班表!$C$5:$T$44,$CU29,AB$57),""),3,1)="隔",IF(AB$58=0,LEFT(IFERROR(INDEX(醫師週班表!$C$5:$T$44,$CU29,AB$57),""),1),""),IF(MID(IFERROR(INDEX(醫師週班表!$C$5:$T$44,$CU29,AB$57),""),2,1)="(",LEFT(IFERROR(INDEX(醫師週班表!$C$5:$T$44,$CU29,AB$57),""),1),IFERROR(INDEX(醫師週班表!$C$5:$T$44,$CU29,AB$57),"")))))))</f>
        <v/>
      </c>
      <c r="AC29" s="71">
        <f>IF(AC$59="X","",IF(AC$59&lt;&gt;"",AC$59,IF(IFERROR(INDEX(醫師週班表!$C$5:$T$44,$CU29,AC$57),"")=0,"",IF(MID(IFERROR(INDEX(醫師週班表!$C$5:$T$44,$CU29,AC$57),""),2,1)="/",MID(IFERROR(INDEX(醫師週班表!$C$5:$T$44,$CU29,AC$57),""),1+AC$58*2,1),IF(MID(IFERROR(INDEX(醫師週班表!$C$5:$T$44,$CU29,AC$57),""),3,1)="隔",IF(AC$58=0,LEFT(IFERROR(INDEX(醫師週班表!$C$5:$T$44,$CU29,AC$57),""),1),""),IF(MID(IFERROR(INDEX(醫師週班表!$C$5:$T$44,$CU29,AC$57),""),2,1)="(",LEFT(IFERROR(INDEX(醫師週班表!$C$5:$T$44,$CU29,AC$57),""),1),IFERROR(INDEX(醫師週班表!$C$5:$T$44,$CU29,AC$57),"")))))))</f>
        <v/>
      </c>
      <c r="AD29" s="72">
        <f>IF(AD$59="X","",IF(AD$59&lt;&gt;"",AD$59,IF(IFERROR(INDEX(醫師週班表!$C$5:$T$44,$CU29,AD$57),"")=0,"",IF(MID(IFERROR(INDEX(醫師週班表!$C$5:$T$44,$CU29,AD$57),""),2,1)="/",MID(IFERROR(INDEX(醫師週班表!$C$5:$T$44,$CU29,AD$57),""),1+AD$58*2,1),IF(MID(IFERROR(INDEX(醫師週班表!$C$5:$T$44,$CU29,AD$57),""),3,1)="隔",IF(AD$58=0,LEFT(IFERROR(INDEX(醫師週班表!$C$5:$T$44,$CU29,AD$57),""),1),""),IF(MID(IFERROR(INDEX(醫師週班表!$C$5:$T$44,$CU29,AD$57),""),2,1)="(",LEFT(IFERROR(INDEX(醫師週班表!$C$5:$T$44,$CU29,AD$57),""),1),IFERROR(INDEX(醫師週班表!$C$5:$T$44,$CU29,AD$57),"")))))))</f>
        <v/>
      </c>
      <c r="AE29" s="72">
        <f>IF(AE$59="X","",IF(AE$59&lt;&gt;"",AE$59,IF(IFERROR(INDEX(醫師週班表!$C$5:$T$44,$CU29,AE$57),"")=0,"",IF(MID(IFERROR(INDEX(醫師週班表!$C$5:$T$44,$CU29,AE$57),""),2,1)="/",MID(IFERROR(INDEX(醫師週班表!$C$5:$T$44,$CU29,AE$57),""),1+AE$58*2,1),IF(MID(IFERROR(INDEX(醫師週班表!$C$5:$T$44,$CU29,AE$57),""),3,1)="隔",IF(AE$58=0,LEFT(IFERROR(INDEX(醫師週班表!$C$5:$T$44,$CU29,AE$57),""),1),""),IF(MID(IFERROR(INDEX(醫師週班表!$C$5:$T$44,$CU29,AE$57),""),2,1)="(",LEFT(IFERROR(INDEX(醫師週班表!$C$5:$T$44,$CU29,AE$57),""),1),IFERROR(INDEX(醫師週班表!$C$5:$T$44,$CU29,AE$57),"")))))))</f>
        <v/>
      </c>
      <c r="AF29" s="71">
        <f>IF(AF$59="X","",IF(AF$59&lt;&gt;"",AF$59,IF(IFERROR(INDEX(醫師週班表!$C$5:$T$44,$CU29,AF$57),"")=0,"",IF(MID(IFERROR(INDEX(醫師週班表!$C$5:$T$44,$CU29,AF$57),""),2,1)="/",MID(IFERROR(INDEX(醫師週班表!$C$5:$T$44,$CU29,AF$57),""),1+AF$58*2,1),IF(MID(IFERROR(INDEX(醫師週班表!$C$5:$T$44,$CU29,AF$57),""),3,1)="隔",IF(AF$58=0,LEFT(IFERROR(INDEX(醫師週班表!$C$5:$T$44,$CU29,AF$57),""),1),""),IF(MID(IFERROR(INDEX(醫師週班表!$C$5:$T$44,$CU29,AF$57),""),2,1)="(",LEFT(IFERROR(INDEX(醫師週班表!$C$5:$T$44,$CU29,AF$57),""),1),IFERROR(INDEX(醫師週班表!$C$5:$T$44,$CU29,AF$57),"")))))))</f>
        <v/>
      </c>
      <c r="AG29" s="72">
        <f>IF(AG$59="X","",IF(AG$59&lt;&gt;"",AG$59,IF(IFERROR(INDEX(醫師週班表!$C$5:$T$44,$CU29,AG$57),"")=0,"",IF(MID(IFERROR(INDEX(醫師週班表!$C$5:$T$44,$CU29,AG$57),""),2,1)="/",MID(IFERROR(INDEX(醫師週班表!$C$5:$T$44,$CU29,AG$57),""),1+AG$58*2,1),IF(MID(IFERROR(INDEX(醫師週班表!$C$5:$T$44,$CU29,AG$57),""),3,1)="隔",IF(AG$58=0,LEFT(IFERROR(INDEX(醫師週班表!$C$5:$T$44,$CU29,AG$57),""),1),""),IF(MID(IFERROR(INDEX(醫師週班表!$C$5:$T$44,$CU29,AG$57),""),2,1)="(",LEFT(IFERROR(INDEX(醫師週班表!$C$5:$T$44,$CU29,AG$57),""),1),IFERROR(INDEX(醫師週班表!$C$5:$T$44,$CU29,AG$57),"")))))))</f>
        <v/>
      </c>
      <c r="AH29" s="72">
        <f>IF(AH$59="X","",IF(AH$59&lt;&gt;"",AH$59,IF(IFERROR(INDEX(醫師週班表!$C$5:$T$44,$CU29,AH$57),"")=0,"",IF(MID(IFERROR(INDEX(醫師週班表!$C$5:$T$44,$CU29,AH$57),""),2,1)="/",MID(IFERROR(INDEX(醫師週班表!$C$5:$T$44,$CU29,AH$57),""),1+AH$58*2,1),IF(MID(IFERROR(INDEX(醫師週班表!$C$5:$T$44,$CU29,AH$57),""),3,1)="隔",IF(AH$58=0,LEFT(IFERROR(INDEX(醫師週班表!$C$5:$T$44,$CU29,AH$57),""),1),""),IF(MID(IFERROR(INDEX(醫師週班表!$C$5:$T$44,$CU29,AH$57),""),2,1)="(",LEFT(IFERROR(INDEX(醫師週班表!$C$5:$T$44,$CU29,AH$57),""),1),IFERROR(INDEX(醫師週班表!$C$5:$T$44,$CU29,AH$57),"")))))))</f>
        <v/>
      </c>
      <c r="AI29" s="71">
        <f>IF(AI$59="X","",IF(AI$59&lt;&gt;"",AI$59,IF(IFERROR(INDEX(醫師週班表!$C$5:$T$44,$CU29,AI$57),"")=0,"",IF(MID(IFERROR(INDEX(醫師週班表!$C$5:$T$44,$CU29,AI$57),""),2,1)="/",MID(IFERROR(INDEX(醫師週班表!$C$5:$T$44,$CU29,AI$57),""),1+AI$58*2,1),IF(MID(IFERROR(INDEX(醫師週班表!$C$5:$T$44,$CU29,AI$57),""),3,1)="隔",IF(AI$58=0,LEFT(IFERROR(INDEX(醫師週班表!$C$5:$T$44,$CU29,AI$57),""),1),""),IF(MID(IFERROR(INDEX(醫師週班表!$C$5:$T$44,$CU29,AI$57),""),2,1)="(",LEFT(IFERROR(INDEX(醫師週班表!$C$5:$T$44,$CU29,AI$57),""),1),IFERROR(INDEX(醫師週班表!$C$5:$T$44,$CU29,AI$57),"")))))))</f>
        <v/>
      </c>
      <c r="AJ29" s="72">
        <f>IF(AJ$59="X","",IF(AJ$59&lt;&gt;"",AJ$59,IF(IFERROR(INDEX(醫師週班表!$C$5:$T$44,$CU29,AJ$57),"")=0,"",IF(MID(IFERROR(INDEX(醫師週班表!$C$5:$T$44,$CU29,AJ$57),""),2,1)="/",MID(IFERROR(INDEX(醫師週班表!$C$5:$T$44,$CU29,AJ$57),""),1+AJ$58*2,1),IF(MID(IFERROR(INDEX(醫師週班表!$C$5:$T$44,$CU29,AJ$57),""),3,1)="隔",IF(AJ$58=0,LEFT(IFERROR(INDEX(醫師週班表!$C$5:$T$44,$CU29,AJ$57),""),1),""),IF(MID(IFERROR(INDEX(醫師週班表!$C$5:$T$44,$CU29,AJ$57),""),2,1)="(",LEFT(IFERROR(INDEX(醫師週班表!$C$5:$T$44,$CU29,AJ$57),""),1),IFERROR(INDEX(醫師週班表!$C$5:$T$44,$CU29,AJ$57),"")))))))</f>
        <v/>
      </c>
      <c r="AK29" s="72">
        <f>IF(AK$59="X","",IF(AK$59&lt;&gt;"",AK$59,IF(IFERROR(INDEX(醫師週班表!$C$5:$T$44,$CU29,AK$57),"")=0,"",IF(MID(IFERROR(INDEX(醫師週班表!$C$5:$T$44,$CU29,AK$57),""),2,1)="/",MID(IFERROR(INDEX(醫師週班表!$C$5:$T$44,$CU29,AK$57),""),1+AK$58*2,1),IF(MID(IFERROR(INDEX(醫師週班表!$C$5:$T$44,$CU29,AK$57),""),3,1)="隔",IF(AK$58=0,LEFT(IFERROR(INDEX(醫師週班表!$C$5:$T$44,$CU29,AK$57),""),1),""),IF(MID(IFERROR(INDEX(醫師週班表!$C$5:$T$44,$CU29,AK$57),""),2,1)="(",LEFT(IFERROR(INDEX(醫師週班表!$C$5:$T$44,$CU29,AK$57),""),1),IFERROR(INDEX(醫師週班表!$C$5:$T$44,$CU29,AK$57),"")))))))</f>
        <v/>
      </c>
      <c r="AL29" s="71">
        <f>IF(AL$59="X","",IF(AL$59&lt;&gt;"",AL$59,IF(IFERROR(INDEX(醫師週班表!$C$5:$T$44,$CU29,AL$57),"")=0,"",IF(MID(IFERROR(INDEX(醫師週班表!$C$5:$T$44,$CU29,AL$57),""),2,1)="/",MID(IFERROR(INDEX(醫師週班表!$C$5:$T$44,$CU29,AL$57),""),1+AL$58*2,1),IF(MID(IFERROR(INDEX(醫師週班表!$C$5:$T$44,$CU29,AL$57),""),3,1)="隔",IF(AL$58=0,LEFT(IFERROR(INDEX(醫師週班表!$C$5:$T$44,$CU29,AL$57),""),1),""),IF(MID(IFERROR(INDEX(醫師週班表!$C$5:$T$44,$CU29,AL$57),""),2,1)="(",LEFT(IFERROR(INDEX(醫師週班表!$C$5:$T$44,$CU29,AL$57),""),1),IFERROR(INDEX(醫師週班表!$C$5:$T$44,$CU29,AL$57),"")))))))</f>
        <v/>
      </c>
      <c r="AM29" s="72">
        <f>IF(AM$59="X","",IF(AM$59&lt;&gt;"",AM$59,IF(IFERROR(INDEX(醫師週班表!$C$5:$T$44,$CU29,AM$57),"")=0,"",IF(MID(IFERROR(INDEX(醫師週班表!$C$5:$T$44,$CU29,AM$57),""),2,1)="/",MID(IFERROR(INDEX(醫師週班表!$C$5:$T$44,$CU29,AM$57),""),1+AM$58*2,1),IF(MID(IFERROR(INDEX(醫師週班表!$C$5:$T$44,$CU29,AM$57),""),3,1)="隔",IF(AM$58=0,LEFT(IFERROR(INDEX(醫師週班表!$C$5:$T$44,$CU29,AM$57),""),1),""),IF(MID(IFERROR(INDEX(醫師週班表!$C$5:$T$44,$CU29,AM$57),""),2,1)="(",LEFT(IFERROR(INDEX(醫師週班表!$C$5:$T$44,$CU29,AM$57),""),1),IFERROR(INDEX(醫師週班表!$C$5:$T$44,$CU29,AM$57),"")))))))</f>
        <v/>
      </c>
      <c r="AN29" s="72">
        <f>IF(AN$59="X","",IF(AN$59&lt;&gt;"",AN$59,IF(IFERROR(INDEX(醫師週班表!$C$5:$T$44,$CU29,AN$57),"")=0,"",IF(MID(IFERROR(INDEX(醫師週班表!$C$5:$T$44,$CU29,AN$57),""),2,1)="/",MID(IFERROR(INDEX(醫師週班表!$C$5:$T$44,$CU29,AN$57),""),1+AN$58*2,1),IF(MID(IFERROR(INDEX(醫師週班表!$C$5:$T$44,$CU29,AN$57),""),3,1)="隔",IF(AN$58=0,LEFT(IFERROR(INDEX(醫師週班表!$C$5:$T$44,$CU29,AN$57),""),1),""),IF(MID(IFERROR(INDEX(醫師週班表!$C$5:$T$44,$CU29,AN$57),""),2,1)="(",LEFT(IFERROR(INDEX(醫師週班表!$C$5:$T$44,$CU29,AN$57),""),1),IFERROR(INDEX(醫師週班表!$C$5:$T$44,$CU29,AN$57),"")))))))</f>
        <v/>
      </c>
      <c r="AO29" s="71">
        <f>IF(AO$59="X","",IF(AO$59&lt;&gt;"",AO$59,IF(IFERROR(INDEX(醫師週班表!$C$5:$T$44,$CU29,AO$57),"")=0,"",IF(MID(IFERROR(INDEX(醫師週班表!$C$5:$T$44,$CU29,AO$57),""),2,1)="/",MID(IFERROR(INDEX(醫師週班表!$C$5:$T$44,$CU29,AO$57),""),1+AO$58*2,1),IF(MID(IFERROR(INDEX(醫師週班表!$C$5:$T$44,$CU29,AO$57),""),3,1)="隔",IF(AO$58=0,LEFT(IFERROR(INDEX(醫師週班表!$C$5:$T$44,$CU29,AO$57),""),1),""),IF(MID(IFERROR(INDEX(醫師週班表!$C$5:$T$44,$CU29,AO$57),""),2,1)="(",LEFT(IFERROR(INDEX(醫師週班表!$C$5:$T$44,$CU29,AO$57),""),1),IFERROR(INDEX(醫師週班表!$C$5:$T$44,$CU29,AO$57),"")))))))</f>
        <v/>
      </c>
      <c r="AP29" s="72">
        <f>IF(AP$59="X","",IF(AP$59&lt;&gt;"",AP$59,IF(IFERROR(INDEX(醫師週班表!$C$5:$T$44,$CU29,AP$57),"")=0,"",IF(MID(IFERROR(INDEX(醫師週班表!$C$5:$T$44,$CU29,AP$57),""),2,1)="/",MID(IFERROR(INDEX(醫師週班表!$C$5:$T$44,$CU29,AP$57),""),1+AP$58*2,1),IF(MID(IFERROR(INDEX(醫師週班表!$C$5:$T$44,$CU29,AP$57),""),3,1)="隔",IF(AP$58=0,LEFT(IFERROR(INDEX(醫師週班表!$C$5:$T$44,$CU29,AP$57),""),1),""),IF(MID(IFERROR(INDEX(醫師週班表!$C$5:$T$44,$CU29,AP$57),""),2,1)="(",LEFT(IFERROR(INDEX(醫師週班表!$C$5:$T$44,$CU29,AP$57),""),1),IFERROR(INDEX(醫師週班表!$C$5:$T$44,$CU29,AP$57),"")))))))</f>
        <v/>
      </c>
      <c r="AQ29" s="72">
        <f>IF(AQ$59="X","",IF(AQ$59&lt;&gt;"",AQ$59,IF(IFERROR(INDEX(醫師週班表!$C$5:$T$44,$CU29,AQ$57),"")=0,"",IF(MID(IFERROR(INDEX(醫師週班表!$C$5:$T$44,$CU29,AQ$57),""),2,1)="/",MID(IFERROR(INDEX(醫師週班表!$C$5:$T$44,$CU29,AQ$57),""),1+AQ$58*2,1),IF(MID(IFERROR(INDEX(醫師週班表!$C$5:$T$44,$CU29,AQ$57),""),3,1)="隔",IF(AQ$58=0,LEFT(IFERROR(INDEX(醫師週班表!$C$5:$T$44,$CU29,AQ$57),""),1),""),IF(MID(IFERROR(INDEX(醫師週班表!$C$5:$T$44,$CU29,AQ$57),""),2,1)="(",LEFT(IFERROR(INDEX(醫師週班表!$C$5:$T$44,$CU29,AQ$57),""),1),IFERROR(INDEX(醫師週班表!$C$5:$T$44,$CU29,AQ$57),"")))))))</f>
        <v/>
      </c>
      <c r="AR29" s="71">
        <f>IF(AR$59="X","",IF(AR$59&lt;&gt;"",AR$59,IF(IFERROR(INDEX(醫師週班表!$C$5:$T$44,$CU29,AR$57),"")=0,"",IF(MID(IFERROR(INDEX(醫師週班表!$C$5:$T$44,$CU29,AR$57),""),2,1)="/",MID(IFERROR(INDEX(醫師週班表!$C$5:$T$44,$CU29,AR$57),""),1+AR$58*2,1),IF(MID(IFERROR(INDEX(醫師週班表!$C$5:$T$44,$CU29,AR$57),""),3,1)="隔",IF(AR$58=0,LEFT(IFERROR(INDEX(醫師週班表!$C$5:$T$44,$CU29,AR$57),""),1),""),IF(MID(IFERROR(INDEX(醫師週班表!$C$5:$T$44,$CU29,AR$57),""),2,1)="(",LEFT(IFERROR(INDEX(醫師週班表!$C$5:$T$44,$CU29,AR$57),""),1),IFERROR(INDEX(醫師週班表!$C$5:$T$44,$CU29,AR$57),"")))))))</f>
        <v/>
      </c>
      <c r="AS29" s="72">
        <f>IF(AS$59="X","",IF(AS$59&lt;&gt;"",AS$59,IF(IFERROR(INDEX(醫師週班表!$C$5:$T$44,$CU29,AS$57),"")=0,"",IF(MID(IFERROR(INDEX(醫師週班表!$C$5:$T$44,$CU29,AS$57),""),2,1)="/",MID(IFERROR(INDEX(醫師週班表!$C$5:$T$44,$CU29,AS$57),""),1+AS$58*2,1),IF(MID(IFERROR(INDEX(醫師週班表!$C$5:$T$44,$CU29,AS$57),""),3,1)="隔",IF(AS$58=0,LEFT(IFERROR(INDEX(醫師週班表!$C$5:$T$44,$CU29,AS$57),""),1),""),IF(MID(IFERROR(INDEX(醫師週班表!$C$5:$T$44,$CU29,AS$57),""),2,1)="(",LEFT(IFERROR(INDEX(醫師週班表!$C$5:$T$44,$CU29,AS$57),""),1),IFERROR(INDEX(醫師週班表!$C$5:$T$44,$CU29,AS$57),"")))))))</f>
        <v/>
      </c>
      <c r="AT29" s="72">
        <f>IF(AT$59="X","",IF(AT$59&lt;&gt;"",AT$59,IF(IFERROR(INDEX(醫師週班表!$C$5:$T$44,$CU29,AT$57),"")=0,"",IF(MID(IFERROR(INDEX(醫師週班表!$C$5:$T$44,$CU29,AT$57),""),2,1)="/",MID(IFERROR(INDEX(醫師週班表!$C$5:$T$44,$CU29,AT$57),""),1+AT$58*2,1),IF(MID(IFERROR(INDEX(醫師週班表!$C$5:$T$44,$CU29,AT$57),""),3,1)="隔",IF(AT$58=0,LEFT(IFERROR(INDEX(醫師週班表!$C$5:$T$44,$CU29,AT$57),""),1),""),IF(MID(IFERROR(INDEX(醫師週班表!$C$5:$T$44,$CU29,AT$57),""),2,1)="(",LEFT(IFERROR(INDEX(醫師週班表!$C$5:$T$44,$CU29,AT$57),""),1),IFERROR(INDEX(醫師週班表!$C$5:$T$44,$CU29,AT$57),"")))))))</f>
        <v/>
      </c>
      <c r="AU29" s="71">
        <f>IF(AU$59="X","",IF(AU$59&lt;&gt;"",AU$59,IF(IFERROR(INDEX(醫師週班表!$C$5:$T$44,$CU29,AU$57),"")=0,"",IF(MID(IFERROR(INDEX(醫師週班表!$C$5:$T$44,$CU29,AU$57),""),2,1)="/",MID(IFERROR(INDEX(醫師週班表!$C$5:$T$44,$CU29,AU$57),""),1+AU$58*2,1),IF(MID(IFERROR(INDEX(醫師週班表!$C$5:$T$44,$CU29,AU$57),""),3,1)="隔",IF(AU$58=0,LEFT(IFERROR(INDEX(醫師週班表!$C$5:$T$44,$CU29,AU$57),""),1),""),IF(MID(IFERROR(INDEX(醫師週班表!$C$5:$T$44,$CU29,AU$57),""),2,1)="(",LEFT(IFERROR(INDEX(醫師週班表!$C$5:$T$44,$CU29,AU$57),""),1),IFERROR(INDEX(醫師週班表!$C$5:$T$44,$CU29,AU$57),"")))))))</f>
        <v/>
      </c>
      <c r="AV29" s="72">
        <f>IF(AV$59="X","",IF(AV$59&lt;&gt;"",AV$59,IF(IFERROR(INDEX(醫師週班表!$C$5:$T$44,$CU29,AV$57),"")=0,"",IF(MID(IFERROR(INDEX(醫師週班表!$C$5:$T$44,$CU29,AV$57),""),2,1)="/",MID(IFERROR(INDEX(醫師週班表!$C$5:$T$44,$CU29,AV$57),""),1+AV$58*2,1),IF(MID(IFERROR(INDEX(醫師週班表!$C$5:$T$44,$CU29,AV$57),""),3,1)="隔",IF(AV$58=0,LEFT(IFERROR(INDEX(醫師週班表!$C$5:$T$44,$CU29,AV$57),""),1),""),IF(MID(IFERROR(INDEX(醫師週班表!$C$5:$T$44,$CU29,AV$57),""),2,1)="(",LEFT(IFERROR(INDEX(醫師週班表!$C$5:$T$44,$CU29,AV$57),""),1),IFERROR(INDEX(醫師週班表!$C$5:$T$44,$CU29,AV$57),"")))))))</f>
        <v/>
      </c>
      <c r="AW29" s="72">
        <f>IF(AW$59="X","",IF(AW$59&lt;&gt;"",AW$59,IF(IFERROR(INDEX(醫師週班表!$C$5:$T$44,$CU29,AW$57),"")=0,"",IF(MID(IFERROR(INDEX(醫師週班表!$C$5:$T$44,$CU29,AW$57),""),2,1)="/",MID(IFERROR(INDEX(醫師週班表!$C$5:$T$44,$CU29,AW$57),""),1+AW$58*2,1),IF(MID(IFERROR(INDEX(醫師週班表!$C$5:$T$44,$CU29,AW$57),""),3,1)="隔",IF(AW$58=0,LEFT(IFERROR(INDEX(醫師週班表!$C$5:$T$44,$CU29,AW$57),""),1),""),IF(MID(IFERROR(INDEX(醫師週班表!$C$5:$T$44,$CU29,AW$57),""),2,1)="(",LEFT(IFERROR(INDEX(醫師週班表!$C$5:$T$44,$CU29,AW$57),""),1),IFERROR(INDEX(醫師週班表!$C$5:$T$44,$CU29,AW$57),"")))))))</f>
        <v/>
      </c>
      <c r="AX29" s="71">
        <f>IF(AX$59="X","",IF(AX$59&lt;&gt;"",AX$59,IF(IFERROR(INDEX(醫師週班表!$C$5:$T$44,$CU29,AX$57),"")=0,"",IF(MID(IFERROR(INDEX(醫師週班表!$C$5:$T$44,$CU29,AX$57),""),2,1)="/",MID(IFERROR(INDEX(醫師週班表!$C$5:$T$44,$CU29,AX$57),""),1+AX$58*2,1),IF(MID(IFERROR(INDEX(醫師週班表!$C$5:$T$44,$CU29,AX$57),""),3,1)="隔",IF(AX$58=0,LEFT(IFERROR(INDEX(醫師週班表!$C$5:$T$44,$CU29,AX$57),""),1),""),IF(MID(IFERROR(INDEX(醫師週班表!$C$5:$T$44,$CU29,AX$57),""),2,1)="(",LEFT(IFERROR(INDEX(醫師週班表!$C$5:$T$44,$CU29,AX$57),""),1),IFERROR(INDEX(醫師週班表!$C$5:$T$44,$CU29,AX$57),"")))))))</f>
        <v/>
      </c>
      <c r="AY29" s="72">
        <f>IF(AY$59="X","",IF(AY$59&lt;&gt;"",AY$59,IF(IFERROR(INDEX(醫師週班表!$C$5:$T$44,$CU29,AY$57),"")=0,"",IF(MID(IFERROR(INDEX(醫師週班表!$C$5:$T$44,$CU29,AY$57),""),2,1)="/",MID(IFERROR(INDEX(醫師週班表!$C$5:$T$44,$CU29,AY$57),""),1+AY$58*2,1),IF(MID(IFERROR(INDEX(醫師週班表!$C$5:$T$44,$CU29,AY$57),""),3,1)="隔",IF(AY$58=0,LEFT(IFERROR(INDEX(醫師週班表!$C$5:$T$44,$CU29,AY$57),""),1),""),IF(MID(IFERROR(INDEX(醫師週班表!$C$5:$T$44,$CU29,AY$57),""),2,1)="(",LEFT(IFERROR(INDEX(醫師週班表!$C$5:$T$44,$CU29,AY$57),""),1),IFERROR(INDEX(醫師週班表!$C$5:$T$44,$CU29,AY$57),"")))))))</f>
        <v/>
      </c>
      <c r="AZ29" s="72">
        <f>IF(AZ$59="X","",IF(AZ$59&lt;&gt;"",AZ$59,IF(IFERROR(INDEX(醫師週班表!$C$5:$T$44,$CU29,AZ$57),"")=0,"",IF(MID(IFERROR(INDEX(醫師週班表!$C$5:$T$44,$CU29,AZ$57),""),2,1)="/",MID(IFERROR(INDEX(醫師週班表!$C$5:$T$44,$CU29,AZ$57),""),1+AZ$58*2,1),IF(MID(IFERROR(INDEX(醫師週班表!$C$5:$T$44,$CU29,AZ$57),""),3,1)="隔",IF(AZ$58=0,LEFT(IFERROR(INDEX(醫師週班表!$C$5:$T$44,$CU29,AZ$57),""),1),""),IF(MID(IFERROR(INDEX(醫師週班表!$C$5:$T$44,$CU29,AZ$57),""),2,1)="(",LEFT(IFERROR(INDEX(醫師週班表!$C$5:$T$44,$CU29,AZ$57),""),1),IFERROR(INDEX(醫師週班表!$C$5:$T$44,$CU29,AZ$57),"")))))))</f>
        <v/>
      </c>
      <c r="BA29" s="71">
        <f>IF(BA$59="X","",IF(BA$59&lt;&gt;"",BA$59,IF(IFERROR(INDEX(醫師週班表!$C$5:$T$44,$CU29,BA$57),"")=0,"",IF(MID(IFERROR(INDEX(醫師週班表!$C$5:$T$44,$CU29,BA$57),""),2,1)="/",MID(IFERROR(INDEX(醫師週班表!$C$5:$T$44,$CU29,BA$57),""),1+BA$58*2,1),IF(MID(IFERROR(INDEX(醫師週班表!$C$5:$T$44,$CU29,BA$57),""),3,1)="隔",IF(BA$58=0,LEFT(IFERROR(INDEX(醫師週班表!$C$5:$T$44,$CU29,BA$57),""),1),""),IF(MID(IFERROR(INDEX(醫師週班表!$C$5:$T$44,$CU29,BA$57),""),2,1)="(",LEFT(IFERROR(INDEX(醫師週班表!$C$5:$T$44,$CU29,BA$57),""),1),IFERROR(INDEX(醫師週班表!$C$5:$T$44,$CU29,BA$57),"")))))))</f>
        <v/>
      </c>
      <c r="BB29" s="72">
        <f>IF(BB$59="X","",IF(BB$59&lt;&gt;"",BB$59,IF(IFERROR(INDEX(醫師週班表!$C$5:$T$44,$CU29,BB$57),"")=0,"",IF(MID(IFERROR(INDEX(醫師週班表!$C$5:$T$44,$CU29,BB$57),""),2,1)="/",MID(IFERROR(INDEX(醫師週班表!$C$5:$T$44,$CU29,BB$57),""),1+BB$58*2,1),IF(MID(IFERROR(INDEX(醫師週班表!$C$5:$T$44,$CU29,BB$57),""),3,1)="隔",IF(BB$58=0,LEFT(IFERROR(INDEX(醫師週班表!$C$5:$T$44,$CU29,BB$57),""),1),""),IF(MID(IFERROR(INDEX(醫師週班表!$C$5:$T$44,$CU29,BB$57),""),2,1)="(",LEFT(IFERROR(INDEX(醫師週班表!$C$5:$T$44,$CU29,BB$57),""),1),IFERROR(INDEX(醫師週班表!$C$5:$T$44,$CU29,BB$57),"")))))))</f>
        <v/>
      </c>
      <c r="BC29" s="72">
        <f>IF(BC$59="X","",IF(BC$59&lt;&gt;"",BC$59,IF(IFERROR(INDEX(醫師週班表!$C$5:$T$44,$CU29,BC$57),"")=0,"",IF(MID(IFERROR(INDEX(醫師週班表!$C$5:$T$44,$CU29,BC$57),""),2,1)="/",MID(IFERROR(INDEX(醫師週班表!$C$5:$T$44,$CU29,BC$57),""),1+BC$58*2,1),IF(MID(IFERROR(INDEX(醫師週班表!$C$5:$T$44,$CU29,BC$57),""),3,1)="隔",IF(BC$58=0,LEFT(IFERROR(INDEX(醫師週班表!$C$5:$T$44,$CU29,BC$57),""),1),""),IF(MID(IFERROR(INDEX(醫師週班表!$C$5:$T$44,$CU29,BC$57),""),2,1)="(",LEFT(IFERROR(INDEX(醫師週班表!$C$5:$T$44,$CU29,BC$57),""),1),IFERROR(INDEX(醫師週班表!$C$5:$T$44,$CU29,BC$57),"")))))))</f>
        <v/>
      </c>
      <c r="BD29" s="71">
        <f>IF(BD$59="X","",IF(BD$59&lt;&gt;"",BD$59,IF(IFERROR(INDEX(醫師週班表!$C$5:$T$44,$CU29,BD$57),"")=0,"",IF(MID(IFERROR(INDEX(醫師週班表!$C$5:$T$44,$CU29,BD$57),""),2,1)="/",MID(IFERROR(INDEX(醫師週班表!$C$5:$T$44,$CU29,BD$57),""),1+BD$58*2,1),IF(MID(IFERROR(INDEX(醫師週班表!$C$5:$T$44,$CU29,BD$57),""),3,1)="隔",IF(BD$58=0,LEFT(IFERROR(INDEX(醫師週班表!$C$5:$T$44,$CU29,BD$57),""),1),""),IF(MID(IFERROR(INDEX(醫師週班表!$C$5:$T$44,$CU29,BD$57),""),2,1)="(",LEFT(IFERROR(INDEX(醫師週班表!$C$5:$T$44,$CU29,BD$57),""),1),IFERROR(INDEX(醫師週班表!$C$5:$T$44,$CU29,BD$57),"")))))))</f>
        <v/>
      </c>
      <c r="BE29" s="72">
        <f>IF(BE$59="X","",IF(BE$59&lt;&gt;"",BE$59,IF(IFERROR(INDEX(醫師週班表!$C$5:$T$44,$CU29,BE$57),"")=0,"",IF(MID(IFERROR(INDEX(醫師週班表!$C$5:$T$44,$CU29,BE$57),""),2,1)="/",MID(IFERROR(INDEX(醫師週班表!$C$5:$T$44,$CU29,BE$57),""),1+BE$58*2,1),IF(MID(IFERROR(INDEX(醫師週班表!$C$5:$T$44,$CU29,BE$57),""),3,1)="隔",IF(BE$58=0,LEFT(IFERROR(INDEX(醫師週班表!$C$5:$T$44,$CU29,BE$57),""),1),""),IF(MID(IFERROR(INDEX(醫師週班表!$C$5:$T$44,$CU29,BE$57),""),2,1)="(",LEFT(IFERROR(INDEX(醫師週班表!$C$5:$T$44,$CU29,BE$57),""),1),IFERROR(INDEX(醫師週班表!$C$5:$T$44,$CU29,BE$57),"")))))))</f>
        <v/>
      </c>
      <c r="BF29" s="72">
        <f>IF(BF$59="X","",IF(BF$59&lt;&gt;"",BF$59,IF(IFERROR(INDEX(醫師週班表!$C$5:$T$44,$CU29,BF$57),"")=0,"",IF(MID(IFERROR(INDEX(醫師週班表!$C$5:$T$44,$CU29,BF$57),""),2,1)="/",MID(IFERROR(INDEX(醫師週班表!$C$5:$T$44,$CU29,BF$57),""),1+BF$58*2,1),IF(MID(IFERROR(INDEX(醫師週班表!$C$5:$T$44,$CU29,BF$57),""),3,1)="隔",IF(BF$58=0,LEFT(IFERROR(INDEX(醫師週班表!$C$5:$T$44,$CU29,BF$57),""),1),""),IF(MID(IFERROR(INDEX(醫師週班表!$C$5:$T$44,$CU29,BF$57),""),2,1)="(",LEFT(IFERROR(INDEX(醫師週班表!$C$5:$T$44,$CU29,BF$57),""),1),IFERROR(INDEX(醫師週班表!$C$5:$T$44,$CU29,BF$57),"")))))))</f>
        <v/>
      </c>
      <c r="BG29" s="71">
        <f>IF(BG$59="X","",IF(BG$59&lt;&gt;"",BG$59,IF(IFERROR(INDEX(醫師週班表!$C$5:$T$44,$CU29,BG$57),"")=0,"",IF(MID(IFERROR(INDEX(醫師週班表!$C$5:$T$44,$CU29,BG$57),""),2,1)="/",MID(IFERROR(INDEX(醫師週班表!$C$5:$T$44,$CU29,BG$57),""),1+BG$58*2,1),IF(MID(IFERROR(INDEX(醫師週班表!$C$5:$T$44,$CU29,BG$57),""),3,1)="隔",IF(BG$58=0,LEFT(IFERROR(INDEX(醫師週班表!$C$5:$T$44,$CU29,BG$57),""),1),""),IF(MID(IFERROR(INDEX(醫師週班表!$C$5:$T$44,$CU29,BG$57),""),2,1)="(",LEFT(IFERROR(INDEX(醫師週班表!$C$5:$T$44,$CU29,BG$57),""),1),IFERROR(INDEX(醫師週班表!$C$5:$T$44,$CU29,BG$57),"")))))))</f>
        <v/>
      </c>
      <c r="BH29" s="72">
        <f>IF(BH$59="X","",IF(BH$59&lt;&gt;"",BH$59,IF(IFERROR(INDEX(醫師週班表!$C$5:$T$44,$CU29,BH$57),"")=0,"",IF(MID(IFERROR(INDEX(醫師週班表!$C$5:$T$44,$CU29,BH$57),""),2,1)="/",MID(IFERROR(INDEX(醫師週班表!$C$5:$T$44,$CU29,BH$57),""),1+BH$58*2,1),IF(MID(IFERROR(INDEX(醫師週班表!$C$5:$T$44,$CU29,BH$57),""),3,1)="隔",IF(BH$58=0,LEFT(IFERROR(INDEX(醫師週班表!$C$5:$T$44,$CU29,BH$57),""),1),""),IF(MID(IFERROR(INDEX(醫師週班表!$C$5:$T$44,$CU29,BH$57),""),2,1)="(",LEFT(IFERROR(INDEX(醫師週班表!$C$5:$T$44,$CU29,BH$57),""),1),IFERROR(INDEX(醫師週班表!$C$5:$T$44,$CU29,BH$57),"")))))))</f>
        <v/>
      </c>
      <c r="BI29" s="72">
        <f>IF(BI$59="X","",IF(BI$59&lt;&gt;"",BI$59,IF(IFERROR(INDEX(醫師週班表!$C$5:$T$44,$CU29,BI$57),"")=0,"",IF(MID(IFERROR(INDEX(醫師週班表!$C$5:$T$44,$CU29,BI$57),""),2,1)="/",MID(IFERROR(INDEX(醫師週班表!$C$5:$T$44,$CU29,BI$57),""),1+BI$58*2,1),IF(MID(IFERROR(INDEX(醫師週班表!$C$5:$T$44,$CU29,BI$57),""),3,1)="隔",IF(BI$58=0,LEFT(IFERROR(INDEX(醫師週班表!$C$5:$T$44,$CU29,BI$57),""),1),""),IF(MID(IFERROR(INDEX(醫師週班表!$C$5:$T$44,$CU29,BI$57),""),2,1)="(",LEFT(IFERROR(INDEX(醫師週班表!$C$5:$T$44,$CU29,BI$57),""),1),IFERROR(INDEX(醫師週班表!$C$5:$T$44,$CU29,BI$57),"")))))))</f>
        <v/>
      </c>
      <c r="BJ29" s="71">
        <f>IF(BJ$59="X","",IF(BJ$59&lt;&gt;"",BJ$59,IF(IFERROR(INDEX(醫師週班表!$C$5:$T$44,$CU29,BJ$57),"")=0,"",IF(MID(IFERROR(INDEX(醫師週班表!$C$5:$T$44,$CU29,BJ$57),""),2,1)="/",MID(IFERROR(INDEX(醫師週班表!$C$5:$T$44,$CU29,BJ$57),""),1+BJ$58*2,1),IF(MID(IFERROR(INDEX(醫師週班表!$C$5:$T$44,$CU29,BJ$57),""),3,1)="隔",IF(BJ$58=0,LEFT(IFERROR(INDEX(醫師週班表!$C$5:$T$44,$CU29,BJ$57),""),1),""),IF(MID(IFERROR(INDEX(醫師週班表!$C$5:$T$44,$CU29,BJ$57),""),2,1)="(",LEFT(IFERROR(INDEX(醫師週班表!$C$5:$T$44,$CU29,BJ$57),""),1),IFERROR(INDEX(醫師週班表!$C$5:$T$44,$CU29,BJ$57),"")))))))</f>
        <v/>
      </c>
      <c r="BK29" s="72">
        <f>IF(BK$59="X","",IF(BK$59&lt;&gt;"",BK$59,IF(IFERROR(INDEX(醫師週班表!$C$5:$T$44,$CU29,BK$57),"")=0,"",IF(MID(IFERROR(INDEX(醫師週班表!$C$5:$T$44,$CU29,BK$57),""),2,1)="/",MID(IFERROR(INDEX(醫師週班表!$C$5:$T$44,$CU29,BK$57),""),1+BK$58*2,1),IF(MID(IFERROR(INDEX(醫師週班表!$C$5:$T$44,$CU29,BK$57),""),3,1)="隔",IF(BK$58=0,LEFT(IFERROR(INDEX(醫師週班表!$C$5:$T$44,$CU29,BK$57),""),1),""),IF(MID(IFERROR(INDEX(醫師週班表!$C$5:$T$44,$CU29,BK$57),""),2,1)="(",LEFT(IFERROR(INDEX(醫師週班表!$C$5:$T$44,$CU29,BK$57),""),1),IFERROR(INDEX(醫師週班表!$C$5:$T$44,$CU29,BK$57),"")))))))</f>
        <v/>
      </c>
      <c r="BL29" s="72">
        <f>IF(BL$59="X","",IF(BL$59&lt;&gt;"",BL$59,IF(IFERROR(INDEX(醫師週班表!$C$5:$T$44,$CU29,BL$57),"")=0,"",IF(MID(IFERROR(INDEX(醫師週班表!$C$5:$T$44,$CU29,BL$57),""),2,1)="/",MID(IFERROR(INDEX(醫師週班表!$C$5:$T$44,$CU29,BL$57),""),1+BL$58*2,1),IF(MID(IFERROR(INDEX(醫師週班表!$C$5:$T$44,$CU29,BL$57),""),3,1)="隔",IF(BL$58=0,LEFT(IFERROR(INDEX(醫師週班表!$C$5:$T$44,$CU29,BL$57),""),1),""),IF(MID(IFERROR(INDEX(醫師週班表!$C$5:$T$44,$CU29,BL$57),""),2,1)="(",LEFT(IFERROR(INDEX(醫師週班表!$C$5:$T$44,$CU29,BL$57),""),1),IFERROR(INDEX(醫師週班表!$C$5:$T$44,$CU29,BL$57),"")))))))</f>
        <v/>
      </c>
      <c r="BM29" s="71">
        <f>IF(BM$59="X","",IF(BM$59&lt;&gt;"",BM$59,IF(IFERROR(INDEX(醫師週班表!$C$5:$T$44,$CU29,BM$57),"")=0,"",IF(MID(IFERROR(INDEX(醫師週班表!$C$5:$T$44,$CU29,BM$57),""),2,1)="/",MID(IFERROR(INDEX(醫師週班表!$C$5:$T$44,$CU29,BM$57),""),1+BM$58*2,1),IF(MID(IFERROR(INDEX(醫師週班表!$C$5:$T$44,$CU29,BM$57),""),3,1)="隔",IF(BM$58=0,LEFT(IFERROR(INDEX(醫師週班表!$C$5:$T$44,$CU29,BM$57),""),1),""),IF(MID(IFERROR(INDEX(醫師週班表!$C$5:$T$44,$CU29,BM$57),""),2,1)="(",LEFT(IFERROR(INDEX(醫師週班表!$C$5:$T$44,$CU29,BM$57),""),1),IFERROR(INDEX(醫師週班表!$C$5:$T$44,$CU29,BM$57),"")))))))</f>
        <v/>
      </c>
      <c r="BN29" s="72">
        <f>IF(BN$59="X","",IF(BN$59&lt;&gt;"",BN$59,IF(IFERROR(INDEX(醫師週班表!$C$5:$T$44,$CU29,BN$57),"")=0,"",IF(MID(IFERROR(INDEX(醫師週班表!$C$5:$T$44,$CU29,BN$57),""),2,1)="/",MID(IFERROR(INDEX(醫師週班表!$C$5:$T$44,$CU29,BN$57),""),1+BN$58*2,1),IF(MID(IFERROR(INDEX(醫師週班表!$C$5:$T$44,$CU29,BN$57),""),3,1)="隔",IF(BN$58=0,LEFT(IFERROR(INDEX(醫師週班表!$C$5:$T$44,$CU29,BN$57),""),1),""),IF(MID(IFERROR(INDEX(醫師週班表!$C$5:$T$44,$CU29,BN$57),""),2,1)="(",LEFT(IFERROR(INDEX(醫師週班表!$C$5:$T$44,$CU29,BN$57),""),1),IFERROR(INDEX(醫師週班表!$C$5:$T$44,$CU29,BN$57),"")))))))</f>
        <v/>
      </c>
      <c r="BO29" s="72">
        <f>IF(BO$59="X","",IF(BO$59&lt;&gt;"",BO$59,IF(IFERROR(INDEX(醫師週班表!$C$5:$T$44,$CU29,BO$57),"")=0,"",IF(MID(IFERROR(INDEX(醫師週班表!$C$5:$T$44,$CU29,BO$57),""),2,1)="/",MID(IFERROR(INDEX(醫師週班表!$C$5:$T$44,$CU29,BO$57),""),1+BO$58*2,1),IF(MID(IFERROR(INDEX(醫師週班表!$C$5:$T$44,$CU29,BO$57),""),3,1)="隔",IF(BO$58=0,LEFT(IFERROR(INDEX(醫師週班表!$C$5:$T$44,$CU29,BO$57),""),1),""),IF(MID(IFERROR(INDEX(醫師週班表!$C$5:$T$44,$CU29,BO$57),""),2,1)="(",LEFT(IFERROR(INDEX(醫師週班表!$C$5:$T$44,$CU29,BO$57),""),1),IFERROR(INDEX(醫師週班表!$C$5:$T$44,$CU29,BO$57),"")))))))</f>
        <v/>
      </c>
      <c r="BP29" s="71">
        <f>IF(BP$59="X","",IF(BP$59&lt;&gt;"",BP$59,IF(IFERROR(INDEX(醫師週班表!$C$5:$T$44,$CU29,BP$57),"")=0,"",IF(MID(IFERROR(INDEX(醫師週班表!$C$5:$T$44,$CU29,BP$57),""),2,1)="/",MID(IFERROR(INDEX(醫師週班表!$C$5:$T$44,$CU29,BP$57),""),1+BP$58*2,1),IF(MID(IFERROR(INDEX(醫師週班表!$C$5:$T$44,$CU29,BP$57),""),3,1)="隔",IF(BP$58=0,LEFT(IFERROR(INDEX(醫師週班表!$C$5:$T$44,$CU29,BP$57),""),1),""),IF(MID(IFERROR(INDEX(醫師週班表!$C$5:$T$44,$CU29,BP$57),""),2,1)="(",LEFT(IFERROR(INDEX(醫師週班表!$C$5:$T$44,$CU29,BP$57),""),1),IFERROR(INDEX(醫師週班表!$C$5:$T$44,$CU29,BP$57),"")))))))</f>
        <v/>
      </c>
      <c r="BQ29" s="72">
        <f>IF(BQ$59="X","",IF(BQ$59&lt;&gt;"",BQ$59,IF(IFERROR(INDEX(醫師週班表!$C$5:$T$44,$CU29,BQ$57),"")=0,"",IF(MID(IFERROR(INDEX(醫師週班表!$C$5:$T$44,$CU29,BQ$57),""),2,1)="/",MID(IFERROR(INDEX(醫師週班表!$C$5:$T$44,$CU29,BQ$57),""),1+BQ$58*2,1),IF(MID(IFERROR(INDEX(醫師週班表!$C$5:$T$44,$CU29,BQ$57),""),3,1)="隔",IF(BQ$58=0,LEFT(IFERROR(INDEX(醫師週班表!$C$5:$T$44,$CU29,BQ$57),""),1),""),IF(MID(IFERROR(INDEX(醫師週班表!$C$5:$T$44,$CU29,BQ$57),""),2,1)="(",LEFT(IFERROR(INDEX(醫師週班表!$C$5:$T$44,$CU29,BQ$57),""),1),IFERROR(INDEX(醫師週班表!$C$5:$T$44,$CU29,BQ$57),"")))))))</f>
        <v/>
      </c>
      <c r="BR29" s="72">
        <f>IF(BR$59="X","",IF(BR$59&lt;&gt;"",BR$59,IF(IFERROR(INDEX(醫師週班表!$C$5:$T$44,$CU29,BR$57),"")=0,"",IF(MID(IFERROR(INDEX(醫師週班表!$C$5:$T$44,$CU29,BR$57),""),2,1)="/",MID(IFERROR(INDEX(醫師週班表!$C$5:$T$44,$CU29,BR$57),""),1+BR$58*2,1),IF(MID(IFERROR(INDEX(醫師週班表!$C$5:$T$44,$CU29,BR$57),""),3,1)="隔",IF(BR$58=0,LEFT(IFERROR(INDEX(醫師週班表!$C$5:$T$44,$CU29,BR$57),""),1),""),IF(MID(IFERROR(INDEX(醫師週班表!$C$5:$T$44,$CU29,BR$57),""),2,1)="(",LEFT(IFERROR(INDEX(醫師週班表!$C$5:$T$44,$CU29,BR$57),""),1),IFERROR(INDEX(醫師週班表!$C$5:$T$44,$CU29,BR$57),"")))))))</f>
        <v/>
      </c>
      <c r="BS29" s="71">
        <f>IF(BS$59="X","",IF(BS$59&lt;&gt;"",BS$59,IF(IFERROR(INDEX(醫師週班表!$C$5:$T$44,$CU29,BS$57),"")=0,"",IF(MID(IFERROR(INDEX(醫師週班表!$C$5:$T$44,$CU29,BS$57),""),2,1)="/",MID(IFERROR(INDEX(醫師週班表!$C$5:$T$44,$CU29,BS$57),""),1+BS$58*2,1),IF(MID(IFERROR(INDEX(醫師週班表!$C$5:$T$44,$CU29,BS$57),""),3,1)="隔",IF(BS$58=0,LEFT(IFERROR(INDEX(醫師週班表!$C$5:$T$44,$CU29,BS$57),""),1),""),IF(MID(IFERROR(INDEX(醫師週班表!$C$5:$T$44,$CU29,BS$57),""),2,1)="(",LEFT(IFERROR(INDEX(醫師週班表!$C$5:$T$44,$CU29,BS$57),""),1),IFERROR(INDEX(醫師週班表!$C$5:$T$44,$CU29,BS$57),"")))))))</f>
        <v/>
      </c>
      <c r="BT29" s="72">
        <f>IF(BT$59="X","",IF(BT$59&lt;&gt;"",BT$59,IF(IFERROR(INDEX(醫師週班表!$C$5:$T$44,$CU29,BT$57),"")=0,"",IF(MID(IFERROR(INDEX(醫師週班表!$C$5:$T$44,$CU29,BT$57),""),2,1)="/",MID(IFERROR(INDEX(醫師週班表!$C$5:$T$44,$CU29,BT$57),""),1+BT$58*2,1),IF(MID(IFERROR(INDEX(醫師週班表!$C$5:$T$44,$CU29,BT$57),""),3,1)="隔",IF(BT$58=0,LEFT(IFERROR(INDEX(醫師週班表!$C$5:$T$44,$CU29,BT$57),""),1),""),IF(MID(IFERROR(INDEX(醫師週班表!$C$5:$T$44,$CU29,BT$57),""),2,1)="(",LEFT(IFERROR(INDEX(醫師週班表!$C$5:$T$44,$CU29,BT$57),""),1),IFERROR(INDEX(醫師週班表!$C$5:$T$44,$CU29,BT$57),"")))))))</f>
        <v/>
      </c>
      <c r="BU29" s="72">
        <f>IF(BU$59="X","",IF(BU$59&lt;&gt;"",BU$59,IF(IFERROR(INDEX(醫師週班表!$C$5:$T$44,$CU29,BU$57),"")=0,"",IF(MID(IFERROR(INDEX(醫師週班表!$C$5:$T$44,$CU29,BU$57),""),2,1)="/",MID(IFERROR(INDEX(醫師週班表!$C$5:$T$44,$CU29,BU$57),""),1+BU$58*2,1),IF(MID(IFERROR(INDEX(醫師週班表!$C$5:$T$44,$CU29,BU$57),""),3,1)="隔",IF(BU$58=0,LEFT(IFERROR(INDEX(醫師週班表!$C$5:$T$44,$CU29,BU$57),""),1),""),IF(MID(IFERROR(INDEX(醫師週班表!$C$5:$T$44,$CU29,BU$57),""),2,1)="(",LEFT(IFERROR(INDEX(醫師週班表!$C$5:$T$44,$CU29,BU$57),""),1),IFERROR(INDEX(醫師週班表!$C$5:$T$44,$CU29,BU$57),"")))))))</f>
        <v/>
      </c>
      <c r="BV29" s="71">
        <f>IF(BV$59="X","",IF(BV$59&lt;&gt;"",BV$59,IF(IFERROR(INDEX(醫師週班表!$C$5:$T$44,$CU29,BV$57),"")=0,"",IF(MID(IFERROR(INDEX(醫師週班表!$C$5:$T$44,$CU29,BV$57),""),2,1)="/",MID(IFERROR(INDEX(醫師週班表!$C$5:$T$44,$CU29,BV$57),""),1+BV$58*2,1),IF(MID(IFERROR(INDEX(醫師週班表!$C$5:$T$44,$CU29,BV$57),""),3,1)="隔",IF(BV$58=0,LEFT(IFERROR(INDEX(醫師週班表!$C$5:$T$44,$CU29,BV$57),""),1),""),IF(MID(IFERROR(INDEX(醫師週班表!$C$5:$T$44,$CU29,BV$57),""),2,1)="(",LEFT(IFERROR(INDEX(醫師週班表!$C$5:$T$44,$CU29,BV$57),""),1),IFERROR(INDEX(醫師週班表!$C$5:$T$44,$CU29,BV$57),"")))))))</f>
        <v/>
      </c>
      <c r="BW29" s="72">
        <f>IF(BW$59="X","",IF(BW$59&lt;&gt;"",BW$59,IF(IFERROR(INDEX(醫師週班表!$C$5:$T$44,$CU29,BW$57),"")=0,"",IF(MID(IFERROR(INDEX(醫師週班表!$C$5:$T$44,$CU29,BW$57),""),2,1)="/",MID(IFERROR(INDEX(醫師週班表!$C$5:$T$44,$CU29,BW$57),""),1+BW$58*2,1),IF(MID(IFERROR(INDEX(醫師週班表!$C$5:$T$44,$CU29,BW$57),""),3,1)="隔",IF(BW$58=0,LEFT(IFERROR(INDEX(醫師週班表!$C$5:$T$44,$CU29,BW$57),""),1),""),IF(MID(IFERROR(INDEX(醫師週班表!$C$5:$T$44,$CU29,BW$57),""),2,1)="(",LEFT(IFERROR(INDEX(醫師週班表!$C$5:$T$44,$CU29,BW$57),""),1),IFERROR(INDEX(醫師週班表!$C$5:$T$44,$CU29,BW$57),"")))))))</f>
        <v/>
      </c>
      <c r="BX29" s="72">
        <f>IF(BX$59="X","",IF(BX$59&lt;&gt;"",BX$59,IF(IFERROR(INDEX(醫師週班表!$C$5:$T$44,$CU29,BX$57),"")=0,"",IF(MID(IFERROR(INDEX(醫師週班表!$C$5:$T$44,$CU29,BX$57),""),2,1)="/",MID(IFERROR(INDEX(醫師週班表!$C$5:$T$44,$CU29,BX$57),""),1+BX$58*2,1),IF(MID(IFERROR(INDEX(醫師週班表!$C$5:$T$44,$CU29,BX$57),""),3,1)="隔",IF(BX$58=0,LEFT(IFERROR(INDEX(醫師週班表!$C$5:$T$44,$CU29,BX$57),""),1),""),IF(MID(IFERROR(INDEX(醫師週班表!$C$5:$T$44,$CU29,BX$57),""),2,1)="(",LEFT(IFERROR(INDEX(醫師週班表!$C$5:$T$44,$CU29,BX$57),""),1),IFERROR(INDEX(醫師週班表!$C$5:$T$44,$CU29,BX$57),"")))))))</f>
        <v/>
      </c>
      <c r="BY29" s="71">
        <f>IF(BY$59="X","",IF(BY$59&lt;&gt;"",BY$59,IF(IFERROR(INDEX(醫師週班表!$C$5:$T$44,$CU29,BY$57),"")=0,"",IF(MID(IFERROR(INDEX(醫師週班表!$C$5:$T$44,$CU29,BY$57),""),2,1)="/",MID(IFERROR(INDEX(醫師週班表!$C$5:$T$44,$CU29,BY$57),""),1+BY$58*2,1),IF(MID(IFERROR(INDEX(醫師週班表!$C$5:$T$44,$CU29,BY$57),""),3,1)="隔",IF(BY$58=0,LEFT(IFERROR(INDEX(醫師週班表!$C$5:$T$44,$CU29,BY$57),""),1),""),IF(MID(IFERROR(INDEX(醫師週班表!$C$5:$T$44,$CU29,BY$57),""),2,1)="(",LEFT(IFERROR(INDEX(醫師週班表!$C$5:$T$44,$CU29,BY$57),""),1),IFERROR(INDEX(醫師週班表!$C$5:$T$44,$CU29,BY$57),"")))))))</f>
        <v/>
      </c>
      <c r="BZ29" s="72">
        <f>IF(BZ$59="X","",IF(BZ$59&lt;&gt;"",BZ$59,IF(IFERROR(INDEX(醫師週班表!$C$5:$T$44,$CU29,BZ$57),"")=0,"",IF(MID(IFERROR(INDEX(醫師週班表!$C$5:$T$44,$CU29,BZ$57),""),2,1)="/",MID(IFERROR(INDEX(醫師週班表!$C$5:$T$44,$CU29,BZ$57),""),1+BZ$58*2,1),IF(MID(IFERROR(INDEX(醫師週班表!$C$5:$T$44,$CU29,BZ$57),""),3,1)="隔",IF(BZ$58=0,LEFT(IFERROR(INDEX(醫師週班表!$C$5:$T$44,$CU29,BZ$57),""),1),""),IF(MID(IFERROR(INDEX(醫師週班表!$C$5:$T$44,$CU29,BZ$57),""),2,1)="(",LEFT(IFERROR(INDEX(醫師週班表!$C$5:$T$44,$CU29,BZ$57),""),1),IFERROR(INDEX(醫師週班表!$C$5:$T$44,$CU29,BZ$57),"")))))))</f>
        <v/>
      </c>
      <c r="CA29" s="72">
        <f>IF(CA$59="X","",IF(CA$59&lt;&gt;"",CA$59,IF(IFERROR(INDEX(醫師週班表!$C$5:$T$44,$CU29,CA$57),"")=0,"",IF(MID(IFERROR(INDEX(醫師週班表!$C$5:$T$44,$CU29,CA$57),""),2,1)="/",MID(IFERROR(INDEX(醫師週班表!$C$5:$T$44,$CU29,CA$57),""),1+CA$58*2,1),IF(MID(IFERROR(INDEX(醫師週班表!$C$5:$T$44,$CU29,CA$57),""),3,1)="隔",IF(CA$58=0,LEFT(IFERROR(INDEX(醫師週班表!$C$5:$T$44,$CU29,CA$57),""),1),""),IF(MID(IFERROR(INDEX(醫師週班表!$C$5:$T$44,$CU29,CA$57),""),2,1)="(",LEFT(IFERROR(INDEX(醫師週班表!$C$5:$T$44,$CU29,CA$57),""),1),IFERROR(INDEX(醫師週班表!$C$5:$T$44,$CU29,CA$57),"")))))))</f>
        <v/>
      </c>
      <c r="CB29" s="71">
        <f>IF(CB$59="X","",IF(CB$59&lt;&gt;"",CB$59,IF(IFERROR(INDEX(醫師週班表!$C$5:$T$44,$CU29,CB$57),"")=0,"",IF(MID(IFERROR(INDEX(醫師週班表!$C$5:$T$44,$CU29,CB$57),""),2,1)="/",MID(IFERROR(INDEX(醫師週班表!$C$5:$T$44,$CU29,CB$57),""),1+CB$58*2,1),IF(MID(IFERROR(INDEX(醫師週班表!$C$5:$T$44,$CU29,CB$57),""),3,1)="隔",IF(CB$58=0,LEFT(IFERROR(INDEX(醫師週班表!$C$5:$T$44,$CU29,CB$57),""),1),""),IF(MID(IFERROR(INDEX(醫師週班表!$C$5:$T$44,$CU29,CB$57),""),2,1)="(",LEFT(IFERROR(INDEX(醫師週班表!$C$5:$T$44,$CU29,CB$57),""),1),IFERROR(INDEX(醫師週班表!$C$5:$T$44,$CU29,CB$57),"")))))))</f>
        <v/>
      </c>
      <c r="CC29" s="72">
        <f>IF(CC$59="X","",IF(CC$59&lt;&gt;"",CC$59,IF(IFERROR(INDEX(醫師週班表!$C$5:$T$44,$CU29,CC$57),"")=0,"",IF(MID(IFERROR(INDEX(醫師週班表!$C$5:$T$44,$CU29,CC$57),""),2,1)="/",MID(IFERROR(INDEX(醫師週班表!$C$5:$T$44,$CU29,CC$57),""),1+CC$58*2,1),IF(MID(IFERROR(INDEX(醫師週班表!$C$5:$T$44,$CU29,CC$57),""),3,1)="隔",IF(CC$58=0,LEFT(IFERROR(INDEX(醫師週班表!$C$5:$T$44,$CU29,CC$57),""),1),""),IF(MID(IFERROR(INDEX(醫師週班表!$C$5:$T$44,$CU29,CC$57),""),2,1)="(",LEFT(IFERROR(INDEX(醫師週班表!$C$5:$T$44,$CU29,CC$57),""),1),IFERROR(INDEX(醫師週班表!$C$5:$T$44,$CU29,CC$57),"")))))))</f>
        <v/>
      </c>
      <c r="CD29" s="72">
        <f>IF(CD$59="X","",IF(CD$59&lt;&gt;"",CD$59,IF(IFERROR(INDEX(醫師週班表!$C$5:$T$44,$CU29,CD$57),"")=0,"",IF(MID(IFERROR(INDEX(醫師週班表!$C$5:$T$44,$CU29,CD$57),""),2,1)="/",MID(IFERROR(INDEX(醫師週班表!$C$5:$T$44,$CU29,CD$57),""),1+CD$58*2,1),IF(MID(IFERROR(INDEX(醫師週班表!$C$5:$T$44,$CU29,CD$57),""),3,1)="隔",IF(CD$58=0,LEFT(IFERROR(INDEX(醫師週班表!$C$5:$T$44,$CU29,CD$57),""),1),""),IF(MID(IFERROR(INDEX(醫師週班表!$C$5:$T$44,$CU29,CD$57),""),2,1)="(",LEFT(IFERROR(INDEX(醫師週班表!$C$5:$T$44,$CU29,CD$57),""),1),IFERROR(INDEX(醫師週班表!$C$5:$T$44,$CU29,CD$57),"")))))))</f>
        <v/>
      </c>
      <c r="CE29" s="71">
        <f>IF(CE$59="X","",IF(CE$59&lt;&gt;"",CE$59,IF(IFERROR(INDEX(醫師週班表!$C$5:$T$44,$CU29,CE$57),"")=0,"",IF(MID(IFERROR(INDEX(醫師週班表!$C$5:$T$44,$CU29,CE$57),""),2,1)="/",MID(IFERROR(INDEX(醫師週班表!$C$5:$T$44,$CU29,CE$57),""),1+CE$58*2,1),IF(MID(IFERROR(INDEX(醫師週班表!$C$5:$T$44,$CU29,CE$57),""),3,1)="隔",IF(CE$58=0,LEFT(IFERROR(INDEX(醫師週班表!$C$5:$T$44,$CU29,CE$57),""),1),""),IF(MID(IFERROR(INDEX(醫師週班表!$C$5:$T$44,$CU29,CE$57),""),2,1)="(",LEFT(IFERROR(INDEX(醫師週班表!$C$5:$T$44,$CU29,CE$57),""),1),IFERROR(INDEX(醫師週班表!$C$5:$T$44,$CU29,CE$57),"")))))))</f>
        <v/>
      </c>
      <c r="CF29" s="72">
        <f>IF(CF$59="X","",IF(CF$59&lt;&gt;"",CF$59,IF(IFERROR(INDEX(醫師週班表!$C$5:$T$44,$CU29,CF$57),"")=0,"",IF(MID(IFERROR(INDEX(醫師週班表!$C$5:$T$44,$CU29,CF$57),""),2,1)="/",MID(IFERROR(INDEX(醫師週班表!$C$5:$T$44,$CU29,CF$57),""),1+CF$58*2,1),IF(MID(IFERROR(INDEX(醫師週班表!$C$5:$T$44,$CU29,CF$57),""),3,1)="隔",IF(CF$58=0,LEFT(IFERROR(INDEX(醫師週班表!$C$5:$T$44,$CU29,CF$57),""),1),""),IF(MID(IFERROR(INDEX(醫師週班表!$C$5:$T$44,$CU29,CF$57),""),2,1)="(",LEFT(IFERROR(INDEX(醫師週班表!$C$5:$T$44,$CU29,CF$57),""),1),IFERROR(INDEX(醫師週班表!$C$5:$T$44,$CU29,CF$57),"")))))))</f>
        <v/>
      </c>
      <c r="CG29" s="72">
        <f>IF(CG$59="X","",IF(CG$59&lt;&gt;"",CG$59,IF(IFERROR(INDEX(醫師週班表!$C$5:$T$44,$CU29,CG$57),"")=0,"",IF(MID(IFERROR(INDEX(醫師週班表!$C$5:$T$44,$CU29,CG$57),""),2,1)="/",MID(IFERROR(INDEX(醫師週班表!$C$5:$T$44,$CU29,CG$57),""),1+CG$58*2,1),IF(MID(IFERROR(INDEX(醫師週班表!$C$5:$T$44,$CU29,CG$57),""),3,1)="隔",IF(CG$58=0,LEFT(IFERROR(INDEX(醫師週班表!$C$5:$T$44,$CU29,CG$57),""),1),""),IF(MID(IFERROR(INDEX(醫師週班表!$C$5:$T$44,$CU29,CG$57),""),2,1)="(",LEFT(IFERROR(INDEX(醫師週班表!$C$5:$T$44,$CU29,CG$57),""),1),IFERROR(INDEX(醫師週班表!$C$5:$T$44,$CU29,CG$57),"")))))))</f>
        <v/>
      </c>
      <c r="CH29" s="71">
        <f>IF(CH$59="X","",IF(CH$59&lt;&gt;"",CH$59,IF(IFERROR(INDEX(醫師週班表!$C$5:$T$44,$CU29,CH$57),"")=0,"",IF(MID(IFERROR(INDEX(醫師週班表!$C$5:$T$44,$CU29,CH$57),""),2,1)="/",MID(IFERROR(INDEX(醫師週班表!$C$5:$T$44,$CU29,CH$57),""),1+CH$58*2,1),IF(MID(IFERROR(INDEX(醫師週班表!$C$5:$T$44,$CU29,CH$57),""),3,1)="隔",IF(CH$58=0,LEFT(IFERROR(INDEX(醫師週班表!$C$5:$T$44,$CU29,CH$57),""),1),""),IF(MID(IFERROR(INDEX(醫師週班表!$C$5:$T$44,$CU29,CH$57),""),2,1)="(",LEFT(IFERROR(INDEX(醫師週班表!$C$5:$T$44,$CU29,CH$57),""),1),IFERROR(INDEX(醫師週班表!$C$5:$T$44,$CU29,CH$57),"")))))))</f>
        <v/>
      </c>
      <c r="CI29" s="72">
        <f>IF(CI$59="X","",IF(CI$59&lt;&gt;"",CI$59,IF(IFERROR(INDEX(醫師週班表!$C$5:$T$44,$CU29,CI$57),"")=0,"",IF(MID(IFERROR(INDEX(醫師週班表!$C$5:$T$44,$CU29,CI$57),""),2,1)="/",MID(IFERROR(INDEX(醫師週班表!$C$5:$T$44,$CU29,CI$57),""),1+CI$58*2,1),IF(MID(IFERROR(INDEX(醫師週班表!$C$5:$T$44,$CU29,CI$57),""),3,1)="隔",IF(CI$58=0,LEFT(IFERROR(INDEX(醫師週班表!$C$5:$T$44,$CU29,CI$57),""),1),""),IF(MID(IFERROR(INDEX(醫師週班表!$C$5:$T$44,$CU29,CI$57),""),2,1)="(",LEFT(IFERROR(INDEX(醫師週班表!$C$5:$T$44,$CU29,CI$57),""),1),IFERROR(INDEX(醫師週班表!$C$5:$T$44,$CU29,CI$57),"")))))))</f>
        <v/>
      </c>
      <c r="CJ29" s="72">
        <f>IF(CJ$59="X","",IF(CJ$59&lt;&gt;"",CJ$59,IF(IFERROR(INDEX(醫師週班表!$C$5:$T$44,$CU29,CJ$57),"")=0,"",IF(MID(IFERROR(INDEX(醫師週班表!$C$5:$T$44,$CU29,CJ$57),""),2,1)="/",MID(IFERROR(INDEX(醫師週班表!$C$5:$T$44,$CU29,CJ$57),""),1+CJ$58*2,1),IF(MID(IFERROR(INDEX(醫師週班表!$C$5:$T$44,$CU29,CJ$57),""),3,1)="隔",IF(CJ$58=0,LEFT(IFERROR(INDEX(醫師週班表!$C$5:$T$44,$CU29,CJ$57),""),1),""),IF(MID(IFERROR(INDEX(醫師週班表!$C$5:$T$44,$CU29,CJ$57),""),2,1)="(",LEFT(IFERROR(INDEX(醫師週班表!$C$5:$T$44,$CU29,CJ$57),""),1),IFERROR(INDEX(醫師週班表!$C$5:$T$44,$CU29,CJ$57),"")))))))</f>
        <v/>
      </c>
      <c r="CK29" s="71">
        <f>IF(CK$59="X","",IF(CK$59&lt;&gt;"",CK$59,IF(IFERROR(INDEX(醫師週班表!$C$5:$T$44,$CU29,CK$57),"")=0,"",IF(MID(IFERROR(INDEX(醫師週班表!$C$5:$T$44,$CU29,CK$57),""),2,1)="/",MID(IFERROR(INDEX(醫師週班表!$C$5:$T$44,$CU29,CK$57),""),1+CK$58*2,1),IF(MID(IFERROR(INDEX(醫師週班表!$C$5:$T$44,$CU29,CK$57),""),3,1)="隔",IF(CK$58=0,LEFT(IFERROR(INDEX(醫師週班表!$C$5:$T$44,$CU29,CK$57),""),1),""),IF(MID(IFERROR(INDEX(醫師週班表!$C$5:$T$44,$CU29,CK$57),""),2,1)="(",LEFT(IFERROR(INDEX(醫師週班表!$C$5:$T$44,$CU29,CK$57),""),1),IFERROR(INDEX(醫師週班表!$C$5:$T$44,$CU29,CK$57),"")))))))</f>
        <v/>
      </c>
      <c r="CL29" s="72">
        <f>IF(CL$59="X","",IF(CL$59&lt;&gt;"",CL$59,IF(IFERROR(INDEX(醫師週班表!$C$5:$T$44,$CU29,CL$57),"")=0,"",IF(MID(IFERROR(INDEX(醫師週班表!$C$5:$T$44,$CU29,CL$57),""),2,1)="/",MID(IFERROR(INDEX(醫師週班表!$C$5:$T$44,$CU29,CL$57),""),1+CL$58*2,1),IF(MID(IFERROR(INDEX(醫師週班表!$C$5:$T$44,$CU29,CL$57),""),3,1)="隔",IF(CL$58=0,LEFT(IFERROR(INDEX(醫師週班表!$C$5:$T$44,$CU29,CL$57),""),1),""),IF(MID(IFERROR(INDEX(醫師週班表!$C$5:$T$44,$CU29,CL$57),""),2,1)="(",LEFT(IFERROR(INDEX(醫師週班表!$C$5:$T$44,$CU29,CL$57),""),1),IFERROR(INDEX(醫師週班表!$C$5:$T$44,$CU29,CL$57),"")))))))</f>
        <v/>
      </c>
      <c r="CM29" s="72">
        <f>IF(CM$59="X","",IF(CM$59&lt;&gt;"",CM$59,IF(IFERROR(INDEX(醫師週班表!$C$5:$T$44,$CU29,CM$57),"")=0,"",IF(MID(IFERROR(INDEX(醫師週班表!$C$5:$T$44,$CU29,CM$57),""),2,1)="/",MID(IFERROR(INDEX(醫師週班表!$C$5:$T$44,$CU29,CM$57),""),1+CM$58*2,1),IF(MID(IFERROR(INDEX(醫師週班表!$C$5:$T$44,$CU29,CM$57),""),3,1)="隔",IF(CM$58=0,LEFT(IFERROR(INDEX(醫師週班表!$C$5:$T$44,$CU29,CM$57),""),1),""),IF(MID(IFERROR(INDEX(醫師週班表!$C$5:$T$44,$CU29,CM$57),""),2,1)="(",LEFT(IFERROR(INDEX(醫師週班表!$C$5:$T$44,$CU29,CM$57),""),1),IFERROR(INDEX(醫師週班表!$C$5:$T$44,$CU29,CM$57),"")))))))</f>
        <v/>
      </c>
      <c r="CN29" s="71">
        <f>IF(CN$59="X","",IF(CN$59&lt;&gt;"",CN$59,IF(IFERROR(INDEX(醫師週班表!$C$5:$T$44,$CU29,CN$57),"")=0,"",IF(MID(IFERROR(INDEX(醫師週班表!$C$5:$T$44,$CU29,CN$57),""),2,1)="/",MID(IFERROR(INDEX(醫師週班表!$C$5:$T$44,$CU29,CN$57),""),1+CN$58*2,1),IF(MID(IFERROR(INDEX(醫師週班表!$C$5:$T$44,$CU29,CN$57),""),3,1)="隔",IF(CN$58=0,LEFT(IFERROR(INDEX(醫師週班表!$C$5:$T$44,$CU29,CN$57),""),1),""),IF(MID(IFERROR(INDEX(醫師週班表!$C$5:$T$44,$CU29,CN$57),""),2,1)="(",LEFT(IFERROR(INDEX(醫師週班表!$C$5:$T$44,$CU29,CN$57),""),1),IFERROR(INDEX(醫師週班表!$C$5:$T$44,$CU29,CN$57),"")))))))</f>
        <v/>
      </c>
      <c r="CO29" s="72">
        <f>IF(CO$59="X","",IF(CO$59&lt;&gt;"",CO$59,IF(IFERROR(INDEX(醫師週班表!$C$5:$T$44,$CU29,CO$57),"")=0,"",IF(MID(IFERROR(INDEX(醫師週班表!$C$5:$T$44,$CU29,CO$57),""),2,1)="/",MID(IFERROR(INDEX(醫師週班表!$C$5:$T$44,$CU29,CO$57),""),1+CO$58*2,1),IF(MID(IFERROR(INDEX(醫師週班表!$C$5:$T$44,$CU29,CO$57),""),3,1)="隔",IF(CO$58=0,LEFT(IFERROR(INDEX(醫師週班表!$C$5:$T$44,$CU29,CO$57),""),1),""),IF(MID(IFERROR(INDEX(醫師週班表!$C$5:$T$44,$CU29,CO$57),""),2,1)="(",LEFT(IFERROR(INDEX(醫師週班表!$C$5:$T$44,$CU29,CO$57),""),1),IFERROR(INDEX(醫師週班表!$C$5:$T$44,$CU29,CO$57),"")))))))</f>
        <v/>
      </c>
      <c r="CP29" s="72">
        <f>IF(CP$59="X","",IF(CP$59&lt;&gt;"",CP$59,IF(IFERROR(INDEX(醫師週班表!$C$5:$T$44,$CU29,CP$57),"")=0,"",IF(MID(IFERROR(INDEX(醫師週班表!$C$5:$T$44,$CU29,CP$57),""),2,1)="/",MID(IFERROR(INDEX(醫師週班表!$C$5:$T$44,$CU29,CP$57),""),1+CP$58*2,1),IF(MID(IFERROR(INDEX(醫師週班表!$C$5:$T$44,$CU29,CP$57),""),3,1)="隔",IF(CP$58=0,LEFT(IFERROR(INDEX(醫師週班表!$C$5:$T$44,$CU29,CP$57),""),1),""),IF(MID(IFERROR(INDEX(醫師週班表!$C$5:$T$44,$CU29,CP$57),""),2,1)="(",LEFT(IFERROR(INDEX(醫師週班表!$C$5:$T$44,$CU29,CP$57),""),1),IFERROR(INDEX(醫師週班表!$C$5:$T$44,$CU29,CP$57),"")))))))</f>
        <v/>
      </c>
      <c r="CQ29" s="71">
        <f>IF(CQ$59="X","",IF(CQ$59&lt;&gt;"",CQ$59,IF(IFERROR(INDEX(醫師週班表!$C$5:$T$44,$CU29,CQ$57),"")=0,"",IF(MID(IFERROR(INDEX(醫師週班表!$C$5:$T$44,$CU29,CQ$57),""),2,1)="/",MID(IFERROR(INDEX(醫師週班表!$C$5:$T$44,$CU29,CQ$57),""),1+CQ$58*2,1),IF(MID(IFERROR(INDEX(醫師週班表!$C$5:$T$44,$CU29,CQ$57),""),3,1)="隔",IF(CQ$58=0,LEFT(IFERROR(INDEX(醫師週班表!$C$5:$T$44,$CU29,CQ$57),""),1),""),IF(MID(IFERROR(INDEX(醫師週班表!$C$5:$T$44,$CU29,CQ$57),""),2,1)="(",LEFT(IFERROR(INDEX(醫師週班表!$C$5:$T$44,$CU29,CQ$57),""),1),IFERROR(INDEX(醫師週班表!$C$5:$T$44,$CU29,CQ$57),"")))))))</f>
        <v/>
      </c>
      <c r="CR29" s="72">
        <f>IF(CR$59="X","",IF(CR$59&lt;&gt;"",CR$59,IF(IFERROR(INDEX(醫師週班表!$C$5:$T$44,$CU29,CR$57),"")=0,"",IF(MID(IFERROR(INDEX(醫師週班表!$C$5:$T$44,$CU29,CR$57),""),2,1)="/",MID(IFERROR(INDEX(醫師週班表!$C$5:$T$44,$CU29,CR$57),""),1+CR$58*2,1),IF(MID(IFERROR(INDEX(醫師週班表!$C$5:$T$44,$CU29,CR$57),""),3,1)="隔",IF(CR$58=0,LEFT(IFERROR(INDEX(醫師週班表!$C$5:$T$44,$CU29,CR$57),""),1),""),IF(MID(IFERROR(INDEX(醫師週班表!$C$5:$T$44,$CU29,CR$57),""),2,1)="(",LEFT(IFERROR(INDEX(醫師週班表!$C$5:$T$44,$CU29,CR$57),""),1),IFERROR(INDEX(醫師週班表!$C$5:$T$44,$CU29,CR$57),"")))))))</f>
        <v/>
      </c>
      <c r="CS29" s="72">
        <f>IF(CS$59="X","",IF(CS$59&lt;&gt;"",CS$59,IF(IFERROR(INDEX(醫師週班表!$C$5:$T$44,$CU29,CS$57),"")=0,"",IF(MID(IFERROR(INDEX(醫師週班表!$C$5:$T$44,$CU29,CS$57),""),2,1)="/",MID(IFERROR(INDEX(醫師週班表!$C$5:$T$44,$CU29,CS$57),""),1+CS$58*2,1),IF(MID(IFERROR(INDEX(醫師週班表!$C$5:$T$44,$CU29,CS$57),""),3,1)="隔",IF(CS$58=0,LEFT(IFERROR(INDEX(醫師週班表!$C$5:$T$44,$CU29,CS$57),""),1),""),IF(MID(IFERROR(INDEX(醫師週班表!$C$5:$T$44,$CU29,CS$57),""),2,1)="(",LEFT(IFERROR(INDEX(醫師週班表!$C$5:$T$44,$CU29,CS$57),""),1),IFERROR(INDEX(醫師週班表!$C$5:$T$44,$CU29,CS$57),"")))))))</f>
        <v/>
      </c>
      <c r="CU29" s="73">
        <f>IFERROR(MATCH($A29,醫師週班表!$A$5:$A$44,0),0)</f>
        <v/>
      </c>
    </row>
    <row r="30" ht="17" customHeight="1">
      <c r="A30" s="19" t="inlineStr">
        <is>
          <t>D025</t>
        </is>
      </c>
      <c r="B30" s="16" t="inlineStr">
        <is>
          <t>陳爵安</t>
        </is>
      </c>
      <c r="C30" s="70" t="inlineStr"/>
      <c r="D30" s="16" t="inlineStr"/>
      <c r="E30" s="71">
        <f>IF(E$59="X","",IF(E$59&lt;&gt;"",E$59,IF(IFERROR(INDEX(醫師週班表!$C$5:$T$44,$CU30,E$57),"")=0,"",IF(MID(IFERROR(INDEX(醫師週班表!$C$5:$T$44,$CU30,E$57),""),2,1)="/",MID(IFERROR(INDEX(醫師週班表!$C$5:$T$44,$CU30,E$57),""),1+E$58*2,1),IF(MID(IFERROR(INDEX(醫師週班表!$C$5:$T$44,$CU30,E$57),""),3,1)="隔",IF(E$58=0,LEFT(IFERROR(INDEX(醫師週班表!$C$5:$T$44,$CU30,E$57),""),1),""),IF(MID(IFERROR(INDEX(醫師週班表!$C$5:$T$44,$CU30,E$57),""),2,1)="(",LEFT(IFERROR(INDEX(醫師週班表!$C$5:$T$44,$CU30,E$57),""),1),IFERROR(INDEX(醫師週班表!$C$5:$T$44,$CU30,E$57),"")))))))</f>
        <v/>
      </c>
      <c r="F30" s="72">
        <f>IF(F$59="X","",IF(F$59&lt;&gt;"",F$59,IF(IFERROR(INDEX(醫師週班表!$C$5:$T$44,$CU30,F$57),"")=0,"",IF(MID(IFERROR(INDEX(醫師週班表!$C$5:$T$44,$CU30,F$57),""),2,1)="/",MID(IFERROR(INDEX(醫師週班表!$C$5:$T$44,$CU30,F$57),""),1+F$58*2,1),IF(MID(IFERROR(INDEX(醫師週班表!$C$5:$T$44,$CU30,F$57),""),3,1)="隔",IF(F$58=0,LEFT(IFERROR(INDEX(醫師週班表!$C$5:$T$44,$CU30,F$57),""),1),""),IF(MID(IFERROR(INDEX(醫師週班表!$C$5:$T$44,$CU30,F$57),""),2,1)="(",LEFT(IFERROR(INDEX(醫師週班表!$C$5:$T$44,$CU30,F$57),""),1),IFERROR(INDEX(醫師週班表!$C$5:$T$44,$CU30,F$57),"")))))))</f>
        <v/>
      </c>
      <c r="G30" s="72">
        <f>IF(G$59="X","",IF(G$59&lt;&gt;"",G$59,IF(IFERROR(INDEX(醫師週班表!$C$5:$T$44,$CU30,G$57),"")=0,"",IF(MID(IFERROR(INDEX(醫師週班表!$C$5:$T$44,$CU30,G$57),""),2,1)="/",MID(IFERROR(INDEX(醫師週班表!$C$5:$T$44,$CU30,G$57),""),1+G$58*2,1),IF(MID(IFERROR(INDEX(醫師週班表!$C$5:$T$44,$CU30,G$57),""),3,1)="隔",IF(G$58=0,LEFT(IFERROR(INDEX(醫師週班表!$C$5:$T$44,$CU30,G$57),""),1),""),IF(MID(IFERROR(INDEX(醫師週班表!$C$5:$T$44,$CU30,G$57),""),2,1)="(",LEFT(IFERROR(INDEX(醫師週班表!$C$5:$T$44,$CU30,G$57),""),1),IFERROR(INDEX(醫師週班表!$C$5:$T$44,$CU30,G$57),"")))))))</f>
        <v/>
      </c>
      <c r="H30" s="71">
        <f>IF(H$59="X","",IF(H$59&lt;&gt;"",H$59,IF(IFERROR(INDEX(醫師週班表!$C$5:$T$44,$CU30,H$57),"")=0,"",IF(MID(IFERROR(INDEX(醫師週班表!$C$5:$T$44,$CU30,H$57),""),2,1)="/",MID(IFERROR(INDEX(醫師週班表!$C$5:$T$44,$CU30,H$57),""),1+H$58*2,1),IF(MID(IFERROR(INDEX(醫師週班表!$C$5:$T$44,$CU30,H$57),""),3,1)="隔",IF(H$58=0,LEFT(IFERROR(INDEX(醫師週班表!$C$5:$T$44,$CU30,H$57),""),1),""),IF(MID(IFERROR(INDEX(醫師週班表!$C$5:$T$44,$CU30,H$57),""),2,1)="(",LEFT(IFERROR(INDEX(醫師週班表!$C$5:$T$44,$CU30,H$57),""),1),IFERROR(INDEX(醫師週班表!$C$5:$T$44,$CU30,H$57),"")))))))</f>
        <v/>
      </c>
      <c r="I30" s="72">
        <f>IF(I$59="X","",IF(I$59&lt;&gt;"",I$59,IF(IFERROR(INDEX(醫師週班表!$C$5:$T$44,$CU30,I$57),"")=0,"",IF(MID(IFERROR(INDEX(醫師週班表!$C$5:$T$44,$CU30,I$57),""),2,1)="/",MID(IFERROR(INDEX(醫師週班表!$C$5:$T$44,$CU30,I$57),""),1+I$58*2,1),IF(MID(IFERROR(INDEX(醫師週班表!$C$5:$T$44,$CU30,I$57),""),3,1)="隔",IF(I$58=0,LEFT(IFERROR(INDEX(醫師週班表!$C$5:$T$44,$CU30,I$57),""),1),""),IF(MID(IFERROR(INDEX(醫師週班表!$C$5:$T$44,$CU30,I$57),""),2,1)="(",LEFT(IFERROR(INDEX(醫師週班表!$C$5:$T$44,$CU30,I$57),""),1),IFERROR(INDEX(醫師週班表!$C$5:$T$44,$CU30,I$57),"")))))))</f>
        <v/>
      </c>
      <c r="J30" s="72">
        <f>IF(J$59="X","",IF(J$59&lt;&gt;"",J$59,IF(IFERROR(INDEX(醫師週班表!$C$5:$T$44,$CU30,J$57),"")=0,"",IF(MID(IFERROR(INDEX(醫師週班表!$C$5:$T$44,$CU30,J$57),""),2,1)="/",MID(IFERROR(INDEX(醫師週班表!$C$5:$T$44,$CU30,J$57),""),1+J$58*2,1),IF(MID(IFERROR(INDEX(醫師週班表!$C$5:$T$44,$CU30,J$57),""),3,1)="隔",IF(J$58=0,LEFT(IFERROR(INDEX(醫師週班表!$C$5:$T$44,$CU30,J$57),""),1),""),IF(MID(IFERROR(INDEX(醫師週班表!$C$5:$T$44,$CU30,J$57),""),2,1)="(",LEFT(IFERROR(INDEX(醫師週班表!$C$5:$T$44,$CU30,J$57),""),1),IFERROR(INDEX(醫師週班表!$C$5:$T$44,$CU30,J$57),"")))))))</f>
        <v/>
      </c>
      <c r="K30" s="71">
        <f>IF(K$59="X","",IF(K$59&lt;&gt;"",K$59,IF(IFERROR(INDEX(醫師週班表!$C$5:$T$44,$CU30,K$57),"")=0,"",IF(MID(IFERROR(INDEX(醫師週班表!$C$5:$T$44,$CU30,K$57),""),2,1)="/",MID(IFERROR(INDEX(醫師週班表!$C$5:$T$44,$CU30,K$57),""),1+K$58*2,1),IF(MID(IFERROR(INDEX(醫師週班表!$C$5:$T$44,$CU30,K$57),""),3,1)="隔",IF(K$58=0,LEFT(IFERROR(INDEX(醫師週班表!$C$5:$T$44,$CU30,K$57),""),1),""),IF(MID(IFERROR(INDEX(醫師週班表!$C$5:$T$44,$CU30,K$57),""),2,1)="(",LEFT(IFERROR(INDEX(醫師週班表!$C$5:$T$44,$CU30,K$57),""),1),IFERROR(INDEX(醫師週班表!$C$5:$T$44,$CU30,K$57),"")))))))</f>
        <v/>
      </c>
      <c r="L30" s="72">
        <f>IF(L$59="X","",IF(L$59&lt;&gt;"",L$59,IF(IFERROR(INDEX(醫師週班表!$C$5:$T$44,$CU30,L$57),"")=0,"",IF(MID(IFERROR(INDEX(醫師週班表!$C$5:$T$44,$CU30,L$57),""),2,1)="/",MID(IFERROR(INDEX(醫師週班表!$C$5:$T$44,$CU30,L$57),""),1+L$58*2,1),IF(MID(IFERROR(INDEX(醫師週班表!$C$5:$T$44,$CU30,L$57),""),3,1)="隔",IF(L$58=0,LEFT(IFERROR(INDEX(醫師週班表!$C$5:$T$44,$CU30,L$57),""),1),""),IF(MID(IFERROR(INDEX(醫師週班表!$C$5:$T$44,$CU30,L$57),""),2,1)="(",LEFT(IFERROR(INDEX(醫師週班表!$C$5:$T$44,$CU30,L$57),""),1),IFERROR(INDEX(醫師週班表!$C$5:$T$44,$CU30,L$57),"")))))))</f>
        <v/>
      </c>
      <c r="M30" s="72">
        <f>IF(M$59="X","",IF(M$59&lt;&gt;"",M$59,IF(IFERROR(INDEX(醫師週班表!$C$5:$T$44,$CU30,M$57),"")=0,"",IF(MID(IFERROR(INDEX(醫師週班表!$C$5:$T$44,$CU30,M$57),""),2,1)="/",MID(IFERROR(INDEX(醫師週班表!$C$5:$T$44,$CU30,M$57),""),1+M$58*2,1),IF(MID(IFERROR(INDEX(醫師週班表!$C$5:$T$44,$CU30,M$57),""),3,1)="隔",IF(M$58=0,LEFT(IFERROR(INDEX(醫師週班表!$C$5:$T$44,$CU30,M$57),""),1),""),IF(MID(IFERROR(INDEX(醫師週班表!$C$5:$T$44,$CU30,M$57),""),2,1)="(",LEFT(IFERROR(INDEX(醫師週班表!$C$5:$T$44,$CU30,M$57),""),1),IFERROR(INDEX(醫師週班表!$C$5:$T$44,$CU30,M$57),"")))))))</f>
        <v/>
      </c>
      <c r="N30" s="71">
        <f>IF(N$59="X","",IF(N$59&lt;&gt;"",N$59,IF(IFERROR(INDEX(醫師週班表!$C$5:$T$44,$CU30,N$57),"")=0,"",IF(MID(IFERROR(INDEX(醫師週班表!$C$5:$T$44,$CU30,N$57),""),2,1)="/",MID(IFERROR(INDEX(醫師週班表!$C$5:$T$44,$CU30,N$57),""),1+N$58*2,1),IF(MID(IFERROR(INDEX(醫師週班表!$C$5:$T$44,$CU30,N$57),""),3,1)="隔",IF(N$58=0,LEFT(IFERROR(INDEX(醫師週班表!$C$5:$T$44,$CU30,N$57),""),1),""),IF(MID(IFERROR(INDEX(醫師週班表!$C$5:$T$44,$CU30,N$57),""),2,1)="(",LEFT(IFERROR(INDEX(醫師週班表!$C$5:$T$44,$CU30,N$57),""),1),IFERROR(INDEX(醫師週班表!$C$5:$T$44,$CU30,N$57),"")))))))</f>
        <v/>
      </c>
      <c r="O30" s="72">
        <f>IF(O$59="X","",IF(O$59&lt;&gt;"",O$59,IF(IFERROR(INDEX(醫師週班表!$C$5:$T$44,$CU30,O$57),"")=0,"",IF(MID(IFERROR(INDEX(醫師週班表!$C$5:$T$44,$CU30,O$57),""),2,1)="/",MID(IFERROR(INDEX(醫師週班表!$C$5:$T$44,$CU30,O$57),""),1+O$58*2,1),IF(MID(IFERROR(INDEX(醫師週班表!$C$5:$T$44,$CU30,O$57),""),3,1)="隔",IF(O$58=0,LEFT(IFERROR(INDEX(醫師週班表!$C$5:$T$44,$CU30,O$57),""),1),""),IF(MID(IFERROR(INDEX(醫師週班表!$C$5:$T$44,$CU30,O$57),""),2,1)="(",LEFT(IFERROR(INDEX(醫師週班表!$C$5:$T$44,$CU30,O$57),""),1),IFERROR(INDEX(醫師週班表!$C$5:$T$44,$CU30,O$57),"")))))))</f>
        <v/>
      </c>
      <c r="P30" s="72">
        <f>IF(P$59="X","",IF(P$59&lt;&gt;"",P$59,IF(IFERROR(INDEX(醫師週班表!$C$5:$T$44,$CU30,P$57),"")=0,"",IF(MID(IFERROR(INDEX(醫師週班表!$C$5:$T$44,$CU30,P$57),""),2,1)="/",MID(IFERROR(INDEX(醫師週班表!$C$5:$T$44,$CU30,P$57),""),1+P$58*2,1),IF(MID(IFERROR(INDEX(醫師週班表!$C$5:$T$44,$CU30,P$57),""),3,1)="隔",IF(P$58=0,LEFT(IFERROR(INDEX(醫師週班表!$C$5:$T$44,$CU30,P$57),""),1),""),IF(MID(IFERROR(INDEX(醫師週班表!$C$5:$T$44,$CU30,P$57),""),2,1)="(",LEFT(IFERROR(INDEX(醫師週班表!$C$5:$T$44,$CU30,P$57),""),1),IFERROR(INDEX(醫師週班表!$C$5:$T$44,$CU30,P$57),"")))))))</f>
        <v/>
      </c>
      <c r="Q30" s="71">
        <f>IF(Q$59="X","",IF(Q$59&lt;&gt;"",Q$59,IF(IFERROR(INDEX(醫師週班表!$C$5:$T$44,$CU30,Q$57),"")=0,"",IF(MID(IFERROR(INDEX(醫師週班表!$C$5:$T$44,$CU30,Q$57),""),2,1)="/",MID(IFERROR(INDEX(醫師週班表!$C$5:$T$44,$CU30,Q$57),""),1+Q$58*2,1),IF(MID(IFERROR(INDEX(醫師週班表!$C$5:$T$44,$CU30,Q$57),""),3,1)="隔",IF(Q$58=0,LEFT(IFERROR(INDEX(醫師週班表!$C$5:$T$44,$CU30,Q$57),""),1),""),IF(MID(IFERROR(INDEX(醫師週班表!$C$5:$T$44,$CU30,Q$57),""),2,1)="(",LEFT(IFERROR(INDEX(醫師週班表!$C$5:$T$44,$CU30,Q$57),""),1),IFERROR(INDEX(醫師週班表!$C$5:$T$44,$CU30,Q$57),"")))))))</f>
        <v/>
      </c>
      <c r="R30" s="72">
        <f>IF(R$59="X","",IF(R$59&lt;&gt;"",R$59,IF(IFERROR(INDEX(醫師週班表!$C$5:$T$44,$CU30,R$57),"")=0,"",IF(MID(IFERROR(INDEX(醫師週班表!$C$5:$T$44,$CU30,R$57),""),2,1)="/",MID(IFERROR(INDEX(醫師週班表!$C$5:$T$44,$CU30,R$57),""),1+R$58*2,1),IF(MID(IFERROR(INDEX(醫師週班表!$C$5:$T$44,$CU30,R$57),""),3,1)="隔",IF(R$58=0,LEFT(IFERROR(INDEX(醫師週班表!$C$5:$T$44,$CU30,R$57),""),1),""),IF(MID(IFERROR(INDEX(醫師週班表!$C$5:$T$44,$CU30,R$57),""),2,1)="(",LEFT(IFERROR(INDEX(醫師週班表!$C$5:$T$44,$CU30,R$57),""),1),IFERROR(INDEX(醫師週班表!$C$5:$T$44,$CU30,R$57),"")))))))</f>
        <v/>
      </c>
      <c r="S30" s="72">
        <f>IF(S$59="X","",IF(S$59&lt;&gt;"",S$59,IF(IFERROR(INDEX(醫師週班表!$C$5:$T$44,$CU30,S$57),"")=0,"",IF(MID(IFERROR(INDEX(醫師週班表!$C$5:$T$44,$CU30,S$57),""),2,1)="/",MID(IFERROR(INDEX(醫師週班表!$C$5:$T$44,$CU30,S$57),""),1+S$58*2,1),IF(MID(IFERROR(INDEX(醫師週班表!$C$5:$T$44,$CU30,S$57),""),3,1)="隔",IF(S$58=0,LEFT(IFERROR(INDEX(醫師週班表!$C$5:$T$44,$CU30,S$57),""),1),""),IF(MID(IFERROR(INDEX(醫師週班表!$C$5:$T$44,$CU30,S$57),""),2,1)="(",LEFT(IFERROR(INDEX(醫師週班表!$C$5:$T$44,$CU30,S$57),""),1),IFERROR(INDEX(醫師週班表!$C$5:$T$44,$CU30,S$57),"")))))))</f>
        <v/>
      </c>
      <c r="T30" s="71">
        <f>IF(T$59="X","",IF(T$59&lt;&gt;"",T$59,IF(IFERROR(INDEX(醫師週班表!$C$5:$T$44,$CU30,T$57),"")=0,"",IF(MID(IFERROR(INDEX(醫師週班表!$C$5:$T$44,$CU30,T$57),""),2,1)="/",MID(IFERROR(INDEX(醫師週班表!$C$5:$T$44,$CU30,T$57),""),1+T$58*2,1),IF(MID(IFERROR(INDEX(醫師週班表!$C$5:$T$44,$CU30,T$57),""),3,1)="隔",IF(T$58=0,LEFT(IFERROR(INDEX(醫師週班表!$C$5:$T$44,$CU30,T$57),""),1),""),IF(MID(IFERROR(INDEX(醫師週班表!$C$5:$T$44,$CU30,T$57),""),2,1)="(",LEFT(IFERROR(INDEX(醫師週班表!$C$5:$T$44,$CU30,T$57),""),1),IFERROR(INDEX(醫師週班表!$C$5:$T$44,$CU30,T$57),"")))))))</f>
        <v/>
      </c>
      <c r="U30" s="72">
        <f>IF(U$59="X","",IF(U$59&lt;&gt;"",U$59,IF(IFERROR(INDEX(醫師週班表!$C$5:$T$44,$CU30,U$57),"")=0,"",IF(MID(IFERROR(INDEX(醫師週班表!$C$5:$T$44,$CU30,U$57),""),2,1)="/",MID(IFERROR(INDEX(醫師週班表!$C$5:$T$44,$CU30,U$57),""),1+U$58*2,1),IF(MID(IFERROR(INDEX(醫師週班表!$C$5:$T$44,$CU30,U$57),""),3,1)="隔",IF(U$58=0,LEFT(IFERROR(INDEX(醫師週班表!$C$5:$T$44,$CU30,U$57),""),1),""),IF(MID(IFERROR(INDEX(醫師週班表!$C$5:$T$44,$CU30,U$57),""),2,1)="(",LEFT(IFERROR(INDEX(醫師週班表!$C$5:$T$44,$CU30,U$57),""),1),IFERROR(INDEX(醫師週班表!$C$5:$T$44,$CU30,U$57),"")))))))</f>
        <v/>
      </c>
      <c r="V30" s="72">
        <f>IF(V$59="X","",IF(V$59&lt;&gt;"",V$59,IF(IFERROR(INDEX(醫師週班表!$C$5:$T$44,$CU30,V$57),"")=0,"",IF(MID(IFERROR(INDEX(醫師週班表!$C$5:$T$44,$CU30,V$57),""),2,1)="/",MID(IFERROR(INDEX(醫師週班表!$C$5:$T$44,$CU30,V$57),""),1+V$58*2,1),IF(MID(IFERROR(INDEX(醫師週班表!$C$5:$T$44,$CU30,V$57),""),3,1)="隔",IF(V$58=0,LEFT(IFERROR(INDEX(醫師週班表!$C$5:$T$44,$CU30,V$57),""),1),""),IF(MID(IFERROR(INDEX(醫師週班表!$C$5:$T$44,$CU30,V$57),""),2,1)="(",LEFT(IFERROR(INDEX(醫師週班表!$C$5:$T$44,$CU30,V$57),""),1),IFERROR(INDEX(醫師週班表!$C$5:$T$44,$CU30,V$57),"")))))))</f>
        <v/>
      </c>
      <c r="W30" s="71">
        <f>IF(W$59="X","",IF(W$59&lt;&gt;"",W$59,IF(IFERROR(INDEX(醫師週班表!$C$5:$T$44,$CU30,W$57),"")=0,"",IF(MID(IFERROR(INDEX(醫師週班表!$C$5:$T$44,$CU30,W$57),""),2,1)="/",MID(IFERROR(INDEX(醫師週班表!$C$5:$T$44,$CU30,W$57),""),1+W$58*2,1),IF(MID(IFERROR(INDEX(醫師週班表!$C$5:$T$44,$CU30,W$57),""),3,1)="隔",IF(W$58=0,LEFT(IFERROR(INDEX(醫師週班表!$C$5:$T$44,$CU30,W$57),""),1),""),IF(MID(IFERROR(INDEX(醫師週班表!$C$5:$T$44,$CU30,W$57),""),2,1)="(",LEFT(IFERROR(INDEX(醫師週班表!$C$5:$T$44,$CU30,W$57),""),1),IFERROR(INDEX(醫師週班表!$C$5:$T$44,$CU30,W$57),"")))))))</f>
        <v/>
      </c>
      <c r="X30" s="72">
        <f>IF(X$59="X","",IF(X$59&lt;&gt;"",X$59,IF(IFERROR(INDEX(醫師週班表!$C$5:$T$44,$CU30,X$57),"")=0,"",IF(MID(IFERROR(INDEX(醫師週班表!$C$5:$T$44,$CU30,X$57),""),2,1)="/",MID(IFERROR(INDEX(醫師週班表!$C$5:$T$44,$CU30,X$57),""),1+X$58*2,1),IF(MID(IFERROR(INDEX(醫師週班表!$C$5:$T$44,$CU30,X$57),""),3,1)="隔",IF(X$58=0,LEFT(IFERROR(INDEX(醫師週班表!$C$5:$T$44,$CU30,X$57),""),1),""),IF(MID(IFERROR(INDEX(醫師週班表!$C$5:$T$44,$CU30,X$57),""),2,1)="(",LEFT(IFERROR(INDEX(醫師週班表!$C$5:$T$44,$CU30,X$57),""),1),IFERROR(INDEX(醫師週班表!$C$5:$T$44,$CU30,X$57),"")))))))</f>
        <v/>
      </c>
      <c r="Y30" s="72">
        <f>IF(Y$59="X","",IF(Y$59&lt;&gt;"",Y$59,IF(IFERROR(INDEX(醫師週班表!$C$5:$T$44,$CU30,Y$57),"")=0,"",IF(MID(IFERROR(INDEX(醫師週班表!$C$5:$T$44,$CU30,Y$57),""),2,1)="/",MID(IFERROR(INDEX(醫師週班表!$C$5:$T$44,$CU30,Y$57),""),1+Y$58*2,1),IF(MID(IFERROR(INDEX(醫師週班表!$C$5:$T$44,$CU30,Y$57),""),3,1)="隔",IF(Y$58=0,LEFT(IFERROR(INDEX(醫師週班表!$C$5:$T$44,$CU30,Y$57),""),1),""),IF(MID(IFERROR(INDEX(醫師週班表!$C$5:$T$44,$CU30,Y$57),""),2,1)="(",LEFT(IFERROR(INDEX(醫師週班表!$C$5:$T$44,$CU30,Y$57),""),1),IFERROR(INDEX(醫師週班表!$C$5:$T$44,$CU30,Y$57),"")))))))</f>
        <v/>
      </c>
      <c r="Z30" s="71">
        <f>IF(Z$59="X","",IF(Z$59&lt;&gt;"",Z$59,IF(IFERROR(INDEX(醫師週班表!$C$5:$T$44,$CU30,Z$57),"")=0,"",IF(MID(IFERROR(INDEX(醫師週班表!$C$5:$T$44,$CU30,Z$57),""),2,1)="/",MID(IFERROR(INDEX(醫師週班表!$C$5:$T$44,$CU30,Z$57),""),1+Z$58*2,1),IF(MID(IFERROR(INDEX(醫師週班表!$C$5:$T$44,$CU30,Z$57),""),3,1)="隔",IF(Z$58=0,LEFT(IFERROR(INDEX(醫師週班表!$C$5:$T$44,$CU30,Z$57),""),1),""),IF(MID(IFERROR(INDEX(醫師週班表!$C$5:$T$44,$CU30,Z$57),""),2,1)="(",LEFT(IFERROR(INDEX(醫師週班表!$C$5:$T$44,$CU30,Z$57),""),1),IFERROR(INDEX(醫師週班表!$C$5:$T$44,$CU30,Z$57),"")))))))</f>
        <v/>
      </c>
      <c r="AA30" s="72">
        <f>IF(AA$59="X","",IF(AA$59&lt;&gt;"",AA$59,IF(IFERROR(INDEX(醫師週班表!$C$5:$T$44,$CU30,AA$57),"")=0,"",IF(MID(IFERROR(INDEX(醫師週班表!$C$5:$T$44,$CU30,AA$57),""),2,1)="/",MID(IFERROR(INDEX(醫師週班表!$C$5:$T$44,$CU30,AA$57),""),1+AA$58*2,1),IF(MID(IFERROR(INDEX(醫師週班表!$C$5:$T$44,$CU30,AA$57),""),3,1)="隔",IF(AA$58=0,LEFT(IFERROR(INDEX(醫師週班表!$C$5:$T$44,$CU30,AA$57),""),1),""),IF(MID(IFERROR(INDEX(醫師週班表!$C$5:$T$44,$CU30,AA$57),""),2,1)="(",LEFT(IFERROR(INDEX(醫師週班表!$C$5:$T$44,$CU30,AA$57),""),1),IFERROR(INDEX(醫師週班表!$C$5:$T$44,$CU30,AA$57),"")))))))</f>
        <v/>
      </c>
      <c r="AB30" s="72">
        <f>IF(AB$59="X","",IF(AB$59&lt;&gt;"",AB$59,IF(IFERROR(INDEX(醫師週班表!$C$5:$T$44,$CU30,AB$57),"")=0,"",IF(MID(IFERROR(INDEX(醫師週班表!$C$5:$T$44,$CU30,AB$57),""),2,1)="/",MID(IFERROR(INDEX(醫師週班表!$C$5:$T$44,$CU30,AB$57),""),1+AB$58*2,1),IF(MID(IFERROR(INDEX(醫師週班表!$C$5:$T$44,$CU30,AB$57),""),3,1)="隔",IF(AB$58=0,LEFT(IFERROR(INDEX(醫師週班表!$C$5:$T$44,$CU30,AB$57),""),1),""),IF(MID(IFERROR(INDEX(醫師週班表!$C$5:$T$44,$CU30,AB$57),""),2,1)="(",LEFT(IFERROR(INDEX(醫師週班表!$C$5:$T$44,$CU30,AB$57),""),1),IFERROR(INDEX(醫師週班表!$C$5:$T$44,$CU30,AB$57),"")))))))</f>
        <v/>
      </c>
      <c r="AC30" s="71">
        <f>IF(AC$59="X","",IF(AC$59&lt;&gt;"",AC$59,IF(IFERROR(INDEX(醫師週班表!$C$5:$T$44,$CU30,AC$57),"")=0,"",IF(MID(IFERROR(INDEX(醫師週班表!$C$5:$T$44,$CU30,AC$57),""),2,1)="/",MID(IFERROR(INDEX(醫師週班表!$C$5:$T$44,$CU30,AC$57),""),1+AC$58*2,1),IF(MID(IFERROR(INDEX(醫師週班表!$C$5:$T$44,$CU30,AC$57),""),3,1)="隔",IF(AC$58=0,LEFT(IFERROR(INDEX(醫師週班表!$C$5:$T$44,$CU30,AC$57),""),1),""),IF(MID(IFERROR(INDEX(醫師週班表!$C$5:$T$44,$CU30,AC$57),""),2,1)="(",LEFT(IFERROR(INDEX(醫師週班表!$C$5:$T$44,$CU30,AC$57),""),1),IFERROR(INDEX(醫師週班表!$C$5:$T$44,$CU30,AC$57),"")))))))</f>
        <v/>
      </c>
      <c r="AD30" s="72">
        <f>IF(AD$59="X","",IF(AD$59&lt;&gt;"",AD$59,IF(IFERROR(INDEX(醫師週班表!$C$5:$T$44,$CU30,AD$57),"")=0,"",IF(MID(IFERROR(INDEX(醫師週班表!$C$5:$T$44,$CU30,AD$57),""),2,1)="/",MID(IFERROR(INDEX(醫師週班表!$C$5:$T$44,$CU30,AD$57),""),1+AD$58*2,1),IF(MID(IFERROR(INDEX(醫師週班表!$C$5:$T$44,$CU30,AD$57),""),3,1)="隔",IF(AD$58=0,LEFT(IFERROR(INDEX(醫師週班表!$C$5:$T$44,$CU30,AD$57),""),1),""),IF(MID(IFERROR(INDEX(醫師週班表!$C$5:$T$44,$CU30,AD$57),""),2,1)="(",LEFT(IFERROR(INDEX(醫師週班表!$C$5:$T$44,$CU30,AD$57),""),1),IFERROR(INDEX(醫師週班表!$C$5:$T$44,$CU30,AD$57),"")))))))</f>
        <v/>
      </c>
      <c r="AE30" s="72">
        <f>IF(AE$59="X","",IF(AE$59&lt;&gt;"",AE$59,IF(IFERROR(INDEX(醫師週班表!$C$5:$T$44,$CU30,AE$57),"")=0,"",IF(MID(IFERROR(INDEX(醫師週班表!$C$5:$T$44,$CU30,AE$57),""),2,1)="/",MID(IFERROR(INDEX(醫師週班表!$C$5:$T$44,$CU30,AE$57),""),1+AE$58*2,1),IF(MID(IFERROR(INDEX(醫師週班表!$C$5:$T$44,$CU30,AE$57),""),3,1)="隔",IF(AE$58=0,LEFT(IFERROR(INDEX(醫師週班表!$C$5:$T$44,$CU30,AE$57),""),1),""),IF(MID(IFERROR(INDEX(醫師週班表!$C$5:$T$44,$CU30,AE$57),""),2,1)="(",LEFT(IFERROR(INDEX(醫師週班表!$C$5:$T$44,$CU30,AE$57),""),1),IFERROR(INDEX(醫師週班表!$C$5:$T$44,$CU30,AE$57),"")))))))</f>
        <v/>
      </c>
      <c r="AF30" s="71">
        <f>IF(AF$59="X","",IF(AF$59&lt;&gt;"",AF$59,IF(IFERROR(INDEX(醫師週班表!$C$5:$T$44,$CU30,AF$57),"")=0,"",IF(MID(IFERROR(INDEX(醫師週班表!$C$5:$T$44,$CU30,AF$57),""),2,1)="/",MID(IFERROR(INDEX(醫師週班表!$C$5:$T$44,$CU30,AF$57),""),1+AF$58*2,1),IF(MID(IFERROR(INDEX(醫師週班表!$C$5:$T$44,$CU30,AF$57),""),3,1)="隔",IF(AF$58=0,LEFT(IFERROR(INDEX(醫師週班表!$C$5:$T$44,$CU30,AF$57),""),1),""),IF(MID(IFERROR(INDEX(醫師週班表!$C$5:$T$44,$CU30,AF$57),""),2,1)="(",LEFT(IFERROR(INDEX(醫師週班表!$C$5:$T$44,$CU30,AF$57),""),1),IFERROR(INDEX(醫師週班表!$C$5:$T$44,$CU30,AF$57),"")))))))</f>
        <v/>
      </c>
      <c r="AG30" s="72">
        <f>IF(AG$59="X","",IF(AG$59&lt;&gt;"",AG$59,IF(IFERROR(INDEX(醫師週班表!$C$5:$T$44,$CU30,AG$57),"")=0,"",IF(MID(IFERROR(INDEX(醫師週班表!$C$5:$T$44,$CU30,AG$57),""),2,1)="/",MID(IFERROR(INDEX(醫師週班表!$C$5:$T$44,$CU30,AG$57),""),1+AG$58*2,1),IF(MID(IFERROR(INDEX(醫師週班表!$C$5:$T$44,$CU30,AG$57),""),3,1)="隔",IF(AG$58=0,LEFT(IFERROR(INDEX(醫師週班表!$C$5:$T$44,$CU30,AG$57),""),1),""),IF(MID(IFERROR(INDEX(醫師週班表!$C$5:$T$44,$CU30,AG$57),""),2,1)="(",LEFT(IFERROR(INDEX(醫師週班表!$C$5:$T$44,$CU30,AG$57),""),1),IFERROR(INDEX(醫師週班表!$C$5:$T$44,$CU30,AG$57),"")))))))</f>
        <v/>
      </c>
      <c r="AH30" s="72">
        <f>IF(AH$59="X","",IF(AH$59&lt;&gt;"",AH$59,IF(IFERROR(INDEX(醫師週班表!$C$5:$T$44,$CU30,AH$57),"")=0,"",IF(MID(IFERROR(INDEX(醫師週班表!$C$5:$T$44,$CU30,AH$57),""),2,1)="/",MID(IFERROR(INDEX(醫師週班表!$C$5:$T$44,$CU30,AH$57),""),1+AH$58*2,1),IF(MID(IFERROR(INDEX(醫師週班表!$C$5:$T$44,$CU30,AH$57),""),3,1)="隔",IF(AH$58=0,LEFT(IFERROR(INDEX(醫師週班表!$C$5:$T$44,$CU30,AH$57),""),1),""),IF(MID(IFERROR(INDEX(醫師週班表!$C$5:$T$44,$CU30,AH$57),""),2,1)="(",LEFT(IFERROR(INDEX(醫師週班表!$C$5:$T$44,$CU30,AH$57),""),1),IFERROR(INDEX(醫師週班表!$C$5:$T$44,$CU30,AH$57),"")))))))</f>
        <v/>
      </c>
      <c r="AI30" s="71">
        <f>IF(AI$59="X","",IF(AI$59&lt;&gt;"",AI$59,IF(IFERROR(INDEX(醫師週班表!$C$5:$T$44,$CU30,AI$57),"")=0,"",IF(MID(IFERROR(INDEX(醫師週班表!$C$5:$T$44,$CU30,AI$57),""),2,1)="/",MID(IFERROR(INDEX(醫師週班表!$C$5:$T$44,$CU30,AI$57),""),1+AI$58*2,1),IF(MID(IFERROR(INDEX(醫師週班表!$C$5:$T$44,$CU30,AI$57),""),3,1)="隔",IF(AI$58=0,LEFT(IFERROR(INDEX(醫師週班表!$C$5:$T$44,$CU30,AI$57),""),1),""),IF(MID(IFERROR(INDEX(醫師週班表!$C$5:$T$44,$CU30,AI$57),""),2,1)="(",LEFT(IFERROR(INDEX(醫師週班表!$C$5:$T$44,$CU30,AI$57),""),1),IFERROR(INDEX(醫師週班表!$C$5:$T$44,$CU30,AI$57),"")))))))</f>
        <v/>
      </c>
      <c r="AJ30" s="72">
        <f>IF(AJ$59="X","",IF(AJ$59&lt;&gt;"",AJ$59,IF(IFERROR(INDEX(醫師週班表!$C$5:$T$44,$CU30,AJ$57),"")=0,"",IF(MID(IFERROR(INDEX(醫師週班表!$C$5:$T$44,$CU30,AJ$57),""),2,1)="/",MID(IFERROR(INDEX(醫師週班表!$C$5:$T$44,$CU30,AJ$57),""),1+AJ$58*2,1),IF(MID(IFERROR(INDEX(醫師週班表!$C$5:$T$44,$CU30,AJ$57),""),3,1)="隔",IF(AJ$58=0,LEFT(IFERROR(INDEX(醫師週班表!$C$5:$T$44,$CU30,AJ$57),""),1),""),IF(MID(IFERROR(INDEX(醫師週班表!$C$5:$T$44,$CU30,AJ$57),""),2,1)="(",LEFT(IFERROR(INDEX(醫師週班表!$C$5:$T$44,$CU30,AJ$57),""),1),IFERROR(INDEX(醫師週班表!$C$5:$T$44,$CU30,AJ$57),"")))))))</f>
        <v/>
      </c>
      <c r="AK30" s="72">
        <f>IF(AK$59="X","",IF(AK$59&lt;&gt;"",AK$59,IF(IFERROR(INDEX(醫師週班表!$C$5:$T$44,$CU30,AK$57),"")=0,"",IF(MID(IFERROR(INDEX(醫師週班表!$C$5:$T$44,$CU30,AK$57),""),2,1)="/",MID(IFERROR(INDEX(醫師週班表!$C$5:$T$44,$CU30,AK$57),""),1+AK$58*2,1),IF(MID(IFERROR(INDEX(醫師週班表!$C$5:$T$44,$CU30,AK$57),""),3,1)="隔",IF(AK$58=0,LEFT(IFERROR(INDEX(醫師週班表!$C$5:$T$44,$CU30,AK$57),""),1),""),IF(MID(IFERROR(INDEX(醫師週班表!$C$5:$T$44,$CU30,AK$57),""),2,1)="(",LEFT(IFERROR(INDEX(醫師週班表!$C$5:$T$44,$CU30,AK$57),""),1),IFERROR(INDEX(醫師週班表!$C$5:$T$44,$CU30,AK$57),"")))))))</f>
        <v/>
      </c>
      <c r="AL30" s="71">
        <f>IF(AL$59="X","",IF(AL$59&lt;&gt;"",AL$59,IF(IFERROR(INDEX(醫師週班表!$C$5:$T$44,$CU30,AL$57),"")=0,"",IF(MID(IFERROR(INDEX(醫師週班表!$C$5:$T$44,$CU30,AL$57),""),2,1)="/",MID(IFERROR(INDEX(醫師週班表!$C$5:$T$44,$CU30,AL$57),""),1+AL$58*2,1),IF(MID(IFERROR(INDEX(醫師週班表!$C$5:$T$44,$CU30,AL$57),""),3,1)="隔",IF(AL$58=0,LEFT(IFERROR(INDEX(醫師週班表!$C$5:$T$44,$CU30,AL$57),""),1),""),IF(MID(IFERROR(INDEX(醫師週班表!$C$5:$T$44,$CU30,AL$57),""),2,1)="(",LEFT(IFERROR(INDEX(醫師週班表!$C$5:$T$44,$CU30,AL$57),""),1),IFERROR(INDEX(醫師週班表!$C$5:$T$44,$CU30,AL$57),"")))))))</f>
        <v/>
      </c>
      <c r="AM30" s="72">
        <f>IF(AM$59="X","",IF(AM$59&lt;&gt;"",AM$59,IF(IFERROR(INDEX(醫師週班表!$C$5:$T$44,$CU30,AM$57),"")=0,"",IF(MID(IFERROR(INDEX(醫師週班表!$C$5:$T$44,$CU30,AM$57),""),2,1)="/",MID(IFERROR(INDEX(醫師週班表!$C$5:$T$44,$CU30,AM$57),""),1+AM$58*2,1),IF(MID(IFERROR(INDEX(醫師週班表!$C$5:$T$44,$CU30,AM$57),""),3,1)="隔",IF(AM$58=0,LEFT(IFERROR(INDEX(醫師週班表!$C$5:$T$44,$CU30,AM$57),""),1),""),IF(MID(IFERROR(INDEX(醫師週班表!$C$5:$T$44,$CU30,AM$57),""),2,1)="(",LEFT(IFERROR(INDEX(醫師週班表!$C$5:$T$44,$CU30,AM$57),""),1),IFERROR(INDEX(醫師週班表!$C$5:$T$44,$CU30,AM$57),"")))))))</f>
        <v/>
      </c>
      <c r="AN30" s="72">
        <f>IF(AN$59="X","",IF(AN$59&lt;&gt;"",AN$59,IF(IFERROR(INDEX(醫師週班表!$C$5:$T$44,$CU30,AN$57),"")=0,"",IF(MID(IFERROR(INDEX(醫師週班表!$C$5:$T$44,$CU30,AN$57),""),2,1)="/",MID(IFERROR(INDEX(醫師週班表!$C$5:$T$44,$CU30,AN$57),""),1+AN$58*2,1),IF(MID(IFERROR(INDEX(醫師週班表!$C$5:$T$44,$CU30,AN$57),""),3,1)="隔",IF(AN$58=0,LEFT(IFERROR(INDEX(醫師週班表!$C$5:$T$44,$CU30,AN$57),""),1),""),IF(MID(IFERROR(INDEX(醫師週班表!$C$5:$T$44,$CU30,AN$57),""),2,1)="(",LEFT(IFERROR(INDEX(醫師週班表!$C$5:$T$44,$CU30,AN$57),""),1),IFERROR(INDEX(醫師週班表!$C$5:$T$44,$CU30,AN$57),"")))))))</f>
        <v/>
      </c>
      <c r="AO30" s="71">
        <f>IF(AO$59="X","",IF(AO$59&lt;&gt;"",AO$59,IF(IFERROR(INDEX(醫師週班表!$C$5:$T$44,$CU30,AO$57),"")=0,"",IF(MID(IFERROR(INDEX(醫師週班表!$C$5:$T$44,$CU30,AO$57),""),2,1)="/",MID(IFERROR(INDEX(醫師週班表!$C$5:$T$44,$CU30,AO$57),""),1+AO$58*2,1),IF(MID(IFERROR(INDEX(醫師週班表!$C$5:$T$44,$CU30,AO$57),""),3,1)="隔",IF(AO$58=0,LEFT(IFERROR(INDEX(醫師週班表!$C$5:$T$44,$CU30,AO$57),""),1),""),IF(MID(IFERROR(INDEX(醫師週班表!$C$5:$T$44,$CU30,AO$57),""),2,1)="(",LEFT(IFERROR(INDEX(醫師週班表!$C$5:$T$44,$CU30,AO$57),""),1),IFERROR(INDEX(醫師週班表!$C$5:$T$44,$CU30,AO$57),"")))))))</f>
        <v/>
      </c>
      <c r="AP30" s="72">
        <f>IF(AP$59="X","",IF(AP$59&lt;&gt;"",AP$59,IF(IFERROR(INDEX(醫師週班表!$C$5:$T$44,$CU30,AP$57),"")=0,"",IF(MID(IFERROR(INDEX(醫師週班表!$C$5:$T$44,$CU30,AP$57),""),2,1)="/",MID(IFERROR(INDEX(醫師週班表!$C$5:$T$44,$CU30,AP$57),""),1+AP$58*2,1),IF(MID(IFERROR(INDEX(醫師週班表!$C$5:$T$44,$CU30,AP$57),""),3,1)="隔",IF(AP$58=0,LEFT(IFERROR(INDEX(醫師週班表!$C$5:$T$44,$CU30,AP$57),""),1),""),IF(MID(IFERROR(INDEX(醫師週班表!$C$5:$T$44,$CU30,AP$57),""),2,1)="(",LEFT(IFERROR(INDEX(醫師週班表!$C$5:$T$44,$CU30,AP$57),""),1),IFERROR(INDEX(醫師週班表!$C$5:$T$44,$CU30,AP$57),"")))))))</f>
        <v/>
      </c>
      <c r="AQ30" s="72">
        <f>IF(AQ$59="X","",IF(AQ$59&lt;&gt;"",AQ$59,IF(IFERROR(INDEX(醫師週班表!$C$5:$T$44,$CU30,AQ$57),"")=0,"",IF(MID(IFERROR(INDEX(醫師週班表!$C$5:$T$44,$CU30,AQ$57),""),2,1)="/",MID(IFERROR(INDEX(醫師週班表!$C$5:$T$44,$CU30,AQ$57),""),1+AQ$58*2,1),IF(MID(IFERROR(INDEX(醫師週班表!$C$5:$T$44,$CU30,AQ$57),""),3,1)="隔",IF(AQ$58=0,LEFT(IFERROR(INDEX(醫師週班表!$C$5:$T$44,$CU30,AQ$57),""),1),""),IF(MID(IFERROR(INDEX(醫師週班表!$C$5:$T$44,$CU30,AQ$57),""),2,1)="(",LEFT(IFERROR(INDEX(醫師週班表!$C$5:$T$44,$CU30,AQ$57),""),1),IFERROR(INDEX(醫師週班表!$C$5:$T$44,$CU30,AQ$57),"")))))))</f>
        <v/>
      </c>
      <c r="AR30" s="71">
        <f>IF(AR$59="X","",IF(AR$59&lt;&gt;"",AR$59,IF(IFERROR(INDEX(醫師週班表!$C$5:$T$44,$CU30,AR$57),"")=0,"",IF(MID(IFERROR(INDEX(醫師週班表!$C$5:$T$44,$CU30,AR$57),""),2,1)="/",MID(IFERROR(INDEX(醫師週班表!$C$5:$T$44,$CU30,AR$57),""),1+AR$58*2,1),IF(MID(IFERROR(INDEX(醫師週班表!$C$5:$T$44,$CU30,AR$57),""),3,1)="隔",IF(AR$58=0,LEFT(IFERROR(INDEX(醫師週班表!$C$5:$T$44,$CU30,AR$57),""),1),""),IF(MID(IFERROR(INDEX(醫師週班表!$C$5:$T$44,$CU30,AR$57),""),2,1)="(",LEFT(IFERROR(INDEX(醫師週班表!$C$5:$T$44,$CU30,AR$57),""),1),IFERROR(INDEX(醫師週班表!$C$5:$T$44,$CU30,AR$57),"")))))))</f>
        <v/>
      </c>
      <c r="AS30" s="72">
        <f>IF(AS$59="X","",IF(AS$59&lt;&gt;"",AS$59,IF(IFERROR(INDEX(醫師週班表!$C$5:$T$44,$CU30,AS$57),"")=0,"",IF(MID(IFERROR(INDEX(醫師週班表!$C$5:$T$44,$CU30,AS$57),""),2,1)="/",MID(IFERROR(INDEX(醫師週班表!$C$5:$T$44,$CU30,AS$57),""),1+AS$58*2,1),IF(MID(IFERROR(INDEX(醫師週班表!$C$5:$T$44,$CU30,AS$57),""),3,1)="隔",IF(AS$58=0,LEFT(IFERROR(INDEX(醫師週班表!$C$5:$T$44,$CU30,AS$57),""),1),""),IF(MID(IFERROR(INDEX(醫師週班表!$C$5:$T$44,$CU30,AS$57),""),2,1)="(",LEFT(IFERROR(INDEX(醫師週班表!$C$5:$T$44,$CU30,AS$57),""),1),IFERROR(INDEX(醫師週班表!$C$5:$T$44,$CU30,AS$57),"")))))))</f>
        <v/>
      </c>
      <c r="AT30" s="72">
        <f>IF(AT$59="X","",IF(AT$59&lt;&gt;"",AT$59,IF(IFERROR(INDEX(醫師週班表!$C$5:$T$44,$CU30,AT$57),"")=0,"",IF(MID(IFERROR(INDEX(醫師週班表!$C$5:$T$44,$CU30,AT$57),""),2,1)="/",MID(IFERROR(INDEX(醫師週班表!$C$5:$T$44,$CU30,AT$57),""),1+AT$58*2,1),IF(MID(IFERROR(INDEX(醫師週班表!$C$5:$T$44,$CU30,AT$57),""),3,1)="隔",IF(AT$58=0,LEFT(IFERROR(INDEX(醫師週班表!$C$5:$T$44,$CU30,AT$57),""),1),""),IF(MID(IFERROR(INDEX(醫師週班表!$C$5:$T$44,$CU30,AT$57),""),2,1)="(",LEFT(IFERROR(INDEX(醫師週班表!$C$5:$T$44,$CU30,AT$57),""),1),IFERROR(INDEX(醫師週班表!$C$5:$T$44,$CU30,AT$57),"")))))))</f>
        <v/>
      </c>
      <c r="AU30" s="71">
        <f>IF(AU$59="X","",IF(AU$59&lt;&gt;"",AU$59,IF(IFERROR(INDEX(醫師週班表!$C$5:$T$44,$CU30,AU$57),"")=0,"",IF(MID(IFERROR(INDEX(醫師週班表!$C$5:$T$44,$CU30,AU$57),""),2,1)="/",MID(IFERROR(INDEX(醫師週班表!$C$5:$T$44,$CU30,AU$57),""),1+AU$58*2,1),IF(MID(IFERROR(INDEX(醫師週班表!$C$5:$T$44,$CU30,AU$57),""),3,1)="隔",IF(AU$58=0,LEFT(IFERROR(INDEX(醫師週班表!$C$5:$T$44,$CU30,AU$57),""),1),""),IF(MID(IFERROR(INDEX(醫師週班表!$C$5:$T$44,$CU30,AU$57),""),2,1)="(",LEFT(IFERROR(INDEX(醫師週班表!$C$5:$T$44,$CU30,AU$57),""),1),IFERROR(INDEX(醫師週班表!$C$5:$T$44,$CU30,AU$57),"")))))))</f>
        <v/>
      </c>
      <c r="AV30" s="72">
        <f>IF(AV$59="X","",IF(AV$59&lt;&gt;"",AV$59,IF(IFERROR(INDEX(醫師週班表!$C$5:$T$44,$CU30,AV$57),"")=0,"",IF(MID(IFERROR(INDEX(醫師週班表!$C$5:$T$44,$CU30,AV$57),""),2,1)="/",MID(IFERROR(INDEX(醫師週班表!$C$5:$T$44,$CU30,AV$57),""),1+AV$58*2,1),IF(MID(IFERROR(INDEX(醫師週班表!$C$5:$T$44,$CU30,AV$57),""),3,1)="隔",IF(AV$58=0,LEFT(IFERROR(INDEX(醫師週班表!$C$5:$T$44,$CU30,AV$57),""),1),""),IF(MID(IFERROR(INDEX(醫師週班表!$C$5:$T$44,$CU30,AV$57),""),2,1)="(",LEFT(IFERROR(INDEX(醫師週班表!$C$5:$T$44,$CU30,AV$57),""),1),IFERROR(INDEX(醫師週班表!$C$5:$T$44,$CU30,AV$57),"")))))))</f>
        <v/>
      </c>
      <c r="AW30" s="72">
        <f>IF(AW$59="X","",IF(AW$59&lt;&gt;"",AW$59,IF(IFERROR(INDEX(醫師週班表!$C$5:$T$44,$CU30,AW$57),"")=0,"",IF(MID(IFERROR(INDEX(醫師週班表!$C$5:$T$44,$CU30,AW$57),""),2,1)="/",MID(IFERROR(INDEX(醫師週班表!$C$5:$T$44,$CU30,AW$57),""),1+AW$58*2,1),IF(MID(IFERROR(INDEX(醫師週班表!$C$5:$T$44,$CU30,AW$57),""),3,1)="隔",IF(AW$58=0,LEFT(IFERROR(INDEX(醫師週班表!$C$5:$T$44,$CU30,AW$57),""),1),""),IF(MID(IFERROR(INDEX(醫師週班表!$C$5:$T$44,$CU30,AW$57),""),2,1)="(",LEFT(IFERROR(INDEX(醫師週班表!$C$5:$T$44,$CU30,AW$57),""),1),IFERROR(INDEX(醫師週班表!$C$5:$T$44,$CU30,AW$57),"")))))))</f>
        <v/>
      </c>
      <c r="AX30" s="71">
        <f>IF(AX$59="X","",IF(AX$59&lt;&gt;"",AX$59,IF(IFERROR(INDEX(醫師週班表!$C$5:$T$44,$CU30,AX$57),"")=0,"",IF(MID(IFERROR(INDEX(醫師週班表!$C$5:$T$44,$CU30,AX$57),""),2,1)="/",MID(IFERROR(INDEX(醫師週班表!$C$5:$T$44,$CU30,AX$57),""),1+AX$58*2,1),IF(MID(IFERROR(INDEX(醫師週班表!$C$5:$T$44,$CU30,AX$57),""),3,1)="隔",IF(AX$58=0,LEFT(IFERROR(INDEX(醫師週班表!$C$5:$T$44,$CU30,AX$57),""),1),""),IF(MID(IFERROR(INDEX(醫師週班表!$C$5:$T$44,$CU30,AX$57),""),2,1)="(",LEFT(IFERROR(INDEX(醫師週班表!$C$5:$T$44,$CU30,AX$57),""),1),IFERROR(INDEX(醫師週班表!$C$5:$T$44,$CU30,AX$57),"")))))))</f>
        <v/>
      </c>
      <c r="AY30" s="72">
        <f>IF(AY$59="X","",IF(AY$59&lt;&gt;"",AY$59,IF(IFERROR(INDEX(醫師週班表!$C$5:$T$44,$CU30,AY$57),"")=0,"",IF(MID(IFERROR(INDEX(醫師週班表!$C$5:$T$44,$CU30,AY$57),""),2,1)="/",MID(IFERROR(INDEX(醫師週班表!$C$5:$T$44,$CU30,AY$57),""),1+AY$58*2,1),IF(MID(IFERROR(INDEX(醫師週班表!$C$5:$T$44,$CU30,AY$57),""),3,1)="隔",IF(AY$58=0,LEFT(IFERROR(INDEX(醫師週班表!$C$5:$T$44,$CU30,AY$57),""),1),""),IF(MID(IFERROR(INDEX(醫師週班表!$C$5:$T$44,$CU30,AY$57),""),2,1)="(",LEFT(IFERROR(INDEX(醫師週班表!$C$5:$T$44,$CU30,AY$57),""),1),IFERROR(INDEX(醫師週班表!$C$5:$T$44,$CU30,AY$57),"")))))))</f>
        <v/>
      </c>
      <c r="AZ30" s="72">
        <f>IF(AZ$59="X","",IF(AZ$59&lt;&gt;"",AZ$59,IF(IFERROR(INDEX(醫師週班表!$C$5:$T$44,$CU30,AZ$57),"")=0,"",IF(MID(IFERROR(INDEX(醫師週班表!$C$5:$T$44,$CU30,AZ$57),""),2,1)="/",MID(IFERROR(INDEX(醫師週班表!$C$5:$T$44,$CU30,AZ$57),""),1+AZ$58*2,1),IF(MID(IFERROR(INDEX(醫師週班表!$C$5:$T$44,$CU30,AZ$57),""),3,1)="隔",IF(AZ$58=0,LEFT(IFERROR(INDEX(醫師週班表!$C$5:$T$44,$CU30,AZ$57),""),1),""),IF(MID(IFERROR(INDEX(醫師週班表!$C$5:$T$44,$CU30,AZ$57),""),2,1)="(",LEFT(IFERROR(INDEX(醫師週班表!$C$5:$T$44,$CU30,AZ$57),""),1),IFERROR(INDEX(醫師週班表!$C$5:$T$44,$CU30,AZ$57),"")))))))</f>
        <v/>
      </c>
      <c r="BA30" s="71">
        <f>IF(BA$59="X","",IF(BA$59&lt;&gt;"",BA$59,IF(IFERROR(INDEX(醫師週班表!$C$5:$T$44,$CU30,BA$57),"")=0,"",IF(MID(IFERROR(INDEX(醫師週班表!$C$5:$T$44,$CU30,BA$57),""),2,1)="/",MID(IFERROR(INDEX(醫師週班表!$C$5:$T$44,$CU30,BA$57),""),1+BA$58*2,1),IF(MID(IFERROR(INDEX(醫師週班表!$C$5:$T$44,$CU30,BA$57),""),3,1)="隔",IF(BA$58=0,LEFT(IFERROR(INDEX(醫師週班表!$C$5:$T$44,$CU30,BA$57),""),1),""),IF(MID(IFERROR(INDEX(醫師週班表!$C$5:$T$44,$CU30,BA$57),""),2,1)="(",LEFT(IFERROR(INDEX(醫師週班表!$C$5:$T$44,$CU30,BA$57),""),1),IFERROR(INDEX(醫師週班表!$C$5:$T$44,$CU30,BA$57),"")))))))</f>
        <v/>
      </c>
      <c r="BB30" s="72">
        <f>IF(BB$59="X","",IF(BB$59&lt;&gt;"",BB$59,IF(IFERROR(INDEX(醫師週班表!$C$5:$T$44,$CU30,BB$57),"")=0,"",IF(MID(IFERROR(INDEX(醫師週班表!$C$5:$T$44,$CU30,BB$57),""),2,1)="/",MID(IFERROR(INDEX(醫師週班表!$C$5:$T$44,$CU30,BB$57),""),1+BB$58*2,1),IF(MID(IFERROR(INDEX(醫師週班表!$C$5:$T$44,$CU30,BB$57),""),3,1)="隔",IF(BB$58=0,LEFT(IFERROR(INDEX(醫師週班表!$C$5:$T$44,$CU30,BB$57),""),1),""),IF(MID(IFERROR(INDEX(醫師週班表!$C$5:$T$44,$CU30,BB$57),""),2,1)="(",LEFT(IFERROR(INDEX(醫師週班表!$C$5:$T$44,$CU30,BB$57),""),1),IFERROR(INDEX(醫師週班表!$C$5:$T$44,$CU30,BB$57),"")))))))</f>
        <v/>
      </c>
      <c r="BC30" s="72">
        <f>IF(BC$59="X","",IF(BC$59&lt;&gt;"",BC$59,IF(IFERROR(INDEX(醫師週班表!$C$5:$T$44,$CU30,BC$57),"")=0,"",IF(MID(IFERROR(INDEX(醫師週班表!$C$5:$T$44,$CU30,BC$57),""),2,1)="/",MID(IFERROR(INDEX(醫師週班表!$C$5:$T$44,$CU30,BC$57),""),1+BC$58*2,1),IF(MID(IFERROR(INDEX(醫師週班表!$C$5:$T$44,$CU30,BC$57),""),3,1)="隔",IF(BC$58=0,LEFT(IFERROR(INDEX(醫師週班表!$C$5:$T$44,$CU30,BC$57),""),1),""),IF(MID(IFERROR(INDEX(醫師週班表!$C$5:$T$44,$CU30,BC$57),""),2,1)="(",LEFT(IFERROR(INDEX(醫師週班表!$C$5:$T$44,$CU30,BC$57),""),1),IFERROR(INDEX(醫師週班表!$C$5:$T$44,$CU30,BC$57),"")))))))</f>
        <v/>
      </c>
      <c r="BD30" s="71">
        <f>IF(BD$59="X","",IF(BD$59&lt;&gt;"",BD$59,IF(IFERROR(INDEX(醫師週班表!$C$5:$T$44,$CU30,BD$57),"")=0,"",IF(MID(IFERROR(INDEX(醫師週班表!$C$5:$T$44,$CU30,BD$57),""),2,1)="/",MID(IFERROR(INDEX(醫師週班表!$C$5:$T$44,$CU30,BD$57),""),1+BD$58*2,1),IF(MID(IFERROR(INDEX(醫師週班表!$C$5:$T$44,$CU30,BD$57),""),3,1)="隔",IF(BD$58=0,LEFT(IFERROR(INDEX(醫師週班表!$C$5:$T$44,$CU30,BD$57),""),1),""),IF(MID(IFERROR(INDEX(醫師週班表!$C$5:$T$44,$CU30,BD$57),""),2,1)="(",LEFT(IFERROR(INDEX(醫師週班表!$C$5:$T$44,$CU30,BD$57),""),1),IFERROR(INDEX(醫師週班表!$C$5:$T$44,$CU30,BD$57),"")))))))</f>
        <v/>
      </c>
      <c r="BE30" s="72">
        <f>IF(BE$59="X","",IF(BE$59&lt;&gt;"",BE$59,IF(IFERROR(INDEX(醫師週班表!$C$5:$T$44,$CU30,BE$57),"")=0,"",IF(MID(IFERROR(INDEX(醫師週班表!$C$5:$T$44,$CU30,BE$57),""),2,1)="/",MID(IFERROR(INDEX(醫師週班表!$C$5:$T$44,$CU30,BE$57),""),1+BE$58*2,1),IF(MID(IFERROR(INDEX(醫師週班表!$C$5:$T$44,$CU30,BE$57),""),3,1)="隔",IF(BE$58=0,LEFT(IFERROR(INDEX(醫師週班表!$C$5:$T$44,$CU30,BE$57),""),1),""),IF(MID(IFERROR(INDEX(醫師週班表!$C$5:$T$44,$CU30,BE$57),""),2,1)="(",LEFT(IFERROR(INDEX(醫師週班表!$C$5:$T$44,$CU30,BE$57),""),1),IFERROR(INDEX(醫師週班表!$C$5:$T$44,$CU30,BE$57),"")))))))</f>
        <v/>
      </c>
      <c r="BF30" s="72">
        <f>IF(BF$59="X","",IF(BF$59&lt;&gt;"",BF$59,IF(IFERROR(INDEX(醫師週班表!$C$5:$T$44,$CU30,BF$57),"")=0,"",IF(MID(IFERROR(INDEX(醫師週班表!$C$5:$T$44,$CU30,BF$57),""),2,1)="/",MID(IFERROR(INDEX(醫師週班表!$C$5:$T$44,$CU30,BF$57),""),1+BF$58*2,1),IF(MID(IFERROR(INDEX(醫師週班表!$C$5:$T$44,$CU30,BF$57),""),3,1)="隔",IF(BF$58=0,LEFT(IFERROR(INDEX(醫師週班表!$C$5:$T$44,$CU30,BF$57),""),1),""),IF(MID(IFERROR(INDEX(醫師週班表!$C$5:$T$44,$CU30,BF$57),""),2,1)="(",LEFT(IFERROR(INDEX(醫師週班表!$C$5:$T$44,$CU30,BF$57),""),1),IFERROR(INDEX(醫師週班表!$C$5:$T$44,$CU30,BF$57),"")))))))</f>
        <v/>
      </c>
      <c r="BG30" s="71">
        <f>IF(BG$59="X","",IF(BG$59&lt;&gt;"",BG$59,IF(IFERROR(INDEX(醫師週班表!$C$5:$T$44,$CU30,BG$57),"")=0,"",IF(MID(IFERROR(INDEX(醫師週班表!$C$5:$T$44,$CU30,BG$57),""),2,1)="/",MID(IFERROR(INDEX(醫師週班表!$C$5:$T$44,$CU30,BG$57),""),1+BG$58*2,1),IF(MID(IFERROR(INDEX(醫師週班表!$C$5:$T$44,$CU30,BG$57),""),3,1)="隔",IF(BG$58=0,LEFT(IFERROR(INDEX(醫師週班表!$C$5:$T$44,$CU30,BG$57),""),1),""),IF(MID(IFERROR(INDEX(醫師週班表!$C$5:$T$44,$CU30,BG$57),""),2,1)="(",LEFT(IFERROR(INDEX(醫師週班表!$C$5:$T$44,$CU30,BG$57),""),1),IFERROR(INDEX(醫師週班表!$C$5:$T$44,$CU30,BG$57),"")))))))</f>
        <v/>
      </c>
      <c r="BH30" s="72">
        <f>IF(BH$59="X","",IF(BH$59&lt;&gt;"",BH$59,IF(IFERROR(INDEX(醫師週班表!$C$5:$T$44,$CU30,BH$57),"")=0,"",IF(MID(IFERROR(INDEX(醫師週班表!$C$5:$T$44,$CU30,BH$57),""),2,1)="/",MID(IFERROR(INDEX(醫師週班表!$C$5:$T$44,$CU30,BH$57),""),1+BH$58*2,1),IF(MID(IFERROR(INDEX(醫師週班表!$C$5:$T$44,$CU30,BH$57),""),3,1)="隔",IF(BH$58=0,LEFT(IFERROR(INDEX(醫師週班表!$C$5:$T$44,$CU30,BH$57),""),1),""),IF(MID(IFERROR(INDEX(醫師週班表!$C$5:$T$44,$CU30,BH$57),""),2,1)="(",LEFT(IFERROR(INDEX(醫師週班表!$C$5:$T$44,$CU30,BH$57),""),1),IFERROR(INDEX(醫師週班表!$C$5:$T$44,$CU30,BH$57),"")))))))</f>
        <v/>
      </c>
      <c r="BI30" s="72">
        <f>IF(BI$59="X","",IF(BI$59&lt;&gt;"",BI$59,IF(IFERROR(INDEX(醫師週班表!$C$5:$T$44,$CU30,BI$57),"")=0,"",IF(MID(IFERROR(INDEX(醫師週班表!$C$5:$T$44,$CU30,BI$57),""),2,1)="/",MID(IFERROR(INDEX(醫師週班表!$C$5:$T$44,$CU30,BI$57),""),1+BI$58*2,1),IF(MID(IFERROR(INDEX(醫師週班表!$C$5:$T$44,$CU30,BI$57),""),3,1)="隔",IF(BI$58=0,LEFT(IFERROR(INDEX(醫師週班表!$C$5:$T$44,$CU30,BI$57),""),1),""),IF(MID(IFERROR(INDEX(醫師週班表!$C$5:$T$44,$CU30,BI$57),""),2,1)="(",LEFT(IFERROR(INDEX(醫師週班表!$C$5:$T$44,$CU30,BI$57),""),1),IFERROR(INDEX(醫師週班表!$C$5:$T$44,$CU30,BI$57),"")))))))</f>
        <v/>
      </c>
      <c r="BJ30" s="71">
        <f>IF(BJ$59="X","",IF(BJ$59&lt;&gt;"",BJ$59,IF(IFERROR(INDEX(醫師週班表!$C$5:$T$44,$CU30,BJ$57),"")=0,"",IF(MID(IFERROR(INDEX(醫師週班表!$C$5:$T$44,$CU30,BJ$57),""),2,1)="/",MID(IFERROR(INDEX(醫師週班表!$C$5:$T$44,$CU30,BJ$57),""),1+BJ$58*2,1),IF(MID(IFERROR(INDEX(醫師週班表!$C$5:$T$44,$CU30,BJ$57),""),3,1)="隔",IF(BJ$58=0,LEFT(IFERROR(INDEX(醫師週班表!$C$5:$T$44,$CU30,BJ$57),""),1),""),IF(MID(IFERROR(INDEX(醫師週班表!$C$5:$T$44,$CU30,BJ$57),""),2,1)="(",LEFT(IFERROR(INDEX(醫師週班表!$C$5:$T$44,$CU30,BJ$57),""),1),IFERROR(INDEX(醫師週班表!$C$5:$T$44,$CU30,BJ$57),"")))))))</f>
        <v/>
      </c>
      <c r="BK30" s="72">
        <f>IF(BK$59="X","",IF(BK$59&lt;&gt;"",BK$59,IF(IFERROR(INDEX(醫師週班表!$C$5:$T$44,$CU30,BK$57),"")=0,"",IF(MID(IFERROR(INDEX(醫師週班表!$C$5:$T$44,$CU30,BK$57),""),2,1)="/",MID(IFERROR(INDEX(醫師週班表!$C$5:$T$44,$CU30,BK$57),""),1+BK$58*2,1),IF(MID(IFERROR(INDEX(醫師週班表!$C$5:$T$44,$CU30,BK$57),""),3,1)="隔",IF(BK$58=0,LEFT(IFERROR(INDEX(醫師週班表!$C$5:$T$44,$CU30,BK$57),""),1),""),IF(MID(IFERROR(INDEX(醫師週班表!$C$5:$T$44,$CU30,BK$57),""),2,1)="(",LEFT(IFERROR(INDEX(醫師週班表!$C$5:$T$44,$CU30,BK$57),""),1),IFERROR(INDEX(醫師週班表!$C$5:$T$44,$CU30,BK$57),"")))))))</f>
        <v/>
      </c>
      <c r="BL30" s="72">
        <f>IF(BL$59="X","",IF(BL$59&lt;&gt;"",BL$59,IF(IFERROR(INDEX(醫師週班表!$C$5:$T$44,$CU30,BL$57),"")=0,"",IF(MID(IFERROR(INDEX(醫師週班表!$C$5:$T$44,$CU30,BL$57),""),2,1)="/",MID(IFERROR(INDEX(醫師週班表!$C$5:$T$44,$CU30,BL$57),""),1+BL$58*2,1),IF(MID(IFERROR(INDEX(醫師週班表!$C$5:$T$44,$CU30,BL$57),""),3,1)="隔",IF(BL$58=0,LEFT(IFERROR(INDEX(醫師週班表!$C$5:$T$44,$CU30,BL$57),""),1),""),IF(MID(IFERROR(INDEX(醫師週班表!$C$5:$T$44,$CU30,BL$57),""),2,1)="(",LEFT(IFERROR(INDEX(醫師週班表!$C$5:$T$44,$CU30,BL$57),""),1),IFERROR(INDEX(醫師週班表!$C$5:$T$44,$CU30,BL$57),"")))))))</f>
        <v/>
      </c>
      <c r="BM30" s="71">
        <f>IF(BM$59="X","",IF(BM$59&lt;&gt;"",BM$59,IF(IFERROR(INDEX(醫師週班表!$C$5:$T$44,$CU30,BM$57),"")=0,"",IF(MID(IFERROR(INDEX(醫師週班表!$C$5:$T$44,$CU30,BM$57),""),2,1)="/",MID(IFERROR(INDEX(醫師週班表!$C$5:$T$44,$CU30,BM$57),""),1+BM$58*2,1),IF(MID(IFERROR(INDEX(醫師週班表!$C$5:$T$44,$CU30,BM$57),""),3,1)="隔",IF(BM$58=0,LEFT(IFERROR(INDEX(醫師週班表!$C$5:$T$44,$CU30,BM$57),""),1),""),IF(MID(IFERROR(INDEX(醫師週班表!$C$5:$T$44,$CU30,BM$57),""),2,1)="(",LEFT(IFERROR(INDEX(醫師週班表!$C$5:$T$44,$CU30,BM$57),""),1),IFERROR(INDEX(醫師週班表!$C$5:$T$44,$CU30,BM$57),"")))))))</f>
        <v/>
      </c>
      <c r="BN30" s="72">
        <f>IF(BN$59="X","",IF(BN$59&lt;&gt;"",BN$59,IF(IFERROR(INDEX(醫師週班表!$C$5:$T$44,$CU30,BN$57),"")=0,"",IF(MID(IFERROR(INDEX(醫師週班表!$C$5:$T$44,$CU30,BN$57),""),2,1)="/",MID(IFERROR(INDEX(醫師週班表!$C$5:$T$44,$CU30,BN$57),""),1+BN$58*2,1),IF(MID(IFERROR(INDEX(醫師週班表!$C$5:$T$44,$CU30,BN$57),""),3,1)="隔",IF(BN$58=0,LEFT(IFERROR(INDEX(醫師週班表!$C$5:$T$44,$CU30,BN$57),""),1),""),IF(MID(IFERROR(INDEX(醫師週班表!$C$5:$T$44,$CU30,BN$57),""),2,1)="(",LEFT(IFERROR(INDEX(醫師週班表!$C$5:$T$44,$CU30,BN$57),""),1),IFERROR(INDEX(醫師週班表!$C$5:$T$44,$CU30,BN$57),"")))))))</f>
        <v/>
      </c>
      <c r="BO30" s="72">
        <f>IF(BO$59="X","",IF(BO$59&lt;&gt;"",BO$59,IF(IFERROR(INDEX(醫師週班表!$C$5:$T$44,$CU30,BO$57),"")=0,"",IF(MID(IFERROR(INDEX(醫師週班表!$C$5:$T$44,$CU30,BO$57),""),2,1)="/",MID(IFERROR(INDEX(醫師週班表!$C$5:$T$44,$CU30,BO$57),""),1+BO$58*2,1),IF(MID(IFERROR(INDEX(醫師週班表!$C$5:$T$44,$CU30,BO$57),""),3,1)="隔",IF(BO$58=0,LEFT(IFERROR(INDEX(醫師週班表!$C$5:$T$44,$CU30,BO$57),""),1),""),IF(MID(IFERROR(INDEX(醫師週班表!$C$5:$T$44,$CU30,BO$57),""),2,1)="(",LEFT(IFERROR(INDEX(醫師週班表!$C$5:$T$44,$CU30,BO$57),""),1),IFERROR(INDEX(醫師週班表!$C$5:$T$44,$CU30,BO$57),"")))))))</f>
        <v/>
      </c>
      <c r="BP30" s="71">
        <f>IF(BP$59="X","",IF(BP$59&lt;&gt;"",BP$59,IF(IFERROR(INDEX(醫師週班表!$C$5:$T$44,$CU30,BP$57),"")=0,"",IF(MID(IFERROR(INDEX(醫師週班表!$C$5:$T$44,$CU30,BP$57),""),2,1)="/",MID(IFERROR(INDEX(醫師週班表!$C$5:$T$44,$CU30,BP$57),""),1+BP$58*2,1),IF(MID(IFERROR(INDEX(醫師週班表!$C$5:$T$44,$CU30,BP$57),""),3,1)="隔",IF(BP$58=0,LEFT(IFERROR(INDEX(醫師週班表!$C$5:$T$44,$CU30,BP$57),""),1),""),IF(MID(IFERROR(INDEX(醫師週班表!$C$5:$T$44,$CU30,BP$57),""),2,1)="(",LEFT(IFERROR(INDEX(醫師週班表!$C$5:$T$44,$CU30,BP$57),""),1),IFERROR(INDEX(醫師週班表!$C$5:$T$44,$CU30,BP$57),"")))))))</f>
        <v/>
      </c>
      <c r="BQ30" s="72">
        <f>IF(BQ$59="X","",IF(BQ$59&lt;&gt;"",BQ$59,IF(IFERROR(INDEX(醫師週班表!$C$5:$T$44,$CU30,BQ$57),"")=0,"",IF(MID(IFERROR(INDEX(醫師週班表!$C$5:$T$44,$CU30,BQ$57),""),2,1)="/",MID(IFERROR(INDEX(醫師週班表!$C$5:$T$44,$CU30,BQ$57),""),1+BQ$58*2,1),IF(MID(IFERROR(INDEX(醫師週班表!$C$5:$T$44,$CU30,BQ$57),""),3,1)="隔",IF(BQ$58=0,LEFT(IFERROR(INDEX(醫師週班表!$C$5:$T$44,$CU30,BQ$57),""),1),""),IF(MID(IFERROR(INDEX(醫師週班表!$C$5:$T$44,$CU30,BQ$57),""),2,1)="(",LEFT(IFERROR(INDEX(醫師週班表!$C$5:$T$44,$CU30,BQ$57),""),1),IFERROR(INDEX(醫師週班表!$C$5:$T$44,$CU30,BQ$57),"")))))))</f>
        <v/>
      </c>
      <c r="BR30" s="72">
        <f>IF(BR$59="X","",IF(BR$59&lt;&gt;"",BR$59,IF(IFERROR(INDEX(醫師週班表!$C$5:$T$44,$CU30,BR$57),"")=0,"",IF(MID(IFERROR(INDEX(醫師週班表!$C$5:$T$44,$CU30,BR$57),""),2,1)="/",MID(IFERROR(INDEX(醫師週班表!$C$5:$T$44,$CU30,BR$57),""),1+BR$58*2,1),IF(MID(IFERROR(INDEX(醫師週班表!$C$5:$T$44,$CU30,BR$57),""),3,1)="隔",IF(BR$58=0,LEFT(IFERROR(INDEX(醫師週班表!$C$5:$T$44,$CU30,BR$57),""),1),""),IF(MID(IFERROR(INDEX(醫師週班表!$C$5:$T$44,$CU30,BR$57),""),2,1)="(",LEFT(IFERROR(INDEX(醫師週班表!$C$5:$T$44,$CU30,BR$57),""),1),IFERROR(INDEX(醫師週班表!$C$5:$T$44,$CU30,BR$57),"")))))))</f>
        <v/>
      </c>
      <c r="BS30" s="71">
        <f>IF(BS$59="X","",IF(BS$59&lt;&gt;"",BS$59,IF(IFERROR(INDEX(醫師週班表!$C$5:$T$44,$CU30,BS$57),"")=0,"",IF(MID(IFERROR(INDEX(醫師週班表!$C$5:$T$44,$CU30,BS$57),""),2,1)="/",MID(IFERROR(INDEX(醫師週班表!$C$5:$T$44,$CU30,BS$57),""),1+BS$58*2,1),IF(MID(IFERROR(INDEX(醫師週班表!$C$5:$T$44,$CU30,BS$57),""),3,1)="隔",IF(BS$58=0,LEFT(IFERROR(INDEX(醫師週班表!$C$5:$T$44,$CU30,BS$57),""),1),""),IF(MID(IFERROR(INDEX(醫師週班表!$C$5:$T$44,$CU30,BS$57),""),2,1)="(",LEFT(IFERROR(INDEX(醫師週班表!$C$5:$T$44,$CU30,BS$57),""),1),IFERROR(INDEX(醫師週班表!$C$5:$T$44,$CU30,BS$57),"")))))))</f>
        <v/>
      </c>
      <c r="BT30" s="72">
        <f>IF(BT$59="X","",IF(BT$59&lt;&gt;"",BT$59,IF(IFERROR(INDEX(醫師週班表!$C$5:$T$44,$CU30,BT$57),"")=0,"",IF(MID(IFERROR(INDEX(醫師週班表!$C$5:$T$44,$CU30,BT$57),""),2,1)="/",MID(IFERROR(INDEX(醫師週班表!$C$5:$T$44,$CU30,BT$57),""),1+BT$58*2,1),IF(MID(IFERROR(INDEX(醫師週班表!$C$5:$T$44,$CU30,BT$57),""),3,1)="隔",IF(BT$58=0,LEFT(IFERROR(INDEX(醫師週班表!$C$5:$T$44,$CU30,BT$57),""),1),""),IF(MID(IFERROR(INDEX(醫師週班表!$C$5:$T$44,$CU30,BT$57),""),2,1)="(",LEFT(IFERROR(INDEX(醫師週班表!$C$5:$T$44,$CU30,BT$57),""),1),IFERROR(INDEX(醫師週班表!$C$5:$T$44,$CU30,BT$57),"")))))))</f>
        <v/>
      </c>
      <c r="BU30" s="72">
        <f>IF(BU$59="X","",IF(BU$59&lt;&gt;"",BU$59,IF(IFERROR(INDEX(醫師週班表!$C$5:$T$44,$CU30,BU$57),"")=0,"",IF(MID(IFERROR(INDEX(醫師週班表!$C$5:$T$44,$CU30,BU$57),""),2,1)="/",MID(IFERROR(INDEX(醫師週班表!$C$5:$T$44,$CU30,BU$57),""),1+BU$58*2,1),IF(MID(IFERROR(INDEX(醫師週班表!$C$5:$T$44,$CU30,BU$57),""),3,1)="隔",IF(BU$58=0,LEFT(IFERROR(INDEX(醫師週班表!$C$5:$T$44,$CU30,BU$57),""),1),""),IF(MID(IFERROR(INDEX(醫師週班表!$C$5:$T$44,$CU30,BU$57),""),2,1)="(",LEFT(IFERROR(INDEX(醫師週班表!$C$5:$T$44,$CU30,BU$57),""),1),IFERROR(INDEX(醫師週班表!$C$5:$T$44,$CU30,BU$57),"")))))))</f>
        <v/>
      </c>
      <c r="BV30" s="71">
        <f>IF(BV$59="X","",IF(BV$59&lt;&gt;"",BV$59,IF(IFERROR(INDEX(醫師週班表!$C$5:$T$44,$CU30,BV$57),"")=0,"",IF(MID(IFERROR(INDEX(醫師週班表!$C$5:$T$44,$CU30,BV$57),""),2,1)="/",MID(IFERROR(INDEX(醫師週班表!$C$5:$T$44,$CU30,BV$57),""),1+BV$58*2,1),IF(MID(IFERROR(INDEX(醫師週班表!$C$5:$T$44,$CU30,BV$57),""),3,1)="隔",IF(BV$58=0,LEFT(IFERROR(INDEX(醫師週班表!$C$5:$T$44,$CU30,BV$57),""),1),""),IF(MID(IFERROR(INDEX(醫師週班表!$C$5:$T$44,$CU30,BV$57),""),2,1)="(",LEFT(IFERROR(INDEX(醫師週班表!$C$5:$T$44,$CU30,BV$57),""),1),IFERROR(INDEX(醫師週班表!$C$5:$T$44,$CU30,BV$57),"")))))))</f>
        <v/>
      </c>
      <c r="BW30" s="72">
        <f>IF(BW$59="X","",IF(BW$59&lt;&gt;"",BW$59,IF(IFERROR(INDEX(醫師週班表!$C$5:$T$44,$CU30,BW$57),"")=0,"",IF(MID(IFERROR(INDEX(醫師週班表!$C$5:$T$44,$CU30,BW$57),""),2,1)="/",MID(IFERROR(INDEX(醫師週班表!$C$5:$T$44,$CU30,BW$57),""),1+BW$58*2,1),IF(MID(IFERROR(INDEX(醫師週班表!$C$5:$T$44,$CU30,BW$57),""),3,1)="隔",IF(BW$58=0,LEFT(IFERROR(INDEX(醫師週班表!$C$5:$T$44,$CU30,BW$57),""),1),""),IF(MID(IFERROR(INDEX(醫師週班表!$C$5:$T$44,$CU30,BW$57),""),2,1)="(",LEFT(IFERROR(INDEX(醫師週班表!$C$5:$T$44,$CU30,BW$57),""),1),IFERROR(INDEX(醫師週班表!$C$5:$T$44,$CU30,BW$57),"")))))))</f>
        <v/>
      </c>
      <c r="BX30" s="72">
        <f>IF(BX$59="X","",IF(BX$59&lt;&gt;"",BX$59,IF(IFERROR(INDEX(醫師週班表!$C$5:$T$44,$CU30,BX$57),"")=0,"",IF(MID(IFERROR(INDEX(醫師週班表!$C$5:$T$44,$CU30,BX$57),""),2,1)="/",MID(IFERROR(INDEX(醫師週班表!$C$5:$T$44,$CU30,BX$57),""),1+BX$58*2,1),IF(MID(IFERROR(INDEX(醫師週班表!$C$5:$T$44,$CU30,BX$57),""),3,1)="隔",IF(BX$58=0,LEFT(IFERROR(INDEX(醫師週班表!$C$5:$T$44,$CU30,BX$57),""),1),""),IF(MID(IFERROR(INDEX(醫師週班表!$C$5:$T$44,$CU30,BX$57),""),2,1)="(",LEFT(IFERROR(INDEX(醫師週班表!$C$5:$T$44,$CU30,BX$57),""),1),IFERROR(INDEX(醫師週班表!$C$5:$T$44,$CU30,BX$57),"")))))))</f>
        <v/>
      </c>
      <c r="BY30" s="71">
        <f>IF(BY$59="X","",IF(BY$59&lt;&gt;"",BY$59,IF(IFERROR(INDEX(醫師週班表!$C$5:$T$44,$CU30,BY$57),"")=0,"",IF(MID(IFERROR(INDEX(醫師週班表!$C$5:$T$44,$CU30,BY$57),""),2,1)="/",MID(IFERROR(INDEX(醫師週班表!$C$5:$T$44,$CU30,BY$57),""),1+BY$58*2,1),IF(MID(IFERROR(INDEX(醫師週班表!$C$5:$T$44,$CU30,BY$57),""),3,1)="隔",IF(BY$58=0,LEFT(IFERROR(INDEX(醫師週班表!$C$5:$T$44,$CU30,BY$57),""),1),""),IF(MID(IFERROR(INDEX(醫師週班表!$C$5:$T$44,$CU30,BY$57),""),2,1)="(",LEFT(IFERROR(INDEX(醫師週班表!$C$5:$T$44,$CU30,BY$57),""),1),IFERROR(INDEX(醫師週班表!$C$5:$T$44,$CU30,BY$57),"")))))))</f>
        <v/>
      </c>
      <c r="BZ30" s="72">
        <f>IF(BZ$59="X","",IF(BZ$59&lt;&gt;"",BZ$59,IF(IFERROR(INDEX(醫師週班表!$C$5:$T$44,$CU30,BZ$57),"")=0,"",IF(MID(IFERROR(INDEX(醫師週班表!$C$5:$T$44,$CU30,BZ$57),""),2,1)="/",MID(IFERROR(INDEX(醫師週班表!$C$5:$T$44,$CU30,BZ$57),""),1+BZ$58*2,1),IF(MID(IFERROR(INDEX(醫師週班表!$C$5:$T$44,$CU30,BZ$57),""),3,1)="隔",IF(BZ$58=0,LEFT(IFERROR(INDEX(醫師週班表!$C$5:$T$44,$CU30,BZ$57),""),1),""),IF(MID(IFERROR(INDEX(醫師週班表!$C$5:$T$44,$CU30,BZ$57),""),2,1)="(",LEFT(IFERROR(INDEX(醫師週班表!$C$5:$T$44,$CU30,BZ$57),""),1),IFERROR(INDEX(醫師週班表!$C$5:$T$44,$CU30,BZ$57),"")))))))</f>
        <v/>
      </c>
      <c r="CA30" s="72">
        <f>IF(CA$59="X","",IF(CA$59&lt;&gt;"",CA$59,IF(IFERROR(INDEX(醫師週班表!$C$5:$T$44,$CU30,CA$57),"")=0,"",IF(MID(IFERROR(INDEX(醫師週班表!$C$5:$T$44,$CU30,CA$57),""),2,1)="/",MID(IFERROR(INDEX(醫師週班表!$C$5:$T$44,$CU30,CA$57),""),1+CA$58*2,1),IF(MID(IFERROR(INDEX(醫師週班表!$C$5:$T$44,$CU30,CA$57),""),3,1)="隔",IF(CA$58=0,LEFT(IFERROR(INDEX(醫師週班表!$C$5:$T$44,$CU30,CA$57),""),1),""),IF(MID(IFERROR(INDEX(醫師週班表!$C$5:$T$44,$CU30,CA$57),""),2,1)="(",LEFT(IFERROR(INDEX(醫師週班表!$C$5:$T$44,$CU30,CA$57),""),1),IFERROR(INDEX(醫師週班表!$C$5:$T$44,$CU30,CA$57),"")))))))</f>
        <v/>
      </c>
      <c r="CB30" s="71">
        <f>IF(CB$59="X","",IF(CB$59&lt;&gt;"",CB$59,IF(IFERROR(INDEX(醫師週班表!$C$5:$T$44,$CU30,CB$57),"")=0,"",IF(MID(IFERROR(INDEX(醫師週班表!$C$5:$T$44,$CU30,CB$57),""),2,1)="/",MID(IFERROR(INDEX(醫師週班表!$C$5:$T$44,$CU30,CB$57),""),1+CB$58*2,1),IF(MID(IFERROR(INDEX(醫師週班表!$C$5:$T$44,$CU30,CB$57),""),3,1)="隔",IF(CB$58=0,LEFT(IFERROR(INDEX(醫師週班表!$C$5:$T$44,$CU30,CB$57),""),1),""),IF(MID(IFERROR(INDEX(醫師週班表!$C$5:$T$44,$CU30,CB$57),""),2,1)="(",LEFT(IFERROR(INDEX(醫師週班表!$C$5:$T$44,$CU30,CB$57),""),1),IFERROR(INDEX(醫師週班表!$C$5:$T$44,$CU30,CB$57),"")))))))</f>
        <v/>
      </c>
      <c r="CC30" s="72">
        <f>IF(CC$59="X","",IF(CC$59&lt;&gt;"",CC$59,IF(IFERROR(INDEX(醫師週班表!$C$5:$T$44,$CU30,CC$57),"")=0,"",IF(MID(IFERROR(INDEX(醫師週班表!$C$5:$T$44,$CU30,CC$57),""),2,1)="/",MID(IFERROR(INDEX(醫師週班表!$C$5:$T$44,$CU30,CC$57),""),1+CC$58*2,1),IF(MID(IFERROR(INDEX(醫師週班表!$C$5:$T$44,$CU30,CC$57),""),3,1)="隔",IF(CC$58=0,LEFT(IFERROR(INDEX(醫師週班表!$C$5:$T$44,$CU30,CC$57),""),1),""),IF(MID(IFERROR(INDEX(醫師週班表!$C$5:$T$44,$CU30,CC$57),""),2,1)="(",LEFT(IFERROR(INDEX(醫師週班表!$C$5:$T$44,$CU30,CC$57),""),1),IFERROR(INDEX(醫師週班表!$C$5:$T$44,$CU30,CC$57),"")))))))</f>
        <v/>
      </c>
      <c r="CD30" s="72">
        <f>IF(CD$59="X","",IF(CD$59&lt;&gt;"",CD$59,IF(IFERROR(INDEX(醫師週班表!$C$5:$T$44,$CU30,CD$57),"")=0,"",IF(MID(IFERROR(INDEX(醫師週班表!$C$5:$T$44,$CU30,CD$57),""),2,1)="/",MID(IFERROR(INDEX(醫師週班表!$C$5:$T$44,$CU30,CD$57),""),1+CD$58*2,1),IF(MID(IFERROR(INDEX(醫師週班表!$C$5:$T$44,$CU30,CD$57),""),3,1)="隔",IF(CD$58=0,LEFT(IFERROR(INDEX(醫師週班表!$C$5:$T$44,$CU30,CD$57),""),1),""),IF(MID(IFERROR(INDEX(醫師週班表!$C$5:$T$44,$CU30,CD$57),""),2,1)="(",LEFT(IFERROR(INDEX(醫師週班表!$C$5:$T$44,$CU30,CD$57),""),1),IFERROR(INDEX(醫師週班表!$C$5:$T$44,$CU30,CD$57),"")))))))</f>
        <v/>
      </c>
      <c r="CE30" s="71">
        <f>IF(CE$59="X","",IF(CE$59&lt;&gt;"",CE$59,IF(IFERROR(INDEX(醫師週班表!$C$5:$T$44,$CU30,CE$57),"")=0,"",IF(MID(IFERROR(INDEX(醫師週班表!$C$5:$T$44,$CU30,CE$57),""),2,1)="/",MID(IFERROR(INDEX(醫師週班表!$C$5:$T$44,$CU30,CE$57),""),1+CE$58*2,1),IF(MID(IFERROR(INDEX(醫師週班表!$C$5:$T$44,$CU30,CE$57),""),3,1)="隔",IF(CE$58=0,LEFT(IFERROR(INDEX(醫師週班表!$C$5:$T$44,$CU30,CE$57),""),1),""),IF(MID(IFERROR(INDEX(醫師週班表!$C$5:$T$44,$CU30,CE$57),""),2,1)="(",LEFT(IFERROR(INDEX(醫師週班表!$C$5:$T$44,$CU30,CE$57),""),1),IFERROR(INDEX(醫師週班表!$C$5:$T$44,$CU30,CE$57),"")))))))</f>
        <v/>
      </c>
      <c r="CF30" s="72">
        <f>IF(CF$59="X","",IF(CF$59&lt;&gt;"",CF$59,IF(IFERROR(INDEX(醫師週班表!$C$5:$T$44,$CU30,CF$57),"")=0,"",IF(MID(IFERROR(INDEX(醫師週班表!$C$5:$T$44,$CU30,CF$57),""),2,1)="/",MID(IFERROR(INDEX(醫師週班表!$C$5:$T$44,$CU30,CF$57),""),1+CF$58*2,1),IF(MID(IFERROR(INDEX(醫師週班表!$C$5:$T$44,$CU30,CF$57),""),3,1)="隔",IF(CF$58=0,LEFT(IFERROR(INDEX(醫師週班表!$C$5:$T$44,$CU30,CF$57),""),1),""),IF(MID(IFERROR(INDEX(醫師週班表!$C$5:$T$44,$CU30,CF$57),""),2,1)="(",LEFT(IFERROR(INDEX(醫師週班表!$C$5:$T$44,$CU30,CF$57),""),1),IFERROR(INDEX(醫師週班表!$C$5:$T$44,$CU30,CF$57),"")))))))</f>
        <v/>
      </c>
      <c r="CG30" s="72">
        <f>IF(CG$59="X","",IF(CG$59&lt;&gt;"",CG$59,IF(IFERROR(INDEX(醫師週班表!$C$5:$T$44,$CU30,CG$57),"")=0,"",IF(MID(IFERROR(INDEX(醫師週班表!$C$5:$T$44,$CU30,CG$57),""),2,1)="/",MID(IFERROR(INDEX(醫師週班表!$C$5:$T$44,$CU30,CG$57),""),1+CG$58*2,1),IF(MID(IFERROR(INDEX(醫師週班表!$C$5:$T$44,$CU30,CG$57),""),3,1)="隔",IF(CG$58=0,LEFT(IFERROR(INDEX(醫師週班表!$C$5:$T$44,$CU30,CG$57),""),1),""),IF(MID(IFERROR(INDEX(醫師週班表!$C$5:$T$44,$CU30,CG$57),""),2,1)="(",LEFT(IFERROR(INDEX(醫師週班表!$C$5:$T$44,$CU30,CG$57),""),1),IFERROR(INDEX(醫師週班表!$C$5:$T$44,$CU30,CG$57),"")))))))</f>
        <v/>
      </c>
      <c r="CH30" s="71">
        <f>IF(CH$59="X","",IF(CH$59&lt;&gt;"",CH$59,IF(IFERROR(INDEX(醫師週班表!$C$5:$T$44,$CU30,CH$57),"")=0,"",IF(MID(IFERROR(INDEX(醫師週班表!$C$5:$T$44,$CU30,CH$57),""),2,1)="/",MID(IFERROR(INDEX(醫師週班表!$C$5:$T$44,$CU30,CH$57),""),1+CH$58*2,1),IF(MID(IFERROR(INDEX(醫師週班表!$C$5:$T$44,$CU30,CH$57),""),3,1)="隔",IF(CH$58=0,LEFT(IFERROR(INDEX(醫師週班表!$C$5:$T$44,$CU30,CH$57),""),1),""),IF(MID(IFERROR(INDEX(醫師週班表!$C$5:$T$44,$CU30,CH$57),""),2,1)="(",LEFT(IFERROR(INDEX(醫師週班表!$C$5:$T$44,$CU30,CH$57),""),1),IFERROR(INDEX(醫師週班表!$C$5:$T$44,$CU30,CH$57),"")))))))</f>
        <v/>
      </c>
      <c r="CI30" s="72">
        <f>IF(CI$59="X","",IF(CI$59&lt;&gt;"",CI$59,IF(IFERROR(INDEX(醫師週班表!$C$5:$T$44,$CU30,CI$57),"")=0,"",IF(MID(IFERROR(INDEX(醫師週班表!$C$5:$T$44,$CU30,CI$57),""),2,1)="/",MID(IFERROR(INDEX(醫師週班表!$C$5:$T$44,$CU30,CI$57),""),1+CI$58*2,1),IF(MID(IFERROR(INDEX(醫師週班表!$C$5:$T$44,$CU30,CI$57),""),3,1)="隔",IF(CI$58=0,LEFT(IFERROR(INDEX(醫師週班表!$C$5:$T$44,$CU30,CI$57),""),1),""),IF(MID(IFERROR(INDEX(醫師週班表!$C$5:$T$44,$CU30,CI$57),""),2,1)="(",LEFT(IFERROR(INDEX(醫師週班表!$C$5:$T$44,$CU30,CI$57),""),1),IFERROR(INDEX(醫師週班表!$C$5:$T$44,$CU30,CI$57),"")))))))</f>
        <v/>
      </c>
      <c r="CJ30" s="72">
        <f>IF(CJ$59="X","",IF(CJ$59&lt;&gt;"",CJ$59,IF(IFERROR(INDEX(醫師週班表!$C$5:$T$44,$CU30,CJ$57),"")=0,"",IF(MID(IFERROR(INDEX(醫師週班表!$C$5:$T$44,$CU30,CJ$57),""),2,1)="/",MID(IFERROR(INDEX(醫師週班表!$C$5:$T$44,$CU30,CJ$57),""),1+CJ$58*2,1),IF(MID(IFERROR(INDEX(醫師週班表!$C$5:$T$44,$CU30,CJ$57),""),3,1)="隔",IF(CJ$58=0,LEFT(IFERROR(INDEX(醫師週班表!$C$5:$T$44,$CU30,CJ$57),""),1),""),IF(MID(IFERROR(INDEX(醫師週班表!$C$5:$T$44,$CU30,CJ$57),""),2,1)="(",LEFT(IFERROR(INDEX(醫師週班表!$C$5:$T$44,$CU30,CJ$57),""),1),IFERROR(INDEX(醫師週班表!$C$5:$T$44,$CU30,CJ$57),"")))))))</f>
        <v/>
      </c>
      <c r="CK30" s="71">
        <f>IF(CK$59="X","",IF(CK$59&lt;&gt;"",CK$59,IF(IFERROR(INDEX(醫師週班表!$C$5:$T$44,$CU30,CK$57),"")=0,"",IF(MID(IFERROR(INDEX(醫師週班表!$C$5:$T$44,$CU30,CK$57),""),2,1)="/",MID(IFERROR(INDEX(醫師週班表!$C$5:$T$44,$CU30,CK$57),""),1+CK$58*2,1),IF(MID(IFERROR(INDEX(醫師週班表!$C$5:$T$44,$CU30,CK$57),""),3,1)="隔",IF(CK$58=0,LEFT(IFERROR(INDEX(醫師週班表!$C$5:$T$44,$CU30,CK$57),""),1),""),IF(MID(IFERROR(INDEX(醫師週班表!$C$5:$T$44,$CU30,CK$57),""),2,1)="(",LEFT(IFERROR(INDEX(醫師週班表!$C$5:$T$44,$CU30,CK$57),""),1),IFERROR(INDEX(醫師週班表!$C$5:$T$44,$CU30,CK$57),"")))))))</f>
        <v/>
      </c>
      <c r="CL30" s="72">
        <f>IF(CL$59="X","",IF(CL$59&lt;&gt;"",CL$59,IF(IFERROR(INDEX(醫師週班表!$C$5:$T$44,$CU30,CL$57),"")=0,"",IF(MID(IFERROR(INDEX(醫師週班表!$C$5:$T$44,$CU30,CL$57),""),2,1)="/",MID(IFERROR(INDEX(醫師週班表!$C$5:$T$44,$CU30,CL$57),""),1+CL$58*2,1),IF(MID(IFERROR(INDEX(醫師週班表!$C$5:$T$44,$CU30,CL$57),""),3,1)="隔",IF(CL$58=0,LEFT(IFERROR(INDEX(醫師週班表!$C$5:$T$44,$CU30,CL$57),""),1),""),IF(MID(IFERROR(INDEX(醫師週班表!$C$5:$T$44,$CU30,CL$57),""),2,1)="(",LEFT(IFERROR(INDEX(醫師週班表!$C$5:$T$44,$CU30,CL$57),""),1),IFERROR(INDEX(醫師週班表!$C$5:$T$44,$CU30,CL$57),"")))))))</f>
        <v/>
      </c>
      <c r="CM30" s="72">
        <f>IF(CM$59="X","",IF(CM$59&lt;&gt;"",CM$59,IF(IFERROR(INDEX(醫師週班表!$C$5:$T$44,$CU30,CM$57),"")=0,"",IF(MID(IFERROR(INDEX(醫師週班表!$C$5:$T$44,$CU30,CM$57),""),2,1)="/",MID(IFERROR(INDEX(醫師週班表!$C$5:$T$44,$CU30,CM$57),""),1+CM$58*2,1),IF(MID(IFERROR(INDEX(醫師週班表!$C$5:$T$44,$CU30,CM$57),""),3,1)="隔",IF(CM$58=0,LEFT(IFERROR(INDEX(醫師週班表!$C$5:$T$44,$CU30,CM$57),""),1),""),IF(MID(IFERROR(INDEX(醫師週班表!$C$5:$T$44,$CU30,CM$57),""),2,1)="(",LEFT(IFERROR(INDEX(醫師週班表!$C$5:$T$44,$CU30,CM$57),""),1),IFERROR(INDEX(醫師週班表!$C$5:$T$44,$CU30,CM$57),"")))))))</f>
        <v/>
      </c>
      <c r="CN30" s="71">
        <f>IF(CN$59="X","",IF(CN$59&lt;&gt;"",CN$59,IF(IFERROR(INDEX(醫師週班表!$C$5:$T$44,$CU30,CN$57),"")=0,"",IF(MID(IFERROR(INDEX(醫師週班表!$C$5:$T$44,$CU30,CN$57),""),2,1)="/",MID(IFERROR(INDEX(醫師週班表!$C$5:$T$44,$CU30,CN$57),""),1+CN$58*2,1),IF(MID(IFERROR(INDEX(醫師週班表!$C$5:$T$44,$CU30,CN$57),""),3,1)="隔",IF(CN$58=0,LEFT(IFERROR(INDEX(醫師週班表!$C$5:$T$44,$CU30,CN$57),""),1),""),IF(MID(IFERROR(INDEX(醫師週班表!$C$5:$T$44,$CU30,CN$57),""),2,1)="(",LEFT(IFERROR(INDEX(醫師週班表!$C$5:$T$44,$CU30,CN$57),""),1),IFERROR(INDEX(醫師週班表!$C$5:$T$44,$CU30,CN$57),"")))))))</f>
        <v/>
      </c>
      <c r="CO30" s="72">
        <f>IF(CO$59="X","",IF(CO$59&lt;&gt;"",CO$59,IF(IFERROR(INDEX(醫師週班表!$C$5:$T$44,$CU30,CO$57),"")=0,"",IF(MID(IFERROR(INDEX(醫師週班表!$C$5:$T$44,$CU30,CO$57),""),2,1)="/",MID(IFERROR(INDEX(醫師週班表!$C$5:$T$44,$CU30,CO$57),""),1+CO$58*2,1),IF(MID(IFERROR(INDEX(醫師週班表!$C$5:$T$44,$CU30,CO$57),""),3,1)="隔",IF(CO$58=0,LEFT(IFERROR(INDEX(醫師週班表!$C$5:$T$44,$CU30,CO$57),""),1),""),IF(MID(IFERROR(INDEX(醫師週班表!$C$5:$T$44,$CU30,CO$57),""),2,1)="(",LEFT(IFERROR(INDEX(醫師週班表!$C$5:$T$44,$CU30,CO$57),""),1),IFERROR(INDEX(醫師週班表!$C$5:$T$44,$CU30,CO$57),"")))))))</f>
        <v/>
      </c>
      <c r="CP30" s="72">
        <f>IF(CP$59="X","",IF(CP$59&lt;&gt;"",CP$59,IF(IFERROR(INDEX(醫師週班表!$C$5:$T$44,$CU30,CP$57),"")=0,"",IF(MID(IFERROR(INDEX(醫師週班表!$C$5:$T$44,$CU30,CP$57),""),2,1)="/",MID(IFERROR(INDEX(醫師週班表!$C$5:$T$44,$CU30,CP$57),""),1+CP$58*2,1),IF(MID(IFERROR(INDEX(醫師週班表!$C$5:$T$44,$CU30,CP$57),""),3,1)="隔",IF(CP$58=0,LEFT(IFERROR(INDEX(醫師週班表!$C$5:$T$44,$CU30,CP$57),""),1),""),IF(MID(IFERROR(INDEX(醫師週班表!$C$5:$T$44,$CU30,CP$57),""),2,1)="(",LEFT(IFERROR(INDEX(醫師週班表!$C$5:$T$44,$CU30,CP$57),""),1),IFERROR(INDEX(醫師週班表!$C$5:$T$44,$CU30,CP$57),"")))))))</f>
        <v/>
      </c>
      <c r="CQ30" s="71">
        <f>IF(CQ$59="X","",IF(CQ$59&lt;&gt;"",CQ$59,IF(IFERROR(INDEX(醫師週班表!$C$5:$T$44,$CU30,CQ$57),"")=0,"",IF(MID(IFERROR(INDEX(醫師週班表!$C$5:$T$44,$CU30,CQ$57),""),2,1)="/",MID(IFERROR(INDEX(醫師週班表!$C$5:$T$44,$CU30,CQ$57),""),1+CQ$58*2,1),IF(MID(IFERROR(INDEX(醫師週班表!$C$5:$T$44,$CU30,CQ$57),""),3,1)="隔",IF(CQ$58=0,LEFT(IFERROR(INDEX(醫師週班表!$C$5:$T$44,$CU30,CQ$57),""),1),""),IF(MID(IFERROR(INDEX(醫師週班表!$C$5:$T$44,$CU30,CQ$57),""),2,1)="(",LEFT(IFERROR(INDEX(醫師週班表!$C$5:$T$44,$CU30,CQ$57),""),1),IFERROR(INDEX(醫師週班表!$C$5:$T$44,$CU30,CQ$57),"")))))))</f>
        <v/>
      </c>
      <c r="CR30" s="72">
        <f>IF(CR$59="X","",IF(CR$59&lt;&gt;"",CR$59,IF(IFERROR(INDEX(醫師週班表!$C$5:$T$44,$CU30,CR$57),"")=0,"",IF(MID(IFERROR(INDEX(醫師週班表!$C$5:$T$44,$CU30,CR$57),""),2,1)="/",MID(IFERROR(INDEX(醫師週班表!$C$5:$T$44,$CU30,CR$57),""),1+CR$58*2,1),IF(MID(IFERROR(INDEX(醫師週班表!$C$5:$T$44,$CU30,CR$57),""),3,1)="隔",IF(CR$58=0,LEFT(IFERROR(INDEX(醫師週班表!$C$5:$T$44,$CU30,CR$57),""),1),""),IF(MID(IFERROR(INDEX(醫師週班表!$C$5:$T$44,$CU30,CR$57),""),2,1)="(",LEFT(IFERROR(INDEX(醫師週班表!$C$5:$T$44,$CU30,CR$57),""),1),IFERROR(INDEX(醫師週班表!$C$5:$T$44,$CU30,CR$57),"")))))))</f>
        <v/>
      </c>
      <c r="CS30" s="72">
        <f>IF(CS$59="X","",IF(CS$59&lt;&gt;"",CS$59,IF(IFERROR(INDEX(醫師週班表!$C$5:$T$44,$CU30,CS$57),"")=0,"",IF(MID(IFERROR(INDEX(醫師週班表!$C$5:$T$44,$CU30,CS$57),""),2,1)="/",MID(IFERROR(INDEX(醫師週班表!$C$5:$T$44,$CU30,CS$57),""),1+CS$58*2,1),IF(MID(IFERROR(INDEX(醫師週班表!$C$5:$T$44,$CU30,CS$57),""),3,1)="隔",IF(CS$58=0,LEFT(IFERROR(INDEX(醫師週班表!$C$5:$T$44,$CU30,CS$57),""),1),""),IF(MID(IFERROR(INDEX(醫師週班表!$C$5:$T$44,$CU30,CS$57),""),2,1)="(",LEFT(IFERROR(INDEX(醫師週班表!$C$5:$T$44,$CU30,CS$57),""),1),IFERROR(INDEX(醫師週班表!$C$5:$T$44,$CU30,CS$57),"")))))))</f>
        <v/>
      </c>
      <c r="CU30" s="73">
        <f>IFERROR(MATCH($A30,醫師週班表!$A$5:$A$44,0),0)</f>
        <v/>
      </c>
    </row>
    <row r="31" ht="17" customHeight="1">
      <c r="A31" s="19" t="inlineStr">
        <is>
          <t>D026</t>
        </is>
      </c>
      <c r="B31" s="16" t="inlineStr">
        <is>
          <t>吳冠廷</t>
        </is>
      </c>
      <c r="C31" s="70" t="inlineStr"/>
      <c r="D31" s="16" t="inlineStr"/>
      <c r="E31" s="71">
        <f>IF(E$59="X","",IF(E$59&lt;&gt;"",E$59,IF(IFERROR(INDEX(醫師週班表!$C$5:$T$44,$CU31,E$57),"")=0,"",IF(MID(IFERROR(INDEX(醫師週班表!$C$5:$T$44,$CU31,E$57),""),2,1)="/",MID(IFERROR(INDEX(醫師週班表!$C$5:$T$44,$CU31,E$57),""),1+E$58*2,1),IF(MID(IFERROR(INDEX(醫師週班表!$C$5:$T$44,$CU31,E$57),""),3,1)="隔",IF(E$58=0,LEFT(IFERROR(INDEX(醫師週班表!$C$5:$T$44,$CU31,E$57),""),1),""),IF(MID(IFERROR(INDEX(醫師週班表!$C$5:$T$44,$CU31,E$57),""),2,1)="(",LEFT(IFERROR(INDEX(醫師週班表!$C$5:$T$44,$CU31,E$57),""),1),IFERROR(INDEX(醫師週班表!$C$5:$T$44,$CU31,E$57),"")))))))</f>
        <v/>
      </c>
      <c r="F31" s="72">
        <f>IF(F$59="X","",IF(F$59&lt;&gt;"",F$59,IF(IFERROR(INDEX(醫師週班表!$C$5:$T$44,$CU31,F$57),"")=0,"",IF(MID(IFERROR(INDEX(醫師週班表!$C$5:$T$44,$CU31,F$57),""),2,1)="/",MID(IFERROR(INDEX(醫師週班表!$C$5:$T$44,$CU31,F$57),""),1+F$58*2,1),IF(MID(IFERROR(INDEX(醫師週班表!$C$5:$T$44,$CU31,F$57),""),3,1)="隔",IF(F$58=0,LEFT(IFERROR(INDEX(醫師週班表!$C$5:$T$44,$CU31,F$57),""),1),""),IF(MID(IFERROR(INDEX(醫師週班表!$C$5:$T$44,$CU31,F$57),""),2,1)="(",LEFT(IFERROR(INDEX(醫師週班表!$C$5:$T$44,$CU31,F$57),""),1),IFERROR(INDEX(醫師週班表!$C$5:$T$44,$CU31,F$57),"")))))))</f>
        <v/>
      </c>
      <c r="G31" s="72">
        <f>IF(G$59="X","",IF(G$59&lt;&gt;"",G$59,IF(IFERROR(INDEX(醫師週班表!$C$5:$T$44,$CU31,G$57),"")=0,"",IF(MID(IFERROR(INDEX(醫師週班表!$C$5:$T$44,$CU31,G$57),""),2,1)="/",MID(IFERROR(INDEX(醫師週班表!$C$5:$T$44,$CU31,G$57),""),1+G$58*2,1),IF(MID(IFERROR(INDEX(醫師週班表!$C$5:$T$44,$CU31,G$57),""),3,1)="隔",IF(G$58=0,LEFT(IFERROR(INDEX(醫師週班表!$C$5:$T$44,$CU31,G$57),""),1),""),IF(MID(IFERROR(INDEX(醫師週班表!$C$5:$T$44,$CU31,G$57),""),2,1)="(",LEFT(IFERROR(INDEX(醫師週班表!$C$5:$T$44,$CU31,G$57),""),1),IFERROR(INDEX(醫師週班表!$C$5:$T$44,$CU31,G$57),"")))))))</f>
        <v/>
      </c>
      <c r="H31" s="71">
        <f>IF(H$59="X","",IF(H$59&lt;&gt;"",H$59,IF(IFERROR(INDEX(醫師週班表!$C$5:$T$44,$CU31,H$57),"")=0,"",IF(MID(IFERROR(INDEX(醫師週班表!$C$5:$T$44,$CU31,H$57),""),2,1)="/",MID(IFERROR(INDEX(醫師週班表!$C$5:$T$44,$CU31,H$57),""),1+H$58*2,1),IF(MID(IFERROR(INDEX(醫師週班表!$C$5:$T$44,$CU31,H$57),""),3,1)="隔",IF(H$58=0,LEFT(IFERROR(INDEX(醫師週班表!$C$5:$T$44,$CU31,H$57),""),1),""),IF(MID(IFERROR(INDEX(醫師週班表!$C$5:$T$44,$CU31,H$57),""),2,1)="(",LEFT(IFERROR(INDEX(醫師週班表!$C$5:$T$44,$CU31,H$57),""),1),IFERROR(INDEX(醫師週班表!$C$5:$T$44,$CU31,H$57),"")))))))</f>
        <v/>
      </c>
      <c r="I31" s="72">
        <f>IF(I$59="X","",IF(I$59&lt;&gt;"",I$59,IF(IFERROR(INDEX(醫師週班表!$C$5:$T$44,$CU31,I$57),"")=0,"",IF(MID(IFERROR(INDEX(醫師週班表!$C$5:$T$44,$CU31,I$57),""),2,1)="/",MID(IFERROR(INDEX(醫師週班表!$C$5:$T$44,$CU31,I$57),""),1+I$58*2,1),IF(MID(IFERROR(INDEX(醫師週班表!$C$5:$T$44,$CU31,I$57),""),3,1)="隔",IF(I$58=0,LEFT(IFERROR(INDEX(醫師週班表!$C$5:$T$44,$CU31,I$57),""),1),""),IF(MID(IFERROR(INDEX(醫師週班表!$C$5:$T$44,$CU31,I$57),""),2,1)="(",LEFT(IFERROR(INDEX(醫師週班表!$C$5:$T$44,$CU31,I$57),""),1),IFERROR(INDEX(醫師週班表!$C$5:$T$44,$CU31,I$57),"")))))))</f>
        <v/>
      </c>
      <c r="J31" s="72">
        <f>IF(J$59="X","",IF(J$59&lt;&gt;"",J$59,IF(IFERROR(INDEX(醫師週班表!$C$5:$T$44,$CU31,J$57),"")=0,"",IF(MID(IFERROR(INDEX(醫師週班表!$C$5:$T$44,$CU31,J$57),""),2,1)="/",MID(IFERROR(INDEX(醫師週班表!$C$5:$T$44,$CU31,J$57),""),1+J$58*2,1),IF(MID(IFERROR(INDEX(醫師週班表!$C$5:$T$44,$CU31,J$57),""),3,1)="隔",IF(J$58=0,LEFT(IFERROR(INDEX(醫師週班表!$C$5:$T$44,$CU31,J$57),""),1),""),IF(MID(IFERROR(INDEX(醫師週班表!$C$5:$T$44,$CU31,J$57),""),2,1)="(",LEFT(IFERROR(INDEX(醫師週班表!$C$5:$T$44,$CU31,J$57),""),1),IFERROR(INDEX(醫師週班表!$C$5:$T$44,$CU31,J$57),"")))))))</f>
        <v/>
      </c>
      <c r="K31" s="71">
        <f>IF(K$59="X","",IF(K$59&lt;&gt;"",K$59,IF(IFERROR(INDEX(醫師週班表!$C$5:$T$44,$CU31,K$57),"")=0,"",IF(MID(IFERROR(INDEX(醫師週班表!$C$5:$T$44,$CU31,K$57),""),2,1)="/",MID(IFERROR(INDEX(醫師週班表!$C$5:$T$44,$CU31,K$57),""),1+K$58*2,1),IF(MID(IFERROR(INDEX(醫師週班表!$C$5:$T$44,$CU31,K$57),""),3,1)="隔",IF(K$58=0,LEFT(IFERROR(INDEX(醫師週班表!$C$5:$T$44,$CU31,K$57),""),1),""),IF(MID(IFERROR(INDEX(醫師週班表!$C$5:$T$44,$CU31,K$57),""),2,1)="(",LEFT(IFERROR(INDEX(醫師週班表!$C$5:$T$44,$CU31,K$57),""),1),IFERROR(INDEX(醫師週班表!$C$5:$T$44,$CU31,K$57),"")))))))</f>
        <v/>
      </c>
      <c r="L31" s="72">
        <f>IF(L$59="X","",IF(L$59&lt;&gt;"",L$59,IF(IFERROR(INDEX(醫師週班表!$C$5:$T$44,$CU31,L$57),"")=0,"",IF(MID(IFERROR(INDEX(醫師週班表!$C$5:$T$44,$CU31,L$57),""),2,1)="/",MID(IFERROR(INDEX(醫師週班表!$C$5:$T$44,$CU31,L$57),""),1+L$58*2,1),IF(MID(IFERROR(INDEX(醫師週班表!$C$5:$T$44,$CU31,L$57),""),3,1)="隔",IF(L$58=0,LEFT(IFERROR(INDEX(醫師週班表!$C$5:$T$44,$CU31,L$57),""),1),""),IF(MID(IFERROR(INDEX(醫師週班表!$C$5:$T$44,$CU31,L$57),""),2,1)="(",LEFT(IFERROR(INDEX(醫師週班表!$C$5:$T$44,$CU31,L$57),""),1),IFERROR(INDEX(醫師週班表!$C$5:$T$44,$CU31,L$57),"")))))))</f>
        <v/>
      </c>
      <c r="M31" s="72">
        <f>IF(M$59="X","",IF(M$59&lt;&gt;"",M$59,IF(IFERROR(INDEX(醫師週班表!$C$5:$T$44,$CU31,M$57),"")=0,"",IF(MID(IFERROR(INDEX(醫師週班表!$C$5:$T$44,$CU31,M$57),""),2,1)="/",MID(IFERROR(INDEX(醫師週班表!$C$5:$T$44,$CU31,M$57),""),1+M$58*2,1),IF(MID(IFERROR(INDEX(醫師週班表!$C$5:$T$44,$CU31,M$57),""),3,1)="隔",IF(M$58=0,LEFT(IFERROR(INDEX(醫師週班表!$C$5:$T$44,$CU31,M$57),""),1),""),IF(MID(IFERROR(INDEX(醫師週班表!$C$5:$T$44,$CU31,M$57),""),2,1)="(",LEFT(IFERROR(INDEX(醫師週班表!$C$5:$T$44,$CU31,M$57),""),1),IFERROR(INDEX(醫師週班表!$C$5:$T$44,$CU31,M$57),"")))))))</f>
        <v/>
      </c>
      <c r="N31" s="71">
        <f>IF(N$59="X","",IF(N$59&lt;&gt;"",N$59,IF(IFERROR(INDEX(醫師週班表!$C$5:$T$44,$CU31,N$57),"")=0,"",IF(MID(IFERROR(INDEX(醫師週班表!$C$5:$T$44,$CU31,N$57),""),2,1)="/",MID(IFERROR(INDEX(醫師週班表!$C$5:$T$44,$CU31,N$57),""),1+N$58*2,1),IF(MID(IFERROR(INDEX(醫師週班表!$C$5:$T$44,$CU31,N$57),""),3,1)="隔",IF(N$58=0,LEFT(IFERROR(INDEX(醫師週班表!$C$5:$T$44,$CU31,N$57),""),1),""),IF(MID(IFERROR(INDEX(醫師週班表!$C$5:$T$44,$CU31,N$57),""),2,1)="(",LEFT(IFERROR(INDEX(醫師週班表!$C$5:$T$44,$CU31,N$57),""),1),IFERROR(INDEX(醫師週班表!$C$5:$T$44,$CU31,N$57),"")))))))</f>
        <v/>
      </c>
      <c r="O31" s="72">
        <f>IF(O$59="X","",IF(O$59&lt;&gt;"",O$59,IF(IFERROR(INDEX(醫師週班表!$C$5:$T$44,$CU31,O$57),"")=0,"",IF(MID(IFERROR(INDEX(醫師週班表!$C$5:$T$44,$CU31,O$57),""),2,1)="/",MID(IFERROR(INDEX(醫師週班表!$C$5:$T$44,$CU31,O$57),""),1+O$58*2,1),IF(MID(IFERROR(INDEX(醫師週班表!$C$5:$T$44,$CU31,O$57),""),3,1)="隔",IF(O$58=0,LEFT(IFERROR(INDEX(醫師週班表!$C$5:$T$44,$CU31,O$57),""),1),""),IF(MID(IFERROR(INDEX(醫師週班表!$C$5:$T$44,$CU31,O$57),""),2,1)="(",LEFT(IFERROR(INDEX(醫師週班表!$C$5:$T$44,$CU31,O$57),""),1),IFERROR(INDEX(醫師週班表!$C$5:$T$44,$CU31,O$57),"")))))))</f>
        <v/>
      </c>
      <c r="P31" s="72">
        <f>IF(P$59="X","",IF(P$59&lt;&gt;"",P$59,IF(IFERROR(INDEX(醫師週班表!$C$5:$T$44,$CU31,P$57),"")=0,"",IF(MID(IFERROR(INDEX(醫師週班表!$C$5:$T$44,$CU31,P$57),""),2,1)="/",MID(IFERROR(INDEX(醫師週班表!$C$5:$T$44,$CU31,P$57),""),1+P$58*2,1),IF(MID(IFERROR(INDEX(醫師週班表!$C$5:$T$44,$CU31,P$57),""),3,1)="隔",IF(P$58=0,LEFT(IFERROR(INDEX(醫師週班表!$C$5:$T$44,$CU31,P$57),""),1),""),IF(MID(IFERROR(INDEX(醫師週班表!$C$5:$T$44,$CU31,P$57),""),2,1)="(",LEFT(IFERROR(INDEX(醫師週班表!$C$5:$T$44,$CU31,P$57),""),1),IFERROR(INDEX(醫師週班表!$C$5:$T$44,$CU31,P$57),"")))))))</f>
        <v/>
      </c>
      <c r="Q31" s="71">
        <f>IF(Q$59="X","",IF(Q$59&lt;&gt;"",Q$59,IF(IFERROR(INDEX(醫師週班表!$C$5:$T$44,$CU31,Q$57),"")=0,"",IF(MID(IFERROR(INDEX(醫師週班表!$C$5:$T$44,$CU31,Q$57),""),2,1)="/",MID(IFERROR(INDEX(醫師週班表!$C$5:$T$44,$CU31,Q$57),""),1+Q$58*2,1),IF(MID(IFERROR(INDEX(醫師週班表!$C$5:$T$44,$CU31,Q$57),""),3,1)="隔",IF(Q$58=0,LEFT(IFERROR(INDEX(醫師週班表!$C$5:$T$44,$CU31,Q$57),""),1),""),IF(MID(IFERROR(INDEX(醫師週班表!$C$5:$T$44,$CU31,Q$57),""),2,1)="(",LEFT(IFERROR(INDEX(醫師週班表!$C$5:$T$44,$CU31,Q$57),""),1),IFERROR(INDEX(醫師週班表!$C$5:$T$44,$CU31,Q$57),"")))))))</f>
        <v/>
      </c>
      <c r="R31" s="72">
        <f>IF(R$59="X","",IF(R$59&lt;&gt;"",R$59,IF(IFERROR(INDEX(醫師週班表!$C$5:$T$44,$CU31,R$57),"")=0,"",IF(MID(IFERROR(INDEX(醫師週班表!$C$5:$T$44,$CU31,R$57),""),2,1)="/",MID(IFERROR(INDEX(醫師週班表!$C$5:$T$44,$CU31,R$57),""),1+R$58*2,1),IF(MID(IFERROR(INDEX(醫師週班表!$C$5:$T$44,$CU31,R$57),""),3,1)="隔",IF(R$58=0,LEFT(IFERROR(INDEX(醫師週班表!$C$5:$T$44,$CU31,R$57),""),1),""),IF(MID(IFERROR(INDEX(醫師週班表!$C$5:$T$44,$CU31,R$57),""),2,1)="(",LEFT(IFERROR(INDEX(醫師週班表!$C$5:$T$44,$CU31,R$57),""),1),IFERROR(INDEX(醫師週班表!$C$5:$T$44,$CU31,R$57),"")))))))</f>
        <v/>
      </c>
      <c r="S31" s="72">
        <f>IF(S$59="X","",IF(S$59&lt;&gt;"",S$59,IF(IFERROR(INDEX(醫師週班表!$C$5:$T$44,$CU31,S$57),"")=0,"",IF(MID(IFERROR(INDEX(醫師週班表!$C$5:$T$44,$CU31,S$57),""),2,1)="/",MID(IFERROR(INDEX(醫師週班表!$C$5:$T$44,$CU31,S$57),""),1+S$58*2,1),IF(MID(IFERROR(INDEX(醫師週班表!$C$5:$T$44,$CU31,S$57),""),3,1)="隔",IF(S$58=0,LEFT(IFERROR(INDEX(醫師週班表!$C$5:$T$44,$CU31,S$57),""),1),""),IF(MID(IFERROR(INDEX(醫師週班表!$C$5:$T$44,$CU31,S$57),""),2,1)="(",LEFT(IFERROR(INDEX(醫師週班表!$C$5:$T$44,$CU31,S$57),""),1),IFERROR(INDEX(醫師週班表!$C$5:$T$44,$CU31,S$57),"")))))))</f>
        <v/>
      </c>
      <c r="T31" s="71">
        <f>IF(T$59="X","",IF(T$59&lt;&gt;"",T$59,IF(IFERROR(INDEX(醫師週班表!$C$5:$T$44,$CU31,T$57),"")=0,"",IF(MID(IFERROR(INDEX(醫師週班表!$C$5:$T$44,$CU31,T$57),""),2,1)="/",MID(IFERROR(INDEX(醫師週班表!$C$5:$T$44,$CU31,T$57),""),1+T$58*2,1),IF(MID(IFERROR(INDEX(醫師週班表!$C$5:$T$44,$CU31,T$57),""),3,1)="隔",IF(T$58=0,LEFT(IFERROR(INDEX(醫師週班表!$C$5:$T$44,$CU31,T$57),""),1),""),IF(MID(IFERROR(INDEX(醫師週班表!$C$5:$T$44,$CU31,T$57),""),2,1)="(",LEFT(IFERROR(INDEX(醫師週班表!$C$5:$T$44,$CU31,T$57),""),1),IFERROR(INDEX(醫師週班表!$C$5:$T$44,$CU31,T$57),"")))))))</f>
        <v/>
      </c>
      <c r="U31" s="72">
        <f>IF(U$59="X","",IF(U$59&lt;&gt;"",U$59,IF(IFERROR(INDEX(醫師週班表!$C$5:$T$44,$CU31,U$57),"")=0,"",IF(MID(IFERROR(INDEX(醫師週班表!$C$5:$T$44,$CU31,U$57),""),2,1)="/",MID(IFERROR(INDEX(醫師週班表!$C$5:$T$44,$CU31,U$57),""),1+U$58*2,1),IF(MID(IFERROR(INDEX(醫師週班表!$C$5:$T$44,$CU31,U$57),""),3,1)="隔",IF(U$58=0,LEFT(IFERROR(INDEX(醫師週班表!$C$5:$T$44,$CU31,U$57),""),1),""),IF(MID(IFERROR(INDEX(醫師週班表!$C$5:$T$44,$CU31,U$57),""),2,1)="(",LEFT(IFERROR(INDEX(醫師週班表!$C$5:$T$44,$CU31,U$57),""),1),IFERROR(INDEX(醫師週班表!$C$5:$T$44,$CU31,U$57),"")))))))</f>
        <v/>
      </c>
      <c r="V31" s="72">
        <f>IF(V$59="X","",IF(V$59&lt;&gt;"",V$59,IF(IFERROR(INDEX(醫師週班表!$C$5:$T$44,$CU31,V$57),"")=0,"",IF(MID(IFERROR(INDEX(醫師週班表!$C$5:$T$44,$CU31,V$57),""),2,1)="/",MID(IFERROR(INDEX(醫師週班表!$C$5:$T$44,$CU31,V$57),""),1+V$58*2,1),IF(MID(IFERROR(INDEX(醫師週班表!$C$5:$T$44,$CU31,V$57),""),3,1)="隔",IF(V$58=0,LEFT(IFERROR(INDEX(醫師週班表!$C$5:$T$44,$CU31,V$57),""),1),""),IF(MID(IFERROR(INDEX(醫師週班表!$C$5:$T$44,$CU31,V$57),""),2,1)="(",LEFT(IFERROR(INDEX(醫師週班表!$C$5:$T$44,$CU31,V$57),""),1),IFERROR(INDEX(醫師週班表!$C$5:$T$44,$CU31,V$57),"")))))))</f>
        <v/>
      </c>
      <c r="W31" s="71">
        <f>IF(W$59="X","",IF(W$59&lt;&gt;"",W$59,IF(IFERROR(INDEX(醫師週班表!$C$5:$T$44,$CU31,W$57),"")=0,"",IF(MID(IFERROR(INDEX(醫師週班表!$C$5:$T$44,$CU31,W$57),""),2,1)="/",MID(IFERROR(INDEX(醫師週班表!$C$5:$T$44,$CU31,W$57),""),1+W$58*2,1),IF(MID(IFERROR(INDEX(醫師週班表!$C$5:$T$44,$CU31,W$57),""),3,1)="隔",IF(W$58=0,LEFT(IFERROR(INDEX(醫師週班表!$C$5:$T$44,$CU31,W$57),""),1),""),IF(MID(IFERROR(INDEX(醫師週班表!$C$5:$T$44,$CU31,W$57),""),2,1)="(",LEFT(IFERROR(INDEX(醫師週班表!$C$5:$T$44,$CU31,W$57),""),1),IFERROR(INDEX(醫師週班表!$C$5:$T$44,$CU31,W$57),"")))))))</f>
        <v/>
      </c>
      <c r="X31" s="72">
        <f>IF(X$59="X","",IF(X$59&lt;&gt;"",X$59,IF(IFERROR(INDEX(醫師週班表!$C$5:$T$44,$CU31,X$57),"")=0,"",IF(MID(IFERROR(INDEX(醫師週班表!$C$5:$T$44,$CU31,X$57),""),2,1)="/",MID(IFERROR(INDEX(醫師週班表!$C$5:$T$44,$CU31,X$57),""),1+X$58*2,1),IF(MID(IFERROR(INDEX(醫師週班表!$C$5:$T$44,$CU31,X$57),""),3,1)="隔",IF(X$58=0,LEFT(IFERROR(INDEX(醫師週班表!$C$5:$T$44,$CU31,X$57),""),1),""),IF(MID(IFERROR(INDEX(醫師週班表!$C$5:$T$44,$CU31,X$57),""),2,1)="(",LEFT(IFERROR(INDEX(醫師週班表!$C$5:$T$44,$CU31,X$57),""),1),IFERROR(INDEX(醫師週班表!$C$5:$T$44,$CU31,X$57),"")))))))</f>
        <v/>
      </c>
      <c r="Y31" s="72">
        <f>IF(Y$59="X","",IF(Y$59&lt;&gt;"",Y$59,IF(IFERROR(INDEX(醫師週班表!$C$5:$T$44,$CU31,Y$57),"")=0,"",IF(MID(IFERROR(INDEX(醫師週班表!$C$5:$T$44,$CU31,Y$57),""),2,1)="/",MID(IFERROR(INDEX(醫師週班表!$C$5:$T$44,$CU31,Y$57),""),1+Y$58*2,1),IF(MID(IFERROR(INDEX(醫師週班表!$C$5:$T$44,$CU31,Y$57),""),3,1)="隔",IF(Y$58=0,LEFT(IFERROR(INDEX(醫師週班表!$C$5:$T$44,$CU31,Y$57),""),1),""),IF(MID(IFERROR(INDEX(醫師週班表!$C$5:$T$44,$CU31,Y$57),""),2,1)="(",LEFT(IFERROR(INDEX(醫師週班表!$C$5:$T$44,$CU31,Y$57),""),1),IFERROR(INDEX(醫師週班表!$C$5:$T$44,$CU31,Y$57),"")))))))</f>
        <v/>
      </c>
      <c r="Z31" s="71">
        <f>IF(Z$59="X","",IF(Z$59&lt;&gt;"",Z$59,IF(IFERROR(INDEX(醫師週班表!$C$5:$T$44,$CU31,Z$57),"")=0,"",IF(MID(IFERROR(INDEX(醫師週班表!$C$5:$T$44,$CU31,Z$57),""),2,1)="/",MID(IFERROR(INDEX(醫師週班表!$C$5:$T$44,$CU31,Z$57),""),1+Z$58*2,1),IF(MID(IFERROR(INDEX(醫師週班表!$C$5:$T$44,$CU31,Z$57),""),3,1)="隔",IF(Z$58=0,LEFT(IFERROR(INDEX(醫師週班表!$C$5:$T$44,$CU31,Z$57),""),1),""),IF(MID(IFERROR(INDEX(醫師週班表!$C$5:$T$44,$CU31,Z$57),""),2,1)="(",LEFT(IFERROR(INDEX(醫師週班表!$C$5:$T$44,$CU31,Z$57),""),1),IFERROR(INDEX(醫師週班表!$C$5:$T$44,$CU31,Z$57),"")))))))</f>
        <v/>
      </c>
      <c r="AA31" s="72">
        <f>IF(AA$59="X","",IF(AA$59&lt;&gt;"",AA$59,IF(IFERROR(INDEX(醫師週班表!$C$5:$T$44,$CU31,AA$57),"")=0,"",IF(MID(IFERROR(INDEX(醫師週班表!$C$5:$T$44,$CU31,AA$57),""),2,1)="/",MID(IFERROR(INDEX(醫師週班表!$C$5:$T$44,$CU31,AA$57),""),1+AA$58*2,1),IF(MID(IFERROR(INDEX(醫師週班表!$C$5:$T$44,$CU31,AA$57),""),3,1)="隔",IF(AA$58=0,LEFT(IFERROR(INDEX(醫師週班表!$C$5:$T$44,$CU31,AA$57),""),1),""),IF(MID(IFERROR(INDEX(醫師週班表!$C$5:$T$44,$CU31,AA$57),""),2,1)="(",LEFT(IFERROR(INDEX(醫師週班表!$C$5:$T$44,$CU31,AA$57),""),1),IFERROR(INDEX(醫師週班表!$C$5:$T$44,$CU31,AA$57),"")))))))</f>
        <v/>
      </c>
      <c r="AB31" s="72">
        <f>IF(AB$59="X","",IF(AB$59&lt;&gt;"",AB$59,IF(IFERROR(INDEX(醫師週班表!$C$5:$T$44,$CU31,AB$57),"")=0,"",IF(MID(IFERROR(INDEX(醫師週班表!$C$5:$T$44,$CU31,AB$57),""),2,1)="/",MID(IFERROR(INDEX(醫師週班表!$C$5:$T$44,$CU31,AB$57),""),1+AB$58*2,1),IF(MID(IFERROR(INDEX(醫師週班表!$C$5:$T$44,$CU31,AB$57),""),3,1)="隔",IF(AB$58=0,LEFT(IFERROR(INDEX(醫師週班表!$C$5:$T$44,$CU31,AB$57),""),1),""),IF(MID(IFERROR(INDEX(醫師週班表!$C$5:$T$44,$CU31,AB$57),""),2,1)="(",LEFT(IFERROR(INDEX(醫師週班表!$C$5:$T$44,$CU31,AB$57),""),1),IFERROR(INDEX(醫師週班表!$C$5:$T$44,$CU31,AB$57),"")))))))</f>
        <v/>
      </c>
      <c r="AC31" s="71">
        <f>IF(AC$59="X","",IF(AC$59&lt;&gt;"",AC$59,IF(IFERROR(INDEX(醫師週班表!$C$5:$T$44,$CU31,AC$57),"")=0,"",IF(MID(IFERROR(INDEX(醫師週班表!$C$5:$T$44,$CU31,AC$57),""),2,1)="/",MID(IFERROR(INDEX(醫師週班表!$C$5:$T$44,$CU31,AC$57),""),1+AC$58*2,1),IF(MID(IFERROR(INDEX(醫師週班表!$C$5:$T$44,$CU31,AC$57),""),3,1)="隔",IF(AC$58=0,LEFT(IFERROR(INDEX(醫師週班表!$C$5:$T$44,$CU31,AC$57),""),1),""),IF(MID(IFERROR(INDEX(醫師週班表!$C$5:$T$44,$CU31,AC$57),""),2,1)="(",LEFT(IFERROR(INDEX(醫師週班表!$C$5:$T$44,$CU31,AC$57),""),1),IFERROR(INDEX(醫師週班表!$C$5:$T$44,$CU31,AC$57),"")))))))</f>
        <v/>
      </c>
      <c r="AD31" s="72">
        <f>IF(AD$59="X","",IF(AD$59&lt;&gt;"",AD$59,IF(IFERROR(INDEX(醫師週班表!$C$5:$T$44,$CU31,AD$57),"")=0,"",IF(MID(IFERROR(INDEX(醫師週班表!$C$5:$T$44,$CU31,AD$57),""),2,1)="/",MID(IFERROR(INDEX(醫師週班表!$C$5:$T$44,$CU31,AD$57),""),1+AD$58*2,1),IF(MID(IFERROR(INDEX(醫師週班表!$C$5:$T$44,$CU31,AD$57),""),3,1)="隔",IF(AD$58=0,LEFT(IFERROR(INDEX(醫師週班表!$C$5:$T$44,$CU31,AD$57),""),1),""),IF(MID(IFERROR(INDEX(醫師週班表!$C$5:$T$44,$CU31,AD$57),""),2,1)="(",LEFT(IFERROR(INDEX(醫師週班表!$C$5:$T$44,$CU31,AD$57),""),1),IFERROR(INDEX(醫師週班表!$C$5:$T$44,$CU31,AD$57),"")))))))</f>
        <v/>
      </c>
      <c r="AE31" s="72">
        <f>IF(AE$59="X","",IF(AE$59&lt;&gt;"",AE$59,IF(IFERROR(INDEX(醫師週班表!$C$5:$T$44,$CU31,AE$57),"")=0,"",IF(MID(IFERROR(INDEX(醫師週班表!$C$5:$T$44,$CU31,AE$57),""),2,1)="/",MID(IFERROR(INDEX(醫師週班表!$C$5:$T$44,$CU31,AE$57),""),1+AE$58*2,1),IF(MID(IFERROR(INDEX(醫師週班表!$C$5:$T$44,$CU31,AE$57),""),3,1)="隔",IF(AE$58=0,LEFT(IFERROR(INDEX(醫師週班表!$C$5:$T$44,$CU31,AE$57),""),1),""),IF(MID(IFERROR(INDEX(醫師週班表!$C$5:$T$44,$CU31,AE$57),""),2,1)="(",LEFT(IFERROR(INDEX(醫師週班表!$C$5:$T$44,$CU31,AE$57),""),1),IFERROR(INDEX(醫師週班表!$C$5:$T$44,$CU31,AE$57),"")))))))</f>
        <v/>
      </c>
      <c r="AF31" s="71">
        <f>IF(AF$59="X","",IF(AF$59&lt;&gt;"",AF$59,IF(IFERROR(INDEX(醫師週班表!$C$5:$T$44,$CU31,AF$57),"")=0,"",IF(MID(IFERROR(INDEX(醫師週班表!$C$5:$T$44,$CU31,AF$57),""),2,1)="/",MID(IFERROR(INDEX(醫師週班表!$C$5:$T$44,$CU31,AF$57),""),1+AF$58*2,1),IF(MID(IFERROR(INDEX(醫師週班表!$C$5:$T$44,$CU31,AF$57),""),3,1)="隔",IF(AF$58=0,LEFT(IFERROR(INDEX(醫師週班表!$C$5:$T$44,$CU31,AF$57),""),1),""),IF(MID(IFERROR(INDEX(醫師週班表!$C$5:$T$44,$CU31,AF$57),""),2,1)="(",LEFT(IFERROR(INDEX(醫師週班表!$C$5:$T$44,$CU31,AF$57),""),1),IFERROR(INDEX(醫師週班表!$C$5:$T$44,$CU31,AF$57),"")))))))</f>
        <v/>
      </c>
      <c r="AG31" s="72">
        <f>IF(AG$59="X","",IF(AG$59&lt;&gt;"",AG$59,IF(IFERROR(INDEX(醫師週班表!$C$5:$T$44,$CU31,AG$57),"")=0,"",IF(MID(IFERROR(INDEX(醫師週班表!$C$5:$T$44,$CU31,AG$57),""),2,1)="/",MID(IFERROR(INDEX(醫師週班表!$C$5:$T$44,$CU31,AG$57),""),1+AG$58*2,1),IF(MID(IFERROR(INDEX(醫師週班表!$C$5:$T$44,$CU31,AG$57),""),3,1)="隔",IF(AG$58=0,LEFT(IFERROR(INDEX(醫師週班表!$C$5:$T$44,$CU31,AG$57),""),1),""),IF(MID(IFERROR(INDEX(醫師週班表!$C$5:$T$44,$CU31,AG$57),""),2,1)="(",LEFT(IFERROR(INDEX(醫師週班表!$C$5:$T$44,$CU31,AG$57),""),1),IFERROR(INDEX(醫師週班表!$C$5:$T$44,$CU31,AG$57),"")))))))</f>
        <v/>
      </c>
      <c r="AH31" s="72">
        <f>IF(AH$59="X","",IF(AH$59&lt;&gt;"",AH$59,IF(IFERROR(INDEX(醫師週班表!$C$5:$T$44,$CU31,AH$57),"")=0,"",IF(MID(IFERROR(INDEX(醫師週班表!$C$5:$T$44,$CU31,AH$57),""),2,1)="/",MID(IFERROR(INDEX(醫師週班表!$C$5:$T$44,$CU31,AH$57),""),1+AH$58*2,1),IF(MID(IFERROR(INDEX(醫師週班表!$C$5:$T$44,$CU31,AH$57),""),3,1)="隔",IF(AH$58=0,LEFT(IFERROR(INDEX(醫師週班表!$C$5:$T$44,$CU31,AH$57),""),1),""),IF(MID(IFERROR(INDEX(醫師週班表!$C$5:$T$44,$CU31,AH$57),""),2,1)="(",LEFT(IFERROR(INDEX(醫師週班表!$C$5:$T$44,$CU31,AH$57),""),1),IFERROR(INDEX(醫師週班表!$C$5:$T$44,$CU31,AH$57),"")))))))</f>
        <v/>
      </c>
      <c r="AI31" s="71">
        <f>IF(AI$59="X","",IF(AI$59&lt;&gt;"",AI$59,IF(IFERROR(INDEX(醫師週班表!$C$5:$T$44,$CU31,AI$57),"")=0,"",IF(MID(IFERROR(INDEX(醫師週班表!$C$5:$T$44,$CU31,AI$57),""),2,1)="/",MID(IFERROR(INDEX(醫師週班表!$C$5:$T$44,$CU31,AI$57),""),1+AI$58*2,1),IF(MID(IFERROR(INDEX(醫師週班表!$C$5:$T$44,$CU31,AI$57),""),3,1)="隔",IF(AI$58=0,LEFT(IFERROR(INDEX(醫師週班表!$C$5:$T$44,$CU31,AI$57),""),1),""),IF(MID(IFERROR(INDEX(醫師週班表!$C$5:$T$44,$CU31,AI$57),""),2,1)="(",LEFT(IFERROR(INDEX(醫師週班表!$C$5:$T$44,$CU31,AI$57),""),1),IFERROR(INDEX(醫師週班表!$C$5:$T$44,$CU31,AI$57),"")))))))</f>
        <v/>
      </c>
      <c r="AJ31" s="72">
        <f>IF(AJ$59="X","",IF(AJ$59&lt;&gt;"",AJ$59,IF(IFERROR(INDEX(醫師週班表!$C$5:$T$44,$CU31,AJ$57),"")=0,"",IF(MID(IFERROR(INDEX(醫師週班表!$C$5:$T$44,$CU31,AJ$57),""),2,1)="/",MID(IFERROR(INDEX(醫師週班表!$C$5:$T$44,$CU31,AJ$57),""),1+AJ$58*2,1),IF(MID(IFERROR(INDEX(醫師週班表!$C$5:$T$44,$CU31,AJ$57),""),3,1)="隔",IF(AJ$58=0,LEFT(IFERROR(INDEX(醫師週班表!$C$5:$T$44,$CU31,AJ$57),""),1),""),IF(MID(IFERROR(INDEX(醫師週班表!$C$5:$T$44,$CU31,AJ$57),""),2,1)="(",LEFT(IFERROR(INDEX(醫師週班表!$C$5:$T$44,$CU31,AJ$57),""),1),IFERROR(INDEX(醫師週班表!$C$5:$T$44,$CU31,AJ$57),"")))))))</f>
        <v/>
      </c>
      <c r="AK31" s="72">
        <f>IF(AK$59="X","",IF(AK$59&lt;&gt;"",AK$59,IF(IFERROR(INDEX(醫師週班表!$C$5:$T$44,$CU31,AK$57),"")=0,"",IF(MID(IFERROR(INDEX(醫師週班表!$C$5:$T$44,$CU31,AK$57),""),2,1)="/",MID(IFERROR(INDEX(醫師週班表!$C$5:$T$44,$CU31,AK$57),""),1+AK$58*2,1),IF(MID(IFERROR(INDEX(醫師週班表!$C$5:$T$44,$CU31,AK$57),""),3,1)="隔",IF(AK$58=0,LEFT(IFERROR(INDEX(醫師週班表!$C$5:$T$44,$CU31,AK$57),""),1),""),IF(MID(IFERROR(INDEX(醫師週班表!$C$5:$T$44,$CU31,AK$57),""),2,1)="(",LEFT(IFERROR(INDEX(醫師週班表!$C$5:$T$44,$CU31,AK$57),""),1),IFERROR(INDEX(醫師週班表!$C$5:$T$44,$CU31,AK$57),"")))))))</f>
        <v/>
      </c>
      <c r="AL31" s="71">
        <f>IF(AL$59="X","",IF(AL$59&lt;&gt;"",AL$59,IF(IFERROR(INDEX(醫師週班表!$C$5:$T$44,$CU31,AL$57),"")=0,"",IF(MID(IFERROR(INDEX(醫師週班表!$C$5:$T$44,$CU31,AL$57),""),2,1)="/",MID(IFERROR(INDEX(醫師週班表!$C$5:$T$44,$CU31,AL$57),""),1+AL$58*2,1),IF(MID(IFERROR(INDEX(醫師週班表!$C$5:$T$44,$CU31,AL$57),""),3,1)="隔",IF(AL$58=0,LEFT(IFERROR(INDEX(醫師週班表!$C$5:$T$44,$CU31,AL$57),""),1),""),IF(MID(IFERROR(INDEX(醫師週班表!$C$5:$T$44,$CU31,AL$57),""),2,1)="(",LEFT(IFERROR(INDEX(醫師週班表!$C$5:$T$44,$CU31,AL$57),""),1),IFERROR(INDEX(醫師週班表!$C$5:$T$44,$CU31,AL$57),"")))))))</f>
        <v/>
      </c>
      <c r="AM31" s="72">
        <f>IF(AM$59="X","",IF(AM$59&lt;&gt;"",AM$59,IF(IFERROR(INDEX(醫師週班表!$C$5:$T$44,$CU31,AM$57),"")=0,"",IF(MID(IFERROR(INDEX(醫師週班表!$C$5:$T$44,$CU31,AM$57),""),2,1)="/",MID(IFERROR(INDEX(醫師週班表!$C$5:$T$44,$CU31,AM$57),""),1+AM$58*2,1),IF(MID(IFERROR(INDEX(醫師週班表!$C$5:$T$44,$CU31,AM$57),""),3,1)="隔",IF(AM$58=0,LEFT(IFERROR(INDEX(醫師週班表!$C$5:$T$44,$CU31,AM$57),""),1),""),IF(MID(IFERROR(INDEX(醫師週班表!$C$5:$T$44,$CU31,AM$57),""),2,1)="(",LEFT(IFERROR(INDEX(醫師週班表!$C$5:$T$44,$CU31,AM$57),""),1),IFERROR(INDEX(醫師週班表!$C$5:$T$44,$CU31,AM$57),"")))))))</f>
        <v/>
      </c>
      <c r="AN31" s="72">
        <f>IF(AN$59="X","",IF(AN$59&lt;&gt;"",AN$59,IF(IFERROR(INDEX(醫師週班表!$C$5:$T$44,$CU31,AN$57),"")=0,"",IF(MID(IFERROR(INDEX(醫師週班表!$C$5:$T$44,$CU31,AN$57),""),2,1)="/",MID(IFERROR(INDEX(醫師週班表!$C$5:$T$44,$CU31,AN$57),""),1+AN$58*2,1),IF(MID(IFERROR(INDEX(醫師週班表!$C$5:$T$44,$CU31,AN$57),""),3,1)="隔",IF(AN$58=0,LEFT(IFERROR(INDEX(醫師週班表!$C$5:$T$44,$CU31,AN$57),""),1),""),IF(MID(IFERROR(INDEX(醫師週班表!$C$5:$T$44,$CU31,AN$57),""),2,1)="(",LEFT(IFERROR(INDEX(醫師週班表!$C$5:$T$44,$CU31,AN$57),""),1),IFERROR(INDEX(醫師週班表!$C$5:$T$44,$CU31,AN$57),"")))))))</f>
        <v/>
      </c>
      <c r="AO31" s="71">
        <f>IF(AO$59="X","",IF(AO$59&lt;&gt;"",AO$59,IF(IFERROR(INDEX(醫師週班表!$C$5:$T$44,$CU31,AO$57),"")=0,"",IF(MID(IFERROR(INDEX(醫師週班表!$C$5:$T$44,$CU31,AO$57),""),2,1)="/",MID(IFERROR(INDEX(醫師週班表!$C$5:$T$44,$CU31,AO$57),""),1+AO$58*2,1),IF(MID(IFERROR(INDEX(醫師週班表!$C$5:$T$44,$CU31,AO$57),""),3,1)="隔",IF(AO$58=0,LEFT(IFERROR(INDEX(醫師週班表!$C$5:$T$44,$CU31,AO$57),""),1),""),IF(MID(IFERROR(INDEX(醫師週班表!$C$5:$T$44,$CU31,AO$57),""),2,1)="(",LEFT(IFERROR(INDEX(醫師週班表!$C$5:$T$44,$CU31,AO$57),""),1),IFERROR(INDEX(醫師週班表!$C$5:$T$44,$CU31,AO$57),"")))))))</f>
        <v/>
      </c>
      <c r="AP31" s="72">
        <f>IF(AP$59="X","",IF(AP$59&lt;&gt;"",AP$59,IF(IFERROR(INDEX(醫師週班表!$C$5:$T$44,$CU31,AP$57),"")=0,"",IF(MID(IFERROR(INDEX(醫師週班表!$C$5:$T$44,$CU31,AP$57),""),2,1)="/",MID(IFERROR(INDEX(醫師週班表!$C$5:$T$44,$CU31,AP$57),""),1+AP$58*2,1),IF(MID(IFERROR(INDEX(醫師週班表!$C$5:$T$44,$CU31,AP$57),""),3,1)="隔",IF(AP$58=0,LEFT(IFERROR(INDEX(醫師週班表!$C$5:$T$44,$CU31,AP$57),""),1),""),IF(MID(IFERROR(INDEX(醫師週班表!$C$5:$T$44,$CU31,AP$57),""),2,1)="(",LEFT(IFERROR(INDEX(醫師週班表!$C$5:$T$44,$CU31,AP$57),""),1),IFERROR(INDEX(醫師週班表!$C$5:$T$44,$CU31,AP$57),"")))))))</f>
        <v/>
      </c>
      <c r="AQ31" s="72">
        <f>IF(AQ$59="X","",IF(AQ$59&lt;&gt;"",AQ$59,IF(IFERROR(INDEX(醫師週班表!$C$5:$T$44,$CU31,AQ$57),"")=0,"",IF(MID(IFERROR(INDEX(醫師週班表!$C$5:$T$44,$CU31,AQ$57),""),2,1)="/",MID(IFERROR(INDEX(醫師週班表!$C$5:$T$44,$CU31,AQ$57),""),1+AQ$58*2,1),IF(MID(IFERROR(INDEX(醫師週班表!$C$5:$T$44,$CU31,AQ$57),""),3,1)="隔",IF(AQ$58=0,LEFT(IFERROR(INDEX(醫師週班表!$C$5:$T$44,$CU31,AQ$57),""),1),""),IF(MID(IFERROR(INDEX(醫師週班表!$C$5:$T$44,$CU31,AQ$57),""),2,1)="(",LEFT(IFERROR(INDEX(醫師週班表!$C$5:$T$44,$CU31,AQ$57),""),1),IFERROR(INDEX(醫師週班表!$C$5:$T$44,$CU31,AQ$57),"")))))))</f>
        <v/>
      </c>
      <c r="AR31" s="71">
        <f>IF(AR$59="X","",IF(AR$59&lt;&gt;"",AR$59,IF(IFERROR(INDEX(醫師週班表!$C$5:$T$44,$CU31,AR$57),"")=0,"",IF(MID(IFERROR(INDEX(醫師週班表!$C$5:$T$44,$CU31,AR$57),""),2,1)="/",MID(IFERROR(INDEX(醫師週班表!$C$5:$T$44,$CU31,AR$57),""),1+AR$58*2,1),IF(MID(IFERROR(INDEX(醫師週班表!$C$5:$T$44,$CU31,AR$57),""),3,1)="隔",IF(AR$58=0,LEFT(IFERROR(INDEX(醫師週班表!$C$5:$T$44,$CU31,AR$57),""),1),""),IF(MID(IFERROR(INDEX(醫師週班表!$C$5:$T$44,$CU31,AR$57),""),2,1)="(",LEFT(IFERROR(INDEX(醫師週班表!$C$5:$T$44,$CU31,AR$57),""),1),IFERROR(INDEX(醫師週班表!$C$5:$T$44,$CU31,AR$57),"")))))))</f>
        <v/>
      </c>
      <c r="AS31" s="72">
        <f>IF(AS$59="X","",IF(AS$59&lt;&gt;"",AS$59,IF(IFERROR(INDEX(醫師週班表!$C$5:$T$44,$CU31,AS$57),"")=0,"",IF(MID(IFERROR(INDEX(醫師週班表!$C$5:$T$44,$CU31,AS$57),""),2,1)="/",MID(IFERROR(INDEX(醫師週班表!$C$5:$T$44,$CU31,AS$57),""),1+AS$58*2,1),IF(MID(IFERROR(INDEX(醫師週班表!$C$5:$T$44,$CU31,AS$57),""),3,1)="隔",IF(AS$58=0,LEFT(IFERROR(INDEX(醫師週班表!$C$5:$T$44,$CU31,AS$57),""),1),""),IF(MID(IFERROR(INDEX(醫師週班表!$C$5:$T$44,$CU31,AS$57),""),2,1)="(",LEFT(IFERROR(INDEX(醫師週班表!$C$5:$T$44,$CU31,AS$57),""),1),IFERROR(INDEX(醫師週班表!$C$5:$T$44,$CU31,AS$57),"")))))))</f>
        <v/>
      </c>
      <c r="AT31" s="72">
        <f>IF(AT$59="X","",IF(AT$59&lt;&gt;"",AT$59,IF(IFERROR(INDEX(醫師週班表!$C$5:$T$44,$CU31,AT$57),"")=0,"",IF(MID(IFERROR(INDEX(醫師週班表!$C$5:$T$44,$CU31,AT$57),""),2,1)="/",MID(IFERROR(INDEX(醫師週班表!$C$5:$T$44,$CU31,AT$57),""),1+AT$58*2,1),IF(MID(IFERROR(INDEX(醫師週班表!$C$5:$T$44,$CU31,AT$57),""),3,1)="隔",IF(AT$58=0,LEFT(IFERROR(INDEX(醫師週班表!$C$5:$T$44,$CU31,AT$57),""),1),""),IF(MID(IFERROR(INDEX(醫師週班表!$C$5:$T$44,$CU31,AT$57),""),2,1)="(",LEFT(IFERROR(INDEX(醫師週班表!$C$5:$T$44,$CU31,AT$57),""),1),IFERROR(INDEX(醫師週班表!$C$5:$T$44,$CU31,AT$57),"")))))))</f>
        <v/>
      </c>
      <c r="AU31" s="71">
        <f>IF(AU$59="X","",IF(AU$59&lt;&gt;"",AU$59,IF(IFERROR(INDEX(醫師週班表!$C$5:$T$44,$CU31,AU$57),"")=0,"",IF(MID(IFERROR(INDEX(醫師週班表!$C$5:$T$44,$CU31,AU$57),""),2,1)="/",MID(IFERROR(INDEX(醫師週班表!$C$5:$T$44,$CU31,AU$57),""),1+AU$58*2,1),IF(MID(IFERROR(INDEX(醫師週班表!$C$5:$T$44,$CU31,AU$57),""),3,1)="隔",IF(AU$58=0,LEFT(IFERROR(INDEX(醫師週班表!$C$5:$T$44,$CU31,AU$57),""),1),""),IF(MID(IFERROR(INDEX(醫師週班表!$C$5:$T$44,$CU31,AU$57),""),2,1)="(",LEFT(IFERROR(INDEX(醫師週班表!$C$5:$T$44,$CU31,AU$57),""),1),IFERROR(INDEX(醫師週班表!$C$5:$T$44,$CU31,AU$57),"")))))))</f>
        <v/>
      </c>
      <c r="AV31" s="72">
        <f>IF(AV$59="X","",IF(AV$59&lt;&gt;"",AV$59,IF(IFERROR(INDEX(醫師週班表!$C$5:$T$44,$CU31,AV$57),"")=0,"",IF(MID(IFERROR(INDEX(醫師週班表!$C$5:$T$44,$CU31,AV$57),""),2,1)="/",MID(IFERROR(INDEX(醫師週班表!$C$5:$T$44,$CU31,AV$57),""),1+AV$58*2,1),IF(MID(IFERROR(INDEX(醫師週班表!$C$5:$T$44,$CU31,AV$57),""),3,1)="隔",IF(AV$58=0,LEFT(IFERROR(INDEX(醫師週班表!$C$5:$T$44,$CU31,AV$57),""),1),""),IF(MID(IFERROR(INDEX(醫師週班表!$C$5:$T$44,$CU31,AV$57),""),2,1)="(",LEFT(IFERROR(INDEX(醫師週班表!$C$5:$T$44,$CU31,AV$57),""),1),IFERROR(INDEX(醫師週班表!$C$5:$T$44,$CU31,AV$57),"")))))))</f>
        <v/>
      </c>
      <c r="AW31" s="72">
        <f>IF(AW$59="X","",IF(AW$59&lt;&gt;"",AW$59,IF(IFERROR(INDEX(醫師週班表!$C$5:$T$44,$CU31,AW$57),"")=0,"",IF(MID(IFERROR(INDEX(醫師週班表!$C$5:$T$44,$CU31,AW$57),""),2,1)="/",MID(IFERROR(INDEX(醫師週班表!$C$5:$T$44,$CU31,AW$57),""),1+AW$58*2,1),IF(MID(IFERROR(INDEX(醫師週班表!$C$5:$T$44,$CU31,AW$57),""),3,1)="隔",IF(AW$58=0,LEFT(IFERROR(INDEX(醫師週班表!$C$5:$T$44,$CU31,AW$57),""),1),""),IF(MID(IFERROR(INDEX(醫師週班表!$C$5:$T$44,$CU31,AW$57),""),2,1)="(",LEFT(IFERROR(INDEX(醫師週班表!$C$5:$T$44,$CU31,AW$57),""),1),IFERROR(INDEX(醫師週班表!$C$5:$T$44,$CU31,AW$57),"")))))))</f>
        <v/>
      </c>
      <c r="AX31" s="71">
        <f>IF(AX$59="X","",IF(AX$59&lt;&gt;"",AX$59,IF(IFERROR(INDEX(醫師週班表!$C$5:$T$44,$CU31,AX$57),"")=0,"",IF(MID(IFERROR(INDEX(醫師週班表!$C$5:$T$44,$CU31,AX$57),""),2,1)="/",MID(IFERROR(INDEX(醫師週班表!$C$5:$T$44,$CU31,AX$57),""),1+AX$58*2,1),IF(MID(IFERROR(INDEX(醫師週班表!$C$5:$T$44,$CU31,AX$57),""),3,1)="隔",IF(AX$58=0,LEFT(IFERROR(INDEX(醫師週班表!$C$5:$T$44,$CU31,AX$57),""),1),""),IF(MID(IFERROR(INDEX(醫師週班表!$C$5:$T$44,$CU31,AX$57),""),2,1)="(",LEFT(IFERROR(INDEX(醫師週班表!$C$5:$T$44,$CU31,AX$57),""),1),IFERROR(INDEX(醫師週班表!$C$5:$T$44,$CU31,AX$57),"")))))))</f>
        <v/>
      </c>
      <c r="AY31" s="72">
        <f>IF(AY$59="X","",IF(AY$59&lt;&gt;"",AY$59,IF(IFERROR(INDEX(醫師週班表!$C$5:$T$44,$CU31,AY$57),"")=0,"",IF(MID(IFERROR(INDEX(醫師週班表!$C$5:$T$44,$CU31,AY$57),""),2,1)="/",MID(IFERROR(INDEX(醫師週班表!$C$5:$T$44,$CU31,AY$57),""),1+AY$58*2,1),IF(MID(IFERROR(INDEX(醫師週班表!$C$5:$T$44,$CU31,AY$57),""),3,1)="隔",IF(AY$58=0,LEFT(IFERROR(INDEX(醫師週班表!$C$5:$T$44,$CU31,AY$57),""),1),""),IF(MID(IFERROR(INDEX(醫師週班表!$C$5:$T$44,$CU31,AY$57),""),2,1)="(",LEFT(IFERROR(INDEX(醫師週班表!$C$5:$T$44,$CU31,AY$57),""),1),IFERROR(INDEX(醫師週班表!$C$5:$T$44,$CU31,AY$57),"")))))))</f>
        <v/>
      </c>
      <c r="AZ31" s="72">
        <f>IF(AZ$59="X","",IF(AZ$59&lt;&gt;"",AZ$59,IF(IFERROR(INDEX(醫師週班表!$C$5:$T$44,$CU31,AZ$57),"")=0,"",IF(MID(IFERROR(INDEX(醫師週班表!$C$5:$T$44,$CU31,AZ$57),""),2,1)="/",MID(IFERROR(INDEX(醫師週班表!$C$5:$T$44,$CU31,AZ$57),""),1+AZ$58*2,1),IF(MID(IFERROR(INDEX(醫師週班表!$C$5:$T$44,$CU31,AZ$57),""),3,1)="隔",IF(AZ$58=0,LEFT(IFERROR(INDEX(醫師週班表!$C$5:$T$44,$CU31,AZ$57),""),1),""),IF(MID(IFERROR(INDEX(醫師週班表!$C$5:$T$44,$CU31,AZ$57),""),2,1)="(",LEFT(IFERROR(INDEX(醫師週班表!$C$5:$T$44,$CU31,AZ$57),""),1),IFERROR(INDEX(醫師週班表!$C$5:$T$44,$CU31,AZ$57),"")))))))</f>
        <v/>
      </c>
      <c r="BA31" s="71">
        <f>IF(BA$59="X","",IF(BA$59&lt;&gt;"",BA$59,IF(IFERROR(INDEX(醫師週班表!$C$5:$T$44,$CU31,BA$57),"")=0,"",IF(MID(IFERROR(INDEX(醫師週班表!$C$5:$T$44,$CU31,BA$57),""),2,1)="/",MID(IFERROR(INDEX(醫師週班表!$C$5:$T$44,$CU31,BA$57),""),1+BA$58*2,1),IF(MID(IFERROR(INDEX(醫師週班表!$C$5:$T$44,$CU31,BA$57),""),3,1)="隔",IF(BA$58=0,LEFT(IFERROR(INDEX(醫師週班表!$C$5:$T$44,$CU31,BA$57),""),1),""),IF(MID(IFERROR(INDEX(醫師週班表!$C$5:$T$44,$CU31,BA$57),""),2,1)="(",LEFT(IFERROR(INDEX(醫師週班表!$C$5:$T$44,$CU31,BA$57),""),1),IFERROR(INDEX(醫師週班表!$C$5:$T$44,$CU31,BA$57),"")))))))</f>
        <v/>
      </c>
      <c r="BB31" s="72">
        <f>IF(BB$59="X","",IF(BB$59&lt;&gt;"",BB$59,IF(IFERROR(INDEX(醫師週班表!$C$5:$T$44,$CU31,BB$57),"")=0,"",IF(MID(IFERROR(INDEX(醫師週班表!$C$5:$T$44,$CU31,BB$57),""),2,1)="/",MID(IFERROR(INDEX(醫師週班表!$C$5:$T$44,$CU31,BB$57),""),1+BB$58*2,1),IF(MID(IFERROR(INDEX(醫師週班表!$C$5:$T$44,$CU31,BB$57),""),3,1)="隔",IF(BB$58=0,LEFT(IFERROR(INDEX(醫師週班表!$C$5:$T$44,$CU31,BB$57),""),1),""),IF(MID(IFERROR(INDEX(醫師週班表!$C$5:$T$44,$CU31,BB$57),""),2,1)="(",LEFT(IFERROR(INDEX(醫師週班表!$C$5:$T$44,$CU31,BB$57),""),1),IFERROR(INDEX(醫師週班表!$C$5:$T$44,$CU31,BB$57),"")))))))</f>
        <v/>
      </c>
      <c r="BC31" s="72">
        <f>IF(BC$59="X","",IF(BC$59&lt;&gt;"",BC$59,IF(IFERROR(INDEX(醫師週班表!$C$5:$T$44,$CU31,BC$57),"")=0,"",IF(MID(IFERROR(INDEX(醫師週班表!$C$5:$T$44,$CU31,BC$57),""),2,1)="/",MID(IFERROR(INDEX(醫師週班表!$C$5:$T$44,$CU31,BC$57),""),1+BC$58*2,1),IF(MID(IFERROR(INDEX(醫師週班表!$C$5:$T$44,$CU31,BC$57),""),3,1)="隔",IF(BC$58=0,LEFT(IFERROR(INDEX(醫師週班表!$C$5:$T$44,$CU31,BC$57),""),1),""),IF(MID(IFERROR(INDEX(醫師週班表!$C$5:$T$44,$CU31,BC$57),""),2,1)="(",LEFT(IFERROR(INDEX(醫師週班表!$C$5:$T$44,$CU31,BC$57),""),1),IFERROR(INDEX(醫師週班表!$C$5:$T$44,$CU31,BC$57),"")))))))</f>
        <v/>
      </c>
      <c r="BD31" s="71">
        <f>IF(BD$59="X","",IF(BD$59&lt;&gt;"",BD$59,IF(IFERROR(INDEX(醫師週班表!$C$5:$T$44,$CU31,BD$57),"")=0,"",IF(MID(IFERROR(INDEX(醫師週班表!$C$5:$T$44,$CU31,BD$57),""),2,1)="/",MID(IFERROR(INDEX(醫師週班表!$C$5:$T$44,$CU31,BD$57),""),1+BD$58*2,1),IF(MID(IFERROR(INDEX(醫師週班表!$C$5:$T$44,$CU31,BD$57),""),3,1)="隔",IF(BD$58=0,LEFT(IFERROR(INDEX(醫師週班表!$C$5:$T$44,$CU31,BD$57),""),1),""),IF(MID(IFERROR(INDEX(醫師週班表!$C$5:$T$44,$CU31,BD$57),""),2,1)="(",LEFT(IFERROR(INDEX(醫師週班表!$C$5:$T$44,$CU31,BD$57),""),1),IFERROR(INDEX(醫師週班表!$C$5:$T$44,$CU31,BD$57),"")))))))</f>
        <v/>
      </c>
      <c r="BE31" s="72">
        <f>IF(BE$59="X","",IF(BE$59&lt;&gt;"",BE$59,IF(IFERROR(INDEX(醫師週班表!$C$5:$T$44,$CU31,BE$57),"")=0,"",IF(MID(IFERROR(INDEX(醫師週班表!$C$5:$T$44,$CU31,BE$57),""),2,1)="/",MID(IFERROR(INDEX(醫師週班表!$C$5:$T$44,$CU31,BE$57),""),1+BE$58*2,1),IF(MID(IFERROR(INDEX(醫師週班表!$C$5:$T$44,$CU31,BE$57),""),3,1)="隔",IF(BE$58=0,LEFT(IFERROR(INDEX(醫師週班表!$C$5:$T$44,$CU31,BE$57),""),1),""),IF(MID(IFERROR(INDEX(醫師週班表!$C$5:$T$44,$CU31,BE$57),""),2,1)="(",LEFT(IFERROR(INDEX(醫師週班表!$C$5:$T$44,$CU31,BE$57),""),1),IFERROR(INDEX(醫師週班表!$C$5:$T$44,$CU31,BE$57),"")))))))</f>
        <v/>
      </c>
      <c r="BF31" s="72">
        <f>IF(BF$59="X","",IF(BF$59&lt;&gt;"",BF$59,IF(IFERROR(INDEX(醫師週班表!$C$5:$T$44,$CU31,BF$57),"")=0,"",IF(MID(IFERROR(INDEX(醫師週班表!$C$5:$T$44,$CU31,BF$57),""),2,1)="/",MID(IFERROR(INDEX(醫師週班表!$C$5:$T$44,$CU31,BF$57),""),1+BF$58*2,1),IF(MID(IFERROR(INDEX(醫師週班表!$C$5:$T$44,$CU31,BF$57),""),3,1)="隔",IF(BF$58=0,LEFT(IFERROR(INDEX(醫師週班表!$C$5:$T$44,$CU31,BF$57),""),1),""),IF(MID(IFERROR(INDEX(醫師週班表!$C$5:$T$44,$CU31,BF$57),""),2,1)="(",LEFT(IFERROR(INDEX(醫師週班表!$C$5:$T$44,$CU31,BF$57),""),1),IFERROR(INDEX(醫師週班表!$C$5:$T$44,$CU31,BF$57),"")))))))</f>
        <v/>
      </c>
      <c r="BG31" s="71">
        <f>IF(BG$59="X","",IF(BG$59&lt;&gt;"",BG$59,IF(IFERROR(INDEX(醫師週班表!$C$5:$T$44,$CU31,BG$57),"")=0,"",IF(MID(IFERROR(INDEX(醫師週班表!$C$5:$T$44,$CU31,BG$57),""),2,1)="/",MID(IFERROR(INDEX(醫師週班表!$C$5:$T$44,$CU31,BG$57),""),1+BG$58*2,1),IF(MID(IFERROR(INDEX(醫師週班表!$C$5:$T$44,$CU31,BG$57),""),3,1)="隔",IF(BG$58=0,LEFT(IFERROR(INDEX(醫師週班表!$C$5:$T$44,$CU31,BG$57),""),1),""),IF(MID(IFERROR(INDEX(醫師週班表!$C$5:$T$44,$CU31,BG$57),""),2,1)="(",LEFT(IFERROR(INDEX(醫師週班表!$C$5:$T$44,$CU31,BG$57),""),1),IFERROR(INDEX(醫師週班表!$C$5:$T$44,$CU31,BG$57),"")))))))</f>
        <v/>
      </c>
      <c r="BH31" s="72">
        <f>IF(BH$59="X","",IF(BH$59&lt;&gt;"",BH$59,IF(IFERROR(INDEX(醫師週班表!$C$5:$T$44,$CU31,BH$57),"")=0,"",IF(MID(IFERROR(INDEX(醫師週班表!$C$5:$T$44,$CU31,BH$57),""),2,1)="/",MID(IFERROR(INDEX(醫師週班表!$C$5:$T$44,$CU31,BH$57),""),1+BH$58*2,1),IF(MID(IFERROR(INDEX(醫師週班表!$C$5:$T$44,$CU31,BH$57),""),3,1)="隔",IF(BH$58=0,LEFT(IFERROR(INDEX(醫師週班表!$C$5:$T$44,$CU31,BH$57),""),1),""),IF(MID(IFERROR(INDEX(醫師週班表!$C$5:$T$44,$CU31,BH$57),""),2,1)="(",LEFT(IFERROR(INDEX(醫師週班表!$C$5:$T$44,$CU31,BH$57),""),1),IFERROR(INDEX(醫師週班表!$C$5:$T$44,$CU31,BH$57),"")))))))</f>
        <v/>
      </c>
      <c r="BI31" s="72">
        <f>IF(BI$59="X","",IF(BI$59&lt;&gt;"",BI$59,IF(IFERROR(INDEX(醫師週班表!$C$5:$T$44,$CU31,BI$57),"")=0,"",IF(MID(IFERROR(INDEX(醫師週班表!$C$5:$T$44,$CU31,BI$57),""),2,1)="/",MID(IFERROR(INDEX(醫師週班表!$C$5:$T$44,$CU31,BI$57),""),1+BI$58*2,1),IF(MID(IFERROR(INDEX(醫師週班表!$C$5:$T$44,$CU31,BI$57),""),3,1)="隔",IF(BI$58=0,LEFT(IFERROR(INDEX(醫師週班表!$C$5:$T$44,$CU31,BI$57),""),1),""),IF(MID(IFERROR(INDEX(醫師週班表!$C$5:$T$44,$CU31,BI$57),""),2,1)="(",LEFT(IFERROR(INDEX(醫師週班表!$C$5:$T$44,$CU31,BI$57),""),1),IFERROR(INDEX(醫師週班表!$C$5:$T$44,$CU31,BI$57),"")))))))</f>
        <v/>
      </c>
      <c r="BJ31" s="71">
        <f>IF(BJ$59="X","",IF(BJ$59&lt;&gt;"",BJ$59,IF(IFERROR(INDEX(醫師週班表!$C$5:$T$44,$CU31,BJ$57),"")=0,"",IF(MID(IFERROR(INDEX(醫師週班表!$C$5:$T$44,$CU31,BJ$57),""),2,1)="/",MID(IFERROR(INDEX(醫師週班表!$C$5:$T$44,$CU31,BJ$57),""),1+BJ$58*2,1),IF(MID(IFERROR(INDEX(醫師週班表!$C$5:$T$44,$CU31,BJ$57),""),3,1)="隔",IF(BJ$58=0,LEFT(IFERROR(INDEX(醫師週班表!$C$5:$T$44,$CU31,BJ$57),""),1),""),IF(MID(IFERROR(INDEX(醫師週班表!$C$5:$T$44,$CU31,BJ$57),""),2,1)="(",LEFT(IFERROR(INDEX(醫師週班表!$C$5:$T$44,$CU31,BJ$57),""),1),IFERROR(INDEX(醫師週班表!$C$5:$T$44,$CU31,BJ$57),"")))))))</f>
        <v/>
      </c>
      <c r="BK31" s="72">
        <f>IF(BK$59="X","",IF(BK$59&lt;&gt;"",BK$59,IF(IFERROR(INDEX(醫師週班表!$C$5:$T$44,$CU31,BK$57),"")=0,"",IF(MID(IFERROR(INDEX(醫師週班表!$C$5:$T$44,$CU31,BK$57),""),2,1)="/",MID(IFERROR(INDEX(醫師週班表!$C$5:$T$44,$CU31,BK$57),""),1+BK$58*2,1),IF(MID(IFERROR(INDEX(醫師週班表!$C$5:$T$44,$CU31,BK$57),""),3,1)="隔",IF(BK$58=0,LEFT(IFERROR(INDEX(醫師週班表!$C$5:$T$44,$CU31,BK$57),""),1),""),IF(MID(IFERROR(INDEX(醫師週班表!$C$5:$T$44,$CU31,BK$57),""),2,1)="(",LEFT(IFERROR(INDEX(醫師週班表!$C$5:$T$44,$CU31,BK$57),""),1),IFERROR(INDEX(醫師週班表!$C$5:$T$44,$CU31,BK$57),"")))))))</f>
        <v/>
      </c>
      <c r="BL31" s="72">
        <f>IF(BL$59="X","",IF(BL$59&lt;&gt;"",BL$59,IF(IFERROR(INDEX(醫師週班表!$C$5:$T$44,$CU31,BL$57),"")=0,"",IF(MID(IFERROR(INDEX(醫師週班表!$C$5:$T$44,$CU31,BL$57),""),2,1)="/",MID(IFERROR(INDEX(醫師週班表!$C$5:$T$44,$CU31,BL$57),""),1+BL$58*2,1),IF(MID(IFERROR(INDEX(醫師週班表!$C$5:$T$44,$CU31,BL$57),""),3,1)="隔",IF(BL$58=0,LEFT(IFERROR(INDEX(醫師週班表!$C$5:$T$44,$CU31,BL$57),""),1),""),IF(MID(IFERROR(INDEX(醫師週班表!$C$5:$T$44,$CU31,BL$57),""),2,1)="(",LEFT(IFERROR(INDEX(醫師週班表!$C$5:$T$44,$CU31,BL$57),""),1),IFERROR(INDEX(醫師週班表!$C$5:$T$44,$CU31,BL$57),"")))))))</f>
        <v/>
      </c>
      <c r="BM31" s="71">
        <f>IF(BM$59="X","",IF(BM$59&lt;&gt;"",BM$59,IF(IFERROR(INDEX(醫師週班表!$C$5:$T$44,$CU31,BM$57),"")=0,"",IF(MID(IFERROR(INDEX(醫師週班表!$C$5:$T$44,$CU31,BM$57),""),2,1)="/",MID(IFERROR(INDEX(醫師週班表!$C$5:$T$44,$CU31,BM$57),""),1+BM$58*2,1),IF(MID(IFERROR(INDEX(醫師週班表!$C$5:$T$44,$CU31,BM$57),""),3,1)="隔",IF(BM$58=0,LEFT(IFERROR(INDEX(醫師週班表!$C$5:$T$44,$CU31,BM$57),""),1),""),IF(MID(IFERROR(INDEX(醫師週班表!$C$5:$T$44,$CU31,BM$57),""),2,1)="(",LEFT(IFERROR(INDEX(醫師週班表!$C$5:$T$44,$CU31,BM$57),""),1),IFERROR(INDEX(醫師週班表!$C$5:$T$44,$CU31,BM$57),"")))))))</f>
        <v/>
      </c>
      <c r="BN31" s="72">
        <f>IF(BN$59="X","",IF(BN$59&lt;&gt;"",BN$59,IF(IFERROR(INDEX(醫師週班表!$C$5:$T$44,$CU31,BN$57),"")=0,"",IF(MID(IFERROR(INDEX(醫師週班表!$C$5:$T$44,$CU31,BN$57),""),2,1)="/",MID(IFERROR(INDEX(醫師週班表!$C$5:$T$44,$CU31,BN$57),""),1+BN$58*2,1),IF(MID(IFERROR(INDEX(醫師週班表!$C$5:$T$44,$CU31,BN$57),""),3,1)="隔",IF(BN$58=0,LEFT(IFERROR(INDEX(醫師週班表!$C$5:$T$44,$CU31,BN$57),""),1),""),IF(MID(IFERROR(INDEX(醫師週班表!$C$5:$T$44,$CU31,BN$57),""),2,1)="(",LEFT(IFERROR(INDEX(醫師週班表!$C$5:$T$44,$CU31,BN$57),""),1),IFERROR(INDEX(醫師週班表!$C$5:$T$44,$CU31,BN$57),"")))))))</f>
        <v/>
      </c>
      <c r="BO31" s="72">
        <f>IF(BO$59="X","",IF(BO$59&lt;&gt;"",BO$59,IF(IFERROR(INDEX(醫師週班表!$C$5:$T$44,$CU31,BO$57),"")=0,"",IF(MID(IFERROR(INDEX(醫師週班表!$C$5:$T$44,$CU31,BO$57),""),2,1)="/",MID(IFERROR(INDEX(醫師週班表!$C$5:$T$44,$CU31,BO$57),""),1+BO$58*2,1),IF(MID(IFERROR(INDEX(醫師週班表!$C$5:$T$44,$CU31,BO$57),""),3,1)="隔",IF(BO$58=0,LEFT(IFERROR(INDEX(醫師週班表!$C$5:$T$44,$CU31,BO$57),""),1),""),IF(MID(IFERROR(INDEX(醫師週班表!$C$5:$T$44,$CU31,BO$57),""),2,1)="(",LEFT(IFERROR(INDEX(醫師週班表!$C$5:$T$44,$CU31,BO$57),""),1),IFERROR(INDEX(醫師週班表!$C$5:$T$44,$CU31,BO$57),"")))))))</f>
        <v/>
      </c>
      <c r="BP31" s="71">
        <f>IF(BP$59="X","",IF(BP$59&lt;&gt;"",BP$59,IF(IFERROR(INDEX(醫師週班表!$C$5:$T$44,$CU31,BP$57),"")=0,"",IF(MID(IFERROR(INDEX(醫師週班表!$C$5:$T$44,$CU31,BP$57),""),2,1)="/",MID(IFERROR(INDEX(醫師週班表!$C$5:$T$44,$CU31,BP$57),""),1+BP$58*2,1),IF(MID(IFERROR(INDEX(醫師週班表!$C$5:$T$44,$CU31,BP$57),""),3,1)="隔",IF(BP$58=0,LEFT(IFERROR(INDEX(醫師週班表!$C$5:$T$44,$CU31,BP$57),""),1),""),IF(MID(IFERROR(INDEX(醫師週班表!$C$5:$T$44,$CU31,BP$57),""),2,1)="(",LEFT(IFERROR(INDEX(醫師週班表!$C$5:$T$44,$CU31,BP$57),""),1),IFERROR(INDEX(醫師週班表!$C$5:$T$44,$CU31,BP$57),"")))))))</f>
        <v/>
      </c>
      <c r="BQ31" s="72">
        <f>IF(BQ$59="X","",IF(BQ$59&lt;&gt;"",BQ$59,IF(IFERROR(INDEX(醫師週班表!$C$5:$T$44,$CU31,BQ$57),"")=0,"",IF(MID(IFERROR(INDEX(醫師週班表!$C$5:$T$44,$CU31,BQ$57),""),2,1)="/",MID(IFERROR(INDEX(醫師週班表!$C$5:$T$44,$CU31,BQ$57),""),1+BQ$58*2,1),IF(MID(IFERROR(INDEX(醫師週班表!$C$5:$T$44,$CU31,BQ$57),""),3,1)="隔",IF(BQ$58=0,LEFT(IFERROR(INDEX(醫師週班表!$C$5:$T$44,$CU31,BQ$57),""),1),""),IF(MID(IFERROR(INDEX(醫師週班表!$C$5:$T$44,$CU31,BQ$57),""),2,1)="(",LEFT(IFERROR(INDEX(醫師週班表!$C$5:$T$44,$CU31,BQ$57),""),1),IFERROR(INDEX(醫師週班表!$C$5:$T$44,$CU31,BQ$57),"")))))))</f>
        <v/>
      </c>
      <c r="BR31" s="72">
        <f>IF(BR$59="X","",IF(BR$59&lt;&gt;"",BR$59,IF(IFERROR(INDEX(醫師週班表!$C$5:$T$44,$CU31,BR$57),"")=0,"",IF(MID(IFERROR(INDEX(醫師週班表!$C$5:$T$44,$CU31,BR$57),""),2,1)="/",MID(IFERROR(INDEX(醫師週班表!$C$5:$T$44,$CU31,BR$57),""),1+BR$58*2,1),IF(MID(IFERROR(INDEX(醫師週班表!$C$5:$T$44,$CU31,BR$57),""),3,1)="隔",IF(BR$58=0,LEFT(IFERROR(INDEX(醫師週班表!$C$5:$T$44,$CU31,BR$57),""),1),""),IF(MID(IFERROR(INDEX(醫師週班表!$C$5:$T$44,$CU31,BR$57),""),2,1)="(",LEFT(IFERROR(INDEX(醫師週班表!$C$5:$T$44,$CU31,BR$57),""),1),IFERROR(INDEX(醫師週班表!$C$5:$T$44,$CU31,BR$57),"")))))))</f>
        <v/>
      </c>
      <c r="BS31" s="71">
        <f>IF(BS$59="X","",IF(BS$59&lt;&gt;"",BS$59,IF(IFERROR(INDEX(醫師週班表!$C$5:$T$44,$CU31,BS$57),"")=0,"",IF(MID(IFERROR(INDEX(醫師週班表!$C$5:$T$44,$CU31,BS$57),""),2,1)="/",MID(IFERROR(INDEX(醫師週班表!$C$5:$T$44,$CU31,BS$57),""),1+BS$58*2,1),IF(MID(IFERROR(INDEX(醫師週班表!$C$5:$T$44,$CU31,BS$57),""),3,1)="隔",IF(BS$58=0,LEFT(IFERROR(INDEX(醫師週班表!$C$5:$T$44,$CU31,BS$57),""),1),""),IF(MID(IFERROR(INDEX(醫師週班表!$C$5:$T$44,$CU31,BS$57),""),2,1)="(",LEFT(IFERROR(INDEX(醫師週班表!$C$5:$T$44,$CU31,BS$57),""),1),IFERROR(INDEX(醫師週班表!$C$5:$T$44,$CU31,BS$57),"")))))))</f>
        <v/>
      </c>
      <c r="BT31" s="72">
        <f>IF(BT$59="X","",IF(BT$59&lt;&gt;"",BT$59,IF(IFERROR(INDEX(醫師週班表!$C$5:$T$44,$CU31,BT$57),"")=0,"",IF(MID(IFERROR(INDEX(醫師週班表!$C$5:$T$44,$CU31,BT$57),""),2,1)="/",MID(IFERROR(INDEX(醫師週班表!$C$5:$T$44,$CU31,BT$57),""),1+BT$58*2,1),IF(MID(IFERROR(INDEX(醫師週班表!$C$5:$T$44,$CU31,BT$57),""),3,1)="隔",IF(BT$58=0,LEFT(IFERROR(INDEX(醫師週班表!$C$5:$T$44,$CU31,BT$57),""),1),""),IF(MID(IFERROR(INDEX(醫師週班表!$C$5:$T$44,$CU31,BT$57),""),2,1)="(",LEFT(IFERROR(INDEX(醫師週班表!$C$5:$T$44,$CU31,BT$57),""),1),IFERROR(INDEX(醫師週班表!$C$5:$T$44,$CU31,BT$57),"")))))))</f>
        <v/>
      </c>
      <c r="BU31" s="72">
        <f>IF(BU$59="X","",IF(BU$59&lt;&gt;"",BU$59,IF(IFERROR(INDEX(醫師週班表!$C$5:$T$44,$CU31,BU$57),"")=0,"",IF(MID(IFERROR(INDEX(醫師週班表!$C$5:$T$44,$CU31,BU$57),""),2,1)="/",MID(IFERROR(INDEX(醫師週班表!$C$5:$T$44,$CU31,BU$57),""),1+BU$58*2,1),IF(MID(IFERROR(INDEX(醫師週班表!$C$5:$T$44,$CU31,BU$57),""),3,1)="隔",IF(BU$58=0,LEFT(IFERROR(INDEX(醫師週班表!$C$5:$T$44,$CU31,BU$57),""),1),""),IF(MID(IFERROR(INDEX(醫師週班表!$C$5:$T$44,$CU31,BU$57),""),2,1)="(",LEFT(IFERROR(INDEX(醫師週班表!$C$5:$T$44,$CU31,BU$57),""),1),IFERROR(INDEX(醫師週班表!$C$5:$T$44,$CU31,BU$57),"")))))))</f>
        <v/>
      </c>
      <c r="BV31" s="71">
        <f>IF(BV$59="X","",IF(BV$59&lt;&gt;"",BV$59,IF(IFERROR(INDEX(醫師週班表!$C$5:$T$44,$CU31,BV$57),"")=0,"",IF(MID(IFERROR(INDEX(醫師週班表!$C$5:$T$44,$CU31,BV$57),""),2,1)="/",MID(IFERROR(INDEX(醫師週班表!$C$5:$T$44,$CU31,BV$57),""),1+BV$58*2,1),IF(MID(IFERROR(INDEX(醫師週班表!$C$5:$T$44,$CU31,BV$57),""),3,1)="隔",IF(BV$58=0,LEFT(IFERROR(INDEX(醫師週班表!$C$5:$T$44,$CU31,BV$57),""),1),""),IF(MID(IFERROR(INDEX(醫師週班表!$C$5:$T$44,$CU31,BV$57),""),2,1)="(",LEFT(IFERROR(INDEX(醫師週班表!$C$5:$T$44,$CU31,BV$57),""),1),IFERROR(INDEX(醫師週班表!$C$5:$T$44,$CU31,BV$57),"")))))))</f>
        <v/>
      </c>
      <c r="BW31" s="72">
        <f>IF(BW$59="X","",IF(BW$59&lt;&gt;"",BW$59,IF(IFERROR(INDEX(醫師週班表!$C$5:$T$44,$CU31,BW$57),"")=0,"",IF(MID(IFERROR(INDEX(醫師週班表!$C$5:$T$44,$CU31,BW$57),""),2,1)="/",MID(IFERROR(INDEX(醫師週班表!$C$5:$T$44,$CU31,BW$57),""),1+BW$58*2,1),IF(MID(IFERROR(INDEX(醫師週班表!$C$5:$T$44,$CU31,BW$57),""),3,1)="隔",IF(BW$58=0,LEFT(IFERROR(INDEX(醫師週班表!$C$5:$T$44,$CU31,BW$57),""),1),""),IF(MID(IFERROR(INDEX(醫師週班表!$C$5:$T$44,$CU31,BW$57),""),2,1)="(",LEFT(IFERROR(INDEX(醫師週班表!$C$5:$T$44,$CU31,BW$57),""),1),IFERROR(INDEX(醫師週班表!$C$5:$T$44,$CU31,BW$57),"")))))))</f>
        <v/>
      </c>
      <c r="BX31" s="72">
        <f>IF(BX$59="X","",IF(BX$59&lt;&gt;"",BX$59,IF(IFERROR(INDEX(醫師週班表!$C$5:$T$44,$CU31,BX$57),"")=0,"",IF(MID(IFERROR(INDEX(醫師週班表!$C$5:$T$44,$CU31,BX$57),""),2,1)="/",MID(IFERROR(INDEX(醫師週班表!$C$5:$T$44,$CU31,BX$57),""),1+BX$58*2,1),IF(MID(IFERROR(INDEX(醫師週班表!$C$5:$T$44,$CU31,BX$57),""),3,1)="隔",IF(BX$58=0,LEFT(IFERROR(INDEX(醫師週班表!$C$5:$T$44,$CU31,BX$57),""),1),""),IF(MID(IFERROR(INDEX(醫師週班表!$C$5:$T$44,$CU31,BX$57),""),2,1)="(",LEFT(IFERROR(INDEX(醫師週班表!$C$5:$T$44,$CU31,BX$57),""),1),IFERROR(INDEX(醫師週班表!$C$5:$T$44,$CU31,BX$57),"")))))))</f>
        <v/>
      </c>
      <c r="BY31" s="71">
        <f>IF(BY$59="X","",IF(BY$59&lt;&gt;"",BY$59,IF(IFERROR(INDEX(醫師週班表!$C$5:$T$44,$CU31,BY$57),"")=0,"",IF(MID(IFERROR(INDEX(醫師週班表!$C$5:$T$44,$CU31,BY$57),""),2,1)="/",MID(IFERROR(INDEX(醫師週班表!$C$5:$T$44,$CU31,BY$57),""),1+BY$58*2,1),IF(MID(IFERROR(INDEX(醫師週班表!$C$5:$T$44,$CU31,BY$57),""),3,1)="隔",IF(BY$58=0,LEFT(IFERROR(INDEX(醫師週班表!$C$5:$T$44,$CU31,BY$57),""),1),""),IF(MID(IFERROR(INDEX(醫師週班表!$C$5:$T$44,$CU31,BY$57),""),2,1)="(",LEFT(IFERROR(INDEX(醫師週班表!$C$5:$T$44,$CU31,BY$57),""),1),IFERROR(INDEX(醫師週班表!$C$5:$T$44,$CU31,BY$57),"")))))))</f>
        <v/>
      </c>
      <c r="BZ31" s="72">
        <f>IF(BZ$59="X","",IF(BZ$59&lt;&gt;"",BZ$59,IF(IFERROR(INDEX(醫師週班表!$C$5:$T$44,$CU31,BZ$57),"")=0,"",IF(MID(IFERROR(INDEX(醫師週班表!$C$5:$T$44,$CU31,BZ$57),""),2,1)="/",MID(IFERROR(INDEX(醫師週班表!$C$5:$T$44,$CU31,BZ$57),""),1+BZ$58*2,1),IF(MID(IFERROR(INDEX(醫師週班表!$C$5:$T$44,$CU31,BZ$57),""),3,1)="隔",IF(BZ$58=0,LEFT(IFERROR(INDEX(醫師週班表!$C$5:$T$44,$CU31,BZ$57),""),1),""),IF(MID(IFERROR(INDEX(醫師週班表!$C$5:$T$44,$CU31,BZ$57),""),2,1)="(",LEFT(IFERROR(INDEX(醫師週班表!$C$5:$T$44,$CU31,BZ$57),""),1),IFERROR(INDEX(醫師週班表!$C$5:$T$44,$CU31,BZ$57),"")))))))</f>
        <v/>
      </c>
      <c r="CA31" s="72">
        <f>IF(CA$59="X","",IF(CA$59&lt;&gt;"",CA$59,IF(IFERROR(INDEX(醫師週班表!$C$5:$T$44,$CU31,CA$57),"")=0,"",IF(MID(IFERROR(INDEX(醫師週班表!$C$5:$T$44,$CU31,CA$57),""),2,1)="/",MID(IFERROR(INDEX(醫師週班表!$C$5:$T$44,$CU31,CA$57),""),1+CA$58*2,1),IF(MID(IFERROR(INDEX(醫師週班表!$C$5:$T$44,$CU31,CA$57),""),3,1)="隔",IF(CA$58=0,LEFT(IFERROR(INDEX(醫師週班表!$C$5:$T$44,$CU31,CA$57),""),1),""),IF(MID(IFERROR(INDEX(醫師週班表!$C$5:$T$44,$CU31,CA$57),""),2,1)="(",LEFT(IFERROR(INDEX(醫師週班表!$C$5:$T$44,$CU31,CA$57),""),1),IFERROR(INDEX(醫師週班表!$C$5:$T$44,$CU31,CA$57),"")))))))</f>
        <v/>
      </c>
      <c r="CB31" s="71">
        <f>IF(CB$59="X","",IF(CB$59&lt;&gt;"",CB$59,IF(IFERROR(INDEX(醫師週班表!$C$5:$T$44,$CU31,CB$57),"")=0,"",IF(MID(IFERROR(INDEX(醫師週班表!$C$5:$T$44,$CU31,CB$57),""),2,1)="/",MID(IFERROR(INDEX(醫師週班表!$C$5:$T$44,$CU31,CB$57),""),1+CB$58*2,1),IF(MID(IFERROR(INDEX(醫師週班表!$C$5:$T$44,$CU31,CB$57),""),3,1)="隔",IF(CB$58=0,LEFT(IFERROR(INDEX(醫師週班表!$C$5:$T$44,$CU31,CB$57),""),1),""),IF(MID(IFERROR(INDEX(醫師週班表!$C$5:$T$44,$CU31,CB$57),""),2,1)="(",LEFT(IFERROR(INDEX(醫師週班表!$C$5:$T$44,$CU31,CB$57),""),1),IFERROR(INDEX(醫師週班表!$C$5:$T$44,$CU31,CB$57),"")))))))</f>
        <v/>
      </c>
      <c r="CC31" s="72">
        <f>IF(CC$59="X","",IF(CC$59&lt;&gt;"",CC$59,IF(IFERROR(INDEX(醫師週班表!$C$5:$T$44,$CU31,CC$57),"")=0,"",IF(MID(IFERROR(INDEX(醫師週班表!$C$5:$T$44,$CU31,CC$57),""),2,1)="/",MID(IFERROR(INDEX(醫師週班表!$C$5:$T$44,$CU31,CC$57),""),1+CC$58*2,1),IF(MID(IFERROR(INDEX(醫師週班表!$C$5:$T$44,$CU31,CC$57),""),3,1)="隔",IF(CC$58=0,LEFT(IFERROR(INDEX(醫師週班表!$C$5:$T$44,$CU31,CC$57),""),1),""),IF(MID(IFERROR(INDEX(醫師週班表!$C$5:$T$44,$CU31,CC$57),""),2,1)="(",LEFT(IFERROR(INDEX(醫師週班表!$C$5:$T$44,$CU31,CC$57),""),1),IFERROR(INDEX(醫師週班表!$C$5:$T$44,$CU31,CC$57),"")))))))</f>
        <v/>
      </c>
      <c r="CD31" s="72">
        <f>IF(CD$59="X","",IF(CD$59&lt;&gt;"",CD$59,IF(IFERROR(INDEX(醫師週班表!$C$5:$T$44,$CU31,CD$57),"")=0,"",IF(MID(IFERROR(INDEX(醫師週班表!$C$5:$T$44,$CU31,CD$57),""),2,1)="/",MID(IFERROR(INDEX(醫師週班表!$C$5:$T$44,$CU31,CD$57),""),1+CD$58*2,1),IF(MID(IFERROR(INDEX(醫師週班表!$C$5:$T$44,$CU31,CD$57),""),3,1)="隔",IF(CD$58=0,LEFT(IFERROR(INDEX(醫師週班表!$C$5:$T$44,$CU31,CD$57),""),1),""),IF(MID(IFERROR(INDEX(醫師週班表!$C$5:$T$44,$CU31,CD$57),""),2,1)="(",LEFT(IFERROR(INDEX(醫師週班表!$C$5:$T$44,$CU31,CD$57),""),1),IFERROR(INDEX(醫師週班表!$C$5:$T$44,$CU31,CD$57),"")))))))</f>
        <v/>
      </c>
      <c r="CE31" s="71">
        <f>IF(CE$59="X","",IF(CE$59&lt;&gt;"",CE$59,IF(IFERROR(INDEX(醫師週班表!$C$5:$T$44,$CU31,CE$57),"")=0,"",IF(MID(IFERROR(INDEX(醫師週班表!$C$5:$T$44,$CU31,CE$57),""),2,1)="/",MID(IFERROR(INDEX(醫師週班表!$C$5:$T$44,$CU31,CE$57),""),1+CE$58*2,1),IF(MID(IFERROR(INDEX(醫師週班表!$C$5:$T$44,$CU31,CE$57),""),3,1)="隔",IF(CE$58=0,LEFT(IFERROR(INDEX(醫師週班表!$C$5:$T$44,$CU31,CE$57),""),1),""),IF(MID(IFERROR(INDEX(醫師週班表!$C$5:$T$44,$CU31,CE$57),""),2,1)="(",LEFT(IFERROR(INDEX(醫師週班表!$C$5:$T$44,$CU31,CE$57),""),1),IFERROR(INDEX(醫師週班表!$C$5:$T$44,$CU31,CE$57),"")))))))</f>
        <v/>
      </c>
      <c r="CF31" s="72">
        <f>IF(CF$59="X","",IF(CF$59&lt;&gt;"",CF$59,IF(IFERROR(INDEX(醫師週班表!$C$5:$T$44,$CU31,CF$57),"")=0,"",IF(MID(IFERROR(INDEX(醫師週班表!$C$5:$T$44,$CU31,CF$57),""),2,1)="/",MID(IFERROR(INDEX(醫師週班表!$C$5:$T$44,$CU31,CF$57),""),1+CF$58*2,1),IF(MID(IFERROR(INDEX(醫師週班表!$C$5:$T$44,$CU31,CF$57),""),3,1)="隔",IF(CF$58=0,LEFT(IFERROR(INDEX(醫師週班表!$C$5:$T$44,$CU31,CF$57),""),1),""),IF(MID(IFERROR(INDEX(醫師週班表!$C$5:$T$44,$CU31,CF$57),""),2,1)="(",LEFT(IFERROR(INDEX(醫師週班表!$C$5:$T$44,$CU31,CF$57),""),1),IFERROR(INDEX(醫師週班表!$C$5:$T$44,$CU31,CF$57),"")))))))</f>
        <v/>
      </c>
      <c r="CG31" s="72">
        <f>IF(CG$59="X","",IF(CG$59&lt;&gt;"",CG$59,IF(IFERROR(INDEX(醫師週班表!$C$5:$T$44,$CU31,CG$57),"")=0,"",IF(MID(IFERROR(INDEX(醫師週班表!$C$5:$T$44,$CU31,CG$57),""),2,1)="/",MID(IFERROR(INDEX(醫師週班表!$C$5:$T$44,$CU31,CG$57),""),1+CG$58*2,1),IF(MID(IFERROR(INDEX(醫師週班表!$C$5:$T$44,$CU31,CG$57),""),3,1)="隔",IF(CG$58=0,LEFT(IFERROR(INDEX(醫師週班表!$C$5:$T$44,$CU31,CG$57),""),1),""),IF(MID(IFERROR(INDEX(醫師週班表!$C$5:$T$44,$CU31,CG$57),""),2,1)="(",LEFT(IFERROR(INDEX(醫師週班表!$C$5:$T$44,$CU31,CG$57),""),1),IFERROR(INDEX(醫師週班表!$C$5:$T$44,$CU31,CG$57),"")))))))</f>
        <v/>
      </c>
      <c r="CH31" s="71">
        <f>IF(CH$59="X","",IF(CH$59&lt;&gt;"",CH$59,IF(IFERROR(INDEX(醫師週班表!$C$5:$T$44,$CU31,CH$57),"")=0,"",IF(MID(IFERROR(INDEX(醫師週班表!$C$5:$T$44,$CU31,CH$57),""),2,1)="/",MID(IFERROR(INDEX(醫師週班表!$C$5:$T$44,$CU31,CH$57),""),1+CH$58*2,1),IF(MID(IFERROR(INDEX(醫師週班表!$C$5:$T$44,$CU31,CH$57),""),3,1)="隔",IF(CH$58=0,LEFT(IFERROR(INDEX(醫師週班表!$C$5:$T$44,$CU31,CH$57),""),1),""),IF(MID(IFERROR(INDEX(醫師週班表!$C$5:$T$44,$CU31,CH$57),""),2,1)="(",LEFT(IFERROR(INDEX(醫師週班表!$C$5:$T$44,$CU31,CH$57),""),1),IFERROR(INDEX(醫師週班表!$C$5:$T$44,$CU31,CH$57),"")))))))</f>
        <v/>
      </c>
      <c r="CI31" s="72">
        <f>IF(CI$59="X","",IF(CI$59&lt;&gt;"",CI$59,IF(IFERROR(INDEX(醫師週班表!$C$5:$T$44,$CU31,CI$57),"")=0,"",IF(MID(IFERROR(INDEX(醫師週班表!$C$5:$T$44,$CU31,CI$57),""),2,1)="/",MID(IFERROR(INDEX(醫師週班表!$C$5:$T$44,$CU31,CI$57),""),1+CI$58*2,1),IF(MID(IFERROR(INDEX(醫師週班表!$C$5:$T$44,$CU31,CI$57),""),3,1)="隔",IF(CI$58=0,LEFT(IFERROR(INDEX(醫師週班表!$C$5:$T$44,$CU31,CI$57),""),1),""),IF(MID(IFERROR(INDEX(醫師週班表!$C$5:$T$44,$CU31,CI$57),""),2,1)="(",LEFT(IFERROR(INDEX(醫師週班表!$C$5:$T$44,$CU31,CI$57),""),1),IFERROR(INDEX(醫師週班表!$C$5:$T$44,$CU31,CI$57),"")))))))</f>
        <v/>
      </c>
      <c r="CJ31" s="72">
        <f>IF(CJ$59="X","",IF(CJ$59&lt;&gt;"",CJ$59,IF(IFERROR(INDEX(醫師週班表!$C$5:$T$44,$CU31,CJ$57),"")=0,"",IF(MID(IFERROR(INDEX(醫師週班表!$C$5:$T$44,$CU31,CJ$57),""),2,1)="/",MID(IFERROR(INDEX(醫師週班表!$C$5:$T$44,$CU31,CJ$57),""),1+CJ$58*2,1),IF(MID(IFERROR(INDEX(醫師週班表!$C$5:$T$44,$CU31,CJ$57),""),3,1)="隔",IF(CJ$58=0,LEFT(IFERROR(INDEX(醫師週班表!$C$5:$T$44,$CU31,CJ$57),""),1),""),IF(MID(IFERROR(INDEX(醫師週班表!$C$5:$T$44,$CU31,CJ$57),""),2,1)="(",LEFT(IFERROR(INDEX(醫師週班表!$C$5:$T$44,$CU31,CJ$57),""),1),IFERROR(INDEX(醫師週班表!$C$5:$T$44,$CU31,CJ$57),"")))))))</f>
        <v/>
      </c>
      <c r="CK31" s="71">
        <f>IF(CK$59="X","",IF(CK$59&lt;&gt;"",CK$59,IF(IFERROR(INDEX(醫師週班表!$C$5:$T$44,$CU31,CK$57),"")=0,"",IF(MID(IFERROR(INDEX(醫師週班表!$C$5:$T$44,$CU31,CK$57),""),2,1)="/",MID(IFERROR(INDEX(醫師週班表!$C$5:$T$44,$CU31,CK$57),""),1+CK$58*2,1),IF(MID(IFERROR(INDEX(醫師週班表!$C$5:$T$44,$CU31,CK$57),""),3,1)="隔",IF(CK$58=0,LEFT(IFERROR(INDEX(醫師週班表!$C$5:$T$44,$CU31,CK$57),""),1),""),IF(MID(IFERROR(INDEX(醫師週班表!$C$5:$T$44,$CU31,CK$57),""),2,1)="(",LEFT(IFERROR(INDEX(醫師週班表!$C$5:$T$44,$CU31,CK$57),""),1),IFERROR(INDEX(醫師週班表!$C$5:$T$44,$CU31,CK$57),"")))))))</f>
        <v/>
      </c>
      <c r="CL31" s="72">
        <f>IF(CL$59="X","",IF(CL$59&lt;&gt;"",CL$59,IF(IFERROR(INDEX(醫師週班表!$C$5:$T$44,$CU31,CL$57),"")=0,"",IF(MID(IFERROR(INDEX(醫師週班表!$C$5:$T$44,$CU31,CL$57),""),2,1)="/",MID(IFERROR(INDEX(醫師週班表!$C$5:$T$44,$CU31,CL$57),""),1+CL$58*2,1),IF(MID(IFERROR(INDEX(醫師週班表!$C$5:$T$44,$CU31,CL$57),""),3,1)="隔",IF(CL$58=0,LEFT(IFERROR(INDEX(醫師週班表!$C$5:$T$44,$CU31,CL$57),""),1),""),IF(MID(IFERROR(INDEX(醫師週班表!$C$5:$T$44,$CU31,CL$57),""),2,1)="(",LEFT(IFERROR(INDEX(醫師週班表!$C$5:$T$44,$CU31,CL$57),""),1),IFERROR(INDEX(醫師週班表!$C$5:$T$44,$CU31,CL$57),"")))))))</f>
        <v/>
      </c>
      <c r="CM31" s="72">
        <f>IF(CM$59="X","",IF(CM$59&lt;&gt;"",CM$59,IF(IFERROR(INDEX(醫師週班表!$C$5:$T$44,$CU31,CM$57),"")=0,"",IF(MID(IFERROR(INDEX(醫師週班表!$C$5:$T$44,$CU31,CM$57),""),2,1)="/",MID(IFERROR(INDEX(醫師週班表!$C$5:$T$44,$CU31,CM$57),""),1+CM$58*2,1),IF(MID(IFERROR(INDEX(醫師週班表!$C$5:$T$44,$CU31,CM$57),""),3,1)="隔",IF(CM$58=0,LEFT(IFERROR(INDEX(醫師週班表!$C$5:$T$44,$CU31,CM$57),""),1),""),IF(MID(IFERROR(INDEX(醫師週班表!$C$5:$T$44,$CU31,CM$57),""),2,1)="(",LEFT(IFERROR(INDEX(醫師週班表!$C$5:$T$44,$CU31,CM$57),""),1),IFERROR(INDEX(醫師週班表!$C$5:$T$44,$CU31,CM$57),"")))))))</f>
        <v/>
      </c>
      <c r="CN31" s="71">
        <f>IF(CN$59="X","",IF(CN$59&lt;&gt;"",CN$59,IF(IFERROR(INDEX(醫師週班表!$C$5:$T$44,$CU31,CN$57),"")=0,"",IF(MID(IFERROR(INDEX(醫師週班表!$C$5:$T$44,$CU31,CN$57),""),2,1)="/",MID(IFERROR(INDEX(醫師週班表!$C$5:$T$44,$CU31,CN$57),""),1+CN$58*2,1),IF(MID(IFERROR(INDEX(醫師週班表!$C$5:$T$44,$CU31,CN$57),""),3,1)="隔",IF(CN$58=0,LEFT(IFERROR(INDEX(醫師週班表!$C$5:$T$44,$CU31,CN$57),""),1),""),IF(MID(IFERROR(INDEX(醫師週班表!$C$5:$T$44,$CU31,CN$57),""),2,1)="(",LEFT(IFERROR(INDEX(醫師週班表!$C$5:$T$44,$CU31,CN$57),""),1),IFERROR(INDEX(醫師週班表!$C$5:$T$44,$CU31,CN$57),"")))))))</f>
        <v/>
      </c>
      <c r="CO31" s="72">
        <f>IF(CO$59="X","",IF(CO$59&lt;&gt;"",CO$59,IF(IFERROR(INDEX(醫師週班表!$C$5:$T$44,$CU31,CO$57),"")=0,"",IF(MID(IFERROR(INDEX(醫師週班表!$C$5:$T$44,$CU31,CO$57),""),2,1)="/",MID(IFERROR(INDEX(醫師週班表!$C$5:$T$44,$CU31,CO$57),""),1+CO$58*2,1),IF(MID(IFERROR(INDEX(醫師週班表!$C$5:$T$44,$CU31,CO$57),""),3,1)="隔",IF(CO$58=0,LEFT(IFERROR(INDEX(醫師週班表!$C$5:$T$44,$CU31,CO$57),""),1),""),IF(MID(IFERROR(INDEX(醫師週班表!$C$5:$T$44,$CU31,CO$57),""),2,1)="(",LEFT(IFERROR(INDEX(醫師週班表!$C$5:$T$44,$CU31,CO$57),""),1),IFERROR(INDEX(醫師週班表!$C$5:$T$44,$CU31,CO$57),"")))))))</f>
        <v/>
      </c>
      <c r="CP31" s="72">
        <f>IF(CP$59="X","",IF(CP$59&lt;&gt;"",CP$59,IF(IFERROR(INDEX(醫師週班表!$C$5:$T$44,$CU31,CP$57),"")=0,"",IF(MID(IFERROR(INDEX(醫師週班表!$C$5:$T$44,$CU31,CP$57),""),2,1)="/",MID(IFERROR(INDEX(醫師週班表!$C$5:$T$44,$CU31,CP$57),""),1+CP$58*2,1),IF(MID(IFERROR(INDEX(醫師週班表!$C$5:$T$44,$CU31,CP$57),""),3,1)="隔",IF(CP$58=0,LEFT(IFERROR(INDEX(醫師週班表!$C$5:$T$44,$CU31,CP$57),""),1),""),IF(MID(IFERROR(INDEX(醫師週班表!$C$5:$T$44,$CU31,CP$57),""),2,1)="(",LEFT(IFERROR(INDEX(醫師週班表!$C$5:$T$44,$CU31,CP$57),""),1),IFERROR(INDEX(醫師週班表!$C$5:$T$44,$CU31,CP$57),"")))))))</f>
        <v/>
      </c>
      <c r="CQ31" s="71">
        <f>IF(CQ$59="X","",IF(CQ$59&lt;&gt;"",CQ$59,IF(IFERROR(INDEX(醫師週班表!$C$5:$T$44,$CU31,CQ$57),"")=0,"",IF(MID(IFERROR(INDEX(醫師週班表!$C$5:$T$44,$CU31,CQ$57),""),2,1)="/",MID(IFERROR(INDEX(醫師週班表!$C$5:$T$44,$CU31,CQ$57),""),1+CQ$58*2,1),IF(MID(IFERROR(INDEX(醫師週班表!$C$5:$T$44,$CU31,CQ$57),""),3,1)="隔",IF(CQ$58=0,LEFT(IFERROR(INDEX(醫師週班表!$C$5:$T$44,$CU31,CQ$57),""),1),""),IF(MID(IFERROR(INDEX(醫師週班表!$C$5:$T$44,$CU31,CQ$57),""),2,1)="(",LEFT(IFERROR(INDEX(醫師週班表!$C$5:$T$44,$CU31,CQ$57),""),1),IFERROR(INDEX(醫師週班表!$C$5:$T$44,$CU31,CQ$57),"")))))))</f>
        <v/>
      </c>
      <c r="CR31" s="72">
        <f>IF(CR$59="X","",IF(CR$59&lt;&gt;"",CR$59,IF(IFERROR(INDEX(醫師週班表!$C$5:$T$44,$CU31,CR$57),"")=0,"",IF(MID(IFERROR(INDEX(醫師週班表!$C$5:$T$44,$CU31,CR$57),""),2,1)="/",MID(IFERROR(INDEX(醫師週班表!$C$5:$T$44,$CU31,CR$57),""),1+CR$58*2,1),IF(MID(IFERROR(INDEX(醫師週班表!$C$5:$T$44,$CU31,CR$57),""),3,1)="隔",IF(CR$58=0,LEFT(IFERROR(INDEX(醫師週班表!$C$5:$T$44,$CU31,CR$57),""),1),""),IF(MID(IFERROR(INDEX(醫師週班表!$C$5:$T$44,$CU31,CR$57),""),2,1)="(",LEFT(IFERROR(INDEX(醫師週班表!$C$5:$T$44,$CU31,CR$57),""),1),IFERROR(INDEX(醫師週班表!$C$5:$T$44,$CU31,CR$57),"")))))))</f>
        <v/>
      </c>
      <c r="CS31" s="72">
        <f>IF(CS$59="X","",IF(CS$59&lt;&gt;"",CS$59,IF(IFERROR(INDEX(醫師週班表!$C$5:$T$44,$CU31,CS$57),"")=0,"",IF(MID(IFERROR(INDEX(醫師週班表!$C$5:$T$44,$CU31,CS$57),""),2,1)="/",MID(IFERROR(INDEX(醫師週班表!$C$5:$T$44,$CU31,CS$57),""),1+CS$58*2,1),IF(MID(IFERROR(INDEX(醫師週班表!$C$5:$T$44,$CU31,CS$57),""),3,1)="隔",IF(CS$58=0,LEFT(IFERROR(INDEX(醫師週班表!$C$5:$T$44,$CU31,CS$57),""),1),""),IF(MID(IFERROR(INDEX(醫師週班表!$C$5:$T$44,$CU31,CS$57),""),2,1)="(",LEFT(IFERROR(INDEX(醫師週班表!$C$5:$T$44,$CU31,CS$57),""),1),IFERROR(INDEX(醫師週班表!$C$5:$T$44,$CU31,CS$57),"")))))))</f>
        <v/>
      </c>
      <c r="CU31" s="73">
        <f>IFERROR(MATCH($A31,醫師週班表!$A$5:$A$44,0),0)</f>
        <v/>
      </c>
    </row>
    <row r="32" ht="17" customHeight="1">
      <c r="A32" s="19" t="inlineStr">
        <is>
          <t>D027</t>
        </is>
      </c>
      <c r="B32" s="16" t="inlineStr">
        <is>
          <t>楊孟庭</t>
        </is>
      </c>
      <c r="C32" s="70" t="inlineStr"/>
      <c r="D32" s="16" t="inlineStr"/>
      <c r="E32" s="71">
        <f>IF(E$59="X","",IF(E$59&lt;&gt;"",E$59,IF(IFERROR(INDEX(醫師週班表!$C$5:$T$44,$CU32,E$57),"")=0,"",IF(MID(IFERROR(INDEX(醫師週班表!$C$5:$T$44,$CU32,E$57),""),2,1)="/",MID(IFERROR(INDEX(醫師週班表!$C$5:$T$44,$CU32,E$57),""),1+E$58*2,1),IF(MID(IFERROR(INDEX(醫師週班表!$C$5:$T$44,$CU32,E$57),""),3,1)="隔",IF(E$58=0,LEFT(IFERROR(INDEX(醫師週班表!$C$5:$T$44,$CU32,E$57),""),1),""),IF(MID(IFERROR(INDEX(醫師週班表!$C$5:$T$44,$CU32,E$57),""),2,1)="(",LEFT(IFERROR(INDEX(醫師週班表!$C$5:$T$44,$CU32,E$57),""),1),IFERROR(INDEX(醫師週班表!$C$5:$T$44,$CU32,E$57),"")))))))</f>
        <v/>
      </c>
      <c r="F32" s="72">
        <f>IF(F$59="X","",IF(F$59&lt;&gt;"",F$59,IF(IFERROR(INDEX(醫師週班表!$C$5:$T$44,$CU32,F$57),"")=0,"",IF(MID(IFERROR(INDEX(醫師週班表!$C$5:$T$44,$CU32,F$57),""),2,1)="/",MID(IFERROR(INDEX(醫師週班表!$C$5:$T$44,$CU32,F$57),""),1+F$58*2,1),IF(MID(IFERROR(INDEX(醫師週班表!$C$5:$T$44,$CU32,F$57),""),3,1)="隔",IF(F$58=0,LEFT(IFERROR(INDEX(醫師週班表!$C$5:$T$44,$CU32,F$57),""),1),""),IF(MID(IFERROR(INDEX(醫師週班表!$C$5:$T$44,$CU32,F$57),""),2,1)="(",LEFT(IFERROR(INDEX(醫師週班表!$C$5:$T$44,$CU32,F$57),""),1),IFERROR(INDEX(醫師週班表!$C$5:$T$44,$CU32,F$57),"")))))))</f>
        <v/>
      </c>
      <c r="G32" s="72">
        <f>IF(G$59="X","",IF(G$59&lt;&gt;"",G$59,IF(IFERROR(INDEX(醫師週班表!$C$5:$T$44,$CU32,G$57),"")=0,"",IF(MID(IFERROR(INDEX(醫師週班表!$C$5:$T$44,$CU32,G$57),""),2,1)="/",MID(IFERROR(INDEX(醫師週班表!$C$5:$T$44,$CU32,G$57),""),1+G$58*2,1),IF(MID(IFERROR(INDEX(醫師週班表!$C$5:$T$44,$CU32,G$57),""),3,1)="隔",IF(G$58=0,LEFT(IFERROR(INDEX(醫師週班表!$C$5:$T$44,$CU32,G$57),""),1),""),IF(MID(IFERROR(INDEX(醫師週班表!$C$5:$T$44,$CU32,G$57),""),2,1)="(",LEFT(IFERROR(INDEX(醫師週班表!$C$5:$T$44,$CU32,G$57),""),1),IFERROR(INDEX(醫師週班表!$C$5:$T$44,$CU32,G$57),"")))))))</f>
        <v/>
      </c>
      <c r="H32" s="71">
        <f>IF(H$59="X","",IF(H$59&lt;&gt;"",H$59,IF(IFERROR(INDEX(醫師週班表!$C$5:$T$44,$CU32,H$57),"")=0,"",IF(MID(IFERROR(INDEX(醫師週班表!$C$5:$T$44,$CU32,H$57),""),2,1)="/",MID(IFERROR(INDEX(醫師週班表!$C$5:$T$44,$CU32,H$57),""),1+H$58*2,1),IF(MID(IFERROR(INDEX(醫師週班表!$C$5:$T$44,$CU32,H$57),""),3,1)="隔",IF(H$58=0,LEFT(IFERROR(INDEX(醫師週班表!$C$5:$T$44,$CU32,H$57),""),1),""),IF(MID(IFERROR(INDEX(醫師週班表!$C$5:$T$44,$CU32,H$57),""),2,1)="(",LEFT(IFERROR(INDEX(醫師週班表!$C$5:$T$44,$CU32,H$57),""),1),IFERROR(INDEX(醫師週班表!$C$5:$T$44,$CU32,H$57),"")))))))</f>
        <v/>
      </c>
      <c r="I32" s="72">
        <f>IF(I$59="X","",IF(I$59&lt;&gt;"",I$59,IF(IFERROR(INDEX(醫師週班表!$C$5:$T$44,$CU32,I$57),"")=0,"",IF(MID(IFERROR(INDEX(醫師週班表!$C$5:$T$44,$CU32,I$57),""),2,1)="/",MID(IFERROR(INDEX(醫師週班表!$C$5:$T$44,$CU32,I$57),""),1+I$58*2,1),IF(MID(IFERROR(INDEX(醫師週班表!$C$5:$T$44,$CU32,I$57),""),3,1)="隔",IF(I$58=0,LEFT(IFERROR(INDEX(醫師週班表!$C$5:$T$44,$CU32,I$57),""),1),""),IF(MID(IFERROR(INDEX(醫師週班表!$C$5:$T$44,$CU32,I$57),""),2,1)="(",LEFT(IFERROR(INDEX(醫師週班表!$C$5:$T$44,$CU32,I$57),""),1),IFERROR(INDEX(醫師週班表!$C$5:$T$44,$CU32,I$57),"")))))))</f>
        <v/>
      </c>
      <c r="J32" s="72">
        <f>IF(J$59="X","",IF(J$59&lt;&gt;"",J$59,IF(IFERROR(INDEX(醫師週班表!$C$5:$T$44,$CU32,J$57),"")=0,"",IF(MID(IFERROR(INDEX(醫師週班表!$C$5:$T$44,$CU32,J$57),""),2,1)="/",MID(IFERROR(INDEX(醫師週班表!$C$5:$T$44,$CU32,J$57),""),1+J$58*2,1),IF(MID(IFERROR(INDEX(醫師週班表!$C$5:$T$44,$CU32,J$57),""),3,1)="隔",IF(J$58=0,LEFT(IFERROR(INDEX(醫師週班表!$C$5:$T$44,$CU32,J$57),""),1),""),IF(MID(IFERROR(INDEX(醫師週班表!$C$5:$T$44,$CU32,J$57),""),2,1)="(",LEFT(IFERROR(INDEX(醫師週班表!$C$5:$T$44,$CU32,J$57),""),1),IFERROR(INDEX(醫師週班表!$C$5:$T$44,$CU32,J$57),"")))))))</f>
        <v/>
      </c>
      <c r="K32" s="71">
        <f>IF(K$59="X","",IF(K$59&lt;&gt;"",K$59,IF(IFERROR(INDEX(醫師週班表!$C$5:$T$44,$CU32,K$57),"")=0,"",IF(MID(IFERROR(INDEX(醫師週班表!$C$5:$T$44,$CU32,K$57),""),2,1)="/",MID(IFERROR(INDEX(醫師週班表!$C$5:$T$44,$CU32,K$57),""),1+K$58*2,1),IF(MID(IFERROR(INDEX(醫師週班表!$C$5:$T$44,$CU32,K$57),""),3,1)="隔",IF(K$58=0,LEFT(IFERROR(INDEX(醫師週班表!$C$5:$T$44,$CU32,K$57),""),1),""),IF(MID(IFERROR(INDEX(醫師週班表!$C$5:$T$44,$CU32,K$57),""),2,1)="(",LEFT(IFERROR(INDEX(醫師週班表!$C$5:$T$44,$CU32,K$57),""),1),IFERROR(INDEX(醫師週班表!$C$5:$T$44,$CU32,K$57),"")))))))</f>
        <v/>
      </c>
      <c r="L32" s="72">
        <f>IF(L$59="X","",IF(L$59&lt;&gt;"",L$59,IF(IFERROR(INDEX(醫師週班表!$C$5:$T$44,$CU32,L$57),"")=0,"",IF(MID(IFERROR(INDEX(醫師週班表!$C$5:$T$44,$CU32,L$57),""),2,1)="/",MID(IFERROR(INDEX(醫師週班表!$C$5:$T$44,$CU32,L$57),""),1+L$58*2,1),IF(MID(IFERROR(INDEX(醫師週班表!$C$5:$T$44,$CU32,L$57),""),3,1)="隔",IF(L$58=0,LEFT(IFERROR(INDEX(醫師週班表!$C$5:$T$44,$CU32,L$57),""),1),""),IF(MID(IFERROR(INDEX(醫師週班表!$C$5:$T$44,$CU32,L$57),""),2,1)="(",LEFT(IFERROR(INDEX(醫師週班表!$C$5:$T$44,$CU32,L$57),""),1),IFERROR(INDEX(醫師週班表!$C$5:$T$44,$CU32,L$57),"")))))))</f>
        <v/>
      </c>
      <c r="M32" s="72">
        <f>IF(M$59="X","",IF(M$59&lt;&gt;"",M$59,IF(IFERROR(INDEX(醫師週班表!$C$5:$T$44,$CU32,M$57),"")=0,"",IF(MID(IFERROR(INDEX(醫師週班表!$C$5:$T$44,$CU32,M$57),""),2,1)="/",MID(IFERROR(INDEX(醫師週班表!$C$5:$T$44,$CU32,M$57),""),1+M$58*2,1),IF(MID(IFERROR(INDEX(醫師週班表!$C$5:$T$44,$CU32,M$57),""),3,1)="隔",IF(M$58=0,LEFT(IFERROR(INDEX(醫師週班表!$C$5:$T$44,$CU32,M$57),""),1),""),IF(MID(IFERROR(INDEX(醫師週班表!$C$5:$T$44,$CU32,M$57),""),2,1)="(",LEFT(IFERROR(INDEX(醫師週班表!$C$5:$T$44,$CU32,M$57),""),1),IFERROR(INDEX(醫師週班表!$C$5:$T$44,$CU32,M$57),"")))))))</f>
        <v/>
      </c>
      <c r="N32" s="71">
        <f>IF(N$59="X","",IF(N$59&lt;&gt;"",N$59,IF(IFERROR(INDEX(醫師週班表!$C$5:$T$44,$CU32,N$57),"")=0,"",IF(MID(IFERROR(INDEX(醫師週班表!$C$5:$T$44,$CU32,N$57),""),2,1)="/",MID(IFERROR(INDEX(醫師週班表!$C$5:$T$44,$CU32,N$57),""),1+N$58*2,1),IF(MID(IFERROR(INDEX(醫師週班表!$C$5:$T$44,$CU32,N$57),""),3,1)="隔",IF(N$58=0,LEFT(IFERROR(INDEX(醫師週班表!$C$5:$T$44,$CU32,N$57),""),1),""),IF(MID(IFERROR(INDEX(醫師週班表!$C$5:$T$44,$CU32,N$57),""),2,1)="(",LEFT(IFERROR(INDEX(醫師週班表!$C$5:$T$44,$CU32,N$57),""),1),IFERROR(INDEX(醫師週班表!$C$5:$T$44,$CU32,N$57),"")))))))</f>
        <v/>
      </c>
      <c r="O32" s="72">
        <f>IF(O$59="X","",IF(O$59&lt;&gt;"",O$59,IF(IFERROR(INDEX(醫師週班表!$C$5:$T$44,$CU32,O$57),"")=0,"",IF(MID(IFERROR(INDEX(醫師週班表!$C$5:$T$44,$CU32,O$57),""),2,1)="/",MID(IFERROR(INDEX(醫師週班表!$C$5:$T$44,$CU32,O$57),""),1+O$58*2,1),IF(MID(IFERROR(INDEX(醫師週班表!$C$5:$T$44,$CU32,O$57),""),3,1)="隔",IF(O$58=0,LEFT(IFERROR(INDEX(醫師週班表!$C$5:$T$44,$CU32,O$57),""),1),""),IF(MID(IFERROR(INDEX(醫師週班表!$C$5:$T$44,$CU32,O$57),""),2,1)="(",LEFT(IFERROR(INDEX(醫師週班表!$C$5:$T$44,$CU32,O$57),""),1),IFERROR(INDEX(醫師週班表!$C$5:$T$44,$CU32,O$57),"")))))))</f>
        <v/>
      </c>
      <c r="P32" s="72">
        <f>IF(P$59="X","",IF(P$59&lt;&gt;"",P$59,IF(IFERROR(INDEX(醫師週班表!$C$5:$T$44,$CU32,P$57),"")=0,"",IF(MID(IFERROR(INDEX(醫師週班表!$C$5:$T$44,$CU32,P$57),""),2,1)="/",MID(IFERROR(INDEX(醫師週班表!$C$5:$T$44,$CU32,P$57),""),1+P$58*2,1),IF(MID(IFERROR(INDEX(醫師週班表!$C$5:$T$44,$CU32,P$57),""),3,1)="隔",IF(P$58=0,LEFT(IFERROR(INDEX(醫師週班表!$C$5:$T$44,$CU32,P$57),""),1),""),IF(MID(IFERROR(INDEX(醫師週班表!$C$5:$T$44,$CU32,P$57),""),2,1)="(",LEFT(IFERROR(INDEX(醫師週班表!$C$5:$T$44,$CU32,P$57),""),1),IFERROR(INDEX(醫師週班表!$C$5:$T$44,$CU32,P$57),"")))))))</f>
        <v/>
      </c>
      <c r="Q32" s="71">
        <f>IF(Q$59="X","",IF(Q$59&lt;&gt;"",Q$59,IF(IFERROR(INDEX(醫師週班表!$C$5:$T$44,$CU32,Q$57),"")=0,"",IF(MID(IFERROR(INDEX(醫師週班表!$C$5:$T$44,$CU32,Q$57),""),2,1)="/",MID(IFERROR(INDEX(醫師週班表!$C$5:$T$44,$CU32,Q$57),""),1+Q$58*2,1),IF(MID(IFERROR(INDEX(醫師週班表!$C$5:$T$44,$CU32,Q$57),""),3,1)="隔",IF(Q$58=0,LEFT(IFERROR(INDEX(醫師週班表!$C$5:$T$44,$CU32,Q$57),""),1),""),IF(MID(IFERROR(INDEX(醫師週班表!$C$5:$T$44,$CU32,Q$57),""),2,1)="(",LEFT(IFERROR(INDEX(醫師週班表!$C$5:$T$44,$CU32,Q$57),""),1),IFERROR(INDEX(醫師週班表!$C$5:$T$44,$CU32,Q$57),"")))))))</f>
        <v/>
      </c>
      <c r="R32" s="72">
        <f>IF(R$59="X","",IF(R$59&lt;&gt;"",R$59,IF(IFERROR(INDEX(醫師週班表!$C$5:$T$44,$CU32,R$57),"")=0,"",IF(MID(IFERROR(INDEX(醫師週班表!$C$5:$T$44,$CU32,R$57),""),2,1)="/",MID(IFERROR(INDEX(醫師週班表!$C$5:$T$44,$CU32,R$57),""),1+R$58*2,1),IF(MID(IFERROR(INDEX(醫師週班表!$C$5:$T$44,$CU32,R$57),""),3,1)="隔",IF(R$58=0,LEFT(IFERROR(INDEX(醫師週班表!$C$5:$T$44,$CU32,R$57),""),1),""),IF(MID(IFERROR(INDEX(醫師週班表!$C$5:$T$44,$CU32,R$57),""),2,1)="(",LEFT(IFERROR(INDEX(醫師週班表!$C$5:$T$44,$CU32,R$57),""),1),IFERROR(INDEX(醫師週班表!$C$5:$T$44,$CU32,R$57),"")))))))</f>
        <v/>
      </c>
      <c r="S32" s="72">
        <f>IF(S$59="X","",IF(S$59&lt;&gt;"",S$59,IF(IFERROR(INDEX(醫師週班表!$C$5:$T$44,$CU32,S$57),"")=0,"",IF(MID(IFERROR(INDEX(醫師週班表!$C$5:$T$44,$CU32,S$57),""),2,1)="/",MID(IFERROR(INDEX(醫師週班表!$C$5:$T$44,$CU32,S$57),""),1+S$58*2,1),IF(MID(IFERROR(INDEX(醫師週班表!$C$5:$T$44,$CU32,S$57),""),3,1)="隔",IF(S$58=0,LEFT(IFERROR(INDEX(醫師週班表!$C$5:$T$44,$CU32,S$57),""),1),""),IF(MID(IFERROR(INDEX(醫師週班表!$C$5:$T$44,$CU32,S$57),""),2,1)="(",LEFT(IFERROR(INDEX(醫師週班表!$C$5:$T$44,$CU32,S$57),""),1),IFERROR(INDEX(醫師週班表!$C$5:$T$44,$CU32,S$57),"")))))))</f>
        <v/>
      </c>
      <c r="T32" s="71">
        <f>IF(T$59="X","",IF(T$59&lt;&gt;"",T$59,IF(IFERROR(INDEX(醫師週班表!$C$5:$T$44,$CU32,T$57),"")=0,"",IF(MID(IFERROR(INDEX(醫師週班表!$C$5:$T$44,$CU32,T$57),""),2,1)="/",MID(IFERROR(INDEX(醫師週班表!$C$5:$T$44,$CU32,T$57),""),1+T$58*2,1),IF(MID(IFERROR(INDEX(醫師週班表!$C$5:$T$44,$CU32,T$57),""),3,1)="隔",IF(T$58=0,LEFT(IFERROR(INDEX(醫師週班表!$C$5:$T$44,$CU32,T$57),""),1),""),IF(MID(IFERROR(INDEX(醫師週班表!$C$5:$T$44,$CU32,T$57),""),2,1)="(",LEFT(IFERROR(INDEX(醫師週班表!$C$5:$T$44,$CU32,T$57),""),1),IFERROR(INDEX(醫師週班表!$C$5:$T$44,$CU32,T$57),"")))))))</f>
        <v/>
      </c>
      <c r="U32" s="72">
        <f>IF(U$59="X","",IF(U$59&lt;&gt;"",U$59,IF(IFERROR(INDEX(醫師週班表!$C$5:$T$44,$CU32,U$57),"")=0,"",IF(MID(IFERROR(INDEX(醫師週班表!$C$5:$T$44,$CU32,U$57),""),2,1)="/",MID(IFERROR(INDEX(醫師週班表!$C$5:$T$44,$CU32,U$57),""),1+U$58*2,1),IF(MID(IFERROR(INDEX(醫師週班表!$C$5:$T$44,$CU32,U$57),""),3,1)="隔",IF(U$58=0,LEFT(IFERROR(INDEX(醫師週班表!$C$5:$T$44,$CU32,U$57),""),1),""),IF(MID(IFERROR(INDEX(醫師週班表!$C$5:$T$44,$CU32,U$57),""),2,1)="(",LEFT(IFERROR(INDEX(醫師週班表!$C$5:$T$44,$CU32,U$57),""),1),IFERROR(INDEX(醫師週班表!$C$5:$T$44,$CU32,U$57),"")))))))</f>
        <v/>
      </c>
      <c r="V32" s="72">
        <f>IF(V$59="X","",IF(V$59&lt;&gt;"",V$59,IF(IFERROR(INDEX(醫師週班表!$C$5:$T$44,$CU32,V$57),"")=0,"",IF(MID(IFERROR(INDEX(醫師週班表!$C$5:$T$44,$CU32,V$57),""),2,1)="/",MID(IFERROR(INDEX(醫師週班表!$C$5:$T$44,$CU32,V$57),""),1+V$58*2,1),IF(MID(IFERROR(INDEX(醫師週班表!$C$5:$T$44,$CU32,V$57),""),3,1)="隔",IF(V$58=0,LEFT(IFERROR(INDEX(醫師週班表!$C$5:$T$44,$CU32,V$57),""),1),""),IF(MID(IFERROR(INDEX(醫師週班表!$C$5:$T$44,$CU32,V$57),""),2,1)="(",LEFT(IFERROR(INDEX(醫師週班表!$C$5:$T$44,$CU32,V$57),""),1),IFERROR(INDEX(醫師週班表!$C$5:$T$44,$CU32,V$57),"")))))))</f>
        <v/>
      </c>
      <c r="W32" s="71">
        <f>IF(W$59="X","",IF(W$59&lt;&gt;"",W$59,IF(IFERROR(INDEX(醫師週班表!$C$5:$T$44,$CU32,W$57),"")=0,"",IF(MID(IFERROR(INDEX(醫師週班表!$C$5:$T$44,$CU32,W$57),""),2,1)="/",MID(IFERROR(INDEX(醫師週班表!$C$5:$T$44,$CU32,W$57),""),1+W$58*2,1),IF(MID(IFERROR(INDEX(醫師週班表!$C$5:$T$44,$CU32,W$57),""),3,1)="隔",IF(W$58=0,LEFT(IFERROR(INDEX(醫師週班表!$C$5:$T$44,$CU32,W$57),""),1),""),IF(MID(IFERROR(INDEX(醫師週班表!$C$5:$T$44,$CU32,W$57),""),2,1)="(",LEFT(IFERROR(INDEX(醫師週班表!$C$5:$T$44,$CU32,W$57),""),1),IFERROR(INDEX(醫師週班表!$C$5:$T$44,$CU32,W$57),"")))))))</f>
        <v/>
      </c>
      <c r="X32" s="72">
        <f>IF(X$59="X","",IF(X$59&lt;&gt;"",X$59,IF(IFERROR(INDEX(醫師週班表!$C$5:$T$44,$CU32,X$57),"")=0,"",IF(MID(IFERROR(INDEX(醫師週班表!$C$5:$T$44,$CU32,X$57),""),2,1)="/",MID(IFERROR(INDEX(醫師週班表!$C$5:$T$44,$CU32,X$57),""),1+X$58*2,1),IF(MID(IFERROR(INDEX(醫師週班表!$C$5:$T$44,$CU32,X$57),""),3,1)="隔",IF(X$58=0,LEFT(IFERROR(INDEX(醫師週班表!$C$5:$T$44,$CU32,X$57),""),1),""),IF(MID(IFERROR(INDEX(醫師週班表!$C$5:$T$44,$CU32,X$57),""),2,1)="(",LEFT(IFERROR(INDEX(醫師週班表!$C$5:$T$44,$CU32,X$57),""),1),IFERROR(INDEX(醫師週班表!$C$5:$T$44,$CU32,X$57),"")))))))</f>
        <v/>
      </c>
      <c r="Y32" s="72">
        <f>IF(Y$59="X","",IF(Y$59&lt;&gt;"",Y$59,IF(IFERROR(INDEX(醫師週班表!$C$5:$T$44,$CU32,Y$57),"")=0,"",IF(MID(IFERROR(INDEX(醫師週班表!$C$5:$T$44,$CU32,Y$57),""),2,1)="/",MID(IFERROR(INDEX(醫師週班表!$C$5:$T$44,$CU32,Y$57),""),1+Y$58*2,1),IF(MID(IFERROR(INDEX(醫師週班表!$C$5:$T$44,$CU32,Y$57),""),3,1)="隔",IF(Y$58=0,LEFT(IFERROR(INDEX(醫師週班表!$C$5:$T$44,$CU32,Y$57),""),1),""),IF(MID(IFERROR(INDEX(醫師週班表!$C$5:$T$44,$CU32,Y$57),""),2,1)="(",LEFT(IFERROR(INDEX(醫師週班表!$C$5:$T$44,$CU32,Y$57),""),1),IFERROR(INDEX(醫師週班表!$C$5:$T$44,$CU32,Y$57),"")))))))</f>
        <v/>
      </c>
      <c r="Z32" s="71">
        <f>IF(Z$59="X","",IF(Z$59&lt;&gt;"",Z$59,IF(IFERROR(INDEX(醫師週班表!$C$5:$T$44,$CU32,Z$57),"")=0,"",IF(MID(IFERROR(INDEX(醫師週班表!$C$5:$T$44,$CU32,Z$57),""),2,1)="/",MID(IFERROR(INDEX(醫師週班表!$C$5:$T$44,$CU32,Z$57),""),1+Z$58*2,1),IF(MID(IFERROR(INDEX(醫師週班表!$C$5:$T$44,$CU32,Z$57),""),3,1)="隔",IF(Z$58=0,LEFT(IFERROR(INDEX(醫師週班表!$C$5:$T$44,$CU32,Z$57),""),1),""),IF(MID(IFERROR(INDEX(醫師週班表!$C$5:$T$44,$CU32,Z$57),""),2,1)="(",LEFT(IFERROR(INDEX(醫師週班表!$C$5:$T$44,$CU32,Z$57),""),1),IFERROR(INDEX(醫師週班表!$C$5:$T$44,$CU32,Z$57),"")))))))</f>
        <v/>
      </c>
      <c r="AA32" s="72">
        <f>IF(AA$59="X","",IF(AA$59&lt;&gt;"",AA$59,IF(IFERROR(INDEX(醫師週班表!$C$5:$T$44,$CU32,AA$57),"")=0,"",IF(MID(IFERROR(INDEX(醫師週班表!$C$5:$T$44,$CU32,AA$57),""),2,1)="/",MID(IFERROR(INDEX(醫師週班表!$C$5:$T$44,$CU32,AA$57),""),1+AA$58*2,1),IF(MID(IFERROR(INDEX(醫師週班表!$C$5:$T$44,$CU32,AA$57),""),3,1)="隔",IF(AA$58=0,LEFT(IFERROR(INDEX(醫師週班表!$C$5:$T$44,$CU32,AA$57),""),1),""),IF(MID(IFERROR(INDEX(醫師週班表!$C$5:$T$44,$CU32,AA$57),""),2,1)="(",LEFT(IFERROR(INDEX(醫師週班表!$C$5:$T$44,$CU32,AA$57),""),1),IFERROR(INDEX(醫師週班表!$C$5:$T$44,$CU32,AA$57),"")))))))</f>
        <v/>
      </c>
      <c r="AB32" s="72">
        <f>IF(AB$59="X","",IF(AB$59&lt;&gt;"",AB$59,IF(IFERROR(INDEX(醫師週班表!$C$5:$T$44,$CU32,AB$57),"")=0,"",IF(MID(IFERROR(INDEX(醫師週班表!$C$5:$T$44,$CU32,AB$57),""),2,1)="/",MID(IFERROR(INDEX(醫師週班表!$C$5:$T$44,$CU32,AB$57),""),1+AB$58*2,1),IF(MID(IFERROR(INDEX(醫師週班表!$C$5:$T$44,$CU32,AB$57),""),3,1)="隔",IF(AB$58=0,LEFT(IFERROR(INDEX(醫師週班表!$C$5:$T$44,$CU32,AB$57),""),1),""),IF(MID(IFERROR(INDEX(醫師週班表!$C$5:$T$44,$CU32,AB$57),""),2,1)="(",LEFT(IFERROR(INDEX(醫師週班表!$C$5:$T$44,$CU32,AB$57),""),1),IFERROR(INDEX(醫師週班表!$C$5:$T$44,$CU32,AB$57),"")))))))</f>
        <v/>
      </c>
      <c r="AC32" s="71">
        <f>IF(AC$59="X","",IF(AC$59&lt;&gt;"",AC$59,IF(IFERROR(INDEX(醫師週班表!$C$5:$T$44,$CU32,AC$57),"")=0,"",IF(MID(IFERROR(INDEX(醫師週班表!$C$5:$T$44,$CU32,AC$57),""),2,1)="/",MID(IFERROR(INDEX(醫師週班表!$C$5:$T$44,$CU32,AC$57),""),1+AC$58*2,1),IF(MID(IFERROR(INDEX(醫師週班表!$C$5:$T$44,$CU32,AC$57),""),3,1)="隔",IF(AC$58=0,LEFT(IFERROR(INDEX(醫師週班表!$C$5:$T$44,$CU32,AC$57),""),1),""),IF(MID(IFERROR(INDEX(醫師週班表!$C$5:$T$44,$CU32,AC$57),""),2,1)="(",LEFT(IFERROR(INDEX(醫師週班表!$C$5:$T$44,$CU32,AC$57),""),1),IFERROR(INDEX(醫師週班表!$C$5:$T$44,$CU32,AC$57),"")))))))</f>
        <v/>
      </c>
      <c r="AD32" s="72">
        <f>IF(AD$59="X","",IF(AD$59&lt;&gt;"",AD$59,IF(IFERROR(INDEX(醫師週班表!$C$5:$T$44,$CU32,AD$57),"")=0,"",IF(MID(IFERROR(INDEX(醫師週班表!$C$5:$T$44,$CU32,AD$57),""),2,1)="/",MID(IFERROR(INDEX(醫師週班表!$C$5:$T$44,$CU32,AD$57),""),1+AD$58*2,1),IF(MID(IFERROR(INDEX(醫師週班表!$C$5:$T$44,$CU32,AD$57),""),3,1)="隔",IF(AD$58=0,LEFT(IFERROR(INDEX(醫師週班表!$C$5:$T$44,$CU32,AD$57),""),1),""),IF(MID(IFERROR(INDEX(醫師週班表!$C$5:$T$44,$CU32,AD$57),""),2,1)="(",LEFT(IFERROR(INDEX(醫師週班表!$C$5:$T$44,$CU32,AD$57),""),1),IFERROR(INDEX(醫師週班表!$C$5:$T$44,$CU32,AD$57),"")))))))</f>
        <v/>
      </c>
      <c r="AE32" s="72">
        <f>IF(AE$59="X","",IF(AE$59&lt;&gt;"",AE$59,IF(IFERROR(INDEX(醫師週班表!$C$5:$T$44,$CU32,AE$57),"")=0,"",IF(MID(IFERROR(INDEX(醫師週班表!$C$5:$T$44,$CU32,AE$57),""),2,1)="/",MID(IFERROR(INDEX(醫師週班表!$C$5:$T$44,$CU32,AE$57),""),1+AE$58*2,1),IF(MID(IFERROR(INDEX(醫師週班表!$C$5:$T$44,$CU32,AE$57),""),3,1)="隔",IF(AE$58=0,LEFT(IFERROR(INDEX(醫師週班表!$C$5:$T$44,$CU32,AE$57),""),1),""),IF(MID(IFERROR(INDEX(醫師週班表!$C$5:$T$44,$CU32,AE$57),""),2,1)="(",LEFT(IFERROR(INDEX(醫師週班表!$C$5:$T$44,$CU32,AE$57),""),1),IFERROR(INDEX(醫師週班表!$C$5:$T$44,$CU32,AE$57),"")))))))</f>
        <v/>
      </c>
      <c r="AF32" s="71">
        <f>IF(AF$59="X","",IF(AF$59&lt;&gt;"",AF$59,IF(IFERROR(INDEX(醫師週班表!$C$5:$T$44,$CU32,AF$57),"")=0,"",IF(MID(IFERROR(INDEX(醫師週班表!$C$5:$T$44,$CU32,AF$57),""),2,1)="/",MID(IFERROR(INDEX(醫師週班表!$C$5:$T$44,$CU32,AF$57),""),1+AF$58*2,1),IF(MID(IFERROR(INDEX(醫師週班表!$C$5:$T$44,$CU32,AF$57),""),3,1)="隔",IF(AF$58=0,LEFT(IFERROR(INDEX(醫師週班表!$C$5:$T$44,$CU32,AF$57),""),1),""),IF(MID(IFERROR(INDEX(醫師週班表!$C$5:$T$44,$CU32,AF$57),""),2,1)="(",LEFT(IFERROR(INDEX(醫師週班表!$C$5:$T$44,$CU32,AF$57),""),1),IFERROR(INDEX(醫師週班表!$C$5:$T$44,$CU32,AF$57),"")))))))</f>
        <v/>
      </c>
      <c r="AG32" s="72">
        <f>IF(AG$59="X","",IF(AG$59&lt;&gt;"",AG$59,IF(IFERROR(INDEX(醫師週班表!$C$5:$T$44,$CU32,AG$57),"")=0,"",IF(MID(IFERROR(INDEX(醫師週班表!$C$5:$T$44,$CU32,AG$57),""),2,1)="/",MID(IFERROR(INDEX(醫師週班表!$C$5:$T$44,$CU32,AG$57),""),1+AG$58*2,1),IF(MID(IFERROR(INDEX(醫師週班表!$C$5:$T$44,$CU32,AG$57),""),3,1)="隔",IF(AG$58=0,LEFT(IFERROR(INDEX(醫師週班表!$C$5:$T$44,$CU32,AG$57),""),1),""),IF(MID(IFERROR(INDEX(醫師週班表!$C$5:$T$44,$CU32,AG$57),""),2,1)="(",LEFT(IFERROR(INDEX(醫師週班表!$C$5:$T$44,$CU32,AG$57),""),1),IFERROR(INDEX(醫師週班表!$C$5:$T$44,$CU32,AG$57),"")))))))</f>
        <v/>
      </c>
      <c r="AH32" s="72">
        <f>IF(AH$59="X","",IF(AH$59&lt;&gt;"",AH$59,IF(IFERROR(INDEX(醫師週班表!$C$5:$T$44,$CU32,AH$57),"")=0,"",IF(MID(IFERROR(INDEX(醫師週班表!$C$5:$T$44,$CU32,AH$57),""),2,1)="/",MID(IFERROR(INDEX(醫師週班表!$C$5:$T$44,$CU32,AH$57),""),1+AH$58*2,1),IF(MID(IFERROR(INDEX(醫師週班表!$C$5:$T$44,$CU32,AH$57),""),3,1)="隔",IF(AH$58=0,LEFT(IFERROR(INDEX(醫師週班表!$C$5:$T$44,$CU32,AH$57),""),1),""),IF(MID(IFERROR(INDEX(醫師週班表!$C$5:$T$44,$CU32,AH$57),""),2,1)="(",LEFT(IFERROR(INDEX(醫師週班表!$C$5:$T$44,$CU32,AH$57),""),1),IFERROR(INDEX(醫師週班表!$C$5:$T$44,$CU32,AH$57),"")))))))</f>
        <v/>
      </c>
      <c r="AI32" s="71">
        <f>IF(AI$59="X","",IF(AI$59&lt;&gt;"",AI$59,IF(IFERROR(INDEX(醫師週班表!$C$5:$T$44,$CU32,AI$57),"")=0,"",IF(MID(IFERROR(INDEX(醫師週班表!$C$5:$T$44,$CU32,AI$57),""),2,1)="/",MID(IFERROR(INDEX(醫師週班表!$C$5:$T$44,$CU32,AI$57),""),1+AI$58*2,1),IF(MID(IFERROR(INDEX(醫師週班表!$C$5:$T$44,$CU32,AI$57),""),3,1)="隔",IF(AI$58=0,LEFT(IFERROR(INDEX(醫師週班表!$C$5:$T$44,$CU32,AI$57),""),1),""),IF(MID(IFERROR(INDEX(醫師週班表!$C$5:$T$44,$CU32,AI$57),""),2,1)="(",LEFT(IFERROR(INDEX(醫師週班表!$C$5:$T$44,$CU32,AI$57),""),1),IFERROR(INDEX(醫師週班表!$C$5:$T$44,$CU32,AI$57),"")))))))</f>
        <v/>
      </c>
      <c r="AJ32" s="72">
        <f>IF(AJ$59="X","",IF(AJ$59&lt;&gt;"",AJ$59,IF(IFERROR(INDEX(醫師週班表!$C$5:$T$44,$CU32,AJ$57),"")=0,"",IF(MID(IFERROR(INDEX(醫師週班表!$C$5:$T$44,$CU32,AJ$57),""),2,1)="/",MID(IFERROR(INDEX(醫師週班表!$C$5:$T$44,$CU32,AJ$57),""),1+AJ$58*2,1),IF(MID(IFERROR(INDEX(醫師週班表!$C$5:$T$44,$CU32,AJ$57),""),3,1)="隔",IF(AJ$58=0,LEFT(IFERROR(INDEX(醫師週班表!$C$5:$T$44,$CU32,AJ$57),""),1),""),IF(MID(IFERROR(INDEX(醫師週班表!$C$5:$T$44,$CU32,AJ$57),""),2,1)="(",LEFT(IFERROR(INDEX(醫師週班表!$C$5:$T$44,$CU32,AJ$57),""),1),IFERROR(INDEX(醫師週班表!$C$5:$T$44,$CU32,AJ$57),"")))))))</f>
        <v/>
      </c>
      <c r="AK32" s="72">
        <f>IF(AK$59="X","",IF(AK$59&lt;&gt;"",AK$59,IF(IFERROR(INDEX(醫師週班表!$C$5:$T$44,$CU32,AK$57),"")=0,"",IF(MID(IFERROR(INDEX(醫師週班表!$C$5:$T$44,$CU32,AK$57),""),2,1)="/",MID(IFERROR(INDEX(醫師週班表!$C$5:$T$44,$CU32,AK$57),""),1+AK$58*2,1),IF(MID(IFERROR(INDEX(醫師週班表!$C$5:$T$44,$CU32,AK$57),""),3,1)="隔",IF(AK$58=0,LEFT(IFERROR(INDEX(醫師週班表!$C$5:$T$44,$CU32,AK$57),""),1),""),IF(MID(IFERROR(INDEX(醫師週班表!$C$5:$T$44,$CU32,AK$57),""),2,1)="(",LEFT(IFERROR(INDEX(醫師週班表!$C$5:$T$44,$CU32,AK$57),""),1),IFERROR(INDEX(醫師週班表!$C$5:$T$44,$CU32,AK$57),"")))))))</f>
        <v/>
      </c>
      <c r="AL32" s="71">
        <f>IF(AL$59="X","",IF(AL$59&lt;&gt;"",AL$59,IF(IFERROR(INDEX(醫師週班表!$C$5:$T$44,$CU32,AL$57),"")=0,"",IF(MID(IFERROR(INDEX(醫師週班表!$C$5:$T$44,$CU32,AL$57),""),2,1)="/",MID(IFERROR(INDEX(醫師週班表!$C$5:$T$44,$CU32,AL$57),""),1+AL$58*2,1),IF(MID(IFERROR(INDEX(醫師週班表!$C$5:$T$44,$CU32,AL$57),""),3,1)="隔",IF(AL$58=0,LEFT(IFERROR(INDEX(醫師週班表!$C$5:$T$44,$CU32,AL$57),""),1),""),IF(MID(IFERROR(INDEX(醫師週班表!$C$5:$T$44,$CU32,AL$57),""),2,1)="(",LEFT(IFERROR(INDEX(醫師週班表!$C$5:$T$44,$CU32,AL$57),""),1),IFERROR(INDEX(醫師週班表!$C$5:$T$44,$CU32,AL$57),"")))))))</f>
        <v/>
      </c>
      <c r="AM32" s="72">
        <f>IF(AM$59="X","",IF(AM$59&lt;&gt;"",AM$59,IF(IFERROR(INDEX(醫師週班表!$C$5:$T$44,$CU32,AM$57),"")=0,"",IF(MID(IFERROR(INDEX(醫師週班表!$C$5:$T$44,$CU32,AM$57),""),2,1)="/",MID(IFERROR(INDEX(醫師週班表!$C$5:$T$44,$CU32,AM$57),""),1+AM$58*2,1),IF(MID(IFERROR(INDEX(醫師週班表!$C$5:$T$44,$CU32,AM$57),""),3,1)="隔",IF(AM$58=0,LEFT(IFERROR(INDEX(醫師週班表!$C$5:$T$44,$CU32,AM$57),""),1),""),IF(MID(IFERROR(INDEX(醫師週班表!$C$5:$T$44,$CU32,AM$57),""),2,1)="(",LEFT(IFERROR(INDEX(醫師週班表!$C$5:$T$44,$CU32,AM$57),""),1),IFERROR(INDEX(醫師週班表!$C$5:$T$44,$CU32,AM$57),"")))))))</f>
        <v/>
      </c>
      <c r="AN32" s="72">
        <f>IF(AN$59="X","",IF(AN$59&lt;&gt;"",AN$59,IF(IFERROR(INDEX(醫師週班表!$C$5:$T$44,$CU32,AN$57),"")=0,"",IF(MID(IFERROR(INDEX(醫師週班表!$C$5:$T$44,$CU32,AN$57),""),2,1)="/",MID(IFERROR(INDEX(醫師週班表!$C$5:$T$44,$CU32,AN$57),""),1+AN$58*2,1),IF(MID(IFERROR(INDEX(醫師週班表!$C$5:$T$44,$CU32,AN$57),""),3,1)="隔",IF(AN$58=0,LEFT(IFERROR(INDEX(醫師週班表!$C$5:$T$44,$CU32,AN$57),""),1),""),IF(MID(IFERROR(INDEX(醫師週班表!$C$5:$T$44,$CU32,AN$57),""),2,1)="(",LEFT(IFERROR(INDEX(醫師週班表!$C$5:$T$44,$CU32,AN$57),""),1),IFERROR(INDEX(醫師週班表!$C$5:$T$44,$CU32,AN$57),"")))))))</f>
        <v/>
      </c>
      <c r="AO32" s="71">
        <f>IF(AO$59="X","",IF(AO$59&lt;&gt;"",AO$59,IF(IFERROR(INDEX(醫師週班表!$C$5:$T$44,$CU32,AO$57),"")=0,"",IF(MID(IFERROR(INDEX(醫師週班表!$C$5:$T$44,$CU32,AO$57),""),2,1)="/",MID(IFERROR(INDEX(醫師週班表!$C$5:$T$44,$CU32,AO$57),""),1+AO$58*2,1),IF(MID(IFERROR(INDEX(醫師週班表!$C$5:$T$44,$CU32,AO$57),""),3,1)="隔",IF(AO$58=0,LEFT(IFERROR(INDEX(醫師週班表!$C$5:$T$44,$CU32,AO$57),""),1),""),IF(MID(IFERROR(INDEX(醫師週班表!$C$5:$T$44,$CU32,AO$57),""),2,1)="(",LEFT(IFERROR(INDEX(醫師週班表!$C$5:$T$44,$CU32,AO$57),""),1),IFERROR(INDEX(醫師週班表!$C$5:$T$44,$CU32,AO$57),"")))))))</f>
        <v/>
      </c>
      <c r="AP32" s="72">
        <f>IF(AP$59="X","",IF(AP$59&lt;&gt;"",AP$59,IF(IFERROR(INDEX(醫師週班表!$C$5:$T$44,$CU32,AP$57),"")=0,"",IF(MID(IFERROR(INDEX(醫師週班表!$C$5:$T$44,$CU32,AP$57),""),2,1)="/",MID(IFERROR(INDEX(醫師週班表!$C$5:$T$44,$CU32,AP$57),""),1+AP$58*2,1),IF(MID(IFERROR(INDEX(醫師週班表!$C$5:$T$44,$CU32,AP$57),""),3,1)="隔",IF(AP$58=0,LEFT(IFERROR(INDEX(醫師週班表!$C$5:$T$44,$CU32,AP$57),""),1),""),IF(MID(IFERROR(INDEX(醫師週班表!$C$5:$T$44,$CU32,AP$57),""),2,1)="(",LEFT(IFERROR(INDEX(醫師週班表!$C$5:$T$44,$CU32,AP$57),""),1),IFERROR(INDEX(醫師週班表!$C$5:$T$44,$CU32,AP$57),"")))))))</f>
        <v/>
      </c>
      <c r="AQ32" s="72">
        <f>IF(AQ$59="X","",IF(AQ$59&lt;&gt;"",AQ$59,IF(IFERROR(INDEX(醫師週班表!$C$5:$T$44,$CU32,AQ$57),"")=0,"",IF(MID(IFERROR(INDEX(醫師週班表!$C$5:$T$44,$CU32,AQ$57),""),2,1)="/",MID(IFERROR(INDEX(醫師週班表!$C$5:$T$44,$CU32,AQ$57),""),1+AQ$58*2,1),IF(MID(IFERROR(INDEX(醫師週班表!$C$5:$T$44,$CU32,AQ$57),""),3,1)="隔",IF(AQ$58=0,LEFT(IFERROR(INDEX(醫師週班表!$C$5:$T$44,$CU32,AQ$57),""),1),""),IF(MID(IFERROR(INDEX(醫師週班表!$C$5:$T$44,$CU32,AQ$57),""),2,1)="(",LEFT(IFERROR(INDEX(醫師週班表!$C$5:$T$44,$CU32,AQ$57),""),1),IFERROR(INDEX(醫師週班表!$C$5:$T$44,$CU32,AQ$57),"")))))))</f>
        <v/>
      </c>
      <c r="AR32" s="71">
        <f>IF(AR$59="X","",IF(AR$59&lt;&gt;"",AR$59,IF(IFERROR(INDEX(醫師週班表!$C$5:$T$44,$CU32,AR$57),"")=0,"",IF(MID(IFERROR(INDEX(醫師週班表!$C$5:$T$44,$CU32,AR$57),""),2,1)="/",MID(IFERROR(INDEX(醫師週班表!$C$5:$T$44,$CU32,AR$57),""),1+AR$58*2,1),IF(MID(IFERROR(INDEX(醫師週班表!$C$5:$T$44,$CU32,AR$57),""),3,1)="隔",IF(AR$58=0,LEFT(IFERROR(INDEX(醫師週班表!$C$5:$T$44,$CU32,AR$57),""),1),""),IF(MID(IFERROR(INDEX(醫師週班表!$C$5:$T$44,$CU32,AR$57),""),2,1)="(",LEFT(IFERROR(INDEX(醫師週班表!$C$5:$T$44,$CU32,AR$57),""),1),IFERROR(INDEX(醫師週班表!$C$5:$T$44,$CU32,AR$57),"")))))))</f>
        <v/>
      </c>
      <c r="AS32" s="72">
        <f>IF(AS$59="X","",IF(AS$59&lt;&gt;"",AS$59,IF(IFERROR(INDEX(醫師週班表!$C$5:$T$44,$CU32,AS$57),"")=0,"",IF(MID(IFERROR(INDEX(醫師週班表!$C$5:$T$44,$CU32,AS$57),""),2,1)="/",MID(IFERROR(INDEX(醫師週班表!$C$5:$T$44,$CU32,AS$57),""),1+AS$58*2,1),IF(MID(IFERROR(INDEX(醫師週班表!$C$5:$T$44,$CU32,AS$57),""),3,1)="隔",IF(AS$58=0,LEFT(IFERROR(INDEX(醫師週班表!$C$5:$T$44,$CU32,AS$57),""),1),""),IF(MID(IFERROR(INDEX(醫師週班表!$C$5:$T$44,$CU32,AS$57),""),2,1)="(",LEFT(IFERROR(INDEX(醫師週班表!$C$5:$T$44,$CU32,AS$57),""),1),IFERROR(INDEX(醫師週班表!$C$5:$T$44,$CU32,AS$57),"")))))))</f>
        <v/>
      </c>
      <c r="AT32" s="72">
        <f>IF(AT$59="X","",IF(AT$59&lt;&gt;"",AT$59,IF(IFERROR(INDEX(醫師週班表!$C$5:$T$44,$CU32,AT$57),"")=0,"",IF(MID(IFERROR(INDEX(醫師週班表!$C$5:$T$44,$CU32,AT$57),""),2,1)="/",MID(IFERROR(INDEX(醫師週班表!$C$5:$T$44,$CU32,AT$57),""),1+AT$58*2,1),IF(MID(IFERROR(INDEX(醫師週班表!$C$5:$T$44,$CU32,AT$57),""),3,1)="隔",IF(AT$58=0,LEFT(IFERROR(INDEX(醫師週班表!$C$5:$T$44,$CU32,AT$57),""),1),""),IF(MID(IFERROR(INDEX(醫師週班表!$C$5:$T$44,$CU32,AT$57),""),2,1)="(",LEFT(IFERROR(INDEX(醫師週班表!$C$5:$T$44,$CU32,AT$57),""),1),IFERROR(INDEX(醫師週班表!$C$5:$T$44,$CU32,AT$57),"")))))))</f>
        <v/>
      </c>
      <c r="AU32" s="71">
        <f>IF(AU$59="X","",IF(AU$59&lt;&gt;"",AU$59,IF(IFERROR(INDEX(醫師週班表!$C$5:$T$44,$CU32,AU$57),"")=0,"",IF(MID(IFERROR(INDEX(醫師週班表!$C$5:$T$44,$CU32,AU$57),""),2,1)="/",MID(IFERROR(INDEX(醫師週班表!$C$5:$T$44,$CU32,AU$57),""),1+AU$58*2,1),IF(MID(IFERROR(INDEX(醫師週班表!$C$5:$T$44,$CU32,AU$57),""),3,1)="隔",IF(AU$58=0,LEFT(IFERROR(INDEX(醫師週班表!$C$5:$T$44,$CU32,AU$57),""),1),""),IF(MID(IFERROR(INDEX(醫師週班表!$C$5:$T$44,$CU32,AU$57),""),2,1)="(",LEFT(IFERROR(INDEX(醫師週班表!$C$5:$T$44,$CU32,AU$57),""),1),IFERROR(INDEX(醫師週班表!$C$5:$T$44,$CU32,AU$57),"")))))))</f>
        <v/>
      </c>
      <c r="AV32" s="72">
        <f>IF(AV$59="X","",IF(AV$59&lt;&gt;"",AV$59,IF(IFERROR(INDEX(醫師週班表!$C$5:$T$44,$CU32,AV$57),"")=0,"",IF(MID(IFERROR(INDEX(醫師週班表!$C$5:$T$44,$CU32,AV$57),""),2,1)="/",MID(IFERROR(INDEX(醫師週班表!$C$5:$T$44,$CU32,AV$57),""),1+AV$58*2,1),IF(MID(IFERROR(INDEX(醫師週班表!$C$5:$T$44,$CU32,AV$57),""),3,1)="隔",IF(AV$58=0,LEFT(IFERROR(INDEX(醫師週班表!$C$5:$T$44,$CU32,AV$57),""),1),""),IF(MID(IFERROR(INDEX(醫師週班表!$C$5:$T$44,$CU32,AV$57),""),2,1)="(",LEFT(IFERROR(INDEX(醫師週班表!$C$5:$T$44,$CU32,AV$57),""),1),IFERROR(INDEX(醫師週班表!$C$5:$T$44,$CU32,AV$57),"")))))))</f>
        <v/>
      </c>
      <c r="AW32" s="72">
        <f>IF(AW$59="X","",IF(AW$59&lt;&gt;"",AW$59,IF(IFERROR(INDEX(醫師週班表!$C$5:$T$44,$CU32,AW$57),"")=0,"",IF(MID(IFERROR(INDEX(醫師週班表!$C$5:$T$44,$CU32,AW$57),""),2,1)="/",MID(IFERROR(INDEX(醫師週班表!$C$5:$T$44,$CU32,AW$57),""),1+AW$58*2,1),IF(MID(IFERROR(INDEX(醫師週班表!$C$5:$T$44,$CU32,AW$57),""),3,1)="隔",IF(AW$58=0,LEFT(IFERROR(INDEX(醫師週班表!$C$5:$T$44,$CU32,AW$57),""),1),""),IF(MID(IFERROR(INDEX(醫師週班表!$C$5:$T$44,$CU32,AW$57),""),2,1)="(",LEFT(IFERROR(INDEX(醫師週班表!$C$5:$T$44,$CU32,AW$57),""),1),IFERROR(INDEX(醫師週班表!$C$5:$T$44,$CU32,AW$57),"")))))))</f>
        <v/>
      </c>
      <c r="AX32" s="71">
        <f>IF(AX$59="X","",IF(AX$59&lt;&gt;"",AX$59,IF(IFERROR(INDEX(醫師週班表!$C$5:$T$44,$CU32,AX$57),"")=0,"",IF(MID(IFERROR(INDEX(醫師週班表!$C$5:$T$44,$CU32,AX$57),""),2,1)="/",MID(IFERROR(INDEX(醫師週班表!$C$5:$T$44,$CU32,AX$57),""),1+AX$58*2,1),IF(MID(IFERROR(INDEX(醫師週班表!$C$5:$T$44,$CU32,AX$57),""),3,1)="隔",IF(AX$58=0,LEFT(IFERROR(INDEX(醫師週班表!$C$5:$T$44,$CU32,AX$57),""),1),""),IF(MID(IFERROR(INDEX(醫師週班表!$C$5:$T$44,$CU32,AX$57),""),2,1)="(",LEFT(IFERROR(INDEX(醫師週班表!$C$5:$T$44,$CU32,AX$57),""),1),IFERROR(INDEX(醫師週班表!$C$5:$T$44,$CU32,AX$57),"")))))))</f>
        <v/>
      </c>
      <c r="AY32" s="72">
        <f>IF(AY$59="X","",IF(AY$59&lt;&gt;"",AY$59,IF(IFERROR(INDEX(醫師週班表!$C$5:$T$44,$CU32,AY$57),"")=0,"",IF(MID(IFERROR(INDEX(醫師週班表!$C$5:$T$44,$CU32,AY$57),""),2,1)="/",MID(IFERROR(INDEX(醫師週班表!$C$5:$T$44,$CU32,AY$57),""),1+AY$58*2,1),IF(MID(IFERROR(INDEX(醫師週班表!$C$5:$T$44,$CU32,AY$57),""),3,1)="隔",IF(AY$58=0,LEFT(IFERROR(INDEX(醫師週班表!$C$5:$T$44,$CU32,AY$57),""),1),""),IF(MID(IFERROR(INDEX(醫師週班表!$C$5:$T$44,$CU32,AY$57),""),2,1)="(",LEFT(IFERROR(INDEX(醫師週班表!$C$5:$T$44,$CU32,AY$57),""),1),IFERROR(INDEX(醫師週班表!$C$5:$T$44,$CU32,AY$57),"")))))))</f>
        <v/>
      </c>
      <c r="AZ32" s="72">
        <f>IF(AZ$59="X","",IF(AZ$59&lt;&gt;"",AZ$59,IF(IFERROR(INDEX(醫師週班表!$C$5:$T$44,$CU32,AZ$57),"")=0,"",IF(MID(IFERROR(INDEX(醫師週班表!$C$5:$T$44,$CU32,AZ$57),""),2,1)="/",MID(IFERROR(INDEX(醫師週班表!$C$5:$T$44,$CU32,AZ$57),""),1+AZ$58*2,1),IF(MID(IFERROR(INDEX(醫師週班表!$C$5:$T$44,$CU32,AZ$57),""),3,1)="隔",IF(AZ$58=0,LEFT(IFERROR(INDEX(醫師週班表!$C$5:$T$44,$CU32,AZ$57),""),1),""),IF(MID(IFERROR(INDEX(醫師週班表!$C$5:$T$44,$CU32,AZ$57),""),2,1)="(",LEFT(IFERROR(INDEX(醫師週班表!$C$5:$T$44,$CU32,AZ$57),""),1),IFERROR(INDEX(醫師週班表!$C$5:$T$44,$CU32,AZ$57),"")))))))</f>
        <v/>
      </c>
      <c r="BA32" s="71">
        <f>IF(BA$59="X","",IF(BA$59&lt;&gt;"",BA$59,IF(IFERROR(INDEX(醫師週班表!$C$5:$T$44,$CU32,BA$57),"")=0,"",IF(MID(IFERROR(INDEX(醫師週班表!$C$5:$T$44,$CU32,BA$57),""),2,1)="/",MID(IFERROR(INDEX(醫師週班表!$C$5:$T$44,$CU32,BA$57),""),1+BA$58*2,1),IF(MID(IFERROR(INDEX(醫師週班表!$C$5:$T$44,$CU32,BA$57),""),3,1)="隔",IF(BA$58=0,LEFT(IFERROR(INDEX(醫師週班表!$C$5:$T$44,$CU32,BA$57),""),1),""),IF(MID(IFERROR(INDEX(醫師週班表!$C$5:$T$44,$CU32,BA$57),""),2,1)="(",LEFT(IFERROR(INDEX(醫師週班表!$C$5:$T$44,$CU32,BA$57),""),1),IFERROR(INDEX(醫師週班表!$C$5:$T$44,$CU32,BA$57),"")))))))</f>
        <v/>
      </c>
      <c r="BB32" s="72">
        <f>IF(BB$59="X","",IF(BB$59&lt;&gt;"",BB$59,IF(IFERROR(INDEX(醫師週班表!$C$5:$T$44,$CU32,BB$57),"")=0,"",IF(MID(IFERROR(INDEX(醫師週班表!$C$5:$T$44,$CU32,BB$57),""),2,1)="/",MID(IFERROR(INDEX(醫師週班表!$C$5:$T$44,$CU32,BB$57),""),1+BB$58*2,1),IF(MID(IFERROR(INDEX(醫師週班表!$C$5:$T$44,$CU32,BB$57),""),3,1)="隔",IF(BB$58=0,LEFT(IFERROR(INDEX(醫師週班表!$C$5:$T$44,$CU32,BB$57),""),1),""),IF(MID(IFERROR(INDEX(醫師週班表!$C$5:$T$44,$CU32,BB$57),""),2,1)="(",LEFT(IFERROR(INDEX(醫師週班表!$C$5:$T$44,$CU32,BB$57),""),1),IFERROR(INDEX(醫師週班表!$C$5:$T$44,$CU32,BB$57),"")))))))</f>
        <v/>
      </c>
      <c r="BC32" s="72">
        <f>IF(BC$59="X","",IF(BC$59&lt;&gt;"",BC$59,IF(IFERROR(INDEX(醫師週班表!$C$5:$T$44,$CU32,BC$57),"")=0,"",IF(MID(IFERROR(INDEX(醫師週班表!$C$5:$T$44,$CU32,BC$57),""),2,1)="/",MID(IFERROR(INDEX(醫師週班表!$C$5:$T$44,$CU32,BC$57),""),1+BC$58*2,1),IF(MID(IFERROR(INDEX(醫師週班表!$C$5:$T$44,$CU32,BC$57),""),3,1)="隔",IF(BC$58=0,LEFT(IFERROR(INDEX(醫師週班表!$C$5:$T$44,$CU32,BC$57),""),1),""),IF(MID(IFERROR(INDEX(醫師週班表!$C$5:$T$44,$CU32,BC$57),""),2,1)="(",LEFT(IFERROR(INDEX(醫師週班表!$C$5:$T$44,$CU32,BC$57),""),1),IFERROR(INDEX(醫師週班表!$C$5:$T$44,$CU32,BC$57),"")))))))</f>
        <v/>
      </c>
      <c r="BD32" s="71">
        <f>IF(BD$59="X","",IF(BD$59&lt;&gt;"",BD$59,IF(IFERROR(INDEX(醫師週班表!$C$5:$T$44,$CU32,BD$57),"")=0,"",IF(MID(IFERROR(INDEX(醫師週班表!$C$5:$T$44,$CU32,BD$57),""),2,1)="/",MID(IFERROR(INDEX(醫師週班表!$C$5:$T$44,$CU32,BD$57),""),1+BD$58*2,1),IF(MID(IFERROR(INDEX(醫師週班表!$C$5:$T$44,$CU32,BD$57),""),3,1)="隔",IF(BD$58=0,LEFT(IFERROR(INDEX(醫師週班表!$C$5:$T$44,$CU32,BD$57),""),1),""),IF(MID(IFERROR(INDEX(醫師週班表!$C$5:$T$44,$CU32,BD$57),""),2,1)="(",LEFT(IFERROR(INDEX(醫師週班表!$C$5:$T$44,$CU32,BD$57),""),1),IFERROR(INDEX(醫師週班表!$C$5:$T$44,$CU32,BD$57),"")))))))</f>
        <v/>
      </c>
      <c r="BE32" s="72">
        <f>IF(BE$59="X","",IF(BE$59&lt;&gt;"",BE$59,IF(IFERROR(INDEX(醫師週班表!$C$5:$T$44,$CU32,BE$57),"")=0,"",IF(MID(IFERROR(INDEX(醫師週班表!$C$5:$T$44,$CU32,BE$57),""),2,1)="/",MID(IFERROR(INDEX(醫師週班表!$C$5:$T$44,$CU32,BE$57),""),1+BE$58*2,1),IF(MID(IFERROR(INDEX(醫師週班表!$C$5:$T$44,$CU32,BE$57),""),3,1)="隔",IF(BE$58=0,LEFT(IFERROR(INDEX(醫師週班表!$C$5:$T$44,$CU32,BE$57),""),1),""),IF(MID(IFERROR(INDEX(醫師週班表!$C$5:$T$44,$CU32,BE$57),""),2,1)="(",LEFT(IFERROR(INDEX(醫師週班表!$C$5:$T$44,$CU32,BE$57),""),1),IFERROR(INDEX(醫師週班表!$C$5:$T$44,$CU32,BE$57),"")))))))</f>
        <v/>
      </c>
      <c r="BF32" s="72">
        <f>IF(BF$59="X","",IF(BF$59&lt;&gt;"",BF$59,IF(IFERROR(INDEX(醫師週班表!$C$5:$T$44,$CU32,BF$57),"")=0,"",IF(MID(IFERROR(INDEX(醫師週班表!$C$5:$T$44,$CU32,BF$57),""),2,1)="/",MID(IFERROR(INDEX(醫師週班表!$C$5:$T$44,$CU32,BF$57),""),1+BF$58*2,1),IF(MID(IFERROR(INDEX(醫師週班表!$C$5:$T$44,$CU32,BF$57),""),3,1)="隔",IF(BF$58=0,LEFT(IFERROR(INDEX(醫師週班表!$C$5:$T$44,$CU32,BF$57),""),1),""),IF(MID(IFERROR(INDEX(醫師週班表!$C$5:$T$44,$CU32,BF$57),""),2,1)="(",LEFT(IFERROR(INDEX(醫師週班表!$C$5:$T$44,$CU32,BF$57),""),1),IFERROR(INDEX(醫師週班表!$C$5:$T$44,$CU32,BF$57),"")))))))</f>
        <v/>
      </c>
      <c r="BG32" s="71">
        <f>IF(BG$59="X","",IF(BG$59&lt;&gt;"",BG$59,IF(IFERROR(INDEX(醫師週班表!$C$5:$T$44,$CU32,BG$57),"")=0,"",IF(MID(IFERROR(INDEX(醫師週班表!$C$5:$T$44,$CU32,BG$57),""),2,1)="/",MID(IFERROR(INDEX(醫師週班表!$C$5:$T$44,$CU32,BG$57),""),1+BG$58*2,1),IF(MID(IFERROR(INDEX(醫師週班表!$C$5:$T$44,$CU32,BG$57),""),3,1)="隔",IF(BG$58=0,LEFT(IFERROR(INDEX(醫師週班表!$C$5:$T$44,$CU32,BG$57),""),1),""),IF(MID(IFERROR(INDEX(醫師週班表!$C$5:$T$44,$CU32,BG$57),""),2,1)="(",LEFT(IFERROR(INDEX(醫師週班表!$C$5:$T$44,$CU32,BG$57),""),1),IFERROR(INDEX(醫師週班表!$C$5:$T$44,$CU32,BG$57),"")))))))</f>
        <v/>
      </c>
      <c r="BH32" s="72">
        <f>IF(BH$59="X","",IF(BH$59&lt;&gt;"",BH$59,IF(IFERROR(INDEX(醫師週班表!$C$5:$T$44,$CU32,BH$57),"")=0,"",IF(MID(IFERROR(INDEX(醫師週班表!$C$5:$T$44,$CU32,BH$57),""),2,1)="/",MID(IFERROR(INDEX(醫師週班表!$C$5:$T$44,$CU32,BH$57),""),1+BH$58*2,1),IF(MID(IFERROR(INDEX(醫師週班表!$C$5:$T$44,$CU32,BH$57),""),3,1)="隔",IF(BH$58=0,LEFT(IFERROR(INDEX(醫師週班表!$C$5:$T$44,$CU32,BH$57),""),1),""),IF(MID(IFERROR(INDEX(醫師週班表!$C$5:$T$44,$CU32,BH$57),""),2,1)="(",LEFT(IFERROR(INDEX(醫師週班表!$C$5:$T$44,$CU32,BH$57),""),1),IFERROR(INDEX(醫師週班表!$C$5:$T$44,$CU32,BH$57),"")))))))</f>
        <v/>
      </c>
      <c r="BI32" s="72">
        <f>IF(BI$59="X","",IF(BI$59&lt;&gt;"",BI$59,IF(IFERROR(INDEX(醫師週班表!$C$5:$T$44,$CU32,BI$57),"")=0,"",IF(MID(IFERROR(INDEX(醫師週班表!$C$5:$T$44,$CU32,BI$57),""),2,1)="/",MID(IFERROR(INDEX(醫師週班表!$C$5:$T$44,$CU32,BI$57),""),1+BI$58*2,1),IF(MID(IFERROR(INDEX(醫師週班表!$C$5:$T$44,$CU32,BI$57),""),3,1)="隔",IF(BI$58=0,LEFT(IFERROR(INDEX(醫師週班表!$C$5:$T$44,$CU32,BI$57),""),1),""),IF(MID(IFERROR(INDEX(醫師週班表!$C$5:$T$44,$CU32,BI$57),""),2,1)="(",LEFT(IFERROR(INDEX(醫師週班表!$C$5:$T$44,$CU32,BI$57),""),1),IFERROR(INDEX(醫師週班表!$C$5:$T$44,$CU32,BI$57),"")))))))</f>
        <v/>
      </c>
      <c r="BJ32" s="71">
        <f>IF(BJ$59="X","",IF(BJ$59&lt;&gt;"",BJ$59,IF(IFERROR(INDEX(醫師週班表!$C$5:$T$44,$CU32,BJ$57),"")=0,"",IF(MID(IFERROR(INDEX(醫師週班表!$C$5:$T$44,$CU32,BJ$57),""),2,1)="/",MID(IFERROR(INDEX(醫師週班表!$C$5:$T$44,$CU32,BJ$57),""),1+BJ$58*2,1),IF(MID(IFERROR(INDEX(醫師週班表!$C$5:$T$44,$CU32,BJ$57),""),3,1)="隔",IF(BJ$58=0,LEFT(IFERROR(INDEX(醫師週班表!$C$5:$T$44,$CU32,BJ$57),""),1),""),IF(MID(IFERROR(INDEX(醫師週班表!$C$5:$T$44,$CU32,BJ$57),""),2,1)="(",LEFT(IFERROR(INDEX(醫師週班表!$C$5:$T$44,$CU32,BJ$57),""),1),IFERROR(INDEX(醫師週班表!$C$5:$T$44,$CU32,BJ$57),"")))))))</f>
        <v/>
      </c>
      <c r="BK32" s="72">
        <f>IF(BK$59="X","",IF(BK$59&lt;&gt;"",BK$59,IF(IFERROR(INDEX(醫師週班表!$C$5:$T$44,$CU32,BK$57),"")=0,"",IF(MID(IFERROR(INDEX(醫師週班表!$C$5:$T$44,$CU32,BK$57),""),2,1)="/",MID(IFERROR(INDEX(醫師週班表!$C$5:$T$44,$CU32,BK$57),""),1+BK$58*2,1),IF(MID(IFERROR(INDEX(醫師週班表!$C$5:$T$44,$CU32,BK$57),""),3,1)="隔",IF(BK$58=0,LEFT(IFERROR(INDEX(醫師週班表!$C$5:$T$44,$CU32,BK$57),""),1),""),IF(MID(IFERROR(INDEX(醫師週班表!$C$5:$T$44,$CU32,BK$57),""),2,1)="(",LEFT(IFERROR(INDEX(醫師週班表!$C$5:$T$44,$CU32,BK$57),""),1),IFERROR(INDEX(醫師週班表!$C$5:$T$44,$CU32,BK$57),"")))))))</f>
        <v/>
      </c>
      <c r="BL32" s="72">
        <f>IF(BL$59="X","",IF(BL$59&lt;&gt;"",BL$59,IF(IFERROR(INDEX(醫師週班表!$C$5:$T$44,$CU32,BL$57),"")=0,"",IF(MID(IFERROR(INDEX(醫師週班表!$C$5:$T$44,$CU32,BL$57),""),2,1)="/",MID(IFERROR(INDEX(醫師週班表!$C$5:$T$44,$CU32,BL$57),""),1+BL$58*2,1),IF(MID(IFERROR(INDEX(醫師週班表!$C$5:$T$44,$CU32,BL$57),""),3,1)="隔",IF(BL$58=0,LEFT(IFERROR(INDEX(醫師週班表!$C$5:$T$44,$CU32,BL$57),""),1),""),IF(MID(IFERROR(INDEX(醫師週班表!$C$5:$T$44,$CU32,BL$57),""),2,1)="(",LEFT(IFERROR(INDEX(醫師週班表!$C$5:$T$44,$CU32,BL$57),""),1),IFERROR(INDEX(醫師週班表!$C$5:$T$44,$CU32,BL$57),"")))))))</f>
        <v/>
      </c>
      <c r="BM32" s="71">
        <f>IF(BM$59="X","",IF(BM$59&lt;&gt;"",BM$59,IF(IFERROR(INDEX(醫師週班表!$C$5:$T$44,$CU32,BM$57),"")=0,"",IF(MID(IFERROR(INDEX(醫師週班表!$C$5:$T$44,$CU32,BM$57),""),2,1)="/",MID(IFERROR(INDEX(醫師週班表!$C$5:$T$44,$CU32,BM$57),""),1+BM$58*2,1),IF(MID(IFERROR(INDEX(醫師週班表!$C$5:$T$44,$CU32,BM$57),""),3,1)="隔",IF(BM$58=0,LEFT(IFERROR(INDEX(醫師週班表!$C$5:$T$44,$CU32,BM$57),""),1),""),IF(MID(IFERROR(INDEX(醫師週班表!$C$5:$T$44,$CU32,BM$57),""),2,1)="(",LEFT(IFERROR(INDEX(醫師週班表!$C$5:$T$44,$CU32,BM$57),""),1),IFERROR(INDEX(醫師週班表!$C$5:$T$44,$CU32,BM$57),"")))))))</f>
        <v/>
      </c>
      <c r="BN32" s="72">
        <f>IF(BN$59="X","",IF(BN$59&lt;&gt;"",BN$59,IF(IFERROR(INDEX(醫師週班表!$C$5:$T$44,$CU32,BN$57),"")=0,"",IF(MID(IFERROR(INDEX(醫師週班表!$C$5:$T$44,$CU32,BN$57),""),2,1)="/",MID(IFERROR(INDEX(醫師週班表!$C$5:$T$44,$CU32,BN$57),""),1+BN$58*2,1),IF(MID(IFERROR(INDEX(醫師週班表!$C$5:$T$44,$CU32,BN$57),""),3,1)="隔",IF(BN$58=0,LEFT(IFERROR(INDEX(醫師週班表!$C$5:$T$44,$CU32,BN$57),""),1),""),IF(MID(IFERROR(INDEX(醫師週班表!$C$5:$T$44,$CU32,BN$57),""),2,1)="(",LEFT(IFERROR(INDEX(醫師週班表!$C$5:$T$44,$CU32,BN$57),""),1),IFERROR(INDEX(醫師週班表!$C$5:$T$44,$CU32,BN$57),"")))))))</f>
        <v/>
      </c>
      <c r="BO32" s="72">
        <f>IF(BO$59="X","",IF(BO$59&lt;&gt;"",BO$59,IF(IFERROR(INDEX(醫師週班表!$C$5:$T$44,$CU32,BO$57),"")=0,"",IF(MID(IFERROR(INDEX(醫師週班表!$C$5:$T$44,$CU32,BO$57),""),2,1)="/",MID(IFERROR(INDEX(醫師週班表!$C$5:$T$44,$CU32,BO$57),""),1+BO$58*2,1),IF(MID(IFERROR(INDEX(醫師週班表!$C$5:$T$44,$CU32,BO$57),""),3,1)="隔",IF(BO$58=0,LEFT(IFERROR(INDEX(醫師週班表!$C$5:$T$44,$CU32,BO$57),""),1),""),IF(MID(IFERROR(INDEX(醫師週班表!$C$5:$T$44,$CU32,BO$57),""),2,1)="(",LEFT(IFERROR(INDEX(醫師週班表!$C$5:$T$44,$CU32,BO$57),""),1),IFERROR(INDEX(醫師週班表!$C$5:$T$44,$CU32,BO$57),"")))))))</f>
        <v/>
      </c>
      <c r="BP32" s="71">
        <f>IF(BP$59="X","",IF(BP$59&lt;&gt;"",BP$59,IF(IFERROR(INDEX(醫師週班表!$C$5:$T$44,$CU32,BP$57),"")=0,"",IF(MID(IFERROR(INDEX(醫師週班表!$C$5:$T$44,$CU32,BP$57),""),2,1)="/",MID(IFERROR(INDEX(醫師週班表!$C$5:$T$44,$CU32,BP$57),""),1+BP$58*2,1),IF(MID(IFERROR(INDEX(醫師週班表!$C$5:$T$44,$CU32,BP$57),""),3,1)="隔",IF(BP$58=0,LEFT(IFERROR(INDEX(醫師週班表!$C$5:$T$44,$CU32,BP$57),""),1),""),IF(MID(IFERROR(INDEX(醫師週班表!$C$5:$T$44,$CU32,BP$57),""),2,1)="(",LEFT(IFERROR(INDEX(醫師週班表!$C$5:$T$44,$CU32,BP$57),""),1),IFERROR(INDEX(醫師週班表!$C$5:$T$44,$CU32,BP$57),"")))))))</f>
        <v/>
      </c>
      <c r="BQ32" s="72">
        <f>IF(BQ$59="X","",IF(BQ$59&lt;&gt;"",BQ$59,IF(IFERROR(INDEX(醫師週班表!$C$5:$T$44,$CU32,BQ$57),"")=0,"",IF(MID(IFERROR(INDEX(醫師週班表!$C$5:$T$44,$CU32,BQ$57),""),2,1)="/",MID(IFERROR(INDEX(醫師週班表!$C$5:$T$44,$CU32,BQ$57),""),1+BQ$58*2,1),IF(MID(IFERROR(INDEX(醫師週班表!$C$5:$T$44,$CU32,BQ$57),""),3,1)="隔",IF(BQ$58=0,LEFT(IFERROR(INDEX(醫師週班表!$C$5:$T$44,$CU32,BQ$57),""),1),""),IF(MID(IFERROR(INDEX(醫師週班表!$C$5:$T$44,$CU32,BQ$57),""),2,1)="(",LEFT(IFERROR(INDEX(醫師週班表!$C$5:$T$44,$CU32,BQ$57),""),1),IFERROR(INDEX(醫師週班表!$C$5:$T$44,$CU32,BQ$57),"")))))))</f>
        <v/>
      </c>
      <c r="BR32" s="72">
        <f>IF(BR$59="X","",IF(BR$59&lt;&gt;"",BR$59,IF(IFERROR(INDEX(醫師週班表!$C$5:$T$44,$CU32,BR$57),"")=0,"",IF(MID(IFERROR(INDEX(醫師週班表!$C$5:$T$44,$CU32,BR$57),""),2,1)="/",MID(IFERROR(INDEX(醫師週班表!$C$5:$T$44,$CU32,BR$57),""),1+BR$58*2,1),IF(MID(IFERROR(INDEX(醫師週班表!$C$5:$T$44,$CU32,BR$57),""),3,1)="隔",IF(BR$58=0,LEFT(IFERROR(INDEX(醫師週班表!$C$5:$T$44,$CU32,BR$57),""),1),""),IF(MID(IFERROR(INDEX(醫師週班表!$C$5:$T$44,$CU32,BR$57),""),2,1)="(",LEFT(IFERROR(INDEX(醫師週班表!$C$5:$T$44,$CU32,BR$57),""),1),IFERROR(INDEX(醫師週班表!$C$5:$T$44,$CU32,BR$57),"")))))))</f>
        <v/>
      </c>
      <c r="BS32" s="71">
        <f>IF(BS$59="X","",IF(BS$59&lt;&gt;"",BS$59,IF(IFERROR(INDEX(醫師週班表!$C$5:$T$44,$CU32,BS$57),"")=0,"",IF(MID(IFERROR(INDEX(醫師週班表!$C$5:$T$44,$CU32,BS$57),""),2,1)="/",MID(IFERROR(INDEX(醫師週班表!$C$5:$T$44,$CU32,BS$57),""),1+BS$58*2,1),IF(MID(IFERROR(INDEX(醫師週班表!$C$5:$T$44,$CU32,BS$57),""),3,1)="隔",IF(BS$58=0,LEFT(IFERROR(INDEX(醫師週班表!$C$5:$T$44,$CU32,BS$57),""),1),""),IF(MID(IFERROR(INDEX(醫師週班表!$C$5:$T$44,$CU32,BS$57),""),2,1)="(",LEFT(IFERROR(INDEX(醫師週班表!$C$5:$T$44,$CU32,BS$57),""),1),IFERROR(INDEX(醫師週班表!$C$5:$T$44,$CU32,BS$57),"")))))))</f>
        <v/>
      </c>
      <c r="BT32" s="72">
        <f>IF(BT$59="X","",IF(BT$59&lt;&gt;"",BT$59,IF(IFERROR(INDEX(醫師週班表!$C$5:$T$44,$CU32,BT$57),"")=0,"",IF(MID(IFERROR(INDEX(醫師週班表!$C$5:$T$44,$CU32,BT$57),""),2,1)="/",MID(IFERROR(INDEX(醫師週班表!$C$5:$T$44,$CU32,BT$57),""),1+BT$58*2,1),IF(MID(IFERROR(INDEX(醫師週班表!$C$5:$T$44,$CU32,BT$57),""),3,1)="隔",IF(BT$58=0,LEFT(IFERROR(INDEX(醫師週班表!$C$5:$T$44,$CU32,BT$57),""),1),""),IF(MID(IFERROR(INDEX(醫師週班表!$C$5:$T$44,$CU32,BT$57),""),2,1)="(",LEFT(IFERROR(INDEX(醫師週班表!$C$5:$T$44,$CU32,BT$57),""),1),IFERROR(INDEX(醫師週班表!$C$5:$T$44,$CU32,BT$57),"")))))))</f>
        <v/>
      </c>
      <c r="BU32" s="72">
        <f>IF(BU$59="X","",IF(BU$59&lt;&gt;"",BU$59,IF(IFERROR(INDEX(醫師週班表!$C$5:$T$44,$CU32,BU$57),"")=0,"",IF(MID(IFERROR(INDEX(醫師週班表!$C$5:$T$44,$CU32,BU$57),""),2,1)="/",MID(IFERROR(INDEX(醫師週班表!$C$5:$T$44,$CU32,BU$57),""),1+BU$58*2,1),IF(MID(IFERROR(INDEX(醫師週班表!$C$5:$T$44,$CU32,BU$57),""),3,1)="隔",IF(BU$58=0,LEFT(IFERROR(INDEX(醫師週班表!$C$5:$T$44,$CU32,BU$57),""),1),""),IF(MID(IFERROR(INDEX(醫師週班表!$C$5:$T$44,$CU32,BU$57),""),2,1)="(",LEFT(IFERROR(INDEX(醫師週班表!$C$5:$T$44,$CU32,BU$57),""),1),IFERROR(INDEX(醫師週班表!$C$5:$T$44,$CU32,BU$57),"")))))))</f>
        <v/>
      </c>
      <c r="BV32" s="71">
        <f>IF(BV$59="X","",IF(BV$59&lt;&gt;"",BV$59,IF(IFERROR(INDEX(醫師週班表!$C$5:$T$44,$CU32,BV$57),"")=0,"",IF(MID(IFERROR(INDEX(醫師週班表!$C$5:$T$44,$CU32,BV$57),""),2,1)="/",MID(IFERROR(INDEX(醫師週班表!$C$5:$T$44,$CU32,BV$57),""),1+BV$58*2,1),IF(MID(IFERROR(INDEX(醫師週班表!$C$5:$T$44,$CU32,BV$57),""),3,1)="隔",IF(BV$58=0,LEFT(IFERROR(INDEX(醫師週班表!$C$5:$T$44,$CU32,BV$57),""),1),""),IF(MID(IFERROR(INDEX(醫師週班表!$C$5:$T$44,$CU32,BV$57),""),2,1)="(",LEFT(IFERROR(INDEX(醫師週班表!$C$5:$T$44,$CU32,BV$57),""),1),IFERROR(INDEX(醫師週班表!$C$5:$T$44,$CU32,BV$57),"")))))))</f>
        <v/>
      </c>
      <c r="BW32" s="72">
        <f>IF(BW$59="X","",IF(BW$59&lt;&gt;"",BW$59,IF(IFERROR(INDEX(醫師週班表!$C$5:$T$44,$CU32,BW$57),"")=0,"",IF(MID(IFERROR(INDEX(醫師週班表!$C$5:$T$44,$CU32,BW$57),""),2,1)="/",MID(IFERROR(INDEX(醫師週班表!$C$5:$T$44,$CU32,BW$57),""),1+BW$58*2,1),IF(MID(IFERROR(INDEX(醫師週班表!$C$5:$T$44,$CU32,BW$57),""),3,1)="隔",IF(BW$58=0,LEFT(IFERROR(INDEX(醫師週班表!$C$5:$T$44,$CU32,BW$57),""),1),""),IF(MID(IFERROR(INDEX(醫師週班表!$C$5:$T$44,$CU32,BW$57),""),2,1)="(",LEFT(IFERROR(INDEX(醫師週班表!$C$5:$T$44,$CU32,BW$57),""),1),IFERROR(INDEX(醫師週班表!$C$5:$T$44,$CU32,BW$57),"")))))))</f>
        <v/>
      </c>
      <c r="BX32" s="72">
        <f>IF(BX$59="X","",IF(BX$59&lt;&gt;"",BX$59,IF(IFERROR(INDEX(醫師週班表!$C$5:$T$44,$CU32,BX$57),"")=0,"",IF(MID(IFERROR(INDEX(醫師週班表!$C$5:$T$44,$CU32,BX$57),""),2,1)="/",MID(IFERROR(INDEX(醫師週班表!$C$5:$T$44,$CU32,BX$57),""),1+BX$58*2,1),IF(MID(IFERROR(INDEX(醫師週班表!$C$5:$T$44,$CU32,BX$57),""),3,1)="隔",IF(BX$58=0,LEFT(IFERROR(INDEX(醫師週班表!$C$5:$T$44,$CU32,BX$57),""),1),""),IF(MID(IFERROR(INDEX(醫師週班表!$C$5:$T$44,$CU32,BX$57),""),2,1)="(",LEFT(IFERROR(INDEX(醫師週班表!$C$5:$T$44,$CU32,BX$57),""),1),IFERROR(INDEX(醫師週班表!$C$5:$T$44,$CU32,BX$57),"")))))))</f>
        <v/>
      </c>
      <c r="BY32" s="71">
        <f>IF(BY$59="X","",IF(BY$59&lt;&gt;"",BY$59,IF(IFERROR(INDEX(醫師週班表!$C$5:$T$44,$CU32,BY$57),"")=0,"",IF(MID(IFERROR(INDEX(醫師週班表!$C$5:$T$44,$CU32,BY$57),""),2,1)="/",MID(IFERROR(INDEX(醫師週班表!$C$5:$T$44,$CU32,BY$57),""),1+BY$58*2,1),IF(MID(IFERROR(INDEX(醫師週班表!$C$5:$T$44,$CU32,BY$57),""),3,1)="隔",IF(BY$58=0,LEFT(IFERROR(INDEX(醫師週班表!$C$5:$T$44,$CU32,BY$57),""),1),""),IF(MID(IFERROR(INDEX(醫師週班表!$C$5:$T$44,$CU32,BY$57),""),2,1)="(",LEFT(IFERROR(INDEX(醫師週班表!$C$5:$T$44,$CU32,BY$57),""),1),IFERROR(INDEX(醫師週班表!$C$5:$T$44,$CU32,BY$57),"")))))))</f>
        <v/>
      </c>
      <c r="BZ32" s="72">
        <f>IF(BZ$59="X","",IF(BZ$59&lt;&gt;"",BZ$59,IF(IFERROR(INDEX(醫師週班表!$C$5:$T$44,$CU32,BZ$57),"")=0,"",IF(MID(IFERROR(INDEX(醫師週班表!$C$5:$T$44,$CU32,BZ$57),""),2,1)="/",MID(IFERROR(INDEX(醫師週班表!$C$5:$T$44,$CU32,BZ$57),""),1+BZ$58*2,1),IF(MID(IFERROR(INDEX(醫師週班表!$C$5:$T$44,$CU32,BZ$57),""),3,1)="隔",IF(BZ$58=0,LEFT(IFERROR(INDEX(醫師週班表!$C$5:$T$44,$CU32,BZ$57),""),1),""),IF(MID(IFERROR(INDEX(醫師週班表!$C$5:$T$44,$CU32,BZ$57),""),2,1)="(",LEFT(IFERROR(INDEX(醫師週班表!$C$5:$T$44,$CU32,BZ$57),""),1),IFERROR(INDEX(醫師週班表!$C$5:$T$44,$CU32,BZ$57),"")))))))</f>
        <v/>
      </c>
      <c r="CA32" s="72">
        <f>IF(CA$59="X","",IF(CA$59&lt;&gt;"",CA$59,IF(IFERROR(INDEX(醫師週班表!$C$5:$T$44,$CU32,CA$57),"")=0,"",IF(MID(IFERROR(INDEX(醫師週班表!$C$5:$T$44,$CU32,CA$57),""),2,1)="/",MID(IFERROR(INDEX(醫師週班表!$C$5:$T$44,$CU32,CA$57),""),1+CA$58*2,1),IF(MID(IFERROR(INDEX(醫師週班表!$C$5:$T$44,$CU32,CA$57),""),3,1)="隔",IF(CA$58=0,LEFT(IFERROR(INDEX(醫師週班表!$C$5:$T$44,$CU32,CA$57),""),1),""),IF(MID(IFERROR(INDEX(醫師週班表!$C$5:$T$44,$CU32,CA$57),""),2,1)="(",LEFT(IFERROR(INDEX(醫師週班表!$C$5:$T$44,$CU32,CA$57),""),1),IFERROR(INDEX(醫師週班表!$C$5:$T$44,$CU32,CA$57),"")))))))</f>
        <v/>
      </c>
      <c r="CB32" s="71">
        <f>IF(CB$59="X","",IF(CB$59&lt;&gt;"",CB$59,IF(IFERROR(INDEX(醫師週班表!$C$5:$T$44,$CU32,CB$57),"")=0,"",IF(MID(IFERROR(INDEX(醫師週班表!$C$5:$T$44,$CU32,CB$57),""),2,1)="/",MID(IFERROR(INDEX(醫師週班表!$C$5:$T$44,$CU32,CB$57),""),1+CB$58*2,1),IF(MID(IFERROR(INDEX(醫師週班表!$C$5:$T$44,$CU32,CB$57),""),3,1)="隔",IF(CB$58=0,LEFT(IFERROR(INDEX(醫師週班表!$C$5:$T$44,$CU32,CB$57),""),1),""),IF(MID(IFERROR(INDEX(醫師週班表!$C$5:$T$44,$CU32,CB$57),""),2,1)="(",LEFT(IFERROR(INDEX(醫師週班表!$C$5:$T$44,$CU32,CB$57),""),1),IFERROR(INDEX(醫師週班表!$C$5:$T$44,$CU32,CB$57),"")))))))</f>
        <v/>
      </c>
      <c r="CC32" s="72">
        <f>IF(CC$59="X","",IF(CC$59&lt;&gt;"",CC$59,IF(IFERROR(INDEX(醫師週班表!$C$5:$T$44,$CU32,CC$57),"")=0,"",IF(MID(IFERROR(INDEX(醫師週班表!$C$5:$T$44,$CU32,CC$57),""),2,1)="/",MID(IFERROR(INDEX(醫師週班表!$C$5:$T$44,$CU32,CC$57),""),1+CC$58*2,1),IF(MID(IFERROR(INDEX(醫師週班表!$C$5:$T$44,$CU32,CC$57),""),3,1)="隔",IF(CC$58=0,LEFT(IFERROR(INDEX(醫師週班表!$C$5:$T$44,$CU32,CC$57),""),1),""),IF(MID(IFERROR(INDEX(醫師週班表!$C$5:$T$44,$CU32,CC$57),""),2,1)="(",LEFT(IFERROR(INDEX(醫師週班表!$C$5:$T$44,$CU32,CC$57),""),1),IFERROR(INDEX(醫師週班表!$C$5:$T$44,$CU32,CC$57),"")))))))</f>
        <v/>
      </c>
      <c r="CD32" s="72">
        <f>IF(CD$59="X","",IF(CD$59&lt;&gt;"",CD$59,IF(IFERROR(INDEX(醫師週班表!$C$5:$T$44,$CU32,CD$57),"")=0,"",IF(MID(IFERROR(INDEX(醫師週班表!$C$5:$T$44,$CU32,CD$57),""),2,1)="/",MID(IFERROR(INDEX(醫師週班表!$C$5:$T$44,$CU32,CD$57),""),1+CD$58*2,1),IF(MID(IFERROR(INDEX(醫師週班表!$C$5:$T$44,$CU32,CD$57),""),3,1)="隔",IF(CD$58=0,LEFT(IFERROR(INDEX(醫師週班表!$C$5:$T$44,$CU32,CD$57),""),1),""),IF(MID(IFERROR(INDEX(醫師週班表!$C$5:$T$44,$CU32,CD$57),""),2,1)="(",LEFT(IFERROR(INDEX(醫師週班表!$C$5:$T$44,$CU32,CD$57),""),1),IFERROR(INDEX(醫師週班表!$C$5:$T$44,$CU32,CD$57),"")))))))</f>
        <v/>
      </c>
      <c r="CE32" s="71">
        <f>IF(CE$59="X","",IF(CE$59&lt;&gt;"",CE$59,IF(IFERROR(INDEX(醫師週班表!$C$5:$T$44,$CU32,CE$57),"")=0,"",IF(MID(IFERROR(INDEX(醫師週班表!$C$5:$T$44,$CU32,CE$57),""),2,1)="/",MID(IFERROR(INDEX(醫師週班表!$C$5:$T$44,$CU32,CE$57),""),1+CE$58*2,1),IF(MID(IFERROR(INDEX(醫師週班表!$C$5:$T$44,$CU32,CE$57),""),3,1)="隔",IF(CE$58=0,LEFT(IFERROR(INDEX(醫師週班表!$C$5:$T$44,$CU32,CE$57),""),1),""),IF(MID(IFERROR(INDEX(醫師週班表!$C$5:$T$44,$CU32,CE$57),""),2,1)="(",LEFT(IFERROR(INDEX(醫師週班表!$C$5:$T$44,$CU32,CE$57),""),1),IFERROR(INDEX(醫師週班表!$C$5:$T$44,$CU32,CE$57),"")))))))</f>
        <v/>
      </c>
      <c r="CF32" s="72">
        <f>IF(CF$59="X","",IF(CF$59&lt;&gt;"",CF$59,IF(IFERROR(INDEX(醫師週班表!$C$5:$T$44,$CU32,CF$57),"")=0,"",IF(MID(IFERROR(INDEX(醫師週班表!$C$5:$T$44,$CU32,CF$57),""),2,1)="/",MID(IFERROR(INDEX(醫師週班表!$C$5:$T$44,$CU32,CF$57),""),1+CF$58*2,1),IF(MID(IFERROR(INDEX(醫師週班表!$C$5:$T$44,$CU32,CF$57),""),3,1)="隔",IF(CF$58=0,LEFT(IFERROR(INDEX(醫師週班表!$C$5:$T$44,$CU32,CF$57),""),1),""),IF(MID(IFERROR(INDEX(醫師週班表!$C$5:$T$44,$CU32,CF$57),""),2,1)="(",LEFT(IFERROR(INDEX(醫師週班表!$C$5:$T$44,$CU32,CF$57),""),1),IFERROR(INDEX(醫師週班表!$C$5:$T$44,$CU32,CF$57),"")))))))</f>
        <v/>
      </c>
      <c r="CG32" s="72">
        <f>IF(CG$59="X","",IF(CG$59&lt;&gt;"",CG$59,IF(IFERROR(INDEX(醫師週班表!$C$5:$T$44,$CU32,CG$57),"")=0,"",IF(MID(IFERROR(INDEX(醫師週班表!$C$5:$T$44,$CU32,CG$57),""),2,1)="/",MID(IFERROR(INDEX(醫師週班表!$C$5:$T$44,$CU32,CG$57),""),1+CG$58*2,1),IF(MID(IFERROR(INDEX(醫師週班表!$C$5:$T$44,$CU32,CG$57),""),3,1)="隔",IF(CG$58=0,LEFT(IFERROR(INDEX(醫師週班表!$C$5:$T$44,$CU32,CG$57),""),1),""),IF(MID(IFERROR(INDEX(醫師週班表!$C$5:$T$44,$CU32,CG$57),""),2,1)="(",LEFT(IFERROR(INDEX(醫師週班表!$C$5:$T$44,$CU32,CG$57),""),1),IFERROR(INDEX(醫師週班表!$C$5:$T$44,$CU32,CG$57),"")))))))</f>
        <v/>
      </c>
      <c r="CH32" s="71">
        <f>IF(CH$59="X","",IF(CH$59&lt;&gt;"",CH$59,IF(IFERROR(INDEX(醫師週班表!$C$5:$T$44,$CU32,CH$57),"")=0,"",IF(MID(IFERROR(INDEX(醫師週班表!$C$5:$T$44,$CU32,CH$57),""),2,1)="/",MID(IFERROR(INDEX(醫師週班表!$C$5:$T$44,$CU32,CH$57),""),1+CH$58*2,1),IF(MID(IFERROR(INDEX(醫師週班表!$C$5:$T$44,$CU32,CH$57),""),3,1)="隔",IF(CH$58=0,LEFT(IFERROR(INDEX(醫師週班表!$C$5:$T$44,$CU32,CH$57),""),1),""),IF(MID(IFERROR(INDEX(醫師週班表!$C$5:$T$44,$CU32,CH$57),""),2,1)="(",LEFT(IFERROR(INDEX(醫師週班表!$C$5:$T$44,$CU32,CH$57),""),1),IFERROR(INDEX(醫師週班表!$C$5:$T$44,$CU32,CH$57),"")))))))</f>
        <v/>
      </c>
      <c r="CI32" s="72">
        <f>IF(CI$59="X","",IF(CI$59&lt;&gt;"",CI$59,IF(IFERROR(INDEX(醫師週班表!$C$5:$T$44,$CU32,CI$57),"")=0,"",IF(MID(IFERROR(INDEX(醫師週班表!$C$5:$T$44,$CU32,CI$57),""),2,1)="/",MID(IFERROR(INDEX(醫師週班表!$C$5:$T$44,$CU32,CI$57),""),1+CI$58*2,1),IF(MID(IFERROR(INDEX(醫師週班表!$C$5:$T$44,$CU32,CI$57),""),3,1)="隔",IF(CI$58=0,LEFT(IFERROR(INDEX(醫師週班表!$C$5:$T$44,$CU32,CI$57),""),1),""),IF(MID(IFERROR(INDEX(醫師週班表!$C$5:$T$44,$CU32,CI$57),""),2,1)="(",LEFT(IFERROR(INDEX(醫師週班表!$C$5:$T$44,$CU32,CI$57),""),1),IFERROR(INDEX(醫師週班表!$C$5:$T$44,$CU32,CI$57),"")))))))</f>
        <v/>
      </c>
      <c r="CJ32" s="72">
        <f>IF(CJ$59="X","",IF(CJ$59&lt;&gt;"",CJ$59,IF(IFERROR(INDEX(醫師週班表!$C$5:$T$44,$CU32,CJ$57),"")=0,"",IF(MID(IFERROR(INDEX(醫師週班表!$C$5:$T$44,$CU32,CJ$57),""),2,1)="/",MID(IFERROR(INDEX(醫師週班表!$C$5:$T$44,$CU32,CJ$57),""),1+CJ$58*2,1),IF(MID(IFERROR(INDEX(醫師週班表!$C$5:$T$44,$CU32,CJ$57),""),3,1)="隔",IF(CJ$58=0,LEFT(IFERROR(INDEX(醫師週班表!$C$5:$T$44,$CU32,CJ$57),""),1),""),IF(MID(IFERROR(INDEX(醫師週班表!$C$5:$T$44,$CU32,CJ$57),""),2,1)="(",LEFT(IFERROR(INDEX(醫師週班表!$C$5:$T$44,$CU32,CJ$57),""),1),IFERROR(INDEX(醫師週班表!$C$5:$T$44,$CU32,CJ$57),"")))))))</f>
        <v/>
      </c>
      <c r="CK32" s="71">
        <f>IF(CK$59="X","",IF(CK$59&lt;&gt;"",CK$59,IF(IFERROR(INDEX(醫師週班表!$C$5:$T$44,$CU32,CK$57),"")=0,"",IF(MID(IFERROR(INDEX(醫師週班表!$C$5:$T$44,$CU32,CK$57),""),2,1)="/",MID(IFERROR(INDEX(醫師週班表!$C$5:$T$44,$CU32,CK$57),""),1+CK$58*2,1),IF(MID(IFERROR(INDEX(醫師週班表!$C$5:$T$44,$CU32,CK$57),""),3,1)="隔",IF(CK$58=0,LEFT(IFERROR(INDEX(醫師週班表!$C$5:$T$44,$CU32,CK$57),""),1),""),IF(MID(IFERROR(INDEX(醫師週班表!$C$5:$T$44,$CU32,CK$57),""),2,1)="(",LEFT(IFERROR(INDEX(醫師週班表!$C$5:$T$44,$CU32,CK$57),""),1),IFERROR(INDEX(醫師週班表!$C$5:$T$44,$CU32,CK$57),"")))))))</f>
        <v/>
      </c>
      <c r="CL32" s="72">
        <f>IF(CL$59="X","",IF(CL$59&lt;&gt;"",CL$59,IF(IFERROR(INDEX(醫師週班表!$C$5:$T$44,$CU32,CL$57),"")=0,"",IF(MID(IFERROR(INDEX(醫師週班表!$C$5:$T$44,$CU32,CL$57),""),2,1)="/",MID(IFERROR(INDEX(醫師週班表!$C$5:$T$44,$CU32,CL$57),""),1+CL$58*2,1),IF(MID(IFERROR(INDEX(醫師週班表!$C$5:$T$44,$CU32,CL$57),""),3,1)="隔",IF(CL$58=0,LEFT(IFERROR(INDEX(醫師週班表!$C$5:$T$44,$CU32,CL$57),""),1),""),IF(MID(IFERROR(INDEX(醫師週班表!$C$5:$T$44,$CU32,CL$57),""),2,1)="(",LEFT(IFERROR(INDEX(醫師週班表!$C$5:$T$44,$CU32,CL$57),""),1),IFERROR(INDEX(醫師週班表!$C$5:$T$44,$CU32,CL$57),"")))))))</f>
        <v/>
      </c>
      <c r="CM32" s="72">
        <f>IF(CM$59="X","",IF(CM$59&lt;&gt;"",CM$59,IF(IFERROR(INDEX(醫師週班表!$C$5:$T$44,$CU32,CM$57),"")=0,"",IF(MID(IFERROR(INDEX(醫師週班表!$C$5:$T$44,$CU32,CM$57),""),2,1)="/",MID(IFERROR(INDEX(醫師週班表!$C$5:$T$44,$CU32,CM$57),""),1+CM$58*2,1),IF(MID(IFERROR(INDEX(醫師週班表!$C$5:$T$44,$CU32,CM$57),""),3,1)="隔",IF(CM$58=0,LEFT(IFERROR(INDEX(醫師週班表!$C$5:$T$44,$CU32,CM$57),""),1),""),IF(MID(IFERROR(INDEX(醫師週班表!$C$5:$T$44,$CU32,CM$57),""),2,1)="(",LEFT(IFERROR(INDEX(醫師週班表!$C$5:$T$44,$CU32,CM$57),""),1),IFERROR(INDEX(醫師週班表!$C$5:$T$44,$CU32,CM$57),"")))))))</f>
        <v/>
      </c>
      <c r="CN32" s="71">
        <f>IF(CN$59="X","",IF(CN$59&lt;&gt;"",CN$59,IF(IFERROR(INDEX(醫師週班表!$C$5:$T$44,$CU32,CN$57),"")=0,"",IF(MID(IFERROR(INDEX(醫師週班表!$C$5:$T$44,$CU32,CN$57),""),2,1)="/",MID(IFERROR(INDEX(醫師週班表!$C$5:$T$44,$CU32,CN$57),""),1+CN$58*2,1),IF(MID(IFERROR(INDEX(醫師週班表!$C$5:$T$44,$CU32,CN$57),""),3,1)="隔",IF(CN$58=0,LEFT(IFERROR(INDEX(醫師週班表!$C$5:$T$44,$CU32,CN$57),""),1),""),IF(MID(IFERROR(INDEX(醫師週班表!$C$5:$T$44,$CU32,CN$57),""),2,1)="(",LEFT(IFERROR(INDEX(醫師週班表!$C$5:$T$44,$CU32,CN$57),""),1),IFERROR(INDEX(醫師週班表!$C$5:$T$44,$CU32,CN$57),"")))))))</f>
        <v/>
      </c>
      <c r="CO32" s="72">
        <f>IF(CO$59="X","",IF(CO$59&lt;&gt;"",CO$59,IF(IFERROR(INDEX(醫師週班表!$C$5:$T$44,$CU32,CO$57),"")=0,"",IF(MID(IFERROR(INDEX(醫師週班表!$C$5:$T$44,$CU32,CO$57),""),2,1)="/",MID(IFERROR(INDEX(醫師週班表!$C$5:$T$44,$CU32,CO$57),""),1+CO$58*2,1),IF(MID(IFERROR(INDEX(醫師週班表!$C$5:$T$44,$CU32,CO$57),""),3,1)="隔",IF(CO$58=0,LEFT(IFERROR(INDEX(醫師週班表!$C$5:$T$44,$CU32,CO$57),""),1),""),IF(MID(IFERROR(INDEX(醫師週班表!$C$5:$T$44,$CU32,CO$57),""),2,1)="(",LEFT(IFERROR(INDEX(醫師週班表!$C$5:$T$44,$CU32,CO$57),""),1),IFERROR(INDEX(醫師週班表!$C$5:$T$44,$CU32,CO$57),"")))))))</f>
        <v/>
      </c>
      <c r="CP32" s="72">
        <f>IF(CP$59="X","",IF(CP$59&lt;&gt;"",CP$59,IF(IFERROR(INDEX(醫師週班表!$C$5:$T$44,$CU32,CP$57),"")=0,"",IF(MID(IFERROR(INDEX(醫師週班表!$C$5:$T$44,$CU32,CP$57),""),2,1)="/",MID(IFERROR(INDEX(醫師週班表!$C$5:$T$44,$CU32,CP$57),""),1+CP$58*2,1),IF(MID(IFERROR(INDEX(醫師週班表!$C$5:$T$44,$CU32,CP$57),""),3,1)="隔",IF(CP$58=0,LEFT(IFERROR(INDEX(醫師週班表!$C$5:$T$44,$CU32,CP$57),""),1),""),IF(MID(IFERROR(INDEX(醫師週班表!$C$5:$T$44,$CU32,CP$57),""),2,1)="(",LEFT(IFERROR(INDEX(醫師週班表!$C$5:$T$44,$CU32,CP$57),""),1),IFERROR(INDEX(醫師週班表!$C$5:$T$44,$CU32,CP$57),"")))))))</f>
        <v/>
      </c>
      <c r="CQ32" s="71">
        <f>IF(CQ$59="X","",IF(CQ$59&lt;&gt;"",CQ$59,IF(IFERROR(INDEX(醫師週班表!$C$5:$T$44,$CU32,CQ$57),"")=0,"",IF(MID(IFERROR(INDEX(醫師週班表!$C$5:$T$44,$CU32,CQ$57),""),2,1)="/",MID(IFERROR(INDEX(醫師週班表!$C$5:$T$44,$CU32,CQ$57),""),1+CQ$58*2,1),IF(MID(IFERROR(INDEX(醫師週班表!$C$5:$T$44,$CU32,CQ$57),""),3,1)="隔",IF(CQ$58=0,LEFT(IFERROR(INDEX(醫師週班表!$C$5:$T$44,$CU32,CQ$57),""),1),""),IF(MID(IFERROR(INDEX(醫師週班表!$C$5:$T$44,$CU32,CQ$57),""),2,1)="(",LEFT(IFERROR(INDEX(醫師週班表!$C$5:$T$44,$CU32,CQ$57),""),1),IFERROR(INDEX(醫師週班表!$C$5:$T$44,$CU32,CQ$57),"")))))))</f>
        <v/>
      </c>
      <c r="CR32" s="72">
        <f>IF(CR$59="X","",IF(CR$59&lt;&gt;"",CR$59,IF(IFERROR(INDEX(醫師週班表!$C$5:$T$44,$CU32,CR$57),"")=0,"",IF(MID(IFERROR(INDEX(醫師週班表!$C$5:$T$44,$CU32,CR$57),""),2,1)="/",MID(IFERROR(INDEX(醫師週班表!$C$5:$T$44,$CU32,CR$57),""),1+CR$58*2,1),IF(MID(IFERROR(INDEX(醫師週班表!$C$5:$T$44,$CU32,CR$57),""),3,1)="隔",IF(CR$58=0,LEFT(IFERROR(INDEX(醫師週班表!$C$5:$T$44,$CU32,CR$57),""),1),""),IF(MID(IFERROR(INDEX(醫師週班表!$C$5:$T$44,$CU32,CR$57),""),2,1)="(",LEFT(IFERROR(INDEX(醫師週班表!$C$5:$T$44,$CU32,CR$57),""),1),IFERROR(INDEX(醫師週班表!$C$5:$T$44,$CU32,CR$57),"")))))))</f>
        <v/>
      </c>
      <c r="CS32" s="72">
        <f>IF(CS$59="X","",IF(CS$59&lt;&gt;"",CS$59,IF(IFERROR(INDEX(醫師週班表!$C$5:$T$44,$CU32,CS$57),"")=0,"",IF(MID(IFERROR(INDEX(醫師週班表!$C$5:$T$44,$CU32,CS$57),""),2,1)="/",MID(IFERROR(INDEX(醫師週班表!$C$5:$T$44,$CU32,CS$57),""),1+CS$58*2,1),IF(MID(IFERROR(INDEX(醫師週班表!$C$5:$T$44,$CU32,CS$57),""),3,1)="隔",IF(CS$58=0,LEFT(IFERROR(INDEX(醫師週班表!$C$5:$T$44,$CU32,CS$57),""),1),""),IF(MID(IFERROR(INDEX(醫師週班表!$C$5:$T$44,$CU32,CS$57),""),2,1)="(",LEFT(IFERROR(INDEX(醫師週班表!$C$5:$T$44,$CU32,CS$57),""),1),IFERROR(INDEX(醫師週班表!$C$5:$T$44,$CU32,CS$57),"")))))))</f>
        <v/>
      </c>
      <c r="CU32" s="73">
        <f>IFERROR(MATCH($A32,醫師週班表!$A$5:$A$44,0),0)</f>
        <v/>
      </c>
    </row>
    <row r="33" ht="17" customHeight="1">
      <c r="A33" s="19" t="n"/>
      <c r="B33" s="16">
        <f>IFERROR(INDEX(設定!$C$64:$C$203,MATCH($A33,設定!$B$64:$B$203,0)),"")</f>
        <v/>
      </c>
      <c r="C33" s="70">
        <f>IFERROR(INDEX(設定!$E$64:$E$203,MATCH($A33,設定!$B$64:$B$203,0)),"")</f>
        <v/>
      </c>
      <c r="D33" s="16">
        <f>IFERROR(INDEX(設定!$F$64:$F$203,MATCH($A33,設定!$B$64:$B$203,0)),"")</f>
        <v/>
      </c>
      <c r="E33" s="71">
        <f>IF(E$59="X","",IF(E$59&lt;&gt;"",E$59,IF(IFERROR(INDEX(醫師週班表!$C$5:$T$44,$CU33,E$57),"")=0,"",IF(MID(IFERROR(INDEX(醫師週班表!$C$5:$T$44,$CU33,E$57),""),2,1)="/",MID(IFERROR(INDEX(醫師週班表!$C$5:$T$44,$CU33,E$57),""),1+E$58*2,1),IF(MID(IFERROR(INDEX(醫師週班表!$C$5:$T$44,$CU33,E$57),""),3,1)="隔",IF(E$58=0,LEFT(IFERROR(INDEX(醫師週班表!$C$5:$T$44,$CU33,E$57),""),1),""),IF(MID(IFERROR(INDEX(醫師週班表!$C$5:$T$44,$CU33,E$57),""),2,1)="(",LEFT(IFERROR(INDEX(醫師週班表!$C$5:$T$44,$CU33,E$57),""),1),IFERROR(INDEX(醫師週班表!$C$5:$T$44,$CU33,E$57),"")))))))</f>
        <v/>
      </c>
      <c r="F33" s="72">
        <f>IF(F$59="X","",IF(F$59&lt;&gt;"",F$59,IF(IFERROR(INDEX(醫師週班表!$C$5:$T$44,$CU33,F$57),"")=0,"",IF(MID(IFERROR(INDEX(醫師週班表!$C$5:$T$44,$CU33,F$57),""),2,1)="/",MID(IFERROR(INDEX(醫師週班表!$C$5:$T$44,$CU33,F$57),""),1+F$58*2,1),IF(MID(IFERROR(INDEX(醫師週班表!$C$5:$T$44,$CU33,F$57),""),3,1)="隔",IF(F$58=0,LEFT(IFERROR(INDEX(醫師週班表!$C$5:$T$44,$CU33,F$57),""),1),""),IF(MID(IFERROR(INDEX(醫師週班表!$C$5:$T$44,$CU33,F$57),""),2,1)="(",LEFT(IFERROR(INDEX(醫師週班表!$C$5:$T$44,$CU33,F$57),""),1),IFERROR(INDEX(醫師週班表!$C$5:$T$44,$CU33,F$57),"")))))))</f>
        <v/>
      </c>
      <c r="G33" s="72">
        <f>IF(G$59="X","",IF(G$59&lt;&gt;"",G$59,IF(IFERROR(INDEX(醫師週班表!$C$5:$T$44,$CU33,G$57),"")=0,"",IF(MID(IFERROR(INDEX(醫師週班表!$C$5:$T$44,$CU33,G$57),""),2,1)="/",MID(IFERROR(INDEX(醫師週班表!$C$5:$T$44,$CU33,G$57),""),1+G$58*2,1),IF(MID(IFERROR(INDEX(醫師週班表!$C$5:$T$44,$CU33,G$57),""),3,1)="隔",IF(G$58=0,LEFT(IFERROR(INDEX(醫師週班表!$C$5:$T$44,$CU33,G$57),""),1),""),IF(MID(IFERROR(INDEX(醫師週班表!$C$5:$T$44,$CU33,G$57),""),2,1)="(",LEFT(IFERROR(INDEX(醫師週班表!$C$5:$T$44,$CU33,G$57),""),1),IFERROR(INDEX(醫師週班表!$C$5:$T$44,$CU33,G$57),"")))))))</f>
        <v/>
      </c>
      <c r="H33" s="71">
        <f>IF(H$59="X","",IF(H$59&lt;&gt;"",H$59,IF(IFERROR(INDEX(醫師週班表!$C$5:$T$44,$CU33,H$57),"")=0,"",IF(MID(IFERROR(INDEX(醫師週班表!$C$5:$T$44,$CU33,H$57),""),2,1)="/",MID(IFERROR(INDEX(醫師週班表!$C$5:$T$44,$CU33,H$57),""),1+H$58*2,1),IF(MID(IFERROR(INDEX(醫師週班表!$C$5:$T$44,$CU33,H$57),""),3,1)="隔",IF(H$58=0,LEFT(IFERROR(INDEX(醫師週班表!$C$5:$T$44,$CU33,H$57),""),1),""),IF(MID(IFERROR(INDEX(醫師週班表!$C$5:$T$44,$CU33,H$57),""),2,1)="(",LEFT(IFERROR(INDEX(醫師週班表!$C$5:$T$44,$CU33,H$57),""),1),IFERROR(INDEX(醫師週班表!$C$5:$T$44,$CU33,H$57),"")))))))</f>
        <v/>
      </c>
      <c r="I33" s="72">
        <f>IF(I$59="X","",IF(I$59&lt;&gt;"",I$59,IF(IFERROR(INDEX(醫師週班表!$C$5:$T$44,$CU33,I$57),"")=0,"",IF(MID(IFERROR(INDEX(醫師週班表!$C$5:$T$44,$CU33,I$57),""),2,1)="/",MID(IFERROR(INDEX(醫師週班表!$C$5:$T$44,$CU33,I$57),""),1+I$58*2,1),IF(MID(IFERROR(INDEX(醫師週班表!$C$5:$T$44,$CU33,I$57),""),3,1)="隔",IF(I$58=0,LEFT(IFERROR(INDEX(醫師週班表!$C$5:$T$44,$CU33,I$57),""),1),""),IF(MID(IFERROR(INDEX(醫師週班表!$C$5:$T$44,$CU33,I$57),""),2,1)="(",LEFT(IFERROR(INDEX(醫師週班表!$C$5:$T$44,$CU33,I$57),""),1),IFERROR(INDEX(醫師週班表!$C$5:$T$44,$CU33,I$57),"")))))))</f>
        <v/>
      </c>
      <c r="J33" s="72">
        <f>IF(J$59="X","",IF(J$59&lt;&gt;"",J$59,IF(IFERROR(INDEX(醫師週班表!$C$5:$T$44,$CU33,J$57),"")=0,"",IF(MID(IFERROR(INDEX(醫師週班表!$C$5:$T$44,$CU33,J$57),""),2,1)="/",MID(IFERROR(INDEX(醫師週班表!$C$5:$T$44,$CU33,J$57),""),1+J$58*2,1),IF(MID(IFERROR(INDEX(醫師週班表!$C$5:$T$44,$CU33,J$57),""),3,1)="隔",IF(J$58=0,LEFT(IFERROR(INDEX(醫師週班表!$C$5:$T$44,$CU33,J$57),""),1),""),IF(MID(IFERROR(INDEX(醫師週班表!$C$5:$T$44,$CU33,J$57),""),2,1)="(",LEFT(IFERROR(INDEX(醫師週班表!$C$5:$T$44,$CU33,J$57),""),1),IFERROR(INDEX(醫師週班表!$C$5:$T$44,$CU33,J$57),"")))))))</f>
        <v/>
      </c>
      <c r="K33" s="71">
        <f>IF(K$59="X","",IF(K$59&lt;&gt;"",K$59,IF(IFERROR(INDEX(醫師週班表!$C$5:$T$44,$CU33,K$57),"")=0,"",IF(MID(IFERROR(INDEX(醫師週班表!$C$5:$T$44,$CU33,K$57),""),2,1)="/",MID(IFERROR(INDEX(醫師週班表!$C$5:$T$44,$CU33,K$57),""),1+K$58*2,1),IF(MID(IFERROR(INDEX(醫師週班表!$C$5:$T$44,$CU33,K$57),""),3,1)="隔",IF(K$58=0,LEFT(IFERROR(INDEX(醫師週班表!$C$5:$T$44,$CU33,K$57),""),1),""),IF(MID(IFERROR(INDEX(醫師週班表!$C$5:$T$44,$CU33,K$57),""),2,1)="(",LEFT(IFERROR(INDEX(醫師週班表!$C$5:$T$44,$CU33,K$57),""),1),IFERROR(INDEX(醫師週班表!$C$5:$T$44,$CU33,K$57),"")))))))</f>
        <v/>
      </c>
      <c r="L33" s="72">
        <f>IF(L$59="X","",IF(L$59&lt;&gt;"",L$59,IF(IFERROR(INDEX(醫師週班表!$C$5:$T$44,$CU33,L$57),"")=0,"",IF(MID(IFERROR(INDEX(醫師週班表!$C$5:$T$44,$CU33,L$57),""),2,1)="/",MID(IFERROR(INDEX(醫師週班表!$C$5:$T$44,$CU33,L$57),""),1+L$58*2,1),IF(MID(IFERROR(INDEX(醫師週班表!$C$5:$T$44,$CU33,L$57),""),3,1)="隔",IF(L$58=0,LEFT(IFERROR(INDEX(醫師週班表!$C$5:$T$44,$CU33,L$57),""),1),""),IF(MID(IFERROR(INDEX(醫師週班表!$C$5:$T$44,$CU33,L$57),""),2,1)="(",LEFT(IFERROR(INDEX(醫師週班表!$C$5:$T$44,$CU33,L$57),""),1),IFERROR(INDEX(醫師週班表!$C$5:$T$44,$CU33,L$57),"")))))))</f>
        <v/>
      </c>
      <c r="M33" s="72">
        <f>IF(M$59="X","",IF(M$59&lt;&gt;"",M$59,IF(IFERROR(INDEX(醫師週班表!$C$5:$T$44,$CU33,M$57),"")=0,"",IF(MID(IFERROR(INDEX(醫師週班表!$C$5:$T$44,$CU33,M$57),""),2,1)="/",MID(IFERROR(INDEX(醫師週班表!$C$5:$T$44,$CU33,M$57),""),1+M$58*2,1),IF(MID(IFERROR(INDEX(醫師週班表!$C$5:$T$44,$CU33,M$57),""),3,1)="隔",IF(M$58=0,LEFT(IFERROR(INDEX(醫師週班表!$C$5:$T$44,$CU33,M$57),""),1),""),IF(MID(IFERROR(INDEX(醫師週班表!$C$5:$T$44,$CU33,M$57),""),2,1)="(",LEFT(IFERROR(INDEX(醫師週班表!$C$5:$T$44,$CU33,M$57),""),1),IFERROR(INDEX(醫師週班表!$C$5:$T$44,$CU33,M$57),"")))))))</f>
        <v/>
      </c>
      <c r="N33" s="71">
        <f>IF(N$59="X","",IF(N$59&lt;&gt;"",N$59,IF(IFERROR(INDEX(醫師週班表!$C$5:$T$44,$CU33,N$57),"")=0,"",IF(MID(IFERROR(INDEX(醫師週班表!$C$5:$T$44,$CU33,N$57),""),2,1)="/",MID(IFERROR(INDEX(醫師週班表!$C$5:$T$44,$CU33,N$57),""),1+N$58*2,1),IF(MID(IFERROR(INDEX(醫師週班表!$C$5:$T$44,$CU33,N$57),""),3,1)="隔",IF(N$58=0,LEFT(IFERROR(INDEX(醫師週班表!$C$5:$T$44,$CU33,N$57),""),1),""),IF(MID(IFERROR(INDEX(醫師週班表!$C$5:$T$44,$CU33,N$57),""),2,1)="(",LEFT(IFERROR(INDEX(醫師週班表!$C$5:$T$44,$CU33,N$57),""),1),IFERROR(INDEX(醫師週班表!$C$5:$T$44,$CU33,N$57),"")))))))</f>
        <v/>
      </c>
      <c r="O33" s="72">
        <f>IF(O$59="X","",IF(O$59&lt;&gt;"",O$59,IF(IFERROR(INDEX(醫師週班表!$C$5:$T$44,$CU33,O$57),"")=0,"",IF(MID(IFERROR(INDEX(醫師週班表!$C$5:$T$44,$CU33,O$57),""),2,1)="/",MID(IFERROR(INDEX(醫師週班表!$C$5:$T$44,$CU33,O$57),""),1+O$58*2,1),IF(MID(IFERROR(INDEX(醫師週班表!$C$5:$T$44,$CU33,O$57),""),3,1)="隔",IF(O$58=0,LEFT(IFERROR(INDEX(醫師週班表!$C$5:$T$44,$CU33,O$57),""),1),""),IF(MID(IFERROR(INDEX(醫師週班表!$C$5:$T$44,$CU33,O$57),""),2,1)="(",LEFT(IFERROR(INDEX(醫師週班表!$C$5:$T$44,$CU33,O$57),""),1),IFERROR(INDEX(醫師週班表!$C$5:$T$44,$CU33,O$57),"")))))))</f>
        <v/>
      </c>
      <c r="P33" s="72">
        <f>IF(P$59="X","",IF(P$59&lt;&gt;"",P$59,IF(IFERROR(INDEX(醫師週班表!$C$5:$T$44,$CU33,P$57),"")=0,"",IF(MID(IFERROR(INDEX(醫師週班表!$C$5:$T$44,$CU33,P$57),""),2,1)="/",MID(IFERROR(INDEX(醫師週班表!$C$5:$T$44,$CU33,P$57),""),1+P$58*2,1),IF(MID(IFERROR(INDEX(醫師週班表!$C$5:$T$44,$CU33,P$57),""),3,1)="隔",IF(P$58=0,LEFT(IFERROR(INDEX(醫師週班表!$C$5:$T$44,$CU33,P$57),""),1),""),IF(MID(IFERROR(INDEX(醫師週班表!$C$5:$T$44,$CU33,P$57),""),2,1)="(",LEFT(IFERROR(INDEX(醫師週班表!$C$5:$T$44,$CU33,P$57),""),1),IFERROR(INDEX(醫師週班表!$C$5:$T$44,$CU33,P$57),"")))))))</f>
        <v/>
      </c>
      <c r="Q33" s="71">
        <f>IF(Q$59="X","",IF(Q$59&lt;&gt;"",Q$59,IF(IFERROR(INDEX(醫師週班表!$C$5:$T$44,$CU33,Q$57),"")=0,"",IF(MID(IFERROR(INDEX(醫師週班表!$C$5:$T$44,$CU33,Q$57),""),2,1)="/",MID(IFERROR(INDEX(醫師週班表!$C$5:$T$44,$CU33,Q$57),""),1+Q$58*2,1),IF(MID(IFERROR(INDEX(醫師週班表!$C$5:$T$44,$CU33,Q$57),""),3,1)="隔",IF(Q$58=0,LEFT(IFERROR(INDEX(醫師週班表!$C$5:$T$44,$CU33,Q$57),""),1),""),IF(MID(IFERROR(INDEX(醫師週班表!$C$5:$T$44,$CU33,Q$57),""),2,1)="(",LEFT(IFERROR(INDEX(醫師週班表!$C$5:$T$44,$CU33,Q$57),""),1),IFERROR(INDEX(醫師週班表!$C$5:$T$44,$CU33,Q$57),"")))))))</f>
        <v/>
      </c>
      <c r="R33" s="72">
        <f>IF(R$59="X","",IF(R$59&lt;&gt;"",R$59,IF(IFERROR(INDEX(醫師週班表!$C$5:$T$44,$CU33,R$57),"")=0,"",IF(MID(IFERROR(INDEX(醫師週班表!$C$5:$T$44,$CU33,R$57),""),2,1)="/",MID(IFERROR(INDEX(醫師週班表!$C$5:$T$44,$CU33,R$57),""),1+R$58*2,1),IF(MID(IFERROR(INDEX(醫師週班表!$C$5:$T$44,$CU33,R$57),""),3,1)="隔",IF(R$58=0,LEFT(IFERROR(INDEX(醫師週班表!$C$5:$T$44,$CU33,R$57),""),1),""),IF(MID(IFERROR(INDEX(醫師週班表!$C$5:$T$44,$CU33,R$57),""),2,1)="(",LEFT(IFERROR(INDEX(醫師週班表!$C$5:$T$44,$CU33,R$57),""),1),IFERROR(INDEX(醫師週班表!$C$5:$T$44,$CU33,R$57),"")))))))</f>
        <v/>
      </c>
      <c r="S33" s="72">
        <f>IF(S$59="X","",IF(S$59&lt;&gt;"",S$59,IF(IFERROR(INDEX(醫師週班表!$C$5:$T$44,$CU33,S$57),"")=0,"",IF(MID(IFERROR(INDEX(醫師週班表!$C$5:$T$44,$CU33,S$57),""),2,1)="/",MID(IFERROR(INDEX(醫師週班表!$C$5:$T$44,$CU33,S$57),""),1+S$58*2,1),IF(MID(IFERROR(INDEX(醫師週班表!$C$5:$T$44,$CU33,S$57),""),3,1)="隔",IF(S$58=0,LEFT(IFERROR(INDEX(醫師週班表!$C$5:$T$44,$CU33,S$57),""),1),""),IF(MID(IFERROR(INDEX(醫師週班表!$C$5:$T$44,$CU33,S$57),""),2,1)="(",LEFT(IFERROR(INDEX(醫師週班表!$C$5:$T$44,$CU33,S$57),""),1),IFERROR(INDEX(醫師週班表!$C$5:$T$44,$CU33,S$57),"")))))))</f>
        <v/>
      </c>
      <c r="T33" s="71">
        <f>IF(T$59="X","",IF(T$59&lt;&gt;"",T$59,IF(IFERROR(INDEX(醫師週班表!$C$5:$T$44,$CU33,T$57),"")=0,"",IF(MID(IFERROR(INDEX(醫師週班表!$C$5:$T$44,$CU33,T$57),""),2,1)="/",MID(IFERROR(INDEX(醫師週班表!$C$5:$T$44,$CU33,T$57),""),1+T$58*2,1),IF(MID(IFERROR(INDEX(醫師週班表!$C$5:$T$44,$CU33,T$57),""),3,1)="隔",IF(T$58=0,LEFT(IFERROR(INDEX(醫師週班表!$C$5:$T$44,$CU33,T$57),""),1),""),IF(MID(IFERROR(INDEX(醫師週班表!$C$5:$T$44,$CU33,T$57),""),2,1)="(",LEFT(IFERROR(INDEX(醫師週班表!$C$5:$T$44,$CU33,T$57),""),1),IFERROR(INDEX(醫師週班表!$C$5:$T$44,$CU33,T$57),"")))))))</f>
        <v/>
      </c>
      <c r="U33" s="72">
        <f>IF(U$59="X","",IF(U$59&lt;&gt;"",U$59,IF(IFERROR(INDEX(醫師週班表!$C$5:$T$44,$CU33,U$57),"")=0,"",IF(MID(IFERROR(INDEX(醫師週班表!$C$5:$T$44,$CU33,U$57),""),2,1)="/",MID(IFERROR(INDEX(醫師週班表!$C$5:$T$44,$CU33,U$57),""),1+U$58*2,1),IF(MID(IFERROR(INDEX(醫師週班表!$C$5:$T$44,$CU33,U$57),""),3,1)="隔",IF(U$58=0,LEFT(IFERROR(INDEX(醫師週班表!$C$5:$T$44,$CU33,U$57),""),1),""),IF(MID(IFERROR(INDEX(醫師週班表!$C$5:$T$44,$CU33,U$57),""),2,1)="(",LEFT(IFERROR(INDEX(醫師週班表!$C$5:$T$44,$CU33,U$57),""),1),IFERROR(INDEX(醫師週班表!$C$5:$T$44,$CU33,U$57),"")))))))</f>
        <v/>
      </c>
      <c r="V33" s="72">
        <f>IF(V$59="X","",IF(V$59&lt;&gt;"",V$59,IF(IFERROR(INDEX(醫師週班表!$C$5:$T$44,$CU33,V$57),"")=0,"",IF(MID(IFERROR(INDEX(醫師週班表!$C$5:$T$44,$CU33,V$57),""),2,1)="/",MID(IFERROR(INDEX(醫師週班表!$C$5:$T$44,$CU33,V$57),""),1+V$58*2,1),IF(MID(IFERROR(INDEX(醫師週班表!$C$5:$T$44,$CU33,V$57),""),3,1)="隔",IF(V$58=0,LEFT(IFERROR(INDEX(醫師週班表!$C$5:$T$44,$CU33,V$57),""),1),""),IF(MID(IFERROR(INDEX(醫師週班表!$C$5:$T$44,$CU33,V$57),""),2,1)="(",LEFT(IFERROR(INDEX(醫師週班表!$C$5:$T$44,$CU33,V$57),""),1),IFERROR(INDEX(醫師週班表!$C$5:$T$44,$CU33,V$57),"")))))))</f>
        <v/>
      </c>
      <c r="W33" s="71">
        <f>IF(W$59="X","",IF(W$59&lt;&gt;"",W$59,IF(IFERROR(INDEX(醫師週班表!$C$5:$T$44,$CU33,W$57),"")=0,"",IF(MID(IFERROR(INDEX(醫師週班表!$C$5:$T$44,$CU33,W$57),""),2,1)="/",MID(IFERROR(INDEX(醫師週班表!$C$5:$T$44,$CU33,W$57),""),1+W$58*2,1),IF(MID(IFERROR(INDEX(醫師週班表!$C$5:$T$44,$CU33,W$57),""),3,1)="隔",IF(W$58=0,LEFT(IFERROR(INDEX(醫師週班表!$C$5:$T$44,$CU33,W$57),""),1),""),IF(MID(IFERROR(INDEX(醫師週班表!$C$5:$T$44,$CU33,W$57),""),2,1)="(",LEFT(IFERROR(INDEX(醫師週班表!$C$5:$T$44,$CU33,W$57),""),1),IFERROR(INDEX(醫師週班表!$C$5:$T$44,$CU33,W$57),"")))))))</f>
        <v/>
      </c>
      <c r="X33" s="72">
        <f>IF(X$59="X","",IF(X$59&lt;&gt;"",X$59,IF(IFERROR(INDEX(醫師週班表!$C$5:$T$44,$CU33,X$57),"")=0,"",IF(MID(IFERROR(INDEX(醫師週班表!$C$5:$T$44,$CU33,X$57),""),2,1)="/",MID(IFERROR(INDEX(醫師週班表!$C$5:$T$44,$CU33,X$57),""),1+X$58*2,1),IF(MID(IFERROR(INDEX(醫師週班表!$C$5:$T$44,$CU33,X$57),""),3,1)="隔",IF(X$58=0,LEFT(IFERROR(INDEX(醫師週班表!$C$5:$T$44,$CU33,X$57),""),1),""),IF(MID(IFERROR(INDEX(醫師週班表!$C$5:$T$44,$CU33,X$57),""),2,1)="(",LEFT(IFERROR(INDEX(醫師週班表!$C$5:$T$44,$CU33,X$57),""),1),IFERROR(INDEX(醫師週班表!$C$5:$T$44,$CU33,X$57),"")))))))</f>
        <v/>
      </c>
      <c r="Y33" s="72">
        <f>IF(Y$59="X","",IF(Y$59&lt;&gt;"",Y$59,IF(IFERROR(INDEX(醫師週班表!$C$5:$T$44,$CU33,Y$57),"")=0,"",IF(MID(IFERROR(INDEX(醫師週班表!$C$5:$T$44,$CU33,Y$57),""),2,1)="/",MID(IFERROR(INDEX(醫師週班表!$C$5:$T$44,$CU33,Y$57),""),1+Y$58*2,1),IF(MID(IFERROR(INDEX(醫師週班表!$C$5:$T$44,$CU33,Y$57),""),3,1)="隔",IF(Y$58=0,LEFT(IFERROR(INDEX(醫師週班表!$C$5:$T$44,$CU33,Y$57),""),1),""),IF(MID(IFERROR(INDEX(醫師週班表!$C$5:$T$44,$CU33,Y$57),""),2,1)="(",LEFT(IFERROR(INDEX(醫師週班表!$C$5:$T$44,$CU33,Y$57),""),1),IFERROR(INDEX(醫師週班表!$C$5:$T$44,$CU33,Y$57),"")))))))</f>
        <v/>
      </c>
      <c r="Z33" s="71">
        <f>IF(Z$59="X","",IF(Z$59&lt;&gt;"",Z$59,IF(IFERROR(INDEX(醫師週班表!$C$5:$T$44,$CU33,Z$57),"")=0,"",IF(MID(IFERROR(INDEX(醫師週班表!$C$5:$T$44,$CU33,Z$57),""),2,1)="/",MID(IFERROR(INDEX(醫師週班表!$C$5:$T$44,$CU33,Z$57),""),1+Z$58*2,1),IF(MID(IFERROR(INDEX(醫師週班表!$C$5:$T$44,$CU33,Z$57),""),3,1)="隔",IF(Z$58=0,LEFT(IFERROR(INDEX(醫師週班表!$C$5:$T$44,$CU33,Z$57),""),1),""),IF(MID(IFERROR(INDEX(醫師週班表!$C$5:$T$44,$CU33,Z$57),""),2,1)="(",LEFT(IFERROR(INDEX(醫師週班表!$C$5:$T$44,$CU33,Z$57),""),1),IFERROR(INDEX(醫師週班表!$C$5:$T$44,$CU33,Z$57),"")))))))</f>
        <v/>
      </c>
      <c r="AA33" s="72">
        <f>IF(AA$59="X","",IF(AA$59&lt;&gt;"",AA$59,IF(IFERROR(INDEX(醫師週班表!$C$5:$T$44,$CU33,AA$57),"")=0,"",IF(MID(IFERROR(INDEX(醫師週班表!$C$5:$T$44,$CU33,AA$57),""),2,1)="/",MID(IFERROR(INDEX(醫師週班表!$C$5:$T$44,$CU33,AA$57),""),1+AA$58*2,1),IF(MID(IFERROR(INDEX(醫師週班表!$C$5:$T$44,$CU33,AA$57),""),3,1)="隔",IF(AA$58=0,LEFT(IFERROR(INDEX(醫師週班表!$C$5:$T$44,$CU33,AA$57),""),1),""),IF(MID(IFERROR(INDEX(醫師週班表!$C$5:$T$44,$CU33,AA$57),""),2,1)="(",LEFT(IFERROR(INDEX(醫師週班表!$C$5:$T$44,$CU33,AA$57),""),1),IFERROR(INDEX(醫師週班表!$C$5:$T$44,$CU33,AA$57),"")))))))</f>
        <v/>
      </c>
      <c r="AB33" s="72">
        <f>IF(AB$59="X","",IF(AB$59&lt;&gt;"",AB$59,IF(IFERROR(INDEX(醫師週班表!$C$5:$T$44,$CU33,AB$57),"")=0,"",IF(MID(IFERROR(INDEX(醫師週班表!$C$5:$T$44,$CU33,AB$57),""),2,1)="/",MID(IFERROR(INDEX(醫師週班表!$C$5:$T$44,$CU33,AB$57),""),1+AB$58*2,1),IF(MID(IFERROR(INDEX(醫師週班表!$C$5:$T$44,$CU33,AB$57),""),3,1)="隔",IF(AB$58=0,LEFT(IFERROR(INDEX(醫師週班表!$C$5:$T$44,$CU33,AB$57),""),1),""),IF(MID(IFERROR(INDEX(醫師週班表!$C$5:$T$44,$CU33,AB$57),""),2,1)="(",LEFT(IFERROR(INDEX(醫師週班表!$C$5:$T$44,$CU33,AB$57),""),1),IFERROR(INDEX(醫師週班表!$C$5:$T$44,$CU33,AB$57),"")))))))</f>
        <v/>
      </c>
      <c r="AC33" s="71">
        <f>IF(AC$59="X","",IF(AC$59&lt;&gt;"",AC$59,IF(IFERROR(INDEX(醫師週班表!$C$5:$T$44,$CU33,AC$57),"")=0,"",IF(MID(IFERROR(INDEX(醫師週班表!$C$5:$T$44,$CU33,AC$57),""),2,1)="/",MID(IFERROR(INDEX(醫師週班表!$C$5:$T$44,$CU33,AC$57),""),1+AC$58*2,1),IF(MID(IFERROR(INDEX(醫師週班表!$C$5:$T$44,$CU33,AC$57),""),3,1)="隔",IF(AC$58=0,LEFT(IFERROR(INDEX(醫師週班表!$C$5:$T$44,$CU33,AC$57),""),1),""),IF(MID(IFERROR(INDEX(醫師週班表!$C$5:$T$44,$CU33,AC$57),""),2,1)="(",LEFT(IFERROR(INDEX(醫師週班表!$C$5:$T$44,$CU33,AC$57),""),1),IFERROR(INDEX(醫師週班表!$C$5:$T$44,$CU33,AC$57),"")))))))</f>
        <v/>
      </c>
      <c r="AD33" s="72">
        <f>IF(AD$59="X","",IF(AD$59&lt;&gt;"",AD$59,IF(IFERROR(INDEX(醫師週班表!$C$5:$T$44,$CU33,AD$57),"")=0,"",IF(MID(IFERROR(INDEX(醫師週班表!$C$5:$T$44,$CU33,AD$57),""),2,1)="/",MID(IFERROR(INDEX(醫師週班表!$C$5:$T$44,$CU33,AD$57),""),1+AD$58*2,1),IF(MID(IFERROR(INDEX(醫師週班表!$C$5:$T$44,$CU33,AD$57),""),3,1)="隔",IF(AD$58=0,LEFT(IFERROR(INDEX(醫師週班表!$C$5:$T$44,$CU33,AD$57),""),1),""),IF(MID(IFERROR(INDEX(醫師週班表!$C$5:$T$44,$CU33,AD$57),""),2,1)="(",LEFT(IFERROR(INDEX(醫師週班表!$C$5:$T$44,$CU33,AD$57),""),1),IFERROR(INDEX(醫師週班表!$C$5:$T$44,$CU33,AD$57),"")))))))</f>
        <v/>
      </c>
      <c r="AE33" s="72">
        <f>IF(AE$59="X","",IF(AE$59&lt;&gt;"",AE$59,IF(IFERROR(INDEX(醫師週班表!$C$5:$T$44,$CU33,AE$57),"")=0,"",IF(MID(IFERROR(INDEX(醫師週班表!$C$5:$T$44,$CU33,AE$57),""),2,1)="/",MID(IFERROR(INDEX(醫師週班表!$C$5:$T$44,$CU33,AE$57),""),1+AE$58*2,1),IF(MID(IFERROR(INDEX(醫師週班表!$C$5:$T$44,$CU33,AE$57),""),3,1)="隔",IF(AE$58=0,LEFT(IFERROR(INDEX(醫師週班表!$C$5:$T$44,$CU33,AE$57),""),1),""),IF(MID(IFERROR(INDEX(醫師週班表!$C$5:$T$44,$CU33,AE$57),""),2,1)="(",LEFT(IFERROR(INDEX(醫師週班表!$C$5:$T$44,$CU33,AE$57),""),1),IFERROR(INDEX(醫師週班表!$C$5:$T$44,$CU33,AE$57),"")))))))</f>
        <v/>
      </c>
      <c r="AF33" s="71">
        <f>IF(AF$59="X","",IF(AF$59&lt;&gt;"",AF$59,IF(IFERROR(INDEX(醫師週班表!$C$5:$T$44,$CU33,AF$57),"")=0,"",IF(MID(IFERROR(INDEX(醫師週班表!$C$5:$T$44,$CU33,AF$57),""),2,1)="/",MID(IFERROR(INDEX(醫師週班表!$C$5:$T$44,$CU33,AF$57),""),1+AF$58*2,1),IF(MID(IFERROR(INDEX(醫師週班表!$C$5:$T$44,$CU33,AF$57),""),3,1)="隔",IF(AF$58=0,LEFT(IFERROR(INDEX(醫師週班表!$C$5:$T$44,$CU33,AF$57),""),1),""),IF(MID(IFERROR(INDEX(醫師週班表!$C$5:$T$44,$CU33,AF$57),""),2,1)="(",LEFT(IFERROR(INDEX(醫師週班表!$C$5:$T$44,$CU33,AF$57),""),1),IFERROR(INDEX(醫師週班表!$C$5:$T$44,$CU33,AF$57),"")))))))</f>
        <v/>
      </c>
      <c r="AG33" s="72">
        <f>IF(AG$59="X","",IF(AG$59&lt;&gt;"",AG$59,IF(IFERROR(INDEX(醫師週班表!$C$5:$T$44,$CU33,AG$57),"")=0,"",IF(MID(IFERROR(INDEX(醫師週班表!$C$5:$T$44,$CU33,AG$57),""),2,1)="/",MID(IFERROR(INDEX(醫師週班表!$C$5:$T$44,$CU33,AG$57),""),1+AG$58*2,1),IF(MID(IFERROR(INDEX(醫師週班表!$C$5:$T$44,$CU33,AG$57),""),3,1)="隔",IF(AG$58=0,LEFT(IFERROR(INDEX(醫師週班表!$C$5:$T$44,$CU33,AG$57),""),1),""),IF(MID(IFERROR(INDEX(醫師週班表!$C$5:$T$44,$CU33,AG$57),""),2,1)="(",LEFT(IFERROR(INDEX(醫師週班表!$C$5:$T$44,$CU33,AG$57),""),1),IFERROR(INDEX(醫師週班表!$C$5:$T$44,$CU33,AG$57),"")))))))</f>
        <v/>
      </c>
      <c r="AH33" s="72">
        <f>IF(AH$59="X","",IF(AH$59&lt;&gt;"",AH$59,IF(IFERROR(INDEX(醫師週班表!$C$5:$T$44,$CU33,AH$57),"")=0,"",IF(MID(IFERROR(INDEX(醫師週班表!$C$5:$T$44,$CU33,AH$57),""),2,1)="/",MID(IFERROR(INDEX(醫師週班表!$C$5:$T$44,$CU33,AH$57),""),1+AH$58*2,1),IF(MID(IFERROR(INDEX(醫師週班表!$C$5:$T$44,$CU33,AH$57),""),3,1)="隔",IF(AH$58=0,LEFT(IFERROR(INDEX(醫師週班表!$C$5:$T$44,$CU33,AH$57),""),1),""),IF(MID(IFERROR(INDEX(醫師週班表!$C$5:$T$44,$CU33,AH$57),""),2,1)="(",LEFT(IFERROR(INDEX(醫師週班表!$C$5:$T$44,$CU33,AH$57),""),1),IFERROR(INDEX(醫師週班表!$C$5:$T$44,$CU33,AH$57),"")))))))</f>
        <v/>
      </c>
      <c r="AI33" s="71">
        <f>IF(AI$59="X","",IF(AI$59&lt;&gt;"",AI$59,IF(IFERROR(INDEX(醫師週班表!$C$5:$T$44,$CU33,AI$57),"")=0,"",IF(MID(IFERROR(INDEX(醫師週班表!$C$5:$T$44,$CU33,AI$57),""),2,1)="/",MID(IFERROR(INDEX(醫師週班表!$C$5:$T$44,$CU33,AI$57),""),1+AI$58*2,1),IF(MID(IFERROR(INDEX(醫師週班表!$C$5:$T$44,$CU33,AI$57),""),3,1)="隔",IF(AI$58=0,LEFT(IFERROR(INDEX(醫師週班表!$C$5:$T$44,$CU33,AI$57),""),1),""),IF(MID(IFERROR(INDEX(醫師週班表!$C$5:$T$44,$CU33,AI$57),""),2,1)="(",LEFT(IFERROR(INDEX(醫師週班表!$C$5:$T$44,$CU33,AI$57),""),1),IFERROR(INDEX(醫師週班表!$C$5:$T$44,$CU33,AI$57),"")))))))</f>
        <v/>
      </c>
      <c r="AJ33" s="72">
        <f>IF(AJ$59="X","",IF(AJ$59&lt;&gt;"",AJ$59,IF(IFERROR(INDEX(醫師週班表!$C$5:$T$44,$CU33,AJ$57),"")=0,"",IF(MID(IFERROR(INDEX(醫師週班表!$C$5:$T$44,$CU33,AJ$57),""),2,1)="/",MID(IFERROR(INDEX(醫師週班表!$C$5:$T$44,$CU33,AJ$57),""),1+AJ$58*2,1),IF(MID(IFERROR(INDEX(醫師週班表!$C$5:$T$44,$CU33,AJ$57),""),3,1)="隔",IF(AJ$58=0,LEFT(IFERROR(INDEX(醫師週班表!$C$5:$T$44,$CU33,AJ$57),""),1),""),IF(MID(IFERROR(INDEX(醫師週班表!$C$5:$T$44,$CU33,AJ$57),""),2,1)="(",LEFT(IFERROR(INDEX(醫師週班表!$C$5:$T$44,$CU33,AJ$57),""),1),IFERROR(INDEX(醫師週班表!$C$5:$T$44,$CU33,AJ$57),"")))))))</f>
        <v/>
      </c>
      <c r="AK33" s="72">
        <f>IF(AK$59="X","",IF(AK$59&lt;&gt;"",AK$59,IF(IFERROR(INDEX(醫師週班表!$C$5:$T$44,$CU33,AK$57),"")=0,"",IF(MID(IFERROR(INDEX(醫師週班表!$C$5:$T$44,$CU33,AK$57),""),2,1)="/",MID(IFERROR(INDEX(醫師週班表!$C$5:$T$44,$CU33,AK$57),""),1+AK$58*2,1),IF(MID(IFERROR(INDEX(醫師週班表!$C$5:$T$44,$CU33,AK$57),""),3,1)="隔",IF(AK$58=0,LEFT(IFERROR(INDEX(醫師週班表!$C$5:$T$44,$CU33,AK$57),""),1),""),IF(MID(IFERROR(INDEX(醫師週班表!$C$5:$T$44,$CU33,AK$57),""),2,1)="(",LEFT(IFERROR(INDEX(醫師週班表!$C$5:$T$44,$CU33,AK$57),""),1),IFERROR(INDEX(醫師週班表!$C$5:$T$44,$CU33,AK$57),"")))))))</f>
        <v/>
      </c>
      <c r="AL33" s="71">
        <f>IF(AL$59="X","",IF(AL$59&lt;&gt;"",AL$59,IF(IFERROR(INDEX(醫師週班表!$C$5:$T$44,$CU33,AL$57),"")=0,"",IF(MID(IFERROR(INDEX(醫師週班表!$C$5:$T$44,$CU33,AL$57),""),2,1)="/",MID(IFERROR(INDEX(醫師週班表!$C$5:$T$44,$CU33,AL$57),""),1+AL$58*2,1),IF(MID(IFERROR(INDEX(醫師週班表!$C$5:$T$44,$CU33,AL$57),""),3,1)="隔",IF(AL$58=0,LEFT(IFERROR(INDEX(醫師週班表!$C$5:$T$44,$CU33,AL$57),""),1),""),IF(MID(IFERROR(INDEX(醫師週班表!$C$5:$T$44,$CU33,AL$57),""),2,1)="(",LEFT(IFERROR(INDEX(醫師週班表!$C$5:$T$44,$CU33,AL$57),""),1),IFERROR(INDEX(醫師週班表!$C$5:$T$44,$CU33,AL$57),"")))))))</f>
        <v/>
      </c>
      <c r="AM33" s="72">
        <f>IF(AM$59="X","",IF(AM$59&lt;&gt;"",AM$59,IF(IFERROR(INDEX(醫師週班表!$C$5:$T$44,$CU33,AM$57),"")=0,"",IF(MID(IFERROR(INDEX(醫師週班表!$C$5:$T$44,$CU33,AM$57),""),2,1)="/",MID(IFERROR(INDEX(醫師週班表!$C$5:$T$44,$CU33,AM$57),""),1+AM$58*2,1),IF(MID(IFERROR(INDEX(醫師週班表!$C$5:$T$44,$CU33,AM$57),""),3,1)="隔",IF(AM$58=0,LEFT(IFERROR(INDEX(醫師週班表!$C$5:$T$44,$CU33,AM$57),""),1),""),IF(MID(IFERROR(INDEX(醫師週班表!$C$5:$T$44,$CU33,AM$57),""),2,1)="(",LEFT(IFERROR(INDEX(醫師週班表!$C$5:$T$44,$CU33,AM$57),""),1),IFERROR(INDEX(醫師週班表!$C$5:$T$44,$CU33,AM$57),"")))))))</f>
        <v/>
      </c>
      <c r="AN33" s="72">
        <f>IF(AN$59="X","",IF(AN$59&lt;&gt;"",AN$59,IF(IFERROR(INDEX(醫師週班表!$C$5:$T$44,$CU33,AN$57),"")=0,"",IF(MID(IFERROR(INDEX(醫師週班表!$C$5:$T$44,$CU33,AN$57),""),2,1)="/",MID(IFERROR(INDEX(醫師週班表!$C$5:$T$44,$CU33,AN$57),""),1+AN$58*2,1),IF(MID(IFERROR(INDEX(醫師週班表!$C$5:$T$44,$CU33,AN$57),""),3,1)="隔",IF(AN$58=0,LEFT(IFERROR(INDEX(醫師週班表!$C$5:$T$44,$CU33,AN$57),""),1),""),IF(MID(IFERROR(INDEX(醫師週班表!$C$5:$T$44,$CU33,AN$57),""),2,1)="(",LEFT(IFERROR(INDEX(醫師週班表!$C$5:$T$44,$CU33,AN$57),""),1),IFERROR(INDEX(醫師週班表!$C$5:$T$44,$CU33,AN$57),"")))))))</f>
        <v/>
      </c>
      <c r="AO33" s="71">
        <f>IF(AO$59="X","",IF(AO$59&lt;&gt;"",AO$59,IF(IFERROR(INDEX(醫師週班表!$C$5:$T$44,$CU33,AO$57),"")=0,"",IF(MID(IFERROR(INDEX(醫師週班表!$C$5:$T$44,$CU33,AO$57),""),2,1)="/",MID(IFERROR(INDEX(醫師週班表!$C$5:$T$44,$CU33,AO$57),""),1+AO$58*2,1),IF(MID(IFERROR(INDEX(醫師週班表!$C$5:$T$44,$CU33,AO$57),""),3,1)="隔",IF(AO$58=0,LEFT(IFERROR(INDEX(醫師週班表!$C$5:$T$44,$CU33,AO$57),""),1),""),IF(MID(IFERROR(INDEX(醫師週班表!$C$5:$T$44,$CU33,AO$57),""),2,1)="(",LEFT(IFERROR(INDEX(醫師週班表!$C$5:$T$44,$CU33,AO$57),""),1),IFERROR(INDEX(醫師週班表!$C$5:$T$44,$CU33,AO$57),"")))))))</f>
        <v/>
      </c>
      <c r="AP33" s="72">
        <f>IF(AP$59="X","",IF(AP$59&lt;&gt;"",AP$59,IF(IFERROR(INDEX(醫師週班表!$C$5:$T$44,$CU33,AP$57),"")=0,"",IF(MID(IFERROR(INDEX(醫師週班表!$C$5:$T$44,$CU33,AP$57),""),2,1)="/",MID(IFERROR(INDEX(醫師週班表!$C$5:$T$44,$CU33,AP$57),""),1+AP$58*2,1),IF(MID(IFERROR(INDEX(醫師週班表!$C$5:$T$44,$CU33,AP$57),""),3,1)="隔",IF(AP$58=0,LEFT(IFERROR(INDEX(醫師週班表!$C$5:$T$44,$CU33,AP$57),""),1),""),IF(MID(IFERROR(INDEX(醫師週班表!$C$5:$T$44,$CU33,AP$57),""),2,1)="(",LEFT(IFERROR(INDEX(醫師週班表!$C$5:$T$44,$CU33,AP$57),""),1),IFERROR(INDEX(醫師週班表!$C$5:$T$44,$CU33,AP$57),"")))))))</f>
        <v/>
      </c>
      <c r="AQ33" s="72">
        <f>IF(AQ$59="X","",IF(AQ$59&lt;&gt;"",AQ$59,IF(IFERROR(INDEX(醫師週班表!$C$5:$T$44,$CU33,AQ$57),"")=0,"",IF(MID(IFERROR(INDEX(醫師週班表!$C$5:$T$44,$CU33,AQ$57),""),2,1)="/",MID(IFERROR(INDEX(醫師週班表!$C$5:$T$44,$CU33,AQ$57),""),1+AQ$58*2,1),IF(MID(IFERROR(INDEX(醫師週班表!$C$5:$T$44,$CU33,AQ$57),""),3,1)="隔",IF(AQ$58=0,LEFT(IFERROR(INDEX(醫師週班表!$C$5:$T$44,$CU33,AQ$57),""),1),""),IF(MID(IFERROR(INDEX(醫師週班表!$C$5:$T$44,$CU33,AQ$57),""),2,1)="(",LEFT(IFERROR(INDEX(醫師週班表!$C$5:$T$44,$CU33,AQ$57),""),1),IFERROR(INDEX(醫師週班表!$C$5:$T$44,$CU33,AQ$57),"")))))))</f>
        <v/>
      </c>
      <c r="AR33" s="71">
        <f>IF(AR$59="X","",IF(AR$59&lt;&gt;"",AR$59,IF(IFERROR(INDEX(醫師週班表!$C$5:$T$44,$CU33,AR$57),"")=0,"",IF(MID(IFERROR(INDEX(醫師週班表!$C$5:$T$44,$CU33,AR$57),""),2,1)="/",MID(IFERROR(INDEX(醫師週班表!$C$5:$T$44,$CU33,AR$57),""),1+AR$58*2,1),IF(MID(IFERROR(INDEX(醫師週班表!$C$5:$T$44,$CU33,AR$57),""),3,1)="隔",IF(AR$58=0,LEFT(IFERROR(INDEX(醫師週班表!$C$5:$T$44,$CU33,AR$57),""),1),""),IF(MID(IFERROR(INDEX(醫師週班表!$C$5:$T$44,$CU33,AR$57),""),2,1)="(",LEFT(IFERROR(INDEX(醫師週班表!$C$5:$T$44,$CU33,AR$57),""),1),IFERROR(INDEX(醫師週班表!$C$5:$T$44,$CU33,AR$57),"")))))))</f>
        <v/>
      </c>
      <c r="AS33" s="72">
        <f>IF(AS$59="X","",IF(AS$59&lt;&gt;"",AS$59,IF(IFERROR(INDEX(醫師週班表!$C$5:$T$44,$CU33,AS$57),"")=0,"",IF(MID(IFERROR(INDEX(醫師週班表!$C$5:$T$44,$CU33,AS$57),""),2,1)="/",MID(IFERROR(INDEX(醫師週班表!$C$5:$T$44,$CU33,AS$57),""),1+AS$58*2,1),IF(MID(IFERROR(INDEX(醫師週班表!$C$5:$T$44,$CU33,AS$57),""),3,1)="隔",IF(AS$58=0,LEFT(IFERROR(INDEX(醫師週班表!$C$5:$T$44,$CU33,AS$57),""),1),""),IF(MID(IFERROR(INDEX(醫師週班表!$C$5:$T$44,$CU33,AS$57),""),2,1)="(",LEFT(IFERROR(INDEX(醫師週班表!$C$5:$T$44,$CU33,AS$57),""),1),IFERROR(INDEX(醫師週班表!$C$5:$T$44,$CU33,AS$57),"")))))))</f>
        <v/>
      </c>
      <c r="AT33" s="72">
        <f>IF(AT$59="X","",IF(AT$59&lt;&gt;"",AT$59,IF(IFERROR(INDEX(醫師週班表!$C$5:$T$44,$CU33,AT$57),"")=0,"",IF(MID(IFERROR(INDEX(醫師週班表!$C$5:$T$44,$CU33,AT$57),""),2,1)="/",MID(IFERROR(INDEX(醫師週班表!$C$5:$T$44,$CU33,AT$57),""),1+AT$58*2,1),IF(MID(IFERROR(INDEX(醫師週班表!$C$5:$T$44,$CU33,AT$57),""),3,1)="隔",IF(AT$58=0,LEFT(IFERROR(INDEX(醫師週班表!$C$5:$T$44,$CU33,AT$57),""),1),""),IF(MID(IFERROR(INDEX(醫師週班表!$C$5:$T$44,$CU33,AT$57),""),2,1)="(",LEFT(IFERROR(INDEX(醫師週班表!$C$5:$T$44,$CU33,AT$57),""),1),IFERROR(INDEX(醫師週班表!$C$5:$T$44,$CU33,AT$57),"")))))))</f>
        <v/>
      </c>
      <c r="AU33" s="71">
        <f>IF(AU$59="X","",IF(AU$59&lt;&gt;"",AU$59,IF(IFERROR(INDEX(醫師週班表!$C$5:$T$44,$CU33,AU$57),"")=0,"",IF(MID(IFERROR(INDEX(醫師週班表!$C$5:$T$44,$CU33,AU$57),""),2,1)="/",MID(IFERROR(INDEX(醫師週班表!$C$5:$T$44,$CU33,AU$57),""),1+AU$58*2,1),IF(MID(IFERROR(INDEX(醫師週班表!$C$5:$T$44,$CU33,AU$57),""),3,1)="隔",IF(AU$58=0,LEFT(IFERROR(INDEX(醫師週班表!$C$5:$T$44,$CU33,AU$57),""),1),""),IF(MID(IFERROR(INDEX(醫師週班表!$C$5:$T$44,$CU33,AU$57),""),2,1)="(",LEFT(IFERROR(INDEX(醫師週班表!$C$5:$T$44,$CU33,AU$57),""),1),IFERROR(INDEX(醫師週班表!$C$5:$T$44,$CU33,AU$57),"")))))))</f>
        <v/>
      </c>
      <c r="AV33" s="72">
        <f>IF(AV$59="X","",IF(AV$59&lt;&gt;"",AV$59,IF(IFERROR(INDEX(醫師週班表!$C$5:$T$44,$CU33,AV$57),"")=0,"",IF(MID(IFERROR(INDEX(醫師週班表!$C$5:$T$44,$CU33,AV$57),""),2,1)="/",MID(IFERROR(INDEX(醫師週班表!$C$5:$T$44,$CU33,AV$57),""),1+AV$58*2,1),IF(MID(IFERROR(INDEX(醫師週班表!$C$5:$T$44,$CU33,AV$57),""),3,1)="隔",IF(AV$58=0,LEFT(IFERROR(INDEX(醫師週班表!$C$5:$T$44,$CU33,AV$57),""),1),""),IF(MID(IFERROR(INDEX(醫師週班表!$C$5:$T$44,$CU33,AV$57),""),2,1)="(",LEFT(IFERROR(INDEX(醫師週班表!$C$5:$T$44,$CU33,AV$57),""),1),IFERROR(INDEX(醫師週班表!$C$5:$T$44,$CU33,AV$57),"")))))))</f>
        <v/>
      </c>
      <c r="AW33" s="72">
        <f>IF(AW$59="X","",IF(AW$59&lt;&gt;"",AW$59,IF(IFERROR(INDEX(醫師週班表!$C$5:$T$44,$CU33,AW$57),"")=0,"",IF(MID(IFERROR(INDEX(醫師週班表!$C$5:$T$44,$CU33,AW$57),""),2,1)="/",MID(IFERROR(INDEX(醫師週班表!$C$5:$T$44,$CU33,AW$57),""),1+AW$58*2,1),IF(MID(IFERROR(INDEX(醫師週班表!$C$5:$T$44,$CU33,AW$57),""),3,1)="隔",IF(AW$58=0,LEFT(IFERROR(INDEX(醫師週班表!$C$5:$T$44,$CU33,AW$57),""),1),""),IF(MID(IFERROR(INDEX(醫師週班表!$C$5:$T$44,$CU33,AW$57),""),2,1)="(",LEFT(IFERROR(INDEX(醫師週班表!$C$5:$T$44,$CU33,AW$57),""),1),IFERROR(INDEX(醫師週班表!$C$5:$T$44,$CU33,AW$57),"")))))))</f>
        <v/>
      </c>
      <c r="AX33" s="71">
        <f>IF(AX$59="X","",IF(AX$59&lt;&gt;"",AX$59,IF(IFERROR(INDEX(醫師週班表!$C$5:$T$44,$CU33,AX$57),"")=0,"",IF(MID(IFERROR(INDEX(醫師週班表!$C$5:$T$44,$CU33,AX$57),""),2,1)="/",MID(IFERROR(INDEX(醫師週班表!$C$5:$T$44,$CU33,AX$57),""),1+AX$58*2,1),IF(MID(IFERROR(INDEX(醫師週班表!$C$5:$T$44,$CU33,AX$57),""),3,1)="隔",IF(AX$58=0,LEFT(IFERROR(INDEX(醫師週班表!$C$5:$T$44,$CU33,AX$57),""),1),""),IF(MID(IFERROR(INDEX(醫師週班表!$C$5:$T$44,$CU33,AX$57),""),2,1)="(",LEFT(IFERROR(INDEX(醫師週班表!$C$5:$T$44,$CU33,AX$57),""),1),IFERROR(INDEX(醫師週班表!$C$5:$T$44,$CU33,AX$57),"")))))))</f>
        <v/>
      </c>
      <c r="AY33" s="72">
        <f>IF(AY$59="X","",IF(AY$59&lt;&gt;"",AY$59,IF(IFERROR(INDEX(醫師週班表!$C$5:$T$44,$CU33,AY$57),"")=0,"",IF(MID(IFERROR(INDEX(醫師週班表!$C$5:$T$44,$CU33,AY$57),""),2,1)="/",MID(IFERROR(INDEX(醫師週班表!$C$5:$T$44,$CU33,AY$57),""),1+AY$58*2,1),IF(MID(IFERROR(INDEX(醫師週班表!$C$5:$T$44,$CU33,AY$57),""),3,1)="隔",IF(AY$58=0,LEFT(IFERROR(INDEX(醫師週班表!$C$5:$T$44,$CU33,AY$57),""),1),""),IF(MID(IFERROR(INDEX(醫師週班表!$C$5:$T$44,$CU33,AY$57),""),2,1)="(",LEFT(IFERROR(INDEX(醫師週班表!$C$5:$T$44,$CU33,AY$57),""),1),IFERROR(INDEX(醫師週班表!$C$5:$T$44,$CU33,AY$57),"")))))))</f>
        <v/>
      </c>
      <c r="AZ33" s="72">
        <f>IF(AZ$59="X","",IF(AZ$59&lt;&gt;"",AZ$59,IF(IFERROR(INDEX(醫師週班表!$C$5:$T$44,$CU33,AZ$57),"")=0,"",IF(MID(IFERROR(INDEX(醫師週班表!$C$5:$T$44,$CU33,AZ$57),""),2,1)="/",MID(IFERROR(INDEX(醫師週班表!$C$5:$T$44,$CU33,AZ$57),""),1+AZ$58*2,1),IF(MID(IFERROR(INDEX(醫師週班表!$C$5:$T$44,$CU33,AZ$57),""),3,1)="隔",IF(AZ$58=0,LEFT(IFERROR(INDEX(醫師週班表!$C$5:$T$44,$CU33,AZ$57),""),1),""),IF(MID(IFERROR(INDEX(醫師週班表!$C$5:$T$44,$CU33,AZ$57),""),2,1)="(",LEFT(IFERROR(INDEX(醫師週班表!$C$5:$T$44,$CU33,AZ$57),""),1),IFERROR(INDEX(醫師週班表!$C$5:$T$44,$CU33,AZ$57),"")))))))</f>
        <v/>
      </c>
      <c r="BA33" s="71">
        <f>IF(BA$59="X","",IF(BA$59&lt;&gt;"",BA$59,IF(IFERROR(INDEX(醫師週班表!$C$5:$T$44,$CU33,BA$57),"")=0,"",IF(MID(IFERROR(INDEX(醫師週班表!$C$5:$T$44,$CU33,BA$57),""),2,1)="/",MID(IFERROR(INDEX(醫師週班表!$C$5:$T$44,$CU33,BA$57),""),1+BA$58*2,1),IF(MID(IFERROR(INDEX(醫師週班表!$C$5:$T$44,$CU33,BA$57),""),3,1)="隔",IF(BA$58=0,LEFT(IFERROR(INDEX(醫師週班表!$C$5:$T$44,$CU33,BA$57),""),1),""),IF(MID(IFERROR(INDEX(醫師週班表!$C$5:$T$44,$CU33,BA$57),""),2,1)="(",LEFT(IFERROR(INDEX(醫師週班表!$C$5:$T$44,$CU33,BA$57),""),1),IFERROR(INDEX(醫師週班表!$C$5:$T$44,$CU33,BA$57),"")))))))</f>
        <v/>
      </c>
      <c r="BB33" s="72">
        <f>IF(BB$59="X","",IF(BB$59&lt;&gt;"",BB$59,IF(IFERROR(INDEX(醫師週班表!$C$5:$T$44,$CU33,BB$57),"")=0,"",IF(MID(IFERROR(INDEX(醫師週班表!$C$5:$T$44,$CU33,BB$57),""),2,1)="/",MID(IFERROR(INDEX(醫師週班表!$C$5:$T$44,$CU33,BB$57),""),1+BB$58*2,1),IF(MID(IFERROR(INDEX(醫師週班表!$C$5:$T$44,$CU33,BB$57),""),3,1)="隔",IF(BB$58=0,LEFT(IFERROR(INDEX(醫師週班表!$C$5:$T$44,$CU33,BB$57),""),1),""),IF(MID(IFERROR(INDEX(醫師週班表!$C$5:$T$44,$CU33,BB$57),""),2,1)="(",LEFT(IFERROR(INDEX(醫師週班表!$C$5:$T$44,$CU33,BB$57),""),1),IFERROR(INDEX(醫師週班表!$C$5:$T$44,$CU33,BB$57),"")))))))</f>
        <v/>
      </c>
      <c r="BC33" s="72">
        <f>IF(BC$59="X","",IF(BC$59&lt;&gt;"",BC$59,IF(IFERROR(INDEX(醫師週班表!$C$5:$T$44,$CU33,BC$57),"")=0,"",IF(MID(IFERROR(INDEX(醫師週班表!$C$5:$T$44,$CU33,BC$57),""),2,1)="/",MID(IFERROR(INDEX(醫師週班表!$C$5:$T$44,$CU33,BC$57),""),1+BC$58*2,1),IF(MID(IFERROR(INDEX(醫師週班表!$C$5:$T$44,$CU33,BC$57),""),3,1)="隔",IF(BC$58=0,LEFT(IFERROR(INDEX(醫師週班表!$C$5:$T$44,$CU33,BC$57),""),1),""),IF(MID(IFERROR(INDEX(醫師週班表!$C$5:$T$44,$CU33,BC$57),""),2,1)="(",LEFT(IFERROR(INDEX(醫師週班表!$C$5:$T$44,$CU33,BC$57),""),1),IFERROR(INDEX(醫師週班表!$C$5:$T$44,$CU33,BC$57),"")))))))</f>
        <v/>
      </c>
      <c r="BD33" s="71">
        <f>IF(BD$59="X","",IF(BD$59&lt;&gt;"",BD$59,IF(IFERROR(INDEX(醫師週班表!$C$5:$T$44,$CU33,BD$57),"")=0,"",IF(MID(IFERROR(INDEX(醫師週班表!$C$5:$T$44,$CU33,BD$57),""),2,1)="/",MID(IFERROR(INDEX(醫師週班表!$C$5:$T$44,$CU33,BD$57),""),1+BD$58*2,1),IF(MID(IFERROR(INDEX(醫師週班表!$C$5:$T$44,$CU33,BD$57),""),3,1)="隔",IF(BD$58=0,LEFT(IFERROR(INDEX(醫師週班表!$C$5:$T$44,$CU33,BD$57),""),1),""),IF(MID(IFERROR(INDEX(醫師週班表!$C$5:$T$44,$CU33,BD$57),""),2,1)="(",LEFT(IFERROR(INDEX(醫師週班表!$C$5:$T$44,$CU33,BD$57),""),1),IFERROR(INDEX(醫師週班表!$C$5:$T$44,$CU33,BD$57),"")))))))</f>
        <v/>
      </c>
      <c r="BE33" s="72">
        <f>IF(BE$59="X","",IF(BE$59&lt;&gt;"",BE$59,IF(IFERROR(INDEX(醫師週班表!$C$5:$T$44,$CU33,BE$57),"")=0,"",IF(MID(IFERROR(INDEX(醫師週班表!$C$5:$T$44,$CU33,BE$57),""),2,1)="/",MID(IFERROR(INDEX(醫師週班表!$C$5:$T$44,$CU33,BE$57),""),1+BE$58*2,1),IF(MID(IFERROR(INDEX(醫師週班表!$C$5:$T$44,$CU33,BE$57),""),3,1)="隔",IF(BE$58=0,LEFT(IFERROR(INDEX(醫師週班表!$C$5:$T$44,$CU33,BE$57),""),1),""),IF(MID(IFERROR(INDEX(醫師週班表!$C$5:$T$44,$CU33,BE$57),""),2,1)="(",LEFT(IFERROR(INDEX(醫師週班表!$C$5:$T$44,$CU33,BE$57),""),1),IFERROR(INDEX(醫師週班表!$C$5:$T$44,$CU33,BE$57),"")))))))</f>
        <v/>
      </c>
      <c r="BF33" s="72">
        <f>IF(BF$59="X","",IF(BF$59&lt;&gt;"",BF$59,IF(IFERROR(INDEX(醫師週班表!$C$5:$T$44,$CU33,BF$57),"")=0,"",IF(MID(IFERROR(INDEX(醫師週班表!$C$5:$T$44,$CU33,BF$57),""),2,1)="/",MID(IFERROR(INDEX(醫師週班表!$C$5:$T$44,$CU33,BF$57),""),1+BF$58*2,1),IF(MID(IFERROR(INDEX(醫師週班表!$C$5:$T$44,$CU33,BF$57),""),3,1)="隔",IF(BF$58=0,LEFT(IFERROR(INDEX(醫師週班表!$C$5:$T$44,$CU33,BF$57),""),1),""),IF(MID(IFERROR(INDEX(醫師週班表!$C$5:$T$44,$CU33,BF$57),""),2,1)="(",LEFT(IFERROR(INDEX(醫師週班表!$C$5:$T$44,$CU33,BF$57),""),1),IFERROR(INDEX(醫師週班表!$C$5:$T$44,$CU33,BF$57),"")))))))</f>
        <v/>
      </c>
      <c r="BG33" s="71">
        <f>IF(BG$59="X","",IF(BG$59&lt;&gt;"",BG$59,IF(IFERROR(INDEX(醫師週班表!$C$5:$T$44,$CU33,BG$57),"")=0,"",IF(MID(IFERROR(INDEX(醫師週班表!$C$5:$T$44,$CU33,BG$57),""),2,1)="/",MID(IFERROR(INDEX(醫師週班表!$C$5:$T$44,$CU33,BG$57),""),1+BG$58*2,1),IF(MID(IFERROR(INDEX(醫師週班表!$C$5:$T$44,$CU33,BG$57),""),3,1)="隔",IF(BG$58=0,LEFT(IFERROR(INDEX(醫師週班表!$C$5:$T$44,$CU33,BG$57),""),1),""),IF(MID(IFERROR(INDEX(醫師週班表!$C$5:$T$44,$CU33,BG$57),""),2,1)="(",LEFT(IFERROR(INDEX(醫師週班表!$C$5:$T$44,$CU33,BG$57),""),1),IFERROR(INDEX(醫師週班表!$C$5:$T$44,$CU33,BG$57),"")))))))</f>
        <v/>
      </c>
      <c r="BH33" s="72">
        <f>IF(BH$59="X","",IF(BH$59&lt;&gt;"",BH$59,IF(IFERROR(INDEX(醫師週班表!$C$5:$T$44,$CU33,BH$57),"")=0,"",IF(MID(IFERROR(INDEX(醫師週班表!$C$5:$T$44,$CU33,BH$57),""),2,1)="/",MID(IFERROR(INDEX(醫師週班表!$C$5:$T$44,$CU33,BH$57),""),1+BH$58*2,1),IF(MID(IFERROR(INDEX(醫師週班表!$C$5:$T$44,$CU33,BH$57),""),3,1)="隔",IF(BH$58=0,LEFT(IFERROR(INDEX(醫師週班表!$C$5:$T$44,$CU33,BH$57),""),1),""),IF(MID(IFERROR(INDEX(醫師週班表!$C$5:$T$44,$CU33,BH$57),""),2,1)="(",LEFT(IFERROR(INDEX(醫師週班表!$C$5:$T$44,$CU33,BH$57),""),1),IFERROR(INDEX(醫師週班表!$C$5:$T$44,$CU33,BH$57),"")))))))</f>
        <v/>
      </c>
      <c r="BI33" s="72">
        <f>IF(BI$59="X","",IF(BI$59&lt;&gt;"",BI$59,IF(IFERROR(INDEX(醫師週班表!$C$5:$T$44,$CU33,BI$57),"")=0,"",IF(MID(IFERROR(INDEX(醫師週班表!$C$5:$T$44,$CU33,BI$57),""),2,1)="/",MID(IFERROR(INDEX(醫師週班表!$C$5:$T$44,$CU33,BI$57),""),1+BI$58*2,1),IF(MID(IFERROR(INDEX(醫師週班表!$C$5:$T$44,$CU33,BI$57),""),3,1)="隔",IF(BI$58=0,LEFT(IFERROR(INDEX(醫師週班表!$C$5:$T$44,$CU33,BI$57),""),1),""),IF(MID(IFERROR(INDEX(醫師週班表!$C$5:$T$44,$CU33,BI$57),""),2,1)="(",LEFT(IFERROR(INDEX(醫師週班表!$C$5:$T$44,$CU33,BI$57),""),1),IFERROR(INDEX(醫師週班表!$C$5:$T$44,$CU33,BI$57),"")))))))</f>
        <v/>
      </c>
      <c r="BJ33" s="71">
        <f>IF(BJ$59="X","",IF(BJ$59&lt;&gt;"",BJ$59,IF(IFERROR(INDEX(醫師週班表!$C$5:$T$44,$CU33,BJ$57),"")=0,"",IF(MID(IFERROR(INDEX(醫師週班表!$C$5:$T$44,$CU33,BJ$57),""),2,1)="/",MID(IFERROR(INDEX(醫師週班表!$C$5:$T$44,$CU33,BJ$57),""),1+BJ$58*2,1),IF(MID(IFERROR(INDEX(醫師週班表!$C$5:$T$44,$CU33,BJ$57),""),3,1)="隔",IF(BJ$58=0,LEFT(IFERROR(INDEX(醫師週班表!$C$5:$T$44,$CU33,BJ$57),""),1),""),IF(MID(IFERROR(INDEX(醫師週班表!$C$5:$T$44,$CU33,BJ$57),""),2,1)="(",LEFT(IFERROR(INDEX(醫師週班表!$C$5:$T$44,$CU33,BJ$57),""),1),IFERROR(INDEX(醫師週班表!$C$5:$T$44,$CU33,BJ$57),"")))))))</f>
        <v/>
      </c>
      <c r="BK33" s="72">
        <f>IF(BK$59="X","",IF(BK$59&lt;&gt;"",BK$59,IF(IFERROR(INDEX(醫師週班表!$C$5:$T$44,$CU33,BK$57),"")=0,"",IF(MID(IFERROR(INDEX(醫師週班表!$C$5:$T$44,$CU33,BK$57),""),2,1)="/",MID(IFERROR(INDEX(醫師週班表!$C$5:$T$44,$CU33,BK$57),""),1+BK$58*2,1),IF(MID(IFERROR(INDEX(醫師週班表!$C$5:$T$44,$CU33,BK$57),""),3,1)="隔",IF(BK$58=0,LEFT(IFERROR(INDEX(醫師週班表!$C$5:$T$44,$CU33,BK$57),""),1),""),IF(MID(IFERROR(INDEX(醫師週班表!$C$5:$T$44,$CU33,BK$57),""),2,1)="(",LEFT(IFERROR(INDEX(醫師週班表!$C$5:$T$44,$CU33,BK$57),""),1),IFERROR(INDEX(醫師週班表!$C$5:$T$44,$CU33,BK$57),"")))))))</f>
        <v/>
      </c>
      <c r="BL33" s="72">
        <f>IF(BL$59="X","",IF(BL$59&lt;&gt;"",BL$59,IF(IFERROR(INDEX(醫師週班表!$C$5:$T$44,$CU33,BL$57),"")=0,"",IF(MID(IFERROR(INDEX(醫師週班表!$C$5:$T$44,$CU33,BL$57),""),2,1)="/",MID(IFERROR(INDEX(醫師週班表!$C$5:$T$44,$CU33,BL$57),""),1+BL$58*2,1),IF(MID(IFERROR(INDEX(醫師週班表!$C$5:$T$44,$CU33,BL$57),""),3,1)="隔",IF(BL$58=0,LEFT(IFERROR(INDEX(醫師週班表!$C$5:$T$44,$CU33,BL$57),""),1),""),IF(MID(IFERROR(INDEX(醫師週班表!$C$5:$T$44,$CU33,BL$57),""),2,1)="(",LEFT(IFERROR(INDEX(醫師週班表!$C$5:$T$44,$CU33,BL$57),""),1),IFERROR(INDEX(醫師週班表!$C$5:$T$44,$CU33,BL$57),"")))))))</f>
        <v/>
      </c>
      <c r="BM33" s="71">
        <f>IF(BM$59="X","",IF(BM$59&lt;&gt;"",BM$59,IF(IFERROR(INDEX(醫師週班表!$C$5:$T$44,$CU33,BM$57),"")=0,"",IF(MID(IFERROR(INDEX(醫師週班表!$C$5:$T$44,$CU33,BM$57),""),2,1)="/",MID(IFERROR(INDEX(醫師週班表!$C$5:$T$44,$CU33,BM$57),""),1+BM$58*2,1),IF(MID(IFERROR(INDEX(醫師週班表!$C$5:$T$44,$CU33,BM$57),""),3,1)="隔",IF(BM$58=0,LEFT(IFERROR(INDEX(醫師週班表!$C$5:$T$44,$CU33,BM$57),""),1),""),IF(MID(IFERROR(INDEX(醫師週班表!$C$5:$T$44,$CU33,BM$57),""),2,1)="(",LEFT(IFERROR(INDEX(醫師週班表!$C$5:$T$44,$CU33,BM$57),""),1),IFERROR(INDEX(醫師週班表!$C$5:$T$44,$CU33,BM$57),"")))))))</f>
        <v/>
      </c>
      <c r="BN33" s="72">
        <f>IF(BN$59="X","",IF(BN$59&lt;&gt;"",BN$59,IF(IFERROR(INDEX(醫師週班表!$C$5:$T$44,$CU33,BN$57),"")=0,"",IF(MID(IFERROR(INDEX(醫師週班表!$C$5:$T$44,$CU33,BN$57),""),2,1)="/",MID(IFERROR(INDEX(醫師週班表!$C$5:$T$44,$CU33,BN$57),""),1+BN$58*2,1),IF(MID(IFERROR(INDEX(醫師週班表!$C$5:$T$44,$CU33,BN$57),""),3,1)="隔",IF(BN$58=0,LEFT(IFERROR(INDEX(醫師週班表!$C$5:$T$44,$CU33,BN$57),""),1),""),IF(MID(IFERROR(INDEX(醫師週班表!$C$5:$T$44,$CU33,BN$57),""),2,1)="(",LEFT(IFERROR(INDEX(醫師週班表!$C$5:$T$44,$CU33,BN$57),""),1),IFERROR(INDEX(醫師週班表!$C$5:$T$44,$CU33,BN$57),"")))))))</f>
        <v/>
      </c>
      <c r="BO33" s="72">
        <f>IF(BO$59="X","",IF(BO$59&lt;&gt;"",BO$59,IF(IFERROR(INDEX(醫師週班表!$C$5:$T$44,$CU33,BO$57),"")=0,"",IF(MID(IFERROR(INDEX(醫師週班表!$C$5:$T$44,$CU33,BO$57),""),2,1)="/",MID(IFERROR(INDEX(醫師週班表!$C$5:$T$44,$CU33,BO$57),""),1+BO$58*2,1),IF(MID(IFERROR(INDEX(醫師週班表!$C$5:$T$44,$CU33,BO$57),""),3,1)="隔",IF(BO$58=0,LEFT(IFERROR(INDEX(醫師週班表!$C$5:$T$44,$CU33,BO$57),""),1),""),IF(MID(IFERROR(INDEX(醫師週班表!$C$5:$T$44,$CU33,BO$57),""),2,1)="(",LEFT(IFERROR(INDEX(醫師週班表!$C$5:$T$44,$CU33,BO$57),""),1),IFERROR(INDEX(醫師週班表!$C$5:$T$44,$CU33,BO$57),"")))))))</f>
        <v/>
      </c>
      <c r="BP33" s="71">
        <f>IF(BP$59="X","",IF(BP$59&lt;&gt;"",BP$59,IF(IFERROR(INDEX(醫師週班表!$C$5:$T$44,$CU33,BP$57),"")=0,"",IF(MID(IFERROR(INDEX(醫師週班表!$C$5:$T$44,$CU33,BP$57),""),2,1)="/",MID(IFERROR(INDEX(醫師週班表!$C$5:$T$44,$CU33,BP$57),""),1+BP$58*2,1),IF(MID(IFERROR(INDEX(醫師週班表!$C$5:$T$44,$CU33,BP$57),""),3,1)="隔",IF(BP$58=0,LEFT(IFERROR(INDEX(醫師週班表!$C$5:$T$44,$CU33,BP$57),""),1),""),IF(MID(IFERROR(INDEX(醫師週班表!$C$5:$T$44,$CU33,BP$57),""),2,1)="(",LEFT(IFERROR(INDEX(醫師週班表!$C$5:$T$44,$CU33,BP$57),""),1),IFERROR(INDEX(醫師週班表!$C$5:$T$44,$CU33,BP$57),"")))))))</f>
        <v/>
      </c>
      <c r="BQ33" s="72">
        <f>IF(BQ$59="X","",IF(BQ$59&lt;&gt;"",BQ$59,IF(IFERROR(INDEX(醫師週班表!$C$5:$T$44,$CU33,BQ$57),"")=0,"",IF(MID(IFERROR(INDEX(醫師週班表!$C$5:$T$44,$CU33,BQ$57),""),2,1)="/",MID(IFERROR(INDEX(醫師週班表!$C$5:$T$44,$CU33,BQ$57),""),1+BQ$58*2,1),IF(MID(IFERROR(INDEX(醫師週班表!$C$5:$T$44,$CU33,BQ$57),""),3,1)="隔",IF(BQ$58=0,LEFT(IFERROR(INDEX(醫師週班表!$C$5:$T$44,$CU33,BQ$57),""),1),""),IF(MID(IFERROR(INDEX(醫師週班表!$C$5:$T$44,$CU33,BQ$57),""),2,1)="(",LEFT(IFERROR(INDEX(醫師週班表!$C$5:$T$44,$CU33,BQ$57),""),1),IFERROR(INDEX(醫師週班表!$C$5:$T$44,$CU33,BQ$57),"")))))))</f>
        <v/>
      </c>
      <c r="BR33" s="72">
        <f>IF(BR$59="X","",IF(BR$59&lt;&gt;"",BR$59,IF(IFERROR(INDEX(醫師週班表!$C$5:$T$44,$CU33,BR$57),"")=0,"",IF(MID(IFERROR(INDEX(醫師週班表!$C$5:$T$44,$CU33,BR$57),""),2,1)="/",MID(IFERROR(INDEX(醫師週班表!$C$5:$T$44,$CU33,BR$57),""),1+BR$58*2,1),IF(MID(IFERROR(INDEX(醫師週班表!$C$5:$T$44,$CU33,BR$57),""),3,1)="隔",IF(BR$58=0,LEFT(IFERROR(INDEX(醫師週班表!$C$5:$T$44,$CU33,BR$57),""),1),""),IF(MID(IFERROR(INDEX(醫師週班表!$C$5:$T$44,$CU33,BR$57),""),2,1)="(",LEFT(IFERROR(INDEX(醫師週班表!$C$5:$T$44,$CU33,BR$57),""),1),IFERROR(INDEX(醫師週班表!$C$5:$T$44,$CU33,BR$57),"")))))))</f>
        <v/>
      </c>
      <c r="BS33" s="71">
        <f>IF(BS$59="X","",IF(BS$59&lt;&gt;"",BS$59,IF(IFERROR(INDEX(醫師週班表!$C$5:$T$44,$CU33,BS$57),"")=0,"",IF(MID(IFERROR(INDEX(醫師週班表!$C$5:$T$44,$CU33,BS$57),""),2,1)="/",MID(IFERROR(INDEX(醫師週班表!$C$5:$T$44,$CU33,BS$57),""),1+BS$58*2,1),IF(MID(IFERROR(INDEX(醫師週班表!$C$5:$T$44,$CU33,BS$57),""),3,1)="隔",IF(BS$58=0,LEFT(IFERROR(INDEX(醫師週班表!$C$5:$T$44,$CU33,BS$57),""),1),""),IF(MID(IFERROR(INDEX(醫師週班表!$C$5:$T$44,$CU33,BS$57),""),2,1)="(",LEFT(IFERROR(INDEX(醫師週班表!$C$5:$T$44,$CU33,BS$57),""),1),IFERROR(INDEX(醫師週班表!$C$5:$T$44,$CU33,BS$57),"")))))))</f>
        <v/>
      </c>
      <c r="BT33" s="72">
        <f>IF(BT$59="X","",IF(BT$59&lt;&gt;"",BT$59,IF(IFERROR(INDEX(醫師週班表!$C$5:$T$44,$CU33,BT$57),"")=0,"",IF(MID(IFERROR(INDEX(醫師週班表!$C$5:$T$44,$CU33,BT$57),""),2,1)="/",MID(IFERROR(INDEX(醫師週班表!$C$5:$T$44,$CU33,BT$57),""),1+BT$58*2,1),IF(MID(IFERROR(INDEX(醫師週班表!$C$5:$T$44,$CU33,BT$57),""),3,1)="隔",IF(BT$58=0,LEFT(IFERROR(INDEX(醫師週班表!$C$5:$T$44,$CU33,BT$57),""),1),""),IF(MID(IFERROR(INDEX(醫師週班表!$C$5:$T$44,$CU33,BT$57),""),2,1)="(",LEFT(IFERROR(INDEX(醫師週班表!$C$5:$T$44,$CU33,BT$57),""),1),IFERROR(INDEX(醫師週班表!$C$5:$T$44,$CU33,BT$57),"")))))))</f>
        <v/>
      </c>
      <c r="BU33" s="72">
        <f>IF(BU$59="X","",IF(BU$59&lt;&gt;"",BU$59,IF(IFERROR(INDEX(醫師週班表!$C$5:$T$44,$CU33,BU$57),"")=0,"",IF(MID(IFERROR(INDEX(醫師週班表!$C$5:$T$44,$CU33,BU$57),""),2,1)="/",MID(IFERROR(INDEX(醫師週班表!$C$5:$T$44,$CU33,BU$57),""),1+BU$58*2,1),IF(MID(IFERROR(INDEX(醫師週班表!$C$5:$T$44,$CU33,BU$57),""),3,1)="隔",IF(BU$58=0,LEFT(IFERROR(INDEX(醫師週班表!$C$5:$T$44,$CU33,BU$57),""),1),""),IF(MID(IFERROR(INDEX(醫師週班表!$C$5:$T$44,$CU33,BU$57),""),2,1)="(",LEFT(IFERROR(INDEX(醫師週班表!$C$5:$T$44,$CU33,BU$57),""),1),IFERROR(INDEX(醫師週班表!$C$5:$T$44,$CU33,BU$57),"")))))))</f>
        <v/>
      </c>
      <c r="BV33" s="71">
        <f>IF(BV$59="X","",IF(BV$59&lt;&gt;"",BV$59,IF(IFERROR(INDEX(醫師週班表!$C$5:$T$44,$CU33,BV$57),"")=0,"",IF(MID(IFERROR(INDEX(醫師週班表!$C$5:$T$44,$CU33,BV$57),""),2,1)="/",MID(IFERROR(INDEX(醫師週班表!$C$5:$T$44,$CU33,BV$57),""),1+BV$58*2,1),IF(MID(IFERROR(INDEX(醫師週班表!$C$5:$T$44,$CU33,BV$57),""),3,1)="隔",IF(BV$58=0,LEFT(IFERROR(INDEX(醫師週班表!$C$5:$T$44,$CU33,BV$57),""),1),""),IF(MID(IFERROR(INDEX(醫師週班表!$C$5:$T$44,$CU33,BV$57),""),2,1)="(",LEFT(IFERROR(INDEX(醫師週班表!$C$5:$T$44,$CU33,BV$57),""),1),IFERROR(INDEX(醫師週班表!$C$5:$T$44,$CU33,BV$57),"")))))))</f>
        <v/>
      </c>
      <c r="BW33" s="72">
        <f>IF(BW$59="X","",IF(BW$59&lt;&gt;"",BW$59,IF(IFERROR(INDEX(醫師週班表!$C$5:$T$44,$CU33,BW$57),"")=0,"",IF(MID(IFERROR(INDEX(醫師週班表!$C$5:$T$44,$CU33,BW$57),""),2,1)="/",MID(IFERROR(INDEX(醫師週班表!$C$5:$T$44,$CU33,BW$57),""),1+BW$58*2,1),IF(MID(IFERROR(INDEX(醫師週班表!$C$5:$T$44,$CU33,BW$57),""),3,1)="隔",IF(BW$58=0,LEFT(IFERROR(INDEX(醫師週班表!$C$5:$T$44,$CU33,BW$57),""),1),""),IF(MID(IFERROR(INDEX(醫師週班表!$C$5:$T$44,$CU33,BW$57),""),2,1)="(",LEFT(IFERROR(INDEX(醫師週班表!$C$5:$T$44,$CU33,BW$57),""),1),IFERROR(INDEX(醫師週班表!$C$5:$T$44,$CU33,BW$57),"")))))))</f>
        <v/>
      </c>
      <c r="BX33" s="72">
        <f>IF(BX$59="X","",IF(BX$59&lt;&gt;"",BX$59,IF(IFERROR(INDEX(醫師週班表!$C$5:$T$44,$CU33,BX$57),"")=0,"",IF(MID(IFERROR(INDEX(醫師週班表!$C$5:$T$44,$CU33,BX$57),""),2,1)="/",MID(IFERROR(INDEX(醫師週班表!$C$5:$T$44,$CU33,BX$57),""),1+BX$58*2,1),IF(MID(IFERROR(INDEX(醫師週班表!$C$5:$T$44,$CU33,BX$57),""),3,1)="隔",IF(BX$58=0,LEFT(IFERROR(INDEX(醫師週班表!$C$5:$T$44,$CU33,BX$57),""),1),""),IF(MID(IFERROR(INDEX(醫師週班表!$C$5:$T$44,$CU33,BX$57),""),2,1)="(",LEFT(IFERROR(INDEX(醫師週班表!$C$5:$T$44,$CU33,BX$57),""),1),IFERROR(INDEX(醫師週班表!$C$5:$T$44,$CU33,BX$57),"")))))))</f>
        <v/>
      </c>
      <c r="BY33" s="71">
        <f>IF(BY$59="X","",IF(BY$59&lt;&gt;"",BY$59,IF(IFERROR(INDEX(醫師週班表!$C$5:$T$44,$CU33,BY$57),"")=0,"",IF(MID(IFERROR(INDEX(醫師週班表!$C$5:$T$44,$CU33,BY$57),""),2,1)="/",MID(IFERROR(INDEX(醫師週班表!$C$5:$T$44,$CU33,BY$57),""),1+BY$58*2,1),IF(MID(IFERROR(INDEX(醫師週班表!$C$5:$T$44,$CU33,BY$57),""),3,1)="隔",IF(BY$58=0,LEFT(IFERROR(INDEX(醫師週班表!$C$5:$T$44,$CU33,BY$57),""),1),""),IF(MID(IFERROR(INDEX(醫師週班表!$C$5:$T$44,$CU33,BY$57),""),2,1)="(",LEFT(IFERROR(INDEX(醫師週班表!$C$5:$T$44,$CU33,BY$57),""),1),IFERROR(INDEX(醫師週班表!$C$5:$T$44,$CU33,BY$57),"")))))))</f>
        <v/>
      </c>
      <c r="BZ33" s="72">
        <f>IF(BZ$59="X","",IF(BZ$59&lt;&gt;"",BZ$59,IF(IFERROR(INDEX(醫師週班表!$C$5:$T$44,$CU33,BZ$57),"")=0,"",IF(MID(IFERROR(INDEX(醫師週班表!$C$5:$T$44,$CU33,BZ$57),""),2,1)="/",MID(IFERROR(INDEX(醫師週班表!$C$5:$T$44,$CU33,BZ$57),""),1+BZ$58*2,1),IF(MID(IFERROR(INDEX(醫師週班表!$C$5:$T$44,$CU33,BZ$57),""),3,1)="隔",IF(BZ$58=0,LEFT(IFERROR(INDEX(醫師週班表!$C$5:$T$44,$CU33,BZ$57),""),1),""),IF(MID(IFERROR(INDEX(醫師週班表!$C$5:$T$44,$CU33,BZ$57),""),2,1)="(",LEFT(IFERROR(INDEX(醫師週班表!$C$5:$T$44,$CU33,BZ$57),""),1),IFERROR(INDEX(醫師週班表!$C$5:$T$44,$CU33,BZ$57),"")))))))</f>
        <v/>
      </c>
      <c r="CA33" s="72">
        <f>IF(CA$59="X","",IF(CA$59&lt;&gt;"",CA$59,IF(IFERROR(INDEX(醫師週班表!$C$5:$T$44,$CU33,CA$57),"")=0,"",IF(MID(IFERROR(INDEX(醫師週班表!$C$5:$T$44,$CU33,CA$57),""),2,1)="/",MID(IFERROR(INDEX(醫師週班表!$C$5:$T$44,$CU33,CA$57),""),1+CA$58*2,1),IF(MID(IFERROR(INDEX(醫師週班表!$C$5:$T$44,$CU33,CA$57),""),3,1)="隔",IF(CA$58=0,LEFT(IFERROR(INDEX(醫師週班表!$C$5:$T$44,$CU33,CA$57),""),1),""),IF(MID(IFERROR(INDEX(醫師週班表!$C$5:$T$44,$CU33,CA$57),""),2,1)="(",LEFT(IFERROR(INDEX(醫師週班表!$C$5:$T$44,$CU33,CA$57),""),1),IFERROR(INDEX(醫師週班表!$C$5:$T$44,$CU33,CA$57),"")))))))</f>
        <v/>
      </c>
      <c r="CB33" s="71">
        <f>IF(CB$59="X","",IF(CB$59&lt;&gt;"",CB$59,IF(IFERROR(INDEX(醫師週班表!$C$5:$T$44,$CU33,CB$57),"")=0,"",IF(MID(IFERROR(INDEX(醫師週班表!$C$5:$T$44,$CU33,CB$57),""),2,1)="/",MID(IFERROR(INDEX(醫師週班表!$C$5:$T$44,$CU33,CB$57),""),1+CB$58*2,1),IF(MID(IFERROR(INDEX(醫師週班表!$C$5:$T$44,$CU33,CB$57),""),3,1)="隔",IF(CB$58=0,LEFT(IFERROR(INDEX(醫師週班表!$C$5:$T$44,$CU33,CB$57),""),1),""),IF(MID(IFERROR(INDEX(醫師週班表!$C$5:$T$44,$CU33,CB$57),""),2,1)="(",LEFT(IFERROR(INDEX(醫師週班表!$C$5:$T$44,$CU33,CB$57),""),1),IFERROR(INDEX(醫師週班表!$C$5:$T$44,$CU33,CB$57),"")))))))</f>
        <v/>
      </c>
      <c r="CC33" s="72">
        <f>IF(CC$59="X","",IF(CC$59&lt;&gt;"",CC$59,IF(IFERROR(INDEX(醫師週班表!$C$5:$T$44,$CU33,CC$57),"")=0,"",IF(MID(IFERROR(INDEX(醫師週班表!$C$5:$T$44,$CU33,CC$57),""),2,1)="/",MID(IFERROR(INDEX(醫師週班表!$C$5:$T$44,$CU33,CC$57),""),1+CC$58*2,1),IF(MID(IFERROR(INDEX(醫師週班表!$C$5:$T$44,$CU33,CC$57),""),3,1)="隔",IF(CC$58=0,LEFT(IFERROR(INDEX(醫師週班表!$C$5:$T$44,$CU33,CC$57),""),1),""),IF(MID(IFERROR(INDEX(醫師週班表!$C$5:$T$44,$CU33,CC$57),""),2,1)="(",LEFT(IFERROR(INDEX(醫師週班表!$C$5:$T$44,$CU33,CC$57),""),1),IFERROR(INDEX(醫師週班表!$C$5:$T$44,$CU33,CC$57),"")))))))</f>
        <v/>
      </c>
      <c r="CD33" s="72">
        <f>IF(CD$59="X","",IF(CD$59&lt;&gt;"",CD$59,IF(IFERROR(INDEX(醫師週班表!$C$5:$T$44,$CU33,CD$57),"")=0,"",IF(MID(IFERROR(INDEX(醫師週班表!$C$5:$T$44,$CU33,CD$57),""),2,1)="/",MID(IFERROR(INDEX(醫師週班表!$C$5:$T$44,$CU33,CD$57),""),1+CD$58*2,1),IF(MID(IFERROR(INDEX(醫師週班表!$C$5:$T$44,$CU33,CD$57),""),3,1)="隔",IF(CD$58=0,LEFT(IFERROR(INDEX(醫師週班表!$C$5:$T$44,$CU33,CD$57),""),1),""),IF(MID(IFERROR(INDEX(醫師週班表!$C$5:$T$44,$CU33,CD$57),""),2,1)="(",LEFT(IFERROR(INDEX(醫師週班表!$C$5:$T$44,$CU33,CD$57),""),1),IFERROR(INDEX(醫師週班表!$C$5:$T$44,$CU33,CD$57),"")))))))</f>
        <v/>
      </c>
      <c r="CE33" s="71">
        <f>IF(CE$59="X","",IF(CE$59&lt;&gt;"",CE$59,IF(IFERROR(INDEX(醫師週班表!$C$5:$T$44,$CU33,CE$57),"")=0,"",IF(MID(IFERROR(INDEX(醫師週班表!$C$5:$T$44,$CU33,CE$57),""),2,1)="/",MID(IFERROR(INDEX(醫師週班表!$C$5:$T$44,$CU33,CE$57),""),1+CE$58*2,1),IF(MID(IFERROR(INDEX(醫師週班表!$C$5:$T$44,$CU33,CE$57),""),3,1)="隔",IF(CE$58=0,LEFT(IFERROR(INDEX(醫師週班表!$C$5:$T$44,$CU33,CE$57),""),1),""),IF(MID(IFERROR(INDEX(醫師週班表!$C$5:$T$44,$CU33,CE$57),""),2,1)="(",LEFT(IFERROR(INDEX(醫師週班表!$C$5:$T$44,$CU33,CE$57),""),1),IFERROR(INDEX(醫師週班表!$C$5:$T$44,$CU33,CE$57),"")))))))</f>
        <v/>
      </c>
      <c r="CF33" s="72">
        <f>IF(CF$59="X","",IF(CF$59&lt;&gt;"",CF$59,IF(IFERROR(INDEX(醫師週班表!$C$5:$T$44,$CU33,CF$57),"")=0,"",IF(MID(IFERROR(INDEX(醫師週班表!$C$5:$T$44,$CU33,CF$57),""),2,1)="/",MID(IFERROR(INDEX(醫師週班表!$C$5:$T$44,$CU33,CF$57),""),1+CF$58*2,1),IF(MID(IFERROR(INDEX(醫師週班表!$C$5:$T$44,$CU33,CF$57),""),3,1)="隔",IF(CF$58=0,LEFT(IFERROR(INDEX(醫師週班表!$C$5:$T$44,$CU33,CF$57),""),1),""),IF(MID(IFERROR(INDEX(醫師週班表!$C$5:$T$44,$CU33,CF$57),""),2,1)="(",LEFT(IFERROR(INDEX(醫師週班表!$C$5:$T$44,$CU33,CF$57),""),1),IFERROR(INDEX(醫師週班表!$C$5:$T$44,$CU33,CF$57),"")))))))</f>
        <v/>
      </c>
      <c r="CG33" s="72">
        <f>IF(CG$59="X","",IF(CG$59&lt;&gt;"",CG$59,IF(IFERROR(INDEX(醫師週班表!$C$5:$T$44,$CU33,CG$57),"")=0,"",IF(MID(IFERROR(INDEX(醫師週班表!$C$5:$T$44,$CU33,CG$57),""),2,1)="/",MID(IFERROR(INDEX(醫師週班表!$C$5:$T$44,$CU33,CG$57),""),1+CG$58*2,1),IF(MID(IFERROR(INDEX(醫師週班表!$C$5:$T$44,$CU33,CG$57),""),3,1)="隔",IF(CG$58=0,LEFT(IFERROR(INDEX(醫師週班表!$C$5:$T$44,$CU33,CG$57),""),1),""),IF(MID(IFERROR(INDEX(醫師週班表!$C$5:$T$44,$CU33,CG$57),""),2,1)="(",LEFT(IFERROR(INDEX(醫師週班表!$C$5:$T$44,$CU33,CG$57),""),1),IFERROR(INDEX(醫師週班表!$C$5:$T$44,$CU33,CG$57),"")))))))</f>
        <v/>
      </c>
      <c r="CH33" s="71">
        <f>IF(CH$59="X","",IF(CH$59&lt;&gt;"",CH$59,IF(IFERROR(INDEX(醫師週班表!$C$5:$T$44,$CU33,CH$57),"")=0,"",IF(MID(IFERROR(INDEX(醫師週班表!$C$5:$T$44,$CU33,CH$57),""),2,1)="/",MID(IFERROR(INDEX(醫師週班表!$C$5:$T$44,$CU33,CH$57),""),1+CH$58*2,1),IF(MID(IFERROR(INDEX(醫師週班表!$C$5:$T$44,$CU33,CH$57),""),3,1)="隔",IF(CH$58=0,LEFT(IFERROR(INDEX(醫師週班表!$C$5:$T$44,$CU33,CH$57),""),1),""),IF(MID(IFERROR(INDEX(醫師週班表!$C$5:$T$44,$CU33,CH$57),""),2,1)="(",LEFT(IFERROR(INDEX(醫師週班表!$C$5:$T$44,$CU33,CH$57),""),1),IFERROR(INDEX(醫師週班表!$C$5:$T$44,$CU33,CH$57),"")))))))</f>
        <v/>
      </c>
      <c r="CI33" s="72">
        <f>IF(CI$59="X","",IF(CI$59&lt;&gt;"",CI$59,IF(IFERROR(INDEX(醫師週班表!$C$5:$T$44,$CU33,CI$57),"")=0,"",IF(MID(IFERROR(INDEX(醫師週班表!$C$5:$T$44,$CU33,CI$57),""),2,1)="/",MID(IFERROR(INDEX(醫師週班表!$C$5:$T$44,$CU33,CI$57),""),1+CI$58*2,1),IF(MID(IFERROR(INDEX(醫師週班表!$C$5:$T$44,$CU33,CI$57),""),3,1)="隔",IF(CI$58=0,LEFT(IFERROR(INDEX(醫師週班表!$C$5:$T$44,$CU33,CI$57),""),1),""),IF(MID(IFERROR(INDEX(醫師週班表!$C$5:$T$44,$CU33,CI$57),""),2,1)="(",LEFT(IFERROR(INDEX(醫師週班表!$C$5:$T$44,$CU33,CI$57),""),1),IFERROR(INDEX(醫師週班表!$C$5:$T$44,$CU33,CI$57),"")))))))</f>
        <v/>
      </c>
      <c r="CJ33" s="72">
        <f>IF(CJ$59="X","",IF(CJ$59&lt;&gt;"",CJ$59,IF(IFERROR(INDEX(醫師週班表!$C$5:$T$44,$CU33,CJ$57),"")=0,"",IF(MID(IFERROR(INDEX(醫師週班表!$C$5:$T$44,$CU33,CJ$57),""),2,1)="/",MID(IFERROR(INDEX(醫師週班表!$C$5:$T$44,$CU33,CJ$57),""),1+CJ$58*2,1),IF(MID(IFERROR(INDEX(醫師週班表!$C$5:$T$44,$CU33,CJ$57),""),3,1)="隔",IF(CJ$58=0,LEFT(IFERROR(INDEX(醫師週班表!$C$5:$T$44,$CU33,CJ$57),""),1),""),IF(MID(IFERROR(INDEX(醫師週班表!$C$5:$T$44,$CU33,CJ$57),""),2,1)="(",LEFT(IFERROR(INDEX(醫師週班表!$C$5:$T$44,$CU33,CJ$57),""),1),IFERROR(INDEX(醫師週班表!$C$5:$T$44,$CU33,CJ$57),"")))))))</f>
        <v/>
      </c>
      <c r="CK33" s="71">
        <f>IF(CK$59="X","",IF(CK$59&lt;&gt;"",CK$59,IF(IFERROR(INDEX(醫師週班表!$C$5:$T$44,$CU33,CK$57),"")=0,"",IF(MID(IFERROR(INDEX(醫師週班表!$C$5:$T$44,$CU33,CK$57),""),2,1)="/",MID(IFERROR(INDEX(醫師週班表!$C$5:$T$44,$CU33,CK$57),""),1+CK$58*2,1),IF(MID(IFERROR(INDEX(醫師週班表!$C$5:$T$44,$CU33,CK$57),""),3,1)="隔",IF(CK$58=0,LEFT(IFERROR(INDEX(醫師週班表!$C$5:$T$44,$CU33,CK$57),""),1),""),IF(MID(IFERROR(INDEX(醫師週班表!$C$5:$T$44,$CU33,CK$57),""),2,1)="(",LEFT(IFERROR(INDEX(醫師週班表!$C$5:$T$44,$CU33,CK$57),""),1),IFERROR(INDEX(醫師週班表!$C$5:$T$44,$CU33,CK$57),"")))))))</f>
        <v/>
      </c>
      <c r="CL33" s="72">
        <f>IF(CL$59="X","",IF(CL$59&lt;&gt;"",CL$59,IF(IFERROR(INDEX(醫師週班表!$C$5:$T$44,$CU33,CL$57),"")=0,"",IF(MID(IFERROR(INDEX(醫師週班表!$C$5:$T$44,$CU33,CL$57),""),2,1)="/",MID(IFERROR(INDEX(醫師週班表!$C$5:$T$44,$CU33,CL$57),""),1+CL$58*2,1),IF(MID(IFERROR(INDEX(醫師週班表!$C$5:$T$44,$CU33,CL$57),""),3,1)="隔",IF(CL$58=0,LEFT(IFERROR(INDEX(醫師週班表!$C$5:$T$44,$CU33,CL$57),""),1),""),IF(MID(IFERROR(INDEX(醫師週班表!$C$5:$T$44,$CU33,CL$57),""),2,1)="(",LEFT(IFERROR(INDEX(醫師週班表!$C$5:$T$44,$CU33,CL$57),""),1),IFERROR(INDEX(醫師週班表!$C$5:$T$44,$CU33,CL$57),"")))))))</f>
        <v/>
      </c>
      <c r="CM33" s="72">
        <f>IF(CM$59="X","",IF(CM$59&lt;&gt;"",CM$59,IF(IFERROR(INDEX(醫師週班表!$C$5:$T$44,$CU33,CM$57),"")=0,"",IF(MID(IFERROR(INDEX(醫師週班表!$C$5:$T$44,$CU33,CM$57),""),2,1)="/",MID(IFERROR(INDEX(醫師週班表!$C$5:$T$44,$CU33,CM$57),""),1+CM$58*2,1),IF(MID(IFERROR(INDEX(醫師週班表!$C$5:$T$44,$CU33,CM$57),""),3,1)="隔",IF(CM$58=0,LEFT(IFERROR(INDEX(醫師週班表!$C$5:$T$44,$CU33,CM$57),""),1),""),IF(MID(IFERROR(INDEX(醫師週班表!$C$5:$T$44,$CU33,CM$57),""),2,1)="(",LEFT(IFERROR(INDEX(醫師週班表!$C$5:$T$44,$CU33,CM$57),""),1),IFERROR(INDEX(醫師週班表!$C$5:$T$44,$CU33,CM$57),"")))))))</f>
        <v/>
      </c>
      <c r="CN33" s="71">
        <f>IF(CN$59="X","",IF(CN$59&lt;&gt;"",CN$59,IF(IFERROR(INDEX(醫師週班表!$C$5:$T$44,$CU33,CN$57),"")=0,"",IF(MID(IFERROR(INDEX(醫師週班表!$C$5:$T$44,$CU33,CN$57),""),2,1)="/",MID(IFERROR(INDEX(醫師週班表!$C$5:$T$44,$CU33,CN$57),""),1+CN$58*2,1),IF(MID(IFERROR(INDEX(醫師週班表!$C$5:$T$44,$CU33,CN$57),""),3,1)="隔",IF(CN$58=0,LEFT(IFERROR(INDEX(醫師週班表!$C$5:$T$44,$CU33,CN$57),""),1),""),IF(MID(IFERROR(INDEX(醫師週班表!$C$5:$T$44,$CU33,CN$57),""),2,1)="(",LEFT(IFERROR(INDEX(醫師週班表!$C$5:$T$44,$CU33,CN$57),""),1),IFERROR(INDEX(醫師週班表!$C$5:$T$44,$CU33,CN$57),"")))))))</f>
        <v/>
      </c>
      <c r="CO33" s="72">
        <f>IF(CO$59="X","",IF(CO$59&lt;&gt;"",CO$59,IF(IFERROR(INDEX(醫師週班表!$C$5:$T$44,$CU33,CO$57),"")=0,"",IF(MID(IFERROR(INDEX(醫師週班表!$C$5:$T$44,$CU33,CO$57),""),2,1)="/",MID(IFERROR(INDEX(醫師週班表!$C$5:$T$44,$CU33,CO$57),""),1+CO$58*2,1),IF(MID(IFERROR(INDEX(醫師週班表!$C$5:$T$44,$CU33,CO$57),""),3,1)="隔",IF(CO$58=0,LEFT(IFERROR(INDEX(醫師週班表!$C$5:$T$44,$CU33,CO$57),""),1),""),IF(MID(IFERROR(INDEX(醫師週班表!$C$5:$T$44,$CU33,CO$57),""),2,1)="(",LEFT(IFERROR(INDEX(醫師週班表!$C$5:$T$44,$CU33,CO$57),""),1),IFERROR(INDEX(醫師週班表!$C$5:$T$44,$CU33,CO$57),"")))))))</f>
        <v/>
      </c>
      <c r="CP33" s="72">
        <f>IF(CP$59="X","",IF(CP$59&lt;&gt;"",CP$59,IF(IFERROR(INDEX(醫師週班表!$C$5:$T$44,$CU33,CP$57),"")=0,"",IF(MID(IFERROR(INDEX(醫師週班表!$C$5:$T$44,$CU33,CP$57),""),2,1)="/",MID(IFERROR(INDEX(醫師週班表!$C$5:$T$44,$CU33,CP$57),""),1+CP$58*2,1),IF(MID(IFERROR(INDEX(醫師週班表!$C$5:$T$44,$CU33,CP$57),""),3,1)="隔",IF(CP$58=0,LEFT(IFERROR(INDEX(醫師週班表!$C$5:$T$44,$CU33,CP$57),""),1),""),IF(MID(IFERROR(INDEX(醫師週班表!$C$5:$T$44,$CU33,CP$57),""),2,1)="(",LEFT(IFERROR(INDEX(醫師週班表!$C$5:$T$44,$CU33,CP$57),""),1),IFERROR(INDEX(醫師週班表!$C$5:$T$44,$CU33,CP$57),"")))))))</f>
        <v/>
      </c>
      <c r="CQ33" s="71">
        <f>IF(CQ$59="X","",IF(CQ$59&lt;&gt;"",CQ$59,IF(IFERROR(INDEX(醫師週班表!$C$5:$T$44,$CU33,CQ$57),"")=0,"",IF(MID(IFERROR(INDEX(醫師週班表!$C$5:$T$44,$CU33,CQ$57),""),2,1)="/",MID(IFERROR(INDEX(醫師週班表!$C$5:$T$44,$CU33,CQ$57),""),1+CQ$58*2,1),IF(MID(IFERROR(INDEX(醫師週班表!$C$5:$T$44,$CU33,CQ$57),""),3,1)="隔",IF(CQ$58=0,LEFT(IFERROR(INDEX(醫師週班表!$C$5:$T$44,$CU33,CQ$57),""),1),""),IF(MID(IFERROR(INDEX(醫師週班表!$C$5:$T$44,$CU33,CQ$57),""),2,1)="(",LEFT(IFERROR(INDEX(醫師週班表!$C$5:$T$44,$CU33,CQ$57),""),1),IFERROR(INDEX(醫師週班表!$C$5:$T$44,$CU33,CQ$57),"")))))))</f>
        <v/>
      </c>
      <c r="CR33" s="72">
        <f>IF(CR$59="X","",IF(CR$59&lt;&gt;"",CR$59,IF(IFERROR(INDEX(醫師週班表!$C$5:$T$44,$CU33,CR$57),"")=0,"",IF(MID(IFERROR(INDEX(醫師週班表!$C$5:$T$44,$CU33,CR$57),""),2,1)="/",MID(IFERROR(INDEX(醫師週班表!$C$5:$T$44,$CU33,CR$57),""),1+CR$58*2,1),IF(MID(IFERROR(INDEX(醫師週班表!$C$5:$T$44,$CU33,CR$57),""),3,1)="隔",IF(CR$58=0,LEFT(IFERROR(INDEX(醫師週班表!$C$5:$T$44,$CU33,CR$57),""),1),""),IF(MID(IFERROR(INDEX(醫師週班表!$C$5:$T$44,$CU33,CR$57),""),2,1)="(",LEFT(IFERROR(INDEX(醫師週班表!$C$5:$T$44,$CU33,CR$57),""),1),IFERROR(INDEX(醫師週班表!$C$5:$T$44,$CU33,CR$57),"")))))))</f>
        <v/>
      </c>
      <c r="CS33" s="72">
        <f>IF(CS$59="X","",IF(CS$59&lt;&gt;"",CS$59,IF(IFERROR(INDEX(醫師週班表!$C$5:$T$44,$CU33,CS$57),"")=0,"",IF(MID(IFERROR(INDEX(醫師週班表!$C$5:$T$44,$CU33,CS$57),""),2,1)="/",MID(IFERROR(INDEX(醫師週班表!$C$5:$T$44,$CU33,CS$57),""),1+CS$58*2,1),IF(MID(IFERROR(INDEX(醫師週班表!$C$5:$T$44,$CU33,CS$57),""),3,1)="隔",IF(CS$58=0,LEFT(IFERROR(INDEX(醫師週班表!$C$5:$T$44,$CU33,CS$57),""),1),""),IF(MID(IFERROR(INDEX(醫師週班表!$C$5:$T$44,$CU33,CS$57),""),2,1)="(",LEFT(IFERROR(INDEX(醫師週班表!$C$5:$T$44,$CU33,CS$57),""),1),IFERROR(INDEX(醫師週班表!$C$5:$T$44,$CU33,CS$57),"")))))))</f>
        <v/>
      </c>
      <c r="CU33" s="73">
        <f>IFERROR(MATCH($A33,醫師週班表!$A$5:$A$44,0),0)</f>
        <v/>
      </c>
    </row>
    <row r="34" ht="17" customHeight="1">
      <c r="A34" s="19" t="n"/>
      <c r="B34" s="16">
        <f>IFERROR(INDEX(設定!$C$64:$C$203,MATCH($A34,設定!$B$64:$B$203,0)),"")</f>
        <v/>
      </c>
      <c r="C34" s="70">
        <f>IFERROR(INDEX(設定!$E$64:$E$203,MATCH($A34,設定!$B$64:$B$203,0)),"")</f>
        <v/>
      </c>
      <c r="D34" s="16">
        <f>IFERROR(INDEX(設定!$F$64:$F$203,MATCH($A34,設定!$B$64:$B$203,0)),"")</f>
        <v/>
      </c>
      <c r="E34" s="71">
        <f>IF(E$59="X","",IF(E$59&lt;&gt;"",E$59,IF(IFERROR(INDEX(醫師週班表!$C$5:$T$44,$CU34,E$57),"")=0,"",IF(MID(IFERROR(INDEX(醫師週班表!$C$5:$T$44,$CU34,E$57),""),2,1)="/",MID(IFERROR(INDEX(醫師週班表!$C$5:$T$44,$CU34,E$57),""),1+E$58*2,1),IF(MID(IFERROR(INDEX(醫師週班表!$C$5:$T$44,$CU34,E$57),""),3,1)="隔",IF(E$58=0,LEFT(IFERROR(INDEX(醫師週班表!$C$5:$T$44,$CU34,E$57),""),1),""),IF(MID(IFERROR(INDEX(醫師週班表!$C$5:$T$44,$CU34,E$57),""),2,1)="(",LEFT(IFERROR(INDEX(醫師週班表!$C$5:$T$44,$CU34,E$57),""),1),IFERROR(INDEX(醫師週班表!$C$5:$T$44,$CU34,E$57),"")))))))</f>
        <v/>
      </c>
      <c r="F34" s="72">
        <f>IF(F$59="X","",IF(F$59&lt;&gt;"",F$59,IF(IFERROR(INDEX(醫師週班表!$C$5:$T$44,$CU34,F$57),"")=0,"",IF(MID(IFERROR(INDEX(醫師週班表!$C$5:$T$44,$CU34,F$57),""),2,1)="/",MID(IFERROR(INDEX(醫師週班表!$C$5:$T$44,$CU34,F$57),""),1+F$58*2,1),IF(MID(IFERROR(INDEX(醫師週班表!$C$5:$T$44,$CU34,F$57),""),3,1)="隔",IF(F$58=0,LEFT(IFERROR(INDEX(醫師週班表!$C$5:$T$44,$CU34,F$57),""),1),""),IF(MID(IFERROR(INDEX(醫師週班表!$C$5:$T$44,$CU34,F$57),""),2,1)="(",LEFT(IFERROR(INDEX(醫師週班表!$C$5:$T$44,$CU34,F$57),""),1),IFERROR(INDEX(醫師週班表!$C$5:$T$44,$CU34,F$57),"")))))))</f>
        <v/>
      </c>
      <c r="G34" s="72">
        <f>IF(G$59="X","",IF(G$59&lt;&gt;"",G$59,IF(IFERROR(INDEX(醫師週班表!$C$5:$T$44,$CU34,G$57),"")=0,"",IF(MID(IFERROR(INDEX(醫師週班表!$C$5:$T$44,$CU34,G$57),""),2,1)="/",MID(IFERROR(INDEX(醫師週班表!$C$5:$T$44,$CU34,G$57),""),1+G$58*2,1),IF(MID(IFERROR(INDEX(醫師週班表!$C$5:$T$44,$CU34,G$57),""),3,1)="隔",IF(G$58=0,LEFT(IFERROR(INDEX(醫師週班表!$C$5:$T$44,$CU34,G$57),""),1),""),IF(MID(IFERROR(INDEX(醫師週班表!$C$5:$T$44,$CU34,G$57),""),2,1)="(",LEFT(IFERROR(INDEX(醫師週班表!$C$5:$T$44,$CU34,G$57),""),1),IFERROR(INDEX(醫師週班表!$C$5:$T$44,$CU34,G$57),"")))))))</f>
        <v/>
      </c>
      <c r="H34" s="71">
        <f>IF(H$59="X","",IF(H$59&lt;&gt;"",H$59,IF(IFERROR(INDEX(醫師週班表!$C$5:$T$44,$CU34,H$57),"")=0,"",IF(MID(IFERROR(INDEX(醫師週班表!$C$5:$T$44,$CU34,H$57),""),2,1)="/",MID(IFERROR(INDEX(醫師週班表!$C$5:$T$44,$CU34,H$57),""),1+H$58*2,1),IF(MID(IFERROR(INDEX(醫師週班表!$C$5:$T$44,$CU34,H$57),""),3,1)="隔",IF(H$58=0,LEFT(IFERROR(INDEX(醫師週班表!$C$5:$T$44,$CU34,H$57),""),1),""),IF(MID(IFERROR(INDEX(醫師週班表!$C$5:$T$44,$CU34,H$57),""),2,1)="(",LEFT(IFERROR(INDEX(醫師週班表!$C$5:$T$44,$CU34,H$57),""),1),IFERROR(INDEX(醫師週班表!$C$5:$T$44,$CU34,H$57),"")))))))</f>
        <v/>
      </c>
      <c r="I34" s="72">
        <f>IF(I$59="X","",IF(I$59&lt;&gt;"",I$59,IF(IFERROR(INDEX(醫師週班表!$C$5:$T$44,$CU34,I$57),"")=0,"",IF(MID(IFERROR(INDEX(醫師週班表!$C$5:$T$44,$CU34,I$57),""),2,1)="/",MID(IFERROR(INDEX(醫師週班表!$C$5:$T$44,$CU34,I$57),""),1+I$58*2,1),IF(MID(IFERROR(INDEX(醫師週班表!$C$5:$T$44,$CU34,I$57),""),3,1)="隔",IF(I$58=0,LEFT(IFERROR(INDEX(醫師週班表!$C$5:$T$44,$CU34,I$57),""),1),""),IF(MID(IFERROR(INDEX(醫師週班表!$C$5:$T$44,$CU34,I$57),""),2,1)="(",LEFT(IFERROR(INDEX(醫師週班表!$C$5:$T$44,$CU34,I$57),""),1),IFERROR(INDEX(醫師週班表!$C$5:$T$44,$CU34,I$57),"")))))))</f>
        <v/>
      </c>
      <c r="J34" s="72">
        <f>IF(J$59="X","",IF(J$59&lt;&gt;"",J$59,IF(IFERROR(INDEX(醫師週班表!$C$5:$T$44,$CU34,J$57),"")=0,"",IF(MID(IFERROR(INDEX(醫師週班表!$C$5:$T$44,$CU34,J$57),""),2,1)="/",MID(IFERROR(INDEX(醫師週班表!$C$5:$T$44,$CU34,J$57),""),1+J$58*2,1),IF(MID(IFERROR(INDEX(醫師週班表!$C$5:$T$44,$CU34,J$57),""),3,1)="隔",IF(J$58=0,LEFT(IFERROR(INDEX(醫師週班表!$C$5:$T$44,$CU34,J$57),""),1),""),IF(MID(IFERROR(INDEX(醫師週班表!$C$5:$T$44,$CU34,J$57),""),2,1)="(",LEFT(IFERROR(INDEX(醫師週班表!$C$5:$T$44,$CU34,J$57),""),1),IFERROR(INDEX(醫師週班表!$C$5:$T$44,$CU34,J$57),"")))))))</f>
        <v/>
      </c>
      <c r="K34" s="71">
        <f>IF(K$59="X","",IF(K$59&lt;&gt;"",K$59,IF(IFERROR(INDEX(醫師週班表!$C$5:$T$44,$CU34,K$57),"")=0,"",IF(MID(IFERROR(INDEX(醫師週班表!$C$5:$T$44,$CU34,K$57),""),2,1)="/",MID(IFERROR(INDEX(醫師週班表!$C$5:$T$44,$CU34,K$57),""),1+K$58*2,1),IF(MID(IFERROR(INDEX(醫師週班表!$C$5:$T$44,$CU34,K$57),""),3,1)="隔",IF(K$58=0,LEFT(IFERROR(INDEX(醫師週班表!$C$5:$T$44,$CU34,K$57),""),1),""),IF(MID(IFERROR(INDEX(醫師週班表!$C$5:$T$44,$CU34,K$57),""),2,1)="(",LEFT(IFERROR(INDEX(醫師週班表!$C$5:$T$44,$CU34,K$57),""),1),IFERROR(INDEX(醫師週班表!$C$5:$T$44,$CU34,K$57),"")))))))</f>
        <v/>
      </c>
      <c r="L34" s="72">
        <f>IF(L$59="X","",IF(L$59&lt;&gt;"",L$59,IF(IFERROR(INDEX(醫師週班表!$C$5:$T$44,$CU34,L$57),"")=0,"",IF(MID(IFERROR(INDEX(醫師週班表!$C$5:$T$44,$CU34,L$57),""),2,1)="/",MID(IFERROR(INDEX(醫師週班表!$C$5:$T$44,$CU34,L$57),""),1+L$58*2,1),IF(MID(IFERROR(INDEX(醫師週班表!$C$5:$T$44,$CU34,L$57),""),3,1)="隔",IF(L$58=0,LEFT(IFERROR(INDEX(醫師週班表!$C$5:$T$44,$CU34,L$57),""),1),""),IF(MID(IFERROR(INDEX(醫師週班表!$C$5:$T$44,$CU34,L$57),""),2,1)="(",LEFT(IFERROR(INDEX(醫師週班表!$C$5:$T$44,$CU34,L$57),""),1),IFERROR(INDEX(醫師週班表!$C$5:$T$44,$CU34,L$57),"")))))))</f>
        <v/>
      </c>
      <c r="M34" s="72">
        <f>IF(M$59="X","",IF(M$59&lt;&gt;"",M$59,IF(IFERROR(INDEX(醫師週班表!$C$5:$T$44,$CU34,M$57),"")=0,"",IF(MID(IFERROR(INDEX(醫師週班表!$C$5:$T$44,$CU34,M$57),""),2,1)="/",MID(IFERROR(INDEX(醫師週班表!$C$5:$T$44,$CU34,M$57),""),1+M$58*2,1),IF(MID(IFERROR(INDEX(醫師週班表!$C$5:$T$44,$CU34,M$57),""),3,1)="隔",IF(M$58=0,LEFT(IFERROR(INDEX(醫師週班表!$C$5:$T$44,$CU34,M$57),""),1),""),IF(MID(IFERROR(INDEX(醫師週班表!$C$5:$T$44,$CU34,M$57),""),2,1)="(",LEFT(IFERROR(INDEX(醫師週班表!$C$5:$T$44,$CU34,M$57),""),1),IFERROR(INDEX(醫師週班表!$C$5:$T$44,$CU34,M$57),"")))))))</f>
        <v/>
      </c>
      <c r="N34" s="71">
        <f>IF(N$59="X","",IF(N$59&lt;&gt;"",N$59,IF(IFERROR(INDEX(醫師週班表!$C$5:$T$44,$CU34,N$57),"")=0,"",IF(MID(IFERROR(INDEX(醫師週班表!$C$5:$T$44,$CU34,N$57),""),2,1)="/",MID(IFERROR(INDEX(醫師週班表!$C$5:$T$44,$CU34,N$57),""),1+N$58*2,1),IF(MID(IFERROR(INDEX(醫師週班表!$C$5:$T$44,$CU34,N$57),""),3,1)="隔",IF(N$58=0,LEFT(IFERROR(INDEX(醫師週班表!$C$5:$T$44,$CU34,N$57),""),1),""),IF(MID(IFERROR(INDEX(醫師週班表!$C$5:$T$44,$CU34,N$57),""),2,1)="(",LEFT(IFERROR(INDEX(醫師週班表!$C$5:$T$44,$CU34,N$57),""),1),IFERROR(INDEX(醫師週班表!$C$5:$T$44,$CU34,N$57),"")))))))</f>
        <v/>
      </c>
      <c r="O34" s="72">
        <f>IF(O$59="X","",IF(O$59&lt;&gt;"",O$59,IF(IFERROR(INDEX(醫師週班表!$C$5:$T$44,$CU34,O$57),"")=0,"",IF(MID(IFERROR(INDEX(醫師週班表!$C$5:$T$44,$CU34,O$57),""),2,1)="/",MID(IFERROR(INDEX(醫師週班表!$C$5:$T$44,$CU34,O$57),""),1+O$58*2,1),IF(MID(IFERROR(INDEX(醫師週班表!$C$5:$T$44,$CU34,O$57),""),3,1)="隔",IF(O$58=0,LEFT(IFERROR(INDEX(醫師週班表!$C$5:$T$44,$CU34,O$57),""),1),""),IF(MID(IFERROR(INDEX(醫師週班表!$C$5:$T$44,$CU34,O$57),""),2,1)="(",LEFT(IFERROR(INDEX(醫師週班表!$C$5:$T$44,$CU34,O$57),""),1),IFERROR(INDEX(醫師週班表!$C$5:$T$44,$CU34,O$57),"")))))))</f>
        <v/>
      </c>
      <c r="P34" s="72">
        <f>IF(P$59="X","",IF(P$59&lt;&gt;"",P$59,IF(IFERROR(INDEX(醫師週班表!$C$5:$T$44,$CU34,P$57),"")=0,"",IF(MID(IFERROR(INDEX(醫師週班表!$C$5:$T$44,$CU34,P$57),""),2,1)="/",MID(IFERROR(INDEX(醫師週班表!$C$5:$T$44,$CU34,P$57),""),1+P$58*2,1),IF(MID(IFERROR(INDEX(醫師週班表!$C$5:$T$44,$CU34,P$57),""),3,1)="隔",IF(P$58=0,LEFT(IFERROR(INDEX(醫師週班表!$C$5:$T$44,$CU34,P$57),""),1),""),IF(MID(IFERROR(INDEX(醫師週班表!$C$5:$T$44,$CU34,P$57),""),2,1)="(",LEFT(IFERROR(INDEX(醫師週班表!$C$5:$T$44,$CU34,P$57),""),1),IFERROR(INDEX(醫師週班表!$C$5:$T$44,$CU34,P$57),"")))))))</f>
        <v/>
      </c>
      <c r="Q34" s="71">
        <f>IF(Q$59="X","",IF(Q$59&lt;&gt;"",Q$59,IF(IFERROR(INDEX(醫師週班表!$C$5:$T$44,$CU34,Q$57),"")=0,"",IF(MID(IFERROR(INDEX(醫師週班表!$C$5:$T$44,$CU34,Q$57),""),2,1)="/",MID(IFERROR(INDEX(醫師週班表!$C$5:$T$44,$CU34,Q$57),""),1+Q$58*2,1),IF(MID(IFERROR(INDEX(醫師週班表!$C$5:$T$44,$CU34,Q$57),""),3,1)="隔",IF(Q$58=0,LEFT(IFERROR(INDEX(醫師週班表!$C$5:$T$44,$CU34,Q$57),""),1),""),IF(MID(IFERROR(INDEX(醫師週班表!$C$5:$T$44,$CU34,Q$57),""),2,1)="(",LEFT(IFERROR(INDEX(醫師週班表!$C$5:$T$44,$CU34,Q$57),""),1),IFERROR(INDEX(醫師週班表!$C$5:$T$44,$CU34,Q$57),"")))))))</f>
        <v/>
      </c>
      <c r="R34" s="72">
        <f>IF(R$59="X","",IF(R$59&lt;&gt;"",R$59,IF(IFERROR(INDEX(醫師週班表!$C$5:$T$44,$CU34,R$57),"")=0,"",IF(MID(IFERROR(INDEX(醫師週班表!$C$5:$T$44,$CU34,R$57),""),2,1)="/",MID(IFERROR(INDEX(醫師週班表!$C$5:$T$44,$CU34,R$57),""),1+R$58*2,1),IF(MID(IFERROR(INDEX(醫師週班表!$C$5:$T$44,$CU34,R$57),""),3,1)="隔",IF(R$58=0,LEFT(IFERROR(INDEX(醫師週班表!$C$5:$T$44,$CU34,R$57),""),1),""),IF(MID(IFERROR(INDEX(醫師週班表!$C$5:$T$44,$CU34,R$57),""),2,1)="(",LEFT(IFERROR(INDEX(醫師週班表!$C$5:$T$44,$CU34,R$57),""),1),IFERROR(INDEX(醫師週班表!$C$5:$T$44,$CU34,R$57),"")))))))</f>
        <v/>
      </c>
      <c r="S34" s="72">
        <f>IF(S$59="X","",IF(S$59&lt;&gt;"",S$59,IF(IFERROR(INDEX(醫師週班表!$C$5:$T$44,$CU34,S$57),"")=0,"",IF(MID(IFERROR(INDEX(醫師週班表!$C$5:$T$44,$CU34,S$57),""),2,1)="/",MID(IFERROR(INDEX(醫師週班表!$C$5:$T$44,$CU34,S$57),""),1+S$58*2,1),IF(MID(IFERROR(INDEX(醫師週班表!$C$5:$T$44,$CU34,S$57),""),3,1)="隔",IF(S$58=0,LEFT(IFERROR(INDEX(醫師週班表!$C$5:$T$44,$CU34,S$57),""),1),""),IF(MID(IFERROR(INDEX(醫師週班表!$C$5:$T$44,$CU34,S$57),""),2,1)="(",LEFT(IFERROR(INDEX(醫師週班表!$C$5:$T$44,$CU34,S$57),""),1),IFERROR(INDEX(醫師週班表!$C$5:$T$44,$CU34,S$57),"")))))))</f>
        <v/>
      </c>
      <c r="T34" s="71">
        <f>IF(T$59="X","",IF(T$59&lt;&gt;"",T$59,IF(IFERROR(INDEX(醫師週班表!$C$5:$T$44,$CU34,T$57),"")=0,"",IF(MID(IFERROR(INDEX(醫師週班表!$C$5:$T$44,$CU34,T$57),""),2,1)="/",MID(IFERROR(INDEX(醫師週班表!$C$5:$T$44,$CU34,T$57),""),1+T$58*2,1),IF(MID(IFERROR(INDEX(醫師週班表!$C$5:$T$44,$CU34,T$57),""),3,1)="隔",IF(T$58=0,LEFT(IFERROR(INDEX(醫師週班表!$C$5:$T$44,$CU34,T$57),""),1),""),IF(MID(IFERROR(INDEX(醫師週班表!$C$5:$T$44,$CU34,T$57),""),2,1)="(",LEFT(IFERROR(INDEX(醫師週班表!$C$5:$T$44,$CU34,T$57),""),1),IFERROR(INDEX(醫師週班表!$C$5:$T$44,$CU34,T$57),"")))))))</f>
        <v/>
      </c>
      <c r="U34" s="72">
        <f>IF(U$59="X","",IF(U$59&lt;&gt;"",U$59,IF(IFERROR(INDEX(醫師週班表!$C$5:$T$44,$CU34,U$57),"")=0,"",IF(MID(IFERROR(INDEX(醫師週班表!$C$5:$T$44,$CU34,U$57),""),2,1)="/",MID(IFERROR(INDEX(醫師週班表!$C$5:$T$44,$CU34,U$57),""),1+U$58*2,1),IF(MID(IFERROR(INDEX(醫師週班表!$C$5:$T$44,$CU34,U$57),""),3,1)="隔",IF(U$58=0,LEFT(IFERROR(INDEX(醫師週班表!$C$5:$T$44,$CU34,U$57),""),1),""),IF(MID(IFERROR(INDEX(醫師週班表!$C$5:$T$44,$CU34,U$57),""),2,1)="(",LEFT(IFERROR(INDEX(醫師週班表!$C$5:$T$44,$CU34,U$57),""),1),IFERROR(INDEX(醫師週班表!$C$5:$T$44,$CU34,U$57),"")))))))</f>
        <v/>
      </c>
      <c r="V34" s="72">
        <f>IF(V$59="X","",IF(V$59&lt;&gt;"",V$59,IF(IFERROR(INDEX(醫師週班表!$C$5:$T$44,$CU34,V$57),"")=0,"",IF(MID(IFERROR(INDEX(醫師週班表!$C$5:$T$44,$CU34,V$57),""),2,1)="/",MID(IFERROR(INDEX(醫師週班表!$C$5:$T$44,$CU34,V$57),""),1+V$58*2,1),IF(MID(IFERROR(INDEX(醫師週班表!$C$5:$T$44,$CU34,V$57),""),3,1)="隔",IF(V$58=0,LEFT(IFERROR(INDEX(醫師週班表!$C$5:$T$44,$CU34,V$57),""),1),""),IF(MID(IFERROR(INDEX(醫師週班表!$C$5:$T$44,$CU34,V$57),""),2,1)="(",LEFT(IFERROR(INDEX(醫師週班表!$C$5:$T$44,$CU34,V$57),""),1),IFERROR(INDEX(醫師週班表!$C$5:$T$44,$CU34,V$57),"")))))))</f>
        <v/>
      </c>
      <c r="W34" s="71">
        <f>IF(W$59="X","",IF(W$59&lt;&gt;"",W$59,IF(IFERROR(INDEX(醫師週班表!$C$5:$T$44,$CU34,W$57),"")=0,"",IF(MID(IFERROR(INDEX(醫師週班表!$C$5:$T$44,$CU34,W$57),""),2,1)="/",MID(IFERROR(INDEX(醫師週班表!$C$5:$T$44,$CU34,W$57),""),1+W$58*2,1),IF(MID(IFERROR(INDEX(醫師週班表!$C$5:$T$44,$CU34,W$57),""),3,1)="隔",IF(W$58=0,LEFT(IFERROR(INDEX(醫師週班表!$C$5:$T$44,$CU34,W$57),""),1),""),IF(MID(IFERROR(INDEX(醫師週班表!$C$5:$T$44,$CU34,W$57),""),2,1)="(",LEFT(IFERROR(INDEX(醫師週班表!$C$5:$T$44,$CU34,W$57),""),1),IFERROR(INDEX(醫師週班表!$C$5:$T$44,$CU34,W$57),"")))))))</f>
        <v/>
      </c>
      <c r="X34" s="72">
        <f>IF(X$59="X","",IF(X$59&lt;&gt;"",X$59,IF(IFERROR(INDEX(醫師週班表!$C$5:$T$44,$CU34,X$57),"")=0,"",IF(MID(IFERROR(INDEX(醫師週班表!$C$5:$T$44,$CU34,X$57),""),2,1)="/",MID(IFERROR(INDEX(醫師週班表!$C$5:$T$44,$CU34,X$57),""),1+X$58*2,1),IF(MID(IFERROR(INDEX(醫師週班表!$C$5:$T$44,$CU34,X$57),""),3,1)="隔",IF(X$58=0,LEFT(IFERROR(INDEX(醫師週班表!$C$5:$T$44,$CU34,X$57),""),1),""),IF(MID(IFERROR(INDEX(醫師週班表!$C$5:$T$44,$CU34,X$57),""),2,1)="(",LEFT(IFERROR(INDEX(醫師週班表!$C$5:$T$44,$CU34,X$57),""),1),IFERROR(INDEX(醫師週班表!$C$5:$T$44,$CU34,X$57),"")))))))</f>
        <v/>
      </c>
      <c r="Y34" s="72">
        <f>IF(Y$59="X","",IF(Y$59&lt;&gt;"",Y$59,IF(IFERROR(INDEX(醫師週班表!$C$5:$T$44,$CU34,Y$57),"")=0,"",IF(MID(IFERROR(INDEX(醫師週班表!$C$5:$T$44,$CU34,Y$57),""),2,1)="/",MID(IFERROR(INDEX(醫師週班表!$C$5:$T$44,$CU34,Y$57),""),1+Y$58*2,1),IF(MID(IFERROR(INDEX(醫師週班表!$C$5:$T$44,$CU34,Y$57),""),3,1)="隔",IF(Y$58=0,LEFT(IFERROR(INDEX(醫師週班表!$C$5:$T$44,$CU34,Y$57),""),1),""),IF(MID(IFERROR(INDEX(醫師週班表!$C$5:$T$44,$CU34,Y$57),""),2,1)="(",LEFT(IFERROR(INDEX(醫師週班表!$C$5:$T$44,$CU34,Y$57),""),1),IFERROR(INDEX(醫師週班表!$C$5:$T$44,$CU34,Y$57),"")))))))</f>
        <v/>
      </c>
      <c r="Z34" s="71">
        <f>IF(Z$59="X","",IF(Z$59&lt;&gt;"",Z$59,IF(IFERROR(INDEX(醫師週班表!$C$5:$T$44,$CU34,Z$57),"")=0,"",IF(MID(IFERROR(INDEX(醫師週班表!$C$5:$T$44,$CU34,Z$57),""),2,1)="/",MID(IFERROR(INDEX(醫師週班表!$C$5:$T$44,$CU34,Z$57),""),1+Z$58*2,1),IF(MID(IFERROR(INDEX(醫師週班表!$C$5:$T$44,$CU34,Z$57),""),3,1)="隔",IF(Z$58=0,LEFT(IFERROR(INDEX(醫師週班表!$C$5:$T$44,$CU34,Z$57),""),1),""),IF(MID(IFERROR(INDEX(醫師週班表!$C$5:$T$44,$CU34,Z$57),""),2,1)="(",LEFT(IFERROR(INDEX(醫師週班表!$C$5:$T$44,$CU34,Z$57),""),1),IFERROR(INDEX(醫師週班表!$C$5:$T$44,$CU34,Z$57),"")))))))</f>
        <v/>
      </c>
      <c r="AA34" s="72">
        <f>IF(AA$59="X","",IF(AA$59&lt;&gt;"",AA$59,IF(IFERROR(INDEX(醫師週班表!$C$5:$T$44,$CU34,AA$57),"")=0,"",IF(MID(IFERROR(INDEX(醫師週班表!$C$5:$T$44,$CU34,AA$57),""),2,1)="/",MID(IFERROR(INDEX(醫師週班表!$C$5:$T$44,$CU34,AA$57),""),1+AA$58*2,1),IF(MID(IFERROR(INDEX(醫師週班表!$C$5:$T$44,$CU34,AA$57),""),3,1)="隔",IF(AA$58=0,LEFT(IFERROR(INDEX(醫師週班表!$C$5:$T$44,$CU34,AA$57),""),1),""),IF(MID(IFERROR(INDEX(醫師週班表!$C$5:$T$44,$CU34,AA$57),""),2,1)="(",LEFT(IFERROR(INDEX(醫師週班表!$C$5:$T$44,$CU34,AA$57),""),1),IFERROR(INDEX(醫師週班表!$C$5:$T$44,$CU34,AA$57),"")))))))</f>
        <v/>
      </c>
      <c r="AB34" s="72">
        <f>IF(AB$59="X","",IF(AB$59&lt;&gt;"",AB$59,IF(IFERROR(INDEX(醫師週班表!$C$5:$T$44,$CU34,AB$57),"")=0,"",IF(MID(IFERROR(INDEX(醫師週班表!$C$5:$T$44,$CU34,AB$57),""),2,1)="/",MID(IFERROR(INDEX(醫師週班表!$C$5:$T$44,$CU34,AB$57),""),1+AB$58*2,1),IF(MID(IFERROR(INDEX(醫師週班表!$C$5:$T$44,$CU34,AB$57),""),3,1)="隔",IF(AB$58=0,LEFT(IFERROR(INDEX(醫師週班表!$C$5:$T$44,$CU34,AB$57),""),1),""),IF(MID(IFERROR(INDEX(醫師週班表!$C$5:$T$44,$CU34,AB$57),""),2,1)="(",LEFT(IFERROR(INDEX(醫師週班表!$C$5:$T$44,$CU34,AB$57),""),1),IFERROR(INDEX(醫師週班表!$C$5:$T$44,$CU34,AB$57),"")))))))</f>
        <v/>
      </c>
      <c r="AC34" s="71">
        <f>IF(AC$59="X","",IF(AC$59&lt;&gt;"",AC$59,IF(IFERROR(INDEX(醫師週班表!$C$5:$T$44,$CU34,AC$57),"")=0,"",IF(MID(IFERROR(INDEX(醫師週班表!$C$5:$T$44,$CU34,AC$57),""),2,1)="/",MID(IFERROR(INDEX(醫師週班表!$C$5:$T$44,$CU34,AC$57),""),1+AC$58*2,1),IF(MID(IFERROR(INDEX(醫師週班表!$C$5:$T$44,$CU34,AC$57),""),3,1)="隔",IF(AC$58=0,LEFT(IFERROR(INDEX(醫師週班表!$C$5:$T$44,$CU34,AC$57),""),1),""),IF(MID(IFERROR(INDEX(醫師週班表!$C$5:$T$44,$CU34,AC$57),""),2,1)="(",LEFT(IFERROR(INDEX(醫師週班表!$C$5:$T$44,$CU34,AC$57),""),1),IFERROR(INDEX(醫師週班表!$C$5:$T$44,$CU34,AC$57),"")))))))</f>
        <v/>
      </c>
      <c r="AD34" s="72">
        <f>IF(AD$59="X","",IF(AD$59&lt;&gt;"",AD$59,IF(IFERROR(INDEX(醫師週班表!$C$5:$T$44,$CU34,AD$57),"")=0,"",IF(MID(IFERROR(INDEX(醫師週班表!$C$5:$T$44,$CU34,AD$57),""),2,1)="/",MID(IFERROR(INDEX(醫師週班表!$C$5:$T$44,$CU34,AD$57),""),1+AD$58*2,1),IF(MID(IFERROR(INDEX(醫師週班表!$C$5:$T$44,$CU34,AD$57),""),3,1)="隔",IF(AD$58=0,LEFT(IFERROR(INDEX(醫師週班表!$C$5:$T$44,$CU34,AD$57),""),1),""),IF(MID(IFERROR(INDEX(醫師週班表!$C$5:$T$44,$CU34,AD$57),""),2,1)="(",LEFT(IFERROR(INDEX(醫師週班表!$C$5:$T$44,$CU34,AD$57),""),1),IFERROR(INDEX(醫師週班表!$C$5:$T$44,$CU34,AD$57),"")))))))</f>
        <v/>
      </c>
      <c r="AE34" s="72">
        <f>IF(AE$59="X","",IF(AE$59&lt;&gt;"",AE$59,IF(IFERROR(INDEX(醫師週班表!$C$5:$T$44,$CU34,AE$57),"")=0,"",IF(MID(IFERROR(INDEX(醫師週班表!$C$5:$T$44,$CU34,AE$57),""),2,1)="/",MID(IFERROR(INDEX(醫師週班表!$C$5:$T$44,$CU34,AE$57),""),1+AE$58*2,1),IF(MID(IFERROR(INDEX(醫師週班表!$C$5:$T$44,$CU34,AE$57),""),3,1)="隔",IF(AE$58=0,LEFT(IFERROR(INDEX(醫師週班表!$C$5:$T$44,$CU34,AE$57),""),1),""),IF(MID(IFERROR(INDEX(醫師週班表!$C$5:$T$44,$CU34,AE$57),""),2,1)="(",LEFT(IFERROR(INDEX(醫師週班表!$C$5:$T$44,$CU34,AE$57),""),1),IFERROR(INDEX(醫師週班表!$C$5:$T$44,$CU34,AE$57),"")))))))</f>
        <v/>
      </c>
      <c r="AF34" s="71">
        <f>IF(AF$59="X","",IF(AF$59&lt;&gt;"",AF$59,IF(IFERROR(INDEX(醫師週班表!$C$5:$T$44,$CU34,AF$57),"")=0,"",IF(MID(IFERROR(INDEX(醫師週班表!$C$5:$T$44,$CU34,AF$57),""),2,1)="/",MID(IFERROR(INDEX(醫師週班表!$C$5:$T$44,$CU34,AF$57),""),1+AF$58*2,1),IF(MID(IFERROR(INDEX(醫師週班表!$C$5:$T$44,$CU34,AF$57),""),3,1)="隔",IF(AF$58=0,LEFT(IFERROR(INDEX(醫師週班表!$C$5:$T$44,$CU34,AF$57),""),1),""),IF(MID(IFERROR(INDEX(醫師週班表!$C$5:$T$44,$CU34,AF$57),""),2,1)="(",LEFT(IFERROR(INDEX(醫師週班表!$C$5:$T$44,$CU34,AF$57),""),1),IFERROR(INDEX(醫師週班表!$C$5:$T$44,$CU34,AF$57),"")))))))</f>
        <v/>
      </c>
      <c r="AG34" s="72">
        <f>IF(AG$59="X","",IF(AG$59&lt;&gt;"",AG$59,IF(IFERROR(INDEX(醫師週班表!$C$5:$T$44,$CU34,AG$57),"")=0,"",IF(MID(IFERROR(INDEX(醫師週班表!$C$5:$T$44,$CU34,AG$57),""),2,1)="/",MID(IFERROR(INDEX(醫師週班表!$C$5:$T$44,$CU34,AG$57),""),1+AG$58*2,1),IF(MID(IFERROR(INDEX(醫師週班表!$C$5:$T$44,$CU34,AG$57),""),3,1)="隔",IF(AG$58=0,LEFT(IFERROR(INDEX(醫師週班表!$C$5:$T$44,$CU34,AG$57),""),1),""),IF(MID(IFERROR(INDEX(醫師週班表!$C$5:$T$44,$CU34,AG$57),""),2,1)="(",LEFT(IFERROR(INDEX(醫師週班表!$C$5:$T$44,$CU34,AG$57),""),1),IFERROR(INDEX(醫師週班表!$C$5:$T$44,$CU34,AG$57),"")))))))</f>
        <v/>
      </c>
      <c r="AH34" s="72">
        <f>IF(AH$59="X","",IF(AH$59&lt;&gt;"",AH$59,IF(IFERROR(INDEX(醫師週班表!$C$5:$T$44,$CU34,AH$57),"")=0,"",IF(MID(IFERROR(INDEX(醫師週班表!$C$5:$T$44,$CU34,AH$57),""),2,1)="/",MID(IFERROR(INDEX(醫師週班表!$C$5:$T$44,$CU34,AH$57),""),1+AH$58*2,1),IF(MID(IFERROR(INDEX(醫師週班表!$C$5:$T$44,$CU34,AH$57),""),3,1)="隔",IF(AH$58=0,LEFT(IFERROR(INDEX(醫師週班表!$C$5:$T$44,$CU34,AH$57),""),1),""),IF(MID(IFERROR(INDEX(醫師週班表!$C$5:$T$44,$CU34,AH$57),""),2,1)="(",LEFT(IFERROR(INDEX(醫師週班表!$C$5:$T$44,$CU34,AH$57),""),1),IFERROR(INDEX(醫師週班表!$C$5:$T$44,$CU34,AH$57),"")))))))</f>
        <v/>
      </c>
      <c r="AI34" s="71">
        <f>IF(AI$59="X","",IF(AI$59&lt;&gt;"",AI$59,IF(IFERROR(INDEX(醫師週班表!$C$5:$T$44,$CU34,AI$57),"")=0,"",IF(MID(IFERROR(INDEX(醫師週班表!$C$5:$T$44,$CU34,AI$57),""),2,1)="/",MID(IFERROR(INDEX(醫師週班表!$C$5:$T$44,$CU34,AI$57),""),1+AI$58*2,1),IF(MID(IFERROR(INDEX(醫師週班表!$C$5:$T$44,$CU34,AI$57),""),3,1)="隔",IF(AI$58=0,LEFT(IFERROR(INDEX(醫師週班表!$C$5:$T$44,$CU34,AI$57),""),1),""),IF(MID(IFERROR(INDEX(醫師週班表!$C$5:$T$44,$CU34,AI$57),""),2,1)="(",LEFT(IFERROR(INDEX(醫師週班表!$C$5:$T$44,$CU34,AI$57),""),1),IFERROR(INDEX(醫師週班表!$C$5:$T$44,$CU34,AI$57),"")))))))</f>
        <v/>
      </c>
      <c r="AJ34" s="72">
        <f>IF(AJ$59="X","",IF(AJ$59&lt;&gt;"",AJ$59,IF(IFERROR(INDEX(醫師週班表!$C$5:$T$44,$CU34,AJ$57),"")=0,"",IF(MID(IFERROR(INDEX(醫師週班表!$C$5:$T$44,$CU34,AJ$57),""),2,1)="/",MID(IFERROR(INDEX(醫師週班表!$C$5:$T$44,$CU34,AJ$57),""),1+AJ$58*2,1),IF(MID(IFERROR(INDEX(醫師週班表!$C$5:$T$44,$CU34,AJ$57),""),3,1)="隔",IF(AJ$58=0,LEFT(IFERROR(INDEX(醫師週班表!$C$5:$T$44,$CU34,AJ$57),""),1),""),IF(MID(IFERROR(INDEX(醫師週班表!$C$5:$T$44,$CU34,AJ$57),""),2,1)="(",LEFT(IFERROR(INDEX(醫師週班表!$C$5:$T$44,$CU34,AJ$57),""),1),IFERROR(INDEX(醫師週班表!$C$5:$T$44,$CU34,AJ$57),"")))))))</f>
        <v/>
      </c>
      <c r="AK34" s="72">
        <f>IF(AK$59="X","",IF(AK$59&lt;&gt;"",AK$59,IF(IFERROR(INDEX(醫師週班表!$C$5:$T$44,$CU34,AK$57),"")=0,"",IF(MID(IFERROR(INDEX(醫師週班表!$C$5:$T$44,$CU34,AK$57),""),2,1)="/",MID(IFERROR(INDEX(醫師週班表!$C$5:$T$44,$CU34,AK$57),""),1+AK$58*2,1),IF(MID(IFERROR(INDEX(醫師週班表!$C$5:$T$44,$CU34,AK$57),""),3,1)="隔",IF(AK$58=0,LEFT(IFERROR(INDEX(醫師週班表!$C$5:$T$44,$CU34,AK$57),""),1),""),IF(MID(IFERROR(INDEX(醫師週班表!$C$5:$T$44,$CU34,AK$57),""),2,1)="(",LEFT(IFERROR(INDEX(醫師週班表!$C$5:$T$44,$CU34,AK$57),""),1),IFERROR(INDEX(醫師週班表!$C$5:$T$44,$CU34,AK$57),"")))))))</f>
        <v/>
      </c>
      <c r="AL34" s="71">
        <f>IF(AL$59="X","",IF(AL$59&lt;&gt;"",AL$59,IF(IFERROR(INDEX(醫師週班表!$C$5:$T$44,$CU34,AL$57),"")=0,"",IF(MID(IFERROR(INDEX(醫師週班表!$C$5:$T$44,$CU34,AL$57),""),2,1)="/",MID(IFERROR(INDEX(醫師週班表!$C$5:$T$44,$CU34,AL$57),""),1+AL$58*2,1),IF(MID(IFERROR(INDEX(醫師週班表!$C$5:$T$44,$CU34,AL$57),""),3,1)="隔",IF(AL$58=0,LEFT(IFERROR(INDEX(醫師週班表!$C$5:$T$44,$CU34,AL$57),""),1),""),IF(MID(IFERROR(INDEX(醫師週班表!$C$5:$T$44,$CU34,AL$57),""),2,1)="(",LEFT(IFERROR(INDEX(醫師週班表!$C$5:$T$44,$CU34,AL$57),""),1),IFERROR(INDEX(醫師週班表!$C$5:$T$44,$CU34,AL$57),"")))))))</f>
        <v/>
      </c>
      <c r="AM34" s="72">
        <f>IF(AM$59="X","",IF(AM$59&lt;&gt;"",AM$59,IF(IFERROR(INDEX(醫師週班表!$C$5:$T$44,$CU34,AM$57),"")=0,"",IF(MID(IFERROR(INDEX(醫師週班表!$C$5:$T$44,$CU34,AM$57),""),2,1)="/",MID(IFERROR(INDEX(醫師週班表!$C$5:$T$44,$CU34,AM$57),""),1+AM$58*2,1),IF(MID(IFERROR(INDEX(醫師週班表!$C$5:$T$44,$CU34,AM$57),""),3,1)="隔",IF(AM$58=0,LEFT(IFERROR(INDEX(醫師週班表!$C$5:$T$44,$CU34,AM$57),""),1),""),IF(MID(IFERROR(INDEX(醫師週班表!$C$5:$T$44,$CU34,AM$57),""),2,1)="(",LEFT(IFERROR(INDEX(醫師週班表!$C$5:$T$44,$CU34,AM$57),""),1),IFERROR(INDEX(醫師週班表!$C$5:$T$44,$CU34,AM$57),"")))))))</f>
        <v/>
      </c>
      <c r="AN34" s="72">
        <f>IF(AN$59="X","",IF(AN$59&lt;&gt;"",AN$59,IF(IFERROR(INDEX(醫師週班表!$C$5:$T$44,$CU34,AN$57),"")=0,"",IF(MID(IFERROR(INDEX(醫師週班表!$C$5:$T$44,$CU34,AN$57),""),2,1)="/",MID(IFERROR(INDEX(醫師週班表!$C$5:$T$44,$CU34,AN$57),""),1+AN$58*2,1),IF(MID(IFERROR(INDEX(醫師週班表!$C$5:$T$44,$CU34,AN$57),""),3,1)="隔",IF(AN$58=0,LEFT(IFERROR(INDEX(醫師週班表!$C$5:$T$44,$CU34,AN$57),""),1),""),IF(MID(IFERROR(INDEX(醫師週班表!$C$5:$T$44,$CU34,AN$57),""),2,1)="(",LEFT(IFERROR(INDEX(醫師週班表!$C$5:$T$44,$CU34,AN$57),""),1),IFERROR(INDEX(醫師週班表!$C$5:$T$44,$CU34,AN$57),"")))))))</f>
        <v/>
      </c>
      <c r="AO34" s="71">
        <f>IF(AO$59="X","",IF(AO$59&lt;&gt;"",AO$59,IF(IFERROR(INDEX(醫師週班表!$C$5:$T$44,$CU34,AO$57),"")=0,"",IF(MID(IFERROR(INDEX(醫師週班表!$C$5:$T$44,$CU34,AO$57),""),2,1)="/",MID(IFERROR(INDEX(醫師週班表!$C$5:$T$44,$CU34,AO$57),""),1+AO$58*2,1),IF(MID(IFERROR(INDEX(醫師週班表!$C$5:$T$44,$CU34,AO$57),""),3,1)="隔",IF(AO$58=0,LEFT(IFERROR(INDEX(醫師週班表!$C$5:$T$44,$CU34,AO$57),""),1),""),IF(MID(IFERROR(INDEX(醫師週班表!$C$5:$T$44,$CU34,AO$57),""),2,1)="(",LEFT(IFERROR(INDEX(醫師週班表!$C$5:$T$44,$CU34,AO$57),""),1),IFERROR(INDEX(醫師週班表!$C$5:$T$44,$CU34,AO$57),"")))))))</f>
        <v/>
      </c>
      <c r="AP34" s="72">
        <f>IF(AP$59="X","",IF(AP$59&lt;&gt;"",AP$59,IF(IFERROR(INDEX(醫師週班表!$C$5:$T$44,$CU34,AP$57),"")=0,"",IF(MID(IFERROR(INDEX(醫師週班表!$C$5:$T$44,$CU34,AP$57),""),2,1)="/",MID(IFERROR(INDEX(醫師週班表!$C$5:$T$44,$CU34,AP$57),""),1+AP$58*2,1),IF(MID(IFERROR(INDEX(醫師週班表!$C$5:$T$44,$CU34,AP$57),""),3,1)="隔",IF(AP$58=0,LEFT(IFERROR(INDEX(醫師週班表!$C$5:$T$44,$CU34,AP$57),""),1),""),IF(MID(IFERROR(INDEX(醫師週班表!$C$5:$T$44,$CU34,AP$57),""),2,1)="(",LEFT(IFERROR(INDEX(醫師週班表!$C$5:$T$44,$CU34,AP$57),""),1),IFERROR(INDEX(醫師週班表!$C$5:$T$44,$CU34,AP$57),"")))))))</f>
        <v/>
      </c>
      <c r="AQ34" s="72">
        <f>IF(AQ$59="X","",IF(AQ$59&lt;&gt;"",AQ$59,IF(IFERROR(INDEX(醫師週班表!$C$5:$T$44,$CU34,AQ$57),"")=0,"",IF(MID(IFERROR(INDEX(醫師週班表!$C$5:$T$44,$CU34,AQ$57),""),2,1)="/",MID(IFERROR(INDEX(醫師週班表!$C$5:$T$44,$CU34,AQ$57),""),1+AQ$58*2,1),IF(MID(IFERROR(INDEX(醫師週班表!$C$5:$T$44,$CU34,AQ$57),""),3,1)="隔",IF(AQ$58=0,LEFT(IFERROR(INDEX(醫師週班表!$C$5:$T$44,$CU34,AQ$57),""),1),""),IF(MID(IFERROR(INDEX(醫師週班表!$C$5:$T$44,$CU34,AQ$57),""),2,1)="(",LEFT(IFERROR(INDEX(醫師週班表!$C$5:$T$44,$CU34,AQ$57),""),1),IFERROR(INDEX(醫師週班表!$C$5:$T$44,$CU34,AQ$57),"")))))))</f>
        <v/>
      </c>
      <c r="AR34" s="71">
        <f>IF(AR$59="X","",IF(AR$59&lt;&gt;"",AR$59,IF(IFERROR(INDEX(醫師週班表!$C$5:$T$44,$CU34,AR$57),"")=0,"",IF(MID(IFERROR(INDEX(醫師週班表!$C$5:$T$44,$CU34,AR$57),""),2,1)="/",MID(IFERROR(INDEX(醫師週班表!$C$5:$T$44,$CU34,AR$57),""),1+AR$58*2,1),IF(MID(IFERROR(INDEX(醫師週班表!$C$5:$T$44,$CU34,AR$57),""),3,1)="隔",IF(AR$58=0,LEFT(IFERROR(INDEX(醫師週班表!$C$5:$T$44,$CU34,AR$57),""),1),""),IF(MID(IFERROR(INDEX(醫師週班表!$C$5:$T$44,$CU34,AR$57),""),2,1)="(",LEFT(IFERROR(INDEX(醫師週班表!$C$5:$T$44,$CU34,AR$57),""),1),IFERROR(INDEX(醫師週班表!$C$5:$T$44,$CU34,AR$57),"")))))))</f>
        <v/>
      </c>
      <c r="AS34" s="72">
        <f>IF(AS$59="X","",IF(AS$59&lt;&gt;"",AS$59,IF(IFERROR(INDEX(醫師週班表!$C$5:$T$44,$CU34,AS$57),"")=0,"",IF(MID(IFERROR(INDEX(醫師週班表!$C$5:$T$44,$CU34,AS$57),""),2,1)="/",MID(IFERROR(INDEX(醫師週班表!$C$5:$T$44,$CU34,AS$57),""),1+AS$58*2,1),IF(MID(IFERROR(INDEX(醫師週班表!$C$5:$T$44,$CU34,AS$57),""),3,1)="隔",IF(AS$58=0,LEFT(IFERROR(INDEX(醫師週班表!$C$5:$T$44,$CU34,AS$57),""),1),""),IF(MID(IFERROR(INDEX(醫師週班表!$C$5:$T$44,$CU34,AS$57),""),2,1)="(",LEFT(IFERROR(INDEX(醫師週班表!$C$5:$T$44,$CU34,AS$57),""),1),IFERROR(INDEX(醫師週班表!$C$5:$T$44,$CU34,AS$57),"")))))))</f>
        <v/>
      </c>
      <c r="AT34" s="72">
        <f>IF(AT$59="X","",IF(AT$59&lt;&gt;"",AT$59,IF(IFERROR(INDEX(醫師週班表!$C$5:$T$44,$CU34,AT$57),"")=0,"",IF(MID(IFERROR(INDEX(醫師週班表!$C$5:$T$44,$CU34,AT$57),""),2,1)="/",MID(IFERROR(INDEX(醫師週班表!$C$5:$T$44,$CU34,AT$57),""),1+AT$58*2,1),IF(MID(IFERROR(INDEX(醫師週班表!$C$5:$T$44,$CU34,AT$57),""),3,1)="隔",IF(AT$58=0,LEFT(IFERROR(INDEX(醫師週班表!$C$5:$T$44,$CU34,AT$57),""),1),""),IF(MID(IFERROR(INDEX(醫師週班表!$C$5:$T$44,$CU34,AT$57),""),2,1)="(",LEFT(IFERROR(INDEX(醫師週班表!$C$5:$T$44,$CU34,AT$57),""),1),IFERROR(INDEX(醫師週班表!$C$5:$T$44,$CU34,AT$57),"")))))))</f>
        <v/>
      </c>
      <c r="AU34" s="71">
        <f>IF(AU$59="X","",IF(AU$59&lt;&gt;"",AU$59,IF(IFERROR(INDEX(醫師週班表!$C$5:$T$44,$CU34,AU$57),"")=0,"",IF(MID(IFERROR(INDEX(醫師週班表!$C$5:$T$44,$CU34,AU$57),""),2,1)="/",MID(IFERROR(INDEX(醫師週班表!$C$5:$T$44,$CU34,AU$57),""),1+AU$58*2,1),IF(MID(IFERROR(INDEX(醫師週班表!$C$5:$T$44,$CU34,AU$57),""),3,1)="隔",IF(AU$58=0,LEFT(IFERROR(INDEX(醫師週班表!$C$5:$T$44,$CU34,AU$57),""),1),""),IF(MID(IFERROR(INDEX(醫師週班表!$C$5:$T$44,$CU34,AU$57),""),2,1)="(",LEFT(IFERROR(INDEX(醫師週班表!$C$5:$T$44,$CU34,AU$57),""),1),IFERROR(INDEX(醫師週班表!$C$5:$T$44,$CU34,AU$57),"")))))))</f>
        <v/>
      </c>
      <c r="AV34" s="72">
        <f>IF(AV$59="X","",IF(AV$59&lt;&gt;"",AV$59,IF(IFERROR(INDEX(醫師週班表!$C$5:$T$44,$CU34,AV$57),"")=0,"",IF(MID(IFERROR(INDEX(醫師週班表!$C$5:$T$44,$CU34,AV$57),""),2,1)="/",MID(IFERROR(INDEX(醫師週班表!$C$5:$T$44,$CU34,AV$57),""),1+AV$58*2,1),IF(MID(IFERROR(INDEX(醫師週班表!$C$5:$T$44,$CU34,AV$57),""),3,1)="隔",IF(AV$58=0,LEFT(IFERROR(INDEX(醫師週班表!$C$5:$T$44,$CU34,AV$57),""),1),""),IF(MID(IFERROR(INDEX(醫師週班表!$C$5:$T$44,$CU34,AV$57),""),2,1)="(",LEFT(IFERROR(INDEX(醫師週班表!$C$5:$T$44,$CU34,AV$57),""),1),IFERROR(INDEX(醫師週班表!$C$5:$T$44,$CU34,AV$57),"")))))))</f>
        <v/>
      </c>
      <c r="AW34" s="72">
        <f>IF(AW$59="X","",IF(AW$59&lt;&gt;"",AW$59,IF(IFERROR(INDEX(醫師週班表!$C$5:$T$44,$CU34,AW$57),"")=0,"",IF(MID(IFERROR(INDEX(醫師週班表!$C$5:$T$44,$CU34,AW$57),""),2,1)="/",MID(IFERROR(INDEX(醫師週班表!$C$5:$T$44,$CU34,AW$57),""),1+AW$58*2,1),IF(MID(IFERROR(INDEX(醫師週班表!$C$5:$T$44,$CU34,AW$57),""),3,1)="隔",IF(AW$58=0,LEFT(IFERROR(INDEX(醫師週班表!$C$5:$T$44,$CU34,AW$57),""),1),""),IF(MID(IFERROR(INDEX(醫師週班表!$C$5:$T$44,$CU34,AW$57),""),2,1)="(",LEFT(IFERROR(INDEX(醫師週班表!$C$5:$T$44,$CU34,AW$57),""),1),IFERROR(INDEX(醫師週班表!$C$5:$T$44,$CU34,AW$57),"")))))))</f>
        <v/>
      </c>
      <c r="AX34" s="71">
        <f>IF(AX$59="X","",IF(AX$59&lt;&gt;"",AX$59,IF(IFERROR(INDEX(醫師週班表!$C$5:$T$44,$CU34,AX$57),"")=0,"",IF(MID(IFERROR(INDEX(醫師週班表!$C$5:$T$44,$CU34,AX$57),""),2,1)="/",MID(IFERROR(INDEX(醫師週班表!$C$5:$T$44,$CU34,AX$57),""),1+AX$58*2,1),IF(MID(IFERROR(INDEX(醫師週班表!$C$5:$T$44,$CU34,AX$57),""),3,1)="隔",IF(AX$58=0,LEFT(IFERROR(INDEX(醫師週班表!$C$5:$T$44,$CU34,AX$57),""),1),""),IF(MID(IFERROR(INDEX(醫師週班表!$C$5:$T$44,$CU34,AX$57),""),2,1)="(",LEFT(IFERROR(INDEX(醫師週班表!$C$5:$T$44,$CU34,AX$57),""),1),IFERROR(INDEX(醫師週班表!$C$5:$T$44,$CU34,AX$57),"")))))))</f>
        <v/>
      </c>
      <c r="AY34" s="72">
        <f>IF(AY$59="X","",IF(AY$59&lt;&gt;"",AY$59,IF(IFERROR(INDEX(醫師週班表!$C$5:$T$44,$CU34,AY$57),"")=0,"",IF(MID(IFERROR(INDEX(醫師週班表!$C$5:$T$44,$CU34,AY$57),""),2,1)="/",MID(IFERROR(INDEX(醫師週班表!$C$5:$T$44,$CU34,AY$57),""),1+AY$58*2,1),IF(MID(IFERROR(INDEX(醫師週班表!$C$5:$T$44,$CU34,AY$57),""),3,1)="隔",IF(AY$58=0,LEFT(IFERROR(INDEX(醫師週班表!$C$5:$T$44,$CU34,AY$57),""),1),""),IF(MID(IFERROR(INDEX(醫師週班表!$C$5:$T$44,$CU34,AY$57),""),2,1)="(",LEFT(IFERROR(INDEX(醫師週班表!$C$5:$T$44,$CU34,AY$57),""),1),IFERROR(INDEX(醫師週班表!$C$5:$T$44,$CU34,AY$57),"")))))))</f>
        <v/>
      </c>
      <c r="AZ34" s="72">
        <f>IF(AZ$59="X","",IF(AZ$59&lt;&gt;"",AZ$59,IF(IFERROR(INDEX(醫師週班表!$C$5:$T$44,$CU34,AZ$57),"")=0,"",IF(MID(IFERROR(INDEX(醫師週班表!$C$5:$T$44,$CU34,AZ$57),""),2,1)="/",MID(IFERROR(INDEX(醫師週班表!$C$5:$T$44,$CU34,AZ$57),""),1+AZ$58*2,1),IF(MID(IFERROR(INDEX(醫師週班表!$C$5:$T$44,$CU34,AZ$57),""),3,1)="隔",IF(AZ$58=0,LEFT(IFERROR(INDEX(醫師週班表!$C$5:$T$44,$CU34,AZ$57),""),1),""),IF(MID(IFERROR(INDEX(醫師週班表!$C$5:$T$44,$CU34,AZ$57),""),2,1)="(",LEFT(IFERROR(INDEX(醫師週班表!$C$5:$T$44,$CU34,AZ$57),""),1),IFERROR(INDEX(醫師週班表!$C$5:$T$44,$CU34,AZ$57),"")))))))</f>
        <v/>
      </c>
      <c r="BA34" s="71">
        <f>IF(BA$59="X","",IF(BA$59&lt;&gt;"",BA$59,IF(IFERROR(INDEX(醫師週班表!$C$5:$T$44,$CU34,BA$57),"")=0,"",IF(MID(IFERROR(INDEX(醫師週班表!$C$5:$T$44,$CU34,BA$57),""),2,1)="/",MID(IFERROR(INDEX(醫師週班表!$C$5:$T$44,$CU34,BA$57),""),1+BA$58*2,1),IF(MID(IFERROR(INDEX(醫師週班表!$C$5:$T$44,$CU34,BA$57),""),3,1)="隔",IF(BA$58=0,LEFT(IFERROR(INDEX(醫師週班表!$C$5:$T$44,$CU34,BA$57),""),1),""),IF(MID(IFERROR(INDEX(醫師週班表!$C$5:$T$44,$CU34,BA$57),""),2,1)="(",LEFT(IFERROR(INDEX(醫師週班表!$C$5:$T$44,$CU34,BA$57),""),1),IFERROR(INDEX(醫師週班表!$C$5:$T$44,$CU34,BA$57),"")))))))</f>
        <v/>
      </c>
      <c r="BB34" s="72">
        <f>IF(BB$59="X","",IF(BB$59&lt;&gt;"",BB$59,IF(IFERROR(INDEX(醫師週班表!$C$5:$T$44,$CU34,BB$57),"")=0,"",IF(MID(IFERROR(INDEX(醫師週班表!$C$5:$T$44,$CU34,BB$57),""),2,1)="/",MID(IFERROR(INDEX(醫師週班表!$C$5:$T$44,$CU34,BB$57),""),1+BB$58*2,1),IF(MID(IFERROR(INDEX(醫師週班表!$C$5:$T$44,$CU34,BB$57),""),3,1)="隔",IF(BB$58=0,LEFT(IFERROR(INDEX(醫師週班表!$C$5:$T$44,$CU34,BB$57),""),1),""),IF(MID(IFERROR(INDEX(醫師週班表!$C$5:$T$44,$CU34,BB$57),""),2,1)="(",LEFT(IFERROR(INDEX(醫師週班表!$C$5:$T$44,$CU34,BB$57),""),1),IFERROR(INDEX(醫師週班表!$C$5:$T$44,$CU34,BB$57),"")))))))</f>
        <v/>
      </c>
      <c r="BC34" s="72">
        <f>IF(BC$59="X","",IF(BC$59&lt;&gt;"",BC$59,IF(IFERROR(INDEX(醫師週班表!$C$5:$T$44,$CU34,BC$57),"")=0,"",IF(MID(IFERROR(INDEX(醫師週班表!$C$5:$T$44,$CU34,BC$57),""),2,1)="/",MID(IFERROR(INDEX(醫師週班表!$C$5:$T$44,$CU34,BC$57),""),1+BC$58*2,1),IF(MID(IFERROR(INDEX(醫師週班表!$C$5:$T$44,$CU34,BC$57),""),3,1)="隔",IF(BC$58=0,LEFT(IFERROR(INDEX(醫師週班表!$C$5:$T$44,$CU34,BC$57),""),1),""),IF(MID(IFERROR(INDEX(醫師週班表!$C$5:$T$44,$CU34,BC$57),""),2,1)="(",LEFT(IFERROR(INDEX(醫師週班表!$C$5:$T$44,$CU34,BC$57),""),1),IFERROR(INDEX(醫師週班表!$C$5:$T$44,$CU34,BC$57),"")))))))</f>
        <v/>
      </c>
      <c r="BD34" s="71">
        <f>IF(BD$59="X","",IF(BD$59&lt;&gt;"",BD$59,IF(IFERROR(INDEX(醫師週班表!$C$5:$T$44,$CU34,BD$57),"")=0,"",IF(MID(IFERROR(INDEX(醫師週班表!$C$5:$T$44,$CU34,BD$57),""),2,1)="/",MID(IFERROR(INDEX(醫師週班表!$C$5:$T$44,$CU34,BD$57),""),1+BD$58*2,1),IF(MID(IFERROR(INDEX(醫師週班表!$C$5:$T$44,$CU34,BD$57),""),3,1)="隔",IF(BD$58=0,LEFT(IFERROR(INDEX(醫師週班表!$C$5:$T$44,$CU34,BD$57),""),1),""),IF(MID(IFERROR(INDEX(醫師週班表!$C$5:$T$44,$CU34,BD$57),""),2,1)="(",LEFT(IFERROR(INDEX(醫師週班表!$C$5:$T$44,$CU34,BD$57),""),1),IFERROR(INDEX(醫師週班表!$C$5:$T$44,$CU34,BD$57),"")))))))</f>
        <v/>
      </c>
      <c r="BE34" s="72">
        <f>IF(BE$59="X","",IF(BE$59&lt;&gt;"",BE$59,IF(IFERROR(INDEX(醫師週班表!$C$5:$T$44,$CU34,BE$57),"")=0,"",IF(MID(IFERROR(INDEX(醫師週班表!$C$5:$T$44,$CU34,BE$57),""),2,1)="/",MID(IFERROR(INDEX(醫師週班表!$C$5:$T$44,$CU34,BE$57),""),1+BE$58*2,1),IF(MID(IFERROR(INDEX(醫師週班表!$C$5:$T$44,$CU34,BE$57),""),3,1)="隔",IF(BE$58=0,LEFT(IFERROR(INDEX(醫師週班表!$C$5:$T$44,$CU34,BE$57),""),1),""),IF(MID(IFERROR(INDEX(醫師週班表!$C$5:$T$44,$CU34,BE$57),""),2,1)="(",LEFT(IFERROR(INDEX(醫師週班表!$C$5:$T$44,$CU34,BE$57),""),1),IFERROR(INDEX(醫師週班表!$C$5:$T$44,$CU34,BE$57),"")))))))</f>
        <v/>
      </c>
      <c r="BF34" s="72">
        <f>IF(BF$59="X","",IF(BF$59&lt;&gt;"",BF$59,IF(IFERROR(INDEX(醫師週班表!$C$5:$T$44,$CU34,BF$57),"")=0,"",IF(MID(IFERROR(INDEX(醫師週班表!$C$5:$T$44,$CU34,BF$57),""),2,1)="/",MID(IFERROR(INDEX(醫師週班表!$C$5:$T$44,$CU34,BF$57),""),1+BF$58*2,1),IF(MID(IFERROR(INDEX(醫師週班表!$C$5:$T$44,$CU34,BF$57),""),3,1)="隔",IF(BF$58=0,LEFT(IFERROR(INDEX(醫師週班表!$C$5:$T$44,$CU34,BF$57),""),1),""),IF(MID(IFERROR(INDEX(醫師週班表!$C$5:$T$44,$CU34,BF$57),""),2,1)="(",LEFT(IFERROR(INDEX(醫師週班表!$C$5:$T$44,$CU34,BF$57),""),1),IFERROR(INDEX(醫師週班表!$C$5:$T$44,$CU34,BF$57),"")))))))</f>
        <v/>
      </c>
      <c r="BG34" s="71">
        <f>IF(BG$59="X","",IF(BG$59&lt;&gt;"",BG$59,IF(IFERROR(INDEX(醫師週班表!$C$5:$T$44,$CU34,BG$57),"")=0,"",IF(MID(IFERROR(INDEX(醫師週班表!$C$5:$T$44,$CU34,BG$57),""),2,1)="/",MID(IFERROR(INDEX(醫師週班表!$C$5:$T$44,$CU34,BG$57),""),1+BG$58*2,1),IF(MID(IFERROR(INDEX(醫師週班表!$C$5:$T$44,$CU34,BG$57),""),3,1)="隔",IF(BG$58=0,LEFT(IFERROR(INDEX(醫師週班表!$C$5:$T$44,$CU34,BG$57),""),1),""),IF(MID(IFERROR(INDEX(醫師週班表!$C$5:$T$44,$CU34,BG$57),""),2,1)="(",LEFT(IFERROR(INDEX(醫師週班表!$C$5:$T$44,$CU34,BG$57),""),1),IFERROR(INDEX(醫師週班表!$C$5:$T$44,$CU34,BG$57),"")))))))</f>
        <v/>
      </c>
      <c r="BH34" s="72">
        <f>IF(BH$59="X","",IF(BH$59&lt;&gt;"",BH$59,IF(IFERROR(INDEX(醫師週班表!$C$5:$T$44,$CU34,BH$57),"")=0,"",IF(MID(IFERROR(INDEX(醫師週班表!$C$5:$T$44,$CU34,BH$57),""),2,1)="/",MID(IFERROR(INDEX(醫師週班表!$C$5:$T$44,$CU34,BH$57),""),1+BH$58*2,1),IF(MID(IFERROR(INDEX(醫師週班表!$C$5:$T$44,$CU34,BH$57),""),3,1)="隔",IF(BH$58=0,LEFT(IFERROR(INDEX(醫師週班表!$C$5:$T$44,$CU34,BH$57),""),1),""),IF(MID(IFERROR(INDEX(醫師週班表!$C$5:$T$44,$CU34,BH$57),""),2,1)="(",LEFT(IFERROR(INDEX(醫師週班表!$C$5:$T$44,$CU34,BH$57),""),1),IFERROR(INDEX(醫師週班表!$C$5:$T$44,$CU34,BH$57),"")))))))</f>
        <v/>
      </c>
      <c r="BI34" s="72">
        <f>IF(BI$59="X","",IF(BI$59&lt;&gt;"",BI$59,IF(IFERROR(INDEX(醫師週班表!$C$5:$T$44,$CU34,BI$57),"")=0,"",IF(MID(IFERROR(INDEX(醫師週班表!$C$5:$T$44,$CU34,BI$57),""),2,1)="/",MID(IFERROR(INDEX(醫師週班表!$C$5:$T$44,$CU34,BI$57),""),1+BI$58*2,1),IF(MID(IFERROR(INDEX(醫師週班表!$C$5:$T$44,$CU34,BI$57),""),3,1)="隔",IF(BI$58=0,LEFT(IFERROR(INDEX(醫師週班表!$C$5:$T$44,$CU34,BI$57),""),1),""),IF(MID(IFERROR(INDEX(醫師週班表!$C$5:$T$44,$CU34,BI$57),""),2,1)="(",LEFT(IFERROR(INDEX(醫師週班表!$C$5:$T$44,$CU34,BI$57),""),1),IFERROR(INDEX(醫師週班表!$C$5:$T$44,$CU34,BI$57),"")))))))</f>
        <v/>
      </c>
      <c r="BJ34" s="71">
        <f>IF(BJ$59="X","",IF(BJ$59&lt;&gt;"",BJ$59,IF(IFERROR(INDEX(醫師週班表!$C$5:$T$44,$CU34,BJ$57),"")=0,"",IF(MID(IFERROR(INDEX(醫師週班表!$C$5:$T$44,$CU34,BJ$57),""),2,1)="/",MID(IFERROR(INDEX(醫師週班表!$C$5:$T$44,$CU34,BJ$57),""),1+BJ$58*2,1),IF(MID(IFERROR(INDEX(醫師週班表!$C$5:$T$44,$CU34,BJ$57),""),3,1)="隔",IF(BJ$58=0,LEFT(IFERROR(INDEX(醫師週班表!$C$5:$T$44,$CU34,BJ$57),""),1),""),IF(MID(IFERROR(INDEX(醫師週班表!$C$5:$T$44,$CU34,BJ$57),""),2,1)="(",LEFT(IFERROR(INDEX(醫師週班表!$C$5:$T$44,$CU34,BJ$57),""),1),IFERROR(INDEX(醫師週班表!$C$5:$T$44,$CU34,BJ$57),"")))))))</f>
        <v/>
      </c>
      <c r="BK34" s="72">
        <f>IF(BK$59="X","",IF(BK$59&lt;&gt;"",BK$59,IF(IFERROR(INDEX(醫師週班表!$C$5:$T$44,$CU34,BK$57),"")=0,"",IF(MID(IFERROR(INDEX(醫師週班表!$C$5:$T$44,$CU34,BK$57),""),2,1)="/",MID(IFERROR(INDEX(醫師週班表!$C$5:$T$44,$CU34,BK$57),""),1+BK$58*2,1),IF(MID(IFERROR(INDEX(醫師週班表!$C$5:$T$44,$CU34,BK$57),""),3,1)="隔",IF(BK$58=0,LEFT(IFERROR(INDEX(醫師週班表!$C$5:$T$44,$CU34,BK$57),""),1),""),IF(MID(IFERROR(INDEX(醫師週班表!$C$5:$T$44,$CU34,BK$57),""),2,1)="(",LEFT(IFERROR(INDEX(醫師週班表!$C$5:$T$44,$CU34,BK$57),""),1),IFERROR(INDEX(醫師週班表!$C$5:$T$44,$CU34,BK$57),"")))))))</f>
        <v/>
      </c>
      <c r="BL34" s="72">
        <f>IF(BL$59="X","",IF(BL$59&lt;&gt;"",BL$59,IF(IFERROR(INDEX(醫師週班表!$C$5:$T$44,$CU34,BL$57),"")=0,"",IF(MID(IFERROR(INDEX(醫師週班表!$C$5:$T$44,$CU34,BL$57),""),2,1)="/",MID(IFERROR(INDEX(醫師週班表!$C$5:$T$44,$CU34,BL$57),""),1+BL$58*2,1),IF(MID(IFERROR(INDEX(醫師週班表!$C$5:$T$44,$CU34,BL$57),""),3,1)="隔",IF(BL$58=0,LEFT(IFERROR(INDEX(醫師週班表!$C$5:$T$44,$CU34,BL$57),""),1),""),IF(MID(IFERROR(INDEX(醫師週班表!$C$5:$T$44,$CU34,BL$57),""),2,1)="(",LEFT(IFERROR(INDEX(醫師週班表!$C$5:$T$44,$CU34,BL$57),""),1),IFERROR(INDEX(醫師週班表!$C$5:$T$44,$CU34,BL$57),"")))))))</f>
        <v/>
      </c>
      <c r="BM34" s="71">
        <f>IF(BM$59="X","",IF(BM$59&lt;&gt;"",BM$59,IF(IFERROR(INDEX(醫師週班表!$C$5:$T$44,$CU34,BM$57),"")=0,"",IF(MID(IFERROR(INDEX(醫師週班表!$C$5:$T$44,$CU34,BM$57),""),2,1)="/",MID(IFERROR(INDEX(醫師週班表!$C$5:$T$44,$CU34,BM$57),""),1+BM$58*2,1),IF(MID(IFERROR(INDEX(醫師週班表!$C$5:$T$44,$CU34,BM$57),""),3,1)="隔",IF(BM$58=0,LEFT(IFERROR(INDEX(醫師週班表!$C$5:$T$44,$CU34,BM$57),""),1),""),IF(MID(IFERROR(INDEX(醫師週班表!$C$5:$T$44,$CU34,BM$57),""),2,1)="(",LEFT(IFERROR(INDEX(醫師週班表!$C$5:$T$44,$CU34,BM$57),""),1),IFERROR(INDEX(醫師週班表!$C$5:$T$44,$CU34,BM$57),"")))))))</f>
        <v/>
      </c>
      <c r="BN34" s="72">
        <f>IF(BN$59="X","",IF(BN$59&lt;&gt;"",BN$59,IF(IFERROR(INDEX(醫師週班表!$C$5:$T$44,$CU34,BN$57),"")=0,"",IF(MID(IFERROR(INDEX(醫師週班表!$C$5:$T$44,$CU34,BN$57),""),2,1)="/",MID(IFERROR(INDEX(醫師週班表!$C$5:$T$44,$CU34,BN$57),""),1+BN$58*2,1),IF(MID(IFERROR(INDEX(醫師週班表!$C$5:$T$44,$CU34,BN$57),""),3,1)="隔",IF(BN$58=0,LEFT(IFERROR(INDEX(醫師週班表!$C$5:$T$44,$CU34,BN$57),""),1),""),IF(MID(IFERROR(INDEX(醫師週班表!$C$5:$T$44,$CU34,BN$57),""),2,1)="(",LEFT(IFERROR(INDEX(醫師週班表!$C$5:$T$44,$CU34,BN$57),""),1),IFERROR(INDEX(醫師週班表!$C$5:$T$44,$CU34,BN$57),"")))))))</f>
        <v/>
      </c>
      <c r="BO34" s="72">
        <f>IF(BO$59="X","",IF(BO$59&lt;&gt;"",BO$59,IF(IFERROR(INDEX(醫師週班表!$C$5:$T$44,$CU34,BO$57),"")=0,"",IF(MID(IFERROR(INDEX(醫師週班表!$C$5:$T$44,$CU34,BO$57),""),2,1)="/",MID(IFERROR(INDEX(醫師週班表!$C$5:$T$44,$CU34,BO$57),""),1+BO$58*2,1),IF(MID(IFERROR(INDEX(醫師週班表!$C$5:$T$44,$CU34,BO$57),""),3,1)="隔",IF(BO$58=0,LEFT(IFERROR(INDEX(醫師週班表!$C$5:$T$44,$CU34,BO$57),""),1),""),IF(MID(IFERROR(INDEX(醫師週班表!$C$5:$T$44,$CU34,BO$57),""),2,1)="(",LEFT(IFERROR(INDEX(醫師週班表!$C$5:$T$44,$CU34,BO$57),""),1),IFERROR(INDEX(醫師週班表!$C$5:$T$44,$CU34,BO$57),"")))))))</f>
        <v/>
      </c>
      <c r="BP34" s="71">
        <f>IF(BP$59="X","",IF(BP$59&lt;&gt;"",BP$59,IF(IFERROR(INDEX(醫師週班表!$C$5:$T$44,$CU34,BP$57),"")=0,"",IF(MID(IFERROR(INDEX(醫師週班表!$C$5:$T$44,$CU34,BP$57),""),2,1)="/",MID(IFERROR(INDEX(醫師週班表!$C$5:$T$44,$CU34,BP$57),""),1+BP$58*2,1),IF(MID(IFERROR(INDEX(醫師週班表!$C$5:$T$44,$CU34,BP$57),""),3,1)="隔",IF(BP$58=0,LEFT(IFERROR(INDEX(醫師週班表!$C$5:$T$44,$CU34,BP$57),""),1),""),IF(MID(IFERROR(INDEX(醫師週班表!$C$5:$T$44,$CU34,BP$57),""),2,1)="(",LEFT(IFERROR(INDEX(醫師週班表!$C$5:$T$44,$CU34,BP$57),""),1),IFERROR(INDEX(醫師週班表!$C$5:$T$44,$CU34,BP$57),"")))))))</f>
        <v/>
      </c>
      <c r="BQ34" s="72">
        <f>IF(BQ$59="X","",IF(BQ$59&lt;&gt;"",BQ$59,IF(IFERROR(INDEX(醫師週班表!$C$5:$T$44,$CU34,BQ$57),"")=0,"",IF(MID(IFERROR(INDEX(醫師週班表!$C$5:$T$44,$CU34,BQ$57),""),2,1)="/",MID(IFERROR(INDEX(醫師週班表!$C$5:$T$44,$CU34,BQ$57),""),1+BQ$58*2,1),IF(MID(IFERROR(INDEX(醫師週班表!$C$5:$T$44,$CU34,BQ$57),""),3,1)="隔",IF(BQ$58=0,LEFT(IFERROR(INDEX(醫師週班表!$C$5:$T$44,$CU34,BQ$57),""),1),""),IF(MID(IFERROR(INDEX(醫師週班表!$C$5:$T$44,$CU34,BQ$57),""),2,1)="(",LEFT(IFERROR(INDEX(醫師週班表!$C$5:$T$44,$CU34,BQ$57),""),1),IFERROR(INDEX(醫師週班表!$C$5:$T$44,$CU34,BQ$57),"")))))))</f>
        <v/>
      </c>
      <c r="BR34" s="72">
        <f>IF(BR$59="X","",IF(BR$59&lt;&gt;"",BR$59,IF(IFERROR(INDEX(醫師週班表!$C$5:$T$44,$CU34,BR$57),"")=0,"",IF(MID(IFERROR(INDEX(醫師週班表!$C$5:$T$44,$CU34,BR$57),""),2,1)="/",MID(IFERROR(INDEX(醫師週班表!$C$5:$T$44,$CU34,BR$57),""),1+BR$58*2,1),IF(MID(IFERROR(INDEX(醫師週班表!$C$5:$T$44,$CU34,BR$57),""),3,1)="隔",IF(BR$58=0,LEFT(IFERROR(INDEX(醫師週班表!$C$5:$T$44,$CU34,BR$57),""),1),""),IF(MID(IFERROR(INDEX(醫師週班表!$C$5:$T$44,$CU34,BR$57),""),2,1)="(",LEFT(IFERROR(INDEX(醫師週班表!$C$5:$T$44,$CU34,BR$57),""),1),IFERROR(INDEX(醫師週班表!$C$5:$T$44,$CU34,BR$57),"")))))))</f>
        <v/>
      </c>
      <c r="BS34" s="71">
        <f>IF(BS$59="X","",IF(BS$59&lt;&gt;"",BS$59,IF(IFERROR(INDEX(醫師週班表!$C$5:$T$44,$CU34,BS$57),"")=0,"",IF(MID(IFERROR(INDEX(醫師週班表!$C$5:$T$44,$CU34,BS$57),""),2,1)="/",MID(IFERROR(INDEX(醫師週班表!$C$5:$T$44,$CU34,BS$57),""),1+BS$58*2,1),IF(MID(IFERROR(INDEX(醫師週班表!$C$5:$T$44,$CU34,BS$57),""),3,1)="隔",IF(BS$58=0,LEFT(IFERROR(INDEX(醫師週班表!$C$5:$T$44,$CU34,BS$57),""),1),""),IF(MID(IFERROR(INDEX(醫師週班表!$C$5:$T$44,$CU34,BS$57),""),2,1)="(",LEFT(IFERROR(INDEX(醫師週班表!$C$5:$T$44,$CU34,BS$57),""),1),IFERROR(INDEX(醫師週班表!$C$5:$T$44,$CU34,BS$57),"")))))))</f>
        <v/>
      </c>
      <c r="BT34" s="72">
        <f>IF(BT$59="X","",IF(BT$59&lt;&gt;"",BT$59,IF(IFERROR(INDEX(醫師週班表!$C$5:$T$44,$CU34,BT$57),"")=0,"",IF(MID(IFERROR(INDEX(醫師週班表!$C$5:$T$44,$CU34,BT$57),""),2,1)="/",MID(IFERROR(INDEX(醫師週班表!$C$5:$T$44,$CU34,BT$57),""),1+BT$58*2,1),IF(MID(IFERROR(INDEX(醫師週班表!$C$5:$T$44,$CU34,BT$57),""),3,1)="隔",IF(BT$58=0,LEFT(IFERROR(INDEX(醫師週班表!$C$5:$T$44,$CU34,BT$57),""),1),""),IF(MID(IFERROR(INDEX(醫師週班表!$C$5:$T$44,$CU34,BT$57),""),2,1)="(",LEFT(IFERROR(INDEX(醫師週班表!$C$5:$T$44,$CU34,BT$57),""),1),IFERROR(INDEX(醫師週班表!$C$5:$T$44,$CU34,BT$57),"")))))))</f>
        <v/>
      </c>
      <c r="BU34" s="72">
        <f>IF(BU$59="X","",IF(BU$59&lt;&gt;"",BU$59,IF(IFERROR(INDEX(醫師週班表!$C$5:$T$44,$CU34,BU$57),"")=0,"",IF(MID(IFERROR(INDEX(醫師週班表!$C$5:$T$44,$CU34,BU$57),""),2,1)="/",MID(IFERROR(INDEX(醫師週班表!$C$5:$T$44,$CU34,BU$57),""),1+BU$58*2,1),IF(MID(IFERROR(INDEX(醫師週班表!$C$5:$T$44,$CU34,BU$57),""),3,1)="隔",IF(BU$58=0,LEFT(IFERROR(INDEX(醫師週班表!$C$5:$T$44,$CU34,BU$57),""),1),""),IF(MID(IFERROR(INDEX(醫師週班表!$C$5:$T$44,$CU34,BU$57),""),2,1)="(",LEFT(IFERROR(INDEX(醫師週班表!$C$5:$T$44,$CU34,BU$57),""),1),IFERROR(INDEX(醫師週班表!$C$5:$T$44,$CU34,BU$57),"")))))))</f>
        <v/>
      </c>
      <c r="BV34" s="71">
        <f>IF(BV$59="X","",IF(BV$59&lt;&gt;"",BV$59,IF(IFERROR(INDEX(醫師週班表!$C$5:$T$44,$CU34,BV$57),"")=0,"",IF(MID(IFERROR(INDEX(醫師週班表!$C$5:$T$44,$CU34,BV$57),""),2,1)="/",MID(IFERROR(INDEX(醫師週班表!$C$5:$T$44,$CU34,BV$57),""),1+BV$58*2,1),IF(MID(IFERROR(INDEX(醫師週班表!$C$5:$T$44,$CU34,BV$57),""),3,1)="隔",IF(BV$58=0,LEFT(IFERROR(INDEX(醫師週班表!$C$5:$T$44,$CU34,BV$57),""),1),""),IF(MID(IFERROR(INDEX(醫師週班表!$C$5:$T$44,$CU34,BV$57),""),2,1)="(",LEFT(IFERROR(INDEX(醫師週班表!$C$5:$T$44,$CU34,BV$57),""),1),IFERROR(INDEX(醫師週班表!$C$5:$T$44,$CU34,BV$57),"")))))))</f>
        <v/>
      </c>
      <c r="BW34" s="72">
        <f>IF(BW$59="X","",IF(BW$59&lt;&gt;"",BW$59,IF(IFERROR(INDEX(醫師週班表!$C$5:$T$44,$CU34,BW$57),"")=0,"",IF(MID(IFERROR(INDEX(醫師週班表!$C$5:$T$44,$CU34,BW$57),""),2,1)="/",MID(IFERROR(INDEX(醫師週班表!$C$5:$T$44,$CU34,BW$57),""),1+BW$58*2,1),IF(MID(IFERROR(INDEX(醫師週班表!$C$5:$T$44,$CU34,BW$57),""),3,1)="隔",IF(BW$58=0,LEFT(IFERROR(INDEX(醫師週班表!$C$5:$T$44,$CU34,BW$57),""),1),""),IF(MID(IFERROR(INDEX(醫師週班表!$C$5:$T$44,$CU34,BW$57),""),2,1)="(",LEFT(IFERROR(INDEX(醫師週班表!$C$5:$T$44,$CU34,BW$57),""),1),IFERROR(INDEX(醫師週班表!$C$5:$T$44,$CU34,BW$57),"")))))))</f>
        <v/>
      </c>
      <c r="BX34" s="72">
        <f>IF(BX$59="X","",IF(BX$59&lt;&gt;"",BX$59,IF(IFERROR(INDEX(醫師週班表!$C$5:$T$44,$CU34,BX$57),"")=0,"",IF(MID(IFERROR(INDEX(醫師週班表!$C$5:$T$44,$CU34,BX$57),""),2,1)="/",MID(IFERROR(INDEX(醫師週班表!$C$5:$T$44,$CU34,BX$57),""),1+BX$58*2,1),IF(MID(IFERROR(INDEX(醫師週班表!$C$5:$T$44,$CU34,BX$57),""),3,1)="隔",IF(BX$58=0,LEFT(IFERROR(INDEX(醫師週班表!$C$5:$T$44,$CU34,BX$57),""),1),""),IF(MID(IFERROR(INDEX(醫師週班表!$C$5:$T$44,$CU34,BX$57),""),2,1)="(",LEFT(IFERROR(INDEX(醫師週班表!$C$5:$T$44,$CU34,BX$57),""),1),IFERROR(INDEX(醫師週班表!$C$5:$T$44,$CU34,BX$57),"")))))))</f>
        <v/>
      </c>
      <c r="BY34" s="71">
        <f>IF(BY$59="X","",IF(BY$59&lt;&gt;"",BY$59,IF(IFERROR(INDEX(醫師週班表!$C$5:$T$44,$CU34,BY$57),"")=0,"",IF(MID(IFERROR(INDEX(醫師週班表!$C$5:$T$44,$CU34,BY$57),""),2,1)="/",MID(IFERROR(INDEX(醫師週班表!$C$5:$T$44,$CU34,BY$57),""),1+BY$58*2,1),IF(MID(IFERROR(INDEX(醫師週班表!$C$5:$T$44,$CU34,BY$57),""),3,1)="隔",IF(BY$58=0,LEFT(IFERROR(INDEX(醫師週班表!$C$5:$T$44,$CU34,BY$57),""),1),""),IF(MID(IFERROR(INDEX(醫師週班表!$C$5:$T$44,$CU34,BY$57),""),2,1)="(",LEFT(IFERROR(INDEX(醫師週班表!$C$5:$T$44,$CU34,BY$57),""),1),IFERROR(INDEX(醫師週班表!$C$5:$T$44,$CU34,BY$57),"")))))))</f>
        <v/>
      </c>
      <c r="BZ34" s="72">
        <f>IF(BZ$59="X","",IF(BZ$59&lt;&gt;"",BZ$59,IF(IFERROR(INDEX(醫師週班表!$C$5:$T$44,$CU34,BZ$57),"")=0,"",IF(MID(IFERROR(INDEX(醫師週班表!$C$5:$T$44,$CU34,BZ$57),""),2,1)="/",MID(IFERROR(INDEX(醫師週班表!$C$5:$T$44,$CU34,BZ$57),""),1+BZ$58*2,1),IF(MID(IFERROR(INDEX(醫師週班表!$C$5:$T$44,$CU34,BZ$57),""),3,1)="隔",IF(BZ$58=0,LEFT(IFERROR(INDEX(醫師週班表!$C$5:$T$44,$CU34,BZ$57),""),1),""),IF(MID(IFERROR(INDEX(醫師週班表!$C$5:$T$44,$CU34,BZ$57),""),2,1)="(",LEFT(IFERROR(INDEX(醫師週班表!$C$5:$T$44,$CU34,BZ$57),""),1),IFERROR(INDEX(醫師週班表!$C$5:$T$44,$CU34,BZ$57),"")))))))</f>
        <v/>
      </c>
      <c r="CA34" s="72">
        <f>IF(CA$59="X","",IF(CA$59&lt;&gt;"",CA$59,IF(IFERROR(INDEX(醫師週班表!$C$5:$T$44,$CU34,CA$57),"")=0,"",IF(MID(IFERROR(INDEX(醫師週班表!$C$5:$T$44,$CU34,CA$57),""),2,1)="/",MID(IFERROR(INDEX(醫師週班表!$C$5:$T$44,$CU34,CA$57),""),1+CA$58*2,1),IF(MID(IFERROR(INDEX(醫師週班表!$C$5:$T$44,$CU34,CA$57),""),3,1)="隔",IF(CA$58=0,LEFT(IFERROR(INDEX(醫師週班表!$C$5:$T$44,$CU34,CA$57),""),1),""),IF(MID(IFERROR(INDEX(醫師週班表!$C$5:$T$44,$CU34,CA$57),""),2,1)="(",LEFT(IFERROR(INDEX(醫師週班表!$C$5:$T$44,$CU34,CA$57),""),1),IFERROR(INDEX(醫師週班表!$C$5:$T$44,$CU34,CA$57),"")))))))</f>
        <v/>
      </c>
      <c r="CB34" s="71">
        <f>IF(CB$59="X","",IF(CB$59&lt;&gt;"",CB$59,IF(IFERROR(INDEX(醫師週班表!$C$5:$T$44,$CU34,CB$57),"")=0,"",IF(MID(IFERROR(INDEX(醫師週班表!$C$5:$T$44,$CU34,CB$57),""),2,1)="/",MID(IFERROR(INDEX(醫師週班表!$C$5:$T$44,$CU34,CB$57),""),1+CB$58*2,1),IF(MID(IFERROR(INDEX(醫師週班表!$C$5:$T$44,$CU34,CB$57),""),3,1)="隔",IF(CB$58=0,LEFT(IFERROR(INDEX(醫師週班表!$C$5:$T$44,$CU34,CB$57),""),1),""),IF(MID(IFERROR(INDEX(醫師週班表!$C$5:$T$44,$CU34,CB$57),""),2,1)="(",LEFT(IFERROR(INDEX(醫師週班表!$C$5:$T$44,$CU34,CB$57),""),1),IFERROR(INDEX(醫師週班表!$C$5:$T$44,$CU34,CB$57),"")))))))</f>
        <v/>
      </c>
      <c r="CC34" s="72">
        <f>IF(CC$59="X","",IF(CC$59&lt;&gt;"",CC$59,IF(IFERROR(INDEX(醫師週班表!$C$5:$T$44,$CU34,CC$57),"")=0,"",IF(MID(IFERROR(INDEX(醫師週班表!$C$5:$T$44,$CU34,CC$57),""),2,1)="/",MID(IFERROR(INDEX(醫師週班表!$C$5:$T$44,$CU34,CC$57),""),1+CC$58*2,1),IF(MID(IFERROR(INDEX(醫師週班表!$C$5:$T$44,$CU34,CC$57),""),3,1)="隔",IF(CC$58=0,LEFT(IFERROR(INDEX(醫師週班表!$C$5:$T$44,$CU34,CC$57),""),1),""),IF(MID(IFERROR(INDEX(醫師週班表!$C$5:$T$44,$CU34,CC$57),""),2,1)="(",LEFT(IFERROR(INDEX(醫師週班表!$C$5:$T$44,$CU34,CC$57),""),1),IFERROR(INDEX(醫師週班表!$C$5:$T$44,$CU34,CC$57),"")))))))</f>
        <v/>
      </c>
      <c r="CD34" s="72">
        <f>IF(CD$59="X","",IF(CD$59&lt;&gt;"",CD$59,IF(IFERROR(INDEX(醫師週班表!$C$5:$T$44,$CU34,CD$57),"")=0,"",IF(MID(IFERROR(INDEX(醫師週班表!$C$5:$T$44,$CU34,CD$57),""),2,1)="/",MID(IFERROR(INDEX(醫師週班表!$C$5:$T$44,$CU34,CD$57),""),1+CD$58*2,1),IF(MID(IFERROR(INDEX(醫師週班表!$C$5:$T$44,$CU34,CD$57),""),3,1)="隔",IF(CD$58=0,LEFT(IFERROR(INDEX(醫師週班表!$C$5:$T$44,$CU34,CD$57),""),1),""),IF(MID(IFERROR(INDEX(醫師週班表!$C$5:$T$44,$CU34,CD$57),""),2,1)="(",LEFT(IFERROR(INDEX(醫師週班表!$C$5:$T$44,$CU34,CD$57),""),1),IFERROR(INDEX(醫師週班表!$C$5:$T$44,$CU34,CD$57),"")))))))</f>
        <v/>
      </c>
      <c r="CE34" s="71">
        <f>IF(CE$59="X","",IF(CE$59&lt;&gt;"",CE$59,IF(IFERROR(INDEX(醫師週班表!$C$5:$T$44,$CU34,CE$57),"")=0,"",IF(MID(IFERROR(INDEX(醫師週班表!$C$5:$T$44,$CU34,CE$57),""),2,1)="/",MID(IFERROR(INDEX(醫師週班表!$C$5:$T$44,$CU34,CE$57),""),1+CE$58*2,1),IF(MID(IFERROR(INDEX(醫師週班表!$C$5:$T$44,$CU34,CE$57),""),3,1)="隔",IF(CE$58=0,LEFT(IFERROR(INDEX(醫師週班表!$C$5:$T$44,$CU34,CE$57),""),1),""),IF(MID(IFERROR(INDEX(醫師週班表!$C$5:$T$44,$CU34,CE$57),""),2,1)="(",LEFT(IFERROR(INDEX(醫師週班表!$C$5:$T$44,$CU34,CE$57),""),1),IFERROR(INDEX(醫師週班表!$C$5:$T$44,$CU34,CE$57),"")))))))</f>
        <v/>
      </c>
      <c r="CF34" s="72">
        <f>IF(CF$59="X","",IF(CF$59&lt;&gt;"",CF$59,IF(IFERROR(INDEX(醫師週班表!$C$5:$T$44,$CU34,CF$57),"")=0,"",IF(MID(IFERROR(INDEX(醫師週班表!$C$5:$T$44,$CU34,CF$57),""),2,1)="/",MID(IFERROR(INDEX(醫師週班表!$C$5:$T$44,$CU34,CF$57),""),1+CF$58*2,1),IF(MID(IFERROR(INDEX(醫師週班表!$C$5:$T$44,$CU34,CF$57),""),3,1)="隔",IF(CF$58=0,LEFT(IFERROR(INDEX(醫師週班表!$C$5:$T$44,$CU34,CF$57),""),1),""),IF(MID(IFERROR(INDEX(醫師週班表!$C$5:$T$44,$CU34,CF$57),""),2,1)="(",LEFT(IFERROR(INDEX(醫師週班表!$C$5:$T$44,$CU34,CF$57),""),1),IFERROR(INDEX(醫師週班表!$C$5:$T$44,$CU34,CF$57),"")))))))</f>
        <v/>
      </c>
      <c r="CG34" s="72">
        <f>IF(CG$59="X","",IF(CG$59&lt;&gt;"",CG$59,IF(IFERROR(INDEX(醫師週班表!$C$5:$T$44,$CU34,CG$57),"")=0,"",IF(MID(IFERROR(INDEX(醫師週班表!$C$5:$T$44,$CU34,CG$57),""),2,1)="/",MID(IFERROR(INDEX(醫師週班表!$C$5:$T$44,$CU34,CG$57),""),1+CG$58*2,1),IF(MID(IFERROR(INDEX(醫師週班表!$C$5:$T$44,$CU34,CG$57),""),3,1)="隔",IF(CG$58=0,LEFT(IFERROR(INDEX(醫師週班表!$C$5:$T$44,$CU34,CG$57),""),1),""),IF(MID(IFERROR(INDEX(醫師週班表!$C$5:$T$44,$CU34,CG$57),""),2,1)="(",LEFT(IFERROR(INDEX(醫師週班表!$C$5:$T$44,$CU34,CG$57),""),1),IFERROR(INDEX(醫師週班表!$C$5:$T$44,$CU34,CG$57),"")))))))</f>
        <v/>
      </c>
      <c r="CH34" s="71">
        <f>IF(CH$59="X","",IF(CH$59&lt;&gt;"",CH$59,IF(IFERROR(INDEX(醫師週班表!$C$5:$T$44,$CU34,CH$57),"")=0,"",IF(MID(IFERROR(INDEX(醫師週班表!$C$5:$T$44,$CU34,CH$57),""),2,1)="/",MID(IFERROR(INDEX(醫師週班表!$C$5:$T$44,$CU34,CH$57),""),1+CH$58*2,1),IF(MID(IFERROR(INDEX(醫師週班表!$C$5:$T$44,$CU34,CH$57),""),3,1)="隔",IF(CH$58=0,LEFT(IFERROR(INDEX(醫師週班表!$C$5:$T$44,$CU34,CH$57),""),1),""),IF(MID(IFERROR(INDEX(醫師週班表!$C$5:$T$44,$CU34,CH$57),""),2,1)="(",LEFT(IFERROR(INDEX(醫師週班表!$C$5:$T$44,$CU34,CH$57),""),1),IFERROR(INDEX(醫師週班表!$C$5:$T$44,$CU34,CH$57),"")))))))</f>
        <v/>
      </c>
      <c r="CI34" s="72">
        <f>IF(CI$59="X","",IF(CI$59&lt;&gt;"",CI$59,IF(IFERROR(INDEX(醫師週班表!$C$5:$T$44,$CU34,CI$57),"")=0,"",IF(MID(IFERROR(INDEX(醫師週班表!$C$5:$T$44,$CU34,CI$57),""),2,1)="/",MID(IFERROR(INDEX(醫師週班表!$C$5:$T$44,$CU34,CI$57),""),1+CI$58*2,1),IF(MID(IFERROR(INDEX(醫師週班表!$C$5:$T$44,$CU34,CI$57),""),3,1)="隔",IF(CI$58=0,LEFT(IFERROR(INDEX(醫師週班表!$C$5:$T$44,$CU34,CI$57),""),1),""),IF(MID(IFERROR(INDEX(醫師週班表!$C$5:$T$44,$CU34,CI$57),""),2,1)="(",LEFT(IFERROR(INDEX(醫師週班表!$C$5:$T$44,$CU34,CI$57),""),1),IFERROR(INDEX(醫師週班表!$C$5:$T$44,$CU34,CI$57),"")))))))</f>
        <v/>
      </c>
      <c r="CJ34" s="72">
        <f>IF(CJ$59="X","",IF(CJ$59&lt;&gt;"",CJ$59,IF(IFERROR(INDEX(醫師週班表!$C$5:$T$44,$CU34,CJ$57),"")=0,"",IF(MID(IFERROR(INDEX(醫師週班表!$C$5:$T$44,$CU34,CJ$57),""),2,1)="/",MID(IFERROR(INDEX(醫師週班表!$C$5:$T$44,$CU34,CJ$57),""),1+CJ$58*2,1),IF(MID(IFERROR(INDEX(醫師週班表!$C$5:$T$44,$CU34,CJ$57),""),3,1)="隔",IF(CJ$58=0,LEFT(IFERROR(INDEX(醫師週班表!$C$5:$T$44,$CU34,CJ$57),""),1),""),IF(MID(IFERROR(INDEX(醫師週班表!$C$5:$T$44,$CU34,CJ$57),""),2,1)="(",LEFT(IFERROR(INDEX(醫師週班表!$C$5:$T$44,$CU34,CJ$57),""),1),IFERROR(INDEX(醫師週班表!$C$5:$T$44,$CU34,CJ$57),"")))))))</f>
        <v/>
      </c>
      <c r="CK34" s="71">
        <f>IF(CK$59="X","",IF(CK$59&lt;&gt;"",CK$59,IF(IFERROR(INDEX(醫師週班表!$C$5:$T$44,$CU34,CK$57),"")=0,"",IF(MID(IFERROR(INDEX(醫師週班表!$C$5:$T$44,$CU34,CK$57),""),2,1)="/",MID(IFERROR(INDEX(醫師週班表!$C$5:$T$44,$CU34,CK$57),""),1+CK$58*2,1),IF(MID(IFERROR(INDEX(醫師週班表!$C$5:$T$44,$CU34,CK$57),""),3,1)="隔",IF(CK$58=0,LEFT(IFERROR(INDEX(醫師週班表!$C$5:$T$44,$CU34,CK$57),""),1),""),IF(MID(IFERROR(INDEX(醫師週班表!$C$5:$T$44,$CU34,CK$57),""),2,1)="(",LEFT(IFERROR(INDEX(醫師週班表!$C$5:$T$44,$CU34,CK$57),""),1),IFERROR(INDEX(醫師週班表!$C$5:$T$44,$CU34,CK$57),"")))))))</f>
        <v/>
      </c>
      <c r="CL34" s="72">
        <f>IF(CL$59="X","",IF(CL$59&lt;&gt;"",CL$59,IF(IFERROR(INDEX(醫師週班表!$C$5:$T$44,$CU34,CL$57),"")=0,"",IF(MID(IFERROR(INDEX(醫師週班表!$C$5:$T$44,$CU34,CL$57),""),2,1)="/",MID(IFERROR(INDEX(醫師週班表!$C$5:$T$44,$CU34,CL$57),""),1+CL$58*2,1),IF(MID(IFERROR(INDEX(醫師週班表!$C$5:$T$44,$CU34,CL$57),""),3,1)="隔",IF(CL$58=0,LEFT(IFERROR(INDEX(醫師週班表!$C$5:$T$44,$CU34,CL$57),""),1),""),IF(MID(IFERROR(INDEX(醫師週班表!$C$5:$T$44,$CU34,CL$57),""),2,1)="(",LEFT(IFERROR(INDEX(醫師週班表!$C$5:$T$44,$CU34,CL$57),""),1),IFERROR(INDEX(醫師週班表!$C$5:$T$44,$CU34,CL$57),"")))))))</f>
        <v/>
      </c>
      <c r="CM34" s="72">
        <f>IF(CM$59="X","",IF(CM$59&lt;&gt;"",CM$59,IF(IFERROR(INDEX(醫師週班表!$C$5:$T$44,$CU34,CM$57),"")=0,"",IF(MID(IFERROR(INDEX(醫師週班表!$C$5:$T$44,$CU34,CM$57),""),2,1)="/",MID(IFERROR(INDEX(醫師週班表!$C$5:$T$44,$CU34,CM$57),""),1+CM$58*2,1),IF(MID(IFERROR(INDEX(醫師週班表!$C$5:$T$44,$CU34,CM$57),""),3,1)="隔",IF(CM$58=0,LEFT(IFERROR(INDEX(醫師週班表!$C$5:$T$44,$CU34,CM$57),""),1),""),IF(MID(IFERROR(INDEX(醫師週班表!$C$5:$T$44,$CU34,CM$57),""),2,1)="(",LEFT(IFERROR(INDEX(醫師週班表!$C$5:$T$44,$CU34,CM$57),""),1),IFERROR(INDEX(醫師週班表!$C$5:$T$44,$CU34,CM$57),"")))))))</f>
        <v/>
      </c>
      <c r="CN34" s="71">
        <f>IF(CN$59="X","",IF(CN$59&lt;&gt;"",CN$59,IF(IFERROR(INDEX(醫師週班表!$C$5:$T$44,$CU34,CN$57),"")=0,"",IF(MID(IFERROR(INDEX(醫師週班表!$C$5:$T$44,$CU34,CN$57),""),2,1)="/",MID(IFERROR(INDEX(醫師週班表!$C$5:$T$44,$CU34,CN$57),""),1+CN$58*2,1),IF(MID(IFERROR(INDEX(醫師週班表!$C$5:$T$44,$CU34,CN$57),""),3,1)="隔",IF(CN$58=0,LEFT(IFERROR(INDEX(醫師週班表!$C$5:$T$44,$CU34,CN$57),""),1),""),IF(MID(IFERROR(INDEX(醫師週班表!$C$5:$T$44,$CU34,CN$57),""),2,1)="(",LEFT(IFERROR(INDEX(醫師週班表!$C$5:$T$44,$CU34,CN$57),""),1),IFERROR(INDEX(醫師週班表!$C$5:$T$44,$CU34,CN$57),"")))))))</f>
        <v/>
      </c>
      <c r="CO34" s="72">
        <f>IF(CO$59="X","",IF(CO$59&lt;&gt;"",CO$59,IF(IFERROR(INDEX(醫師週班表!$C$5:$T$44,$CU34,CO$57),"")=0,"",IF(MID(IFERROR(INDEX(醫師週班表!$C$5:$T$44,$CU34,CO$57),""),2,1)="/",MID(IFERROR(INDEX(醫師週班表!$C$5:$T$44,$CU34,CO$57),""),1+CO$58*2,1),IF(MID(IFERROR(INDEX(醫師週班表!$C$5:$T$44,$CU34,CO$57),""),3,1)="隔",IF(CO$58=0,LEFT(IFERROR(INDEX(醫師週班表!$C$5:$T$44,$CU34,CO$57),""),1),""),IF(MID(IFERROR(INDEX(醫師週班表!$C$5:$T$44,$CU34,CO$57),""),2,1)="(",LEFT(IFERROR(INDEX(醫師週班表!$C$5:$T$44,$CU34,CO$57),""),1),IFERROR(INDEX(醫師週班表!$C$5:$T$44,$CU34,CO$57),"")))))))</f>
        <v/>
      </c>
      <c r="CP34" s="72">
        <f>IF(CP$59="X","",IF(CP$59&lt;&gt;"",CP$59,IF(IFERROR(INDEX(醫師週班表!$C$5:$T$44,$CU34,CP$57),"")=0,"",IF(MID(IFERROR(INDEX(醫師週班表!$C$5:$T$44,$CU34,CP$57),""),2,1)="/",MID(IFERROR(INDEX(醫師週班表!$C$5:$T$44,$CU34,CP$57),""),1+CP$58*2,1),IF(MID(IFERROR(INDEX(醫師週班表!$C$5:$T$44,$CU34,CP$57),""),3,1)="隔",IF(CP$58=0,LEFT(IFERROR(INDEX(醫師週班表!$C$5:$T$44,$CU34,CP$57),""),1),""),IF(MID(IFERROR(INDEX(醫師週班表!$C$5:$T$44,$CU34,CP$57),""),2,1)="(",LEFT(IFERROR(INDEX(醫師週班表!$C$5:$T$44,$CU34,CP$57),""),1),IFERROR(INDEX(醫師週班表!$C$5:$T$44,$CU34,CP$57),"")))))))</f>
        <v/>
      </c>
      <c r="CQ34" s="71">
        <f>IF(CQ$59="X","",IF(CQ$59&lt;&gt;"",CQ$59,IF(IFERROR(INDEX(醫師週班表!$C$5:$T$44,$CU34,CQ$57),"")=0,"",IF(MID(IFERROR(INDEX(醫師週班表!$C$5:$T$44,$CU34,CQ$57),""),2,1)="/",MID(IFERROR(INDEX(醫師週班表!$C$5:$T$44,$CU34,CQ$57),""),1+CQ$58*2,1),IF(MID(IFERROR(INDEX(醫師週班表!$C$5:$T$44,$CU34,CQ$57),""),3,1)="隔",IF(CQ$58=0,LEFT(IFERROR(INDEX(醫師週班表!$C$5:$T$44,$CU34,CQ$57),""),1),""),IF(MID(IFERROR(INDEX(醫師週班表!$C$5:$T$44,$CU34,CQ$57),""),2,1)="(",LEFT(IFERROR(INDEX(醫師週班表!$C$5:$T$44,$CU34,CQ$57),""),1),IFERROR(INDEX(醫師週班表!$C$5:$T$44,$CU34,CQ$57),"")))))))</f>
        <v/>
      </c>
      <c r="CR34" s="72">
        <f>IF(CR$59="X","",IF(CR$59&lt;&gt;"",CR$59,IF(IFERROR(INDEX(醫師週班表!$C$5:$T$44,$CU34,CR$57),"")=0,"",IF(MID(IFERROR(INDEX(醫師週班表!$C$5:$T$44,$CU34,CR$57),""),2,1)="/",MID(IFERROR(INDEX(醫師週班表!$C$5:$T$44,$CU34,CR$57),""),1+CR$58*2,1),IF(MID(IFERROR(INDEX(醫師週班表!$C$5:$T$44,$CU34,CR$57),""),3,1)="隔",IF(CR$58=0,LEFT(IFERROR(INDEX(醫師週班表!$C$5:$T$44,$CU34,CR$57),""),1),""),IF(MID(IFERROR(INDEX(醫師週班表!$C$5:$T$44,$CU34,CR$57),""),2,1)="(",LEFT(IFERROR(INDEX(醫師週班表!$C$5:$T$44,$CU34,CR$57),""),1),IFERROR(INDEX(醫師週班表!$C$5:$T$44,$CU34,CR$57),"")))))))</f>
        <v/>
      </c>
      <c r="CS34" s="72">
        <f>IF(CS$59="X","",IF(CS$59&lt;&gt;"",CS$59,IF(IFERROR(INDEX(醫師週班表!$C$5:$T$44,$CU34,CS$57),"")=0,"",IF(MID(IFERROR(INDEX(醫師週班表!$C$5:$T$44,$CU34,CS$57),""),2,1)="/",MID(IFERROR(INDEX(醫師週班表!$C$5:$T$44,$CU34,CS$57),""),1+CS$58*2,1),IF(MID(IFERROR(INDEX(醫師週班表!$C$5:$T$44,$CU34,CS$57),""),3,1)="隔",IF(CS$58=0,LEFT(IFERROR(INDEX(醫師週班表!$C$5:$T$44,$CU34,CS$57),""),1),""),IF(MID(IFERROR(INDEX(醫師週班表!$C$5:$T$44,$CU34,CS$57),""),2,1)="(",LEFT(IFERROR(INDEX(醫師週班表!$C$5:$T$44,$CU34,CS$57),""),1),IFERROR(INDEX(醫師週班表!$C$5:$T$44,$CU34,CS$57),"")))))))</f>
        <v/>
      </c>
      <c r="CU34" s="73">
        <f>IFERROR(MATCH($A34,醫師週班表!$A$5:$A$44,0),0)</f>
        <v/>
      </c>
    </row>
    <row r="35" ht="17" customHeight="1">
      <c r="A35" s="19" t="n"/>
      <c r="B35" s="16">
        <f>IFERROR(INDEX(設定!$C$64:$C$203,MATCH($A35,設定!$B$64:$B$203,0)),"")</f>
        <v/>
      </c>
      <c r="C35" s="70">
        <f>IFERROR(INDEX(設定!$E$64:$E$203,MATCH($A35,設定!$B$64:$B$203,0)),"")</f>
        <v/>
      </c>
      <c r="D35" s="16">
        <f>IFERROR(INDEX(設定!$F$64:$F$203,MATCH($A35,設定!$B$64:$B$203,0)),"")</f>
        <v/>
      </c>
      <c r="E35" s="71">
        <f>IF(E$59="X","",IF(E$59&lt;&gt;"",E$59,IF(IFERROR(INDEX(醫師週班表!$C$5:$T$44,$CU35,E$57),"")=0,"",IF(MID(IFERROR(INDEX(醫師週班表!$C$5:$T$44,$CU35,E$57),""),2,1)="/",MID(IFERROR(INDEX(醫師週班表!$C$5:$T$44,$CU35,E$57),""),1+E$58*2,1),IF(MID(IFERROR(INDEX(醫師週班表!$C$5:$T$44,$CU35,E$57),""),3,1)="隔",IF(E$58=0,LEFT(IFERROR(INDEX(醫師週班表!$C$5:$T$44,$CU35,E$57),""),1),""),IF(MID(IFERROR(INDEX(醫師週班表!$C$5:$T$44,$CU35,E$57),""),2,1)="(",LEFT(IFERROR(INDEX(醫師週班表!$C$5:$T$44,$CU35,E$57),""),1),IFERROR(INDEX(醫師週班表!$C$5:$T$44,$CU35,E$57),"")))))))</f>
        <v/>
      </c>
      <c r="F35" s="72">
        <f>IF(F$59="X","",IF(F$59&lt;&gt;"",F$59,IF(IFERROR(INDEX(醫師週班表!$C$5:$T$44,$CU35,F$57),"")=0,"",IF(MID(IFERROR(INDEX(醫師週班表!$C$5:$T$44,$CU35,F$57),""),2,1)="/",MID(IFERROR(INDEX(醫師週班表!$C$5:$T$44,$CU35,F$57),""),1+F$58*2,1),IF(MID(IFERROR(INDEX(醫師週班表!$C$5:$T$44,$CU35,F$57),""),3,1)="隔",IF(F$58=0,LEFT(IFERROR(INDEX(醫師週班表!$C$5:$T$44,$CU35,F$57),""),1),""),IF(MID(IFERROR(INDEX(醫師週班表!$C$5:$T$44,$CU35,F$57),""),2,1)="(",LEFT(IFERROR(INDEX(醫師週班表!$C$5:$T$44,$CU35,F$57),""),1),IFERROR(INDEX(醫師週班表!$C$5:$T$44,$CU35,F$57),"")))))))</f>
        <v/>
      </c>
      <c r="G35" s="72">
        <f>IF(G$59="X","",IF(G$59&lt;&gt;"",G$59,IF(IFERROR(INDEX(醫師週班表!$C$5:$T$44,$CU35,G$57),"")=0,"",IF(MID(IFERROR(INDEX(醫師週班表!$C$5:$T$44,$CU35,G$57),""),2,1)="/",MID(IFERROR(INDEX(醫師週班表!$C$5:$T$44,$CU35,G$57),""),1+G$58*2,1),IF(MID(IFERROR(INDEX(醫師週班表!$C$5:$T$44,$CU35,G$57),""),3,1)="隔",IF(G$58=0,LEFT(IFERROR(INDEX(醫師週班表!$C$5:$T$44,$CU35,G$57),""),1),""),IF(MID(IFERROR(INDEX(醫師週班表!$C$5:$T$44,$CU35,G$57),""),2,1)="(",LEFT(IFERROR(INDEX(醫師週班表!$C$5:$T$44,$CU35,G$57),""),1),IFERROR(INDEX(醫師週班表!$C$5:$T$44,$CU35,G$57),"")))))))</f>
        <v/>
      </c>
      <c r="H35" s="71">
        <f>IF(H$59="X","",IF(H$59&lt;&gt;"",H$59,IF(IFERROR(INDEX(醫師週班表!$C$5:$T$44,$CU35,H$57),"")=0,"",IF(MID(IFERROR(INDEX(醫師週班表!$C$5:$T$44,$CU35,H$57),""),2,1)="/",MID(IFERROR(INDEX(醫師週班表!$C$5:$T$44,$CU35,H$57),""),1+H$58*2,1),IF(MID(IFERROR(INDEX(醫師週班表!$C$5:$T$44,$CU35,H$57),""),3,1)="隔",IF(H$58=0,LEFT(IFERROR(INDEX(醫師週班表!$C$5:$T$44,$CU35,H$57),""),1),""),IF(MID(IFERROR(INDEX(醫師週班表!$C$5:$T$44,$CU35,H$57),""),2,1)="(",LEFT(IFERROR(INDEX(醫師週班表!$C$5:$T$44,$CU35,H$57),""),1),IFERROR(INDEX(醫師週班表!$C$5:$T$44,$CU35,H$57),"")))))))</f>
        <v/>
      </c>
      <c r="I35" s="72">
        <f>IF(I$59="X","",IF(I$59&lt;&gt;"",I$59,IF(IFERROR(INDEX(醫師週班表!$C$5:$T$44,$CU35,I$57),"")=0,"",IF(MID(IFERROR(INDEX(醫師週班表!$C$5:$T$44,$CU35,I$57),""),2,1)="/",MID(IFERROR(INDEX(醫師週班表!$C$5:$T$44,$CU35,I$57),""),1+I$58*2,1),IF(MID(IFERROR(INDEX(醫師週班表!$C$5:$T$44,$CU35,I$57),""),3,1)="隔",IF(I$58=0,LEFT(IFERROR(INDEX(醫師週班表!$C$5:$T$44,$CU35,I$57),""),1),""),IF(MID(IFERROR(INDEX(醫師週班表!$C$5:$T$44,$CU35,I$57),""),2,1)="(",LEFT(IFERROR(INDEX(醫師週班表!$C$5:$T$44,$CU35,I$57),""),1),IFERROR(INDEX(醫師週班表!$C$5:$T$44,$CU35,I$57),"")))))))</f>
        <v/>
      </c>
      <c r="J35" s="72">
        <f>IF(J$59="X","",IF(J$59&lt;&gt;"",J$59,IF(IFERROR(INDEX(醫師週班表!$C$5:$T$44,$CU35,J$57),"")=0,"",IF(MID(IFERROR(INDEX(醫師週班表!$C$5:$T$44,$CU35,J$57),""),2,1)="/",MID(IFERROR(INDEX(醫師週班表!$C$5:$T$44,$CU35,J$57),""),1+J$58*2,1),IF(MID(IFERROR(INDEX(醫師週班表!$C$5:$T$44,$CU35,J$57),""),3,1)="隔",IF(J$58=0,LEFT(IFERROR(INDEX(醫師週班表!$C$5:$T$44,$CU35,J$57),""),1),""),IF(MID(IFERROR(INDEX(醫師週班表!$C$5:$T$44,$CU35,J$57),""),2,1)="(",LEFT(IFERROR(INDEX(醫師週班表!$C$5:$T$44,$CU35,J$57),""),1),IFERROR(INDEX(醫師週班表!$C$5:$T$44,$CU35,J$57),"")))))))</f>
        <v/>
      </c>
      <c r="K35" s="71">
        <f>IF(K$59="X","",IF(K$59&lt;&gt;"",K$59,IF(IFERROR(INDEX(醫師週班表!$C$5:$T$44,$CU35,K$57),"")=0,"",IF(MID(IFERROR(INDEX(醫師週班表!$C$5:$T$44,$CU35,K$57),""),2,1)="/",MID(IFERROR(INDEX(醫師週班表!$C$5:$T$44,$CU35,K$57),""),1+K$58*2,1),IF(MID(IFERROR(INDEX(醫師週班表!$C$5:$T$44,$CU35,K$57),""),3,1)="隔",IF(K$58=0,LEFT(IFERROR(INDEX(醫師週班表!$C$5:$T$44,$CU35,K$57),""),1),""),IF(MID(IFERROR(INDEX(醫師週班表!$C$5:$T$44,$CU35,K$57),""),2,1)="(",LEFT(IFERROR(INDEX(醫師週班表!$C$5:$T$44,$CU35,K$57),""),1),IFERROR(INDEX(醫師週班表!$C$5:$T$44,$CU35,K$57),"")))))))</f>
        <v/>
      </c>
      <c r="L35" s="72">
        <f>IF(L$59="X","",IF(L$59&lt;&gt;"",L$59,IF(IFERROR(INDEX(醫師週班表!$C$5:$T$44,$CU35,L$57),"")=0,"",IF(MID(IFERROR(INDEX(醫師週班表!$C$5:$T$44,$CU35,L$57),""),2,1)="/",MID(IFERROR(INDEX(醫師週班表!$C$5:$T$44,$CU35,L$57),""),1+L$58*2,1),IF(MID(IFERROR(INDEX(醫師週班表!$C$5:$T$44,$CU35,L$57),""),3,1)="隔",IF(L$58=0,LEFT(IFERROR(INDEX(醫師週班表!$C$5:$T$44,$CU35,L$57),""),1),""),IF(MID(IFERROR(INDEX(醫師週班表!$C$5:$T$44,$CU35,L$57),""),2,1)="(",LEFT(IFERROR(INDEX(醫師週班表!$C$5:$T$44,$CU35,L$57),""),1),IFERROR(INDEX(醫師週班表!$C$5:$T$44,$CU35,L$57),"")))))))</f>
        <v/>
      </c>
      <c r="M35" s="72">
        <f>IF(M$59="X","",IF(M$59&lt;&gt;"",M$59,IF(IFERROR(INDEX(醫師週班表!$C$5:$T$44,$CU35,M$57),"")=0,"",IF(MID(IFERROR(INDEX(醫師週班表!$C$5:$T$44,$CU35,M$57),""),2,1)="/",MID(IFERROR(INDEX(醫師週班表!$C$5:$T$44,$CU35,M$57),""),1+M$58*2,1),IF(MID(IFERROR(INDEX(醫師週班表!$C$5:$T$44,$CU35,M$57),""),3,1)="隔",IF(M$58=0,LEFT(IFERROR(INDEX(醫師週班表!$C$5:$T$44,$CU35,M$57),""),1),""),IF(MID(IFERROR(INDEX(醫師週班表!$C$5:$T$44,$CU35,M$57),""),2,1)="(",LEFT(IFERROR(INDEX(醫師週班表!$C$5:$T$44,$CU35,M$57),""),1),IFERROR(INDEX(醫師週班表!$C$5:$T$44,$CU35,M$57),"")))))))</f>
        <v/>
      </c>
      <c r="N35" s="71">
        <f>IF(N$59="X","",IF(N$59&lt;&gt;"",N$59,IF(IFERROR(INDEX(醫師週班表!$C$5:$T$44,$CU35,N$57),"")=0,"",IF(MID(IFERROR(INDEX(醫師週班表!$C$5:$T$44,$CU35,N$57),""),2,1)="/",MID(IFERROR(INDEX(醫師週班表!$C$5:$T$44,$CU35,N$57),""),1+N$58*2,1),IF(MID(IFERROR(INDEX(醫師週班表!$C$5:$T$44,$CU35,N$57),""),3,1)="隔",IF(N$58=0,LEFT(IFERROR(INDEX(醫師週班表!$C$5:$T$44,$CU35,N$57),""),1),""),IF(MID(IFERROR(INDEX(醫師週班表!$C$5:$T$44,$CU35,N$57),""),2,1)="(",LEFT(IFERROR(INDEX(醫師週班表!$C$5:$T$44,$CU35,N$57),""),1),IFERROR(INDEX(醫師週班表!$C$5:$T$44,$CU35,N$57),"")))))))</f>
        <v/>
      </c>
      <c r="O35" s="72">
        <f>IF(O$59="X","",IF(O$59&lt;&gt;"",O$59,IF(IFERROR(INDEX(醫師週班表!$C$5:$T$44,$CU35,O$57),"")=0,"",IF(MID(IFERROR(INDEX(醫師週班表!$C$5:$T$44,$CU35,O$57),""),2,1)="/",MID(IFERROR(INDEX(醫師週班表!$C$5:$T$44,$CU35,O$57),""),1+O$58*2,1),IF(MID(IFERROR(INDEX(醫師週班表!$C$5:$T$44,$CU35,O$57),""),3,1)="隔",IF(O$58=0,LEFT(IFERROR(INDEX(醫師週班表!$C$5:$T$44,$CU35,O$57),""),1),""),IF(MID(IFERROR(INDEX(醫師週班表!$C$5:$T$44,$CU35,O$57),""),2,1)="(",LEFT(IFERROR(INDEX(醫師週班表!$C$5:$T$44,$CU35,O$57),""),1),IFERROR(INDEX(醫師週班表!$C$5:$T$44,$CU35,O$57),"")))))))</f>
        <v/>
      </c>
      <c r="P35" s="72">
        <f>IF(P$59="X","",IF(P$59&lt;&gt;"",P$59,IF(IFERROR(INDEX(醫師週班表!$C$5:$T$44,$CU35,P$57),"")=0,"",IF(MID(IFERROR(INDEX(醫師週班表!$C$5:$T$44,$CU35,P$57),""),2,1)="/",MID(IFERROR(INDEX(醫師週班表!$C$5:$T$44,$CU35,P$57),""),1+P$58*2,1),IF(MID(IFERROR(INDEX(醫師週班表!$C$5:$T$44,$CU35,P$57),""),3,1)="隔",IF(P$58=0,LEFT(IFERROR(INDEX(醫師週班表!$C$5:$T$44,$CU35,P$57),""),1),""),IF(MID(IFERROR(INDEX(醫師週班表!$C$5:$T$44,$CU35,P$57),""),2,1)="(",LEFT(IFERROR(INDEX(醫師週班表!$C$5:$T$44,$CU35,P$57),""),1),IFERROR(INDEX(醫師週班表!$C$5:$T$44,$CU35,P$57),"")))))))</f>
        <v/>
      </c>
      <c r="Q35" s="71">
        <f>IF(Q$59="X","",IF(Q$59&lt;&gt;"",Q$59,IF(IFERROR(INDEX(醫師週班表!$C$5:$T$44,$CU35,Q$57),"")=0,"",IF(MID(IFERROR(INDEX(醫師週班表!$C$5:$T$44,$CU35,Q$57),""),2,1)="/",MID(IFERROR(INDEX(醫師週班表!$C$5:$T$44,$CU35,Q$57),""),1+Q$58*2,1),IF(MID(IFERROR(INDEX(醫師週班表!$C$5:$T$44,$CU35,Q$57),""),3,1)="隔",IF(Q$58=0,LEFT(IFERROR(INDEX(醫師週班表!$C$5:$T$44,$CU35,Q$57),""),1),""),IF(MID(IFERROR(INDEX(醫師週班表!$C$5:$T$44,$CU35,Q$57),""),2,1)="(",LEFT(IFERROR(INDEX(醫師週班表!$C$5:$T$44,$CU35,Q$57),""),1),IFERROR(INDEX(醫師週班表!$C$5:$T$44,$CU35,Q$57),"")))))))</f>
        <v/>
      </c>
      <c r="R35" s="72">
        <f>IF(R$59="X","",IF(R$59&lt;&gt;"",R$59,IF(IFERROR(INDEX(醫師週班表!$C$5:$T$44,$CU35,R$57),"")=0,"",IF(MID(IFERROR(INDEX(醫師週班表!$C$5:$T$44,$CU35,R$57),""),2,1)="/",MID(IFERROR(INDEX(醫師週班表!$C$5:$T$44,$CU35,R$57),""),1+R$58*2,1),IF(MID(IFERROR(INDEX(醫師週班表!$C$5:$T$44,$CU35,R$57),""),3,1)="隔",IF(R$58=0,LEFT(IFERROR(INDEX(醫師週班表!$C$5:$T$44,$CU35,R$57),""),1),""),IF(MID(IFERROR(INDEX(醫師週班表!$C$5:$T$44,$CU35,R$57),""),2,1)="(",LEFT(IFERROR(INDEX(醫師週班表!$C$5:$T$44,$CU35,R$57),""),1),IFERROR(INDEX(醫師週班表!$C$5:$T$44,$CU35,R$57),"")))))))</f>
        <v/>
      </c>
      <c r="S35" s="72">
        <f>IF(S$59="X","",IF(S$59&lt;&gt;"",S$59,IF(IFERROR(INDEX(醫師週班表!$C$5:$T$44,$CU35,S$57),"")=0,"",IF(MID(IFERROR(INDEX(醫師週班表!$C$5:$T$44,$CU35,S$57),""),2,1)="/",MID(IFERROR(INDEX(醫師週班表!$C$5:$T$44,$CU35,S$57),""),1+S$58*2,1),IF(MID(IFERROR(INDEX(醫師週班表!$C$5:$T$44,$CU35,S$57),""),3,1)="隔",IF(S$58=0,LEFT(IFERROR(INDEX(醫師週班表!$C$5:$T$44,$CU35,S$57),""),1),""),IF(MID(IFERROR(INDEX(醫師週班表!$C$5:$T$44,$CU35,S$57),""),2,1)="(",LEFT(IFERROR(INDEX(醫師週班表!$C$5:$T$44,$CU35,S$57),""),1),IFERROR(INDEX(醫師週班表!$C$5:$T$44,$CU35,S$57),"")))))))</f>
        <v/>
      </c>
      <c r="T35" s="71">
        <f>IF(T$59="X","",IF(T$59&lt;&gt;"",T$59,IF(IFERROR(INDEX(醫師週班表!$C$5:$T$44,$CU35,T$57),"")=0,"",IF(MID(IFERROR(INDEX(醫師週班表!$C$5:$T$44,$CU35,T$57),""),2,1)="/",MID(IFERROR(INDEX(醫師週班表!$C$5:$T$44,$CU35,T$57),""),1+T$58*2,1),IF(MID(IFERROR(INDEX(醫師週班表!$C$5:$T$44,$CU35,T$57),""),3,1)="隔",IF(T$58=0,LEFT(IFERROR(INDEX(醫師週班表!$C$5:$T$44,$CU35,T$57),""),1),""),IF(MID(IFERROR(INDEX(醫師週班表!$C$5:$T$44,$CU35,T$57),""),2,1)="(",LEFT(IFERROR(INDEX(醫師週班表!$C$5:$T$44,$CU35,T$57),""),1),IFERROR(INDEX(醫師週班表!$C$5:$T$44,$CU35,T$57),"")))))))</f>
        <v/>
      </c>
      <c r="U35" s="72">
        <f>IF(U$59="X","",IF(U$59&lt;&gt;"",U$59,IF(IFERROR(INDEX(醫師週班表!$C$5:$T$44,$CU35,U$57),"")=0,"",IF(MID(IFERROR(INDEX(醫師週班表!$C$5:$T$44,$CU35,U$57),""),2,1)="/",MID(IFERROR(INDEX(醫師週班表!$C$5:$T$44,$CU35,U$57),""),1+U$58*2,1),IF(MID(IFERROR(INDEX(醫師週班表!$C$5:$T$44,$CU35,U$57),""),3,1)="隔",IF(U$58=0,LEFT(IFERROR(INDEX(醫師週班表!$C$5:$T$44,$CU35,U$57),""),1),""),IF(MID(IFERROR(INDEX(醫師週班表!$C$5:$T$44,$CU35,U$57),""),2,1)="(",LEFT(IFERROR(INDEX(醫師週班表!$C$5:$T$44,$CU35,U$57),""),1),IFERROR(INDEX(醫師週班表!$C$5:$T$44,$CU35,U$57),"")))))))</f>
        <v/>
      </c>
      <c r="V35" s="72">
        <f>IF(V$59="X","",IF(V$59&lt;&gt;"",V$59,IF(IFERROR(INDEX(醫師週班表!$C$5:$T$44,$CU35,V$57),"")=0,"",IF(MID(IFERROR(INDEX(醫師週班表!$C$5:$T$44,$CU35,V$57),""),2,1)="/",MID(IFERROR(INDEX(醫師週班表!$C$5:$T$44,$CU35,V$57),""),1+V$58*2,1),IF(MID(IFERROR(INDEX(醫師週班表!$C$5:$T$44,$CU35,V$57),""),3,1)="隔",IF(V$58=0,LEFT(IFERROR(INDEX(醫師週班表!$C$5:$T$44,$CU35,V$57),""),1),""),IF(MID(IFERROR(INDEX(醫師週班表!$C$5:$T$44,$CU35,V$57),""),2,1)="(",LEFT(IFERROR(INDEX(醫師週班表!$C$5:$T$44,$CU35,V$57),""),1),IFERROR(INDEX(醫師週班表!$C$5:$T$44,$CU35,V$57),"")))))))</f>
        <v/>
      </c>
      <c r="W35" s="71">
        <f>IF(W$59="X","",IF(W$59&lt;&gt;"",W$59,IF(IFERROR(INDEX(醫師週班表!$C$5:$T$44,$CU35,W$57),"")=0,"",IF(MID(IFERROR(INDEX(醫師週班表!$C$5:$T$44,$CU35,W$57),""),2,1)="/",MID(IFERROR(INDEX(醫師週班表!$C$5:$T$44,$CU35,W$57),""),1+W$58*2,1),IF(MID(IFERROR(INDEX(醫師週班表!$C$5:$T$44,$CU35,W$57),""),3,1)="隔",IF(W$58=0,LEFT(IFERROR(INDEX(醫師週班表!$C$5:$T$44,$CU35,W$57),""),1),""),IF(MID(IFERROR(INDEX(醫師週班表!$C$5:$T$44,$CU35,W$57),""),2,1)="(",LEFT(IFERROR(INDEX(醫師週班表!$C$5:$T$44,$CU35,W$57),""),1),IFERROR(INDEX(醫師週班表!$C$5:$T$44,$CU35,W$57),"")))))))</f>
        <v/>
      </c>
      <c r="X35" s="72">
        <f>IF(X$59="X","",IF(X$59&lt;&gt;"",X$59,IF(IFERROR(INDEX(醫師週班表!$C$5:$T$44,$CU35,X$57),"")=0,"",IF(MID(IFERROR(INDEX(醫師週班表!$C$5:$T$44,$CU35,X$57),""),2,1)="/",MID(IFERROR(INDEX(醫師週班表!$C$5:$T$44,$CU35,X$57),""),1+X$58*2,1),IF(MID(IFERROR(INDEX(醫師週班表!$C$5:$T$44,$CU35,X$57),""),3,1)="隔",IF(X$58=0,LEFT(IFERROR(INDEX(醫師週班表!$C$5:$T$44,$CU35,X$57),""),1),""),IF(MID(IFERROR(INDEX(醫師週班表!$C$5:$T$44,$CU35,X$57),""),2,1)="(",LEFT(IFERROR(INDEX(醫師週班表!$C$5:$T$44,$CU35,X$57),""),1),IFERROR(INDEX(醫師週班表!$C$5:$T$44,$CU35,X$57),"")))))))</f>
        <v/>
      </c>
      <c r="Y35" s="72">
        <f>IF(Y$59="X","",IF(Y$59&lt;&gt;"",Y$59,IF(IFERROR(INDEX(醫師週班表!$C$5:$T$44,$CU35,Y$57),"")=0,"",IF(MID(IFERROR(INDEX(醫師週班表!$C$5:$T$44,$CU35,Y$57),""),2,1)="/",MID(IFERROR(INDEX(醫師週班表!$C$5:$T$44,$CU35,Y$57),""),1+Y$58*2,1),IF(MID(IFERROR(INDEX(醫師週班表!$C$5:$T$44,$CU35,Y$57),""),3,1)="隔",IF(Y$58=0,LEFT(IFERROR(INDEX(醫師週班表!$C$5:$T$44,$CU35,Y$57),""),1),""),IF(MID(IFERROR(INDEX(醫師週班表!$C$5:$T$44,$CU35,Y$57),""),2,1)="(",LEFT(IFERROR(INDEX(醫師週班表!$C$5:$T$44,$CU35,Y$57),""),1),IFERROR(INDEX(醫師週班表!$C$5:$T$44,$CU35,Y$57),"")))))))</f>
        <v/>
      </c>
      <c r="Z35" s="71">
        <f>IF(Z$59="X","",IF(Z$59&lt;&gt;"",Z$59,IF(IFERROR(INDEX(醫師週班表!$C$5:$T$44,$CU35,Z$57),"")=0,"",IF(MID(IFERROR(INDEX(醫師週班表!$C$5:$T$44,$CU35,Z$57),""),2,1)="/",MID(IFERROR(INDEX(醫師週班表!$C$5:$T$44,$CU35,Z$57),""),1+Z$58*2,1),IF(MID(IFERROR(INDEX(醫師週班表!$C$5:$T$44,$CU35,Z$57),""),3,1)="隔",IF(Z$58=0,LEFT(IFERROR(INDEX(醫師週班表!$C$5:$T$44,$CU35,Z$57),""),1),""),IF(MID(IFERROR(INDEX(醫師週班表!$C$5:$T$44,$CU35,Z$57),""),2,1)="(",LEFT(IFERROR(INDEX(醫師週班表!$C$5:$T$44,$CU35,Z$57),""),1),IFERROR(INDEX(醫師週班表!$C$5:$T$44,$CU35,Z$57),"")))))))</f>
        <v/>
      </c>
      <c r="AA35" s="72">
        <f>IF(AA$59="X","",IF(AA$59&lt;&gt;"",AA$59,IF(IFERROR(INDEX(醫師週班表!$C$5:$T$44,$CU35,AA$57),"")=0,"",IF(MID(IFERROR(INDEX(醫師週班表!$C$5:$T$44,$CU35,AA$57),""),2,1)="/",MID(IFERROR(INDEX(醫師週班表!$C$5:$T$44,$CU35,AA$57),""),1+AA$58*2,1),IF(MID(IFERROR(INDEX(醫師週班表!$C$5:$T$44,$CU35,AA$57),""),3,1)="隔",IF(AA$58=0,LEFT(IFERROR(INDEX(醫師週班表!$C$5:$T$44,$CU35,AA$57),""),1),""),IF(MID(IFERROR(INDEX(醫師週班表!$C$5:$T$44,$CU35,AA$57),""),2,1)="(",LEFT(IFERROR(INDEX(醫師週班表!$C$5:$T$44,$CU35,AA$57),""),1),IFERROR(INDEX(醫師週班表!$C$5:$T$44,$CU35,AA$57),"")))))))</f>
        <v/>
      </c>
      <c r="AB35" s="72">
        <f>IF(AB$59="X","",IF(AB$59&lt;&gt;"",AB$59,IF(IFERROR(INDEX(醫師週班表!$C$5:$T$44,$CU35,AB$57),"")=0,"",IF(MID(IFERROR(INDEX(醫師週班表!$C$5:$T$44,$CU35,AB$57),""),2,1)="/",MID(IFERROR(INDEX(醫師週班表!$C$5:$T$44,$CU35,AB$57),""),1+AB$58*2,1),IF(MID(IFERROR(INDEX(醫師週班表!$C$5:$T$44,$CU35,AB$57),""),3,1)="隔",IF(AB$58=0,LEFT(IFERROR(INDEX(醫師週班表!$C$5:$T$44,$CU35,AB$57),""),1),""),IF(MID(IFERROR(INDEX(醫師週班表!$C$5:$T$44,$CU35,AB$57),""),2,1)="(",LEFT(IFERROR(INDEX(醫師週班表!$C$5:$T$44,$CU35,AB$57),""),1),IFERROR(INDEX(醫師週班表!$C$5:$T$44,$CU35,AB$57),"")))))))</f>
        <v/>
      </c>
      <c r="AC35" s="71">
        <f>IF(AC$59="X","",IF(AC$59&lt;&gt;"",AC$59,IF(IFERROR(INDEX(醫師週班表!$C$5:$T$44,$CU35,AC$57),"")=0,"",IF(MID(IFERROR(INDEX(醫師週班表!$C$5:$T$44,$CU35,AC$57),""),2,1)="/",MID(IFERROR(INDEX(醫師週班表!$C$5:$T$44,$CU35,AC$57),""),1+AC$58*2,1),IF(MID(IFERROR(INDEX(醫師週班表!$C$5:$T$44,$CU35,AC$57),""),3,1)="隔",IF(AC$58=0,LEFT(IFERROR(INDEX(醫師週班表!$C$5:$T$44,$CU35,AC$57),""),1),""),IF(MID(IFERROR(INDEX(醫師週班表!$C$5:$T$44,$CU35,AC$57),""),2,1)="(",LEFT(IFERROR(INDEX(醫師週班表!$C$5:$T$44,$CU35,AC$57),""),1),IFERROR(INDEX(醫師週班表!$C$5:$T$44,$CU35,AC$57),"")))))))</f>
        <v/>
      </c>
      <c r="AD35" s="72">
        <f>IF(AD$59="X","",IF(AD$59&lt;&gt;"",AD$59,IF(IFERROR(INDEX(醫師週班表!$C$5:$T$44,$CU35,AD$57),"")=0,"",IF(MID(IFERROR(INDEX(醫師週班表!$C$5:$T$44,$CU35,AD$57),""),2,1)="/",MID(IFERROR(INDEX(醫師週班表!$C$5:$T$44,$CU35,AD$57),""),1+AD$58*2,1),IF(MID(IFERROR(INDEX(醫師週班表!$C$5:$T$44,$CU35,AD$57),""),3,1)="隔",IF(AD$58=0,LEFT(IFERROR(INDEX(醫師週班表!$C$5:$T$44,$CU35,AD$57),""),1),""),IF(MID(IFERROR(INDEX(醫師週班表!$C$5:$T$44,$CU35,AD$57),""),2,1)="(",LEFT(IFERROR(INDEX(醫師週班表!$C$5:$T$44,$CU35,AD$57),""),1),IFERROR(INDEX(醫師週班表!$C$5:$T$44,$CU35,AD$57),"")))))))</f>
        <v/>
      </c>
      <c r="AE35" s="72">
        <f>IF(AE$59="X","",IF(AE$59&lt;&gt;"",AE$59,IF(IFERROR(INDEX(醫師週班表!$C$5:$T$44,$CU35,AE$57),"")=0,"",IF(MID(IFERROR(INDEX(醫師週班表!$C$5:$T$44,$CU35,AE$57),""),2,1)="/",MID(IFERROR(INDEX(醫師週班表!$C$5:$T$44,$CU35,AE$57),""),1+AE$58*2,1),IF(MID(IFERROR(INDEX(醫師週班表!$C$5:$T$44,$CU35,AE$57),""),3,1)="隔",IF(AE$58=0,LEFT(IFERROR(INDEX(醫師週班表!$C$5:$T$44,$CU35,AE$57),""),1),""),IF(MID(IFERROR(INDEX(醫師週班表!$C$5:$T$44,$CU35,AE$57),""),2,1)="(",LEFT(IFERROR(INDEX(醫師週班表!$C$5:$T$44,$CU35,AE$57),""),1),IFERROR(INDEX(醫師週班表!$C$5:$T$44,$CU35,AE$57),"")))))))</f>
        <v/>
      </c>
      <c r="AF35" s="71">
        <f>IF(AF$59="X","",IF(AF$59&lt;&gt;"",AF$59,IF(IFERROR(INDEX(醫師週班表!$C$5:$T$44,$CU35,AF$57),"")=0,"",IF(MID(IFERROR(INDEX(醫師週班表!$C$5:$T$44,$CU35,AF$57),""),2,1)="/",MID(IFERROR(INDEX(醫師週班表!$C$5:$T$44,$CU35,AF$57),""),1+AF$58*2,1),IF(MID(IFERROR(INDEX(醫師週班表!$C$5:$T$44,$CU35,AF$57),""),3,1)="隔",IF(AF$58=0,LEFT(IFERROR(INDEX(醫師週班表!$C$5:$T$44,$CU35,AF$57),""),1),""),IF(MID(IFERROR(INDEX(醫師週班表!$C$5:$T$44,$CU35,AF$57),""),2,1)="(",LEFT(IFERROR(INDEX(醫師週班表!$C$5:$T$44,$CU35,AF$57),""),1),IFERROR(INDEX(醫師週班表!$C$5:$T$44,$CU35,AF$57),"")))))))</f>
        <v/>
      </c>
      <c r="AG35" s="72">
        <f>IF(AG$59="X","",IF(AG$59&lt;&gt;"",AG$59,IF(IFERROR(INDEX(醫師週班表!$C$5:$T$44,$CU35,AG$57),"")=0,"",IF(MID(IFERROR(INDEX(醫師週班表!$C$5:$T$44,$CU35,AG$57),""),2,1)="/",MID(IFERROR(INDEX(醫師週班表!$C$5:$T$44,$CU35,AG$57),""),1+AG$58*2,1),IF(MID(IFERROR(INDEX(醫師週班表!$C$5:$T$44,$CU35,AG$57),""),3,1)="隔",IF(AG$58=0,LEFT(IFERROR(INDEX(醫師週班表!$C$5:$T$44,$CU35,AG$57),""),1),""),IF(MID(IFERROR(INDEX(醫師週班表!$C$5:$T$44,$CU35,AG$57),""),2,1)="(",LEFT(IFERROR(INDEX(醫師週班表!$C$5:$T$44,$CU35,AG$57),""),1),IFERROR(INDEX(醫師週班表!$C$5:$T$44,$CU35,AG$57),"")))))))</f>
        <v/>
      </c>
      <c r="AH35" s="72">
        <f>IF(AH$59="X","",IF(AH$59&lt;&gt;"",AH$59,IF(IFERROR(INDEX(醫師週班表!$C$5:$T$44,$CU35,AH$57),"")=0,"",IF(MID(IFERROR(INDEX(醫師週班表!$C$5:$T$44,$CU35,AH$57),""),2,1)="/",MID(IFERROR(INDEX(醫師週班表!$C$5:$T$44,$CU35,AH$57),""),1+AH$58*2,1),IF(MID(IFERROR(INDEX(醫師週班表!$C$5:$T$44,$CU35,AH$57),""),3,1)="隔",IF(AH$58=0,LEFT(IFERROR(INDEX(醫師週班表!$C$5:$T$44,$CU35,AH$57),""),1),""),IF(MID(IFERROR(INDEX(醫師週班表!$C$5:$T$44,$CU35,AH$57),""),2,1)="(",LEFT(IFERROR(INDEX(醫師週班表!$C$5:$T$44,$CU35,AH$57),""),1),IFERROR(INDEX(醫師週班表!$C$5:$T$44,$CU35,AH$57),"")))))))</f>
        <v/>
      </c>
      <c r="AI35" s="71">
        <f>IF(AI$59="X","",IF(AI$59&lt;&gt;"",AI$59,IF(IFERROR(INDEX(醫師週班表!$C$5:$T$44,$CU35,AI$57),"")=0,"",IF(MID(IFERROR(INDEX(醫師週班表!$C$5:$T$44,$CU35,AI$57),""),2,1)="/",MID(IFERROR(INDEX(醫師週班表!$C$5:$T$44,$CU35,AI$57),""),1+AI$58*2,1),IF(MID(IFERROR(INDEX(醫師週班表!$C$5:$T$44,$CU35,AI$57),""),3,1)="隔",IF(AI$58=0,LEFT(IFERROR(INDEX(醫師週班表!$C$5:$T$44,$CU35,AI$57),""),1),""),IF(MID(IFERROR(INDEX(醫師週班表!$C$5:$T$44,$CU35,AI$57),""),2,1)="(",LEFT(IFERROR(INDEX(醫師週班表!$C$5:$T$44,$CU35,AI$57),""),1),IFERROR(INDEX(醫師週班表!$C$5:$T$44,$CU35,AI$57),"")))))))</f>
        <v/>
      </c>
      <c r="AJ35" s="72">
        <f>IF(AJ$59="X","",IF(AJ$59&lt;&gt;"",AJ$59,IF(IFERROR(INDEX(醫師週班表!$C$5:$T$44,$CU35,AJ$57),"")=0,"",IF(MID(IFERROR(INDEX(醫師週班表!$C$5:$T$44,$CU35,AJ$57),""),2,1)="/",MID(IFERROR(INDEX(醫師週班表!$C$5:$T$44,$CU35,AJ$57),""),1+AJ$58*2,1),IF(MID(IFERROR(INDEX(醫師週班表!$C$5:$T$44,$CU35,AJ$57),""),3,1)="隔",IF(AJ$58=0,LEFT(IFERROR(INDEX(醫師週班表!$C$5:$T$44,$CU35,AJ$57),""),1),""),IF(MID(IFERROR(INDEX(醫師週班表!$C$5:$T$44,$CU35,AJ$57),""),2,1)="(",LEFT(IFERROR(INDEX(醫師週班表!$C$5:$T$44,$CU35,AJ$57),""),1),IFERROR(INDEX(醫師週班表!$C$5:$T$44,$CU35,AJ$57),"")))))))</f>
        <v/>
      </c>
      <c r="AK35" s="72">
        <f>IF(AK$59="X","",IF(AK$59&lt;&gt;"",AK$59,IF(IFERROR(INDEX(醫師週班表!$C$5:$T$44,$CU35,AK$57),"")=0,"",IF(MID(IFERROR(INDEX(醫師週班表!$C$5:$T$44,$CU35,AK$57),""),2,1)="/",MID(IFERROR(INDEX(醫師週班表!$C$5:$T$44,$CU35,AK$57),""),1+AK$58*2,1),IF(MID(IFERROR(INDEX(醫師週班表!$C$5:$T$44,$CU35,AK$57),""),3,1)="隔",IF(AK$58=0,LEFT(IFERROR(INDEX(醫師週班表!$C$5:$T$44,$CU35,AK$57),""),1),""),IF(MID(IFERROR(INDEX(醫師週班表!$C$5:$T$44,$CU35,AK$57),""),2,1)="(",LEFT(IFERROR(INDEX(醫師週班表!$C$5:$T$44,$CU35,AK$57),""),1),IFERROR(INDEX(醫師週班表!$C$5:$T$44,$CU35,AK$57),"")))))))</f>
        <v/>
      </c>
      <c r="AL35" s="71">
        <f>IF(AL$59="X","",IF(AL$59&lt;&gt;"",AL$59,IF(IFERROR(INDEX(醫師週班表!$C$5:$T$44,$CU35,AL$57),"")=0,"",IF(MID(IFERROR(INDEX(醫師週班表!$C$5:$T$44,$CU35,AL$57),""),2,1)="/",MID(IFERROR(INDEX(醫師週班表!$C$5:$T$44,$CU35,AL$57),""),1+AL$58*2,1),IF(MID(IFERROR(INDEX(醫師週班表!$C$5:$T$44,$CU35,AL$57),""),3,1)="隔",IF(AL$58=0,LEFT(IFERROR(INDEX(醫師週班表!$C$5:$T$44,$CU35,AL$57),""),1),""),IF(MID(IFERROR(INDEX(醫師週班表!$C$5:$T$44,$CU35,AL$57),""),2,1)="(",LEFT(IFERROR(INDEX(醫師週班表!$C$5:$T$44,$CU35,AL$57),""),1),IFERROR(INDEX(醫師週班表!$C$5:$T$44,$CU35,AL$57),"")))))))</f>
        <v/>
      </c>
      <c r="AM35" s="72">
        <f>IF(AM$59="X","",IF(AM$59&lt;&gt;"",AM$59,IF(IFERROR(INDEX(醫師週班表!$C$5:$T$44,$CU35,AM$57),"")=0,"",IF(MID(IFERROR(INDEX(醫師週班表!$C$5:$T$44,$CU35,AM$57),""),2,1)="/",MID(IFERROR(INDEX(醫師週班表!$C$5:$T$44,$CU35,AM$57),""),1+AM$58*2,1),IF(MID(IFERROR(INDEX(醫師週班表!$C$5:$T$44,$CU35,AM$57),""),3,1)="隔",IF(AM$58=0,LEFT(IFERROR(INDEX(醫師週班表!$C$5:$T$44,$CU35,AM$57),""),1),""),IF(MID(IFERROR(INDEX(醫師週班表!$C$5:$T$44,$CU35,AM$57),""),2,1)="(",LEFT(IFERROR(INDEX(醫師週班表!$C$5:$T$44,$CU35,AM$57),""),1),IFERROR(INDEX(醫師週班表!$C$5:$T$44,$CU35,AM$57),"")))))))</f>
        <v/>
      </c>
      <c r="AN35" s="72">
        <f>IF(AN$59="X","",IF(AN$59&lt;&gt;"",AN$59,IF(IFERROR(INDEX(醫師週班表!$C$5:$T$44,$CU35,AN$57),"")=0,"",IF(MID(IFERROR(INDEX(醫師週班表!$C$5:$T$44,$CU35,AN$57),""),2,1)="/",MID(IFERROR(INDEX(醫師週班表!$C$5:$T$44,$CU35,AN$57),""),1+AN$58*2,1),IF(MID(IFERROR(INDEX(醫師週班表!$C$5:$T$44,$CU35,AN$57),""),3,1)="隔",IF(AN$58=0,LEFT(IFERROR(INDEX(醫師週班表!$C$5:$T$44,$CU35,AN$57),""),1),""),IF(MID(IFERROR(INDEX(醫師週班表!$C$5:$T$44,$CU35,AN$57),""),2,1)="(",LEFT(IFERROR(INDEX(醫師週班表!$C$5:$T$44,$CU35,AN$57),""),1),IFERROR(INDEX(醫師週班表!$C$5:$T$44,$CU35,AN$57),"")))))))</f>
        <v/>
      </c>
      <c r="AO35" s="71">
        <f>IF(AO$59="X","",IF(AO$59&lt;&gt;"",AO$59,IF(IFERROR(INDEX(醫師週班表!$C$5:$T$44,$CU35,AO$57),"")=0,"",IF(MID(IFERROR(INDEX(醫師週班表!$C$5:$T$44,$CU35,AO$57),""),2,1)="/",MID(IFERROR(INDEX(醫師週班表!$C$5:$T$44,$CU35,AO$57),""),1+AO$58*2,1),IF(MID(IFERROR(INDEX(醫師週班表!$C$5:$T$44,$CU35,AO$57),""),3,1)="隔",IF(AO$58=0,LEFT(IFERROR(INDEX(醫師週班表!$C$5:$T$44,$CU35,AO$57),""),1),""),IF(MID(IFERROR(INDEX(醫師週班表!$C$5:$T$44,$CU35,AO$57),""),2,1)="(",LEFT(IFERROR(INDEX(醫師週班表!$C$5:$T$44,$CU35,AO$57),""),1),IFERROR(INDEX(醫師週班表!$C$5:$T$44,$CU35,AO$57),"")))))))</f>
        <v/>
      </c>
      <c r="AP35" s="72">
        <f>IF(AP$59="X","",IF(AP$59&lt;&gt;"",AP$59,IF(IFERROR(INDEX(醫師週班表!$C$5:$T$44,$CU35,AP$57),"")=0,"",IF(MID(IFERROR(INDEX(醫師週班表!$C$5:$T$44,$CU35,AP$57),""),2,1)="/",MID(IFERROR(INDEX(醫師週班表!$C$5:$T$44,$CU35,AP$57),""),1+AP$58*2,1),IF(MID(IFERROR(INDEX(醫師週班表!$C$5:$T$44,$CU35,AP$57),""),3,1)="隔",IF(AP$58=0,LEFT(IFERROR(INDEX(醫師週班表!$C$5:$T$44,$CU35,AP$57),""),1),""),IF(MID(IFERROR(INDEX(醫師週班表!$C$5:$T$44,$CU35,AP$57),""),2,1)="(",LEFT(IFERROR(INDEX(醫師週班表!$C$5:$T$44,$CU35,AP$57),""),1),IFERROR(INDEX(醫師週班表!$C$5:$T$44,$CU35,AP$57),"")))))))</f>
        <v/>
      </c>
      <c r="AQ35" s="72">
        <f>IF(AQ$59="X","",IF(AQ$59&lt;&gt;"",AQ$59,IF(IFERROR(INDEX(醫師週班表!$C$5:$T$44,$CU35,AQ$57),"")=0,"",IF(MID(IFERROR(INDEX(醫師週班表!$C$5:$T$44,$CU35,AQ$57),""),2,1)="/",MID(IFERROR(INDEX(醫師週班表!$C$5:$T$44,$CU35,AQ$57),""),1+AQ$58*2,1),IF(MID(IFERROR(INDEX(醫師週班表!$C$5:$T$44,$CU35,AQ$57),""),3,1)="隔",IF(AQ$58=0,LEFT(IFERROR(INDEX(醫師週班表!$C$5:$T$44,$CU35,AQ$57),""),1),""),IF(MID(IFERROR(INDEX(醫師週班表!$C$5:$T$44,$CU35,AQ$57),""),2,1)="(",LEFT(IFERROR(INDEX(醫師週班表!$C$5:$T$44,$CU35,AQ$57),""),1),IFERROR(INDEX(醫師週班表!$C$5:$T$44,$CU35,AQ$57),"")))))))</f>
        <v/>
      </c>
      <c r="AR35" s="71">
        <f>IF(AR$59="X","",IF(AR$59&lt;&gt;"",AR$59,IF(IFERROR(INDEX(醫師週班表!$C$5:$T$44,$CU35,AR$57),"")=0,"",IF(MID(IFERROR(INDEX(醫師週班表!$C$5:$T$44,$CU35,AR$57),""),2,1)="/",MID(IFERROR(INDEX(醫師週班表!$C$5:$T$44,$CU35,AR$57),""),1+AR$58*2,1),IF(MID(IFERROR(INDEX(醫師週班表!$C$5:$T$44,$CU35,AR$57),""),3,1)="隔",IF(AR$58=0,LEFT(IFERROR(INDEX(醫師週班表!$C$5:$T$44,$CU35,AR$57),""),1),""),IF(MID(IFERROR(INDEX(醫師週班表!$C$5:$T$44,$CU35,AR$57),""),2,1)="(",LEFT(IFERROR(INDEX(醫師週班表!$C$5:$T$44,$CU35,AR$57),""),1),IFERROR(INDEX(醫師週班表!$C$5:$T$44,$CU35,AR$57),"")))))))</f>
        <v/>
      </c>
      <c r="AS35" s="72">
        <f>IF(AS$59="X","",IF(AS$59&lt;&gt;"",AS$59,IF(IFERROR(INDEX(醫師週班表!$C$5:$T$44,$CU35,AS$57),"")=0,"",IF(MID(IFERROR(INDEX(醫師週班表!$C$5:$T$44,$CU35,AS$57),""),2,1)="/",MID(IFERROR(INDEX(醫師週班表!$C$5:$T$44,$CU35,AS$57),""),1+AS$58*2,1),IF(MID(IFERROR(INDEX(醫師週班表!$C$5:$T$44,$CU35,AS$57),""),3,1)="隔",IF(AS$58=0,LEFT(IFERROR(INDEX(醫師週班表!$C$5:$T$44,$CU35,AS$57),""),1),""),IF(MID(IFERROR(INDEX(醫師週班表!$C$5:$T$44,$CU35,AS$57),""),2,1)="(",LEFT(IFERROR(INDEX(醫師週班表!$C$5:$T$44,$CU35,AS$57),""),1),IFERROR(INDEX(醫師週班表!$C$5:$T$44,$CU35,AS$57),"")))))))</f>
        <v/>
      </c>
      <c r="AT35" s="72">
        <f>IF(AT$59="X","",IF(AT$59&lt;&gt;"",AT$59,IF(IFERROR(INDEX(醫師週班表!$C$5:$T$44,$CU35,AT$57),"")=0,"",IF(MID(IFERROR(INDEX(醫師週班表!$C$5:$T$44,$CU35,AT$57),""),2,1)="/",MID(IFERROR(INDEX(醫師週班表!$C$5:$T$44,$CU35,AT$57),""),1+AT$58*2,1),IF(MID(IFERROR(INDEX(醫師週班表!$C$5:$T$44,$CU35,AT$57),""),3,1)="隔",IF(AT$58=0,LEFT(IFERROR(INDEX(醫師週班表!$C$5:$T$44,$CU35,AT$57),""),1),""),IF(MID(IFERROR(INDEX(醫師週班表!$C$5:$T$44,$CU35,AT$57),""),2,1)="(",LEFT(IFERROR(INDEX(醫師週班表!$C$5:$T$44,$CU35,AT$57),""),1),IFERROR(INDEX(醫師週班表!$C$5:$T$44,$CU35,AT$57),"")))))))</f>
        <v/>
      </c>
      <c r="AU35" s="71">
        <f>IF(AU$59="X","",IF(AU$59&lt;&gt;"",AU$59,IF(IFERROR(INDEX(醫師週班表!$C$5:$T$44,$CU35,AU$57),"")=0,"",IF(MID(IFERROR(INDEX(醫師週班表!$C$5:$T$44,$CU35,AU$57),""),2,1)="/",MID(IFERROR(INDEX(醫師週班表!$C$5:$T$44,$CU35,AU$57),""),1+AU$58*2,1),IF(MID(IFERROR(INDEX(醫師週班表!$C$5:$T$44,$CU35,AU$57),""),3,1)="隔",IF(AU$58=0,LEFT(IFERROR(INDEX(醫師週班表!$C$5:$T$44,$CU35,AU$57),""),1),""),IF(MID(IFERROR(INDEX(醫師週班表!$C$5:$T$44,$CU35,AU$57),""),2,1)="(",LEFT(IFERROR(INDEX(醫師週班表!$C$5:$T$44,$CU35,AU$57),""),1),IFERROR(INDEX(醫師週班表!$C$5:$T$44,$CU35,AU$57),"")))))))</f>
        <v/>
      </c>
      <c r="AV35" s="72">
        <f>IF(AV$59="X","",IF(AV$59&lt;&gt;"",AV$59,IF(IFERROR(INDEX(醫師週班表!$C$5:$T$44,$CU35,AV$57),"")=0,"",IF(MID(IFERROR(INDEX(醫師週班表!$C$5:$T$44,$CU35,AV$57),""),2,1)="/",MID(IFERROR(INDEX(醫師週班表!$C$5:$T$44,$CU35,AV$57),""),1+AV$58*2,1),IF(MID(IFERROR(INDEX(醫師週班表!$C$5:$T$44,$CU35,AV$57),""),3,1)="隔",IF(AV$58=0,LEFT(IFERROR(INDEX(醫師週班表!$C$5:$T$44,$CU35,AV$57),""),1),""),IF(MID(IFERROR(INDEX(醫師週班表!$C$5:$T$44,$CU35,AV$57),""),2,1)="(",LEFT(IFERROR(INDEX(醫師週班表!$C$5:$T$44,$CU35,AV$57),""),1),IFERROR(INDEX(醫師週班表!$C$5:$T$44,$CU35,AV$57),"")))))))</f>
        <v/>
      </c>
      <c r="AW35" s="72">
        <f>IF(AW$59="X","",IF(AW$59&lt;&gt;"",AW$59,IF(IFERROR(INDEX(醫師週班表!$C$5:$T$44,$CU35,AW$57),"")=0,"",IF(MID(IFERROR(INDEX(醫師週班表!$C$5:$T$44,$CU35,AW$57),""),2,1)="/",MID(IFERROR(INDEX(醫師週班表!$C$5:$T$44,$CU35,AW$57),""),1+AW$58*2,1),IF(MID(IFERROR(INDEX(醫師週班表!$C$5:$T$44,$CU35,AW$57),""),3,1)="隔",IF(AW$58=0,LEFT(IFERROR(INDEX(醫師週班表!$C$5:$T$44,$CU35,AW$57),""),1),""),IF(MID(IFERROR(INDEX(醫師週班表!$C$5:$T$44,$CU35,AW$57),""),2,1)="(",LEFT(IFERROR(INDEX(醫師週班表!$C$5:$T$44,$CU35,AW$57),""),1),IFERROR(INDEX(醫師週班表!$C$5:$T$44,$CU35,AW$57),"")))))))</f>
        <v/>
      </c>
      <c r="AX35" s="71">
        <f>IF(AX$59="X","",IF(AX$59&lt;&gt;"",AX$59,IF(IFERROR(INDEX(醫師週班表!$C$5:$T$44,$CU35,AX$57),"")=0,"",IF(MID(IFERROR(INDEX(醫師週班表!$C$5:$T$44,$CU35,AX$57),""),2,1)="/",MID(IFERROR(INDEX(醫師週班表!$C$5:$T$44,$CU35,AX$57),""),1+AX$58*2,1),IF(MID(IFERROR(INDEX(醫師週班表!$C$5:$T$44,$CU35,AX$57),""),3,1)="隔",IF(AX$58=0,LEFT(IFERROR(INDEX(醫師週班表!$C$5:$T$44,$CU35,AX$57),""),1),""),IF(MID(IFERROR(INDEX(醫師週班表!$C$5:$T$44,$CU35,AX$57),""),2,1)="(",LEFT(IFERROR(INDEX(醫師週班表!$C$5:$T$44,$CU35,AX$57),""),1),IFERROR(INDEX(醫師週班表!$C$5:$T$44,$CU35,AX$57),"")))))))</f>
        <v/>
      </c>
      <c r="AY35" s="72">
        <f>IF(AY$59="X","",IF(AY$59&lt;&gt;"",AY$59,IF(IFERROR(INDEX(醫師週班表!$C$5:$T$44,$CU35,AY$57),"")=0,"",IF(MID(IFERROR(INDEX(醫師週班表!$C$5:$T$44,$CU35,AY$57),""),2,1)="/",MID(IFERROR(INDEX(醫師週班表!$C$5:$T$44,$CU35,AY$57),""),1+AY$58*2,1),IF(MID(IFERROR(INDEX(醫師週班表!$C$5:$T$44,$CU35,AY$57),""),3,1)="隔",IF(AY$58=0,LEFT(IFERROR(INDEX(醫師週班表!$C$5:$T$44,$CU35,AY$57),""),1),""),IF(MID(IFERROR(INDEX(醫師週班表!$C$5:$T$44,$CU35,AY$57),""),2,1)="(",LEFT(IFERROR(INDEX(醫師週班表!$C$5:$T$44,$CU35,AY$57),""),1),IFERROR(INDEX(醫師週班表!$C$5:$T$44,$CU35,AY$57),"")))))))</f>
        <v/>
      </c>
      <c r="AZ35" s="72">
        <f>IF(AZ$59="X","",IF(AZ$59&lt;&gt;"",AZ$59,IF(IFERROR(INDEX(醫師週班表!$C$5:$T$44,$CU35,AZ$57),"")=0,"",IF(MID(IFERROR(INDEX(醫師週班表!$C$5:$T$44,$CU35,AZ$57),""),2,1)="/",MID(IFERROR(INDEX(醫師週班表!$C$5:$T$44,$CU35,AZ$57),""),1+AZ$58*2,1),IF(MID(IFERROR(INDEX(醫師週班表!$C$5:$T$44,$CU35,AZ$57),""),3,1)="隔",IF(AZ$58=0,LEFT(IFERROR(INDEX(醫師週班表!$C$5:$T$44,$CU35,AZ$57),""),1),""),IF(MID(IFERROR(INDEX(醫師週班表!$C$5:$T$44,$CU35,AZ$57),""),2,1)="(",LEFT(IFERROR(INDEX(醫師週班表!$C$5:$T$44,$CU35,AZ$57),""),1),IFERROR(INDEX(醫師週班表!$C$5:$T$44,$CU35,AZ$57),"")))))))</f>
        <v/>
      </c>
      <c r="BA35" s="71">
        <f>IF(BA$59="X","",IF(BA$59&lt;&gt;"",BA$59,IF(IFERROR(INDEX(醫師週班表!$C$5:$T$44,$CU35,BA$57),"")=0,"",IF(MID(IFERROR(INDEX(醫師週班表!$C$5:$T$44,$CU35,BA$57),""),2,1)="/",MID(IFERROR(INDEX(醫師週班表!$C$5:$T$44,$CU35,BA$57),""),1+BA$58*2,1),IF(MID(IFERROR(INDEX(醫師週班表!$C$5:$T$44,$CU35,BA$57),""),3,1)="隔",IF(BA$58=0,LEFT(IFERROR(INDEX(醫師週班表!$C$5:$T$44,$CU35,BA$57),""),1),""),IF(MID(IFERROR(INDEX(醫師週班表!$C$5:$T$44,$CU35,BA$57),""),2,1)="(",LEFT(IFERROR(INDEX(醫師週班表!$C$5:$T$44,$CU35,BA$57),""),1),IFERROR(INDEX(醫師週班表!$C$5:$T$44,$CU35,BA$57),"")))))))</f>
        <v/>
      </c>
      <c r="BB35" s="72">
        <f>IF(BB$59="X","",IF(BB$59&lt;&gt;"",BB$59,IF(IFERROR(INDEX(醫師週班表!$C$5:$T$44,$CU35,BB$57),"")=0,"",IF(MID(IFERROR(INDEX(醫師週班表!$C$5:$T$44,$CU35,BB$57),""),2,1)="/",MID(IFERROR(INDEX(醫師週班表!$C$5:$T$44,$CU35,BB$57),""),1+BB$58*2,1),IF(MID(IFERROR(INDEX(醫師週班表!$C$5:$T$44,$CU35,BB$57),""),3,1)="隔",IF(BB$58=0,LEFT(IFERROR(INDEX(醫師週班表!$C$5:$T$44,$CU35,BB$57),""),1),""),IF(MID(IFERROR(INDEX(醫師週班表!$C$5:$T$44,$CU35,BB$57),""),2,1)="(",LEFT(IFERROR(INDEX(醫師週班表!$C$5:$T$44,$CU35,BB$57),""),1),IFERROR(INDEX(醫師週班表!$C$5:$T$44,$CU35,BB$57),"")))))))</f>
        <v/>
      </c>
      <c r="BC35" s="72">
        <f>IF(BC$59="X","",IF(BC$59&lt;&gt;"",BC$59,IF(IFERROR(INDEX(醫師週班表!$C$5:$T$44,$CU35,BC$57),"")=0,"",IF(MID(IFERROR(INDEX(醫師週班表!$C$5:$T$44,$CU35,BC$57),""),2,1)="/",MID(IFERROR(INDEX(醫師週班表!$C$5:$T$44,$CU35,BC$57),""),1+BC$58*2,1),IF(MID(IFERROR(INDEX(醫師週班表!$C$5:$T$44,$CU35,BC$57),""),3,1)="隔",IF(BC$58=0,LEFT(IFERROR(INDEX(醫師週班表!$C$5:$T$44,$CU35,BC$57),""),1),""),IF(MID(IFERROR(INDEX(醫師週班表!$C$5:$T$44,$CU35,BC$57),""),2,1)="(",LEFT(IFERROR(INDEX(醫師週班表!$C$5:$T$44,$CU35,BC$57),""),1),IFERROR(INDEX(醫師週班表!$C$5:$T$44,$CU35,BC$57),"")))))))</f>
        <v/>
      </c>
      <c r="BD35" s="71">
        <f>IF(BD$59="X","",IF(BD$59&lt;&gt;"",BD$59,IF(IFERROR(INDEX(醫師週班表!$C$5:$T$44,$CU35,BD$57),"")=0,"",IF(MID(IFERROR(INDEX(醫師週班表!$C$5:$T$44,$CU35,BD$57),""),2,1)="/",MID(IFERROR(INDEX(醫師週班表!$C$5:$T$44,$CU35,BD$57),""),1+BD$58*2,1),IF(MID(IFERROR(INDEX(醫師週班表!$C$5:$T$44,$CU35,BD$57),""),3,1)="隔",IF(BD$58=0,LEFT(IFERROR(INDEX(醫師週班表!$C$5:$T$44,$CU35,BD$57),""),1),""),IF(MID(IFERROR(INDEX(醫師週班表!$C$5:$T$44,$CU35,BD$57),""),2,1)="(",LEFT(IFERROR(INDEX(醫師週班表!$C$5:$T$44,$CU35,BD$57),""),1),IFERROR(INDEX(醫師週班表!$C$5:$T$44,$CU35,BD$57),"")))))))</f>
        <v/>
      </c>
      <c r="BE35" s="72">
        <f>IF(BE$59="X","",IF(BE$59&lt;&gt;"",BE$59,IF(IFERROR(INDEX(醫師週班表!$C$5:$T$44,$CU35,BE$57),"")=0,"",IF(MID(IFERROR(INDEX(醫師週班表!$C$5:$T$44,$CU35,BE$57),""),2,1)="/",MID(IFERROR(INDEX(醫師週班表!$C$5:$T$44,$CU35,BE$57),""),1+BE$58*2,1),IF(MID(IFERROR(INDEX(醫師週班表!$C$5:$T$44,$CU35,BE$57),""),3,1)="隔",IF(BE$58=0,LEFT(IFERROR(INDEX(醫師週班表!$C$5:$T$44,$CU35,BE$57),""),1),""),IF(MID(IFERROR(INDEX(醫師週班表!$C$5:$T$44,$CU35,BE$57),""),2,1)="(",LEFT(IFERROR(INDEX(醫師週班表!$C$5:$T$44,$CU35,BE$57),""),1),IFERROR(INDEX(醫師週班表!$C$5:$T$44,$CU35,BE$57),"")))))))</f>
        <v/>
      </c>
      <c r="BF35" s="72">
        <f>IF(BF$59="X","",IF(BF$59&lt;&gt;"",BF$59,IF(IFERROR(INDEX(醫師週班表!$C$5:$T$44,$CU35,BF$57),"")=0,"",IF(MID(IFERROR(INDEX(醫師週班表!$C$5:$T$44,$CU35,BF$57),""),2,1)="/",MID(IFERROR(INDEX(醫師週班表!$C$5:$T$44,$CU35,BF$57),""),1+BF$58*2,1),IF(MID(IFERROR(INDEX(醫師週班表!$C$5:$T$44,$CU35,BF$57),""),3,1)="隔",IF(BF$58=0,LEFT(IFERROR(INDEX(醫師週班表!$C$5:$T$44,$CU35,BF$57),""),1),""),IF(MID(IFERROR(INDEX(醫師週班表!$C$5:$T$44,$CU35,BF$57),""),2,1)="(",LEFT(IFERROR(INDEX(醫師週班表!$C$5:$T$44,$CU35,BF$57),""),1),IFERROR(INDEX(醫師週班表!$C$5:$T$44,$CU35,BF$57),"")))))))</f>
        <v/>
      </c>
      <c r="BG35" s="71">
        <f>IF(BG$59="X","",IF(BG$59&lt;&gt;"",BG$59,IF(IFERROR(INDEX(醫師週班表!$C$5:$T$44,$CU35,BG$57),"")=0,"",IF(MID(IFERROR(INDEX(醫師週班表!$C$5:$T$44,$CU35,BG$57),""),2,1)="/",MID(IFERROR(INDEX(醫師週班表!$C$5:$T$44,$CU35,BG$57),""),1+BG$58*2,1),IF(MID(IFERROR(INDEX(醫師週班表!$C$5:$T$44,$CU35,BG$57),""),3,1)="隔",IF(BG$58=0,LEFT(IFERROR(INDEX(醫師週班表!$C$5:$T$44,$CU35,BG$57),""),1),""),IF(MID(IFERROR(INDEX(醫師週班表!$C$5:$T$44,$CU35,BG$57),""),2,1)="(",LEFT(IFERROR(INDEX(醫師週班表!$C$5:$T$44,$CU35,BG$57),""),1),IFERROR(INDEX(醫師週班表!$C$5:$T$44,$CU35,BG$57),"")))))))</f>
        <v/>
      </c>
      <c r="BH35" s="72">
        <f>IF(BH$59="X","",IF(BH$59&lt;&gt;"",BH$59,IF(IFERROR(INDEX(醫師週班表!$C$5:$T$44,$CU35,BH$57),"")=0,"",IF(MID(IFERROR(INDEX(醫師週班表!$C$5:$T$44,$CU35,BH$57),""),2,1)="/",MID(IFERROR(INDEX(醫師週班表!$C$5:$T$44,$CU35,BH$57),""),1+BH$58*2,1),IF(MID(IFERROR(INDEX(醫師週班表!$C$5:$T$44,$CU35,BH$57),""),3,1)="隔",IF(BH$58=0,LEFT(IFERROR(INDEX(醫師週班表!$C$5:$T$44,$CU35,BH$57),""),1),""),IF(MID(IFERROR(INDEX(醫師週班表!$C$5:$T$44,$CU35,BH$57),""),2,1)="(",LEFT(IFERROR(INDEX(醫師週班表!$C$5:$T$44,$CU35,BH$57),""),1),IFERROR(INDEX(醫師週班表!$C$5:$T$44,$CU35,BH$57),"")))))))</f>
        <v/>
      </c>
      <c r="BI35" s="72">
        <f>IF(BI$59="X","",IF(BI$59&lt;&gt;"",BI$59,IF(IFERROR(INDEX(醫師週班表!$C$5:$T$44,$CU35,BI$57),"")=0,"",IF(MID(IFERROR(INDEX(醫師週班表!$C$5:$T$44,$CU35,BI$57),""),2,1)="/",MID(IFERROR(INDEX(醫師週班表!$C$5:$T$44,$CU35,BI$57),""),1+BI$58*2,1),IF(MID(IFERROR(INDEX(醫師週班表!$C$5:$T$44,$CU35,BI$57),""),3,1)="隔",IF(BI$58=0,LEFT(IFERROR(INDEX(醫師週班表!$C$5:$T$44,$CU35,BI$57),""),1),""),IF(MID(IFERROR(INDEX(醫師週班表!$C$5:$T$44,$CU35,BI$57),""),2,1)="(",LEFT(IFERROR(INDEX(醫師週班表!$C$5:$T$44,$CU35,BI$57),""),1),IFERROR(INDEX(醫師週班表!$C$5:$T$44,$CU35,BI$57),"")))))))</f>
        <v/>
      </c>
      <c r="BJ35" s="71">
        <f>IF(BJ$59="X","",IF(BJ$59&lt;&gt;"",BJ$59,IF(IFERROR(INDEX(醫師週班表!$C$5:$T$44,$CU35,BJ$57),"")=0,"",IF(MID(IFERROR(INDEX(醫師週班表!$C$5:$T$44,$CU35,BJ$57),""),2,1)="/",MID(IFERROR(INDEX(醫師週班表!$C$5:$T$44,$CU35,BJ$57),""),1+BJ$58*2,1),IF(MID(IFERROR(INDEX(醫師週班表!$C$5:$T$44,$CU35,BJ$57),""),3,1)="隔",IF(BJ$58=0,LEFT(IFERROR(INDEX(醫師週班表!$C$5:$T$44,$CU35,BJ$57),""),1),""),IF(MID(IFERROR(INDEX(醫師週班表!$C$5:$T$44,$CU35,BJ$57),""),2,1)="(",LEFT(IFERROR(INDEX(醫師週班表!$C$5:$T$44,$CU35,BJ$57),""),1),IFERROR(INDEX(醫師週班表!$C$5:$T$44,$CU35,BJ$57),"")))))))</f>
        <v/>
      </c>
      <c r="BK35" s="72">
        <f>IF(BK$59="X","",IF(BK$59&lt;&gt;"",BK$59,IF(IFERROR(INDEX(醫師週班表!$C$5:$T$44,$CU35,BK$57),"")=0,"",IF(MID(IFERROR(INDEX(醫師週班表!$C$5:$T$44,$CU35,BK$57),""),2,1)="/",MID(IFERROR(INDEX(醫師週班表!$C$5:$T$44,$CU35,BK$57),""),1+BK$58*2,1),IF(MID(IFERROR(INDEX(醫師週班表!$C$5:$T$44,$CU35,BK$57),""),3,1)="隔",IF(BK$58=0,LEFT(IFERROR(INDEX(醫師週班表!$C$5:$T$44,$CU35,BK$57),""),1),""),IF(MID(IFERROR(INDEX(醫師週班表!$C$5:$T$44,$CU35,BK$57),""),2,1)="(",LEFT(IFERROR(INDEX(醫師週班表!$C$5:$T$44,$CU35,BK$57),""),1),IFERROR(INDEX(醫師週班表!$C$5:$T$44,$CU35,BK$57),"")))))))</f>
        <v/>
      </c>
      <c r="BL35" s="72">
        <f>IF(BL$59="X","",IF(BL$59&lt;&gt;"",BL$59,IF(IFERROR(INDEX(醫師週班表!$C$5:$T$44,$CU35,BL$57),"")=0,"",IF(MID(IFERROR(INDEX(醫師週班表!$C$5:$T$44,$CU35,BL$57),""),2,1)="/",MID(IFERROR(INDEX(醫師週班表!$C$5:$T$44,$CU35,BL$57),""),1+BL$58*2,1),IF(MID(IFERROR(INDEX(醫師週班表!$C$5:$T$44,$CU35,BL$57),""),3,1)="隔",IF(BL$58=0,LEFT(IFERROR(INDEX(醫師週班表!$C$5:$T$44,$CU35,BL$57),""),1),""),IF(MID(IFERROR(INDEX(醫師週班表!$C$5:$T$44,$CU35,BL$57),""),2,1)="(",LEFT(IFERROR(INDEX(醫師週班表!$C$5:$T$44,$CU35,BL$57),""),1),IFERROR(INDEX(醫師週班表!$C$5:$T$44,$CU35,BL$57),"")))))))</f>
        <v/>
      </c>
      <c r="BM35" s="71">
        <f>IF(BM$59="X","",IF(BM$59&lt;&gt;"",BM$59,IF(IFERROR(INDEX(醫師週班表!$C$5:$T$44,$CU35,BM$57),"")=0,"",IF(MID(IFERROR(INDEX(醫師週班表!$C$5:$T$44,$CU35,BM$57),""),2,1)="/",MID(IFERROR(INDEX(醫師週班表!$C$5:$T$44,$CU35,BM$57),""),1+BM$58*2,1),IF(MID(IFERROR(INDEX(醫師週班表!$C$5:$T$44,$CU35,BM$57),""),3,1)="隔",IF(BM$58=0,LEFT(IFERROR(INDEX(醫師週班表!$C$5:$T$44,$CU35,BM$57),""),1),""),IF(MID(IFERROR(INDEX(醫師週班表!$C$5:$T$44,$CU35,BM$57),""),2,1)="(",LEFT(IFERROR(INDEX(醫師週班表!$C$5:$T$44,$CU35,BM$57),""),1),IFERROR(INDEX(醫師週班表!$C$5:$T$44,$CU35,BM$57),"")))))))</f>
        <v/>
      </c>
      <c r="BN35" s="72">
        <f>IF(BN$59="X","",IF(BN$59&lt;&gt;"",BN$59,IF(IFERROR(INDEX(醫師週班表!$C$5:$T$44,$CU35,BN$57),"")=0,"",IF(MID(IFERROR(INDEX(醫師週班表!$C$5:$T$44,$CU35,BN$57),""),2,1)="/",MID(IFERROR(INDEX(醫師週班表!$C$5:$T$44,$CU35,BN$57),""),1+BN$58*2,1),IF(MID(IFERROR(INDEX(醫師週班表!$C$5:$T$44,$CU35,BN$57),""),3,1)="隔",IF(BN$58=0,LEFT(IFERROR(INDEX(醫師週班表!$C$5:$T$44,$CU35,BN$57),""),1),""),IF(MID(IFERROR(INDEX(醫師週班表!$C$5:$T$44,$CU35,BN$57),""),2,1)="(",LEFT(IFERROR(INDEX(醫師週班表!$C$5:$T$44,$CU35,BN$57),""),1),IFERROR(INDEX(醫師週班表!$C$5:$T$44,$CU35,BN$57),"")))))))</f>
        <v/>
      </c>
      <c r="BO35" s="72">
        <f>IF(BO$59="X","",IF(BO$59&lt;&gt;"",BO$59,IF(IFERROR(INDEX(醫師週班表!$C$5:$T$44,$CU35,BO$57),"")=0,"",IF(MID(IFERROR(INDEX(醫師週班表!$C$5:$T$44,$CU35,BO$57),""),2,1)="/",MID(IFERROR(INDEX(醫師週班表!$C$5:$T$44,$CU35,BO$57),""),1+BO$58*2,1),IF(MID(IFERROR(INDEX(醫師週班表!$C$5:$T$44,$CU35,BO$57),""),3,1)="隔",IF(BO$58=0,LEFT(IFERROR(INDEX(醫師週班表!$C$5:$T$44,$CU35,BO$57),""),1),""),IF(MID(IFERROR(INDEX(醫師週班表!$C$5:$T$44,$CU35,BO$57),""),2,1)="(",LEFT(IFERROR(INDEX(醫師週班表!$C$5:$T$44,$CU35,BO$57),""),1),IFERROR(INDEX(醫師週班表!$C$5:$T$44,$CU35,BO$57),"")))))))</f>
        <v/>
      </c>
      <c r="BP35" s="71">
        <f>IF(BP$59="X","",IF(BP$59&lt;&gt;"",BP$59,IF(IFERROR(INDEX(醫師週班表!$C$5:$T$44,$CU35,BP$57),"")=0,"",IF(MID(IFERROR(INDEX(醫師週班表!$C$5:$T$44,$CU35,BP$57),""),2,1)="/",MID(IFERROR(INDEX(醫師週班表!$C$5:$T$44,$CU35,BP$57),""),1+BP$58*2,1),IF(MID(IFERROR(INDEX(醫師週班表!$C$5:$T$44,$CU35,BP$57),""),3,1)="隔",IF(BP$58=0,LEFT(IFERROR(INDEX(醫師週班表!$C$5:$T$44,$CU35,BP$57),""),1),""),IF(MID(IFERROR(INDEX(醫師週班表!$C$5:$T$44,$CU35,BP$57),""),2,1)="(",LEFT(IFERROR(INDEX(醫師週班表!$C$5:$T$44,$CU35,BP$57),""),1),IFERROR(INDEX(醫師週班表!$C$5:$T$44,$CU35,BP$57),"")))))))</f>
        <v/>
      </c>
      <c r="BQ35" s="72">
        <f>IF(BQ$59="X","",IF(BQ$59&lt;&gt;"",BQ$59,IF(IFERROR(INDEX(醫師週班表!$C$5:$T$44,$CU35,BQ$57),"")=0,"",IF(MID(IFERROR(INDEX(醫師週班表!$C$5:$T$44,$CU35,BQ$57),""),2,1)="/",MID(IFERROR(INDEX(醫師週班表!$C$5:$T$44,$CU35,BQ$57),""),1+BQ$58*2,1),IF(MID(IFERROR(INDEX(醫師週班表!$C$5:$T$44,$CU35,BQ$57),""),3,1)="隔",IF(BQ$58=0,LEFT(IFERROR(INDEX(醫師週班表!$C$5:$T$44,$CU35,BQ$57),""),1),""),IF(MID(IFERROR(INDEX(醫師週班表!$C$5:$T$44,$CU35,BQ$57),""),2,1)="(",LEFT(IFERROR(INDEX(醫師週班表!$C$5:$T$44,$CU35,BQ$57),""),1),IFERROR(INDEX(醫師週班表!$C$5:$T$44,$CU35,BQ$57),"")))))))</f>
        <v/>
      </c>
      <c r="BR35" s="72">
        <f>IF(BR$59="X","",IF(BR$59&lt;&gt;"",BR$59,IF(IFERROR(INDEX(醫師週班表!$C$5:$T$44,$CU35,BR$57),"")=0,"",IF(MID(IFERROR(INDEX(醫師週班表!$C$5:$T$44,$CU35,BR$57),""),2,1)="/",MID(IFERROR(INDEX(醫師週班表!$C$5:$T$44,$CU35,BR$57),""),1+BR$58*2,1),IF(MID(IFERROR(INDEX(醫師週班表!$C$5:$T$44,$CU35,BR$57),""),3,1)="隔",IF(BR$58=0,LEFT(IFERROR(INDEX(醫師週班表!$C$5:$T$44,$CU35,BR$57),""),1),""),IF(MID(IFERROR(INDEX(醫師週班表!$C$5:$T$44,$CU35,BR$57),""),2,1)="(",LEFT(IFERROR(INDEX(醫師週班表!$C$5:$T$44,$CU35,BR$57),""),1),IFERROR(INDEX(醫師週班表!$C$5:$T$44,$CU35,BR$57),"")))))))</f>
        <v/>
      </c>
      <c r="BS35" s="71">
        <f>IF(BS$59="X","",IF(BS$59&lt;&gt;"",BS$59,IF(IFERROR(INDEX(醫師週班表!$C$5:$T$44,$CU35,BS$57),"")=0,"",IF(MID(IFERROR(INDEX(醫師週班表!$C$5:$T$44,$CU35,BS$57),""),2,1)="/",MID(IFERROR(INDEX(醫師週班表!$C$5:$T$44,$CU35,BS$57),""),1+BS$58*2,1),IF(MID(IFERROR(INDEX(醫師週班表!$C$5:$T$44,$CU35,BS$57),""),3,1)="隔",IF(BS$58=0,LEFT(IFERROR(INDEX(醫師週班表!$C$5:$T$44,$CU35,BS$57),""),1),""),IF(MID(IFERROR(INDEX(醫師週班表!$C$5:$T$44,$CU35,BS$57),""),2,1)="(",LEFT(IFERROR(INDEX(醫師週班表!$C$5:$T$44,$CU35,BS$57),""),1),IFERROR(INDEX(醫師週班表!$C$5:$T$44,$CU35,BS$57),"")))))))</f>
        <v/>
      </c>
      <c r="BT35" s="72">
        <f>IF(BT$59="X","",IF(BT$59&lt;&gt;"",BT$59,IF(IFERROR(INDEX(醫師週班表!$C$5:$T$44,$CU35,BT$57),"")=0,"",IF(MID(IFERROR(INDEX(醫師週班表!$C$5:$T$44,$CU35,BT$57),""),2,1)="/",MID(IFERROR(INDEX(醫師週班表!$C$5:$T$44,$CU35,BT$57),""),1+BT$58*2,1),IF(MID(IFERROR(INDEX(醫師週班表!$C$5:$T$44,$CU35,BT$57),""),3,1)="隔",IF(BT$58=0,LEFT(IFERROR(INDEX(醫師週班表!$C$5:$T$44,$CU35,BT$57),""),1),""),IF(MID(IFERROR(INDEX(醫師週班表!$C$5:$T$44,$CU35,BT$57),""),2,1)="(",LEFT(IFERROR(INDEX(醫師週班表!$C$5:$T$44,$CU35,BT$57),""),1),IFERROR(INDEX(醫師週班表!$C$5:$T$44,$CU35,BT$57),"")))))))</f>
        <v/>
      </c>
      <c r="BU35" s="72">
        <f>IF(BU$59="X","",IF(BU$59&lt;&gt;"",BU$59,IF(IFERROR(INDEX(醫師週班表!$C$5:$T$44,$CU35,BU$57),"")=0,"",IF(MID(IFERROR(INDEX(醫師週班表!$C$5:$T$44,$CU35,BU$57),""),2,1)="/",MID(IFERROR(INDEX(醫師週班表!$C$5:$T$44,$CU35,BU$57),""),1+BU$58*2,1),IF(MID(IFERROR(INDEX(醫師週班表!$C$5:$T$44,$CU35,BU$57),""),3,1)="隔",IF(BU$58=0,LEFT(IFERROR(INDEX(醫師週班表!$C$5:$T$44,$CU35,BU$57),""),1),""),IF(MID(IFERROR(INDEX(醫師週班表!$C$5:$T$44,$CU35,BU$57),""),2,1)="(",LEFT(IFERROR(INDEX(醫師週班表!$C$5:$T$44,$CU35,BU$57),""),1),IFERROR(INDEX(醫師週班表!$C$5:$T$44,$CU35,BU$57),"")))))))</f>
        <v/>
      </c>
      <c r="BV35" s="71">
        <f>IF(BV$59="X","",IF(BV$59&lt;&gt;"",BV$59,IF(IFERROR(INDEX(醫師週班表!$C$5:$T$44,$CU35,BV$57),"")=0,"",IF(MID(IFERROR(INDEX(醫師週班表!$C$5:$T$44,$CU35,BV$57),""),2,1)="/",MID(IFERROR(INDEX(醫師週班表!$C$5:$T$44,$CU35,BV$57),""),1+BV$58*2,1),IF(MID(IFERROR(INDEX(醫師週班表!$C$5:$T$44,$CU35,BV$57),""),3,1)="隔",IF(BV$58=0,LEFT(IFERROR(INDEX(醫師週班表!$C$5:$T$44,$CU35,BV$57),""),1),""),IF(MID(IFERROR(INDEX(醫師週班表!$C$5:$T$44,$CU35,BV$57),""),2,1)="(",LEFT(IFERROR(INDEX(醫師週班表!$C$5:$T$44,$CU35,BV$57),""),1),IFERROR(INDEX(醫師週班表!$C$5:$T$44,$CU35,BV$57),"")))))))</f>
        <v/>
      </c>
      <c r="BW35" s="72">
        <f>IF(BW$59="X","",IF(BW$59&lt;&gt;"",BW$59,IF(IFERROR(INDEX(醫師週班表!$C$5:$T$44,$CU35,BW$57),"")=0,"",IF(MID(IFERROR(INDEX(醫師週班表!$C$5:$T$44,$CU35,BW$57),""),2,1)="/",MID(IFERROR(INDEX(醫師週班表!$C$5:$T$44,$CU35,BW$57),""),1+BW$58*2,1),IF(MID(IFERROR(INDEX(醫師週班表!$C$5:$T$44,$CU35,BW$57),""),3,1)="隔",IF(BW$58=0,LEFT(IFERROR(INDEX(醫師週班表!$C$5:$T$44,$CU35,BW$57),""),1),""),IF(MID(IFERROR(INDEX(醫師週班表!$C$5:$T$44,$CU35,BW$57),""),2,1)="(",LEFT(IFERROR(INDEX(醫師週班表!$C$5:$T$44,$CU35,BW$57),""),1),IFERROR(INDEX(醫師週班表!$C$5:$T$44,$CU35,BW$57),"")))))))</f>
        <v/>
      </c>
      <c r="BX35" s="72">
        <f>IF(BX$59="X","",IF(BX$59&lt;&gt;"",BX$59,IF(IFERROR(INDEX(醫師週班表!$C$5:$T$44,$CU35,BX$57),"")=0,"",IF(MID(IFERROR(INDEX(醫師週班表!$C$5:$T$44,$CU35,BX$57),""),2,1)="/",MID(IFERROR(INDEX(醫師週班表!$C$5:$T$44,$CU35,BX$57),""),1+BX$58*2,1),IF(MID(IFERROR(INDEX(醫師週班表!$C$5:$T$44,$CU35,BX$57),""),3,1)="隔",IF(BX$58=0,LEFT(IFERROR(INDEX(醫師週班表!$C$5:$T$44,$CU35,BX$57),""),1),""),IF(MID(IFERROR(INDEX(醫師週班表!$C$5:$T$44,$CU35,BX$57),""),2,1)="(",LEFT(IFERROR(INDEX(醫師週班表!$C$5:$T$44,$CU35,BX$57),""),1),IFERROR(INDEX(醫師週班表!$C$5:$T$44,$CU35,BX$57),"")))))))</f>
        <v/>
      </c>
      <c r="BY35" s="71">
        <f>IF(BY$59="X","",IF(BY$59&lt;&gt;"",BY$59,IF(IFERROR(INDEX(醫師週班表!$C$5:$T$44,$CU35,BY$57),"")=0,"",IF(MID(IFERROR(INDEX(醫師週班表!$C$5:$T$44,$CU35,BY$57),""),2,1)="/",MID(IFERROR(INDEX(醫師週班表!$C$5:$T$44,$CU35,BY$57),""),1+BY$58*2,1),IF(MID(IFERROR(INDEX(醫師週班表!$C$5:$T$44,$CU35,BY$57),""),3,1)="隔",IF(BY$58=0,LEFT(IFERROR(INDEX(醫師週班表!$C$5:$T$44,$CU35,BY$57),""),1),""),IF(MID(IFERROR(INDEX(醫師週班表!$C$5:$T$44,$CU35,BY$57),""),2,1)="(",LEFT(IFERROR(INDEX(醫師週班表!$C$5:$T$44,$CU35,BY$57),""),1),IFERROR(INDEX(醫師週班表!$C$5:$T$44,$CU35,BY$57),"")))))))</f>
        <v/>
      </c>
      <c r="BZ35" s="72">
        <f>IF(BZ$59="X","",IF(BZ$59&lt;&gt;"",BZ$59,IF(IFERROR(INDEX(醫師週班表!$C$5:$T$44,$CU35,BZ$57),"")=0,"",IF(MID(IFERROR(INDEX(醫師週班表!$C$5:$T$44,$CU35,BZ$57),""),2,1)="/",MID(IFERROR(INDEX(醫師週班表!$C$5:$T$44,$CU35,BZ$57),""),1+BZ$58*2,1),IF(MID(IFERROR(INDEX(醫師週班表!$C$5:$T$44,$CU35,BZ$57),""),3,1)="隔",IF(BZ$58=0,LEFT(IFERROR(INDEX(醫師週班表!$C$5:$T$44,$CU35,BZ$57),""),1),""),IF(MID(IFERROR(INDEX(醫師週班表!$C$5:$T$44,$CU35,BZ$57),""),2,1)="(",LEFT(IFERROR(INDEX(醫師週班表!$C$5:$T$44,$CU35,BZ$57),""),1),IFERROR(INDEX(醫師週班表!$C$5:$T$44,$CU35,BZ$57),"")))))))</f>
        <v/>
      </c>
      <c r="CA35" s="72">
        <f>IF(CA$59="X","",IF(CA$59&lt;&gt;"",CA$59,IF(IFERROR(INDEX(醫師週班表!$C$5:$T$44,$CU35,CA$57),"")=0,"",IF(MID(IFERROR(INDEX(醫師週班表!$C$5:$T$44,$CU35,CA$57),""),2,1)="/",MID(IFERROR(INDEX(醫師週班表!$C$5:$T$44,$CU35,CA$57),""),1+CA$58*2,1),IF(MID(IFERROR(INDEX(醫師週班表!$C$5:$T$44,$CU35,CA$57),""),3,1)="隔",IF(CA$58=0,LEFT(IFERROR(INDEX(醫師週班表!$C$5:$T$44,$CU35,CA$57),""),1),""),IF(MID(IFERROR(INDEX(醫師週班表!$C$5:$T$44,$CU35,CA$57),""),2,1)="(",LEFT(IFERROR(INDEX(醫師週班表!$C$5:$T$44,$CU35,CA$57),""),1),IFERROR(INDEX(醫師週班表!$C$5:$T$44,$CU35,CA$57),"")))))))</f>
        <v/>
      </c>
      <c r="CB35" s="71">
        <f>IF(CB$59="X","",IF(CB$59&lt;&gt;"",CB$59,IF(IFERROR(INDEX(醫師週班表!$C$5:$T$44,$CU35,CB$57),"")=0,"",IF(MID(IFERROR(INDEX(醫師週班表!$C$5:$T$44,$CU35,CB$57),""),2,1)="/",MID(IFERROR(INDEX(醫師週班表!$C$5:$T$44,$CU35,CB$57),""),1+CB$58*2,1),IF(MID(IFERROR(INDEX(醫師週班表!$C$5:$T$44,$CU35,CB$57),""),3,1)="隔",IF(CB$58=0,LEFT(IFERROR(INDEX(醫師週班表!$C$5:$T$44,$CU35,CB$57),""),1),""),IF(MID(IFERROR(INDEX(醫師週班表!$C$5:$T$44,$CU35,CB$57),""),2,1)="(",LEFT(IFERROR(INDEX(醫師週班表!$C$5:$T$44,$CU35,CB$57),""),1),IFERROR(INDEX(醫師週班表!$C$5:$T$44,$CU35,CB$57),"")))))))</f>
        <v/>
      </c>
      <c r="CC35" s="72">
        <f>IF(CC$59="X","",IF(CC$59&lt;&gt;"",CC$59,IF(IFERROR(INDEX(醫師週班表!$C$5:$T$44,$CU35,CC$57),"")=0,"",IF(MID(IFERROR(INDEX(醫師週班表!$C$5:$T$44,$CU35,CC$57),""),2,1)="/",MID(IFERROR(INDEX(醫師週班表!$C$5:$T$44,$CU35,CC$57),""),1+CC$58*2,1),IF(MID(IFERROR(INDEX(醫師週班表!$C$5:$T$44,$CU35,CC$57),""),3,1)="隔",IF(CC$58=0,LEFT(IFERROR(INDEX(醫師週班表!$C$5:$T$44,$CU35,CC$57),""),1),""),IF(MID(IFERROR(INDEX(醫師週班表!$C$5:$T$44,$CU35,CC$57),""),2,1)="(",LEFT(IFERROR(INDEX(醫師週班表!$C$5:$T$44,$CU35,CC$57),""),1),IFERROR(INDEX(醫師週班表!$C$5:$T$44,$CU35,CC$57),"")))))))</f>
        <v/>
      </c>
      <c r="CD35" s="72">
        <f>IF(CD$59="X","",IF(CD$59&lt;&gt;"",CD$59,IF(IFERROR(INDEX(醫師週班表!$C$5:$T$44,$CU35,CD$57),"")=0,"",IF(MID(IFERROR(INDEX(醫師週班表!$C$5:$T$44,$CU35,CD$57),""),2,1)="/",MID(IFERROR(INDEX(醫師週班表!$C$5:$T$44,$CU35,CD$57),""),1+CD$58*2,1),IF(MID(IFERROR(INDEX(醫師週班表!$C$5:$T$44,$CU35,CD$57),""),3,1)="隔",IF(CD$58=0,LEFT(IFERROR(INDEX(醫師週班表!$C$5:$T$44,$CU35,CD$57),""),1),""),IF(MID(IFERROR(INDEX(醫師週班表!$C$5:$T$44,$CU35,CD$57),""),2,1)="(",LEFT(IFERROR(INDEX(醫師週班表!$C$5:$T$44,$CU35,CD$57),""),1),IFERROR(INDEX(醫師週班表!$C$5:$T$44,$CU35,CD$57),"")))))))</f>
        <v/>
      </c>
      <c r="CE35" s="71">
        <f>IF(CE$59="X","",IF(CE$59&lt;&gt;"",CE$59,IF(IFERROR(INDEX(醫師週班表!$C$5:$T$44,$CU35,CE$57),"")=0,"",IF(MID(IFERROR(INDEX(醫師週班表!$C$5:$T$44,$CU35,CE$57),""),2,1)="/",MID(IFERROR(INDEX(醫師週班表!$C$5:$T$44,$CU35,CE$57),""),1+CE$58*2,1),IF(MID(IFERROR(INDEX(醫師週班表!$C$5:$T$44,$CU35,CE$57),""),3,1)="隔",IF(CE$58=0,LEFT(IFERROR(INDEX(醫師週班表!$C$5:$T$44,$CU35,CE$57),""),1),""),IF(MID(IFERROR(INDEX(醫師週班表!$C$5:$T$44,$CU35,CE$57),""),2,1)="(",LEFT(IFERROR(INDEX(醫師週班表!$C$5:$T$44,$CU35,CE$57),""),1),IFERROR(INDEX(醫師週班表!$C$5:$T$44,$CU35,CE$57),"")))))))</f>
        <v/>
      </c>
      <c r="CF35" s="72">
        <f>IF(CF$59="X","",IF(CF$59&lt;&gt;"",CF$59,IF(IFERROR(INDEX(醫師週班表!$C$5:$T$44,$CU35,CF$57),"")=0,"",IF(MID(IFERROR(INDEX(醫師週班表!$C$5:$T$44,$CU35,CF$57),""),2,1)="/",MID(IFERROR(INDEX(醫師週班表!$C$5:$T$44,$CU35,CF$57),""),1+CF$58*2,1),IF(MID(IFERROR(INDEX(醫師週班表!$C$5:$T$44,$CU35,CF$57),""),3,1)="隔",IF(CF$58=0,LEFT(IFERROR(INDEX(醫師週班表!$C$5:$T$44,$CU35,CF$57),""),1),""),IF(MID(IFERROR(INDEX(醫師週班表!$C$5:$T$44,$CU35,CF$57),""),2,1)="(",LEFT(IFERROR(INDEX(醫師週班表!$C$5:$T$44,$CU35,CF$57),""),1),IFERROR(INDEX(醫師週班表!$C$5:$T$44,$CU35,CF$57),"")))))))</f>
        <v/>
      </c>
      <c r="CG35" s="72">
        <f>IF(CG$59="X","",IF(CG$59&lt;&gt;"",CG$59,IF(IFERROR(INDEX(醫師週班表!$C$5:$T$44,$CU35,CG$57),"")=0,"",IF(MID(IFERROR(INDEX(醫師週班表!$C$5:$T$44,$CU35,CG$57),""),2,1)="/",MID(IFERROR(INDEX(醫師週班表!$C$5:$T$44,$CU35,CG$57),""),1+CG$58*2,1),IF(MID(IFERROR(INDEX(醫師週班表!$C$5:$T$44,$CU35,CG$57),""),3,1)="隔",IF(CG$58=0,LEFT(IFERROR(INDEX(醫師週班表!$C$5:$T$44,$CU35,CG$57),""),1),""),IF(MID(IFERROR(INDEX(醫師週班表!$C$5:$T$44,$CU35,CG$57),""),2,1)="(",LEFT(IFERROR(INDEX(醫師週班表!$C$5:$T$44,$CU35,CG$57),""),1),IFERROR(INDEX(醫師週班表!$C$5:$T$44,$CU35,CG$57),"")))))))</f>
        <v/>
      </c>
      <c r="CH35" s="71">
        <f>IF(CH$59="X","",IF(CH$59&lt;&gt;"",CH$59,IF(IFERROR(INDEX(醫師週班表!$C$5:$T$44,$CU35,CH$57),"")=0,"",IF(MID(IFERROR(INDEX(醫師週班表!$C$5:$T$44,$CU35,CH$57),""),2,1)="/",MID(IFERROR(INDEX(醫師週班表!$C$5:$T$44,$CU35,CH$57),""),1+CH$58*2,1),IF(MID(IFERROR(INDEX(醫師週班表!$C$5:$T$44,$CU35,CH$57),""),3,1)="隔",IF(CH$58=0,LEFT(IFERROR(INDEX(醫師週班表!$C$5:$T$44,$CU35,CH$57),""),1),""),IF(MID(IFERROR(INDEX(醫師週班表!$C$5:$T$44,$CU35,CH$57),""),2,1)="(",LEFT(IFERROR(INDEX(醫師週班表!$C$5:$T$44,$CU35,CH$57),""),1),IFERROR(INDEX(醫師週班表!$C$5:$T$44,$CU35,CH$57),"")))))))</f>
        <v/>
      </c>
      <c r="CI35" s="72">
        <f>IF(CI$59="X","",IF(CI$59&lt;&gt;"",CI$59,IF(IFERROR(INDEX(醫師週班表!$C$5:$T$44,$CU35,CI$57),"")=0,"",IF(MID(IFERROR(INDEX(醫師週班表!$C$5:$T$44,$CU35,CI$57),""),2,1)="/",MID(IFERROR(INDEX(醫師週班表!$C$5:$T$44,$CU35,CI$57),""),1+CI$58*2,1),IF(MID(IFERROR(INDEX(醫師週班表!$C$5:$T$44,$CU35,CI$57),""),3,1)="隔",IF(CI$58=0,LEFT(IFERROR(INDEX(醫師週班表!$C$5:$T$44,$CU35,CI$57),""),1),""),IF(MID(IFERROR(INDEX(醫師週班表!$C$5:$T$44,$CU35,CI$57),""),2,1)="(",LEFT(IFERROR(INDEX(醫師週班表!$C$5:$T$44,$CU35,CI$57),""),1),IFERROR(INDEX(醫師週班表!$C$5:$T$44,$CU35,CI$57),"")))))))</f>
        <v/>
      </c>
      <c r="CJ35" s="72">
        <f>IF(CJ$59="X","",IF(CJ$59&lt;&gt;"",CJ$59,IF(IFERROR(INDEX(醫師週班表!$C$5:$T$44,$CU35,CJ$57),"")=0,"",IF(MID(IFERROR(INDEX(醫師週班表!$C$5:$T$44,$CU35,CJ$57),""),2,1)="/",MID(IFERROR(INDEX(醫師週班表!$C$5:$T$44,$CU35,CJ$57),""),1+CJ$58*2,1),IF(MID(IFERROR(INDEX(醫師週班表!$C$5:$T$44,$CU35,CJ$57),""),3,1)="隔",IF(CJ$58=0,LEFT(IFERROR(INDEX(醫師週班表!$C$5:$T$44,$CU35,CJ$57),""),1),""),IF(MID(IFERROR(INDEX(醫師週班表!$C$5:$T$44,$CU35,CJ$57),""),2,1)="(",LEFT(IFERROR(INDEX(醫師週班表!$C$5:$T$44,$CU35,CJ$57),""),1),IFERROR(INDEX(醫師週班表!$C$5:$T$44,$CU35,CJ$57),"")))))))</f>
        <v/>
      </c>
      <c r="CK35" s="71">
        <f>IF(CK$59="X","",IF(CK$59&lt;&gt;"",CK$59,IF(IFERROR(INDEX(醫師週班表!$C$5:$T$44,$CU35,CK$57),"")=0,"",IF(MID(IFERROR(INDEX(醫師週班表!$C$5:$T$44,$CU35,CK$57),""),2,1)="/",MID(IFERROR(INDEX(醫師週班表!$C$5:$T$44,$CU35,CK$57),""),1+CK$58*2,1),IF(MID(IFERROR(INDEX(醫師週班表!$C$5:$T$44,$CU35,CK$57),""),3,1)="隔",IF(CK$58=0,LEFT(IFERROR(INDEX(醫師週班表!$C$5:$T$44,$CU35,CK$57),""),1),""),IF(MID(IFERROR(INDEX(醫師週班表!$C$5:$T$44,$CU35,CK$57),""),2,1)="(",LEFT(IFERROR(INDEX(醫師週班表!$C$5:$T$44,$CU35,CK$57),""),1),IFERROR(INDEX(醫師週班表!$C$5:$T$44,$CU35,CK$57),"")))))))</f>
        <v/>
      </c>
      <c r="CL35" s="72">
        <f>IF(CL$59="X","",IF(CL$59&lt;&gt;"",CL$59,IF(IFERROR(INDEX(醫師週班表!$C$5:$T$44,$CU35,CL$57),"")=0,"",IF(MID(IFERROR(INDEX(醫師週班表!$C$5:$T$44,$CU35,CL$57),""),2,1)="/",MID(IFERROR(INDEX(醫師週班表!$C$5:$T$44,$CU35,CL$57),""),1+CL$58*2,1),IF(MID(IFERROR(INDEX(醫師週班表!$C$5:$T$44,$CU35,CL$57),""),3,1)="隔",IF(CL$58=0,LEFT(IFERROR(INDEX(醫師週班表!$C$5:$T$44,$CU35,CL$57),""),1),""),IF(MID(IFERROR(INDEX(醫師週班表!$C$5:$T$44,$CU35,CL$57),""),2,1)="(",LEFT(IFERROR(INDEX(醫師週班表!$C$5:$T$44,$CU35,CL$57),""),1),IFERROR(INDEX(醫師週班表!$C$5:$T$44,$CU35,CL$57),"")))))))</f>
        <v/>
      </c>
      <c r="CM35" s="72">
        <f>IF(CM$59="X","",IF(CM$59&lt;&gt;"",CM$59,IF(IFERROR(INDEX(醫師週班表!$C$5:$T$44,$CU35,CM$57),"")=0,"",IF(MID(IFERROR(INDEX(醫師週班表!$C$5:$T$44,$CU35,CM$57),""),2,1)="/",MID(IFERROR(INDEX(醫師週班表!$C$5:$T$44,$CU35,CM$57),""),1+CM$58*2,1),IF(MID(IFERROR(INDEX(醫師週班表!$C$5:$T$44,$CU35,CM$57),""),3,1)="隔",IF(CM$58=0,LEFT(IFERROR(INDEX(醫師週班表!$C$5:$T$44,$CU35,CM$57),""),1),""),IF(MID(IFERROR(INDEX(醫師週班表!$C$5:$T$44,$CU35,CM$57),""),2,1)="(",LEFT(IFERROR(INDEX(醫師週班表!$C$5:$T$44,$CU35,CM$57),""),1),IFERROR(INDEX(醫師週班表!$C$5:$T$44,$CU35,CM$57),"")))))))</f>
        <v/>
      </c>
      <c r="CN35" s="71">
        <f>IF(CN$59="X","",IF(CN$59&lt;&gt;"",CN$59,IF(IFERROR(INDEX(醫師週班表!$C$5:$T$44,$CU35,CN$57),"")=0,"",IF(MID(IFERROR(INDEX(醫師週班表!$C$5:$T$44,$CU35,CN$57),""),2,1)="/",MID(IFERROR(INDEX(醫師週班表!$C$5:$T$44,$CU35,CN$57),""),1+CN$58*2,1),IF(MID(IFERROR(INDEX(醫師週班表!$C$5:$T$44,$CU35,CN$57),""),3,1)="隔",IF(CN$58=0,LEFT(IFERROR(INDEX(醫師週班表!$C$5:$T$44,$CU35,CN$57),""),1),""),IF(MID(IFERROR(INDEX(醫師週班表!$C$5:$T$44,$CU35,CN$57),""),2,1)="(",LEFT(IFERROR(INDEX(醫師週班表!$C$5:$T$44,$CU35,CN$57),""),1),IFERROR(INDEX(醫師週班表!$C$5:$T$44,$CU35,CN$57),"")))))))</f>
        <v/>
      </c>
      <c r="CO35" s="72">
        <f>IF(CO$59="X","",IF(CO$59&lt;&gt;"",CO$59,IF(IFERROR(INDEX(醫師週班表!$C$5:$T$44,$CU35,CO$57),"")=0,"",IF(MID(IFERROR(INDEX(醫師週班表!$C$5:$T$44,$CU35,CO$57),""),2,1)="/",MID(IFERROR(INDEX(醫師週班表!$C$5:$T$44,$CU35,CO$57),""),1+CO$58*2,1),IF(MID(IFERROR(INDEX(醫師週班表!$C$5:$T$44,$CU35,CO$57),""),3,1)="隔",IF(CO$58=0,LEFT(IFERROR(INDEX(醫師週班表!$C$5:$T$44,$CU35,CO$57),""),1),""),IF(MID(IFERROR(INDEX(醫師週班表!$C$5:$T$44,$CU35,CO$57),""),2,1)="(",LEFT(IFERROR(INDEX(醫師週班表!$C$5:$T$44,$CU35,CO$57),""),1),IFERROR(INDEX(醫師週班表!$C$5:$T$44,$CU35,CO$57),"")))))))</f>
        <v/>
      </c>
      <c r="CP35" s="72">
        <f>IF(CP$59="X","",IF(CP$59&lt;&gt;"",CP$59,IF(IFERROR(INDEX(醫師週班表!$C$5:$T$44,$CU35,CP$57),"")=0,"",IF(MID(IFERROR(INDEX(醫師週班表!$C$5:$T$44,$CU35,CP$57),""),2,1)="/",MID(IFERROR(INDEX(醫師週班表!$C$5:$T$44,$CU35,CP$57),""),1+CP$58*2,1),IF(MID(IFERROR(INDEX(醫師週班表!$C$5:$T$44,$CU35,CP$57),""),3,1)="隔",IF(CP$58=0,LEFT(IFERROR(INDEX(醫師週班表!$C$5:$T$44,$CU35,CP$57),""),1),""),IF(MID(IFERROR(INDEX(醫師週班表!$C$5:$T$44,$CU35,CP$57),""),2,1)="(",LEFT(IFERROR(INDEX(醫師週班表!$C$5:$T$44,$CU35,CP$57),""),1),IFERROR(INDEX(醫師週班表!$C$5:$T$44,$CU35,CP$57),"")))))))</f>
        <v/>
      </c>
      <c r="CQ35" s="71">
        <f>IF(CQ$59="X","",IF(CQ$59&lt;&gt;"",CQ$59,IF(IFERROR(INDEX(醫師週班表!$C$5:$T$44,$CU35,CQ$57),"")=0,"",IF(MID(IFERROR(INDEX(醫師週班表!$C$5:$T$44,$CU35,CQ$57),""),2,1)="/",MID(IFERROR(INDEX(醫師週班表!$C$5:$T$44,$CU35,CQ$57),""),1+CQ$58*2,1),IF(MID(IFERROR(INDEX(醫師週班表!$C$5:$T$44,$CU35,CQ$57),""),3,1)="隔",IF(CQ$58=0,LEFT(IFERROR(INDEX(醫師週班表!$C$5:$T$44,$CU35,CQ$57),""),1),""),IF(MID(IFERROR(INDEX(醫師週班表!$C$5:$T$44,$CU35,CQ$57),""),2,1)="(",LEFT(IFERROR(INDEX(醫師週班表!$C$5:$T$44,$CU35,CQ$57),""),1),IFERROR(INDEX(醫師週班表!$C$5:$T$44,$CU35,CQ$57),"")))))))</f>
        <v/>
      </c>
      <c r="CR35" s="72">
        <f>IF(CR$59="X","",IF(CR$59&lt;&gt;"",CR$59,IF(IFERROR(INDEX(醫師週班表!$C$5:$T$44,$CU35,CR$57),"")=0,"",IF(MID(IFERROR(INDEX(醫師週班表!$C$5:$T$44,$CU35,CR$57),""),2,1)="/",MID(IFERROR(INDEX(醫師週班表!$C$5:$T$44,$CU35,CR$57),""),1+CR$58*2,1),IF(MID(IFERROR(INDEX(醫師週班表!$C$5:$T$44,$CU35,CR$57),""),3,1)="隔",IF(CR$58=0,LEFT(IFERROR(INDEX(醫師週班表!$C$5:$T$44,$CU35,CR$57),""),1),""),IF(MID(IFERROR(INDEX(醫師週班表!$C$5:$T$44,$CU35,CR$57),""),2,1)="(",LEFT(IFERROR(INDEX(醫師週班表!$C$5:$T$44,$CU35,CR$57),""),1),IFERROR(INDEX(醫師週班表!$C$5:$T$44,$CU35,CR$57),"")))))))</f>
        <v/>
      </c>
      <c r="CS35" s="72">
        <f>IF(CS$59="X","",IF(CS$59&lt;&gt;"",CS$59,IF(IFERROR(INDEX(醫師週班表!$C$5:$T$44,$CU35,CS$57),"")=0,"",IF(MID(IFERROR(INDEX(醫師週班表!$C$5:$T$44,$CU35,CS$57),""),2,1)="/",MID(IFERROR(INDEX(醫師週班表!$C$5:$T$44,$CU35,CS$57),""),1+CS$58*2,1),IF(MID(IFERROR(INDEX(醫師週班表!$C$5:$T$44,$CU35,CS$57),""),3,1)="隔",IF(CS$58=0,LEFT(IFERROR(INDEX(醫師週班表!$C$5:$T$44,$CU35,CS$57),""),1),""),IF(MID(IFERROR(INDEX(醫師週班表!$C$5:$T$44,$CU35,CS$57),""),2,1)="(",LEFT(IFERROR(INDEX(醫師週班表!$C$5:$T$44,$CU35,CS$57),""),1),IFERROR(INDEX(醫師週班表!$C$5:$T$44,$CU35,CS$57),"")))))))</f>
        <v/>
      </c>
      <c r="CU35" s="73">
        <f>IFERROR(MATCH($A35,醫師週班表!$A$5:$A$44,0),0)</f>
        <v/>
      </c>
    </row>
    <row r="36" ht="17" customHeight="1">
      <c r="A36" s="19" t="n"/>
      <c r="B36" s="16">
        <f>IFERROR(INDEX(設定!$C$64:$C$203,MATCH($A36,設定!$B$64:$B$203,0)),"")</f>
        <v/>
      </c>
      <c r="C36" s="70">
        <f>IFERROR(INDEX(設定!$E$64:$E$203,MATCH($A36,設定!$B$64:$B$203,0)),"")</f>
        <v/>
      </c>
      <c r="D36" s="16">
        <f>IFERROR(INDEX(設定!$F$64:$F$203,MATCH($A36,設定!$B$64:$B$203,0)),"")</f>
        <v/>
      </c>
      <c r="E36" s="71">
        <f>IF(E$59="X","",IF(E$59&lt;&gt;"",E$59,IF(IFERROR(INDEX(醫師週班表!$C$5:$T$44,$CU36,E$57),"")=0,"",IF(MID(IFERROR(INDEX(醫師週班表!$C$5:$T$44,$CU36,E$57),""),2,1)="/",MID(IFERROR(INDEX(醫師週班表!$C$5:$T$44,$CU36,E$57),""),1+E$58*2,1),IF(MID(IFERROR(INDEX(醫師週班表!$C$5:$T$44,$CU36,E$57),""),3,1)="隔",IF(E$58=0,LEFT(IFERROR(INDEX(醫師週班表!$C$5:$T$44,$CU36,E$57),""),1),""),IF(MID(IFERROR(INDEX(醫師週班表!$C$5:$T$44,$CU36,E$57),""),2,1)="(",LEFT(IFERROR(INDEX(醫師週班表!$C$5:$T$44,$CU36,E$57),""),1),IFERROR(INDEX(醫師週班表!$C$5:$T$44,$CU36,E$57),"")))))))</f>
        <v/>
      </c>
      <c r="F36" s="72">
        <f>IF(F$59="X","",IF(F$59&lt;&gt;"",F$59,IF(IFERROR(INDEX(醫師週班表!$C$5:$T$44,$CU36,F$57),"")=0,"",IF(MID(IFERROR(INDEX(醫師週班表!$C$5:$T$44,$CU36,F$57),""),2,1)="/",MID(IFERROR(INDEX(醫師週班表!$C$5:$T$44,$CU36,F$57),""),1+F$58*2,1),IF(MID(IFERROR(INDEX(醫師週班表!$C$5:$T$44,$CU36,F$57),""),3,1)="隔",IF(F$58=0,LEFT(IFERROR(INDEX(醫師週班表!$C$5:$T$44,$CU36,F$57),""),1),""),IF(MID(IFERROR(INDEX(醫師週班表!$C$5:$T$44,$CU36,F$57),""),2,1)="(",LEFT(IFERROR(INDEX(醫師週班表!$C$5:$T$44,$CU36,F$57),""),1),IFERROR(INDEX(醫師週班表!$C$5:$T$44,$CU36,F$57),"")))))))</f>
        <v/>
      </c>
      <c r="G36" s="72">
        <f>IF(G$59="X","",IF(G$59&lt;&gt;"",G$59,IF(IFERROR(INDEX(醫師週班表!$C$5:$T$44,$CU36,G$57),"")=0,"",IF(MID(IFERROR(INDEX(醫師週班表!$C$5:$T$44,$CU36,G$57),""),2,1)="/",MID(IFERROR(INDEX(醫師週班表!$C$5:$T$44,$CU36,G$57),""),1+G$58*2,1),IF(MID(IFERROR(INDEX(醫師週班表!$C$5:$T$44,$CU36,G$57),""),3,1)="隔",IF(G$58=0,LEFT(IFERROR(INDEX(醫師週班表!$C$5:$T$44,$CU36,G$57),""),1),""),IF(MID(IFERROR(INDEX(醫師週班表!$C$5:$T$44,$CU36,G$57),""),2,1)="(",LEFT(IFERROR(INDEX(醫師週班表!$C$5:$T$44,$CU36,G$57),""),1),IFERROR(INDEX(醫師週班表!$C$5:$T$44,$CU36,G$57),"")))))))</f>
        <v/>
      </c>
      <c r="H36" s="71">
        <f>IF(H$59="X","",IF(H$59&lt;&gt;"",H$59,IF(IFERROR(INDEX(醫師週班表!$C$5:$T$44,$CU36,H$57),"")=0,"",IF(MID(IFERROR(INDEX(醫師週班表!$C$5:$T$44,$CU36,H$57),""),2,1)="/",MID(IFERROR(INDEX(醫師週班表!$C$5:$T$44,$CU36,H$57),""),1+H$58*2,1),IF(MID(IFERROR(INDEX(醫師週班表!$C$5:$T$44,$CU36,H$57),""),3,1)="隔",IF(H$58=0,LEFT(IFERROR(INDEX(醫師週班表!$C$5:$T$44,$CU36,H$57),""),1),""),IF(MID(IFERROR(INDEX(醫師週班表!$C$5:$T$44,$CU36,H$57),""),2,1)="(",LEFT(IFERROR(INDEX(醫師週班表!$C$5:$T$44,$CU36,H$57),""),1),IFERROR(INDEX(醫師週班表!$C$5:$T$44,$CU36,H$57),"")))))))</f>
        <v/>
      </c>
      <c r="I36" s="72">
        <f>IF(I$59="X","",IF(I$59&lt;&gt;"",I$59,IF(IFERROR(INDEX(醫師週班表!$C$5:$T$44,$CU36,I$57),"")=0,"",IF(MID(IFERROR(INDEX(醫師週班表!$C$5:$T$44,$CU36,I$57),""),2,1)="/",MID(IFERROR(INDEX(醫師週班表!$C$5:$T$44,$CU36,I$57),""),1+I$58*2,1),IF(MID(IFERROR(INDEX(醫師週班表!$C$5:$T$44,$CU36,I$57),""),3,1)="隔",IF(I$58=0,LEFT(IFERROR(INDEX(醫師週班表!$C$5:$T$44,$CU36,I$57),""),1),""),IF(MID(IFERROR(INDEX(醫師週班表!$C$5:$T$44,$CU36,I$57),""),2,1)="(",LEFT(IFERROR(INDEX(醫師週班表!$C$5:$T$44,$CU36,I$57),""),1),IFERROR(INDEX(醫師週班表!$C$5:$T$44,$CU36,I$57),"")))))))</f>
        <v/>
      </c>
      <c r="J36" s="72">
        <f>IF(J$59="X","",IF(J$59&lt;&gt;"",J$59,IF(IFERROR(INDEX(醫師週班表!$C$5:$T$44,$CU36,J$57),"")=0,"",IF(MID(IFERROR(INDEX(醫師週班表!$C$5:$T$44,$CU36,J$57),""),2,1)="/",MID(IFERROR(INDEX(醫師週班表!$C$5:$T$44,$CU36,J$57),""),1+J$58*2,1),IF(MID(IFERROR(INDEX(醫師週班表!$C$5:$T$44,$CU36,J$57),""),3,1)="隔",IF(J$58=0,LEFT(IFERROR(INDEX(醫師週班表!$C$5:$T$44,$CU36,J$57),""),1),""),IF(MID(IFERROR(INDEX(醫師週班表!$C$5:$T$44,$CU36,J$57),""),2,1)="(",LEFT(IFERROR(INDEX(醫師週班表!$C$5:$T$44,$CU36,J$57),""),1),IFERROR(INDEX(醫師週班表!$C$5:$T$44,$CU36,J$57),"")))))))</f>
        <v/>
      </c>
      <c r="K36" s="71">
        <f>IF(K$59="X","",IF(K$59&lt;&gt;"",K$59,IF(IFERROR(INDEX(醫師週班表!$C$5:$T$44,$CU36,K$57),"")=0,"",IF(MID(IFERROR(INDEX(醫師週班表!$C$5:$T$44,$CU36,K$57),""),2,1)="/",MID(IFERROR(INDEX(醫師週班表!$C$5:$T$44,$CU36,K$57),""),1+K$58*2,1),IF(MID(IFERROR(INDEX(醫師週班表!$C$5:$T$44,$CU36,K$57),""),3,1)="隔",IF(K$58=0,LEFT(IFERROR(INDEX(醫師週班表!$C$5:$T$44,$CU36,K$57),""),1),""),IF(MID(IFERROR(INDEX(醫師週班表!$C$5:$T$44,$CU36,K$57),""),2,1)="(",LEFT(IFERROR(INDEX(醫師週班表!$C$5:$T$44,$CU36,K$57),""),1),IFERROR(INDEX(醫師週班表!$C$5:$T$44,$CU36,K$57),"")))))))</f>
        <v/>
      </c>
      <c r="L36" s="72">
        <f>IF(L$59="X","",IF(L$59&lt;&gt;"",L$59,IF(IFERROR(INDEX(醫師週班表!$C$5:$T$44,$CU36,L$57),"")=0,"",IF(MID(IFERROR(INDEX(醫師週班表!$C$5:$T$44,$CU36,L$57),""),2,1)="/",MID(IFERROR(INDEX(醫師週班表!$C$5:$T$44,$CU36,L$57),""),1+L$58*2,1),IF(MID(IFERROR(INDEX(醫師週班表!$C$5:$T$44,$CU36,L$57),""),3,1)="隔",IF(L$58=0,LEFT(IFERROR(INDEX(醫師週班表!$C$5:$T$44,$CU36,L$57),""),1),""),IF(MID(IFERROR(INDEX(醫師週班表!$C$5:$T$44,$CU36,L$57),""),2,1)="(",LEFT(IFERROR(INDEX(醫師週班表!$C$5:$T$44,$CU36,L$57),""),1),IFERROR(INDEX(醫師週班表!$C$5:$T$44,$CU36,L$57),"")))))))</f>
        <v/>
      </c>
      <c r="M36" s="72">
        <f>IF(M$59="X","",IF(M$59&lt;&gt;"",M$59,IF(IFERROR(INDEX(醫師週班表!$C$5:$T$44,$CU36,M$57),"")=0,"",IF(MID(IFERROR(INDEX(醫師週班表!$C$5:$T$44,$CU36,M$57),""),2,1)="/",MID(IFERROR(INDEX(醫師週班表!$C$5:$T$44,$CU36,M$57),""),1+M$58*2,1),IF(MID(IFERROR(INDEX(醫師週班表!$C$5:$T$44,$CU36,M$57),""),3,1)="隔",IF(M$58=0,LEFT(IFERROR(INDEX(醫師週班表!$C$5:$T$44,$CU36,M$57),""),1),""),IF(MID(IFERROR(INDEX(醫師週班表!$C$5:$T$44,$CU36,M$57),""),2,1)="(",LEFT(IFERROR(INDEX(醫師週班表!$C$5:$T$44,$CU36,M$57),""),1),IFERROR(INDEX(醫師週班表!$C$5:$T$44,$CU36,M$57),"")))))))</f>
        <v/>
      </c>
      <c r="N36" s="71">
        <f>IF(N$59="X","",IF(N$59&lt;&gt;"",N$59,IF(IFERROR(INDEX(醫師週班表!$C$5:$T$44,$CU36,N$57),"")=0,"",IF(MID(IFERROR(INDEX(醫師週班表!$C$5:$T$44,$CU36,N$57),""),2,1)="/",MID(IFERROR(INDEX(醫師週班表!$C$5:$T$44,$CU36,N$57),""),1+N$58*2,1),IF(MID(IFERROR(INDEX(醫師週班表!$C$5:$T$44,$CU36,N$57),""),3,1)="隔",IF(N$58=0,LEFT(IFERROR(INDEX(醫師週班表!$C$5:$T$44,$CU36,N$57),""),1),""),IF(MID(IFERROR(INDEX(醫師週班表!$C$5:$T$44,$CU36,N$57),""),2,1)="(",LEFT(IFERROR(INDEX(醫師週班表!$C$5:$T$44,$CU36,N$57),""),1),IFERROR(INDEX(醫師週班表!$C$5:$T$44,$CU36,N$57),"")))))))</f>
        <v/>
      </c>
      <c r="O36" s="72">
        <f>IF(O$59="X","",IF(O$59&lt;&gt;"",O$59,IF(IFERROR(INDEX(醫師週班表!$C$5:$T$44,$CU36,O$57),"")=0,"",IF(MID(IFERROR(INDEX(醫師週班表!$C$5:$T$44,$CU36,O$57),""),2,1)="/",MID(IFERROR(INDEX(醫師週班表!$C$5:$T$44,$CU36,O$57),""),1+O$58*2,1),IF(MID(IFERROR(INDEX(醫師週班表!$C$5:$T$44,$CU36,O$57),""),3,1)="隔",IF(O$58=0,LEFT(IFERROR(INDEX(醫師週班表!$C$5:$T$44,$CU36,O$57),""),1),""),IF(MID(IFERROR(INDEX(醫師週班表!$C$5:$T$44,$CU36,O$57),""),2,1)="(",LEFT(IFERROR(INDEX(醫師週班表!$C$5:$T$44,$CU36,O$57),""),1),IFERROR(INDEX(醫師週班表!$C$5:$T$44,$CU36,O$57),"")))))))</f>
        <v/>
      </c>
      <c r="P36" s="72">
        <f>IF(P$59="X","",IF(P$59&lt;&gt;"",P$59,IF(IFERROR(INDEX(醫師週班表!$C$5:$T$44,$CU36,P$57),"")=0,"",IF(MID(IFERROR(INDEX(醫師週班表!$C$5:$T$44,$CU36,P$57),""),2,1)="/",MID(IFERROR(INDEX(醫師週班表!$C$5:$T$44,$CU36,P$57),""),1+P$58*2,1),IF(MID(IFERROR(INDEX(醫師週班表!$C$5:$T$44,$CU36,P$57),""),3,1)="隔",IF(P$58=0,LEFT(IFERROR(INDEX(醫師週班表!$C$5:$T$44,$CU36,P$57),""),1),""),IF(MID(IFERROR(INDEX(醫師週班表!$C$5:$T$44,$CU36,P$57),""),2,1)="(",LEFT(IFERROR(INDEX(醫師週班表!$C$5:$T$44,$CU36,P$57),""),1),IFERROR(INDEX(醫師週班表!$C$5:$T$44,$CU36,P$57),"")))))))</f>
        <v/>
      </c>
      <c r="Q36" s="71">
        <f>IF(Q$59="X","",IF(Q$59&lt;&gt;"",Q$59,IF(IFERROR(INDEX(醫師週班表!$C$5:$T$44,$CU36,Q$57),"")=0,"",IF(MID(IFERROR(INDEX(醫師週班表!$C$5:$T$44,$CU36,Q$57),""),2,1)="/",MID(IFERROR(INDEX(醫師週班表!$C$5:$T$44,$CU36,Q$57),""),1+Q$58*2,1),IF(MID(IFERROR(INDEX(醫師週班表!$C$5:$T$44,$CU36,Q$57),""),3,1)="隔",IF(Q$58=0,LEFT(IFERROR(INDEX(醫師週班表!$C$5:$T$44,$CU36,Q$57),""),1),""),IF(MID(IFERROR(INDEX(醫師週班表!$C$5:$T$44,$CU36,Q$57),""),2,1)="(",LEFT(IFERROR(INDEX(醫師週班表!$C$5:$T$44,$CU36,Q$57),""),1),IFERROR(INDEX(醫師週班表!$C$5:$T$44,$CU36,Q$57),"")))))))</f>
        <v/>
      </c>
      <c r="R36" s="72">
        <f>IF(R$59="X","",IF(R$59&lt;&gt;"",R$59,IF(IFERROR(INDEX(醫師週班表!$C$5:$T$44,$CU36,R$57),"")=0,"",IF(MID(IFERROR(INDEX(醫師週班表!$C$5:$T$44,$CU36,R$57),""),2,1)="/",MID(IFERROR(INDEX(醫師週班表!$C$5:$T$44,$CU36,R$57),""),1+R$58*2,1),IF(MID(IFERROR(INDEX(醫師週班表!$C$5:$T$44,$CU36,R$57),""),3,1)="隔",IF(R$58=0,LEFT(IFERROR(INDEX(醫師週班表!$C$5:$T$44,$CU36,R$57),""),1),""),IF(MID(IFERROR(INDEX(醫師週班表!$C$5:$T$44,$CU36,R$57),""),2,1)="(",LEFT(IFERROR(INDEX(醫師週班表!$C$5:$T$44,$CU36,R$57),""),1),IFERROR(INDEX(醫師週班表!$C$5:$T$44,$CU36,R$57),"")))))))</f>
        <v/>
      </c>
      <c r="S36" s="72">
        <f>IF(S$59="X","",IF(S$59&lt;&gt;"",S$59,IF(IFERROR(INDEX(醫師週班表!$C$5:$T$44,$CU36,S$57),"")=0,"",IF(MID(IFERROR(INDEX(醫師週班表!$C$5:$T$44,$CU36,S$57),""),2,1)="/",MID(IFERROR(INDEX(醫師週班表!$C$5:$T$44,$CU36,S$57),""),1+S$58*2,1),IF(MID(IFERROR(INDEX(醫師週班表!$C$5:$T$44,$CU36,S$57),""),3,1)="隔",IF(S$58=0,LEFT(IFERROR(INDEX(醫師週班表!$C$5:$T$44,$CU36,S$57),""),1),""),IF(MID(IFERROR(INDEX(醫師週班表!$C$5:$T$44,$CU36,S$57),""),2,1)="(",LEFT(IFERROR(INDEX(醫師週班表!$C$5:$T$44,$CU36,S$57),""),1),IFERROR(INDEX(醫師週班表!$C$5:$T$44,$CU36,S$57),"")))))))</f>
        <v/>
      </c>
      <c r="T36" s="71">
        <f>IF(T$59="X","",IF(T$59&lt;&gt;"",T$59,IF(IFERROR(INDEX(醫師週班表!$C$5:$T$44,$CU36,T$57),"")=0,"",IF(MID(IFERROR(INDEX(醫師週班表!$C$5:$T$44,$CU36,T$57),""),2,1)="/",MID(IFERROR(INDEX(醫師週班表!$C$5:$T$44,$CU36,T$57),""),1+T$58*2,1),IF(MID(IFERROR(INDEX(醫師週班表!$C$5:$T$44,$CU36,T$57),""),3,1)="隔",IF(T$58=0,LEFT(IFERROR(INDEX(醫師週班表!$C$5:$T$44,$CU36,T$57),""),1),""),IF(MID(IFERROR(INDEX(醫師週班表!$C$5:$T$44,$CU36,T$57),""),2,1)="(",LEFT(IFERROR(INDEX(醫師週班表!$C$5:$T$44,$CU36,T$57),""),1),IFERROR(INDEX(醫師週班表!$C$5:$T$44,$CU36,T$57),"")))))))</f>
        <v/>
      </c>
      <c r="U36" s="72">
        <f>IF(U$59="X","",IF(U$59&lt;&gt;"",U$59,IF(IFERROR(INDEX(醫師週班表!$C$5:$T$44,$CU36,U$57),"")=0,"",IF(MID(IFERROR(INDEX(醫師週班表!$C$5:$T$44,$CU36,U$57),""),2,1)="/",MID(IFERROR(INDEX(醫師週班表!$C$5:$T$44,$CU36,U$57),""),1+U$58*2,1),IF(MID(IFERROR(INDEX(醫師週班表!$C$5:$T$44,$CU36,U$57),""),3,1)="隔",IF(U$58=0,LEFT(IFERROR(INDEX(醫師週班表!$C$5:$T$44,$CU36,U$57),""),1),""),IF(MID(IFERROR(INDEX(醫師週班表!$C$5:$T$44,$CU36,U$57),""),2,1)="(",LEFT(IFERROR(INDEX(醫師週班表!$C$5:$T$44,$CU36,U$57),""),1),IFERROR(INDEX(醫師週班表!$C$5:$T$44,$CU36,U$57),"")))))))</f>
        <v/>
      </c>
      <c r="V36" s="72">
        <f>IF(V$59="X","",IF(V$59&lt;&gt;"",V$59,IF(IFERROR(INDEX(醫師週班表!$C$5:$T$44,$CU36,V$57),"")=0,"",IF(MID(IFERROR(INDEX(醫師週班表!$C$5:$T$44,$CU36,V$57),""),2,1)="/",MID(IFERROR(INDEX(醫師週班表!$C$5:$T$44,$CU36,V$57),""),1+V$58*2,1),IF(MID(IFERROR(INDEX(醫師週班表!$C$5:$T$44,$CU36,V$57),""),3,1)="隔",IF(V$58=0,LEFT(IFERROR(INDEX(醫師週班表!$C$5:$T$44,$CU36,V$57),""),1),""),IF(MID(IFERROR(INDEX(醫師週班表!$C$5:$T$44,$CU36,V$57),""),2,1)="(",LEFT(IFERROR(INDEX(醫師週班表!$C$5:$T$44,$CU36,V$57),""),1),IFERROR(INDEX(醫師週班表!$C$5:$T$44,$CU36,V$57),"")))))))</f>
        <v/>
      </c>
      <c r="W36" s="71">
        <f>IF(W$59="X","",IF(W$59&lt;&gt;"",W$59,IF(IFERROR(INDEX(醫師週班表!$C$5:$T$44,$CU36,W$57),"")=0,"",IF(MID(IFERROR(INDEX(醫師週班表!$C$5:$T$44,$CU36,W$57),""),2,1)="/",MID(IFERROR(INDEX(醫師週班表!$C$5:$T$44,$CU36,W$57),""),1+W$58*2,1),IF(MID(IFERROR(INDEX(醫師週班表!$C$5:$T$44,$CU36,W$57),""),3,1)="隔",IF(W$58=0,LEFT(IFERROR(INDEX(醫師週班表!$C$5:$T$44,$CU36,W$57),""),1),""),IF(MID(IFERROR(INDEX(醫師週班表!$C$5:$T$44,$CU36,W$57),""),2,1)="(",LEFT(IFERROR(INDEX(醫師週班表!$C$5:$T$44,$CU36,W$57),""),1),IFERROR(INDEX(醫師週班表!$C$5:$T$44,$CU36,W$57),"")))))))</f>
        <v/>
      </c>
      <c r="X36" s="72">
        <f>IF(X$59="X","",IF(X$59&lt;&gt;"",X$59,IF(IFERROR(INDEX(醫師週班表!$C$5:$T$44,$CU36,X$57),"")=0,"",IF(MID(IFERROR(INDEX(醫師週班表!$C$5:$T$44,$CU36,X$57),""),2,1)="/",MID(IFERROR(INDEX(醫師週班表!$C$5:$T$44,$CU36,X$57),""),1+X$58*2,1),IF(MID(IFERROR(INDEX(醫師週班表!$C$5:$T$44,$CU36,X$57),""),3,1)="隔",IF(X$58=0,LEFT(IFERROR(INDEX(醫師週班表!$C$5:$T$44,$CU36,X$57),""),1),""),IF(MID(IFERROR(INDEX(醫師週班表!$C$5:$T$44,$CU36,X$57),""),2,1)="(",LEFT(IFERROR(INDEX(醫師週班表!$C$5:$T$44,$CU36,X$57),""),1),IFERROR(INDEX(醫師週班表!$C$5:$T$44,$CU36,X$57),"")))))))</f>
        <v/>
      </c>
      <c r="Y36" s="72">
        <f>IF(Y$59="X","",IF(Y$59&lt;&gt;"",Y$59,IF(IFERROR(INDEX(醫師週班表!$C$5:$T$44,$CU36,Y$57),"")=0,"",IF(MID(IFERROR(INDEX(醫師週班表!$C$5:$T$44,$CU36,Y$57),""),2,1)="/",MID(IFERROR(INDEX(醫師週班表!$C$5:$T$44,$CU36,Y$57),""),1+Y$58*2,1),IF(MID(IFERROR(INDEX(醫師週班表!$C$5:$T$44,$CU36,Y$57),""),3,1)="隔",IF(Y$58=0,LEFT(IFERROR(INDEX(醫師週班表!$C$5:$T$44,$CU36,Y$57),""),1),""),IF(MID(IFERROR(INDEX(醫師週班表!$C$5:$T$44,$CU36,Y$57),""),2,1)="(",LEFT(IFERROR(INDEX(醫師週班表!$C$5:$T$44,$CU36,Y$57),""),1),IFERROR(INDEX(醫師週班表!$C$5:$T$44,$CU36,Y$57),"")))))))</f>
        <v/>
      </c>
      <c r="Z36" s="71">
        <f>IF(Z$59="X","",IF(Z$59&lt;&gt;"",Z$59,IF(IFERROR(INDEX(醫師週班表!$C$5:$T$44,$CU36,Z$57),"")=0,"",IF(MID(IFERROR(INDEX(醫師週班表!$C$5:$T$44,$CU36,Z$57),""),2,1)="/",MID(IFERROR(INDEX(醫師週班表!$C$5:$T$44,$CU36,Z$57),""),1+Z$58*2,1),IF(MID(IFERROR(INDEX(醫師週班表!$C$5:$T$44,$CU36,Z$57),""),3,1)="隔",IF(Z$58=0,LEFT(IFERROR(INDEX(醫師週班表!$C$5:$T$44,$CU36,Z$57),""),1),""),IF(MID(IFERROR(INDEX(醫師週班表!$C$5:$T$44,$CU36,Z$57),""),2,1)="(",LEFT(IFERROR(INDEX(醫師週班表!$C$5:$T$44,$CU36,Z$57),""),1),IFERROR(INDEX(醫師週班表!$C$5:$T$44,$CU36,Z$57),"")))))))</f>
        <v/>
      </c>
      <c r="AA36" s="72">
        <f>IF(AA$59="X","",IF(AA$59&lt;&gt;"",AA$59,IF(IFERROR(INDEX(醫師週班表!$C$5:$T$44,$CU36,AA$57),"")=0,"",IF(MID(IFERROR(INDEX(醫師週班表!$C$5:$T$44,$CU36,AA$57),""),2,1)="/",MID(IFERROR(INDEX(醫師週班表!$C$5:$T$44,$CU36,AA$57),""),1+AA$58*2,1),IF(MID(IFERROR(INDEX(醫師週班表!$C$5:$T$44,$CU36,AA$57),""),3,1)="隔",IF(AA$58=0,LEFT(IFERROR(INDEX(醫師週班表!$C$5:$T$44,$CU36,AA$57),""),1),""),IF(MID(IFERROR(INDEX(醫師週班表!$C$5:$T$44,$CU36,AA$57),""),2,1)="(",LEFT(IFERROR(INDEX(醫師週班表!$C$5:$T$44,$CU36,AA$57),""),1),IFERROR(INDEX(醫師週班表!$C$5:$T$44,$CU36,AA$57),"")))))))</f>
        <v/>
      </c>
      <c r="AB36" s="72">
        <f>IF(AB$59="X","",IF(AB$59&lt;&gt;"",AB$59,IF(IFERROR(INDEX(醫師週班表!$C$5:$T$44,$CU36,AB$57),"")=0,"",IF(MID(IFERROR(INDEX(醫師週班表!$C$5:$T$44,$CU36,AB$57),""),2,1)="/",MID(IFERROR(INDEX(醫師週班表!$C$5:$T$44,$CU36,AB$57),""),1+AB$58*2,1),IF(MID(IFERROR(INDEX(醫師週班表!$C$5:$T$44,$CU36,AB$57),""),3,1)="隔",IF(AB$58=0,LEFT(IFERROR(INDEX(醫師週班表!$C$5:$T$44,$CU36,AB$57),""),1),""),IF(MID(IFERROR(INDEX(醫師週班表!$C$5:$T$44,$CU36,AB$57),""),2,1)="(",LEFT(IFERROR(INDEX(醫師週班表!$C$5:$T$44,$CU36,AB$57),""),1),IFERROR(INDEX(醫師週班表!$C$5:$T$44,$CU36,AB$57),"")))))))</f>
        <v/>
      </c>
      <c r="AC36" s="71">
        <f>IF(AC$59="X","",IF(AC$59&lt;&gt;"",AC$59,IF(IFERROR(INDEX(醫師週班表!$C$5:$T$44,$CU36,AC$57),"")=0,"",IF(MID(IFERROR(INDEX(醫師週班表!$C$5:$T$44,$CU36,AC$57),""),2,1)="/",MID(IFERROR(INDEX(醫師週班表!$C$5:$T$44,$CU36,AC$57),""),1+AC$58*2,1),IF(MID(IFERROR(INDEX(醫師週班表!$C$5:$T$44,$CU36,AC$57),""),3,1)="隔",IF(AC$58=0,LEFT(IFERROR(INDEX(醫師週班表!$C$5:$T$44,$CU36,AC$57),""),1),""),IF(MID(IFERROR(INDEX(醫師週班表!$C$5:$T$44,$CU36,AC$57),""),2,1)="(",LEFT(IFERROR(INDEX(醫師週班表!$C$5:$T$44,$CU36,AC$57),""),1),IFERROR(INDEX(醫師週班表!$C$5:$T$44,$CU36,AC$57),"")))))))</f>
        <v/>
      </c>
      <c r="AD36" s="72">
        <f>IF(AD$59="X","",IF(AD$59&lt;&gt;"",AD$59,IF(IFERROR(INDEX(醫師週班表!$C$5:$T$44,$CU36,AD$57),"")=0,"",IF(MID(IFERROR(INDEX(醫師週班表!$C$5:$T$44,$CU36,AD$57),""),2,1)="/",MID(IFERROR(INDEX(醫師週班表!$C$5:$T$44,$CU36,AD$57),""),1+AD$58*2,1),IF(MID(IFERROR(INDEX(醫師週班表!$C$5:$T$44,$CU36,AD$57),""),3,1)="隔",IF(AD$58=0,LEFT(IFERROR(INDEX(醫師週班表!$C$5:$T$44,$CU36,AD$57),""),1),""),IF(MID(IFERROR(INDEX(醫師週班表!$C$5:$T$44,$CU36,AD$57),""),2,1)="(",LEFT(IFERROR(INDEX(醫師週班表!$C$5:$T$44,$CU36,AD$57),""),1),IFERROR(INDEX(醫師週班表!$C$5:$T$44,$CU36,AD$57),"")))))))</f>
        <v/>
      </c>
      <c r="AE36" s="72">
        <f>IF(AE$59="X","",IF(AE$59&lt;&gt;"",AE$59,IF(IFERROR(INDEX(醫師週班表!$C$5:$T$44,$CU36,AE$57),"")=0,"",IF(MID(IFERROR(INDEX(醫師週班表!$C$5:$T$44,$CU36,AE$57),""),2,1)="/",MID(IFERROR(INDEX(醫師週班表!$C$5:$T$44,$CU36,AE$57),""),1+AE$58*2,1),IF(MID(IFERROR(INDEX(醫師週班表!$C$5:$T$44,$CU36,AE$57),""),3,1)="隔",IF(AE$58=0,LEFT(IFERROR(INDEX(醫師週班表!$C$5:$T$44,$CU36,AE$57),""),1),""),IF(MID(IFERROR(INDEX(醫師週班表!$C$5:$T$44,$CU36,AE$57),""),2,1)="(",LEFT(IFERROR(INDEX(醫師週班表!$C$5:$T$44,$CU36,AE$57),""),1),IFERROR(INDEX(醫師週班表!$C$5:$T$44,$CU36,AE$57),"")))))))</f>
        <v/>
      </c>
      <c r="AF36" s="71">
        <f>IF(AF$59="X","",IF(AF$59&lt;&gt;"",AF$59,IF(IFERROR(INDEX(醫師週班表!$C$5:$T$44,$CU36,AF$57),"")=0,"",IF(MID(IFERROR(INDEX(醫師週班表!$C$5:$T$44,$CU36,AF$57),""),2,1)="/",MID(IFERROR(INDEX(醫師週班表!$C$5:$T$44,$CU36,AF$57),""),1+AF$58*2,1),IF(MID(IFERROR(INDEX(醫師週班表!$C$5:$T$44,$CU36,AF$57),""),3,1)="隔",IF(AF$58=0,LEFT(IFERROR(INDEX(醫師週班表!$C$5:$T$44,$CU36,AF$57),""),1),""),IF(MID(IFERROR(INDEX(醫師週班表!$C$5:$T$44,$CU36,AF$57),""),2,1)="(",LEFT(IFERROR(INDEX(醫師週班表!$C$5:$T$44,$CU36,AF$57),""),1),IFERROR(INDEX(醫師週班表!$C$5:$T$44,$CU36,AF$57),"")))))))</f>
        <v/>
      </c>
      <c r="AG36" s="72">
        <f>IF(AG$59="X","",IF(AG$59&lt;&gt;"",AG$59,IF(IFERROR(INDEX(醫師週班表!$C$5:$T$44,$CU36,AG$57),"")=0,"",IF(MID(IFERROR(INDEX(醫師週班表!$C$5:$T$44,$CU36,AG$57),""),2,1)="/",MID(IFERROR(INDEX(醫師週班表!$C$5:$T$44,$CU36,AG$57),""),1+AG$58*2,1),IF(MID(IFERROR(INDEX(醫師週班表!$C$5:$T$44,$CU36,AG$57),""),3,1)="隔",IF(AG$58=0,LEFT(IFERROR(INDEX(醫師週班表!$C$5:$T$44,$CU36,AG$57),""),1),""),IF(MID(IFERROR(INDEX(醫師週班表!$C$5:$T$44,$CU36,AG$57),""),2,1)="(",LEFT(IFERROR(INDEX(醫師週班表!$C$5:$T$44,$CU36,AG$57),""),1),IFERROR(INDEX(醫師週班表!$C$5:$T$44,$CU36,AG$57),"")))))))</f>
        <v/>
      </c>
      <c r="AH36" s="72">
        <f>IF(AH$59="X","",IF(AH$59&lt;&gt;"",AH$59,IF(IFERROR(INDEX(醫師週班表!$C$5:$T$44,$CU36,AH$57),"")=0,"",IF(MID(IFERROR(INDEX(醫師週班表!$C$5:$T$44,$CU36,AH$57),""),2,1)="/",MID(IFERROR(INDEX(醫師週班表!$C$5:$T$44,$CU36,AH$57),""),1+AH$58*2,1),IF(MID(IFERROR(INDEX(醫師週班表!$C$5:$T$44,$CU36,AH$57),""),3,1)="隔",IF(AH$58=0,LEFT(IFERROR(INDEX(醫師週班表!$C$5:$T$44,$CU36,AH$57),""),1),""),IF(MID(IFERROR(INDEX(醫師週班表!$C$5:$T$44,$CU36,AH$57),""),2,1)="(",LEFT(IFERROR(INDEX(醫師週班表!$C$5:$T$44,$CU36,AH$57),""),1),IFERROR(INDEX(醫師週班表!$C$5:$T$44,$CU36,AH$57),"")))))))</f>
        <v/>
      </c>
      <c r="AI36" s="71">
        <f>IF(AI$59="X","",IF(AI$59&lt;&gt;"",AI$59,IF(IFERROR(INDEX(醫師週班表!$C$5:$T$44,$CU36,AI$57),"")=0,"",IF(MID(IFERROR(INDEX(醫師週班表!$C$5:$T$44,$CU36,AI$57),""),2,1)="/",MID(IFERROR(INDEX(醫師週班表!$C$5:$T$44,$CU36,AI$57),""),1+AI$58*2,1),IF(MID(IFERROR(INDEX(醫師週班表!$C$5:$T$44,$CU36,AI$57),""),3,1)="隔",IF(AI$58=0,LEFT(IFERROR(INDEX(醫師週班表!$C$5:$T$44,$CU36,AI$57),""),1),""),IF(MID(IFERROR(INDEX(醫師週班表!$C$5:$T$44,$CU36,AI$57),""),2,1)="(",LEFT(IFERROR(INDEX(醫師週班表!$C$5:$T$44,$CU36,AI$57),""),1),IFERROR(INDEX(醫師週班表!$C$5:$T$44,$CU36,AI$57),"")))))))</f>
        <v/>
      </c>
      <c r="AJ36" s="72">
        <f>IF(AJ$59="X","",IF(AJ$59&lt;&gt;"",AJ$59,IF(IFERROR(INDEX(醫師週班表!$C$5:$T$44,$CU36,AJ$57),"")=0,"",IF(MID(IFERROR(INDEX(醫師週班表!$C$5:$T$44,$CU36,AJ$57),""),2,1)="/",MID(IFERROR(INDEX(醫師週班表!$C$5:$T$44,$CU36,AJ$57),""),1+AJ$58*2,1),IF(MID(IFERROR(INDEX(醫師週班表!$C$5:$T$44,$CU36,AJ$57),""),3,1)="隔",IF(AJ$58=0,LEFT(IFERROR(INDEX(醫師週班表!$C$5:$T$44,$CU36,AJ$57),""),1),""),IF(MID(IFERROR(INDEX(醫師週班表!$C$5:$T$44,$CU36,AJ$57),""),2,1)="(",LEFT(IFERROR(INDEX(醫師週班表!$C$5:$T$44,$CU36,AJ$57),""),1),IFERROR(INDEX(醫師週班表!$C$5:$T$44,$CU36,AJ$57),"")))))))</f>
        <v/>
      </c>
      <c r="AK36" s="72">
        <f>IF(AK$59="X","",IF(AK$59&lt;&gt;"",AK$59,IF(IFERROR(INDEX(醫師週班表!$C$5:$T$44,$CU36,AK$57),"")=0,"",IF(MID(IFERROR(INDEX(醫師週班表!$C$5:$T$44,$CU36,AK$57),""),2,1)="/",MID(IFERROR(INDEX(醫師週班表!$C$5:$T$44,$CU36,AK$57),""),1+AK$58*2,1),IF(MID(IFERROR(INDEX(醫師週班表!$C$5:$T$44,$CU36,AK$57),""),3,1)="隔",IF(AK$58=0,LEFT(IFERROR(INDEX(醫師週班表!$C$5:$T$44,$CU36,AK$57),""),1),""),IF(MID(IFERROR(INDEX(醫師週班表!$C$5:$T$44,$CU36,AK$57),""),2,1)="(",LEFT(IFERROR(INDEX(醫師週班表!$C$5:$T$44,$CU36,AK$57),""),1),IFERROR(INDEX(醫師週班表!$C$5:$T$44,$CU36,AK$57),"")))))))</f>
        <v/>
      </c>
      <c r="AL36" s="71">
        <f>IF(AL$59="X","",IF(AL$59&lt;&gt;"",AL$59,IF(IFERROR(INDEX(醫師週班表!$C$5:$T$44,$CU36,AL$57),"")=0,"",IF(MID(IFERROR(INDEX(醫師週班表!$C$5:$T$44,$CU36,AL$57),""),2,1)="/",MID(IFERROR(INDEX(醫師週班表!$C$5:$T$44,$CU36,AL$57),""),1+AL$58*2,1),IF(MID(IFERROR(INDEX(醫師週班表!$C$5:$T$44,$CU36,AL$57),""),3,1)="隔",IF(AL$58=0,LEFT(IFERROR(INDEX(醫師週班表!$C$5:$T$44,$CU36,AL$57),""),1),""),IF(MID(IFERROR(INDEX(醫師週班表!$C$5:$T$44,$CU36,AL$57),""),2,1)="(",LEFT(IFERROR(INDEX(醫師週班表!$C$5:$T$44,$CU36,AL$57),""),1),IFERROR(INDEX(醫師週班表!$C$5:$T$44,$CU36,AL$57),"")))))))</f>
        <v/>
      </c>
      <c r="AM36" s="72">
        <f>IF(AM$59="X","",IF(AM$59&lt;&gt;"",AM$59,IF(IFERROR(INDEX(醫師週班表!$C$5:$T$44,$CU36,AM$57),"")=0,"",IF(MID(IFERROR(INDEX(醫師週班表!$C$5:$T$44,$CU36,AM$57),""),2,1)="/",MID(IFERROR(INDEX(醫師週班表!$C$5:$T$44,$CU36,AM$57),""),1+AM$58*2,1),IF(MID(IFERROR(INDEX(醫師週班表!$C$5:$T$44,$CU36,AM$57),""),3,1)="隔",IF(AM$58=0,LEFT(IFERROR(INDEX(醫師週班表!$C$5:$T$44,$CU36,AM$57),""),1),""),IF(MID(IFERROR(INDEX(醫師週班表!$C$5:$T$44,$CU36,AM$57),""),2,1)="(",LEFT(IFERROR(INDEX(醫師週班表!$C$5:$T$44,$CU36,AM$57),""),1),IFERROR(INDEX(醫師週班表!$C$5:$T$44,$CU36,AM$57),"")))))))</f>
        <v/>
      </c>
      <c r="AN36" s="72">
        <f>IF(AN$59="X","",IF(AN$59&lt;&gt;"",AN$59,IF(IFERROR(INDEX(醫師週班表!$C$5:$T$44,$CU36,AN$57),"")=0,"",IF(MID(IFERROR(INDEX(醫師週班表!$C$5:$T$44,$CU36,AN$57),""),2,1)="/",MID(IFERROR(INDEX(醫師週班表!$C$5:$T$44,$CU36,AN$57),""),1+AN$58*2,1),IF(MID(IFERROR(INDEX(醫師週班表!$C$5:$T$44,$CU36,AN$57),""),3,1)="隔",IF(AN$58=0,LEFT(IFERROR(INDEX(醫師週班表!$C$5:$T$44,$CU36,AN$57),""),1),""),IF(MID(IFERROR(INDEX(醫師週班表!$C$5:$T$44,$CU36,AN$57),""),2,1)="(",LEFT(IFERROR(INDEX(醫師週班表!$C$5:$T$44,$CU36,AN$57),""),1),IFERROR(INDEX(醫師週班表!$C$5:$T$44,$CU36,AN$57),"")))))))</f>
        <v/>
      </c>
      <c r="AO36" s="71">
        <f>IF(AO$59="X","",IF(AO$59&lt;&gt;"",AO$59,IF(IFERROR(INDEX(醫師週班表!$C$5:$T$44,$CU36,AO$57),"")=0,"",IF(MID(IFERROR(INDEX(醫師週班表!$C$5:$T$44,$CU36,AO$57),""),2,1)="/",MID(IFERROR(INDEX(醫師週班表!$C$5:$T$44,$CU36,AO$57),""),1+AO$58*2,1),IF(MID(IFERROR(INDEX(醫師週班表!$C$5:$T$44,$CU36,AO$57),""),3,1)="隔",IF(AO$58=0,LEFT(IFERROR(INDEX(醫師週班表!$C$5:$T$44,$CU36,AO$57),""),1),""),IF(MID(IFERROR(INDEX(醫師週班表!$C$5:$T$44,$CU36,AO$57),""),2,1)="(",LEFT(IFERROR(INDEX(醫師週班表!$C$5:$T$44,$CU36,AO$57),""),1),IFERROR(INDEX(醫師週班表!$C$5:$T$44,$CU36,AO$57),"")))))))</f>
        <v/>
      </c>
      <c r="AP36" s="72">
        <f>IF(AP$59="X","",IF(AP$59&lt;&gt;"",AP$59,IF(IFERROR(INDEX(醫師週班表!$C$5:$T$44,$CU36,AP$57),"")=0,"",IF(MID(IFERROR(INDEX(醫師週班表!$C$5:$T$44,$CU36,AP$57),""),2,1)="/",MID(IFERROR(INDEX(醫師週班表!$C$5:$T$44,$CU36,AP$57),""),1+AP$58*2,1),IF(MID(IFERROR(INDEX(醫師週班表!$C$5:$T$44,$CU36,AP$57),""),3,1)="隔",IF(AP$58=0,LEFT(IFERROR(INDEX(醫師週班表!$C$5:$T$44,$CU36,AP$57),""),1),""),IF(MID(IFERROR(INDEX(醫師週班表!$C$5:$T$44,$CU36,AP$57),""),2,1)="(",LEFT(IFERROR(INDEX(醫師週班表!$C$5:$T$44,$CU36,AP$57),""),1),IFERROR(INDEX(醫師週班表!$C$5:$T$44,$CU36,AP$57),"")))))))</f>
        <v/>
      </c>
      <c r="AQ36" s="72">
        <f>IF(AQ$59="X","",IF(AQ$59&lt;&gt;"",AQ$59,IF(IFERROR(INDEX(醫師週班表!$C$5:$T$44,$CU36,AQ$57),"")=0,"",IF(MID(IFERROR(INDEX(醫師週班表!$C$5:$T$44,$CU36,AQ$57),""),2,1)="/",MID(IFERROR(INDEX(醫師週班表!$C$5:$T$44,$CU36,AQ$57),""),1+AQ$58*2,1),IF(MID(IFERROR(INDEX(醫師週班表!$C$5:$T$44,$CU36,AQ$57),""),3,1)="隔",IF(AQ$58=0,LEFT(IFERROR(INDEX(醫師週班表!$C$5:$T$44,$CU36,AQ$57),""),1),""),IF(MID(IFERROR(INDEX(醫師週班表!$C$5:$T$44,$CU36,AQ$57),""),2,1)="(",LEFT(IFERROR(INDEX(醫師週班表!$C$5:$T$44,$CU36,AQ$57),""),1),IFERROR(INDEX(醫師週班表!$C$5:$T$44,$CU36,AQ$57),"")))))))</f>
        <v/>
      </c>
      <c r="AR36" s="71">
        <f>IF(AR$59="X","",IF(AR$59&lt;&gt;"",AR$59,IF(IFERROR(INDEX(醫師週班表!$C$5:$T$44,$CU36,AR$57),"")=0,"",IF(MID(IFERROR(INDEX(醫師週班表!$C$5:$T$44,$CU36,AR$57),""),2,1)="/",MID(IFERROR(INDEX(醫師週班表!$C$5:$T$44,$CU36,AR$57),""),1+AR$58*2,1),IF(MID(IFERROR(INDEX(醫師週班表!$C$5:$T$44,$CU36,AR$57),""),3,1)="隔",IF(AR$58=0,LEFT(IFERROR(INDEX(醫師週班表!$C$5:$T$44,$CU36,AR$57),""),1),""),IF(MID(IFERROR(INDEX(醫師週班表!$C$5:$T$44,$CU36,AR$57),""),2,1)="(",LEFT(IFERROR(INDEX(醫師週班表!$C$5:$T$44,$CU36,AR$57),""),1),IFERROR(INDEX(醫師週班表!$C$5:$T$44,$CU36,AR$57),"")))))))</f>
        <v/>
      </c>
      <c r="AS36" s="72">
        <f>IF(AS$59="X","",IF(AS$59&lt;&gt;"",AS$59,IF(IFERROR(INDEX(醫師週班表!$C$5:$T$44,$CU36,AS$57),"")=0,"",IF(MID(IFERROR(INDEX(醫師週班表!$C$5:$T$44,$CU36,AS$57),""),2,1)="/",MID(IFERROR(INDEX(醫師週班表!$C$5:$T$44,$CU36,AS$57),""),1+AS$58*2,1),IF(MID(IFERROR(INDEX(醫師週班表!$C$5:$T$44,$CU36,AS$57),""),3,1)="隔",IF(AS$58=0,LEFT(IFERROR(INDEX(醫師週班表!$C$5:$T$44,$CU36,AS$57),""),1),""),IF(MID(IFERROR(INDEX(醫師週班表!$C$5:$T$44,$CU36,AS$57),""),2,1)="(",LEFT(IFERROR(INDEX(醫師週班表!$C$5:$T$44,$CU36,AS$57),""),1),IFERROR(INDEX(醫師週班表!$C$5:$T$44,$CU36,AS$57),"")))))))</f>
        <v/>
      </c>
      <c r="AT36" s="72">
        <f>IF(AT$59="X","",IF(AT$59&lt;&gt;"",AT$59,IF(IFERROR(INDEX(醫師週班表!$C$5:$T$44,$CU36,AT$57),"")=0,"",IF(MID(IFERROR(INDEX(醫師週班表!$C$5:$T$44,$CU36,AT$57),""),2,1)="/",MID(IFERROR(INDEX(醫師週班表!$C$5:$T$44,$CU36,AT$57),""),1+AT$58*2,1),IF(MID(IFERROR(INDEX(醫師週班表!$C$5:$T$44,$CU36,AT$57),""),3,1)="隔",IF(AT$58=0,LEFT(IFERROR(INDEX(醫師週班表!$C$5:$T$44,$CU36,AT$57),""),1),""),IF(MID(IFERROR(INDEX(醫師週班表!$C$5:$T$44,$CU36,AT$57),""),2,1)="(",LEFT(IFERROR(INDEX(醫師週班表!$C$5:$T$44,$CU36,AT$57),""),1),IFERROR(INDEX(醫師週班表!$C$5:$T$44,$CU36,AT$57),"")))))))</f>
        <v/>
      </c>
      <c r="AU36" s="71">
        <f>IF(AU$59="X","",IF(AU$59&lt;&gt;"",AU$59,IF(IFERROR(INDEX(醫師週班表!$C$5:$T$44,$CU36,AU$57),"")=0,"",IF(MID(IFERROR(INDEX(醫師週班表!$C$5:$T$44,$CU36,AU$57),""),2,1)="/",MID(IFERROR(INDEX(醫師週班表!$C$5:$T$44,$CU36,AU$57),""),1+AU$58*2,1),IF(MID(IFERROR(INDEX(醫師週班表!$C$5:$T$44,$CU36,AU$57),""),3,1)="隔",IF(AU$58=0,LEFT(IFERROR(INDEX(醫師週班表!$C$5:$T$44,$CU36,AU$57),""),1),""),IF(MID(IFERROR(INDEX(醫師週班表!$C$5:$T$44,$CU36,AU$57),""),2,1)="(",LEFT(IFERROR(INDEX(醫師週班表!$C$5:$T$44,$CU36,AU$57),""),1),IFERROR(INDEX(醫師週班表!$C$5:$T$44,$CU36,AU$57),"")))))))</f>
        <v/>
      </c>
      <c r="AV36" s="72">
        <f>IF(AV$59="X","",IF(AV$59&lt;&gt;"",AV$59,IF(IFERROR(INDEX(醫師週班表!$C$5:$T$44,$CU36,AV$57),"")=0,"",IF(MID(IFERROR(INDEX(醫師週班表!$C$5:$T$44,$CU36,AV$57),""),2,1)="/",MID(IFERROR(INDEX(醫師週班表!$C$5:$T$44,$CU36,AV$57),""),1+AV$58*2,1),IF(MID(IFERROR(INDEX(醫師週班表!$C$5:$T$44,$CU36,AV$57),""),3,1)="隔",IF(AV$58=0,LEFT(IFERROR(INDEX(醫師週班表!$C$5:$T$44,$CU36,AV$57),""),1),""),IF(MID(IFERROR(INDEX(醫師週班表!$C$5:$T$44,$CU36,AV$57),""),2,1)="(",LEFT(IFERROR(INDEX(醫師週班表!$C$5:$T$44,$CU36,AV$57),""),1),IFERROR(INDEX(醫師週班表!$C$5:$T$44,$CU36,AV$57),"")))))))</f>
        <v/>
      </c>
      <c r="AW36" s="72">
        <f>IF(AW$59="X","",IF(AW$59&lt;&gt;"",AW$59,IF(IFERROR(INDEX(醫師週班表!$C$5:$T$44,$CU36,AW$57),"")=0,"",IF(MID(IFERROR(INDEX(醫師週班表!$C$5:$T$44,$CU36,AW$57),""),2,1)="/",MID(IFERROR(INDEX(醫師週班表!$C$5:$T$44,$CU36,AW$57),""),1+AW$58*2,1),IF(MID(IFERROR(INDEX(醫師週班表!$C$5:$T$44,$CU36,AW$57),""),3,1)="隔",IF(AW$58=0,LEFT(IFERROR(INDEX(醫師週班表!$C$5:$T$44,$CU36,AW$57),""),1),""),IF(MID(IFERROR(INDEX(醫師週班表!$C$5:$T$44,$CU36,AW$57),""),2,1)="(",LEFT(IFERROR(INDEX(醫師週班表!$C$5:$T$44,$CU36,AW$57),""),1),IFERROR(INDEX(醫師週班表!$C$5:$T$44,$CU36,AW$57),"")))))))</f>
        <v/>
      </c>
      <c r="AX36" s="71">
        <f>IF(AX$59="X","",IF(AX$59&lt;&gt;"",AX$59,IF(IFERROR(INDEX(醫師週班表!$C$5:$T$44,$CU36,AX$57),"")=0,"",IF(MID(IFERROR(INDEX(醫師週班表!$C$5:$T$44,$CU36,AX$57),""),2,1)="/",MID(IFERROR(INDEX(醫師週班表!$C$5:$T$44,$CU36,AX$57),""),1+AX$58*2,1),IF(MID(IFERROR(INDEX(醫師週班表!$C$5:$T$44,$CU36,AX$57),""),3,1)="隔",IF(AX$58=0,LEFT(IFERROR(INDEX(醫師週班表!$C$5:$T$44,$CU36,AX$57),""),1),""),IF(MID(IFERROR(INDEX(醫師週班表!$C$5:$T$44,$CU36,AX$57),""),2,1)="(",LEFT(IFERROR(INDEX(醫師週班表!$C$5:$T$44,$CU36,AX$57),""),1),IFERROR(INDEX(醫師週班表!$C$5:$T$44,$CU36,AX$57),"")))))))</f>
        <v/>
      </c>
      <c r="AY36" s="72">
        <f>IF(AY$59="X","",IF(AY$59&lt;&gt;"",AY$59,IF(IFERROR(INDEX(醫師週班表!$C$5:$T$44,$CU36,AY$57),"")=0,"",IF(MID(IFERROR(INDEX(醫師週班表!$C$5:$T$44,$CU36,AY$57),""),2,1)="/",MID(IFERROR(INDEX(醫師週班表!$C$5:$T$44,$CU36,AY$57),""),1+AY$58*2,1),IF(MID(IFERROR(INDEX(醫師週班表!$C$5:$T$44,$CU36,AY$57),""),3,1)="隔",IF(AY$58=0,LEFT(IFERROR(INDEX(醫師週班表!$C$5:$T$44,$CU36,AY$57),""),1),""),IF(MID(IFERROR(INDEX(醫師週班表!$C$5:$T$44,$CU36,AY$57),""),2,1)="(",LEFT(IFERROR(INDEX(醫師週班表!$C$5:$T$44,$CU36,AY$57),""),1),IFERROR(INDEX(醫師週班表!$C$5:$T$44,$CU36,AY$57),"")))))))</f>
        <v/>
      </c>
      <c r="AZ36" s="72">
        <f>IF(AZ$59="X","",IF(AZ$59&lt;&gt;"",AZ$59,IF(IFERROR(INDEX(醫師週班表!$C$5:$T$44,$CU36,AZ$57),"")=0,"",IF(MID(IFERROR(INDEX(醫師週班表!$C$5:$T$44,$CU36,AZ$57),""),2,1)="/",MID(IFERROR(INDEX(醫師週班表!$C$5:$T$44,$CU36,AZ$57),""),1+AZ$58*2,1),IF(MID(IFERROR(INDEX(醫師週班表!$C$5:$T$44,$CU36,AZ$57),""),3,1)="隔",IF(AZ$58=0,LEFT(IFERROR(INDEX(醫師週班表!$C$5:$T$44,$CU36,AZ$57),""),1),""),IF(MID(IFERROR(INDEX(醫師週班表!$C$5:$T$44,$CU36,AZ$57),""),2,1)="(",LEFT(IFERROR(INDEX(醫師週班表!$C$5:$T$44,$CU36,AZ$57),""),1),IFERROR(INDEX(醫師週班表!$C$5:$T$44,$CU36,AZ$57),"")))))))</f>
        <v/>
      </c>
      <c r="BA36" s="71">
        <f>IF(BA$59="X","",IF(BA$59&lt;&gt;"",BA$59,IF(IFERROR(INDEX(醫師週班表!$C$5:$T$44,$CU36,BA$57),"")=0,"",IF(MID(IFERROR(INDEX(醫師週班表!$C$5:$T$44,$CU36,BA$57),""),2,1)="/",MID(IFERROR(INDEX(醫師週班表!$C$5:$T$44,$CU36,BA$57),""),1+BA$58*2,1),IF(MID(IFERROR(INDEX(醫師週班表!$C$5:$T$44,$CU36,BA$57),""),3,1)="隔",IF(BA$58=0,LEFT(IFERROR(INDEX(醫師週班表!$C$5:$T$44,$CU36,BA$57),""),1),""),IF(MID(IFERROR(INDEX(醫師週班表!$C$5:$T$44,$CU36,BA$57),""),2,1)="(",LEFT(IFERROR(INDEX(醫師週班表!$C$5:$T$44,$CU36,BA$57),""),1),IFERROR(INDEX(醫師週班表!$C$5:$T$44,$CU36,BA$57),"")))))))</f>
        <v/>
      </c>
      <c r="BB36" s="72">
        <f>IF(BB$59="X","",IF(BB$59&lt;&gt;"",BB$59,IF(IFERROR(INDEX(醫師週班表!$C$5:$T$44,$CU36,BB$57),"")=0,"",IF(MID(IFERROR(INDEX(醫師週班表!$C$5:$T$44,$CU36,BB$57),""),2,1)="/",MID(IFERROR(INDEX(醫師週班表!$C$5:$T$44,$CU36,BB$57),""),1+BB$58*2,1),IF(MID(IFERROR(INDEX(醫師週班表!$C$5:$T$44,$CU36,BB$57),""),3,1)="隔",IF(BB$58=0,LEFT(IFERROR(INDEX(醫師週班表!$C$5:$T$44,$CU36,BB$57),""),1),""),IF(MID(IFERROR(INDEX(醫師週班表!$C$5:$T$44,$CU36,BB$57),""),2,1)="(",LEFT(IFERROR(INDEX(醫師週班表!$C$5:$T$44,$CU36,BB$57),""),1),IFERROR(INDEX(醫師週班表!$C$5:$T$44,$CU36,BB$57),"")))))))</f>
        <v/>
      </c>
      <c r="BC36" s="72">
        <f>IF(BC$59="X","",IF(BC$59&lt;&gt;"",BC$59,IF(IFERROR(INDEX(醫師週班表!$C$5:$T$44,$CU36,BC$57),"")=0,"",IF(MID(IFERROR(INDEX(醫師週班表!$C$5:$T$44,$CU36,BC$57),""),2,1)="/",MID(IFERROR(INDEX(醫師週班表!$C$5:$T$44,$CU36,BC$57),""),1+BC$58*2,1),IF(MID(IFERROR(INDEX(醫師週班表!$C$5:$T$44,$CU36,BC$57),""),3,1)="隔",IF(BC$58=0,LEFT(IFERROR(INDEX(醫師週班表!$C$5:$T$44,$CU36,BC$57),""),1),""),IF(MID(IFERROR(INDEX(醫師週班表!$C$5:$T$44,$CU36,BC$57),""),2,1)="(",LEFT(IFERROR(INDEX(醫師週班表!$C$5:$T$44,$CU36,BC$57),""),1),IFERROR(INDEX(醫師週班表!$C$5:$T$44,$CU36,BC$57),"")))))))</f>
        <v/>
      </c>
      <c r="BD36" s="71">
        <f>IF(BD$59="X","",IF(BD$59&lt;&gt;"",BD$59,IF(IFERROR(INDEX(醫師週班表!$C$5:$T$44,$CU36,BD$57),"")=0,"",IF(MID(IFERROR(INDEX(醫師週班表!$C$5:$T$44,$CU36,BD$57),""),2,1)="/",MID(IFERROR(INDEX(醫師週班表!$C$5:$T$44,$CU36,BD$57),""),1+BD$58*2,1),IF(MID(IFERROR(INDEX(醫師週班表!$C$5:$T$44,$CU36,BD$57),""),3,1)="隔",IF(BD$58=0,LEFT(IFERROR(INDEX(醫師週班表!$C$5:$T$44,$CU36,BD$57),""),1),""),IF(MID(IFERROR(INDEX(醫師週班表!$C$5:$T$44,$CU36,BD$57),""),2,1)="(",LEFT(IFERROR(INDEX(醫師週班表!$C$5:$T$44,$CU36,BD$57),""),1),IFERROR(INDEX(醫師週班表!$C$5:$T$44,$CU36,BD$57),"")))))))</f>
        <v/>
      </c>
      <c r="BE36" s="72">
        <f>IF(BE$59="X","",IF(BE$59&lt;&gt;"",BE$59,IF(IFERROR(INDEX(醫師週班表!$C$5:$T$44,$CU36,BE$57),"")=0,"",IF(MID(IFERROR(INDEX(醫師週班表!$C$5:$T$44,$CU36,BE$57),""),2,1)="/",MID(IFERROR(INDEX(醫師週班表!$C$5:$T$44,$CU36,BE$57),""),1+BE$58*2,1),IF(MID(IFERROR(INDEX(醫師週班表!$C$5:$T$44,$CU36,BE$57),""),3,1)="隔",IF(BE$58=0,LEFT(IFERROR(INDEX(醫師週班表!$C$5:$T$44,$CU36,BE$57),""),1),""),IF(MID(IFERROR(INDEX(醫師週班表!$C$5:$T$44,$CU36,BE$57),""),2,1)="(",LEFT(IFERROR(INDEX(醫師週班表!$C$5:$T$44,$CU36,BE$57),""),1),IFERROR(INDEX(醫師週班表!$C$5:$T$44,$CU36,BE$57),"")))))))</f>
        <v/>
      </c>
      <c r="BF36" s="72">
        <f>IF(BF$59="X","",IF(BF$59&lt;&gt;"",BF$59,IF(IFERROR(INDEX(醫師週班表!$C$5:$T$44,$CU36,BF$57),"")=0,"",IF(MID(IFERROR(INDEX(醫師週班表!$C$5:$T$44,$CU36,BF$57),""),2,1)="/",MID(IFERROR(INDEX(醫師週班表!$C$5:$T$44,$CU36,BF$57),""),1+BF$58*2,1),IF(MID(IFERROR(INDEX(醫師週班表!$C$5:$T$44,$CU36,BF$57),""),3,1)="隔",IF(BF$58=0,LEFT(IFERROR(INDEX(醫師週班表!$C$5:$T$44,$CU36,BF$57),""),1),""),IF(MID(IFERROR(INDEX(醫師週班表!$C$5:$T$44,$CU36,BF$57),""),2,1)="(",LEFT(IFERROR(INDEX(醫師週班表!$C$5:$T$44,$CU36,BF$57),""),1),IFERROR(INDEX(醫師週班表!$C$5:$T$44,$CU36,BF$57),"")))))))</f>
        <v/>
      </c>
      <c r="BG36" s="71">
        <f>IF(BG$59="X","",IF(BG$59&lt;&gt;"",BG$59,IF(IFERROR(INDEX(醫師週班表!$C$5:$T$44,$CU36,BG$57),"")=0,"",IF(MID(IFERROR(INDEX(醫師週班表!$C$5:$T$44,$CU36,BG$57),""),2,1)="/",MID(IFERROR(INDEX(醫師週班表!$C$5:$T$44,$CU36,BG$57),""),1+BG$58*2,1),IF(MID(IFERROR(INDEX(醫師週班表!$C$5:$T$44,$CU36,BG$57),""),3,1)="隔",IF(BG$58=0,LEFT(IFERROR(INDEX(醫師週班表!$C$5:$T$44,$CU36,BG$57),""),1),""),IF(MID(IFERROR(INDEX(醫師週班表!$C$5:$T$44,$CU36,BG$57),""),2,1)="(",LEFT(IFERROR(INDEX(醫師週班表!$C$5:$T$44,$CU36,BG$57),""),1),IFERROR(INDEX(醫師週班表!$C$5:$T$44,$CU36,BG$57),"")))))))</f>
        <v/>
      </c>
      <c r="BH36" s="72">
        <f>IF(BH$59="X","",IF(BH$59&lt;&gt;"",BH$59,IF(IFERROR(INDEX(醫師週班表!$C$5:$T$44,$CU36,BH$57),"")=0,"",IF(MID(IFERROR(INDEX(醫師週班表!$C$5:$T$44,$CU36,BH$57),""),2,1)="/",MID(IFERROR(INDEX(醫師週班表!$C$5:$T$44,$CU36,BH$57),""),1+BH$58*2,1),IF(MID(IFERROR(INDEX(醫師週班表!$C$5:$T$44,$CU36,BH$57),""),3,1)="隔",IF(BH$58=0,LEFT(IFERROR(INDEX(醫師週班表!$C$5:$T$44,$CU36,BH$57),""),1),""),IF(MID(IFERROR(INDEX(醫師週班表!$C$5:$T$44,$CU36,BH$57),""),2,1)="(",LEFT(IFERROR(INDEX(醫師週班表!$C$5:$T$44,$CU36,BH$57),""),1),IFERROR(INDEX(醫師週班表!$C$5:$T$44,$CU36,BH$57),"")))))))</f>
        <v/>
      </c>
      <c r="BI36" s="72">
        <f>IF(BI$59="X","",IF(BI$59&lt;&gt;"",BI$59,IF(IFERROR(INDEX(醫師週班表!$C$5:$T$44,$CU36,BI$57),"")=0,"",IF(MID(IFERROR(INDEX(醫師週班表!$C$5:$T$44,$CU36,BI$57),""),2,1)="/",MID(IFERROR(INDEX(醫師週班表!$C$5:$T$44,$CU36,BI$57),""),1+BI$58*2,1),IF(MID(IFERROR(INDEX(醫師週班表!$C$5:$T$44,$CU36,BI$57),""),3,1)="隔",IF(BI$58=0,LEFT(IFERROR(INDEX(醫師週班表!$C$5:$T$44,$CU36,BI$57),""),1),""),IF(MID(IFERROR(INDEX(醫師週班表!$C$5:$T$44,$CU36,BI$57),""),2,1)="(",LEFT(IFERROR(INDEX(醫師週班表!$C$5:$T$44,$CU36,BI$57),""),1),IFERROR(INDEX(醫師週班表!$C$5:$T$44,$CU36,BI$57),"")))))))</f>
        <v/>
      </c>
      <c r="BJ36" s="71">
        <f>IF(BJ$59="X","",IF(BJ$59&lt;&gt;"",BJ$59,IF(IFERROR(INDEX(醫師週班表!$C$5:$T$44,$CU36,BJ$57),"")=0,"",IF(MID(IFERROR(INDEX(醫師週班表!$C$5:$T$44,$CU36,BJ$57),""),2,1)="/",MID(IFERROR(INDEX(醫師週班表!$C$5:$T$44,$CU36,BJ$57),""),1+BJ$58*2,1),IF(MID(IFERROR(INDEX(醫師週班表!$C$5:$T$44,$CU36,BJ$57),""),3,1)="隔",IF(BJ$58=0,LEFT(IFERROR(INDEX(醫師週班表!$C$5:$T$44,$CU36,BJ$57),""),1),""),IF(MID(IFERROR(INDEX(醫師週班表!$C$5:$T$44,$CU36,BJ$57),""),2,1)="(",LEFT(IFERROR(INDEX(醫師週班表!$C$5:$T$44,$CU36,BJ$57),""),1),IFERROR(INDEX(醫師週班表!$C$5:$T$44,$CU36,BJ$57),"")))))))</f>
        <v/>
      </c>
      <c r="BK36" s="72">
        <f>IF(BK$59="X","",IF(BK$59&lt;&gt;"",BK$59,IF(IFERROR(INDEX(醫師週班表!$C$5:$T$44,$CU36,BK$57),"")=0,"",IF(MID(IFERROR(INDEX(醫師週班表!$C$5:$T$44,$CU36,BK$57),""),2,1)="/",MID(IFERROR(INDEX(醫師週班表!$C$5:$T$44,$CU36,BK$57),""),1+BK$58*2,1),IF(MID(IFERROR(INDEX(醫師週班表!$C$5:$T$44,$CU36,BK$57),""),3,1)="隔",IF(BK$58=0,LEFT(IFERROR(INDEX(醫師週班表!$C$5:$T$44,$CU36,BK$57),""),1),""),IF(MID(IFERROR(INDEX(醫師週班表!$C$5:$T$44,$CU36,BK$57),""),2,1)="(",LEFT(IFERROR(INDEX(醫師週班表!$C$5:$T$44,$CU36,BK$57),""),1),IFERROR(INDEX(醫師週班表!$C$5:$T$44,$CU36,BK$57),"")))))))</f>
        <v/>
      </c>
      <c r="BL36" s="72">
        <f>IF(BL$59="X","",IF(BL$59&lt;&gt;"",BL$59,IF(IFERROR(INDEX(醫師週班表!$C$5:$T$44,$CU36,BL$57),"")=0,"",IF(MID(IFERROR(INDEX(醫師週班表!$C$5:$T$44,$CU36,BL$57),""),2,1)="/",MID(IFERROR(INDEX(醫師週班表!$C$5:$T$44,$CU36,BL$57),""),1+BL$58*2,1),IF(MID(IFERROR(INDEX(醫師週班表!$C$5:$T$44,$CU36,BL$57),""),3,1)="隔",IF(BL$58=0,LEFT(IFERROR(INDEX(醫師週班表!$C$5:$T$44,$CU36,BL$57),""),1),""),IF(MID(IFERROR(INDEX(醫師週班表!$C$5:$T$44,$CU36,BL$57),""),2,1)="(",LEFT(IFERROR(INDEX(醫師週班表!$C$5:$T$44,$CU36,BL$57),""),1),IFERROR(INDEX(醫師週班表!$C$5:$T$44,$CU36,BL$57),"")))))))</f>
        <v/>
      </c>
      <c r="BM36" s="71">
        <f>IF(BM$59="X","",IF(BM$59&lt;&gt;"",BM$59,IF(IFERROR(INDEX(醫師週班表!$C$5:$T$44,$CU36,BM$57),"")=0,"",IF(MID(IFERROR(INDEX(醫師週班表!$C$5:$T$44,$CU36,BM$57),""),2,1)="/",MID(IFERROR(INDEX(醫師週班表!$C$5:$T$44,$CU36,BM$57),""),1+BM$58*2,1),IF(MID(IFERROR(INDEX(醫師週班表!$C$5:$T$44,$CU36,BM$57),""),3,1)="隔",IF(BM$58=0,LEFT(IFERROR(INDEX(醫師週班表!$C$5:$T$44,$CU36,BM$57),""),1),""),IF(MID(IFERROR(INDEX(醫師週班表!$C$5:$T$44,$CU36,BM$57),""),2,1)="(",LEFT(IFERROR(INDEX(醫師週班表!$C$5:$T$44,$CU36,BM$57),""),1),IFERROR(INDEX(醫師週班表!$C$5:$T$44,$CU36,BM$57),"")))))))</f>
        <v/>
      </c>
      <c r="BN36" s="72">
        <f>IF(BN$59="X","",IF(BN$59&lt;&gt;"",BN$59,IF(IFERROR(INDEX(醫師週班表!$C$5:$T$44,$CU36,BN$57),"")=0,"",IF(MID(IFERROR(INDEX(醫師週班表!$C$5:$T$44,$CU36,BN$57),""),2,1)="/",MID(IFERROR(INDEX(醫師週班表!$C$5:$T$44,$CU36,BN$57),""),1+BN$58*2,1),IF(MID(IFERROR(INDEX(醫師週班表!$C$5:$T$44,$CU36,BN$57),""),3,1)="隔",IF(BN$58=0,LEFT(IFERROR(INDEX(醫師週班表!$C$5:$T$44,$CU36,BN$57),""),1),""),IF(MID(IFERROR(INDEX(醫師週班表!$C$5:$T$44,$CU36,BN$57),""),2,1)="(",LEFT(IFERROR(INDEX(醫師週班表!$C$5:$T$44,$CU36,BN$57),""),1),IFERROR(INDEX(醫師週班表!$C$5:$T$44,$CU36,BN$57),"")))))))</f>
        <v/>
      </c>
      <c r="BO36" s="72">
        <f>IF(BO$59="X","",IF(BO$59&lt;&gt;"",BO$59,IF(IFERROR(INDEX(醫師週班表!$C$5:$T$44,$CU36,BO$57),"")=0,"",IF(MID(IFERROR(INDEX(醫師週班表!$C$5:$T$44,$CU36,BO$57),""),2,1)="/",MID(IFERROR(INDEX(醫師週班表!$C$5:$T$44,$CU36,BO$57),""),1+BO$58*2,1),IF(MID(IFERROR(INDEX(醫師週班表!$C$5:$T$44,$CU36,BO$57),""),3,1)="隔",IF(BO$58=0,LEFT(IFERROR(INDEX(醫師週班表!$C$5:$T$44,$CU36,BO$57),""),1),""),IF(MID(IFERROR(INDEX(醫師週班表!$C$5:$T$44,$CU36,BO$57),""),2,1)="(",LEFT(IFERROR(INDEX(醫師週班表!$C$5:$T$44,$CU36,BO$57),""),1),IFERROR(INDEX(醫師週班表!$C$5:$T$44,$CU36,BO$57),"")))))))</f>
        <v/>
      </c>
      <c r="BP36" s="71">
        <f>IF(BP$59="X","",IF(BP$59&lt;&gt;"",BP$59,IF(IFERROR(INDEX(醫師週班表!$C$5:$T$44,$CU36,BP$57),"")=0,"",IF(MID(IFERROR(INDEX(醫師週班表!$C$5:$T$44,$CU36,BP$57),""),2,1)="/",MID(IFERROR(INDEX(醫師週班表!$C$5:$T$44,$CU36,BP$57),""),1+BP$58*2,1),IF(MID(IFERROR(INDEX(醫師週班表!$C$5:$T$44,$CU36,BP$57),""),3,1)="隔",IF(BP$58=0,LEFT(IFERROR(INDEX(醫師週班表!$C$5:$T$44,$CU36,BP$57),""),1),""),IF(MID(IFERROR(INDEX(醫師週班表!$C$5:$T$44,$CU36,BP$57),""),2,1)="(",LEFT(IFERROR(INDEX(醫師週班表!$C$5:$T$44,$CU36,BP$57),""),1),IFERROR(INDEX(醫師週班表!$C$5:$T$44,$CU36,BP$57),"")))))))</f>
        <v/>
      </c>
      <c r="BQ36" s="72">
        <f>IF(BQ$59="X","",IF(BQ$59&lt;&gt;"",BQ$59,IF(IFERROR(INDEX(醫師週班表!$C$5:$T$44,$CU36,BQ$57),"")=0,"",IF(MID(IFERROR(INDEX(醫師週班表!$C$5:$T$44,$CU36,BQ$57),""),2,1)="/",MID(IFERROR(INDEX(醫師週班表!$C$5:$T$44,$CU36,BQ$57),""),1+BQ$58*2,1),IF(MID(IFERROR(INDEX(醫師週班表!$C$5:$T$44,$CU36,BQ$57),""),3,1)="隔",IF(BQ$58=0,LEFT(IFERROR(INDEX(醫師週班表!$C$5:$T$44,$CU36,BQ$57),""),1),""),IF(MID(IFERROR(INDEX(醫師週班表!$C$5:$T$44,$CU36,BQ$57),""),2,1)="(",LEFT(IFERROR(INDEX(醫師週班表!$C$5:$T$44,$CU36,BQ$57),""),1),IFERROR(INDEX(醫師週班表!$C$5:$T$44,$CU36,BQ$57),"")))))))</f>
        <v/>
      </c>
      <c r="BR36" s="72">
        <f>IF(BR$59="X","",IF(BR$59&lt;&gt;"",BR$59,IF(IFERROR(INDEX(醫師週班表!$C$5:$T$44,$CU36,BR$57),"")=0,"",IF(MID(IFERROR(INDEX(醫師週班表!$C$5:$T$44,$CU36,BR$57),""),2,1)="/",MID(IFERROR(INDEX(醫師週班表!$C$5:$T$44,$CU36,BR$57),""),1+BR$58*2,1),IF(MID(IFERROR(INDEX(醫師週班表!$C$5:$T$44,$CU36,BR$57),""),3,1)="隔",IF(BR$58=0,LEFT(IFERROR(INDEX(醫師週班表!$C$5:$T$44,$CU36,BR$57),""),1),""),IF(MID(IFERROR(INDEX(醫師週班表!$C$5:$T$44,$CU36,BR$57),""),2,1)="(",LEFT(IFERROR(INDEX(醫師週班表!$C$5:$T$44,$CU36,BR$57),""),1),IFERROR(INDEX(醫師週班表!$C$5:$T$44,$CU36,BR$57),"")))))))</f>
        <v/>
      </c>
      <c r="BS36" s="71">
        <f>IF(BS$59="X","",IF(BS$59&lt;&gt;"",BS$59,IF(IFERROR(INDEX(醫師週班表!$C$5:$T$44,$CU36,BS$57),"")=0,"",IF(MID(IFERROR(INDEX(醫師週班表!$C$5:$T$44,$CU36,BS$57),""),2,1)="/",MID(IFERROR(INDEX(醫師週班表!$C$5:$T$44,$CU36,BS$57),""),1+BS$58*2,1),IF(MID(IFERROR(INDEX(醫師週班表!$C$5:$T$44,$CU36,BS$57),""),3,1)="隔",IF(BS$58=0,LEFT(IFERROR(INDEX(醫師週班表!$C$5:$T$44,$CU36,BS$57),""),1),""),IF(MID(IFERROR(INDEX(醫師週班表!$C$5:$T$44,$CU36,BS$57),""),2,1)="(",LEFT(IFERROR(INDEX(醫師週班表!$C$5:$T$44,$CU36,BS$57),""),1),IFERROR(INDEX(醫師週班表!$C$5:$T$44,$CU36,BS$57),"")))))))</f>
        <v/>
      </c>
      <c r="BT36" s="72">
        <f>IF(BT$59="X","",IF(BT$59&lt;&gt;"",BT$59,IF(IFERROR(INDEX(醫師週班表!$C$5:$T$44,$CU36,BT$57),"")=0,"",IF(MID(IFERROR(INDEX(醫師週班表!$C$5:$T$44,$CU36,BT$57),""),2,1)="/",MID(IFERROR(INDEX(醫師週班表!$C$5:$T$44,$CU36,BT$57),""),1+BT$58*2,1),IF(MID(IFERROR(INDEX(醫師週班表!$C$5:$T$44,$CU36,BT$57),""),3,1)="隔",IF(BT$58=0,LEFT(IFERROR(INDEX(醫師週班表!$C$5:$T$44,$CU36,BT$57),""),1),""),IF(MID(IFERROR(INDEX(醫師週班表!$C$5:$T$44,$CU36,BT$57),""),2,1)="(",LEFT(IFERROR(INDEX(醫師週班表!$C$5:$T$44,$CU36,BT$57),""),1),IFERROR(INDEX(醫師週班表!$C$5:$T$44,$CU36,BT$57),"")))))))</f>
        <v/>
      </c>
      <c r="BU36" s="72">
        <f>IF(BU$59="X","",IF(BU$59&lt;&gt;"",BU$59,IF(IFERROR(INDEX(醫師週班表!$C$5:$T$44,$CU36,BU$57),"")=0,"",IF(MID(IFERROR(INDEX(醫師週班表!$C$5:$T$44,$CU36,BU$57),""),2,1)="/",MID(IFERROR(INDEX(醫師週班表!$C$5:$T$44,$CU36,BU$57),""),1+BU$58*2,1),IF(MID(IFERROR(INDEX(醫師週班表!$C$5:$T$44,$CU36,BU$57),""),3,1)="隔",IF(BU$58=0,LEFT(IFERROR(INDEX(醫師週班表!$C$5:$T$44,$CU36,BU$57),""),1),""),IF(MID(IFERROR(INDEX(醫師週班表!$C$5:$T$44,$CU36,BU$57),""),2,1)="(",LEFT(IFERROR(INDEX(醫師週班表!$C$5:$T$44,$CU36,BU$57),""),1),IFERROR(INDEX(醫師週班表!$C$5:$T$44,$CU36,BU$57),"")))))))</f>
        <v/>
      </c>
      <c r="BV36" s="71">
        <f>IF(BV$59="X","",IF(BV$59&lt;&gt;"",BV$59,IF(IFERROR(INDEX(醫師週班表!$C$5:$T$44,$CU36,BV$57),"")=0,"",IF(MID(IFERROR(INDEX(醫師週班表!$C$5:$T$44,$CU36,BV$57),""),2,1)="/",MID(IFERROR(INDEX(醫師週班表!$C$5:$T$44,$CU36,BV$57),""),1+BV$58*2,1),IF(MID(IFERROR(INDEX(醫師週班表!$C$5:$T$44,$CU36,BV$57),""),3,1)="隔",IF(BV$58=0,LEFT(IFERROR(INDEX(醫師週班表!$C$5:$T$44,$CU36,BV$57),""),1),""),IF(MID(IFERROR(INDEX(醫師週班表!$C$5:$T$44,$CU36,BV$57),""),2,1)="(",LEFT(IFERROR(INDEX(醫師週班表!$C$5:$T$44,$CU36,BV$57),""),1),IFERROR(INDEX(醫師週班表!$C$5:$T$44,$CU36,BV$57),"")))))))</f>
        <v/>
      </c>
      <c r="BW36" s="72">
        <f>IF(BW$59="X","",IF(BW$59&lt;&gt;"",BW$59,IF(IFERROR(INDEX(醫師週班表!$C$5:$T$44,$CU36,BW$57),"")=0,"",IF(MID(IFERROR(INDEX(醫師週班表!$C$5:$T$44,$CU36,BW$57),""),2,1)="/",MID(IFERROR(INDEX(醫師週班表!$C$5:$T$44,$CU36,BW$57),""),1+BW$58*2,1),IF(MID(IFERROR(INDEX(醫師週班表!$C$5:$T$44,$CU36,BW$57),""),3,1)="隔",IF(BW$58=0,LEFT(IFERROR(INDEX(醫師週班表!$C$5:$T$44,$CU36,BW$57),""),1),""),IF(MID(IFERROR(INDEX(醫師週班表!$C$5:$T$44,$CU36,BW$57),""),2,1)="(",LEFT(IFERROR(INDEX(醫師週班表!$C$5:$T$44,$CU36,BW$57),""),1),IFERROR(INDEX(醫師週班表!$C$5:$T$44,$CU36,BW$57),"")))))))</f>
        <v/>
      </c>
      <c r="BX36" s="72">
        <f>IF(BX$59="X","",IF(BX$59&lt;&gt;"",BX$59,IF(IFERROR(INDEX(醫師週班表!$C$5:$T$44,$CU36,BX$57),"")=0,"",IF(MID(IFERROR(INDEX(醫師週班表!$C$5:$T$44,$CU36,BX$57),""),2,1)="/",MID(IFERROR(INDEX(醫師週班表!$C$5:$T$44,$CU36,BX$57),""),1+BX$58*2,1),IF(MID(IFERROR(INDEX(醫師週班表!$C$5:$T$44,$CU36,BX$57),""),3,1)="隔",IF(BX$58=0,LEFT(IFERROR(INDEX(醫師週班表!$C$5:$T$44,$CU36,BX$57),""),1),""),IF(MID(IFERROR(INDEX(醫師週班表!$C$5:$T$44,$CU36,BX$57),""),2,1)="(",LEFT(IFERROR(INDEX(醫師週班表!$C$5:$T$44,$CU36,BX$57),""),1),IFERROR(INDEX(醫師週班表!$C$5:$T$44,$CU36,BX$57),"")))))))</f>
        <v/>
      </c>
      <c r="BY36" s="71">
        <f>IF(BY$59="X","",IF(BY$59&lt;&gt;"",BY$59,IF(IFERROR(INDEX(醫師週班表!$C$5:$T$44,$CU36,BY$57),"")=0,"",IF(MID(IFERROR(INDEX(醫師週班表!$C$5:$T$44,$CU36,BY$57),""),2,1)="/",MID(IFERROR(INDEX(醫師週班表!$C$5:$T$44,$CU36,BY$57),""),1+BY$58*2,1),IF(MID(IFERROR(INDEX(醫師週班表!$C$5:$T$44,$CU36,BY$57),""),3,1)="隔",IF(BY$58=0,LEFT(IFERROR(INDEX(醫師週班表!$C$5:$T$44,$CU36,BY$57),""),1),""),IF(MID(IFERROR(INDEX(醫師週班表!$C$5:$T$44,$CU36,BY$57),""),2,1)="(",LEFT(IFERROR(INDEX(醫師週班表!$C$5:$T$44,$CU36,BY$57),""),1),IFERROR(INDEX(醫師週班表!$C$5:$T$44,$CU36,BY$57),"")))))))</f>
        <v/>
      </c>
      <c r="BZ36" s="72">
        <f>IF(BZ$59="X","",IF(BZ$59&lt;&gt;"",BZ$59,IF(IFERROR(INDEX(醫師週班表!$C$5:$T$44,$CU36,BZ$57),"")=0,"",IF(MID(IFERROR(INDEX(醫師週班表!$C$5:$T$44,$CU36,BZ$57),""),2,1)="/",MID(IFERROR(INDEX(醫師週班表!$C$5:$T$44,$CU36,BZ$57),""),1+BZ$58*2,1),IF(MID(IFERROR(INDEX(醫師週班表!$C$5:$T$44,$CU36,BZ$57),""),3,1)="隔",IF(BZ$58=0,LEFT(IFERROR(INDEX(醫師週班表!$C$5:$T$44,$CU36,BZ$57),""),1),""),IF(MID(IFERROR(INDEX(醫師週班表!$C$5:$T$44,$CU36,BZ$57),""),2,1)="(",LEFT(IFERROR(INDEX(醫師週班表!$C$5:$T$44,$CU36,BZ$57),""),1),IFERROR(INDEX(醫師週班表!$C$5:$T$44,$CU36,BZ$57),"")))))))</f>
        <v/>
      </c>
      <c r="CA36" s="72">
        <f>IF(CA$59="X","",IF(CA$59&lt;&gt;"",CA$59,IF(IFERROR(INDEX(醫師週班表!$C$5:$T$44,$CU36,CA$57),"")=0,"",IF(MID(IFERROR(INDEX(醫師週班表!$C$5:$T$44,$CU36,CA$57),""),2,1)="/",MID(IFERROR(INDEX(醫師週班表!$C$5:$T$44,$CU36,CA$57),""),1+CA$58*2,1),IF(MID(IFERROR(INDEX(醫師週班表!$C$5:$T$44,$CU36,CA$57),""),3,1)="隔",IF(CA$58=0,LEFT(IFERROR(INDEX(醫師週班表!$C$5:$T$44,$CU36,CA$57),""),1),""),IF(MID(IFERROR(INDEX(醫師週班表!$C$5:$T$44,$CU36,CA$57),""),2,1)="(",LEFT(IFERROR(INDEX(醫師週班表!$C$5:$T$44,$CU36,CA$57),""),1),IFERROR(INDEX(醫師週班表!$C$5:$T$44,$CU36,CA$57),"")))))))</f>
        <v/>
      </c>
      <c r="CB36" s="71">
        <f>IF(CB$59="X","",IF(CB$59&lt;&gt;"",CB$59,IF(IFERROR(INDEX(醫師週班表!$C$5:$T$44,$CU36,CB$57),"")=0,"",IF(MID(IFERROR(INDEX(醫師週班表!$C$5:$T$44,$CU36,CB$57),""),2,1)="/",MID(IFERROR(INDEX(醫師週班表!$C$5:$T$44,$CU36,CB$57),""),1+CB$58*2,1),IF(MID(IFERROR(INDEX(醫師週班表!$C$5:$T$44,$CU36,CB$57),""),3,1)="隔",IF(CB$58=0,LEFT(IFERROR(INDEX(醫師週班表!$C$5:$T$44,$CU36,CB$57),""),1),""),IF(MID(IFERROR(INDEX(醫師週班表!$C$5:$T$44,$CU36,CB$57),""),2,1)="(",LEFT(IFERROR(INDEX(醫師週班表!$C$5:$T$44,$CU36,CB$57),""),1),IFERROR(INDEX(醫師週班表!$C$5:$T$44,$CU36,CB$57),"")))))))</f>
        <v/>
      </c>
      <c r="CC36" s="72">
        <f>IF(CC$59="X","",IF(CC$59&lt;&gt;"",CC$59,IF(IFERROR(INDEX(醫師週班表!$C$5:$T$44,$CU36,CC$57),"")=0,"",IF(MID(IFERROR(INDEX(醫師週班表!$C$5:$T$44,$CU36,CC$57),""),2,1)="/",MID(IFERROR(INDEX(醫師週班表!$C$5:$T$44,$CU36,CC$57),""),1+CC$58*2,1),IF(MID(IFERROR(INDEX(醫師週班表!$C$5:$T$44,$CU36,CC$57),""),3,1)="隔",IF(CC$58=0,LEFT(IFERROR(INDEX(醫師週班表!$C$5:$T$44,$CU36,CC$57),""),1),""),IF(MID(IFERROR(INDEX(醫師週班表!$C$5:$T$44,$CU36,CC$57),""),2,1)="(",LEFT(IFERROR(INDEX(醫師週班表!$C$5:$T$44,$CU36,CC$57),""),1),IFERROR(INDEX(醫師週班表!$C$5:$T$44,$CU36,CC$57),"")))))))</f>
        <v/>
      </c>
      <c r="CD36" s="72">
        <f>IF(CD$59="X","",IF(CD$59&lt;&gt;"",CD$59,IF(IFERROR(INDEX(醫師週班表!$C$5:$T$44,$CU36,CD$57),"")=0,"",IF(MID(IFERROR(INDEX(醫師週班表!$C$5:$T$44,$CU36,CD$57),""),2,1)="/",MID(IFERROR(INDEX(醫師週班表!$C$5:$T$44,$CU36,CD$57),""),1+CD$58*2,1),IF(MID(IFERROR(INDEX(醫師週班表!$C$5:$T$44,$CU36,CD$57),""),3,1)="隔",IF(CD$58=0,LEFT(IFERROR(INDEX(醫師週班表!$C$5:$T$44,$CU36,CD$57),""),1),""),IF(MID(IFERROR(INDEX(醫師週班表!$C$5:$T$44,$CU36,CD$57),""),2,1)="(",LEFT(IFERROR(INDEX(醫師週班表!$C$5:$T$44,$CU36,CD$57),""),1),IFERROR(INDEX(醫師週班表!$C$5:$T$44,$CU36,CD$57),"")))))))</f>
        <v/>
      </c>
      <c r="CE36" s="71">
        <f>IF(CE$59="X","",IF(CE$59&lt;&gt;"",CE$59,IF(IFERROR(INDEX(醫師週班表!$C$5:$T$44,$CU36,CE$57),"")=0,"",IF(MID(IFERROR(INDEX(醫師週班表!$C$5:$T$44,$CU36,CE$57),""),2,1)="/",MID(IFERROR(INDEX(醫師週班表!$C$5:$T$44,$CU36,CE$57),""),1+CE$58*2,1),IF(MID(IFERROR(INDEX(醫師週班表!$C$5:$T$44,$CU36,CE$57),""),3,1)="隔",IF(CE$58=0,LEFT(IFERROR(INDEX(醫師週班表!$C$5:$T$44,$CU36,CE$57),""),1),""),IF(MID(IFERROR(INDEX(醫師週班表!$C$5:$T$44,$CU36,CE$57),""),2,1)="(",LEFT(IFERROR(INDEX(醫師週班表!$C$5:$T$44,$CU36,CE$57),""),1),IFERROR(INDEX(醫師週班表!$C$5:$T$44,$CU36,CE$57),"")))))))</f>
        <v/>
      </c>
      <c r="CF36" s="72">
        <f>IF(CF$59="X","",IF(CF$59&lt;&gt;"",CF$59,IF(IFERROR(INDEX(醫師週班表!$C$5:$T$44,$CU36,CF$57),"")=0,"",IF(MID(IFERROR(INDEX(醫師週班表!$C$5:$T$44,$CU36,CF$57),""),2,1)="/",MID(IFERROR(INDEX(醫師週班表!$C$5:$T$44,$CU36,CF$57),""),1+CF$58*2,1),IF(MID(IFERROR(INDEX(醫師週班表!$C$5:$T$44,$CU36,CF$57),""),3,1)="隔",IF(CF$58=0,LEFT(IFERROR(INDEX(醫師週班表!$C$5:$T$44,$CU36,CF$57),""),1),""),IF(MID(IFERROR(INDEX(醫師週班表!$C$5:$T$44,$CU36,CF$57),""),2,1)="(",LEFT(IFERROR(INDEX(醫師週班表!$C$5:$T$44,$CU36,CF$57),""),1),IFERROR(INDEX(醫師週班表!$C$5:$T$44,$CU36,CF$57),"")))))))</f>
        <v/>
      </c>
      <c r="CG36" s="72">
        <f>IF(CG$59="X","",IF(CG$59&lt;&gt;"",CG$59,IF(IFERROR(INDEX(醫師週班表!$C$5:$T$44,$CU36,CG$57),"")=0,"",IF(MID(IFERROR(INDEX(醫師週班表!$C$5:$T$44,$CU36,CG$57),""),2,1)="/",MID(IFERROR(INDEX(醫師週班表!$C$5:$T$44,$CU36,CG$57),""),1+CG$58*2,1),IF(MID(IFERROR(INDEX(醫師週班表!$C$5:$T$44,$CU36,CG$57),""),3,1)="隔",IF(CG$58=0,LEFT(IFERROR(INDEX(醫師週班表!$C$5:$T$44,$CU36,CG$57),""),1),""),IF(MID(IFERROR(INDEX(醫師週班表!$C$5:$T$44,$CU36,CG$57),""),2,1)="(",LEFT(IFERROR(INDEX(醫師週班表!$C$5:$T$44,$CU36,CG$57),""),1),IFERROR(INDEX(醫師週班表!$C$5:$T$44,$CU36,CG$57),"")))))))</f>
        <v/>
      </c>
      <c r="CH36" s="71">
        <f>IF(CH$59="X","",IF(CH$59&lt;&gt;"",CH$59,IF(IFERROR(INDEX(醫師週班表!$C$5:$T$44,$CU36,CH$57),"")=0,"",IF(MID(IFERROR(INDEX(醫師週班表!$C$5:$T$44,$CU36,CH$57),""),2,1)="/",MID(IFERROR(INDEX(醫師週班表!$C$5:$T$44,$CU36,CH$57),""),1+CH$58*2,1),IF(MID(IFERROR(INDEX(醫師週班表!$C$5:$T$44,$CU36,CH$57),""),3,1)="隔",IF(CH$58=0,LEFT(IFERROR(INDEX(醫師週班表!$C$5:$T$44,$CU36,CH$57),""),1),""),IF(MID(IFERROR(INDEX(醫師週班表!$C$5:$T$44,$CU36,CH$57),""),2,1)="(",LEFT(IFERROR(INDEX(醫師週班表!$C$5:$T$44,$CU36,CH$57),""),1),IFERROR(INDEX(醫師週班表!$C$5:$T$44,$CU36,CH$57),"")))))))</f>
        <v/>
      </c>
      <c r="CI36" s="72">
        <f>IF(CI$59="X","",IF(CI$59&lt;&gt;"",CI$59,IF(IFERROR(INDEX(醫師週班表!$C$5:$T$44,$CU36,CI$57),"")=0,"",IF(MID(IFERROR(INDEX(醫師週班表!$C$5:$T$44,$CU36,CI$57),""),2,1)="/",MID(IFERROR(INDEX(醫師週班表!$C$5:$T$44,$CU36,CI$57),""),1+CI$58*2,1),IF(MID(IFERROR(INDEX(醫師週班表!$C$5:$T$44,$CU36,CI$57),""),3,1)="隔",IF(CI$58=0,LEFT(IFERROR(INDEX(醫師週班表!$C$5:$T$44,$CU36,CI$57),""),1),""),IF(MID(IFERROR(INDEX(醫師週班表!$C$5:$T$44,$CU36,CI$57),""),2,1)="(",LEFT(IFERROR(INDEX(醫師週班表!$C$5:$T$44,$CU36,CI$57),""),1),IFERROR(INDEX(醫師週班表!$C$5:$T$44,$CU36,CI$57),"")))))))</f>
        <v/>
      </c>
      <c r="CJ36" s="72">
        <f>IF(CJ$59="X","",IF(CJ$59&lt;&gt;"",CJ$59,IF(IFERROR(INDEX(醫師週班表!$C$5:$T$44,$CU36,CJ$57),"")=0,"",IF(MID(IFERROR(INDEX(醫師週班表!$C$5:$T$44,$CU36,CJ$57),""),2,1)="/",MID(IFERROR(INDEX(醫師週班表!$C$5:$T$44,$CU36,CJ$57),""),1+CJ$58*2,1),IF(MID(IFERROR(INDEX(醫師週班表!$C$5:$T$44,$CU36,CJ$57),""),3,1)="隔",IF(CJ$58=0,LEFT(IFERROR(INDEX(醫師週班表!$C$5:$T$44,$CU36,CJ$57),""),1),""),IF(MID(IFERROR(INDEX(醫師週班表!$C$5:$T$44,$CU36,CJ$57),""),2,1)="(",LEFT(IFERROR(INDEX(醫師週班表!$C$5:$T$44,$CU36,CJ$57),""),1),IFERROR(INDEX(醫師週班表!$C$5:$T$44,$CU36,CJ$57),"")))))))</f>
        <v/>
      </c>
      <c r="CK36" s="71">
        <f>IF(CK$59="X","",IF(CK$59&lt;&gt;"",CK$59,IF(IFERROR(INDEX(醫師週班表!$C$5:$T$44,$CU36,CK$57),"")=0,"",IF(MID(IFERROR(INDEX(醫師週班表!$C$5:$T$44,$CU36,CK$57),""),2,1)="/",MID(IFERROR(INDEX(醫師週班表!$C$5:$T$44,$CU36,CK$57),""),1+CK$58*2,1),IF(MID(IFERROR(INDEX(醫師週班表!$C$5:$T$44,$CU36,CK$57),""),3,1)="隔",IF(CK$58=0,LEFT(IFERROR(INDEX(醫師週班表!$C$5:$T$44,$CU36,CK$57),""),1),""),IF(MID(IFERROR(INDEX(醫師週班表!$C$5:$T$44,$CU36,CK$57),""),2,1)="(",LEFT(IFERROR(INDEX(醫師週班表!$C$5:$T$44,$CU36,CK$57),""),1),IFERROR(INDEX(醫師週班表!$C$5:$T$44,$CU36,CK$57),"")))))))</f>
        <v/>
      </c>
      <c r="CL36" s="72">
        <f>IF(CL$59="X","",IF(CL$59&lt;&gt;"",CL$59,IF(IFERROR(INDEX(醫師週班表!$C$5:$T$44,$CU36,CL$57),"")=0,"",IF(MID(IFERROR(INDEX(醫師週班表!$C$5:$T$44,$CU36,CL$57),""),2,1)="/",MID(IFERROR(INDEX(醫師週班表!$C$5:$T$44,$CU36,CL$57),""),1+CL$58*2,1),IF(MID(IFERROR(INDEX(醫師週班表!$C$5:$T$44,$CU36,CL$57),""),3,1)="隔",IF(CL$58=0,LEFT(IFERROR(INDEX(醫師週班表!$C$5:$T$44,$CU36,CL$57),""),1),""),IF(MID(IFERROR(INDEX(醫師週班表!$C$5:$T$44,$CU36,CL$57),""),2,1)="(",LEFT(IFERROR(INDEX(醫師週班表!$C$5:$T$44,$CU36,CL$57),""),1),IFERROR(INDEX(醫師週班表!$C$5:$T$44,$CU36,CL$57),"")))))))</f>
        <v/>
      </c>
      <c r="CM36" s="72">
        <f>IF(CM$59="X","",IF(CM$59&lt;&gt;"",CM$59,IF(IFERROR(INDEX(醫師週班表!$C$5:$T$44,$CU36,CM$57),"")=0,"",IF(MID(IFERROR(INDEX(醫師週班表!$C$5:$T$44,$CU36,CM$57),""),2,1)="/",MID(IFERROR(INDEX(醫師週班表!$C$5:$T$44,$CU36,CM$57),""),1+CM$58*2,1),IF(MID(IFERROR(INDEX(醫師週班表!$C$5:$T$44,$CU36,CM$57),""),3,1)="隔",IF(CM$58=0,LEFT(IFERROR(INDEX(醫師週班表!$C$5:$T$44,$CU36,CM$57),""),1),""),IF(MID(IFERROR(INDEX(醫師週班表!$C$5:$T$44,$CU36,CM$57),""),2,1)="(",LEFT(IFERROR(INDEX(醫師週班表!$C$5:$T$44,$CU36,CM$57),""),1),IFERROR(INDEX(醫師週班表!$C$5:$T$44,$CU36,CM$57),"")))))))</f>
        <v/>
      </c>
      <c r="CN36" s="71">
        <f>IF(CN$59="X","",IF(CN$59&lt;&gt;"",CN$59,IF(IFERROR(INDEX(醫師週班表!$C$5:$T$44,$CU36,CN$57),"")=0,"",IF(MID(IFERROR(INDEX(醫師週班表!$C$5:$T$44,$CU36,CN$57),""),2,1)="/",MID(IFERROR(INDEX(醫師週班表!$C$5:$T$44,$CU36,CN$57),""),1+CN$58*2,1),IF(MID(IFERROR(INDEX(醫師週班表!$C$5:$T$44,$CU36,CN$57),""),3,1)="隔",IF(CN$58=0,LEFT(IFERROR(INDEX(醫師週班表!$C$5:$T$44,$CU36,CN$57),""),1),""),IF(MID(IFERROR(INDEX(醫師週班表!$C$5:$T$44,$CU36,CN$57),""),2,1)="(",LEFT(IFERROR(INDEX(醫師週班表!$C$5:$T$44,$CU36,CN$57),""),1),IFERROR(INDEX(醫師週班表!$C$5:$T$44,$CU36,CN$57),"")))))))</f>
        <v/>
      </c>
      <c r="CO36" s="72">
        <f>IF(CO$59="X","",IF(CO$59&lt;&gt;"",CO$59,IF(IFERROR(INDEX(醫師週班表!$C$5:$T$44,$CU36,CO$57),"")=0,"",IF(MID(IFERROR(INDEX(醫師週班表!$C$5:$T$44,$CU36,CO$57),""),2,1)="/",MID(IFERROR(INDEX(醫師週班表!$C$5:$T$44,$CU36,CO$57),""),1+CO$58*2,1),IF(MID(IFERROR(INDEX(醫師週班表!$C$5:$T$44,$CU36,CO$57),""),3,1)="隔",IF(CO$58=0,LEFT(IFERROR(INDEX(醫師週班表!$C$5:$T$44,$CU36,CO$57),""),1),""),IF(MID(IFERROR(INDEX(醫師週班表!$C$5:$T$44,$CU36,CO$57),""),2,1)="(",LEFT(IFERROR(INDEX(醫師週班表!$C$5:$T$44,$CU36,CO$57),""),1),IFERROR(INDEX(醫師週班表!$C$5:$T$44,$CU36,CO$57),"")))))))</f>
        <v/>
      </c>
      <c r="CP36" s="72">
        <f>IF(CP$59="X","",IF(CP$59&lt;&gt;"",CP$59,IF(IFERROR(INDEX(醫師週班表!$C$5:$T$44,$CU36,CP$57),"")=0,"",IF(MID(IFERROR(INDEX(醫師週班表!$C$5:$T$44,$CU36,CP$57),""),2,1)="/",MID(IFERROR(INDEX(醫師週班表!$C$5:$T$44,$CU36,CP$57),""),1+CP$58*2,1),IF(MID(IFERROR(INDEX(醫師週班表!$C$5:$T$44,$CU36,CP$57),""),3,1)="隔",IF(CP$58=0,LEFT(IFERROR(INDEX(醫師週班表!$C$5:$T$44,$CU36,CP$57),""),1),""),IF(MID(IFERROR(INDEX(醫師週班表!$C$5:$T$44,$CU36,CP$57),""),2,1)="(",LEFT(IFERROR(INDEX(醫師週班表!$C$5:$T$44,$CU36,CP$57),""),1),IFERROR(INDEX(醫師週班表!$C$5:$T$44,$CU36,CP$57),"")))))))</f>
        <v/>
      </c>
      <c r="CQ36" s="71">
        <f>IF(CQ$59="X","",IF(CQ$59&lt;&gt;"",CQ$59,IF(IFERROR(INDEX(醫師週班表!$C$5:$T$44,$CU36,CQ$57),"")=0,"",IF(MID(IFERROR(INDEX(醫師週班表!$C$5:$T$44,$CU36,CQ$57),""),2,1)="/",MID(IFERROR(INDEX(醫師週班表!$C$5:$T$44,$CU36,CQ$57),""),1+CQ$58*2,1),IF(MID(IFERROR(INDEX(醫師週班表!$C$5:$T$44,$CU36,CQ$57),""),3,1)="隔",IF(CQ$58=0,LEFT(IFERROR(INDEX(醫師週班表!$C$5:$T$44,$CU36,CQ$57),""),1),""),IF(MID(IFERROR(INDEX(醫師週班表!$C$5:$T$44,$CU36,CQ$57),""),2,1)="(",LEFT(IFERROR(INDEX(醫師週班表!$C$5:$T$44,$CU36,CQ$57),""),1),IFERROR(INDEX(醫師週班表!$C$5:$T$44,$CU36,CQ$57),"")))))))</f>
        <v/>
      </c>
      <c r="CR36" s="72">
        <f>IF(CR$59="X","",IF(CR$59&lt;&gt;"",CR$59,IF(IFERROR(INDEX(醫師週班表!$C$5:$T$44,$CU36,CR$57),"")=0,"",IF(MID(IFERROR(INDEX(醫師週班表!$C$5:$T$44,$CU36,CR$57),""),2,1)="/",MID(IFERROR(INDEX(醫師週班表!$C$5:$T$44,$CU36,CR$57),""),1+CR$58*2,1),IF(MID(IFERROR(INDEX(醫師週班表!$C$5:$T$44,$CU36,CR$57),""),3,1)="隔",IF(CR$58=0,LEFT(IFERROR(INDEX(醫師週班表!$C$5:$T$44,$CU36,CR$57),""),1),""),IF(MID(IFERROR(INDEX(醫師週班表!$C$5:$T$44,$CU36,CR$57),""),2,1)="(",LEFT(IFERROR(INDEX(醫師週班表!$C$5:$T$44,$CU36,CR$57),""),1),IFERROR(INDEX(醫師週班表!$C$5:$T$44,$CU36,CR$57),"")))))))</f>
        <v/>
      </c>
      <c r="CS36" s="72">
        <f>IF(CS$59="X","",IF(CS$59&lt;&gt;"",CS$59,IF(IFERROR(INDEX(醫師週班表!$C$5:$T$44,$CU36,CS$57),"")=0,"",IF(MID(IFERROR(INDEX(醫師週班表!$C$5:$T$44,$CU36,CS$57),""),2,1)="/",MID(IFERROR(INDEX(醫師週班表!$C$5:$T$44,$CU36,CS$57),""),1+CS$58*2,1),IF(MID(IFERROR(INDEX(醫師週班表!$C$5:$T$44,$CU36,CS$57),""),3,1)="隔",IF(CS$58=0,LEFT(IFERROR(INDEX(醫師週班表!$C$5:$T$44,$CU36,CS$57),""),1),""),IF(MID(IFERROR(INDEX(醫師週班表!$C$5:$T$44,$CU36,CS$57),""),2,1)="(",LEFT(IFERROR(INDEX(醫師週班表!$C$5:$T$44,$CU36,CS$57),""),1),IFERROR(INDEX(醫師週班表!$C$5:$T$44,$CU36,CS$57),"")))))))</f>
        <v/>
      </c>
      <c r="CU36" s="73">
        <f>IFERROR(MATCH($A36,醫師週班表!$A$5:$A$44,0),0)</f>
        <v/>
      </c>
    </row>
    <row r="37" ht="17" customHeight="1">
      <c r="A37" s="19" t="n"/>
      <c r="B37" s="16">
        <f>IFERROR(INDEX(設定!$C$64:$C$203,MATCH($A37,設定!$B$64:$B$203,0)),"")</f>
        <v/>
      </c>
      <c r="C37" s="70">
        <f>IFERROR(INDEX(設定!$E$64:$E$203,MATCH($A37,設定!$B$64:$B$203,0)),"")</f>
        <v/>
      </c>
      <c r="D37" s="16">
        <f>IFERROR(INDEX(設定!$F$64:$F$203,MATCH($A37,設定!$B$64:$B$203,0)),"")</f>
        <v/>
      </c>
      <c r="E37" s="71">
        <f>IF(E$59="X","",IF(E$59&lt;&gt;"",E$59,IF(IFERROR(INDEX(醫師週班表!$C$5:$T$44,$CU37,E$57),"")=0,"",IF(MID(IFERROR(INDEX(醫師週班表!$C$5:$T$44,$CU37,E$57),""),2,1)="/",MID(IFERROR(INDEX(醫師週班表!$C$5:$T$44,$CU37,E$57),""),1+E$58*2,1),IF(MID(IFERROR(INDEX(醫師週班表!$C$5:$T$44,$CU37,E$57),""),3,1)="隔",IF(E$58=0,LEFT(IFERROR(INDEX(醫師週班表!$C$5:$T$44,$CU37,E$57),""),1),""),IF(MID(IFERROR(INDEX(醫師週班表!$C$5:$T$44,$CU37,E$57),""),2,1)="(",LEFT(IFERROR(INDEX(醫師週班表!$C$5:$T$44,$CU37,E$57),""),1),IFERROR(INDEX(醫師週班表!$C$5:$T$44,$CU37,E$57),"")))))))</f>
        <v/>
      </c>
      <c r="F37" s="72">
        <f>IF(F$59="X","",IF(F$59&lt;&gt;"",F$59,IF(IFERROR(INDEX(醫師週班表!$C$5:$T$44,$CU37,F$57),"")=0,"",IF(MID(IFERROR(INDEX(醫師週班表!$C$5:$T$44,$CU37,F$57),""),2,1)="/",MID(IFERROR(INDEX(醫師週班表!$C$5:$T$44,$CU37,F$57),""),1+F$58*2,1),IF(MID(IFERROR(INDEX(醫師週班表!$C$5:$T$44,$CU37,F$57),""),3,1)="隔",IF(F$58=0,LEFT(IFERROR(INDEX(醫師週班表!$C$5:$T$44,$CU37,F$57),""),1),""),IF(MID(IFERROR(INDEX(醫師週班表!$C$5:$T$44,$CU37,F$57),""),2,1)="(",LEFT(IFERROR(INDEX(醫師週班表!$C$5:$T$44,$CU37,F$57),""),1),IFERROR(INDEX(醫師週班表!$C$5:$T$44,$CU37,F$57),"")))))))</f>
        <v/>
      </c>
      <c r="G37" s="72">
        <f>IF(G$59="X","",IF(G$59&lt;&gt;"",G$59,IF(IFERROR(INDEX(醫師週班表!$C$5:$T$44,$CU37,G$57),"")=0,"",IF(MID(IFERROR(INDEX(醫師週班表!$C$5:$T$44,$CU37,G$57),""),2,1)="/",MID(IFERROR(INDEX(醫師週班表!$C$5:$T$44,$CU37,G$57),""),1+G$58*2,1),IF(MID(IFERROR(INDEX(醫師週班表!$C$5:$T$44,$CU37,G$57),""),3,1)="隔",IF(G$58=0,LEFT(IFERROR(INDEX(醫師週班表!$C$5:$T$44,$CU37,G$57),""),1),""),IF(MID(IFERROR(INDEX(醫師週班表!$C$5:$T$44,$CU37,G$57),""),2,1)="(",LEFT(IFERROR(INDEX(醫師週班表!$C$5:$T$44,$CU37,G$57),""),1),IFERROR(INDEX(醫師週班表!$C$5:$T$44,$CU37,G$57),"")))))))</f>
        <v/>
      </c>
      <c r="H37" s="71">
        <f>IF(H$59="X","",IF(H$59&lt;&gt;"",H$59,IF(IFERROR(INDEX(醫師週班表!$C$5:$T$44,$CU37,H$57),"")=0,"",IF(MID(IFERROR(INDEX(醫師週班表!$C$5:$T$44,$CU37,H$57),""),2,1)="/",MID(IFERROR(INDEX(醫師週班表!$C$5:$T$44,$CU37,H$57),""),1+H$58*2,1),IF(MID(IFERROR(INDEX(醫師週班表!$C$5:$T$44,$CU37,H$57),""),3,1)="隔",IF(H$58=0,LEFT(IFERROR(INDEX(醫師週班表!$C$5:$T$44,$CU37,H$57),""),1),""),IF(MID(IFERROR(INDEX(醫師週班表!$C$5:$T$44,$CU37,H$57),""),2,1)="(",LEFT(IFERROR(INDEX(醫師週班表!$C$5:$T$44,$CU37,H$57),""),1),IFERROR(INDEX(醫師週班表!$C$5:$T$44,$CU37,H$57),"")))))))</f>
        <v/>
      </c>
      <c r="I37" s="72">
        <f>IF(I$59="X","",IF(I$59&lt;&gt;"",I$59,IF(IFERROR(INDEX(醫師週班表!$C$5:$T$44,$CU37,I$57),"")=0,"",IF(MID(IFERROR(INDEX(醫師週班表!$C$5:$T$44,$CU37,I$57),""),2,1)="/",MID(IFERROR(INDEX(醫師週班表!$C$5:$T$44,$CU37,I$57),""),1+I$58*2,1),IF(MID(IFERROR(INDEX(醫師週班表!$C$5:$T$44,$CU37,I$57),""),3,1)="隔",IF(I$58=0,LEFT(IFERROR(INDEX(醫師週班表!$C$5:$T$44,$CU37,I$57),""),1),""),IF(MID(IFERROR(INDEX(醫師週班表!$C$5:$T$44,$CU37,I$57),""),2,1)="(",LEFT(IFERROR(INDEX(醫師週班表!$C$5:$T$44,$CU37,I$57),""),1),IFERROR(INDEX(醫師週班表!$C$5:$T$44,$CU37,I$57),"")))))))</f>
        <v/>
      </c>
      <c r="J37" s="72">
        <f>IF(J$59="X","",IF(J$59&lt;&gt;"",J$59,IF(IFERROR(INDEX(醫師週班表!$C$5:$T$44,$CU37,J$57),"")=0,"",IF(MID(IFERROR(INDEX(醫師週班表!$C$5:$T$44,$CU37,J$57),""),2,1)="/",MID(IFERROR(INDEX(醫師週班表!$C$5:$T$44,$CU37,J$57),""),1+J$58*2,1),IF(MID(IFERROR(INDEX(醫師週班表!$C$5:$T$44,$CU37,J$57),""),3,1)="隔",IF(J$58=0,LEFT(IFERROR(INDEX(醫師週班表!$C$5:$T$44,$CU37,J$57),""),1),""),IF(MID(IFERROR(INDEX(醫師週班表!$C$5:$T$44,$CU37,J$57),""),2,1)="(",LEFT(IFERROR(INDEX(醫師週班表!$C$5:$T$44,$CU37,J$57),""),1),IFERROR(INDEX(醫師週班表!$C$5:$T$44,$CU37,J$57),"")))))))</f>
        <v/>
      </c>
      <c r="K37" s="71">
        <f>IF(K$59="X","",IF(K$59&lt;&gt;"",K$59,IF(IFERROR(INDEX(醫師週班表!$C$5:$T$44,$CU37,K$57),"")=0,"",IF(MID(IFERROR(INDEX(醫師週班表!$C$5:$T$44,$CU37,K$57),""),2,1)="/",MID(IFERROR(INDEX(醫師週班表!$C$5:$T$44,$CU37,K$57),""),1+K$58*2,1),IF(MID(IFERROR(INDEX(醫師週班表!$C$5:$T$44,$CU37,K$57),""),3,1)="隔",IF(K$58=0,LEFT(IFERROR(INDEX(醫師週班表!$C$5:$T$44,$CU37,K$57),""),1),""),IF(MID(IFERROR(INDEX(醫師週班表!$C$5:$T$44,$CU37,K$57),""),2,1)="(",LEFT(IFERROR(INDEX(醫師週班表!$C$5:$T$44,$CU37,K$57),""),1),IFERROR(INDEX(醫師週班表!$C$5:$T$44,$CU37,K$57),"")))))))</f>
        <v/>
      </c>
      <c r="L37" s="72">
        <f>IF(L$59="X","",IF(L$59&lt;&gt;"",L$59,IF(IFERROR(INDEX(醫師週班表!$C$5:$T$44,$CU37,L$57),"")=0,"",IF(MID(IFERROR(INDEX(醫師週班表!$C$5:$T$44,$CU37,L$57),""),2,1)="/",MID(IFERROR(INDEX(醫師週班表!$C$5:$T$44,$CU37,L$57),""),1+L$58*2,1),IF(MID(IFERROR(INDEX(醫師週班表!$C$5:$T$44,$CU37,L$57),""),3,1)="隔",IF(L$58=0,LEFT(IFERROR(INDEX(醫師週班表!$C$5:$T$44,$CU37,L$57),""),1),""),IF(MID(IFERROR(INDEX(醫師週班表!$C$5:$T$44,$CU37,L$57),""),2,1)="(",LEFT(IFERROR(INDEX(醫師週班表!$C$5:$T$44,$CU37,L$57),""),1),IFERROR(INDEX(醫師週班表!$C$5:$T$44,$CU37,L$57),"")))))))</f>
        <v/>
      </c>
      <c r="M37" s="72">
        <f>IF(M$59="X","",IF(M$59&lt;&gt;"",M$59,IF(IFERROR(INDEX(醫師週班表!$C$5:$T$44,$CU37,M$57),"")=0,"",IF(MID(IFERROR(INDEX(醫師週班表!$C$5:$T$44,$CU37,M$57),""),2,1)="/",MID(IFERROR(INDEX(醫師週班表!$C$5:$T$44,$CU37,M$57),""),1+M$58*2,1),IF(MID(IFERROR(INDEX(醫師週班表!$C$5:$T$44,$CU37,M$57),""),3,1)="隔",IF(M$58=0,LEFT(IFERROR(INDEX(醫師週班表!$C$5:$T$44,$CU37,M$57),""),1),""),IF(MID(IFERROR(INDEX(醫師週班表!$C$5:$T$44,$CU37,M$57),""),2,1)="(",LEFT(IFERROR(INDEX(醫師週班表!$C$5:$T$44,$CU37,M$57),""),1),IFERROR(INDEX(醫師週班表!$C$5:$T$44,$CU37,M$57),"")))))))</f>
        <v/>
      </c>
      <c r="N37" s="71">
        <f>IF(N$59="X","",IF(N$59&lt;&gt;"",N$59,IF(IFERROR(INDEX(醫師週班表!$C$5:$T$44,$CU37,N$57),"")=0,"",IF(MID(IFERROR(INDEX(醫師週班表!$C$5:$T$44,$CU37,N$57),""),2,1)="/",MID(IFERROR(INDEX(醫師週班表!$C$5:$T$44,$CU37,N$57),""),1+N$58*2,1),IF(MID(IFERROR(INDEX(醫師週班表!$C$5:$T$44,$CU37,N$57),""),3,1)="隔",IF(N$58=0,LEFT(IFERROR(INDEX(醫師週班表!$C$5:$T$44,$CU37,N$57),""),1),""),IF(MID(IFERROR(INDEX(醫師週班表!$C$5:$T$44,$CU37,N$57),""),2,1)="(",LEFT(IFERROR(INDEX(醫師週班表!$C$5:$T$44,$CU37,N$57),""),1),IFERROR(INDEX(醫師週班表!$C$5:$T$44,$CU37,N$57),"")))))))</f>
        <v/>
      </c>
      <c r="O37" s="72">
        <f>IF(O$59="X","",IF(O$59&lt;&gt;"",O$59,IF(IFERROR(INDEX(醫師週班表!$C$5:$T$44,$CU37,O$57),"")=0,"",IF(MID(IFERROR(INDEX(醫師週班表!$C$5:$T$44,$CU37,O$57),""),2,1)="/",MID(IFERROR(INDEX(醫師週班表!$C$5:$T$44,$CU37,O$57),""),1+O$58*2,1),IF(MID(IFERROR(INDEX(醫師週班表!$C$5:$T$44,$CU37,O$57),""),3,1)="隔",IF(O$58=0,LEFT(IFERROR(INDEX(醫師週班表!$C$5:$T$44,$CU37,O$57),""),1),""),IF(MID(IFERROR(INDEX(醫師週班表!$C$5:$T$44,$CU37,O$57),""),2,1)="(",LEFT(IFERROR(INDEX(醫師週班表!$C$5:$T$44,$CU37,O$57),""),1),IFERROR(INDEX(醫師週班表!$C$5:$T$44,$CU37,O$57),"")))))))</f>
        <v/>
      </c>
      <c r="P37" s="72">
        <f>IF(P$59="X","",IF(P$59&lt;&gt;"",P$59,IF(IFERROR(INDEX(醫師週班表!$C$5:$T$44,$CU37,P$57),"")=0,"",IF(MID(IFERROR(INDEX(醫師週班表!$C$5:$T$44,$CU37,P$57),""),2,1)="/",MID(IFERROR(INDEX(醫師週班表!$C$5:$T$44,$CU37,P$57),""),1+P$58*2,1),IF(MID(IFERROR(INDEX(醫師週班表!$C$5:$T$44,$CU37,P$57),""),3,1)="隔",IF(P$58=0,LEFT(IFERROR(INDEX(醫師週班表!$C$5:$T$44,$CU37,P$57),""),1),""),IF(MID(IFERROR(INDEX(醫師週班表!$C$5:$T$44,$CU37,P$57),""),2,1)="(",LEFT(IFERROR(INDEX(醫師週班表!$C$5:$T$44,$CU37,P$57),""),1),IFERROR(INDEX(醫師週班表!$C$5:$T$44,$CU37,P$57),"")))))))</f>
        <v/>
      </c>
      <c r="Q37" s="71">
        <f>IF(Q$59="X","",IF(Q$59&lt;&gt;"",Q$59,IF(IFERROR(INDEX(醫師週班表!$C$5:$T$44,$CU37,Q$57),"")=0,"",IF(MID(IFERROR(INDEX(醫師週班表!$C$5:$T$44,$CU37,Q$57),""),2,1)="/",MID(IFERROR(INDEX(醫師週班表!$C$5:$T$44,$CU37,Q$57),""),1+Q$58*2,1),IF(MID(IFERROR(INDEX(醫師週班表!$C$5:$T$44,$CU37,Q$57),""),3,1)="隔",IF(Q$58=0,LEFT(IFERROR(INDEX(醫師週班表!$C$5:$T$44,$CU37,Q$57),""),1),""),IF(MID(IFERROR(INDEX(醫師週班表!$C$5:$T$44,$CU37,Q$57),""),2,1)="(",LEFT(IFERROR(INDEX(醫師週班表!$C$5:$T$44,$CU37,Q$57),""),1),IFERROR(INDEX(醫師週班表!$C$5:$T$44,$CU37,Q$57),"")))))))</f>
        <v/>
      </c>
      <c r="R37" s="72">
        <f>IF(R$59="X","",IF(R$59&lt;&gt;"",R$59,IF(IFERROR(INDEX(醫師週班表!$C$5:$T$44,$CU37,R$57),"")=0,"",IF(MID(IFERROR(INDEX(醫師週班表!$C$5:$T$44,$CU37,R$57),""),2,1)="/",MID(IFERROR(INDEX(醫師週班表!$C$5:$T$44,$CU37,R$57),""),1+R$58*2,1),IF(MID(IFERROR(INDEX(醫師週班表!$C$5:$T$44,$CU37,R$57),""),3,1)="隔",IF(R$58=0,LEFT(IFERROR(INDEX(醫師週班表!$C$5:$T$44,$CU37,R$57),""),1),""),IF(MID(IFERROR(INDEX(醫師週班表!$C$5:$T$44,$CU37,R$57),""),2,1)="(",LEFT(IFERROR(INDEX(醫師週班表!$C$5:$T$44,$CU37,R$57),""),1),IFERROR(INDEX(醫師週班表!$C$5:$T$44,$CU37,R$57),"")))))))</f>
        <v/>
      </c>
      <c r="S37" s="72">
        <f>IF(S$59="X","",IF(S$59&lt;&gt;"",S$59,IF(IFERROR(INDEX(醫師週班表!$C$5:$T$44,$CU37,S$57),"")=0,"",IF(MID(IFERROR(INDEX(醫師週班表!$C$5:$T$44,$CU37,S$57),""),2,1)="/",MID(IFERROR(INDEX(醫師週班表!$C$5:$T$44,$CU37,S$57),""),1+S$58*2,1),IF(MID(IFERROR(INDEX(醫師週班表!$C$5:$T$44,$CU37,S$57),""),3,1)="隔",IF(S$58=0,LEFT(IFERROR(INDEX(醫師週班表!$C$5:$T$44,$CU37,S$57),""),1),""),IF(MID(IFERROR(INDEX(醫師週班表!$C$5:$T$44,$CU37,S$57),""),2,1)="(",LEFT(IFERROR(INDEX(醫師週班表!$C$5:$T$44,$CU37,S$57),""),1),IFERROR(INDEX(醫師週班表!$C$5:$T$44,$CU37,S$57),"")))))))</f>
        <v/>
      </c>
      <c r="T37" s="71">
        <f>IF(T$59="X","",IF(T$59&lt;&gt;"",T$59,IF(IFERROR(INDEX(醫師週班表!$C$5:$T$44,$CU37,T$57),"")=0,"",IF(MID(IFERROR(INDEX(醫師週班表!$C$5:$T$44,$CU37,T$57),""),2,1)="/",MID(IFERROR(INDEX(醫師週班表!$C$5:$T$44,$CU37,T$57),""),1+T$58*2,1),IF(MID(IFERROR(INDEX(醫師週班表!$C$5:$T$44,$CU37,T$57),""),3,1)="隔",IF(T$58=0,LEFT(IFERROR(INDEX(醫師週班表!$C$5:$T$44,$CU37,T$57),""),1),""),IF(MID(IFERROR(INDEX(醫師週班表!$C$5:$T$44,$CU37,T$57),""),2,1)="(",LEFT(IFERROR(INDEX(醫師週班表!$C$5:$T$44,$CU37,T$57),""),1),IFERROR(INDEX(醫師週班表!$C$5:$T$44,$CU37,T$57),"")))))))</f>
        <v/>
      </c>
      <c r="U37" s="72">
        <f>IF(U$59="X","",IF(U$59&lt;&gt;"",U$59,IF(IFERROR(INDEX(醫師週班表!$C$5:$T$44,$CU37,U$57),"")=0,"",IF(MID(IFERROR(INDEX(醫師週班表!$C$5:$T$44,$CU37,U$57),""),2,1)="/",MID(IFERROR(INDEX(醫師週班表!$C$5:$T$44,$CU37,U$57),""),1+U$58*2,1),IF(MID(IFERROR(INDEX(醫師週班表!$C$5:$T$44,$CU37,U$57),""),3,1)="隔",IF(U$58=0,LEFT(IFERROR(INDEX(醫師週班表!$C$5:$T$44,$CU37,U$57),""),1),""),IF(MID(IFERROR(INDEX(醫師週班表!$C$5:$T$44,$CU37,U$57),""),2,1)="(",LEFT(IFERROR(INDEX(醫師週班表!$C$5:$T$44,$CU37,U$57),""),1),IFERROR(INDEX(醫師週班表!$C$5:$T$44,$CU37,U$57),"")))))))</f>
        <v/>
      </c>
      <c r="V37" s="72">
        <f>IF(V$59="X","",IF(V$59&lt;&gt;"",V$59,IF(IFERROR(INDEX(醫師週班表!$C$5:$T$44,$CU37,V$57),"")=0,"",IF(MID(IFERROR(INDEX(醫師週班表!$C$5:$T$44,$CU37,V$57),""),2,1)="/",MID(IFERROR(INDEX(醫師週班表!$C$5:$T$44,$CU37,V$57),""),1+V$58*2,1),IF(MID(IFERROR(INDEX(醫師週班表!$C$5:$T$44,$CU37,V$57),""),3,1)="隔",IF(V$58=0,LEFT(IFERROR(INDEX(醫師週班表!$C$5:$T$44,$CU37,V$57),""),1),""),IF(MID(IFERROR(INDEX(醫師週班表!$C$5:$T$44,$CU37,V$57),""),2,1)="(",LEFT(IFERROR(INDEX(醫師週班表!$C$5:$T$44,$CU37,V$57),""),1),IFERROR(INDEX(醫師週班表!$C$5:$T$44,$CU37,V$57),"")))))))</f>
        <v/>
      </c>
      <c r="W37" s="71">
        <f>IF(W$59="X","",IF(W$59&lt;&gt;"",W$59,IF(IFERROR(INDEX(醫師週班表!$C$5:$T$44,$CU37,W$57),"")=0,"",IF(MID(IFERROR(INDEX(醫師週班表!$C$5:$T$44,$CU37,W$57),""),2,1)="/",MID(IFERROR(INDEX(醫師週班表!$C$5:$T$44,$CU37,W$57),""),1+W$58*2,1),IF(MID(IFERROR(INDEX(醫師週班表!$C$5:$T$44,$CU37,W$57),""),3,1)="隔",IF(W$58=0,LEFT(IFERROR(INDEX(醫師週班表!$C$5:$T$44,$CU37,W$57),""),1),""),IF(MID(IFERROR(INDEX(醫師週班表!$C$5:$T$44,$CU37,W$57),""),2,1)="(",LEFT(IFERROR(INDEX(醫師週班表!$C$5:$T$44,$CU37,W$57),""),1),IFERROR(INDEX(醫師週班表!$C$5:$T$44,$CU37,W$57),"")))))))</f>
        <v/>
      </c>
      <c r="X37" s="72">
        <f>IF(X$59="X","",IF(X$59&lt;&gt;"",X$59,IF(IFERROR(INDEX(醫師週班表!$C$5:$T$44,$CU37,X$57),"")=0,"",IF(MID(IFERROR(INDEX(醫師週班表!$C$5:$T$44,$CU37,X$57),""),2,1)="/",MID(IFERROR(INDEX(醫師週班表!$C$5:$T$44,$CU37,X$57),""),1+X$58*2,1),IF(MID(IFERROR(INDEX(醫師週班表!$C$5:$T$44,$CU37,X$57),""),3,1)="隔",IF(X$58=0,LEFT(IFERROR(INDEX(醫師週班表!$C$5:$T$44,$CU37,X$57),""),1),""),IF(MID(IFERROR(INDEX(醫師週班表!$C$5:$T$44,$CU37,X$57),""),2,1)="(",LEFT(IFERROR(INDEX(醫師週班表!$C$5:$T$44,$CU37,X$57),""),1),IFERROR(INDEX(醫師週班表!$C$5:$T$44,$CU37,X$57),"")))))))</f>
        <v/>
      </c>
      <c r="Y37" s="72">
        <f>IF(Y$59="X","",IF(Y$59&lt;&gt;"",Y$59,IF(IFERROR(INDEX(醫師週班表!$C$5:$T$44,$CU37,Y$57),"")=0,"",IF(MID(IFERROR(INDEX(醫師週班表!$C$5:$T$44,$CU37,Y$57),""),2,1)="/",MID(IFERROR(INDEX(醫師週班表!$C$5:$T$44,$CU37,Y$57),""),1+Y$58*2,1),IF(MID(IFERROR(INDEX(醫師週班表!$C$5:$T$44,$CU37,Y$57),""),3,1)="隔",IF(Y$58=0,LEFT(IFERROR(INDEX(醫師週班表!$C$5:$T$44,$CU37,Y$57),""),1),""),IF(MID(IFERROR(INDEX(醫師週班表!$C$5:$T$44,$CU37,Y$57),""),2,1)="(",LEFT(IFERROR(INDEX(醫師週班表!$C$5:$T$44,$CU37,Y$57),""),1),IFERROR(INDEX(醫師週班表!$C$5:$T$44,$CU37,Y$57),"")))))))</f>
        <v/>
      </c>
      <c r="Z37" s="71">
        <f>IF(Z$59="X","",IF(Z$59&lt;&gt;"",Z$59,IF(IFERROR(INDEX(醫師週班表!$C$5:$T$44,$CU37,Z$57),"")=0,"",IF(MID(IFERROR(INDEX(醫師週班表!$C$5:$T$44,$CU37,Z$57),""),2,1)="/",MID(IFERROR(INDEX(醫師週班表!$C$5:$T$44,$CU37,Z$57),""),1+Z$58*2,1),IF(MID(IFERROR(INDEX(醫師週班表!$C$5:$T$44,$CU37,Z$57),""),3,1)="隔",IF(Z$58=0,LEFT(IFERROR(INDEX(醫師週班表!$C$5:$T$44,$CU37,Z$57),""),1),""),IF(MID(IFERROR(INDEX(醫師週班表!$C$5:$T$44,$CU37,Z$57),""),2,1)="(",LEFT(IFERROR(INDEX(醫師週班表!$C$5:$T$44,$CU37,Z$57),""),1),IFERROR(INDEX(醫師週班表!$C$5:$T$44,$CU37,Z$57),"")))))))</f>
        <v/>
      </c>
      <c r="AA37" s="72">
        <f>IF(AA$59="X","",IF(AA$59&lt;&gt;"",AA$59,IF(IFERROR(INDEX(醫師週班表!$C$5:$T$44,$CU37,AA$57),"")=0,"",IF(MID(IFERROR(INDEX(醫師週班表!$C$5:$T$44,$CU37,AA$57),""),2,1)="/",MID(IFERROR(INDEX(醫師週班表!$C$5:$T$44,$CU37,AA$57),""),1+AA$58*2,1),IF(MID(IFERROR(INDEX(醫師週班表!$C$5:$T$44,$CU37,AA$57),""),3,1)="隔",IF(AA$58=0,LEFT(IFERROR(INDEX(醫師週班表!$C$5:$T$44,$CU37,AA$57),""),1),""),IF(MID(IFERROR(INDEX(醫師週班表!$C$5:$T$44,$CU37,AA$57),""),2,1)="(",LEFT(IFERROR(INDEX(醫師週班表!$C$5:$T$44,$CU37,AA$57),""),1),IFERROR(INDEX(醫師週班表!$C$5:$T$44,$CU37,AA$57),"")))))))</f>
        <v/>
      </c>
      <c r="AB37" s="72">
        <f>IF(AB$59="X","",IF(AB$59&lt;&gt;"",AB$59,IF(IFERROR(INDEX(醫師週班表!$C$5:$T$44,$CU37,AB$57),"")=0,"",IF(MID(IFERROR(INDEX(醫師週班表!$C$5:$T$44,$CU37,AB$57),""),2,1)="/",MID(IFERROR(INDEX(醫師週班表!$C$5:$T$44,$CU37,AB$57),""),1+AB$58*2,1),IF(MID(IFERROR(INDEX(醫師週班表!$C$5:$T$44,$CU37,AB$57),""),3,1)="隔",IF(AB$58=0,LEFT(IFERROR(INDEX(醫師週班表!$C$5:$T$44,$CU37,AB$57),""),1),""),IF(MID(IFERROR(INDEX(醫師週班表!$C$5:$T$44,$CU37,AB$57),""),2,1)="(",LEFT(IFERROR(INDEX(醫師週班表!$C$5:$T$44,$CU37,AB$57),""),1),IFERROR(INDEX(醫師週班表!$C$5:$T$44,$CU37,AB$57),"")))))))</f>
        <v/>
      </c>
      <c r="AC37" s="71">
        <f>IF(AC$59="X","",IF(AC$59&lt;&gt;"",AC$59,IF(IFERROR(INDEX(醫師週班表!$C$5:$T$44,$CU37,AC$57),"")=0,"",IF(MID(IFERROR(INDEX(醫師週班表!$C$5:$T$44,$CU37,AC$57),""),2,1)="/",MID(IFERROR(INDEX(醫師週班表!$C$5:$T$44,$CU37,AC$57),""),1+AC$58*2,1),IF(MID(IFERROR(INDEX(醫師週班表!$C$5:$T$44,$CU37,AC$57),""),3,1)="隔",IF(AC$58=0,LEFT(IFERROR(INDEX(醫師週班表!$C$5:$T$44,$CU37,AC$57),""),1),""),IF(MID(IFERROR(INDEX(醫師週班表!$C$5:$T$44,$CU37,AC$57),""),2,1)="(",LEFT(IFERROR(INDEX(醫師週班表!$C$5:$T$44,$CU37,AC$57),""),1),IFERROR(INDEX(醫師週班表!$C$5:$T$44,$CU37,AC$57),"")))))))</f>
        <v/>
      </c>
      <c r="AD37" s="72">
        <f>IF(AD$59="X","",IF(AD$59&lt;&gt;"",AD$59,IF(IFERROR(INDEX(醫師週班表!$C$5:$T$44,$CU37,AD$57),"")=0,"",IF(MID(IFERROR(INDEX(醫師週班表!$C$5:$T$44,$CU37,AD$57),""),2,1)="/",MID(IFERROR(INDEX(醫師週班表!$C$5:$T$44,$CU37,AD$57),""),1+AD$58*2,1),IF(MID(IFERROR(INDEX(醫師週班表!$C$5:$T$44,$CU37,AD$57),""),3,1)="隔",IF(AD$58=0,LEFT(IFERROR(INDEX(醫師週班表!$C$5:$T$44,$CU37,AD$57),""),1),""),IF(MID(IFERROR(INDEX(醫師週班表!$C$5:$T$44,$CU37,AD$57),""),2,1)="(",LEFT(IFERROR(INDEX(醫師週班表!$C$5:$T$44,$CU37,AD$57),""),1),IFERROR(INDEX(醫師週班表!$C$5:$T$44,$CU37,AD$57),"")))))))</f>
        <v/>
      </c>
      <c r="AE37" s="72">
        <f>IF(AE$59="X","",IF(AE$59&lt;&gt;"",AE$59,IF(IFERROR(INDEX(醫師週班表!$C$5:$T$44,$CU37,AE$57),"")=0,"",IF(MID(IFERROR(INDEX(醫師週班表!$C$5:$T$44,$CU37,AE$57),""),2,1)="/",MID(IFERROR(INDEX(醫師週班表!$C$5:$T$44,$CU37,AE$57),""),1+AE$58*2,1),IF(MID(IFERROR(INDEX(醫師週班表!$C$5:$T$44,$CU37,AE$57),""),3,1)="隔",IF(AE$58=0,LEFT(IFERROR(INDEX(醫師週班表!$C$5:$T$44,$CU37,AE$57),""),1),""),IF(MID(IFERROR(INDEX(醫師週班表!$C$5:$T$44,$CU37,AE$57),""),2,1)="(",LEFT(IFERROR(INDEX(醫師週班表!$C$5:$T$44,$CU37,AE$57),""),1),IFERROR(INDEX(醫師週班表!$C$5:$T$44,$CU37,AE$57),"")))))))</f>
        <v/>
      </c>
      <c r="AF37" s="71">
        <f>IF(AF$59="X","",IF(AF$59&lt;&gt;"",AF$59,IF(IFERROR(INDEX(醫師週班表!$C$5:$T$44,$CU37,AF$57),"")=0,"",IF(MID(IFERROR(INDEX(醫師週班表!$C$5:$T$44,$CU37,AF$57),""),2,1)="/",MID(IFERROR(INDEX(醫師週班表!$C$5:$T$44,$CU37,AF$57),""),1+AF$58*2,1),IF(MID(IFERROR(INDEX(醫師週班表!$C$5:$T$44,$CU37,AF$57),""),3,1)="隔",IF(AF$58=0,LEFT(IFERROR(INDEX(醫師週班表!$C$5:$T$44,$CU37,AF$57),""),1),""),IF(MID(IFERROR(INDEX(醫師週班表!$C$5:$T$44,$CU37,AF$57),""),2,1)="(",LEFT(IFERROR(INDEX(醫師週班表!$C$5:$T$44,$CU37,AF$57),""),1),IFERROR(INDEX(醫師週班表!$C$5:$T$44,$CU37,AF$57),"")))))))</f>
        <v/>
      </c>
      <c r="AG37" s="72">
        <f>IF(AG$59="X","",IF(AG$59&lt;&gt;"",AG$59,IF(IFERROR(INDEX(醫師週班表!$C$5:$T$44,$CU37,AG$57),"")=0,"",IF(MID(IFERROR(INDEX(醫師週班表!$C$5:$T$44,$CU37,AG$57),""),2,1)="/",MID(IFERROR(INDEX(醫師週班表!$C$5:$T$44,$CU37,AG$57),""),1+AG$58*2,1),IF(MID(IFERROR(INDEX(醫師週班表!$C$5:$T$44,$CU37,AG$57),""),3,1)="隔",IF(AG$58=0,LEFT(IFERROR(INDEX(醫師週班表!$C$5:$T$44,$CU37,AG$57),""),1),""),IF(MID(IFERROR(INDEX(醫師週班表!$C$5:$T$44,$CU37,AG$57),""),2,1)="(",LEFT(IFERROR(INDEX(醫師週班表!$C$5:$T$44,$CU37,AG$57),""),1),IFERROR(INDEX(醫師週班表!$C$5:$T$44,$CU37,AG$57),"")))))))</f>
        <v/>
      </c>
      <c r="AH37" s="72">
        <f>IF(AH$59="X","",IF(AH$59&lt;&gt;"",AH$59,IF(IFERROR(INDEX(醫師週班表!$C$5:$T$44,$CU37,AH$57),"")=0,"",IF(MID(IFERROR(INDEX(醫師週班表!$C$5:$T$44,$CU37,AH$57),""),2,1)="/",MID(IFERROR(INDEX(醫師週班表!$C$5:$T$44,$CU37,AH$57),""),1+AH$58*2,1),IF(MID(IFERROR(INDEX(醫師週班表!$C$5:$T$44,$CU37,AH$57),""),3,1)="隔",IF(AH$58=0,LEFT(IFERROR(INDEX(醫師週班表!$C$5:$T$44,$CU37,AH$57),""),1),""),IF(MID(IFERROR(INDEX(醫師週班表!$C$5:$T$44,$CU37,AH$57),""),2,1)="(",LEFT(IFERROR(INDEX(醫師週班表!$C$5:$T$44,$CU37,AH$57),""),1),IFERROR(INDEX(醫師週班表!$C$5:$T$44,$CU37,AH$57),"")))))))</f>
        <v/>
      </c>
      <c r="AI37" s="71">
        <f>IF(AI$59="X","",IF(AI$59&lt;&gt;"",AI$59,IF(IFERROR(INDEX(醫師週班表!$C$5:$T$44,$CU37,AI$57),"")=0,"",IF(MID(IFERROR(INDEX(醫師週班表!$C$5:$T$44,$CU37,AI$57),""),2,1)="/",MID(IFERROR(INDEX(醫師週班表!$C$5:$T$44,$CU37,AI$57),""),1+AI$58*2,1),IF(MID(IFERROR(INDEX(醫師週班表!$C$5:$T$44,$CU37,AI$57),""),3,1)="隔",IF(AI$58=0,LEFT(IFERROR(INDEX(醫師週班表!$C$5:$T$44,$CU37,AI$57),""),1),""),IF(MID(IFERROR(INDEX(醫師週班表!$C$5:$T$44,$CU37,AI$57),""),2,1)="(",LEFT(IFERROR(INDEX(醫師週班表!$C$5:$T$44,$CU37,AI$57),""),1),IFERROR(INDEX(醫師週班表!$C$5:$T$44,$CU37,AI$57),"")))))))</f>
        <v/>
      </c>
      <c r="AJ37" s="72">
        <f>IF(AJ$59="X","",IF(AJ$59&lt;&gt;"",AJ$59,IF(IFERROR(INDEX(醫師週班表!$C$5:$T$44,$CU37,AJ$57),"")=0,"",IF(MID(IFERROR(INDEX(醫師週班表!$C$5:$T$44,$CU37,AJ$57),""),2,1)="/",MID(IFERROR(INDEX(醫師週班表!$C$5:$T$44,$CU37,AJ$57),""),1+AJ$58*2,1),IF(MID(IFERROR(INDEX(醫師週班表!$C$5:$T$44,$CU37,AJ$57),""),3,1)="隔",IF(AJ$58=0,LEFT(IFERROR(INDEX(醫師週班表!$C$5:$T$44,$CU37,AJ$57),""),1),""),IF(MID(IFERROR(INDEX(醫師週班表!$C$5:$T$44,$CU37,AJ$57),""),2,1)="(",LEFT(IFERROR(INDEX(醫師週班表!$C$5:$T$44,$CU37,AJ$57),""),1),IFERROR(INDEX(醫師週班表!$C$5:$T$44,$CU37,AJ$57),"")))))))</f>
        <v/>
      </c>
      <c r="AK37" s="72">
        <f>IF(AK$59="X","",IF(AK$59&lt;&gt;"",AK$59,IF(IFERROR(INDEX(醫師週班表!$C$5:$T$44,$CU37,AK$57),"")=0,"",IF(MID(IFERROR(INDEX(醫師週班表!$C$5:$T$44,$CU37,AK$57),""),2,1)="/",MID(IFERROR(INDEX(醫師週班表!$C$5:$T$44,$CU37,AK$57),""),1+AK$58*2,1),IF(MID(IFERROR(INDEX(醫師週班表!$C$5:$T$44,$CU37,AK$57),""),3,1)="隔",IF(AK$58=0,LEFT(IFERROR(INDEX(醫師週班表!$C$5:$T$44,$CU37,AK$57),""),1),""),IF(MID(IFERROR(INDEX(醫師週班表!$C$5:$T$44,$CU37,AK$57),""),2,1)="(",LEFT(IFERROR(INDEX(醫師週班表!$C$5:$T$44,$CU37,AK$57),""),1),IFERROR(INDEX(醫師週班表!$C$5:$T$44,$CU37,AK$57),"")))))))</f>
        <v/>
      </c>
      <c r="AL37" s="71">
        <f>IF(AL$59="X","",IF(AL$59&lt;&gt;"",AL$59,IF(IFERROR(INDEX(醫師週班表!$C$5:$T$44,$CU37,AL$57),"")=0,"",IF(MID(IFERROR(INDEX(醫師週班表!$C$5:$T$44,$CU37,AL$57),""),2,1)="/",MID(IFERROR(INDEX(醫師週班表!$C$5:$T$44,$CU37,AL$57),""),1+AL$58*2,1),IF(MID(IFERROR(INDEX(醫師週班表!$C$5:$T$44,$CU37,AL$57),""),3,1)="隔",IF(AL$58=0,LEFT(IFERROR(INDEX(醫師週班表!$C$5:$T$44,$CU37,AL$57),""),1),""),IF(MID(IFERROR(INDEX(醫師週班表!$C$5:$T$44,$CU37,AL$57),""),2,1)="(",LEFT(IFERROR(INDEX(醫師週班表!$C$5:$T$44,$CU37,AL$57),""),1),IFERROR(INDEX(醫師週班表!$C$5:$T$44,$CU37,AL$57),"")))))))</f>
        <v/>
      </c>
      <c r="AM37" s="72">
        <f>IF(AM$59="X","",IF(AM$59&lt;&gt;"",AM$59,IF(IFERROR(INDEX(醫師週班表!$C$5:$T$44,$CU37,AM$57),"")=0,"",IF(MID(IFERROR(INDEX(醫師週班表!$C$5:$T$44,$CU37,AM$57),""),2,1)="/",MID(IFERROR(INDEX(醫師週班表!$C$5:$T$44,$CU37,AM$57),""),1+AM$58*2,1),IF(MID(IFERROR(INDEX(醫師週班表!$C$5:$T$44,$CU37,AM$57),""),3,1)="隔",IF(AM$58=0,LEFT(IFERROR(INDEX(醫師週班表!$C$5:$T$44,$CU37,AM$57),""),1),""),IF(MID(IFERROR(INDEX(醫師週班表!$C$5:$T$44,$CU37,AM$57),""),2,1)="(",LEFT(IFERROR(INDEX(醫師週班表!$C$5:$T$44,$CU37,AM$57),""),1),IFERROR(INDEX(醫師週班表!$C$5:$T$44,$CU37,AM$57),"")))))))</f>
        <v/>
      </c>
      <c r="AN37" s="72">
        <f>IF(AN$59="X","",IF(AN$59&lt;&gt;"",AN$59,IF(IFERROR(INDEX(醫師週班表!$C$5:$T$44,$CU37,AN$57),"")=0,"",IF(MID(IFERROR(INDEX(醫師週班表!$C$5:$T$44,$CU37,AN$57),""),2,1)="/",MID(IFERROR(INDEX(醫師週班表!$C$5:$T$44,$CU37,AN$57),""),1+AN$58*2,1),IF(MID(IFERROR(INDEX(醫師週班表!$C$5:$T$44,$CU37,AN$57),""),3,1)="隔",IF(AN$58=0,LEFT(IFERROR(INDEX(醫師週班表!$C$5:$T$44,$CU37,AN$57),""),1),""),IF(MID(IFERROR(INDEX(醫師週班表!$C$5:$T$44,$CU37,AN$57),""),2,1)="(",LEFT(IFERROR(INDEX(醫師週班表!$C$5:$T$44,$CU37,AN$57),""),1),IFERROR(INDEX(醫師週班表!$C$5:$T$44,$CU37,AN$57),"")))))))</f>
        <v/>
      </c>
      <c r="AO37" s="71">
        <f>IF(AO$59="X","",IF(AO$59&lt;&gt;"",AO$59,IF(IFERROR(INDEX(醫師週班表!$C$5:$T$44,$CU37,AO$57),"")=0,"",IF(MID(IFERROR(INDEX(醫師週班表!$C$5:$T$44,$CU37,AO$57),""),2,1)="/",MID(IFERROR(INDEX(醫師週班表!$C$5:$T$44,$CU37,AO$57),""),1+AO$58*2,1),IF(MID(IFERROR(INDEX(醫師週班表!$C$5:$T$44,$CU37,AO$57),""),3,1)="隔",IF(AO$58=0,LEFT(IFERROR(INDEX(醫師週班表!$C$5:$T$44,$CU37,AO$57),""),1),""),IF(MID(IFERROR(INDEX(醫師週班表!$C$5:$T$44,$CU37,AO$57),""),2,1)="(",LEFT(IFERROR(INDEX(醫師週班表!$C$5:$T$44,$CU37,AO$57),""),1),IFERROR(INDEX(醫師週班表!$C$5:$T$44,$CU37,AO$57),"")))))))</f>
        <v/>
      </c>
      <c r="AP37" s="72">
        <f>IF(AP$59="X","",IF(AP$59&lt;&gt;"",AP$59,IF(IFERROR(INDEX(醫師週班表!$C$5:$T$44,$CU37,AP$57),"")=0,"",IF(MID(IFERROR(INDEX(醫師週班表!$C$5:$T$44,$CU37,AP$57),""),2,1)="/",MID(IFERROR(INDEX(醫師週班表!$C$5:$T$44,$CU37,AP$57),""),1+AP$58*2,1),IF(MID(IFERROR(INDEX(醫師週班表!$C$5:$T$44,$CU37,AP$57),""),3,1)="隔",IF(AP$58=0,LEFT(IFERROR(INDEX(醫師週班表!$C$5:$T$44,$CU37,AP$57),""),1),""),IF(MID(IFERROR(INDEX(醫師週班表!$C$5:$T$44,$CU37,AP$57),""),2,1)="(",LEFT(IFERROR(INDEX(醫師週班表!$C$5:$T$44,$CU37,AP$57),""),1),IFERROR(INDEX(醫師週班表!$C$5:$T$44,$CU37,AP$57),"")))))))</f>
        <v/>
      </c>
      <c r="AQ37" s="72">
        <f>IF(AQ$59="X","",IF(AQ$59&lt;&gt;"",AQ$59,IF(IFERROR(INDEX(醫師週班表!$C$5:$T$44,$CU37,AQ$57),"")=0,"",IF(MID(IFERROR(INDEX(醫師週班表!$C$5:$T$44,$CU37,AQ$57),""),2,1)="/",MID(IFERROR(INDEX(醫師週班表!$C$5:$T$44,$CU37,AQ$57),""),1+AQ$58*2,1),IF(MID(IFERROR(INDEX(醫師週班表!$C$5:$T$44,$CU37,AQ$57),""),3,1)="隔",IF(AQ$58=0,LEFT(IFERROR(INDEX(醫師週班表!$C$5:$T$44,$CU37,AQ$57),""),1),""),IF(MID(IFERROR(INDEX(醫師週班表!$C$5:$T$44,$CU37,AQ$57),""),2,1)="(",LEFT(IFERROR(INDEX(醫師週班表!$C$5:$T$44,$CU37,AQ$57),""),1),IFERROR(INDEX(醫師週班表!$C$5:$T$44,$CU37,AQ$57),"")))))))</f>
        <v/>
      </c>
      <c r="AR37" s="71">
        <f>IF(AR$59="X","",IF(AR$59&lt;&gt;"",AR$59,IF(IFERROR(INDEX(醫師週班表!$C$5:$T$44,$CU37,AR$57),"")=0,"",IF(MID(IFERROR(INDEX(醫師週班表!$C$5:$T$44,$CU37,AR$57),""),2,1)="/",MID(IFERROR(INDEX(醫師週班表!$C$5:$T$44,$CU37,AR$57),""),1+AR$58*2,1),IF(MID(IFERROR(INDEX(醫師週班表!$C$5:$T$44,$CU37,AR$57),""),3,1)="隔",IF(AR$58=0,LEFT(IFERROR(INDEX(醫師週班表!$C$5:$T$44,$CU37,AR$57),""),1),""),IF(MID(IFERROR(INDEX(醫師週班表!$C$5:$T$44,$CU37,AR$57),""),2,1)="(",LEFT(IFERROR(INDEX(醫師週班表!$C$5:$T$44,$CU37,AR$57),""),1),IFERROR(INDEX(醫師週班表!$C$5:$T$44,$CU37,AR$57),"")))))))</f>
        <v/>
      </c>
      <c r="AS37" s="72">
        <f>IF(AS$59="X","",IF(AS$59&lt;&gt;"",AS$59,IF(IFERROR(INDEX(醫師週班表!$C$5:$T$44,$CU37,AS$57),"")=0,"",IF(MID(IFERROR(INDEX(醫師週班表!$C$5:$T$44,$CU37,AS$57),""),2,1)="/",MID(IFERROR(INDEX(醫師週班表!$C$5:$T$44,$CU37,AS$57),""),1+AS$58*2,1),IF(MID(IFERROR(INDEX(醫師週班表!$C$5:$T$44,$CU37,AS$57),""),3,1)="隔",IF(AS$58=0,LEFT(IFERROR(INDEX(醫師週班表!$C$5:$T$44,$CU37,AS$57),""),1),""),IF(MID(IFERROR(INDEX(醫師週班表!$C$5:$T$44,$CU37,AS$57),""),2,1)="(",LEFT(IFERROR(INDEX(醫師週班表!$C$5:$T$44,$CU37,AS$57),""),1),IFERROR(INDEX(醫師週班表!$C$5:$T$44,$CU37,AS$57),"")))))))</f>
        <v/>
      </c>
      <c r="AT37" s="72">
        <f>IF(AT$59="X","",IF(AT$59&lt;&gt;"",AT$59,IF(IFERROR(INDEX(醫師週班表!$C$5:$T$44,$CU37,AT$57),"")=0,"",IF(MID(IFERROR(INDEX(醫師週班表!$C$5:$T$44,$CU37,AT$57),""),2,1)="/",MID(IFERROR(INDEX(醫師週班表!$C$5:$T$44,$CU37,AT$57),""),1+AT$58*2,1),IF(MID(IFERROR(INDEX(醫師週班表!$C$5:$T$44,$CU37,AT$57),""),3,1)="隔",IF(AT$58=0,LEFT(IFERROR(INDEX(醫師週班表!$C$5:$T$44,$CU37,AT$57),""),1),""),IF(MID(IFERROR(INDEX(醫師週班表!$C$5:$T$44,$CU37,AT$57),""),2,1)="(",LEFT(IFERROR(INDEX(醫師週班表!$C$5:$T$44,$CU37,AT$57),""),1),IFERROR(INDEX(醫師週班表!$C$5:$T$44,$CU37,AT$57),"")))))))</f>
        <v/>
      </c>
      <c r="AU37" s="71">
        <f>IF(AU$59="X","",IF(AU$59&lt;&gt;"",AU$59,IF(IFERROR(INDEX(醫師週班表!$C$5:$T$44,$CU37,AU$57),"")=0,"",IF(MID(IFERROR(INDEX(醫師週班表!$C$5:$T$44,$CU37,AU$57),""),2,1)="/",MID(IFERROR(INDEX(醫師週班表!$C$5:$T$44,$CU37,AU$57),""),1+AU$58*2,1),IF(MID(IFERROR(INDEX(醫師週班表!$C$5:$T$44,$CU37,AU$57),""),3,1)="隔",IF(AU$58=0,LEFT(IFERROR(INDEX(醫師週班表!$C$5:$T$44,$CU37,AU$57),""),1),""),IF(MID(IFERROR(INDEX(醫師週班表!$C$5:$T$44,$CU37,AU$57),""),2,1)="(",LEFT(IFERROR(INDEX(醫師週班表!$C$5:$T$44,$CU37,AU$57),""),1),IFERROR(INDEX(醫師週班表!$C$5:$T$44,$CU37,AU$57),"")))))))</f>
        <v/>
      </c>
      <c r="AV37" s="72">
        <f>IF(AV$59="X","",IF(AV$59&lt;&gt;"",AV$59,IF(IFERROR(INDEX(醫師週班表!$C$5:$T$44,$CU37,AV$57),"")=0,"",IF(MID(IFERROR(INDEX(醫師週班表!$C$5:$T$44,$CU37,AV$57),""),2,1)="/",MID(IFERROR(INDEX(醫師週班表!$C$5:$T$44,$CU37,AV$57),""),1+AV$58*2,1),IF(MID(IFERROR(INDEX(醫師週班表!$C$5:$T$44,$CU37,AV$57),""),3,1)="隔",IF(AV$58=0,LEFT(IFERROR(INDEX(醫師週班表!$C$5:$T$44,$CU37,AV$57),""),1),""),IF(MID(IFERROR(INDEX(醫師週班表!$C$5:$T$44,$CU37,AV$57),""),2,1)="(",LEFT(IFERROR(INDEX(醫師週班表!$C$5:$T$44,$CU37,AV$57),""),1),IFERROR(INDEX(醫師週班表!$C$5:$T$44,$CU37,AV$57),"")))))))</f>
        <v/>
      </c>
      <c r="AW37" s="72">
        <f>IF(AW$59="X","",IF(AW$59&lt;&gt;"",AW$59,IF(IFERROR(INDEX(醫師週班表!$C$5:$T$44,$CU37,AW$57),"")=0,"",IF(MID(IFERROR(INDEX(醫師週班表!$C$5:$T$44,$CU37,AW$57),""),2,1)="/",MID(IFERROR(INDEX(醫師週班表!$C$5:$T$44,$CU37,AW$57),""),1+AW$58*2,1),IF(MID(IFERROR(INDEX(醫師週班表!$C$5:$T$44,$CU37,AW$57),""),3,1)="隔",IF(AW$58=0,LEFT(IFERROR(INDEX(醫師週班表!$C$5:$T$44,$CU37,AW$57),""),1),""),IF(MID(IFERROR(INDEX(醫師週班表!$C$5:$T$44,$CU37,AW$57),""),2,1)="(",LEFT(IFERROR(INDEX(醫師週班表!$C$5:$T$44,$CU37,AW$57),""),1),IFERROR(INDEX(醫師週班表!$C$5:$T$44,$CU37,AW$57),"")))))))</f>
        <v/>
      </c>
      <c r="AX37" s="71">
        <f>IF(AX$59="X","",IF(AX$59&lt;&gt;"",AX$59,IF(IFERROR(INDEX(醫師週班表!$C$5:$T$44,$CU37,AX$57),"")=0,"",IF(MID(IFERROR(INDEX(醫師週班表!$C$5:$T$44,$CU37,AX$57),""),2,1)="/",MID(IFERROR(INDEX(醫師週班表!$C$5:$T$44,$CU37,AX$57),""),1+AX$58*2,1),IF(MID(IFERROR(INDEX(醫師週班表!$C$5:$T$44,$CU37,AX$57),""),3,1)="隔",IF(AX$58=0,LEFT(IFERROR(INDEX(醫師週班表!$C$5:$T$44,$CU37,AX$57),""),1),""),IF(MID(IFERROR(INDEX(醫師週班表!$C$5:$T$44,$CU37,AX$57),""),2,1)="(",LEFT(IFERROR(INDEX(醫師週班表!$C$5:$T$44,$CU37,AX$57),""),1),IFERROR(INDEX(醫師週班表!$C$5:$T$44,$CU37,AX$57),"")))))))</f>
        <v/>
      </c>
      <c r="AY37" s="72">
        <f>IF(AY$59="X","",IF(AY$59&lt;&gt;"",AY$59,IF(IFERROR(INDEX(醫師週班表!$C$5:$T$44,$CU37,AY$57),"")=0,"",IF(MID(IFERROR(INDEX(醫師週班表!$C$5:$T$44,$CU37,AY$57),""),2,1)="/",MID(IFERROR(INDEX(醫師週班表!$C$5:$T$44,$CU37,AY$57),""),1+AY$58*2,1),IF(MID(IFERROR(INDEX(醫師週班表!$C$5:$T$44,$CU37,AY$57),""),3,1)="隔",IF(AY$58=0,LEFT(IFERROR(INDEX(醫師週班表!$C$5:$T$44,$CU37,AY$57),""),1),""),IF(MID(IFERROR(INDEX(醫師週班表!$C$5:$T$44,$CU37,AY$57),""),2,1)="(",LEFT(IFERROR(INDEX(醫師週班表!$C$5:$T$44,$CU37,AY$57),""),1),IFERROR(INDEX(醫師週班表!$C$5:$T$44,$CU37,AY$57),"")))))))</f>
        <v/>
      </c>
      <c r="AZ37" s="72">
        <f>IF(AZ$59="X","",IF(AZ$59&lt;&gt;"",AZ$59,IF(IFERROR(INDEX(醫師週班表!$C$5:$T$44,$CU37,AZ$57),"")=0,"",IF(MID(IFERROR(INDEX(醫師週班表!$C$5:$T$44,$CU37,AZ$57),""),2,1)="/",MID(IFERROR(INDEX(醫師週班表!$C$5:$T$44,$CU37,AZ$57),""),1+AZ$58*2,1),IF(MID(IFERROR(INDEX(醫師週班表!$C$5:$T$44,$CU37,AZ$57),""),3,1)="隔",IF(AZ$58=0,LEFT(IFERROR(INDEX(醫師週班表!$C$5:$T$44,$CU37,AZ$57),""),1),""),IF(MID(IFERROR(INDEX(醫師週班表!$C$5:$T$44,$CU37,AZ$57),""),2,1)="(",LEFT(IFERROR(INDEX(醫師週班表!$C$5:$T$44,$CU37,AZ$57),""),1),IFERROR(INDEX(醫師週班表!$C$5:$T$44,$CU37,AZ$57),"")))))))</f>
        <v/>
      </c>
      <c r="BA37" s="71">
        <f>IF(BA$59="X","",IF(BA$59&lt;&gt;"",BA$59,IF(IFERROR(INDEX(醫師週班表!$C$5:$T$44,$CU37,BA$57),"")=0,"",IF(MID(IFERROR(INDEX(醫師週班表!$C$5:$T$44,$CU37,BA$57),""),2,1)="/",MID(IFERROR(INDEX(醫師週班表!$C$5:$T$44,$CU37,BA$57),""),1+BA$58*2,1),IF(MID(IFERROR(INDEX(醫師週班表!$C$5:$T$44,$CU37,BA$57),""),3,1)="隔",IF(BA$58=0,LEFT(IFERROR(INDEX(醫師週班表!$C$5:$T$44,$CU37,BA$57),""),1),""),IF(MID(IFERROR(INDEX(醫師週班表!$C$5:$T$44,$CU37,BA$57),""),2,1)="(",LEFT(IFERROR(INDEX(醫師週班表!$C$5:$T$44,$CU37,BA$57),""),1),IFERROR(INDEX(醫師週班表!$C$5:$T$44,$CU37,BA$57),"")))))))</f>
        <v/>
      </c>
      <c r="BB37" s="72">
        <f>IF(BB$59="X","",IF(BB$59&lt;&gt;"",BB$59,IF(IFERROR(INDEX(醫師週班表!$C$5:$T$44,$CU37,BB$57),"")=0,"",IF(MID(IFERROR(INDEX(醫師週班表!$C$5:$T$44,$CU37,BB$57),""),2,1)="/",MID(IFERROR(INDEX(醫師週班表!$C$5:$T$44,$CU37,BB$57),""),1+BB$58*2,1),IF(MID(IFERROR(INDEX(醫師週班表!$C$5:$T$44,$CU37,BB$57),""),3,1)="隔",IF(BB$58=0,LEFT(IFERROR(INDEX(醫師週班表!$C$5:$T$44,$CU37,BB$57),""),1),""),IF(MID(IFERROR(INDEX(醫師週班表!$C$5:$T$44,$CU37,BB$57),""),2,1)="(",LEFT(IFERROR(INDEX(醫師週班表!$C$5:$T$44,$CU37,BB$57),""),1),IFERROR(INDEX(醫師週班表!$C$5:$T$44,$CU37,BB$57),"")))))))</f>
        <v/>
      </c>
      <c r="BC37" s="72">
        <f>IF(BC$59="X","",IF(BC$59&lt;&gt;"",BC$59,IF(IFERROR(INDEX(醫師週班表!$C$5:$T$44,$CU37,BC$57),"")=0,"",IF(MID(IFERROR(INDEX(醫師週班表!$C$5:$T$44,$CU37,BC$57),""),2,1)="/",MID(IFERROR(INDEX(醫師週班表!$C$5:$T$44,$CU37,BC$57),""),1+BC$58*2,1),IF(MID(IFERROR(INDEX(醫師週班表!$C$5:$T$44,$CU37,BC$57),""),3,1)="隔",IF(BC$58=0,LEFT(IFERROR(INDEX(醫師週班表!$C$5:$T$44,$CU37,BC$57),""),1),""),IF(MID(IFERROR(INDEX(醫師週班表!$C$5:$T$44,$CU37,BC$57),""),2,1)="(",LEFT(IFERROR(INDEX(醫師週班表!$C$5:$T$44,$CU37,BC$57),""),1),IFERROR(INDEX(醫師週班表!$C$5:$T$44,$CU37,BC$57),"")))))))</f>
        <v/>
      </c>
      <c r="BD37" s="71">
        <f>IF(BD$59="X","",IF(BD$59&lt;&gt;"",BD$59,IF(IFERROR(INDEX(醫師週班表!$C$5:$T$44,$CU37,BD$57),"")=0,"",IF(MID(IFERROR(INDEX(醫師週班表!$C$5:$T$44,$CU37,BD$57),""),2,1)="/",MID(IFERROR(INDEX(醫師週班表!$C$5:$T$44,$CU37,BD$57),""),1+BD$58*2,1),IF(MID(IFERROR(INDEX(醫師週班表!$C$5:$T$44,$CU37,BD$57),""),3,1)="隔",IF(BD$58=0,LEFT(IFERROR(INDEX(醫師週班表!$C$5:$T$44,$CU37,BD$57),""),1),""),IF(MID(IFERROR(INDEX(醫師週班表!$C$5:$T$44,$CU37,BD$57),""),2,1)="(",LEFT(IFERROR(INDEX(醫師週班表!$C$5:$T$44,$CU37,BD$57),""),1),IFERROR(INDEX(醫師週班表!$C$5:$T$44,$CU37,BD$57),"")))))))</f>
        <v/>
      </c>
      <c r="BE37" s="72">
        <f>IF(BE$59="X","",IF(BE$59&lt;&gt;"",BE$59,IF(IFERROR(INDEX(醫師週班表!$C$5:$T$44,$CU37,BE$57),"")=0,"",IF(MID(IFERROR(INDEX(醫師週班表!$C$5:$T$44,$CU37,BE$57),""),2,1)="/",MID(IFERROR(INDEX(醫師週班表!$C$5:$T$44,$CU37,BE$57),""),1+BE$58*2,1),IF(MID(IFERROR(INDEX(醫師週班表!$C$5:$T$44,$CU37,BE$57),""),3,1)="隔",IF(BE$58=0,LEFT(IFERROR(INDEX(醫師週班表!$C$5:$T$44,$CU37,BE$57),""),1),""),IF(MID(IFERROR(INDEX(醫師週班表!$C$5:$T$44,$CU37,BE$57),""),2,1)="(",LEFT(IFERROR(INDEX(醫師週班表!$C$5:$T$44,$CU37,BE$57),""),1),IFERROR(INDEX(醫師週班表!$C$5:$T$44,$CU37,BE$57),"")))))))</f>
        <v/>
      </c>
      <c r="BF37" s="72">
        <f>IF(BF$59="X","",IF(BF$59&lt;&gt;"",BF$59,IF(IFERROR(INDEX(醫師週班表!$C$5:$T$44,$CU37,BF$57),"")=0,"",IF(MID(IFERROR(INDEX(醫師週班表!$C$5:$T$44,$CU37,BF$57),""),2,1)="/",MID(IFERROR(INDEX(醫師週班表!$C$5:$T$44,$CU37,BF$57),""),1+BF$58*2,1),IF(MID(IFERROR(INDEX(醫師週班表!$C$5:$T$44,$CU37,BF$57),""),3,1)="隔",IF(BF$58=0,LEFT(IFERROR(INDEX(醫師週班表!$C$5:$T$44,$CU37,BF$57),""),1),""),IF(MID(IFERROR(INDEX(醫師週班表!$C$5:$T$44,$CU37,BF$57),""),2,1)="(",LEFT(IFERROR(INDEX(醫師週班表!$C$5:$T$44,$CU37,BF$57),""),1),IFERROR(INDEX(醫師週班表!$C$5:$T$44,$CU37,BF$57),"")))))))</f>
        <v/>
      </c>
      <c r="BG37" s="71">
        <f>IF(BG$59="X","",IF(BG$59&lt;&gt;"",BG$59,IF(IFERROR(INDEX(醫師週班表!$C$5:$T$44,$CU37,BG$57),"")=0,"",IF(MID(IFERROR(INDEX(醫師週班表!$C$5:$T$44,$CU37,BG$57),""),2,1)="/",MID(IFERROR(INDEX(醫師週班表!$C$5:$T$44,$CU37,BG$57),""),1+BG$58*2,1),IF(MID(IFERROR(INDEX(醫師週班表!$C$5:$T$44,$CU37,BG$57),""),3,1)="隔",IF(BG$58=0,LEFT(IFERROR(INDEX(醫師週班表!$C$5:$T$44,$CU37,BG$57),""),1),""),IF(MID(IFERROR(INDEX(醫師週班表!$C$5:$T$44,$CU37,BG$57),""),2,1)="(",LEFT(IFERROR(INDEX(醫師週班表!$C$5:$T$44,$CU37,BG$57),""),1),IFERROR(INDEX(醫師週班表!$C$5:$T$44,$CU37,BG$57),"")))))))</f>
        <v/>
      </c>
      <c r="BH37" s="72">
        <f>IF(BH$59="X","",IF(BH$59&lt;&gt;"",BH$59,IF(IFERROR(INDEX(醫師週班表!$C$5:$T$44,$CU37,BH$57),"")=0,"",IF(MID(IFERROR(INDEX(醫師週班表!$C$5:$T$44,$CU37,BH$57),""),2,1)="/",MID(IFERROR(INDEX(醫師週班表!$C$5:$T$44,$CU37,BH$57),""),1+BH$58*2,1),IF(MID(IFERROR(INDEX(醫師週班表!$C$5:$T$44,$CU37,BH$57),""),3,1)="隔",IF(BH$58=0,LEFT(IFERROR(INDEX(醫師週班表!$C$5:$T$44,$CU37,BH$57),""),1),""),IF(MID(IFERROR(INDEX(醫師週班表!$C$5:$T$44,$CU37,BH$57),""),2,1)="(",LEFT(IFERROR(INDEX(醫師週班表!$C$5:$T$44,$CU37,BH$57),""),1),IFERROR(INDEX(醫師週班表!$C$5:$T$44,$CU37,BH$57),"")))))))</f>
        <v/>
      </c>
      <c r="BI37" s="72">
        <f>IF(BI$59="X","",IF(BI$59&lt;&gt;"",BI$59,IF(IFERROR(INDEX(醫師週班表!$C$5:$T$44,$CU37,BI$57),"")=0,"",IF(MID(IFERROR(INDEX(醫師週班表!$C$5:$T$44,$CU37,BI$57),""),2,1)="/",MID(IFERROR(INDEX(醫師週班表!$C$5:$T$44,$CU37,BI$57),""),1+BI$58*2,1),IF(MID(IFERROR(INDEX(醫師週班表!$C$5:$T$44,$CU37,BI$57),""),3,1)="隔",IF(BI$58=0,LEFT(IFERROR(INDEX(醫師週班表!$C$5:$T$44,$CU37,BI$57),""),1),""),IF(MID(IFERROR(INDEX(醫師週班表!$C$5:$T$44,$CU37,BI$57),""),2,1)="(",LEFT(IFERROR(INDEX(醫師週班表!$C$5:$T$44,$CU37,BI$57),""),1),IFERROR(INDEX(醫師週班表!$C$5:$T$44,$CU37,BI$57),"")))))))</f>
        <v/>
      </c>
      <c r="BJ37" s="71">
        <f>IF(BJ$59="X","",IF(BJ$59&lt;&gt;"",BJ$59,IF(IFERROR(INDEX(醫師週班表!$C$5:$T$44,$CU37,BJ$57),"")=0,"",IF(MID(IFERROR(INDEX(醫師週班表!$C$5:$T$44,$CU37,BJ$57),""),2,1)="/",MID(IFERROR(INDEX(醫師週班表!$C$5:$T$44,$CU37,BJ$57),""),1+BJ$58*2,1),IF(MID(IFERROR(INDEX(醫師週班表!$C$5:$T$44,$CU37,BJ$57),""),3,1)="隔",IF(BJ$58=0,LEFT(IFERROR(INDEX(醫師週班表!$C$5:$T$44,$CU37,BJ$57),""),1),""),IF(MID(IFERROR(INDEX(醫師週班表!$C$5:$T$44,$CU37,BJ$57),""),2,1)="(",LEFT(IFERROR(INDEX(醫師週班表!$C$5:$T$44,$CU37,BJ$57),""),1),IFERROR(INDEX(醫師週班表!$C$5:$T$44,$CU37,BJ$57),"")))))))</f>
        <v/>
      </c>
      <c r="BK37" s="72">
        <f>IF(BK$59="X","",IF(BK$59&lt;&gt;"",BK$59,IF(IFERROR(INDEX(醫師週班表!$C$5:$T$44,$CU37,BK$57),"")=0,"",IF(MID(IFERROR(INDEX(醫師週班表!$C$5:$T$44,$CU37,BK$57),""),2,1)="/",MID(IFERROR(INDEX(醫師週班表!$C$5:$T$44,$CU37,BK$57),""),1+BK$58*2,1),IF(MID(IFERROR(INDEX(醫師週班表!$C$5:$T$44,$CU37,BK$57),""),3,1)="隔",IF(BK$58=0,LEFT(IFERROR(INDEX(醫師週班表!$C$5:$T$44,$CU37,BK$57),""),1),""),IF(MID(IFERROR(INDEX(醫師週班表!$C$5:$T$44,$CU37,BK$57),""),2,1)="(",LEFT(IFERROR(INDEX(醫師週班表!$C$5:$T$44,$CU37,BK$57),""),1),IFERROR(INDEX(醫師週班表!$C$5:$T$44,$CU37,BK$57),"")))))))</f>
        <v/>
      </c>
      <c r="BL37" s="72">
        <f>IF(BL$59="X","",IF(BL$59&lt;&gt;"",BL$59,IF(IFERROR(INDEX(醫師週班表!$C$5:$T$44,$CU37,BL$57),"")=0,"",IF(MID(IFERROR(INDEX(醫師週班表!$C$5:$T$44,$CU37,BL$57),""),2,1)="/",MID(IFERROR(INDEX(醫師週班表!$C$5:$T$44,$CU37,BL$57),""),1+BL$58*2,1),IF(MID(IFERROR(INDEX(醫師週班表!$C$5:$T$44,$CU37,BL$57),""),3,1)="隔",IF(BL$58=0,LEFT(IFERROR(INDEX(醫師週班表!$C$5:$T$44,$CU37,BL$57),""),1),""),IF(MID(IFERROR(INDEX(醫師週班表!$C$5:$T$44,$CU37,BL$57),""),2,1)="(",LEFT(IFERROR(INDEX(醫師週班表!$C$5:$T$44,$CU37,BL$57),""),1),IFERROR(INDEX(醫師週班表!$C$5:$T$44,$CU37,BL$57),"")))))))</f>
        <v/>
      </c>
      <c r="BM37" s="71">
        <f>IF(BM$59="X","",IF(BM$59&lt;&gt;"",BM$59,IF(IFERROR(INDEX(醫師週班表!$C$5:$T$44,$CU37,BM$57),"")=0,"",IF(MID(IFERROR(INDEX(醫師週班表!$C$5:$T$44,$CU37,BM$57),""),2,1)="/",MID(IFERROR(INDEX(醫師週班表!$C$5:$T$44,$CU37,BM$57),""),1+BM$58*2,1),IF(MID(IFERROR(INDEX(醫師週班表!$C$5:$T$44,$CU37,BM$57),""),3,1)="隔",IF(BM$58=0,LEFT(IFERROR(INDEX(醫師週班表!$C$5:$T$44,$CU37,BM$57),""),1),""),IF(MID(IFERROR(INDEX(醫師週班表!$C$5:$T$44,$CU37,BM$57),""),2,1)="(",LEFT(IFERROR(INDEX(醫師週班表!$C$5:$T$44,$CU37,BM$57),""),1),IFERROR(INDEX(醫師週班表!$C$5:$T$44,$CU37,BM$57),"")))))))</f>
        <v/>
      </c>
      <c r="BN37" s="72">
        <f>IF(BN$59="X","",IF(BN$59&lt;&gt;"",BN$59,IF(IFERROR(INDEX(醫師週班表!$C$5:$T$44,$CU37,BN$57),"")=0,"",IF(MID(IFERROR(INDEX(醫師週班表!$C$5:$T$44,$CU37,BN$57),""),2,1)="/",MID(IFERROR(INDEX(醫師週班表!$C$5:$T$44,$CU37,BN$57),""),1+BN$58*2,1),IF(MID(IFERROR(INDEX(醫師週班表!$C$5:$T$44,$CU37,BN$57),""),3,1)="隔",IF(BN$58=0,LEFT(IFERROR(INDEX(醫師週班表!$C$5:$T$44,$CU37,BN$57),""),1),""),IF(MID(IFERROR(INDEX(醫師週班表!$C$5:$T$44,$CU37,BN$57),""),2,1)="(",LEFT(IFERROR(INDEX(醫師週班表!$C$5:$T$44,$CU37,BN$57),""),1),IFERROR(INDEX(醫師週班表!$C$5:$T$44,$CU37,BN$57),"")))))))</f>
        <v/>
      </c>
      <c r="BO37" s="72">
        <f>IF(BO$59="X","",IF(BO$59&lt;&gt;"",BO$59,IF(IFERROR(INDEX(醫師週班表!$C$5:$T$44,$CU37,BO$57),"")=0,"",IF(MID(IFERROR(INDEX(醫師週班表!$C$5:$T$44,$CU37,BO$57),""),2,1)="/",MID(IFERROR(INDEX(醫師週班表!$C$5:$T$44,$CU37,BO$57),""),1+BO$58*2,1),IF(MID(IFERROR(INDEX(醫師週班表!$C$5:$T$44,$CU37,BO$57),""),3,1)="隔",IF(BO$58=0,LEFT(IFERROR(INDEX(醫師週班表!$C$5:$T$44,$CU37,BO$57),""),1),""),IF(MID(IFERROR(INDEX(醫師週班表!$C$5:$T$44,$CU37,BO$57),""),2,1)="(",LEFT(IFERROR(INDEX(醫師週班表!$C$5:$T$44,$CU37,BO$57),""),1),IFERROR(INDEX(醫師週班表!$C$5:$T$44,$CU37,BO$57),"")))))))</f>
        <v/>
      </c>
      <c r="BP37" s="71">
        <f>IF(BP$59="X","",IF(BP$59&lt;&gt;"",BP$59,IF(IFERROR(INDEX(醫師週班表!$C$5:$T$44,$CU37,BP$57),"")=0,"",IF(MID(IFERROR(INDEX(醫師週班表!$C$5:$T$44,$CU37,BP$57),""),2,1)="/",MID(IFERROR(INDEX(醫師週班表!$C$5:$T$44,$CU37,BP$57),""),1+BP$58*2,1),IF(MID(IFERROR(INDEX(醫師週班表!$C$5:$T$44,$CU37,BP$57),""),3,1)="隔",IF(BP$58=0,LEFT(IFERROR(INDEX(醫師週班表!$C$5:$T$44,$CU37,BP$57),""),1),""),IF(MID(IFERROR(INDEX(醫師週班表!$C$5:$T$44,$CU37,BP$57),""),2,1)="(",LEFT(IFERROR(INDEX(醫師週班表!$C$5:$T$44,$CU37,BP$57),""),1),IFERROR(INDEX(醫師週班表!$C$5:$T$44,$CU37,BP$57),"")))))))</f>
        <v/>
      </c>
      <c r="BQ37" s="72">
        <f>IF(BQ$59="X","",IF(BQ$59&lt;&gt;"",BQ$59,IF(IFERROR(INDEX(醫師週班表!$C$5:$T$44,$CU37,BQ$57),"")=0,"",IF(MID(IFERROR(INDEX(醫師週班表!$C$5:$T$44,$CU37,BQ$57),""),2,1)="/",MID(IFERROR(INDEX(醫師週班表!$C$5:$T$44,$CU37,BQ$57),""),1+BQ$58*2,1),IF(MID(IFERROR(INDEX(醫師週班表!$C$5:$T$44,$CU37,BQ$57),""),3,1)="隔",IF(BQ$58=0,LEFT(IFERROR(INDEX(醫師週班表!$C$5:$T$44,$CU37,BQ$57),""),1),""),IF(MID(IFERROR(INDEX(醫師週班表!$C$5:$T$44,$CU37,BQ$57),""),2,1)="(",LEFT(IFERROR(INDEX(醫師週班表!$C$5:$T$44,$CU37,BQ$57),""),1),IFERROR(INDEX(醫師週班表!$C$5:$T$44,$CU37,BQ$57),"")))))))</f>
        <v/>
      </c>
      <c r="BR37" s="72">
        <f>IF(BR$59="X","",IF(BR$59&lt;&gt;"",BR$59,IF(IFERROR(INDEX(醫師週班表!$C$5:$T$44,$CU37,BR$57),"")=0,"",IF(MID(IFERROR(INDEX(醫師週班表!$C$5:$T$44,$CU37,BR$57),""),2,1)="/",MID(IFERROR(INDEX(醫師週班表!$C$5:$T$44,$CU37,BR$57),""),1+BR$58*2,1),IF(MID(IFERROR(INDEX(醫師週班表!$C$5:$T$44,$CU37,BR$57),""),3,1)="隔",IF(BR$58=0,LEFT(IFERROR(INDEX(醫師週班表!$C$5:$T$44,$CU37,BR$57),""),1),""),IF(MID(IFERROR(INDEX(醫師週班表!$C$5:$T$44,$CU37,BR$57),""),2,1)="(",LEFT(IFERROR(INDEX(醫師週班表!$C$5:$T$44,$CU37,BR$57),""),1),IFERROR(INDEX(醫師週班表!$C$5:$T$44,$CU37,BR$57),"")))))))</f>
        <v/>
      </c>
      <c r="BS37" s="71">
        <f>IF(BS$59="X","",IF(BS$59&lt;&gt;"",BS$59,IF(IFERROR(INDEX(醫師週班表!$C$5:$T$44,$CU37,BS$57),"")=0,"",IF(MID(IFERROR(INDEX(醫師週班表!$C$5:$T$44,$CU37,BS$57),""),2,1)="/",MID(IFERROR(INDEX(醫師週班表!$C$5:$T$44,$CU37,BS$57),""),1+BS$58*2,1),IF(MID(IFERROR(INDEX(醫師週班表!$C$5:$T$44,$CU37,BS$57),""),3,1)="隔",IF(BS$58=0,LEFT(IFERROR(INDEX(醫師週班表!$C$5:$T$44,$CU37,BS$57),""),1),""),IF(MID(IFERROR(INDEX(醫師週班表!$C$5:$T$44,$CU37,BS$57),""),2,1)="(",LEFT(IFERROR(INDEX(醫師週班表!$C$5:$T$44,$CU37,BS$57),""),1),IFERROR(INDEX(醫師週班表!$C$5:$T$44,$CU37,BS$57),"")))))))</f>
        <v/>
      </c>
      <c r="BT37" s="72">
        <f>IF(BT$59="X","",IF(BT$59&lt;&gt;"",BT$59,IF(IFERROR(INDEX(醫師週班表!$C$5:$T$44,$CU37,BT$57),"")=0,"",IF(MID(IFERROR(INDEX(醫師週班表!$C$5:$T$44,$CU37,BT$57),""),2,1)="/",MID(IFERROR(INDEX(醫師週班表!$C$5:$T$44,$CU37,BT$57),""),1+BT$58*2,1),IF(MID(IFERROR(INDEX(醫師週班表!$C$5:$T$44,$CU37,BT$57),""),3,1)="隔",IF(BT$58=0,LEFT(IFERROR(INDEX(醫師週班表!$C$5:$T$44,$CU37,BT$57),""),1),""),IF(MID(IFERROR(INDEX(醫師週班表!$C$5:$T$44,$CU37,BT$57),""),2,1)="(",LEFT(IFERROR(INDEX(醫師週班表!$C$5:$T$44,$CU37,BT$57),""),1),IFERROR(INDEX(醫師週班表!$C$5:$T$44,$CU37,BT$57),"")))))))</f>
        <v/>
      </c>
      <c r="BU37" s="72">
        <f>IF(BU$59="X","",IF(BU$59&lt;&gt;"",BU$59,IF(IFERROR(INDEX(醫師週班表!$C$5:$T$44,$CU37,BU$57),"")=0,"",IF(MID(IFERROR(INDEX(醫師週班表!$C$5:$T$44,$CU37,BU$57),""),2,1)="/",MID(IFERROR(INDEX(醫師週班表!$C$5:$T$44,$CU37,BU$57),""),1+BU$58*2,1),IF(MID(IFERROR(INDEX(醫師週班表!$C$5:$T$44,$CU37,BU$57),""),3,1)="隔",IF(BU$58=0,LEFT(IFERROR(INDEX(醫師週班表!$C$5:$T$44,$CU37,BU$57),""),1),""),IF(MID(IFERROR(INDEX(醫師週班表!$C$5:$T$44,$CU37,BU$57),""),2,1)="(",LEFT(IFERROR(INDEX(醫師週班表!$C$5:$T$44,$CU37,BU$57),""),1),IFERROR(INDEX(醫師週班表!$C$5:$T$44,$CU37,BU$57),"")))))))</f>
        <v/>
      </c>
      <c r="BV37" s="71">
        <f>IF(BV$59="X","",IF(BV$59&lt;&gt;"",BV$59,IF(IFERROR(INDEX(醫師週班表!$C$5:$T$44,$CU37,BV$57),"")=0,"",IF(MID(IFERROR(INDEX(醫師週班表!$C$5:$T$44,$CU37,BV$57),""),2,1)="/",MID(IFERROR(INDEX(醫師週班表!$C$5:$T$44,$CU37,BV$57),""),1+BV$58*2,1),IF(MID(IFERROR(INDEX(醫師週班表!$C$5:$T$44,$CU37,BV$57),""),3,1)="隔",IF(BV$58=0,LEFT(IFERROR(INDEX(醫師週班表!$C$5:$T$44,$CU37,BV$57),""),1),""),IF(MID(IFERROR(INDEX(醫師週班表!$C$5:$T$44,$CU37,BV$57),""),2,1)="(",LEFT(IFERROR(INDEX(醫師週班表!$C$5:$T$44,$CU37,BV$57),""),1),IFERROR(INDEX(醫師週班表!$C$5:$T$44,$CU37,BV$57),"")))))))</f>
        <v/>
      </c>
      <c r="BW37" s="72">
        <f>IF(BW$59="X","",IF(BW$59&lt;&gt;"",BW$59,IF(IFERROR(INDEX(醫師週班表!$C$5:$T$44,$CU37,BW$57),"")=0,"",IF(MID(IFERROR(INDEX(醫師週班表!$C$5:$T$44,$CU37,BW$57),""),2,1)="/",MID(IFERROR(INDEX(醫師週班表!$C$5:$T$44,$CU37,BW$57),""),1+BW$58*2,1),IF(MID(IFERROR(INDEX(醫師週班表!$C$5:$T$44,$CU37,BW$57),""),3,1)="隔",IF(BW$58=0,LEFT(IFERROR(INDEX(醫師週班表!$C$5:$T$44,$CU37,BW$57),""),1),""),IF(MID(IFERROR(INDEX(醫師週班表!$C$5:$T$44,$CU37,BW$57),""),2,1)="(",LEFT(IFERROR(INDEX(醫師週班表!$C$5:$T$44,$CU37,BW$57),""),1),IFERROR(INDEX(醫師週班表!$C$5:$T$44,$CU37,BW$57),"")))))))</f>
        <v/>
      </c>
      <c r="BX37" s="72">
        <f>IF(BX$59="X","",IF(BX$59&lt;&gt;"",BX$59,IF(IFERROR(INDEX(醫師週班表!$C$5:$T$44,$CU37,BX$57),"")=0,"",IF(MID(IFERROR(INDEX(醫師週班表!$C$5:$T$44,$CU37,BX$57),""),2,1)="/",MID(IFERROR(INDEX(醫師週班表!$C$5:$T$44,$CU37,BX$57),""),1+BX$58*2,1),IF(MID(IFERROR(INDEX(醫師週班表!$C$5:$T$44,$CU37,BX$57),""),3,1)="隔",IF(BX$58=0,LEFT(IFERROR(INDEX(醫師週班表!$C$5:$T$44,$CU37,BX$57),""),1),""),IF(MID(IFERROR(INDEX(醫師週班表!$C$5:$T$44,$CU37,BX$57),""),2,1)="(",LEFT(IFERROR(INDEX(醫師週班表!$C$5:$T$44,$CU37,BX$57),""),1),IFERROR(INDEX(醫師週班表!$C$5:$T$44,$CU37,BX$57),"")))))))</f>
        <v/>
      </c>
      <c r="BY37" s="71">
        <f>IF(BY$59="X","",IF(BY$59&lt;&gt;"",BY$59,IF(IFERROR(INDEX(醫師週班表!$C$5:$T$44,$CU37,BY$57),"")=0,"",IF(MID(IFERROR(INDEX(醫師週班表!$C$5:$T$44,$CU37,BY$57),""),2,1)="/",MID(IFERROR(INDEX(醫師週班表!$C$5:$T$44,$CU37,BY$57),""),1+BY$58*2,1),IF(MID(IFERROR(INDEX(醫師週班表!$C$5:$T$44,$CU37,BY$57),""),3,1)="隔",IF(BY$58=0,LEFT(IFERROR(INDEX(醫師週班表!$C$5:$T$44,$CU37,BY$57),""),1),""),IF(MID(IFERROR(INDEX(醫師週班表!$C$5:$T$44,$CU37,BY$57),""),2,1)="(",LEFT(IFERROR(INDEX(醫師週班表!$C$5:$T$44,$CU37,BY$57),""),1),IFERROR(INDEX(醫師週班表!$C$5:$T$44,$CU37,BY$57),"")))))))</f>
        <v/>
      </c>
      <c r="BZ37" s="72">
        <f>IF(BZ$59="X","",IF(BZ$59&lt;&gt;"",BZ$59,IF(IFERROR(INDEX(醫師週班表!$C$5:$T$44,$CU37,BZ$57),"")=0,"",IF(MID(IFERROR(INDEX(醫師週班表!$C$5:$T$44,$CU37,BZ$57),""),2,1)="/",MID(IFERROR(INDEX(醫師週班表!$C$5:$T$44,$CU37,BZ$57),""),1+BZ$58*2,1),IF(MID(IFERROR(INDEX(醫師週班表!$C$5:$T$44,$CU37,BZ$57),""),3,1)="隔",IF(BZ$58=0,LEFT(IFERROR(INDEX(醫師週班表!$C$5:$T$44,$CU37,BZ$57),""),1),""),IF(MID(IFERROR(INDEX(醫師週班表!$C$5:$T$44,$CU37,BZ$57),""),2,1)="(",LEFT(IFERROR(INDEX(醫師週班表!$C$5:$T$44,$CU37,BZ$57),""),1),IFERROR(INDEX(醫師週班表!$C$5:$T$44,$CU37,BZ$57),"")))))))</f>
        <v/>
      </c>
      <c r="CA37" s="72">
        <f>IF(CA$59="X","",IF(CA$59&lt;&gt;"",CA$59,IF(IFERROR(INDEX(醫師週班表!$C$5:$T$44,$CU37,CA$57),"")=0,"",IF(MID(IFERROR(INDEX(醫師週班表!$C$5:$T$44,$CU37,CA$57),""),2,1)="/",MID(IFERROR(INDEX(醫師週班表!$C$5:$T$44,$CU37,CA$57),""),1+CA$58*2,1),IF(MID(IFERROR(INDEX(醫師週班表!$C$5:$T$44,$CU37,CA$57),""),3,1)="隔",IF(CA$58=0,LEFT(IFERROR(INDEX(醫師週班表!$C$5:$T$44,$CU37,CA$57),""),1),""),IF(MID(IFERROR(INDEX(醫師週班表!$C$5:$T$44,$CU37,CA$57),""),2,1)="(",LEFT(IFERROR(INDEX(醫師週班表!$C$5:$T$44,$CU37,CA$57),""),1),IFERROR(INDEX(醫師週班表!$C$5:$T$44,$CU37,CA$57),"")))))))</f>
        <v/>
      </c>
      <c r="CB37" s="71">
        <f>IF(CB$59="X","",IF(CB$59&lt;&gt;"",CB$59,IF(IFERROR(INDEX(醫師週班表!$C$5:$T$44,$CU37,CB$57),"")=0,"",IF(MID(IFERROR(INDEX(醫師週班表!$C$5:$T$44,$CU37,CB$57),""),2,1)="/",MID(IFERROR(INDEX(醫師週班表!$C$5:$T$44,$CU37,CB$57),""),1+CB$58*2,1),IF(MID(IFERROR(INDEX(醫師週班表!$C$5:$T$44,$CU37,CB$57),""),3,1)="隔",IF(CB$58=0,LEFT(IFERROR(INDEX(醫師週班表!$C$5:$T$44,$CU37,CB$57),""),1),""),IF(MID(IFERROR(INDEX(醫師週班表!$C$5:$T$44,$CU37,CB$57),""),2,1)="(",LEFT(IFERROR(INDEX(醫師週班表!$C$5:$T$44,$CU37,CB$57),""),1),IFERROR(INDEX(醫師週班表!$C$5:$T$44,$CU37,CB$57),"")))))))</f>
        <v/>
      </c>
      <c r="CC37" s="72">
        <f>IF(CC$59="X","",IF(CC$59&lt;&gt;"",CC$59,IF(IFERROR(INDEX(醫師週班表!$C$5:$T$44,$CU37,CC$57),"")=0,"",IF(MID(IFERROR(INDEX(醫師週班表!$C$5:$T$44,$CU37,CC$57),""),2,1)="/",MID(IFERROR(INDEX(醫師週班表!$C$5:$T$44,$CU37,CC$57),""),1+CC$58*2,1),IF(MID(IFERROR(INDEX(醫師週班表!$C$5:$T$44,$CU37,CC$57),""),3,1)="隔",IF(CC$58=0,LEFT(IFERROR(INDEX(醫師週班表!$C$5:$T$44,$CU37,CC$57),""),1),""),IF(MID(IFERROR(INDEX(醫師週班表!$C$5:$T$44,$CU37,CC$57),""),2,1)="(",LEFT(IFERROR(INDEX(醫師週班表!$C$5:$T$44,$CU37,CC$57),""),1),IFERROR(INDEX(醫師週班表!$C$5:$T$44,$CU37,CC$57),"")))))))</f>
        <v/>
      </c>
      <c r="CD37" s="72">
        <f>IF(CD$59="X","",IF(CD$59&lt;&gt;"",CD$59,IF(IFERROR(INDEX(醫師週班表!$C$5:$T$44,$CU37,CD$57),"")=0,"",IF(MID(IFERROR(INDEX(醫師週班表!$C$5:$T$44,$CU37,CD$57),""),2,1)="/",MID(IFERROR(INDEX(醫師週班表!$C$5:$T$44,$CU37,CD$57),""),1+CD$58*2,1),IF(MID(IFERROR(INDEX(醫師週班表!$C$5:$T$44,$CU37,CD$57),""),3,1)="隔",IF(CD$58=0,LEFT(IFERROR(INDEX(醫師週班表!$C$5:$T$44,$CU37,CD$57),""),1),""),IF(MID(IFERROR(INDEX(醫師週班表!$C$5:$T$44,$CU37,CD$57),""),2,1)="(",LEFT(IFERROR(INDEX(醫師週班表!$C$5:$T$44,$CU37,CD$57),""),1),IFERROR(INDEX(醫師週班表!$C$5:$T$44,$CU37,CD$57),"")))))))</f>
        <v/>
      </c>
      <c r="CE37" s="71">
        <f>IF(CE$59="X","",IF(CE$59&lt;&gt;"",CE$59,IF(IFERROR(INDEX(醫師週班表!$C$5:$T$44,$CU37,CE$57),"")=0,"",IF(MID(IFERROR(INDEX(醫師週班表!$C$5:$T$44,$CU37,CE$57),""),2,1)="/",MID(IFERROR(INDEX(醫師週班表!$C$5:$T$44,$CU37,CE$57),""),1+CE$58*2,1),IF(MID(IFERROR(INDEX(醫師週班表!$C$5:$T$44,$CU37,CE$57),""),3,1)="隔",IF(CE$58=0,LEFT(IFERROR(INDEX(醫師週班表!$C$5:$T$44,$CU37,CE$57),""),1),""),IF(MID(IFERROR(INDEX(醫師週班表!$C$5:$T$44,$CU37,CE$57),""),2,1)="(",LEFT(IFERROR(INDEX(醫師週班表!$C$5:$T$44,$CU37,CE$57),""),1),IFERROR(INDEX(醫師週班表!$C$5:$T$44,$CU37,CE$57),"")))))))</f>
        <v/>
      </c>
      <c r="CF37" s="72">
        <f>IF(CF$59="X","",IF(CF$59&lt;&gt;"",CF$59,IF(IFERROR(INDEX(醫師週班表!$C$5:$T$44,$CU37,CF$57),"")=0,"",IF(MID(IFERROR(INDEX(醫師週班表!$C$5:$T$44,$CU37,CF$57),""),2,1)="/",MID(IFERROR(INDEX(醫師週班表!$C$5:$T$44,$CU37,CF$57),""),1+CF$58*2,1),IF(MID(IFERROR(INDEX(醫師週班表!$C$5:$T$44,$CU37,CF$57),""),3,1)="隔",IF(CF$58=0,LEFT(IFERROR(INDEX(醫師週班表!$C$5:$T$44,$CU37,CF$57),""),1),""),IF(MID(IFERROR(INDEX(醫師週班表!$C$5:$T$44,$CU37,CF$57),""),2,1)="(",LEFT(IFERROR(INDEX(醫師週班表!$C$5:$T$44,$CU37,CF$57),""),1),IFERROR(INDEX(醫師週班表!$C$5:$T$44,$CU37,CF$57),"")))))))</f>
        <v/>
      </c>
      <c r="CG37" s="72">
        <f>IF(CG$59="X","",IF(CG$59&lt;&gt;"",CG$59,IF(IFERROR(INDEX(醫師週班表!$C$5:$T$44,$CU37,CG$57),"")=0,"",IF(MID(IFERROR(INDEX(醫師週班表!$C$5:$T$44,$CU37,CG$57),""),2,1)="/",MID(IFERROR(INDEX(醫師週班表!$C$5:$T$44,$CU37,CG$57),""),1+CG$58*2,1),IF(MID(IFERROR(INDEX(醫師週班表!$C$5:$T$44,$CU37,CG$57),""),3,1)="隔",IF(CG$58=0,LEFT(IFERROR(INDEX(醫師週班表!$C$5:$T$44,$CU37,CG$57),""),1),""),IF(MID(IFERROR(INDEX(醫師週班表!$C$5:$T$44,$CU37,CG$57),""),2,1)="(",LEFT(IFERROR(INDEX(醫師週班表!$C$5:$T$44,$CU37,CG$57),""),1),IFERROR(INDEX(醫師週班表!$C$5:$T$44,$CU37,CG$57),"")))))))</f>
        <v/>
      </c>
      <c r="CH37" s="71">
        <f>IF(CH$59="X","",IF(CH$59&lt;&gt;"",CH$59,IF(IFERROR(INDEX(醫師週班表!$C$5:$T$44,$CU37,CH$57),"")=0,"",IF(MID(IFERROR(INDEX(醫師週班表!$C$5:$T$44,$CU37,CH$57),""),2,1)="/",MID(IFERROR(INDEX(醫師週班表!$C$5:$T$44,$CU37,CH$57),""),1+CH$58*2,1),IF(MID(IFERROR(INDEX(醫師週班表!$C$5:$T$44,$CU37,CH$57),""),3,1)="隔",IF(CH$58=0,LEFT(IFERROR(INDEX(醫師週班表!$C$5:$T$44,$CU37,CH$57),""),1),""),IF(MID(IFERROR(INDEX(醫師週班表!$C$5:$T$44,$CU37,CH$57),""),2,1)="(",LEFT(IFERROR(INDEX(醫師週班表!$C$5:$T$44,$CU37,CH$57),""),1),IFERROR(INDEX(醫師週班表!$C$5:$T$44,$CU37,CH$57),"")))))))</f>
        <v/>
      </c>
      <c r="CI37" s="72">
        <f>IF(CI$59="X","",IF(CI$59&lt;&gt;"",CI$59,IF(IFERROR(INDEX(醫師週班表!$C$5:$T$44,$CU37,CI$57),"")=0,"",IF(MID(IFERROR(INDEX(醫師週班表!$C$5:$T$44,$CU37,CI$57),""),2,1)="/",MID(IFERROR(INDEX(醫師週班表!$C$5:$T$44,$CU37,CI$57),""),1+CI$58*2,1),IF(MID(IFERROR(INDEX(醫師週班表!$C$5:$T$44,$CU37,CI$57),""),3,1)="隔",IF(CI$58=0,LEFT(IFERROR(INDEX(醫師週班表!$C$5:$T$44,$CU37,CI$57),""),1),""),IF(MID(IFERROR(INDEX(醫師週班表!$C$5:$T$44,$CU37,CI$57),""),2,1)="(",LEFT(IFERROR(INDEX(醫師週班表!$C$5:$T$44,$CU37,CI$57),""),1),IFERROR(INDEX(醫師週班表!$C$5:$T$44,$CU37,CI$57),"")))))))</f>
        <v/>
      </c>
      <c r="CJ37" s="72">
        <f>IF(CJ$59="X","",IF(CJ$59&lt;&gt;"",CJ$59,IF(IFERROR(INDEX(醫師週班表!$C$5:$T$44,$CU37,CJ$57),"")=0,"",IF(MID(IFERROR(INDEX(醫師週班表!$C$5:$T$44,$CU37,CJ$57),""),2,1)="/",MID(IFERROR(INDEX(醫師週班表!$C$5:$T$44,$CU37,CJ$57),""),1+CJ$58*2,1),IF(MID(IFERROR(INDEX(醫師週班表!$C$5:$T$44,$CU37,CJ$57),""),3,1)="隔",IF(CJ$58=0,LEFT(IFERROR(INDEX(醫師週班表!$C$5:$T$44,$CU37,CJ$57),""),1),""),IF(MID(IFERROR(INDEX(醫師週班表!$C$5:$T$44,$CU37,CJ$57),""),2,1)="(",LEFT(IFERROR(INDEX(醫師週班表!$C$5:$T$44,$CU37,CJ$57),""),1),IFERROR(INDEX(醫師週班表!$C$5:$T$44,$CU37,CJ$57),"")))))))</f>
        <v/>
      </c>
      <c r="CK37" s="71">
        <f>IF(CK$59="X","",IF(CK$59&lt;&gt;"",CK$59,IF(IFERROR(INDEX(醫師週班表!$C$5:$T$44,$CU37,CK$57),"")=0,"",IF(MID(IFERROR(INDEX(醫師週班表!$C$5:$T$44,$CU37,CK$57),""),2,1)="/",MID(IFERROR(INDEX(醫師週班表!$C$5:$T$44,$CU37,CK$57),""),1+CK$58*2,1),IF(MID(IFERROR(INDEX(醫師週班表!$C$5:$T$44,$CU37,CK$57),""),3,1)="隔",IF(CK$58=0,LEFT(IFERROR(INDEX(醫師週班表!$C$5:$T$44,$CU37,CK$57),""),1),""),IF(MID(IFERROR(INDEX(醫師週班表!$C$5:$T$44,$CU37,CK$57),""),2,1)="(",LEFT(IFERROR(INDEX(醫師週班表!$C$5:$T$44,$CU37,CK$57),""),1),IFERROR(INDEX(醫師週班表!$C$5:$T$44,$CU37,CK$57),"")))))))</f>
        <v/>
      </c>
      <c r="CL37" s="72">
        <f>IF(CL$59="X","",IF(CL$59&lt;&gt;"",CL$59,IF(IFERROR(INDEX(醫師週班表!$C$5:$T$44,$CU37,CL$57),"")=0,"",IF(MID(IFERROR(INDEX(醫師週班表!$C$5:$T$44,$CU37,CL$57),""),2,1)="/",MID(IFERROR(INDEX(醫師週班表!$C$5:$T$44,$CU37,CL$57),""),1+CL$58*2,1),IF(MID(IFERROR(INDEX(醫師週班表!$C$5:$T$44,$CU37,CL$57),""),3,1)="隔",IF(CL$58=0,LEFT(IFERROR(INDEX(醫師週班表!$C$5:$T$44,$CU37,CL$57),""),1),""),IF(MID(IFERROR(INDEX(醫師週班表!$C$5:$T$44,$CU37,CL$57),""),2,1)="(",LEFT(IFERROR(INDEX(醫師週班表!$C$5:$T$44,$CU37,CL$57),""),1),IFERROR(INDEX(醫師週班表!$C$5:$T$44,$CU37,CL$57),"")))))))</f>
        <v/>
      </c>
      <c r="CM37" s="72">
        <f>IF(CM$59="X","",IF(CM$59&lt;&gt;"",CM$59,IF(IFERROR(INDEX(醫師週班表!$C$5:$T$44,$CU37,CM$57),"")=0,"",IF(MID(IFERROR(INDEX(醫師週班表!$C$5:$T$44,$CU37,CM$57),""),2,1)="/",MID(IFERROR(INDEX(醫師週班表!$C$5:$T$44,$CU37,CM$57),""),1+CM$58*2,1),IF(MID(IFERROR(INDEX(醫師週班表!$C$5:$T$44,$CU37,CM$57),""),3,1)="隔",IF(CM$58=0,LEFT(IFERROR(INDEX(醫師週班表!$C$5:$T$44,$CU37,CM$57),""),1),""),IF(MID(IFERROR(INDEX(醫師週班表!$C$5:$T$44,$CU37,CM$57),""),2,1)="(",LEFT(IFERROR(INDEX(醫師週班表!$C$5:$T$44,$CU37,CM$57),""),1),IFERROR(INDEX(醫師週班表!$C$5:$T$44,$CU37,CM$57),"")))))))</f>
        <v/>
      </c>
      <c r="CN37" s="71">
        <f>IF(CN$59="X","",IF(CN$59&lt;&gt;"",CN$59,IF(IFERROR(INDEX(醫師週班表!$C$5:$T$44,$CU37,CN$57),"")=0,"",IF(MID(IFERROR(INDEX(醫師週班表!$C$5:$T$44,$CU37,CN$57),""),2,1)="/",MID(IFERROR(INDEX(醫師週班表!$C$5:$T$44,$CU37,CN$57),""),1+CN$58*2,1),IF(MID(IFERROR(INDEX(醫師週班表!$C$5:$T$44,$CU37,CN$57),""),3,1)="隔",IF(CN$58=0,LEFT(IFERROR(INDEX(醫師週班表!$C$5:$T$44,$CU37,CN$57),""),1),""),IF(MID(IFERROR(INDEX(醫師週班表!$C$5:$T$44,$CU37,CN$57),""),2,1)="(",LEFT(IFERROR(INDEX(醫師週班表!$C$5:$T$44,$CU37,CN$57),""),1),IFERROR(INDEX(醫師週班表!$C$5:$T$44,$CU37,CN$57),"")))))))</f>
        <v/>
      </c>
      <c r="CO37" s="72">
        <f>IF(CO$59="X","",IF(CO$59&lt;&gt;"",CO$59,IF(IFERROR(INDEX(醫師週班表!$C$5:$T$44,$CU37,CO$57),"")=0,"",IF(MID(IFERROR(INDEX(醫師週班表!$C$5:$T$44,$CU37,CO$57),""),2,1)="/",MID(IFERROR(INDEX(醫師週班表!$C$5:$T$44,$CU37,CO$57),""),1+CO$58*2,1),IF(MID(IFERROR(INDEX(醫師週班表!$C$5:$T$44,$CU37,CO$57),""),3,1)="隔",IF(CO$58=0,LEFT(IFERROR(INDEX(醫師週班表!$C$5:$T$44,$CU37,CO$57),""),1),""),IF(MID(IFERROR(INDEX(醫師週班表!$C$5:$T$44,$CU37,CO$57),""),2,1)="(",LEFT(IFERROR(INDEX(醫師週班表!$C$5:$T$44,$CU37,CO$57),""),1),IFERROR(INDEX(醫師週班表!$C$5:$T$44,$CU37,CO$57),"")))))))</f>
        <v/>
      </c>
      <c r="CP37" s="72">
        <f>IF(CP$59="X","",IF(CP$59&lt;&gt;"",CP$59,IF(IFERROR(INDEX(醫師週班表!$C$5:$T$44,$CU37,CP$57),"")=0,"",IF(MID(IFERROR(INDEX(醫師週班表!$C$5:$T$44,$CU37,CP$57),""),2,1)="/",MID(IFERROR(INDEX(醫師週班表!$C$5:$T$44,$CU37,CP$57),""),1+CP$58*2,1),IF(MID(IFERROR(INDEX(醫師週班表!$C$5:$T$44,$CU37,CP$57),""),3,1)="隔",IF(CP$58=0,LEFT(IFERROR(INDEX(醫師週班表!$C$5:$T$44,$CU37,CP$57),""),1),""),IF(MID(IFERROR(INDEX(醫師週班表!$C$5:$T$44,$CU37,CP$57),""),2,1)="(",LEFT(IFERROR(INDEX(醫師週班表!$C$5:$T$44,$CU37,CP$57),""),1),IFERROR(INDEX(醫師週班表!$C$5:$T$44,$CU37,CP$57),"")))))))</f>
        <v/>
      </c>
      <c r="CQ37" s="71">
        <f>IF(CQ$59="X","",IF(CQ$59&lt;&gt;"",CQ$59,IF(IFERROR(INDEX(醫師週班表!$C$5:$T$44,$CU37,CQ$57),"")=0,"",IF(MID(IFERROR(INDEX(醫師週班表!$C$5:$T$44,$CU37,CQ$57),""),2,1)="/",MID(IFERROR(INDEX(醫師週班表!$C$5:$T$44,$CU37,CQ$57),""),1+CQ$58*2,1),IF(MID(IFERROR(INDEX(醫師週班表!$C$5:$T$44,$CU37,CQ$57),""),3,1)="隔",IF(CQ$58=0,LEFT(IFERROR(INDEX(醫師週班表!$C$5:$T$44,$CU37,CQ$57),""),1),""),IF(MID(IFERROR(INDEX(醫師週班表!$C$5:$T$44,$CU37,CQ$57),""),2,1)="(",LEFT(IFERROR(INDEX(醫師週班表!$C$5:$T$44,$CU37,CQ$57),""),1),IFERROR(INDEX(醫師週班表!$C$5:$T$44,$CU37,CQ$57),"")))))))</f>
        <v/>
      </c>
      <c r="CR37" s="72">
        <f>IF(CR$59="X","",IF(CR$59&lt;&gt;"",CR$59,IF(IFERROR(INDEX(醫師週班表!$C$5:$T$44,$CU37,CR$57),"")=0,"",IF(MID(IFERROR(INDEX(醫師週班表!$C$5:$T$44,$CU37,CR$57),""),2,1)="/",MID(IFERROR(INDEX(醫師週班表!$C$5:$T$44,$CU37,CR$57),""),1+CR$58*2,1),IF(MID(IFERROR(INDEX(醫師週班表!$C$5:$T$44,$CU37,CR$57),""),3,1)="隔",IF(CR$58=0,LEFT(IFERROR(INDEX(醫師週班表!$C$5:$T$44,$CU37,CR$57),""),1),""),IF(MID(IFERROR(INDEX(醫師週班表!$C$5:$T$44,$CU37,CR$57),""),2,1)="(",LEFT(IFERROR(INDEX(醫師週班表!$C$5:$T$44,$CU37,CR$57),""),1),IFERROR(INDEX(醫師週班表!$C$5:$T$44,$CU37,CR$57),"")))))))</f>
        <v/>
      </c>
      <c r="CS37" s="72">
        <f>IF(CS$59="X","",IF(CS$59&lt;&gt;"",CS$59,IF(IFERROR(INDEX(醫師週班表!$C$5:$T$44,$CU37,CS$57),"")=0,"",IF(MID(IFERROR(INDEX(醫師週班表!$C$5:$T$44,$CU37,CS$57),""),2,1)="/",MID(IFERROR(INDEX(醫師週班表!$C$5:$T$44,$CU37,CS$57),""),1+CS$58*2,1),IF(MID(IFERROR(INDEX(醫師週班表!$C$5:$T$44,$CU37,CS$57),""),3,1)="隔",IF(CS$58=0,LEFT(IFERROR(INDEX(醫師週班表!$C$5:$T$44,$CU37,CS$57),""),1),""),IF(MID(IFERROR(INDEX(醫師週班表!$C$5:$T$44,$CU37,CS$57),""),2,1)="(",LEFT(IFERROR(INDEX(醫師週班表!$C$5:$T$44,$CU37,CS$57),""),1),IFERROR(INDEX(醫師週班表!$C$5:$T$44,$CU37,CS$57),"")))))))</f>
        <v/>
      </c>
      <c r="CU37" s="73">
        <f>IFERROR(MATCH($A37,醫師週班表!$A$5:$A$44,0),0)</f>
        <v/>
      </c>
    </row>
    <row r="38" ht="17" customHeight="1">
      <c r="A38" s="19" t="n"/>
      <c r="B38" s="16">
        <f>IFERROR(INDEX(設定!$C$64:$C$203,MATCH($A38,設定!$B$64:$B$203,0)),"")</f>
        <v/>
      </c>
      <c r="C38" s="70">
        <f>IFERROR(INDEX(設定!$E$64:$E$203,MATCH($A38,設定!$B$64:$B$203,0)),"")</f>
        <v/>
      </c>
      <c r="D38" s="16">
        <f>IFERROR(INDEX(設定!$F$64:$F$203,MATCH($A38,設定!$B$64:$B$203,0)),"")</f>
        <v/>
      </c>
      <c r="E38" s="71">
        <f>IF(E$59="X","",IF(E$59&lt;&gt;"",E$59,IF(IFERROR(INDEX(醫師週班表!$C$5:$T$44,$CU38,E$57),"")=0,"",IF(MID(IFERROR(INDEX(醫師週班表!$C$5:$T$44,$CU38,E$57),""),2,1)="/",MID(IFERROR(INDEX(醫師週班表!$C$5:$T$44,$CU38,E$57),""),1+E$58*2,1),IF(MID(IFERROR(INDEX(醫師週班表!$C$5:$T$44,$CU38,E$57),""),3,1)="隔",IF(E$58=0,LEFT(IFERROR(INDEX(醫師週班表!$C$5:$T$44,$CU38,E$57),""),1),""),IF(MID(IFERROR(INDEX(醫師週班表!$C$5:$T$44,$CU38,E$57),""),2,1)="(",LEFT(IFERROR(INDEX(醫師週班表!$C$5:$T$44,$CU38,E$57),""),1),IFERROR(INDEX(醫師週班表!$C$5:$T$44,$CU38,E$57),"")))))))</f>
        <v/>
      </c>
      <c r="F38" s="72">
        <f>IF(F$59="X","",IF(F$59&lt;&gt;"",F$59,IF(IFERROR(INDEX(醫師週班表!$C$5:$T$44,$CU38,F$57),"")=0,"",IF(MID(IFERROR(INDEX(醫師週班表!$C$5:$T$44,$CU38,F$57),""),2,1)="/",MID(IFERROR(INDEX(醫師週班表!$C$5:$T$44,$CU38,F$57),""),1+F$58*2,1),IF(MID(IFERROR(INDEX(醫師週班表!$C$5:$T$44,$CU38,F$57),""),3,1)="隔",IF(F$58=0,LEFT(IFERROR(INDEX(醫師週班表!$C$5:$T$44,$CU38,F$57),""),1),""),IF(MID(IFERROR(INDEX(醫師週班表!$C$5:$T$44,$CU38,F$57),""),2,1)="(",LEFT(IFERROR(INDEX(醫師週班表!$C$5:$T$44,$CU38,F$57),""),1),IFERROR(INDEX(醫師週班表!$C$5:$T$44,$CU38,F$57),"")))))))</f>
        <v/>
      </c>
      <c r="G38" s="72">
        <f>IF(G$59="X","",IF(G$59&lt;&gt;"",G$59,IF(IFERROR(INDEX(醫師週班表!$C$5:$T$44,$CU38,G$57),"")=0,"",IF(MID(IFERROR(INDEX(醫師週班表!$C$5:$T$44,$CU38,G$57),""),2,1)="/",MID(IFERROR(INDEX(醫師週班表!$C$5:$T$44,$CU38,G$57),""),1+G$58*2,1),IF(MID(IFERROR(INDEX(醫師週班表!$C$5:$T$44,$CU38,G$57),""),3,1)="隔",IF(G$58=0,LEFT(IFERROR(INDEX(醫師週班表!$C$5:$T$44,$CU38,G$57),""),1),""),IF(MID(IFERROR(INDEX(醫師週班表!$C$5:$T$44,$CU38,G$57),""),2,1)="(",LEFT(IFERROR(INDEX(醫師週班表!$C$5:$T$44,$CU38,G$57),""),1),IFERROR(INDEX(醫師週班表!$C$5:$T$44,$CU38,G$57),"")))))))</f>
        <v/>
      </c>
      <c r="H38" s="71">
        <f>IF(H$59="X","",IF(H$59&lt;&gt;"",H$59,IF(IFERROR(INDEX(醫師週班表!$C$5:$T$44,$CU38,H$57),"")=0,"",IF(MID(IFERROR(INDEX(醫師週班表!$C$5:$T$44,$CU38,H$57),""),2,1)="/",MID(IFERROR(INDEX(醫師週班表!$C$5:$T$44,$CU38,H$57),""),1+H$58*2,1),IF(MID(IFERROR(INDEX(醫師週班表!$C$5:$T$44,$CU38,H$57),""),3,1)="隔",IF(H$58=0,LEFT(IFERROR(INDEX(醫師週班表!$C$5:$T$44,$CU38,H$57),""),1),""),IF(MID(IFERROR(INDEX(醫師週班表!$C$5:$T$44,$CU38,H$57),""),2,1)="(",LEFT(IFERROR(INDEX(醫師週班表!$C$5:$T$44,$CU38,H$57),""),1),IFERROR(INDEX(醫師週班表!$C$5:$T$44,$CU38,H$57),"")))))))</f>
        <v/>
      </c>
      <c r="I38" s="72">
        <f>IF(I$59="X","",IF(I$59&lt;&gt;"",I$59,IF(IFERROR(INDEX(醫師週班表!$C$5:$T$44,$CU38,I$57),"")=0,"",IF(MID(IFERROR(INDEX(醫師週班表!$C$5:$T$44,$CU38,I$57),""),2,1)="/",MID(IFERROR(INDEX(醫師週班表!$C$5:$T$44,$CU38,I$57),""),1+I$58*2,1),IF(MID(IFERROR(INDEX(醫師週班表!$C$5:$T$44,$CU38,I$57),""),3,1)="隔",IF(I$58=0,LEFT(IFERROR(INDEX(醫師週班表!$C$5:$T$44,$CU38,I$57),""),1),""),IF(MID(IFERROR(INDEX(醫師週班表!$C$5:$T$44,$CU38,I$57),""),2,1)="(",LEFT(IFERROR(INDEX(醫師週班表!$C$5:$T$44,$CU38,I$57),""),1),IFERROR(INDEX(醫師週班表!$C$5:$T$44,$CU38,I$57),"")))))))</f>
        <v/>
      </c>
      <c r="J38" s="72">
        <f>IF(J$59="X","",IF(J$59&lt;&gt;"",J$59,IF(IFERROR(INDEX(醫師週班表!$C$5:$T$44,$CU38,J$57),"")=0,"",IF(MID(IFERROR(INDEX(醫師週班表!$C$5:$T$44,$CU38,J$57),""),2,1)="/",MID(IFERROR(INDEX(醫師週班表!$C$5:$T$44,$CU38,J$57),""),1+J$58*2,1),IF(MID(IFERROR(INDEX(醫師週班表!$C$5:$T$44,$CU38,J$57),""),3,1)="隔",IF(J$58=0,LEFT(IFERROR(INDEX(醫師週班表!$C$5:$T$44,$CU38,J$57),""),1),""),IF(MID(IFERROR(INDEX(醫師週班表!$C$5:$T$44,$CU38,J$57),""),2,1)="(",LEFT(IFERROR(INDEX(醫師週班表!$C$5:$T$44,$CU38,J$57),""),1),IFERROR(INDEX(醫師週班表!$C$5:$T$44,$CU38,J$57),"")))))))</f>
        <v/>
      </c>
      <c r="K38" s="71">
        <f>IF(K$59="X","",IF(K$59&lt;&gt;"",K$59,IF(IFERROR(INDEX(醫師週班表!$C$5:$T$44,$CU38,K$57),"")=0,"",IF(MID(IFERROR(INDEX(醫師週班表!$C$5:$T$44,$CU38,K$57),""),2,1)="/",MID(IFERROR(INDEX(醫師週班表!$C$5:$T$44,$CU38,K$57),""),1+K$58*2,1),IF(MID(IFERROR(INDEX(醫師週班表!$C$5:$T$44,$CU38,K$57),""),3,1)="隔",IF(K$58=0,LEFT(IFERROR(INDEX(醫師週班表!$C$5:$T$44,$CU38,K$57),""),1),""),IF(MID(IFERROR(INDEX(醫師週班表!$C$5:$T$44,$CU38,K$57),""),2,1)="(",LEFT(IFERROR(INDEX(醫師週班表!$C$5:$T$44,$CU38,K$57),""),1),IFERROR(INDEX(醫師週班表!$C$5:$T$44,$CU38,K$57),"")))))))</f>
        <v/>
      </c>
      <c r="L38" s="72">
        <f>IF(L$59="X","",IF(L$59&lt;&gt;"",L$59,IF(IFERROR(INDEX(醫師週班表!$C$5:$T$44,$CU38,L$57),"")=0,"",IF(MID(IFERROR(INDEX(醫師週班表!$C$5:$T$44,$CU38,L$57),""),2,1)="/",MID(IFERROR(INDEX(醫師週班表!$C$5:$T$44,$CU38,L$57),""),1+L$58*2,1),IF(MID(IFERROR(INDEX(醫師週班表!$C$5:$T$44,$CU38,L$57),""),3,1)="隔",IF(L$58=0,LEFT(IFERROR(INDEX(醫師週班表!$C$5:$T$44,$CU38,L$57),""),1),""),IF(MID(IFERROR(INDEX(醫師週班表!$C$5:$T$44,$CU38,L$57),""),2,1)="(",LEFT(IFERROR(INDEX(醫師週班表!$C$5:$T$44,$CU38,L$57),""),1),IFERROR(INDEX(醫師週班表!$C$5:$T$44,$CU38,L$57),"")))))))</f>
        <v/>
      </c>
      <c r="M38" s="72">
        <f>IF(M$59="X","",IF(M$59&lt;&gt;"",M$59,IF(IFERROR(INDEX(醫師週班表!$C$5:$T$44,$CU38,M$57),"")=0,"",IF(MID(IFERROR(INDEX(醫師週班表!$C$5:$T$44,$CU38,M$57),""),2,1)="/",MID(IFERROR(INDEX(醫師週班表!$C$5:$T$44,$CU38,M$57),""),1+M$58*2,1),IF(MID(IFERROR(INDEX(醫師週班表!$C$5:$T$44,$CU38,M$57),""),3,1)="隔",IF(M$58=0,LEFT(IFERROR(INDEX(醫師週班表!$C$5:$T$44,$CU38,M$57),""),1),""),IF(MID(IFERROR(INDEX(醫師週班表!$C$5:$T$44,$CU38,M$57),""),2,1)="(",LEFT(IFERROR(INDEX(醫師週班表!$C$5:$T$44,$CU38,M$57),""),1),IFERROR(INDEX(醫師週班表!$C$5:$T$44,$CU38,M$57),"")))))))</f>
        <v/>
      </c>
      <c r="N38" s="71">
        <f>IF(N$59="X","",IF(N$59&lt;&gt;"",N$59,IF(IFERROR(INDEX(醫師週班表!$C$5:$T$44,$CU38,N$57),"")=0,"",IF(MID(IFERROR(INDEX(醫師週班表!$C$5:$T$44,$CU38,N$57),""),2,1)="/",MID(IFERROR(INDEX(醫師週班表!$C$5:$T$44,$CU38,N$57),""),1+N$58*2,1),IF(MID(IFERROR(INDEX(醫師週班表!$C$5:$T$44,$CU38,N$57),""),3,1)="隔",IF(N$58=0,LEFT(IFERROR(INDEX(醫師週班表!$C$5:$T$44,$CU38,N$57),""),1),""),IF(MID(IFERROR(INDEX(醫師週班表!$C$5:$T$44,$CU38,N$57),""),2,1)="(",LEFT(IFERROR(INDEX(醫師週班表!$C$5:$T$44,$CU38,N$57),""),1),IFERROR(INDEX(醫師週班表!$C$5:$T$44,$CU38,N$57),"")))))))</f>
        <v/>
      </c>
      <c r="O38" s="72">
        <f>IF(O$59="X","",IF(O$59&lt;&gt;"",O$59,IF(IFERROR(INDEX(醫師週班表!$C$5:$T$44,$CU38,O$57),"")=0,"",IF(MID(IFERROR(INDEX(醫師週班表!$C$5:$T$44,$CU38,O$57),""),2,1)="/",MID(IFERROR(INDEX(醫師週班表!$C$5:$T$44,$CU38,O$57),""),1+O$58*2,1),IF(MID(IFERROR(INDEX(醫師週班表!$C$5:$T$44,$CU38,O$57),""),3,1)="隔",IF(O$58=0,LEFT(IFERROR(INDEX(醫師週班表!$C$5:$T$44,$CU38,O$57),""),1),""),IF(MID(IFERROR(INDEX(醫師週班表!$C$5:$T$44,$CU38,O$57),""),2,1)="(",LEFT(IFERROR(INDEX(醫師週班表!$C$5:$T$44,$CU38,O$57),""),1),IFERROR(INDEX(醫師週班表!$C$5:$T$44,$CU38,O$57),"")))))))</f>
        <v/>
      </c>
      <c r="P38" s="72">
        <f>IF(P$59="X","",IF(P$59&lt;&gt;"",P$59,IF(IFERROR(INDEX(醫師週班表!$C$5:$T$44,$CU38,P$57),"")=0,"",IF(MID(IFERROR(INDEX(醫師週班表!$C$5:$T$44,$CU38,P$57),""),2,1)="/",MID(IFERROR(INDEX(醫師週班表!$C$5:$T$44,$CU38,P$57),""),1+P$58*2,1),IF(MID(IFERROR(INDEX(醫師週班表!$C$5:$T$44,$CU38,P$57),""),3,1)="隔",IF(P$58=0,LEFT(IFERROR(INDEX(醫師週班表!$C$5:$T$44,$CU38,P$57),""),1),""),IF(MID(IFERROR(INDEX(醫師週班表!$C$5:$T$44,$CU38,P$57),""),2,1)="(",LEFT(IFERROR(INDEX(醫師週班表!$C$5:$T$44,$CU38,P$57),""),1),IFERROR(INDEX(醫師週班表!$C$5:$T$44,$CU38,P$57),"")))))))</f>
        <v/>
      </c>
      <c r="Q38" s="71">
        <f>IF(Q$59="X","",IF(Q$59&lt;&gt;"",Q$59,IF(IFERROR(INDEX(醫師週班表!$C$5:$T$44,$CU38,Q$57),"")=0,"",IF(MID(IFERROR(INDEX(醫師週班表!$C$5:$T$44,$CU38,Q$57),""),2,1)="/",MID(IFERROR(INDEX(醫師週班表!$C$5:$T$44,$CU38,Q$57),""),1+Q$58*2,1),IF(MID(IFERROR(INDEX(醫師週班表!$C$5:$T$44,$CU38,Q$57),""),3,1)="隔",IF(Q$58=0,LEFT(IFERROR(INDEX(醫師週班表!$C$5:$T$44,$CU38,Q$57),""),1),""),IF(MID(IFERROR(INDEX(醫師週班表!$C$5:$T$44,$CU38,Q$57),""),2,1)="(",LEFT(IFERROR(INDEX(醫師週班表!$C$5:$T$44,$CU38,Q$57),""),1),IFERROR(INDEX(醫師週班表!$C$5:$T$44,$CU38,Q$57),"")))))))</f>
        <v/>
      </c>
      <c r="R38" s="72">
        <f>IF(R$59="X","",IF(R$59&lt;&gt;"",R$59,IF(IFERROR(INDEX(醫師週班表!$C$5:$T$44,$CU38,R$57),"")=0,"",IF(MID(IFERROR(INDEX(醫師週班表!$C$5:$T$44,$CU38,R$57),""),2,1)="/",MID(IFERROR(INDEX(醫師週班表!$C$5:$T$44,$CU38,R$57),""),1+R$58*2,1),IF(MID(IFERROR(INDEX(醫師週班表!$C$5:$T$44,$CU38,R$57),""),3,1)="隔",IF(R$58=0,LEFT(IFERROR(INDEX(醫師週班表!$C$5:$T$44,$CU38,R$57),""),1),""),IF(MID(IFERROR(INDEX(醫師週班表!$C$5:$T$44,$CU38,R$57),""),2,1)="(",LEFT(IFERROR(INDEX(醫師週班表!$C$5:$T$44,$CU38,R$57),""),1),IFERROR(INDEX(醫師週班表!$C$5:$T$44,$CU38,R$57),"")))))))</f>
        <v/>
      </c>
      <c r="S38" s="72">
        <f>IF(S$59="X","",IF(S$59&lt;&gt;"",S$59,IF(IFERROR(INDEX(醫師週班表!$C$5:$T$44,$CU38,S$57),"")=0,"",IF(MID(IFERROR(INDEX(醫師週班表!$C$5:$T$44,$CU38,S$57),""),2,1)="/",MID(IFERROR(INDEX(醫師週班表!$C$5:$T$44,$CU38,S$57),""),1+S$58*2,1),IF(MID(IFERROR(INDEX(醫師週班表!$C$5:$T$44,$CU38,S$57),""),3,1)="隔",IF(S$58=0,LEFT(IFERROR(INDEX(醫師週班表!$C$5:$T$44,$CU38,S$57),""),1),""),IF(MID(IFERROR(INDEX(醫師週班表!$C$5:$T$44,$CU38,S$57),""),2,1)="(",LEFT(IFERROR(INDEX(醫師週班表!$C$5:$T$44,$CU38,S$57),""),1),IFERROR(INDEX(醫師週班表!$C$5:$T$44,$CU38,S$57),"")))))))</f>
        <v/>
      </c>
      <c r="T38" s="71">
        <f>IF(T$59="X","",IF(T$59&lt;&gt;"",T$59,IF(IFERROR(INDEX(醫師週班表!$C$5:$T$44,$CU38,T$57),"")=0,"",IF(MID(IFERROR(INDEX(醫師週班表!$C$5:$T$44,$CU38,T$57),""),2,1)="/",MID(IFERROR(INDEX(醫師週班表!$C$5:$T$44,$CU38,T$57),""),1+T$58*2,1),IF(MID(IFERROR(INDEX(醫師週班表!$C$5:$T$44,$CU38,T$57),""),3,1)="隔",IF(T$58=0,LEFT(IFERROR(INDEX(醫師週班表!$C$5:$T$44,$CU38,T$57),""),1),""),IF(MID(IFERROR(INDEX(醫師週班表!$C$5:$T$44,$CU38,T$57),""),2,1)="(",LEFT(IFERROR(INDEX(醫師週班表!$C$5:$T$44,$CU38,T$57),""),1),IFERROR(INDEX(醫師週班表!$C$5:$T$44,$CU38,T$57),"")))))))</f>
        <v/>
      </c>
      <c r="U38" s="72">
        <f>IF(U$59="X","",IF(U$59&lt;&gt;"",U$59,IF(IFERROR(INDEX(醫師週班表!$C$5:$T$44,$CU38,U$57),"")=0,"",IF(MID(IFERROR(INDEX(醫師週班表!$C$5:$T$44,$CU38,U$57),""),2,1)="/",MID(IFERROR(INDEX(醫師週班表!$C$5:$T$44,$CU38,U$57),""),1+U$58*2,1),IF(MID(IFERROR(INDEX(醫師週班表!$C$5:$T$44,$CU38,U$57),""),3,1)="隔",IF(U$58=0,LEFT(IFERROR(INDEX(醫師週班表!$C$5:$T$44,$CU38,U$57),""),1),""),IF(MID(IFERROR(INDEX(醫師週班表!$C$5:$T$44,$CU38,U$57),""),2,1)="(",LEFT(IFERROR(INDEX(醫師週班表!$C$5:$T$44,$CU38,U$57),""),1),IFERROR(INDEX(醫師週班表!$C$5:$T$44,$CU38,U$57),"")))))))</f>
        <v/>
      </c>
      <c r="V38" s="72">
        <f>IF(V$59="X","",IF(V$59&lt;&gt;"",V$59,IF(IFERROR(INDEX(醫師週班表!$C$5:$T$44,$CU38,V$57),"")=0,"",IF(MID(IFERROR(INDEX(醫師週班表!$C$5:$T$44,$CU38,V$57),""),2,1)="/",MID(IFERROR(INDEX(醫師週班表!$C$5:$T$44,$CU38,V$57),""),1+V$58*2,1),IF(MID(IFERROR(INDEX(醫師週班表!$C$5:$T$44,$CU38,V$57),""),3,1)="隔",IF(V$58=0,LEFT(IFERROR(INDEX(醫師週班表!$C$5:$T$44,$CU38,V$57),""),1),""),IF(MID(IFERROR(INDEX(醫師週班表!$C$5:$T$44,$CU38,V$57),""),2,1)="(",LEFT(IFERROR(INDEX(醫師週班表!$C$5:$T$44,$CU38,V$57),""),1),IFERROR(INDEX(醫師週班表!$C$5:$T$44,$CU38,V$57),"")))))))</f>
        <v/>
      </c>
      <c r="W38" s="71">
        <f>IF(W$59="X","",IF(W$59&lt;&gt;"",W$59,IF(IFERROR(INDEX(醫師週班表!$C$5:$T$44,$CU38,W$57),"")=0,"",IF(MID(IFERROR(INDEX(醫師週班表!$C$5:$T$44,$CU38,W$57),""),2,1)="/",MID(IFERROR(INDEX(醫師週班表!$C$5:$T$44,$CU38,W$57),""),1+W$58*2,1),IF(MID(IFERROR(INDEX(醫師週班表!$C$5:$T$44,$CU38,W$57),""),3,1)="隔",IF(W$58=0,LEFT(IFERROR(INDEX(醫師週班表!$C$5:$T$44,$CU38,W$57),""),1),""),IF(MID(IFERROR(INDEX(醫師週班表!$C$5:$T$44,$CU38,W$57),""),2,1)="(",LEFT(IFERROR(INDEX(醫師週班表!$C$5:$T$44,$CU38,W$57),""),1),IFERROR(INDEX(醫師週班表!$C$5:$T$44,$CU38,W$57),"")))))))</f>
        <v/>
      </c>
      <c r="X38" s="72">
        <f>IF(X$59="X","",IF(X$59&lt;&gt;"",X$59,IF(IFERROR(INDEX(醫師週班表!$C$5:$T$44,$CU38,X$57),"")=0,"",IF(MID(IFERROR(INDEX(醫師週班表!$C$5:$T$44,$CU38,X$57),""),2,1)="/",MID(IFERROR(INDEX(醫師週班表!$C$5:$T$44,$CU38,X$57),""),1+X$58*2,1),IF(MID(IFERROR(INDEX(醫師週班表!$C$5:$T$44,$CU38,X$57),""),3,1)="隔",IF(X$58=0,LEFT(IFERROR(INDEX(醫師週班表!$C$5:$T$44,$CU38,X$57),""),1),""),IF(MID(IFERROR(INDEX(醫師週班表!$C$5:$T$44,$CU38,X$57),""),2,1)="(",LEFT(IFERROR(INDEX(醫師週班表!$C$5:$T$44,$CU38,X$57),""),1),IFERROR(INDEX(醫師週班表!$C$5:$T$44,$CU38,X$57),"")))))))</f>
        <v/>
      </c>
      <c r="Y38" s="72">
        <f>IF(Y$59="X","",IF(Y$59&lt;&gt;"",Y$59,IF(IFERROR(INDEX(醫師週班表!$C$5:$T$44,$CU38,Y$57),"")=0,"",IF(MID(IFERROR(INDEX(醫師週班表!$C$5:$T$44,$CU38,Y$57),""),2,1)="/",MID(IFERROR(INDEX(醫師週班表!$C$5:$T$44,$CU38,Y$57),""),1+Y$58*2,1),IF(MID(IFERROR(INDEX(醫師週班表!$C$5:$T$44,$CU38,Y$57),""),3,1)="隔",IF(Y$58=0,LEFT(IFERROR(INDEX(醫師週班表!$C$5:$T$44,$CU38,Y$57),""),1),""),IF(MID(IFERROR(INDEX(醫師週班表!$C$5:$T$44,$CU38,Y$57),""),2,1)="(",LEFT(IFERROR(INDEX(醫師週班表!$C$5:$T$44,$CU38,Y$57),""),1),IFERROR(INDEX(醫師週班表!$C$5:$T$44,$CU38,Y$57),"")))))))</f>
        <v/>
      </c>
      <c r="Z38" s="71">
        <f>IF(Z$59="X","",IF(Z$59&lt;&gt;"",Z$59,IF(IFERROR(INDEX(醫師週班表!$C$5:$T$44,$CU38,Z$57),"")=0,"",IF(MID(IFERROR(INDEX(醫師週班表!$C$5:$T$44,$CU38,Z$57),""),2,1)="/",MID(IFERROR(INDEX(醫師週班表!$C$5:$T$44,$CU38,Z$57),""),1+Z$58*2,1),IF(MID(IFERROR(INDEX(醫師週班表!$C$5:$T$44,$CU38,Z$57),""),3,1)="隔",IF(Z$58=0,LEFT(IFERROR(INDEX(醫師週班表!$C$5:$T$44,$CU38,Z$57),""),1),""),IF(MID(IFERROR(INDEX(醫師週班表!$C$5:$T$44,$CU38,Z$57),""),2,1)="(",LEFT(IFERROR(INDEX(醫師週班表!$C$5:$T$44,$CU38,Z$57),""),1),IFERROR(INDEX(醫師週班表!$C$5:$T$44,$CU38,Z$57),"")))))))</f>
        <v/>
      </c>
      <c r="AA38" s="72">
        <f>IF(AA$59="X","",IF(AA$59&lt;&gt;"",AA$59,IF(IFERROR(INDEX(醫師週班表!$C$5:$T$44,$CU38,AA$57),"")=0,"",IF(MID(IFERROR(INDEX(醫師週班表!$C$5:$T$44,$CU38,AA$57),""),2,1)="/",MID(IFERROR(INDEX(醫師週班表!$C$5:$T$44,$CU38,AA$57),""),1+AA$58*2,1),IF(MID(IFERROR(INDEX(醫師週班表!$C$5:$T$44,$CU38,AA$57),""),3,1)="隔",IF(AA$58=0,LEFT(IFERROR(INDEX(醫師週班表!$C$5:$T$44,$CU38,AA$57),""),1),""),IF(MID(IFERROR(INDEX(醫師週班表!$C$5:$T$44,$CU38,AA$57),""),2,1)="(",LEFT(IFERROR(INDEX(醫師週班表!$C$5:$T$44,$CU38,AA$57),""),1),IFERROR(INDEX(醫師週班表!$C$5:$T$44,$CU38,AA$57),"")))))))</f>
        <v/>
      </c>
      <c r="AB38" s="72">
        <f>IF(AB$59="X","",IF(AB$59&lt;&gt;"",AB$59,IF(IFERROR(INDEX(醫師週班表!$C$5:$T$44,$CU38,AB$57),"")=0,"",IF(MID(IFERROR(INDEX(醫師週班表!$C$5:$T$44,$CU38,AB$57),""),2,1)="/",MID(IFERROR(INDEX(醫師週班表!$C$5:$T$44,$CU38,AB$57),""),1+AB$58*2,1),IF(MID(IFERROR(INDEX(醫師週班表!$C$5:$T$44,$CU38,AB$57),""),3,1)="隔",IF(AB$58=0,LEFT(IFERROR(INDEX(醫師週班表!$C$5:$T$44,$CU38,AB$57),""),1),""),IF(MID(IFERROR(INDEX(醫師週班表!$C$5:$T$44,$CU38,AB$57),""),2,1)="(",LEFT(IFERROR(INDEX(醫師週班表!$C$5:$T$44,$CU38,AB$57),""),1),IFERROR(INDEX(醫師週班表!$C$5:$T$44,$CU38,AB$57),"")))))))</f>
        <v/>
      </c>
      <c r="AC38" s="71">
        <f>IF(AC$59="X","",IF(AC$59&lt;&gt;"",AC$59,IF(IFERROR(INDEX(醫師週班表!$C$5:$T$44,$CU38,AC$57),"")=0,"",IF(MID(IFERROR(INDEX(醫師週班表!$C$5:$T$44,$CU38,AC$57),""),2,1)="/",MID(IFERROR(INDEX(醫師週班表!$C$5:$T$44,$CU38,AC$57),""),1+AC$58*2,1),IF(MID(IFERROR(INDEX(醫師週班表!$C$5:$T$44,$CU38,AC$57),""),3,1)="隔",IF(AC$58=0,LEFT(IFERROR(INDEX(醫師週班表!$C$5:$T$44,$CU38,AC$57),""),1),""),IF(MID(IFERROR(INDEX(醫師週班表!$C$5:$T$44,$CU38,AC$57),""),2,1)="(",LEFT(IFERROR(INDEX(醫師週班表!$C$5:$T$44,$CU38,AC$57),""),1),IFERROR(INDEX(醫師週班表!$C$5:$T$44,$CU38,AC$57),"")))))))</f>
        <v/>
      </c>
      <c r="AD38" s="72">
        <f>IF(AD$59="X","",IF(AD$59&lt;&gt;"",AD$59,IF(IFERROR(INDEX(醫師週班表!$C$5:$T$44,$CU38,AD$57),"")=0,"",IF(MID(IFERROR(INDEX(醫師週班表!$C$5:$T$44,$CU38,AD$57),""),2,1)="/",MID(IFERROR(INDEX(醫師週班表!$C$5:$T$44,$CU38,AD$57),""),1+AD$58*2,1),IF(MID(IFERROR(INDEX(醫師週班表!$C$5:$T$44,$CU38,AD$57),""),3,1)="隔",IF(AD$58=0,LEFT(IFERROR(INDEX(醫師週班表!$C$5:$T$44,$CU38,AD$57),""),1),""),IF(MID(IFERROR(INDEX(醫師週班表!$C$5:$T$44,$CU38,AD$57),""),2,1)="(",LEFT(IFERROR(INDEX(醫師週班表!$C$5:$T$44,$CU38,AD$57),""),1),IFERROR(INDEX(醫師週班表!$C$5:$T$44,$CU38,AD$57),"")))))))</f>
        <v/>
      </c>
      <c r="AE38" s="72">
        <f>IF(AE$59="X","",IF(AE$59&lt;&gt;"",AE$59,IF(IFERROR(INDEX(醫師週班表!$C$5:$T$44,$CU38,AE$57),"")=0,"",IF(MID(IFERROR(INDEX(醫師週班表!$C$5:$T$44,$CU38,AE$57),""),2,1)="/",MID(IFERROR(INDEX(醫師週班表!$C$5:$T$44,$CU38,AE$57),""),1+AE$58*2,1),IF(MID(IFERROR(INDEX(醫師週班表!$C$5:$T$44,$CU38,AE$57),""),3,1)="隔",IF(AE$58=0,LEFT(IFERROR(INDEX(醫師週班表!$C$5:$T$44,$CU38,AE$57),""),1),""),IF(MID(IFERROR(INDEX(醫師週班表!$C$5:$T$44,$CU38,AE$57),""),2,1)="(",LEFT(IFERROR(INDEX(醫師週班表!$C$5:$T$44,$CU38,AE$57),""),1),IFERROR(INDEX(醫師週班表!$C$5:$T$44,$CU38,AE$57),"")))))))</f>
        <v/>
      </c>
      <c r="AF38" s="71">
        <f>IF(AF$59="X","",IF(AF$59&lt;&gt;"",AF$59,IF(IFERROR(INDEX(醫師週班表!$C$5:$T$44,$CU38,AF$57),"")=0,"",IF(MID(IFERROR(INDEX(醫師週班表!$C$5:$T$44,$CU38,AF$57),""),2,1)="/",MID(IFERROR(INDEX(醫師週班表!$C$5:$T$44,$CU38,AF$57),""),1+AF$58*2,1),IF(MID(IFERROR(INDEX(醫師週班表!$C$5:$T$44,$CU38,AF$57),""),3,1)="隔",IF(AF$58=0,LEFT(IFERROR(INDEX(醫師週班表!$C$5:$T$44,$CU38,AF$57),""),1),""),IF(MID(IFERROR(INDEX(醫師週班表!$C$5:$T$44,$CU38,AF$57),""),2,1)="(",LEFT(IFERROR(INDEX(醫師週班表!$C$5:$T$44,$CU38,AF$57),""),1),IFERROR(INDEX(醫師週班表!$C$5:$T$44,$CU38,AF$57),"")))))))</f>
        <v/>
      </c>
      <c r="AG38" s="72">
        <f>IF(AG$59="X","",IF(AG$59&lt;&gt;"",AG$59,IF(IFERROR(INDEX(醫師週班表!$C$5:$T$44,$CU38,AG$57),"")=0,"",IF(MID(IFERROR(INDEX(醫師週班表!$C$5:$T$44,$CU38,AG$57),""),2,1)="/",MID(IFERROR(INDEX(醫師週班表!$C$5:$T$44,$CU38,AG$57),""),1+AG$58*2,1),IF(MID(IFERROR(INDEX(醫師週班表!$C$5:$T$44,$CU38,AG$57),""),3,1)="隔",IF(AG$58=0,LEFT(IFERROR(INDEX(醫師週班表!$C$5:$T$44,$CU38,AG$57),""),1),""),IF(MID(IFERROR(INDEX(醫師週班表!$C$5:$T$44,$CU38,AG$57),""),2,1)="(",LEFT(IFERROR(INDEX(醫師週班表!$C$5:$T$44,$CU38,AG$57),""),1),IFERROR(INDEX(醫師週班表!$C$5:$T$44,$CU38,AG$57),"")))))))</f>
        <v/>
      </c>
      <c r="AH38" s="72">
        <f>IF(AH$59="X","",IF(AH$59&lt;&gt;"",AH$59,IF(IFERROR(INDEX(醫師週班表!$C$5:$T$44,$CU38,AH$57),"")=0,"",IF(MID(IFERROR(INDEX(醫師週班表!$C$5:$T$44,$CU38,AH$57),""),2,1)="/",MID(IFERROR(INDEX(醫師週班表!$C$5:$T$44,$CU38,AH$57),""),1+AH$58*2,1),IF(MID(IFERROR(INDEX(醫師週班表!$C$5:$T$44,$CU38,AH$57),""),3,1)="隔",IF(AH$58=0,LEFT(IFERROR(INDEX(醫師週班表!$C$5:$T$44,$CU38,AH$57),""),1),""),IF(MID(IFERROR(INDEX(醫師週班表!$C$5:$T$44,$CU38,AH$57),""),2,1)="(",LEFT(IFERROR(INDEX(醫師週班表!$C$5:$T$44,$CU38,AH$57),""),1),IFERROR(INDEX(醫師週班表!$C$5:$T$44,$CU38,AH$57),"")))))))</f>
        <v/>
      </c>
      <c r="AI38" s="71">
        <f>IF(AI$59="X","",IF(AI$59&lt;&gt;"",AI$59,IF(IFERROR(INDEX(醫師週班表!$C$5:$T$44,$CU38,AI$57),"")=0,"",IF(MID(IFERROR(INDEX(醫師週班表!$C$5:$T$44,$CU38,AI$57),""),2,1)="/",MID(IFERROR(INDEX(醫師週班表!$C$5:$T$44,$CU38,AI$57),""),1+AI$58*2,1),IF(MID(IFERROR(INDEX(醫師週班表!$C$5:$T$44,$CU38,AI$57),""),3,1)="隔",IF(AI$58=0,LEFT(IFERROR(INDEX(醫師週班表!$C$5:$T$44,$CU38,AI$57),""),1),""),IF(MID(IFERROR(INDEX(醫師週班表!$C$5:$T$44,$CU38,AI$57),""),2,1)="(",LEFT(IFERROR(INDEX(醫師週班表!$C$5:$T$44,$CU38,AI$57),""),1),IFERROR(INDEX(醫師週班表!$C$5:$T$44,$CU38,AI$57),"")))))))</f>
        <v/>
      </c>
      <c r="AJ38" s="72">
        <f>IF(AJ$59="X","",IF(AJ$59&lt;&gt;"",AJ$59,IF(IFERROR(INDEX(醫師週班表!$C$5:$T$44,$CU38,AJ$57),"")=0,"",IF(MID(IFERROR(INDEX(醫師週班表!$C$5:$T$44,$CU38,AJ$57),""),2,1)="/",MID(IFERROR(INDEX(醫師週班表!$C$5:$T$44,$CU38,AJ$57),""),1+AJ$58*2,1),IF(MID(IFERROR(INDEX(醫師週班表!$C$5:$T$44,$CU38,AJ$57),""),3,1)="隔",IF(AJ$58=0,LEFT(IFERROR(INDEX(醫師週班表!$C$5:$T$44,$CU38,AJ$57),""),1),""),IF(MID(IFERROR(INDEX(醫師週班表!$C$5:$T$44,$CU38,AJ$57),""),2,1)="(",LEFT(IFERROR(INDEX(醫師週班表!$C$5:$T$44,$CU38,AJ$57),""),1),IFERROR(INDEX(醫師週班表!$C$5:$T$44,$CU38,AJ$57),"")))))))</f>
        <v/>
      </c>
      <c r="AK38" s="72">
        <f>IF(AK$59="X","",IF(AK$59&lt;&gt;"",AK$59,IF(IFERROR(INDEX(醫師週班表!$C$5:$T$44,$CU38,AK$57),"")=0,"",IF(MID(IFERROR(INDEX(醫師週班表!$C$5:$T$44,$CU38,AK$57),""),2,1)="/",MID(IFERROR(INDEX(醫師週班表!$C$5:$T$44,$CU38,AK$57),""),1+AK$58*2,1),IF(MID(IFERROR(INDEX(醫師週班表!$C$5:$T$44,$CU38,AK$57),""),3,1)="隔",IF(AK$58=0,LEFT(IFERROR(INDEX(醫師週班表!$C$5:$T$44,$CU38,AK$57),""),1),""),IF(MID(IFERROR(INDEX(醫師週班表!$C$5:$T$44,$CU38,AK$57),""),2,1)="(",LEFT(IFERROR(INDEX(醫師週班表!$C$5:$T$44,$CU38,AK$57),""),1),IFERROR(INDEX(醫師週班表!$C$5:$T$44,$CU38,AK$57),"")))))))</f>
        <v/>
      </c>
      <c r="AL38" s="71">
        <f>IF(AL$59="X","",IF(AL$59&lt;&gt;"",AL$59,IF(IFERROR(INDEX(醫師週班表!$C$5:$T$44,$CU38,AL$57),"")=0,"",IF(MID(IFERROR(INDEX(醫師週班表!$C$5:$T$44,$CU38,AL$57),""),2,1)="/",MID(IFERROR(INDEX(醫師週班表!$C$5:$T$44,$CU38,AL$57),""),1+AL$58*2,1),IF(MID(IFERROR(INDEX(醫師週班表!$C$5:$T$44,$CU38,AL$57),""),3,1)="隔",IF(AL$58=0,LEFT(IFERROR(INDEX(醫師週班表!$C$5:$T$44,$CU38,AL$57),""),1),""),IF(MID(IFERROR(INDEX(醫師週班表!$C$5:$T$44,$CU38,AL$57),""),2,1)="(",LEFT(IFERROR(INDEX(醫師週班表!$C$5:$T$44,$CU38,AL$57),""),1),IFERROR(INDEX(醫師週班表!$C$5:$T$44,$CU38,AL$57),"")))))))</f>
        <v/>
      </c>
      <c r="AM38" s="72">
        <f>IF(AM$59="X","",IF(AM$59&lt;&gt;"",AM$59,IF(IFERROR(INDEX(醫師週班表!$C$5:$T$44,$CU38,AM$57),"")=0,"",IF(MID(IFERROR(INDEX(醫師週班表!$C$5:$T$44,$CU38,AM$57),""),2,1)="/",MID(IFERROR(INDEX(醫師週班表!$C$5:$T$44,$CU38,AM$57),""),1+AM$58*2,1),IF(MID(IFERROR(INDEX(醫師週班表!$C$5:$T$44,$CU38,AM$57),""),3,1)="隔",IF(AM$58=0,LEFT(IFERROR(INDEX(醫師週班表!$C$5:$T$44,$CU38,AM$57),""),1),""),IF(MID(IFERROR(INDEX(醫師週班表!$C$5:$T$44,$CU38,AM$57),""),2,1)="(",LEFT(IFERROR(INDEX(醫師週班表!$C$5:$T$44,$CU38,AM$57),""),1),IFERROR(INDEX(醫師週班表!$C$5:$T$44,$CU38,AM$57),"")))))))</f>
        <v/>
      </c>
      <c r="AN38" s="72">
        <f>IF(AN$59="X","",IF(AN$59&lt;&gt;"",AN$59,IF(IFERROR(INDEX(醫師週班表!$C$5:$T$44,$CU38,AN$57),"")=0,"",IF(MID(IFERROR(INDEX(醫師週班表!$C$5:$T$44,$CU38,AN$57),""),2,1)="/",MID(IFERROR(INDEX(醫師週班表!$C$5:$T$44,$CU38,AN$57),""),1+AN$58*2,1),IF(MID(IFERROR(INDEX(醫師週班表!$C$5:$T$44,$CU38,AN$57),""),3,1)="隔",IF(AN$58=0,LEFT(IFERROR(INDEX(醫師週班表!$C$5:$T$44,$CU38,AN$57),""),1),""),IF(MID(IFERROR(INDEX(醫師週班表!$C$5:$T$44,$CU38,AN$57),""),2,1)="(",LEFT(IFERROR(INDEX(醫師週班表!$C$5:$T$44,$CU38,AN$57),""),1),IFERROR(INDEX(醫師週班表!$C$5:$T$44,$CU38,AN$57),"")))))))</f>
        <v/>
      </c>
      <c r="AO38" s="71">
        <f>IF(AO$59="X","",IF(AO$59&lt;&gt;"",AO$59,IF(IFERROR(INDEX(醫師週班表!$C$5:$T$44,$CU38,AO$57),"")=0,"",IF(MID(IFERROR(INDEX(醫師週班表!$C$5:$T$44,$CU38,AO$57),""),2,1)="/",MID(IFERROR(INDEX(醫師週班表!$C$5:$T$44,$CU38,AO$57),""),1+AO$58*2,1),IF(MID(IFERROR(INDEX(醫師週班表!$C$5:$T$44,$CU38,AO$57),""),3,1)="隔",IF(AO$58=0,LEFT(IFERROR(INDEX(醫師週班表!$C$5:$T$44,$CU38,AO$57),""),1),""),IF(MID(IFERROR(INDEX(醫師週班表!$C$5:$T$44,$CU38,AO$57),""),2,1)="(",LEFT(IFERROR(INDEX(醫師週班表!$C$5:$T$44,$CU38,AO$57),""),1),IFERROR(INDEX(醫師週班表!$C$5:$T$44,$CU38,AO$57),"")))))))</f>
        <v/>
      </c>
      <c r="AP38" s="72">
        <f>IF(AP$59="X","",IF(AP$59&lt;&gt;"",AP$59,IF(IFERROR(INDEX(醫師週班表!$C$5:$T$44,$CU38,AP$57),"")=0,"",IF(MID(IFERROR(INDEX(醫師週班表!$C$5:$T$44,$CU38,AP$57),""),2,1)="/",MID(IFERROR(INDEX(醫師週班表!$C$5:$T$44,$CU38,AP$57),""),1+AP$58*2,1),IF(MID(IFERROR(INDEX(醫師週班表!$C$5:$T$44,$CU38,AP$57),""),3,1)="隔",IF(AP$58=0,LEFT(IFERROR(INDEX(醫師週班表!$C$5:$T$44,$CU38,AP$57),""),1),""),IF(MID(IFERROR(INDEX(醫師週班表!$C$5:$T$44,$CU38,AP$57),""),2,1)="(",LEFT(IFERROR(INDEX(醫師週班表!$C$5:$T$44,$CU38,AP$57),""),1),IFERROR(INDEX(醫師週班表!$C$5:$T$44,$CU38,AP$57),"")))))))</f>
        <v/>
      </c>
      <c r="AQ38" s="72">
        <f>IF(AQ$59="X","",IF(AQ$59&lt;&gt;"",AQ$59,IF(IFERROR(INDEX(醫師週班表!$C$5:$T$44,$CU38,AQ$57),"")=0,"",IF(MID(IFERROR(INDEX(醫師週班表!$C$5:$T$44,$CU38,AQ$57),""),2,1)="/",MID(IFERROR(INDEX(醫師週班表!$C$5:$T$44,$CU38,AQ$57),""),1+AQ$58*2,1),IF(MID(IFERROR(INDEX(醫師週班表!$C$5:$T$44,$CU38,AQ$57),""),3,1)="隔",IF(AQ$58=0,LEFT(IFERROR(INDEX(醫師週班表!$C$5:$T$44,$CU38,AQ$57),""),1),""),IF(MID(IFERROR(INDEX(醫師週班表!$C$5:$T$44,$CU38,AQ$57),""),2,1)="(",LEFT(IFERROR(INDEX(醫師週班表!$C$5:$T$44,$CU38,AQ$57),""),1),IFERROR(INDEX(醫師週班表!$C$5:$T$44,$CU38,AQ$57),"")))))))</f>
        <v/>
      </c>
      <c r="AR38" s="71">
        <f>IF(AR$59="X","",IF(AR$59&lt;&gt;"",AR$59,IF(IFERROR(INDEX(醫師週班表!$C$5:$T$44,$CU38,AR$57),"")=0,"",IF(MID(IFERROR(INDEX(醫師週班表!$C$5:$T$44,$CU38,AR$57),""),2,1)="/",MID(IFERROR(INDEX(醫師週班表!$C$5:$T$44,$CU38,AR$57),""),1+AR$58*2,1),IF(MID(IFERROR(INDEX(醫師週班表!$C$5:$T$44,$CU38,AR$57),""),3,1)="隔",IF(AR$58=0,LEFT(IFERROR(INDEX(醫師週班表!$C$5:$T$44,$CU38,AR$57),""),1),""),IF(MID(IFERROR(INDEX(醫師週班表!$C$5:$T$44,$CU38,AR$57),""),2,1)="(",LEFT(IFERROR(INDEX(醫師週班表!$C$5:$T$44,$CU38,AR$57),""),1),IFERROR(INDEX(醫師週班表!$C$5:$T$44,$CU38,AR$57),"")))))))</f>
        <v/>
      </c>
      <c r="AS38" s="72">
        <f>IF(AS$59="X","",IF(AS$59&lt;&gt;"",AS$59,IF(IFERROR(INDEX(醫師週班表!$C$5:$T$44,$CU38,AS$57),"")=0,"",IF(MID(IFERROR(INDEX(醫師週班表!$C$5:$T$44,$CU38,AS$57),""),2,1)="/",MID(IFERROR(INDEX(醫師週班表!$C$5:$T$44,$CU38,AS$57),""),1+AS$58*2,1),IF(MID(IFERROR(INDEX(醫師週班表!$C$5:$T$44,$CU38,AS$57),""),3,1)="隔",IF(AS$58=0,LEFT(IFERROR(INDEX(醫師週班表!$C$5:$T$44,$CU38,AS$57),""),1),""),IF(MID(IFERROR(INDEX(醫師週班表!$C$5:$T$44,$CU38,AS$57),""),2,1)="(",LEFT(IFERROR(INDEX(醫師週班表!$C$5:$T$44,$CU38,AS$57),""),1),IFERROR(INDEX(醫師週班表!$C$5:$T$44,$CU38,AS$57),"")))))))</f>
        <v/>
      </c>
      <c r="AT38" s="72">
        <f>IF(AT$59="X","",IF(AT$59&lt;&gt;"",AT$59,IF(IFERROR(INDEX(醫師週班表!$C$5:$T$44,$CU38,AT$57),"")=0,"",IF(MID(IFERROR(INDEX(醫師週班表!$C$5:$T$44,$CU38,AT$57),""),2,1)="/",MID(IFERROR(INDEX(醫師週班表!$C$5:$T$44,$CU38,AT$57),""),1+AT$58*2,1),IF(MID(IFERROR(INDEX(醫師週班表!$C$5:$T$44,$CU38,AT$57),""),3,1)="隔",IF(AT$58=0,LEFT(IFERROR(INDEX(醫師週班表!$C$5:$T$44,$CU38,AT$57),""),1),""),IF(MID(IFERROR(INDEX(醫師週班表!$C$5:$T$44,$CU38,AT$57),""),2,1)="(",LEFT(IFERROR(INDEX(醫師週班表!$C$5:$T$44,$CU38,AT$57),""),1),IFERROR(INDEX(醫師週班表!$C$5:$T$44,$CU38,AT$57),"")))))))</f>
        <v/>
      </c>
      <c r="AU38" s="71">
        <f>IF(AU$59="X","",IF(AU$59&lt;&gt;"",AU$59,IF(IFERROR(INDEX(醫師週班表!$C$5:$T$44,$CU38,AU$57),"")=0,"",IF(MID(IFERROR(INDEX(醫師週班表!$C$5:$T$44,$CU38,AU$57),""),2,1)="/",MID(IFERROR(INDEX(醫師週班表!$C$5:$T$44,$CU38,AU$57),""),1+AU$58*2,1),IF(MID(IFERROR(INDEX(醫師週班表!$C$5:$T$44,$CU38,AU$57),""),3,1)="隔",IF(AU$58=0,LEFT(IFERROR(INDEX(醫師週班表!$C$5:$T$44,$CU38,AU$57),""),1),""),IF(MID(IFERROR(INDEX(醫師週班表!$C$5:$T$44,$CU38,AU$57),""),2,1)="(",LEFT(IFERROR(INDEX(醫師週班表!$C$5:$T$44,$CU38,AU$57),""),1),IFERROR(INDEX(醫師週班表!$C$5:$T$44,$CU38,AU$57),"")))))))</f>
        <v/>
      </c>
      <c r="AV38" s="72">
        <f>IF(AV$59="X","",IF(AV$59&lt;&gt;"",AV$59,IF(IFERROR(INDEX(醫師週班表!$C$5:$T$44,$CU38,AV$57),"")=0,"",IF(MID(IFERROR(INDEX(醫師週班表!$C$5:$T$44,$CU38,AV$57),""),2,1)="/",MID(IFERROR(INDEX(醫師週班表!$C$5:$T$44,$CU38,AV$57),""),1+AV$58*2,1),IF(MID(IFERROR(INDEX(醫師週班表!$C$5:$T$44,$CU38,AV$57),""),3,1)="隔",IF(AV$58=0,LEFT(IFERROR(INDEX(醫師週班表!$C$5:$T$44,$CU38,AV$57),""),1),""),IF(MID(IFERROR(INDEX(醫師週班表!$C$5:$T$44,$CU38,AV$57),""),2,1)="(",LEFT(IFERROR(INDEX(醫師週班表!$C$5:$T$44,$CU38,AV$57),""),1),IFERROR(INDEX(醫師週班表!$C$5:$T$44,$CU38,AV$57),"")))))))</f>
        <v/>
      </c>
      <c r="AW38" s="72">
        <f>IF(AW$59="X","",IF(AW$59&lt;&gt;"",AW$59,IF(IFERROR(INDEX(醫師週班表!$C$5:$T$44,$CU38,AW$57),"")=0,"",IF(MID(IFERROR(INDEX(醫師週班表!$C$5:$T$44,$CU38,AW$57),""),2,1)="/",MID(IFERROR(INDEX(醫師週班表!$C$5:$T$44,$CU38,AW$57),""),1+AW$58*2,1),IF(MID(IFERROR(INDEX(醫師週班表!$C$5:$T$44,$CU38,AW$57),""),3,1)="隔",IF(AW$58=0,LEFT(IFERROR(INDEX(醫師週班表!$C$5:$T$44,$CU38,AW$57),""),1),""),IF(MID(IFERROR(INDEX(醫師週班表!$C$5:$T$44,$CU38,AW$57),""),2,1)="(",LEFT(IFERROR(INDEX(醫師週班表!$C$5:$T$44,$CU38,AW$57),""),1),IFERROR(INDEX(醫師週班表!$C$5:$T$44,$CU38,AW$57),"")))))))</f>
        <v/>
      </c>
      <c r="AX38" s="71">
        <f>IF(AX$59="X","",IF(AX$59&lt;&gt;"",AX$59,IF(IFERROR(INDEX(醫師週班表!$C$5:$T$44,$CU38,AX$57),"")=0,"",IF(MID(IFERROR(INDEX(醫師週班表!$C$5:$T$44,$CU38,AX$57),""),2,1)="/",MID(IFERROR(INDEX(醫師週班表!$C$5:$T$44,$CU38,AX$57),""),1+AX$58*2,1),IF(MID(IFERROR(INDEX(醫師週班表!$C$5:$T$44,$CU38,AX$57),""),3,1)="隔",IF(AX$58=0,LEFT(IFERROR(INDEX(醫師週班表!$C$5:$T$44,$CU38,AX$57),""),1),""),IF(MID(IFERROR(INDEX(醫師週班表!$C$5:$T$44,$CU38,AX$57),""),2,1)="(",LEFT(IFERROR(INDEX(醫師週班表!$C$5:$T$44,$CU38,AX$57),""),1),IFERROR(INDEX(醫師週班表!$C$5:$T$44,$CU38,AX$57),"")))))))</f>
        <v/>
      </c>
      <c r="AY38" s="72">
        <f>IF(AY$59="X","",IF(AY$59&lt;&gt;"",AY$59,IF(IFERROR(INDEX(醫師週班表!$C$5:$T$44,$CU38,AY$57),"")=0,"",IF(MID(IFERROR(INDEX(醫師週班表!$C$5:$T$44,$CU38,AY$57),""),2,1)="/",MID(IFERROR(INDEX(醫師週班表!$C$5:$T$44,$CU38,AY$57),""),1+AY$58*2,1),IF(MID(IFERROR(INDEX(醫師週班表!$C$5:$T$44,$CU38,AY$57),""),3,1)="隔",IF(AY$58=0,LEFT(IFERROR(INDEX(醫師週班表!$C$5:$T$44,$CU38,AY$57),""),1),""),IF(MID(IFERROR(INDEX(醫師週班表!$C$5:$T$44,$CU38,AY$57),""),2,1)="(",LEFT(IFERROR(INDEX(醫師週班表!$C$5:$T$44,$CU38,AY$57),""),1),IFERROR(INDEX(醫師週班表!$C$5:$T$44,$CU38,AY$57),"")))))))</f>
        <v/>
      </c>
      <c r="AZ38" s="72">
        <f>IF(AZ$59="X","",IF(AZ$59&lt;&gt;"",AZ$59,IF(IFERROR(INDEX(醫師週班表!$C$5:$T$44,$CU38,AZ$57),"")=0,"",IF(MID(IFERROR(INDEX(醫師週班表!$C$5:$T$44,$CU38,AZ$57),""),2,1)="/",MID(IFERROR(INDEX(醫師週班表!$C$5:$T$44,$CU38,AZ$57),""),1+AZ$58*2,1),IF(MID(IFERROR(INDEX(醫師週班表!$C$5:$T$44,$CU38,AZ$57),""),3,1)="隔",IF(AZ$58=0,LEFT(IFERROR(INDEX(醫師週班表!$C$5:$T$44,$CU38,AZ$57),""),1),""),IF(MID(IFERROR(INDEX(醫師週班表!$C$5:$T$44,$CU38,AZ$57),""),2,1)="(",LEFT(IFERROR(INDEX(醫師週班表!$C$5:$T$44,$CU38,AZ$57),""),1),IFERROR(INDEX(醫師週班表!$C$5:$T$44,$CU38,AZ$57),"")))))))</f>
        <v/>
      </c>
      <c r="BA38" s="71">
        <f>IF(BA$59="X","",IF(BA$59&lt;&gt;"",BA$59,IF(IFERROR(INDEX(醫師週班表!$C$5:$T$44,$CU38,BA$57),"")=0,"",IF(MID(IFERROR(INDEX(醫師週班表!$C$5:$T$44,$CU38,BA$57),""),2,1)="/",MID(IFERROR(INDEX(醫師週班表!$C$5:$T$44,$CU38,BA$57),""),1+BA$58*2,1),IF(MID(IFERROR(INDEX(醫師週班表!$C$5:$T$44,$CU38,BA$57),""),3,1)="隔",IF(BA$58=0,LEFT(IFERROR(INDEX(醫師週班表!$C$5:$T$44,$CU38,BA$57),""),1),""),IF(MID(IFERROR(INDEX(醫師週班表!$C$5:$T$44,$CU38,BA$57),""),2,1)="(",LEFT(IFERROR(INDEX(醫師週班表!$C$5:$T$44,$CU38,BA$57),""),1),IFERROR(INDEX(醫師週班表!$C$5:$T$44,$CU38,BA$57),"")))))))</f>
        <v/>
      </c>
      <c r="BB38" s="72">
        <f>IF(BB$59="X","",IF(BB$59&lt;&gt;"",BB$59,IF(IFERROR(INDEX(醫師週班表!$C$5:$T$44,$CU38,BB$57),"")=0,"",IF(MID(IFERROR(INDEX(醫師週班表!$C$5:$T$44,$CU38,BB$57),""),2,1)="/",MID(IFERROR(INDEX(醫師週班表!$C$5:$T$44,$CU38,BB$57),""),1+BB$58*2,1),IF(MID(IFERROR(INDEX(醫師週班表!$C$5:$T$44,$CU38,BB$57),""),3,1)="隔",IF(BB$58=0,LEFT(IFERROR(INDEX(醫師週班表!$C$5:$T$44,$CU38,BB$57),""),1),""),IF(MID(IFERROR(INDEX(醫師週班表!$C$5:$T$44,$CU38,BB$57),""),2,1)="(",LEFT(IFERROR(INDEX(醫師週班表!$C$5:$T$44,$CU38,BB$57),""),1),IFERROR(INDEX(醫師週班表!$C$5:$T$44,$CU38,BB$57),"")))))))</f>
        <v/>
      </c>
      <c r="BC38" s="72">
        <f>IF(BC$59="X","",IF(BC$59&lt;&gt;"",BC$59,IF(IFERROR(INDEX(醫師週班表!$C$5:$T$44,$CU38,BC$57),"")=0,"",IF(MID(IFERROR(INDEX(醫師週班表!$C$5:$T$44,$CU38,BC$57),""),2,1)="/",MID(IFERROR(INDEX(醫師週班表!$C$5:$T$44,$CU38,BC$57),""),1+BC$58*2,1),IF(MID(IFERROR(INDEX(醫師週班表!$C$5:$T$44,$CU38,BC$57),""),3,1)="隔",IF(BC$58=0,LEFT(IFERROR(INDEX(醫師週班表!$C$5:$T$44,$CU38,BC$57),""),1),""),IF(MID(IFERROR(INDEX(醫師週班表!$C$5:$T$44,$CU38,BC$57),""),2,1)="(",LEFT(IFERROR(INDEX(醫師週班表!$C$5:$T$44,$CU38,BC$57),""),1),IFERROR(INDEX(醫師週班表!$C$5:$T$44,$CU38,BC$57),"")))))))</f>
        <v/>
      </c>
      <c r="BD38" s="71">
        <f>IF(BD$59="X","",IF(BD$59&lt;&gt;"",BD$59,IF(IFERROR(INDEX(醫師週班表!$C$5:$T$44,$CU38,BD$57),"")=0,"",IF(MID(IFERROR(INDEX(醫師週班表!$C$5:$T$44,$CU38,BD$57),""),2,1)="/",MID(IFERROR(INDEX(醫師週班表!$C$5:$T$44,$CU38,BD$57),""),1+BD$58*2,1),IF(MID(IFERROR(INDEX(醫師週班表!$C$5:$T$44,$CU38,BD$57),""),3,1)="隔",IF(BD$58=0,LEFT(IFERROR(INDEX(醫師週班表!$C$5:$T$44,$CU38,BD$57),""),1),""),IF(MID(IFERROR(INDEX(醫師週班表!$C$5:$T$44,$CU38,BD$57),""),2,1)="(",LEFT(IFERROR(INDEX(醫師週班表!$C$5:$T$44,$CU38,BD$57),""),1),IFERROR(INDEX(醫師週班表!$C$5:$T$44,$CU38,BD$57),"")))))))</f>
        <v/>
      </c>
      <c r="BE38" s="72">
        <f>IF(BE$59="X","",IF(BE$59&lt;&gt;"",BE$59,IF(IFERROR(INDEX(醫師週班表!$C$5:$T$44,$CU38,BE$57),"")=0,"",IF(MID(IFERROR(INDEX(醫師週班表!$C$5:$T$44,$CU38,BE$57),""),2,1)="/",MID(IFERROR(INDEX(醫師週班表!$C$5:$T$44,$CU38,BE$57),""),1+BE$58*2,1),IF(MID(IFERROR(INDEX(醫師週班表!$C$5:$T$44,$CU38,BE$57),""),3,1)="隔",IF(BE$58=0,LEFT(IFERROR(INDEX(醫師週班表!$C$5:$T$44,$CU38,BE$57),""),1),""),IF(MID(IFERROR(INDEX(醫師週班表!$C$5:$T$44,$CU38,BE$57),""),2,1)="(",LEFT(IFERROR(INDEX(醫師週班表!$C$5:$T$44,$CU38,BE$57),""),1),IFERROR(INDEX(醫師週班表!$C$5:$T$44,$CU38,BE$57),"")))))))</f>
        <v/>
      </c>
      <c r="BF38" s="72">
        <f>IF(BF$59="X","",IF(BF$59&lt;&gt;"",BF$59,IF(IFERROR(INDEX(醫師週班表!$C$5:$T$44,$CU38,BF$57),"")=0,"",IF(MID(IFERROR(INDEX(醫師週班表!$C$5:$T$44,$CU38,BF$57),""),2,1)="/",MID(IFERROR(INDEX(醫師週班表!$C$5:$T$44,$CU38,BF$57),""),1+BF$58*2,1),IF(MID(IFERROR(INDEX(醫師週班表!$C$5:$T$44,$CU38,BF$57),""),3,1)="隔",IF(BF$58=0,LEFT(IFERROR(INDEX(醫師週班表!$C$5:$T$44,$CU38,BF$57),""),1),""),IF(MID(IFERROR(INDEX(醫師週班表!$C$5:$T$44,$CU38,BF$57),""),2,1)="(",LEFT(IFERROR(INDEX(醫師週班表!$C$5:$T$44,$CU38,BF$57),""),1),IFERROR(INDEX(醫師週班表!$C$5:$T$44,$CU38,BF$57),"")))))))</f>
        <v/>
      </c>
      <c r="BG38" s="71">
        <f>IF(BG$59="X","",IF(BG$59&lt;&gt;"",BG$59,IF(IFERROR(INDEX(醫師週班表!$C$5:$T$44,$CU38,BG$57),"")=0,"",IF(MID(IFERROR(INDEX(醫師週班表!$C$5:$T$44,$CU38,BG$57),""),2,1)="/",MID(IFERROR(INDEX(醫師週班表!$C$5:$T$44,$CU38,BG$57),""),1+BG$58*2,1),IF(MID(IFERROR(INDEX(醫師週班表!$C$5:$T$44,$CU38,BG$57),""),3,1)="隔",IF(BG$58=0,LEFT(IFERROR(INDEX(醫師週班表!$C$5:$T$44,$CU38,BG$57),""),1),""),IF(MID(IFERROR(INDEX(醫師週班表!$C$5:$T$44,$CU38,BG$57),""),2,1)="(",LEFT(IFERROR(INDEX(醫師週班表!$C$5:$T$44,$CU38,BG$57),""),1),IFERROR(INDEX(醫師週班表!$C$5:$T$44,$CU38,BG$57),"")))))))</f>
        <v/>
      </c>
      <c r="BH38" s="72">
        <f>IF(BH$59="X","",IF(BH$59&lt;&gt;"",BH$59,IF(IFERROR(INDEX(醫師週班表!$C$5:$T$44,$CU38,BH$57),"")=0,"",IF(MID(IFERROR(INDEX(醫師週班表!$C$5:$T$44,$CU38,BH$57),""),2,1)="/",MID(IFERROR(INDEX(醫師週班表!$C$5:$T$44,$CU38,BH$57),""),1+BH$58*2,1),IF(MID(IFERROR(INDEX(醫師週班表!$C$5:$T$44,$CU38,BH$57),""),3,1)="隔",IF(BH$58=0,LEFT(IFERROR(INDEX(醫師週班表!$C$5:$T$44,$CU38,BH$57),""),1),""),IF(MID(IFERROR(INDEX(醫師週班表!$C$5:$T$44,$CU38,BH$57),""),2,1)="(",LEFT(IFERROR(INDEX(醫師週班表!$C$5:$T$44,$CU38,BH$57),""),1),IFERROR(INDEX(醫師週班表!$C$5:$T$44,$CU38,BH$57),"")))))))</f>
        <v/>
      </c>
      <c r="BI38" s="72">
        <f>IF(BI$59="X","",IF(BI$59&lt;&gt;"",BI$59,IF(IFERROR(INDEX(醫師週班表!$C$5:$T$44,$CU38,BI$57),"")=0,"",IF(MID(IFERROR(INDEX(醫師週班表!$C$5:$T$44,$CU38,BI$57),""),2,1)="/",MID(IFERROR(INDEX(醫師週班表!$C$5:$T$44,$CU38,BI$57),""),1+BI$58*2,1),IF(MID(IFERROR(INDEX(醫師週班表!$C$5:$T$44,$CU38,BI$57),""),3,1)="隔",IF(BI$58=0,LEFT(IFERROR(INDEX(醫師週班表!$C$5:$T$44,$CU38,BI$57),""),1),""),IF(MID(IFERROR(INDEX(醫師週班表!$C$5:$T$44,$CU38,BI$57),""),2,1)="(",LEFT(IFERROR(INDEX(醫師週班表!$C$5:$T$44,$CU38,BI$57),""),1),IFERROR(INDEX(醫師週班表!$C$5:$T$44,$CU38,BI$57),"")))))))</f>
        <v/>
      </c>
      <c r="BJ38" s="71">
        <f>IF(BJ$59="X","",IF(BJ$59&lt;&gt;"",BJ$59,IF(IFERROR(INDEX(醫師週班表!$C$5:$T$44,$CU38,BJ$57),"")=0,"",IF(MID(IFERROR(INDEX(醫師週班表!$C$5:$T$44,$CU38,BJ$57),""),2,1)="/",MID(IFERROR(INDEX(醫師週班表!$C$5:$T$44,$CU38,BJ$57),""),1+BJ$58*2,1),IF(MID(IFERROR(INDEX(醫師週班表!$C$5:$T$44,$CU38,BJ$57),""),3,1)="隔",IF(BJ$58=0,LEFT(IFERROR(INDEX(醫師週班表!$C$5:$T$44,$CU38,BJ$57),""),1),""),IF(MID(IFERROR(INDEX(醫師週班表!$C$5:$T$44,$CU38,BJ$57),""),2,1)="(",LEFT(IFERROR(INDEX(醫師週班表!$C$5:$T$44,$CU38,BJ$57),""),1),IFERROR(INDEX(醫師週班表!$C$5:$T$44,$CU38,BJ$57),"")))))))</f>
        <v/>
      </c>
      <c r="BK38" s="72">
        <f>IF(BK$59="X","",IF(BK$59&lt;&gt;"",BK$59,IF(IFERROR(INDEX(醫師週班表!$C$5:$T$44,$CU38,BK$57),"")=0,"",IF(MID(IFERROR(INDEX(醫師週班表!$C$5:$T$44,$CU38,BK$57),""),2,1)="/",MID(IFERROR(INDEX(醫師週班表!$C$5:$T$44,$CU38,BK$57),""),1+BK$58*2,1),IF(MID(IFERROR(INDEX(醫師週班表!$C$5:$T$44,$CU38,BK$57),""),3,1)="隔",IF(BK$58=0,LEFT(IFERROR(INDEX(醫師週班表!$C$5:$T$44,$CU38,BK$57),""),1),""),IF(MID(IFERROR(INDEX(醫師週班表!$C$5:$T$44,$CU38,BK$57),""),2,1)="(",LEFT(IFERROR(INDEX(醫師週班表!$C$5:$T$44,$CU38,BK$57),""),1),IFERROR(INDEX(醫師週班表!$C$5:$T$44,$CU38,BK$57),"")))))))</f>
        <v/>
      </c>
      <c r="BL38" s="72">
        <f>IF(BL$59="X","",IF(BL$59&lt;&gt;"",BL$59,IF(IFERROR(INDEX(醫師週班表!$C$5:$T$44,$CU38,BL$57),"")=0,"",IF(MID(IFERROR(INDEX(醫師週班表!$C$5:$T$44,$CU38,BL$57),""),2,1)="/",MID(IFERROR(INDEX(醫師週班表!$C$5:$T$44,$CU38,BL$57),""),1+BL$58*2,1),IF(MID(IFERROR(INDEX(醫師週班表!$C$5:$T$44,$CU38,BL$57),""),3,1)="隔",IF(BL$58=0,LEFT(IFERROR(INDEX(醫師週班表!$C$5:$T$44,$CU38,BL$57),""),1),""),IF(MID(IFERROR(INDEX(醫師週班表!$C$5:$T$44,$CU38,BL$57),""),2,1)="(",LEFT(IFERROR(INDEX(醫師週班表!$C$5:$T$44,$CU38,BL$57),""),1),IFERROR(INDEX(醫師週班表!$C$5:$T$44,$CU38,BL$57),"")))))))</f>
        <v/>
      </c>
      <c r="BM38" s="71">
        <f>IF(BM$59="X","",IF(BM$59&lt;&gt;"",BM$59,IF(IFERROR(INDEX(醫師週班表!$C$5:$T$44,$CU38,BM$57),"")=0,"",IF(MID(IFERROR(INDEX(醫師週班表!$C$5:$T$44,$CU38,BM$57),""),2,1)="/",MID(IFERROR(INDEX(醫師週班表!$C$5:$T$44,$CU38,BM$57),""),1+BM$58*2,1),IF(MID(IFERROR(INDEX(醫師週班表!$C$5:$T$44,$CU38,BM$57),""),3,1)="隔",IF(BM$58=0,LEFT(IFERROR(INDEX(醫師週班表!$C$5:$T$44,$CU38,BM$57),""),1),""),IF(MID(IFERROR(INDEX(醫師週班表!$C$5:$T$44,$CU38,BM$57),""),2,1)="(",LEFT(IFERROR(INDEX(醫師週班表!$C$5:$T$44,$CU38,BM$57),""),1),IFERROR(INDEX(醫師週班表!$C$5:$T$44,$CU38,BM$57),"")))))))</f>
        <v/>
      </c>
      <c r="BN38" s="72">
        <f>IF(BN$59="X","",IF(BN$59&lt;&gt;"",BN$59,IF(IFERROR(INDEX(醫師週班表!$C$5:$T$44,$CU38,BN$57),"")=0,"",IF(MID(IFERROR(INDEX(醫師週班表!$C$5:$T$44,$CU38,BN$57),""),2,1)="/",MID(IFERROR(INDEX(醫師週班表!$C$5:$T$44,$CU38,BN$57),""),1+BN$58*2,1),IF(MID(IFERROR(INDEX(醫師週班表!$C$5:$T$44,$CU38,BN$57),""),3,1)="隔",IF(BN$58=0,LEFT(IFERROR(INDEX(醫師週班表!$C$5:$T$44,$CU38,BN$57),""),1),""),IF(MID(IFERROR(INDEX(醫師週班表!$C$5:$T$44,$CU38,BN$57),""),2,1)="(",LEFT(IFERROR(INDEX(醫師週班表!$C$5:$T$44,$CU38,BN$57),""),1),IFERROR(INDEX(醫師週班表!$C$5:$T$44,$CU38,BN$57),"")))))))</f>
        <v/>
      </c>
      <c r="BO38" s="72">
        <f>IF(BO$59="X","",IF(BO$59&lt;&gt;"",BO$59,IF(IFERROR(INDEX(醫師週班表!$C$5:$T$44,$CU38,BO$57),"")=0,"",IF(MID(IFERROR(INDEX(醫師週班表!$C$5:$T$44,$CU38,BO$57),""),2,1)="/",MID(IFERROR(INDEX(醫師週班表!$C$5:$T$44,$CU38,BO$57),""),1+BO$58*2,1),IF(MID(IFERROR(INDEX(醫師週班表!$C$5:$T$44,$CU38,BO$57),""),3,1)="隔",IF(BO$58=0,LEFT(IFERROR(INDEX(醫師週班表!$C$5:$T$44,$CU38,BO$57),""),1),""),IF(MID(IFERROR(INDEX(醫師週班表!$C$5:$T$44,$CU38,BO$57),""),2,1)="(",LEFT(IFERROR(INDEX(醫師週班表!$C$5:$T$44,$CU38,BO$57),""),1),IFERROR(INDEX(醫師週班表!$C$5:$T$44,$CU38,BO$57),"")))))))</f>
        <v/>
      </c>
      <c r="BP38" s="71">
        <f>IF(BP$59="X","",IF(BP$59&lt;&gt;"",BP$59,IF(IFERROR(INDEX(醫師週班表!$C$5:$T$44,$CU38,BP$57),"")=0,"",IF(MID(IFERROR(INDEX(醫師週班表!$C$5:$T$44,$CU38,BP$57),""),2,1)="/",MID(IFERROR(INDEX(醫師週班表!$C$5:$T$44,$CU38,BP$57),""),1+BP$58*2,1),IF(MID(IFERROR(INDEX(醫師週班表!$C$5:$T$44,$CU38,BP$57),""),3,1)="隔",IF(BP$58=0,LEFT(IFERROR(INDEX(醫師週班表!$C$5:$T$44,$CU38,BP$57),""),1),""),IF(MID(IFERROR(INDEX(醫師週班表!$C$5:$T$44,$CU38,BP$57),""),2,1)="(",LEFT(IFERROR(INDEX(醫師週班表!$C$5:$T$44,$CU38,BP$57),""),1),IFERROR(INDEX(醫師週班表!$C$5:$T$44,$CU38,BP$57),"")))))))</f>
        <v/>
      </c>
      <c r="BQ38" s="72">
        <f>IF(BQ$59="X","",IF(BQ$59&lt;&gt;"",BQ$59,IF(IFERROR(INDEX(醫師週班表!$C$5:$T$44,$CU38,BQ$57),"")=0,"",IF(MID(IFERROR(INDEX(醫師週班表!$C$5:$T$44,$CU38,BQ$57),""),2,1)="/",MID(IFERROR(INDEX(醫師週班表!$C$5:$T$44,$CU38,BQ$57),""),1+BQ$58*2,1),IF(MID(IFERROR(INDEX(醫師週班表!$C$5:$T$44,$CU38,BQ$57),""),3,1)="隔",IF(BQ$58=0,LEFT(IFERROR(INDEX(醫師週班表!$C$5:$T$44,$CU38,BQ$57),""),1),""),IF(MID(IFERROR(INDEX(醫師週班表!$C$5:$T$44,$CU38,BQ$57),""),2,1)="(",LEFT(IFERROR(INDEX(醫師週班表!$C$5:$T$44,$CU38,BQ$57),""),1),IFERROR(INDEX(醫師週班表!$C$5:$T$44,$CU38,BQ$57),"")))))))</f>
        <v/>
      </c>
      <c r="BR38" s="72">
        <f>IF(BR$59="X","",IF(BR$59&lt;&gt;"",BR$59,IF(IFERROR(INDEX(醫師週班表!$C$5:$T$44,$CU38,BR$57),"")=0,"",IF(MID(IFERROR(INDEX(醫師週班表!$C$5:$T$44,$CU38,BR$57),""),2,1)="/",MID(IFERROR(INDEX(醫師週班表!$C$5:$T$44,$CU38,BR$57),""),1+BR$58*2,1),IF(MID(IFERROR(INDEX(醫師週班表!$C$5:$T$44,$CU38,BR$57),""),3,1)="隔",IF(BR$58=0,LEFT(IFERROR(INDEX(醫師週班表!$C$5:$T$44,$CU38,BR$57),""),1),""),IF(MID(IFERROR(INDEX(醫師週班表!$C$5:$T$44,$CU38,BR$57),""),2,1)="(",LEFT(IFERROR(INDEX(醫師週班表!$C$5:$T$44,$CU38,BR$57),""),1),IFERROR(INDEX(醫師週班表!$C$5:$T$44,$CU38,BR$57),"")))))))</f>
        <v/>
      </c>
      <c r="BS38" s="71">
        <f>IF(BS$59="X","",IF(BS$59&lt;&gt;"",BS$59,IF(IFERROR(INDEX(醫師週班表!$C$5:$T$44,$CU38,BS$57),"")=0,"",IF(MID(IFERROR(INDEX(醫師週班表!$C$5:$T$44,$CU38,BS$57),""),2,1)="/",MID(IFERROR(INDEX(醫師週班表!$C$5:$T$44,$CU38,BS$57),""),1+BS$58*2,1),IF(MID(IFERROR(INDEX(醫師週班表!$C$5:$T$44,$CU38,BS$57),""),3,1)="隔",IF(BS$58=0,LEFT(IFERROR(INDEX(醫師週班表!$C$5:$T$44,$CU38,BS$57),""),1),""),IF(MID(IFERROR(INDEX(醫師週班表!$C$5:$T$44,$CU38,BS$57),""),2,1)="(",LEFT(IFERROR(INDEX(醫師週班表!$C$5:$T$44,$CU38,BS$57),""),1),IFERROR(INDEX(醫師週班表!$C$5:$T$44,$CU38,BS$57),"")))))))</f>
        <v/>
      </c>
      <c r="BT38" s="72">
        <f>IF(BT$59="X","",IF(BT$59&lt;&gt;"",BT$59,IF(IFERROR(INDEX(醫師週班表!$C$5:$T$44,$CU38,BT$57),"")=0,"",IF(MID(IFERROR(INDEX(醫師週班表!$C$5:$T$44,$CU38,BT$57),""),2,1)="/",MID(IFERROR(INDEX(醫師週班表!$C$5:$T$44,$CU38,BT$57),""),1+BT$58*2,1),IF(MID(IFERROR(INDEX(醫師週班表!$C$5:$T$44,$CU38,BT$57),""),3,1)="隔",IF(BT$58=0,LEFT(IFERROR(INDEX(醫師週班表!$C$5:$T$44,$CU38,BT$57),""),1),""),IF(MID(IFERROR(INDEX(醫師週班表!$C$5:$T$44,$CU38,BT$57),""),2,1)="(",LEFT(IFERROR(INDEX(醫師週班表!$C$5:$T$44,$CU38,BT$57),""),1),IFERROR(INDEX(醫師週班表!$C$5:$T$44,$CU38,BT$57),"")))))))</f>
        <v/>
      </c>
      <c r="BU38" s="72">
        <f>IF(BU$59="X","",IF(BU$59&lt;&gt;"",BU$59,IF(IFERROR(INDEX(醫師週班表!$C$5:$T$44,$CU38,BU$57),"")=0,"",IF(MID(IFERROR(INDEX(醫師週班表!$C$5:$T$44,$CU38,BU$57),""),2,1)="/",MID(IFERROR(INDEX(醫師週班表!$C$5:$T$44,$CU38,BU$57),""),1+BU$58*2,1),IF(MID(IFERROR(INDEX(醫師週班表!$C$5:$T$44,$CU38,BU$57),""),3,1)="隔",IF(BU$58=0,LEFT(IFERROR(INDEX(醫師週班表!$C$5:$T$44,$CU38,BU$57),""),1),""),IF(MID(IFERROR(INDEX(醫師週班表!$C$5:$T$44,$CU38,BU$57),""),2,1)="(",LEFT(IFERROR(INDEX(醫師週班表!$C$5:$T$44,$CU38,BU$57),""),1),IFERROR(INDEX(醫師週班表!$C$5:$T$44,$CU38,BU$57),"")))))))</f>
        <v/>
      </c>
      <c r="BV38" s="71">
        <f>IF(BV$59="X","",IF(BV$59&lt;&gt;"",BV$59,IF(IFERROR(INDEX(醫師週班表!$C$5:$T$44,$CU38,BV$57),"")=0,"",IF(MID(IFERROR(INDEX(醫師週班表!$C$5:$T$44,$CU38,BV$57),""),2,1)="/",MID(IFERROR(INDEX(醫師週班表!$C$5:$T$44,$CU38,BV$57),""),1+BV$58*2,1),IF(MID(IFERROR(INDEX(醫師週班表!$C$5:$T$44,$CU38,BV$57),""),3,1)="隔",IF(BV$58=0,LEFT(IFERROR(INDEX(醫師週班表!$C$5:$T$44,$CU38,BV$57),""),1),""),IF(MID(IFERROR(INDEX(醫師週班表!$C$5:$T$44,$CU38,BV$57),""),2,1)="(",LEFT(IFERROR(INDEX(醫師週班表!$C$5:$T$44,$CU38,BV$57),""),1),IFERROR(INDEX(醫師週班表!$C$5:$T$44,$CU38,BV$57),"")))))))</f>
        <v/>
      </c>
      <c r="BW38" s="72">
        <f>IF(BW$59="X","",IF(BW$59&lt;&gt;"",BW$59,IF(IFERROR(INDEX(醫師週班表!$C$5:$T$44,$CU38,BW$57),"")=0,"",IF(MID(IFERROR(INDEX(醫師週班表!$C$5:$T$44,$CU38,BW$57),""),2,1)="/",MID(IFERROR(INDEX(醫師週班表!$C$5:$T$44,$CU38,BW$57),""),1+BW$58*2,1),IF(MID(IFERROR(INDEX(醫師週班表!$C$5:$T$44,$CU38,BW$57),""),3,1)="隔",IF(BW$58=0,LEFT(IFERROR(INDEX(醫師週班表!$C$5:$T$44,$CU38,BW$57),""),1),""),IF(MID(IFERROR(INDEX(醫師週班表!$C$5:$T$44,$CU38,BW$57),""),2,1)="(",LEFT(IFERROR(INDEX(醫師週班表!$C$5:$T$44,$CU38,BW$57),""),1),IFERROR(INDEX(醫師週班表!$C$5:$T$44,$CU38,BW$57),"")))))))</f>
        <v/>
      </c>
      <c r="BX38" s="72">
        <f>IF(BX$59="X","",IF(BX$59&lt;&gt;"",BX$59,IF(IFERROR(INDEX(醫師週班表!$C$5:$T$44,$CU38,BX$57),"")=0,"",IF(MID(IFERROR(INDEX(醫師週班表!$C$5:$T$44,$CU38,BX$57),""),2,1)="/",MID(IFERROR(INDEX(醫師週班表!$C$5:$T$44,$CU38,BX$57),""),1+BX$58*2,1),IF(MID(IFERROR(INDEX(醫師週班表!$C$5:$T$44,$CU38,BX$57),""),3,1)="隔",IF(BX$58=0,LEFT(IFERROR(INDEX(醫師週班表!$C$5:$T$44,$CU38,BX$57),""),1),""),IF(MID(IFERROR(INDEX(醫師週班表!$C$5:$T$44,$CU38,BX$57),""),2,1)="(",LEFT(IFERROR(INDEX(醫師週班表!$C$5:$T$44,$CU38,BX$57),""),1),IFERROR(INDEX(醫師週班表!$C$5:$T$44,$CU38,BX$57),"")))))))</f>
        <v/>
      </c>
      <c r="BY38" s="71">
        <f>IF(BY$59="X","",IF(BY$59&lt;&gt;"",BY$59,IF(IFERROR(INDEX(醫師週班表!$C$5:$T$44,$CU38,BY$57),"")=0,"",IF(MID(IFERROR(INDEX(醫師週班表!$C$5:$T$44,$CU38,BY$57),""),2,1)="/",MID(IFERROR(INDEX(醫師週班表!$C$5:$T$44,$CU38,BY$57),""),1+BY$58*2,1),IF(MID(IFERROR(INDEX(醫師週班表!$C$5:$T$44,$CU38,BY$57),""),3,1)="隔",IF(BY$58=0,LEFT(IFERROR(INDEX(醫師週班表!$C$5:$T$44,$CU38,BY$57),""),1),""),IF(MID(IFERROR(INDEX(醫師週班表!$C$5:$T$44,$CU38,BY$57),""),2,1)="(",LEFT(IFERROR(INDEX(醫師週班表!$C$5:$T$44,$CU38,BY$57),""),1),IFERROR(INDEX(醫師週班表!$C$5:$T$44,$CU38,BY$57),"")))))))</f>
        <v/>
      </c>
      <c r="BZ38" s="72">
        <f>IF(BZ$59="X","",IF(BZ$59&lt;&gt;"",BZ$59,IF(IFERROR(INDEX(醫師週班表!$C$5:$T$44,$CU38,BZ$57),"")=0,"",IF(MID(IFERROR(INDEX(醫師週班表!$C$5:$T$44,$CU38,BZ$57),""),2,1)="/",MID(IFERROR(INDEX(醫師週班表!$C$5:$T$44,$CU38,BZ$57),""),1+BZ$58*2,1),IF(MID(IFERROR(INDEX(醫師週班表!$C$5:$T$44,$CU38,BZ$57),""),3,1)="隔",IF(BZ$58=0,LEFT(IFERROR(INDEX(醫師週班表!$C$5:$T$44,$CU38,BZ$57),""),1),""),IF(MID(IFERROR(INDEX(醫師週班表!$C$5:$T$44,$CU38,BZ$57),""),2,1)="(",LEFT(IFERROR(INDEX(醫師週班表!$C$5:$T$44,$CU38,BZ$57),""),1),IFERROR(INDEX(醫師週班表!$C$5:$T$44,$CU38,BZ$57),"")))))))</f>
        <v/>
      </c>
      <c r="CA38" s="72">
        <f>IF(CA$59="X","",IF(CA$59&lt;&gt;"",CA$59,IF(IFERROR(INDEX(醫師週班表!$C$5:$T$44,$CU38,CA$57),"")=0,"",IF(MID(IFERROR(INDEX(醫師週班表!$C$5:$T$44,$CU38,CA$57),""),2,1)="/",MID(IFERROR(INDEX(醫師週班表!$C$5:$T$44,$CU38,CA$57),""),1+CA$58*2,1),IF(MID(IFERROR(INDEX(醫師週班表!$C$5:$T$44,$CU38,CA$57),""),3,1)="隔",IF(CA$58=0,LEFT(IFERROR(INDEX(醫師週班表!$C$5:$T$44,$CU38,CA$57),""),1),""),IF(MID(IFERROR(INDEX(醫師週班表!$C$5:$T$44,$CU38,CA$57),""),2,1)="(",LEFT(IFERROR(INDEX(醫師週班表!$C$5:$T$44,$CU38,CA$57),""),1),IFERROR(INDEX(醫師週班表!$C$5:$T$44,$CU38,CA$57),"")))))))</f>
        <v/>
      </c>
      <c r="CB38" s="71">
        <f>IF(CB$59="X","",IF(CB$59&lt;&gt;"",CB$59,IF(IFERROR(INDEX(醫師週班表!$C$5:$T$44,$CU38,CB$57),"")=0,"",IF(MID(IFERROR(INDEX(醫師週班表!$C$5:$T$44,$CU38,CB$57),""),2,1)="/",MID(IFERROR(INDEX(醫師週班表!$C$5:$T$44,$CU38,CB$57),""),1+CB$58*2,1),IF(MID(IFERROR(INDEX(醫師週班表!$C$5:$T$44,$CU38,CB$57),""),3,1)="隔",IF(CB$58=0,LEFT(IFERROR(INDEX(醫師週班表!$C$5:$T$44,$CU38,CB$57),""),1),""),IF(MID(IFERROR(INDEX(醫師週班表!$C$5:$T$44,$CU38,CB$57),""),2,1)="(",LEFT(IFERROR(INDEX(醫師週班表!$C$5:$T$44,$CU38,CB$57),""),1),IFERROR(INDEX(醫師週班表!$C$5:$T$44,$CU38,CB$57),"")))))))</f>
        <v/>
      </c>
      <c r="CC38" s="72">
        <f>IF(CC$59="X","",IF(CC$59&lt;&gt;"",CC$59,IF(IFERROR(INDEX(醫師週班表!$C$5:$T$44,$CU38,CC$57),"")=0,"",IF(MID(IFERROR(INDEX(醫師週班表!$C$5:$T$44,$CU38,CC$57),""),2,1)="/",MID(IFERROR(INDEX(醫師週班表!$C$5:$T$44,$CU38,CC$57),""),1+CC$58*2,1),IF(MID(IFERROR(INDEX(醫師週班表!$C$5:$T$44,$CU38,CC$57),""),3,1)="隔",IF(CC$58=0,LEFT(IFERROR(INDEX(醫師週班表!$C$5:$T$44,$CU38,CC$57),""),1),""),IF(MID(IFERROR(INDEX(醫師週班表!$C$5:$T$44,$CU38,CC$57),""),2,1)="(",LEFT(IFERROR(INDEX(醫師週班表!$C$5:$T$44,$CU38,CC$57),""),1),IFERROR(INDEX(醫師週班表!$C$5:$T$44,$CU38,CC$57),"")))))))</f>
        <v/>
      </c>
      <c r="CD38" s="72">
        <f>IF(CD$59="X","",IF(CD$59&lt;&gt;"",CD$59,IF(IFERROR(INDEX(醫師週班表!$C$5:$T$44,$CU38,CD$57),"")=0,"",IF(MID(IFERROR(INDEX(醫師週班表!$C$5:$T$44,$CU38,CD$57),""),2,1)="/",MID(IFERROR(INDEX(醫師週班表!$C$5:$T$44,$CU38,CD$57),""),1+CD$58*2,1),IF(MID(IFERROR(INDEX(醫師週班表!$C$5:$T$44,$CU38,CD$57),""),3,1)="隔",IF(CD$58=0,LEFT(IFERROR(INDEX(醫師週班表!$C$5:$T$44,$CU38,CD$57),""),1),""),IF(MID(IFERROR(INDEX(醫師週班表!$C$5:$T$44,$CU38,CD$57),""),2,1)="(",LEFT(IFERROR(INDEX(醫師週班表!$C$5:$T$44,$CU38,CD$57),""),1),IFERROR(INDEX(醫師週班表!$C$5:$T$44,$CU38,CD$57),"")))))))</f>
        <v/>
      </c>
      <c r="CE38" s="71">
        <f>IF(CE$59="X","",IF(CE$59&lt;&gt;"",CE$59,IF(IFERROR(INDEX(醫師週班表!$C$5:$T$44,$CU38,CE$57),"")=0,"",IF(MID(IFERROR(INDEX(醫師週班表!$C$5:$T$44,$CU38,CE$57),""),2,1)="/",MID(IFERROR(INDEX(醫師週班表!$C$5:$T$44,$CU38,CE$57),""),1+CE$58*2,1),IF(MID(IFERROR(INDEX(醫師週班表!$C$5:$T$44,$CU38,CE$57),""),3,1)="隔",IF(CE$58=0,LEFT(IFERROR(INDEX(醫師週班表!$C$5:$T$44,$CU38,CE$57),""),1),""),IF(MID(IFERROR(INDEX(醫師週班表!$C$5:$T$44,$CU38,CE$57),""),2,1)="(",LEFT(IFERROR(INDEX(醫師週班表!$C$5:$T$44,$CU38,CE$57),""),1),IFERROR(INDEX(醫師週班表!$C$5:$T$44,$CU38,CE$57),"")))))))</f>
        <v/>
      </c>
      <c r="CF38" s="72">
        <f>IF(CF$59="X","",IF(CF$59&lt;&gt;"",CF$59,IF(IFERROR(INDEX(醫師週班表!$C$5:$T$44,$CU38,CF$57),"")=0,"",IF(MID(IFERROR(INDEX(醫師週班表!$C$5:$T$44,$CU38,CF$57),""),2,1)="/",MID(IFERROR(INDEX(醫師週班表!$C$5:$T$44,$CU38,CF$57),""),1+CF$58*2,1),IF(MID(IFERROR(INDEX(醫師週班表!$C$5:$T$44,$CU38,CF$57),""),3,1)="隔",IF(CF$58=0,LEFT(IFERROR(INDEX(醫師週班表!$C$5:$T$44,$CU38,CF$57),""),1),""),IF(MID(IFERROR(INDEX(醫師週班表!$C$5:$T$44,$CU38,CF$57),""),2,1)="(",LEFT(IFERROR(INDEX(醫師週班表!$C$5:$T$44,$CU38,CF$57),""),1),IFERROR(INDEX(醫師週班表!$C$5:$T$44,$CU38,CF$57),"")))))))</f>
        <v/>
      </c>
      <c r="CG38" s="72">
        <f>IF(CG$59="X","",IF(CG$59&lt;&gt;"",CG$59,IF(IFERROR(INDEX(醫師週班表!$C$5:$T$44,$CU38,CG$57),"")=0,"",IF(MID(IFERROR(INDEX(醫師週班表!$C$5:$T$44,$CU38,CG$57),""),2,1)="/",MID(IFERROR(INDEX(醫師週班表!$C$5:$T$44,$CU38,CG$57),""),1+CG$58*2,1),IF(MID(IFERROR(INDEX(醫師週班表!$C$5:$T$44,$CU38,CG$57),""),3,1)="隔",IF(CG$58=0,LEFT(IFERROR(INDEX(醫師週班表!$C$5:$T$44,$CU38,CG$57),""),1),""),IF(MID(IFERROR(INDEX(醫師週班表!$C$5:$T$44,$CU38,CG$57),""),2,1)="(",LEFT(IFERROR(INDEX(醫師週班表!$C$5:$T$44,$CU38,CG$57),""),1),IFERROR(INDEX(醫師週班表!$C$5:$T$44,$CU38,CG$57),"")))))))</f>
        <v/>
      </c>
      <c r="CH38" s="71">
        <f>IF(CH$59="X","",IF(CH$59&lt;&gt;"",CH$59,IF(IFERROR(INDEX(醫師週班表!$C$5:$T$44,$CU38,CH$57),"")=0,"",IF(MID(IFERROR(INDEX(醫師週班表!$C$5:$T$44,$CU38,CH$57),""),2,1)="/",MID(IFERROR(INDEX(醫師週班表!$C$5:$T$44,$CU38,CH$57),""),1+CH$58*2,1),IF(MID(IFERROR(INDEX(醫師週班表!$C$5:$T$44,$CU38,CH$57),""),3,1)="隔",IF(CH$58=0,LEFT(IFERROR(INDEX(醫師週班表!$C$5:$T$44,$CU38,CH$57),""),1),""),IF(MID(IFERROR(INDEX(醫師週班表!$C$5:$T$44,$CU38,CH$57),""),2,1)="(",LEFT(IFERROR(INDEX(醫師週班表!$C$5:$T$44,$CU38,CH$57),""),1),IFERROR(INDEX(醫師週班表!$C$5:$T$44,$CU38,CH$57),"")))))))</f>
        <v/>
      </c>
      <c r="CI38" s="72">
        <f>IF(CI$59="X","",IF(CI$59&lt;&gt;"",CI$59,IF(IFERROR(INDEX(醫師週班表!$C$5:$T$44,$CU38,CI$57),"")=0,"",IF(MID(IFERROR(INDEX(醫師週班表!$C$5:$T$44,$CU38,CI$57),""),2,1)="/",MID(IFERROR(INDEX(醫師週班表!$C$5:$T$44,$CU38,CI$57),""),1+CI$58*2,1),IF(MID(IFERROR(INDEX(醫師週班表!$C$5:$T$44,$CU38,CI$57),""),3,1)="隔",IF(CI$58=0,LEFT(IFERROR(INDEX(醫師週班表!$C$5:$T$44,$CU38,CI$57),""),1),""),IF(MID(IFERROR(INDEX(醫師週班表!$C$5:$T$44,$CU38,CI$57),""),2,1)="(",LEFT(IFERROR(INDEX(醫師週班表!$C$5:$T$44,$CU38,CI$57),""),1),IFERROR(INDEX(醫師週班表!$C$5:$T$44,$CU38,CI$57),"")))))))</f>
        <v/>
      </c>
      <c r="CJ38" s="72">
        <f>IF(CJ$59="X","",IF(CJ$59&lt;&gt;"",CJ$59,IF(IFERROR(INDEX(醫師週班表!$C$5:$T$44,$CU38,CJ$57),"")=0,"",IF(MID(IFERROR(INDEX(醫師週班表!$C$5:$T$44,$CU38,CJ$57),""),2,1)="/",MID(IFERROR(INDEX(醫師週班表!$C$5:$T$44,$CU38,CJ$57),""),1+CJ$58*2,1),IF(MID(IFERROR(INDEX(醫師週班表!$C$5:$T$44,$CU38,CJ$57),""),3,1)="隔",IF(CJ$58=0,LEFT(IFERROR(INDEX(醫師週班表!$C$5:$T$44,$CU38,CJ$57),""),1),""),IF(MID(IFERROR(INDEX(醫師週班表!$C$5:$T$44,$CU38,CJ$57),""),2,1)="(",LEFT(IFERROR(INDEX(醫師週班表!$C$5:$T$44,$CU38,CJ$57),""),1),IFERROR(INDEX(醫師週班表!$C$5:$T$44,$CU38,CJ$57),"")))))))</f>
        <v/>
      </c>
      <c r="CK38" s="71">
        <f>IF(CK$59="X","",IF(CK$59&lt;&gt;"",CK$59,IF(IFERROR(INDEX(醫師週班表!$C$5:$T$44,$CU38,CK$57),"")=0,"",IF(MID(IFERROR(INDEX(醫師週班表!$C$5:$T$44,$CU38,CK$57),""),2,1)="/",MID(IFERROR(INDEX(醫師週班表!$C$5:$T$44,$CU38,CK$57),""),1+CK$58*2,1),IF(MID(IFERROR(INDEX(醫師週班表!$C$5:$T$44,$CU38,CK$57),""),3,1)="隔",IF(CK$58=0,LEFT(IFERROR(INDEX(醫師週班表!$C$5:$T$44,$CU38,CK$57),""),1),""),IF(MID(IFERROR(INDEX(醫師週班表!$C$5:$T$44,$CU38,CK$57),""),2,1)="(",LEFT(IFERROR(INDEX(醫師週班表!$C$5:$T$44,$CU38,CK$57),""),1),IFERROR(INDEX(醫師週班表!$C$5:$T$44,$CU38,CK$57),"")))))))</f>
        <v/>
      </c>
      <c r="CL38" s="72">
        <f>IF(CL$59="X","",IF(CL$59&lt;&gt;"",CL$59,IF(IFERROR(INDEX(醫師週班表!$C$5:$T$44,$CU38,CL$57),"")=0,"",IF(MID(IFERROR(INDEX(醫師週班表!$C$5:$T$44,$CU38,CL$57),""),2,1)="/",MID(IFERROR(INDEX(醫師週班表!$C$5:$T$44,$CU38,CL$57),""),1+CL$58*2,1),IF(MID(IFERROR(INDEX(醫師週班表!$C$5:$T$44,$CU38,CL$57),""),3,1)="隔",IF(CL$58=0,LEFT(IFERROR(INDEX(醫師週班表!$C$5:$T$44,$CU38,CL$57),""),1),""),IF(MID(IFERROR(INDEX(醫師週班表!$C$5:$T$44,$CU38,CL$57),""),2,1)="(",LEFT(IFERROR(INDEX(醫師週班表!$C$5:$T$44,$CU38,CL$57),""),1),IFERROR(INDEX(醫師週班表!$C$5:$T$44,$CU38,CL$57),"")))))))</f>
        <v/>
      </c>
      <c r="CM38" s="72">
        <f>IF(CM$59="X","",IF(CM$59&lt;&gt;"",CM$59,IF(IFERROR(INDEX(醫師週班表!$C$5:$T$44,$CU38,CM$57),"")=0,"",IF(MID(IFERROR(INDEX(醫師週班表!$C$5:$T$44,$CU38,CM$57),""),2,1)="/",MID(IFERROR(INDEX(醫師週班表!$C$5:$T$44,$CU38,CM$57),""),1+CM$58*2,1),IF(MID(IFERROR(INDEX(醫師週班表!$C$5:$T$44,$CU38,CM$57),""),3,1)="隔",IF(CM$58=0,LEFT(IFERROR(INDEX(醫師週班表!$C$5:$T$44,$CU38,CM$57),""),1),""),IF(MID(IFERROR(INDEX(醫師週班表!$C$5:$T$44,$CU38,CM$57),""),2,1)="(",LEFT(IFERROR(INDEX(醫師週班表!$C$5:$T$44,$CU38,CM$57),""),1),IFERROR(INDEX(醫師週班表!$C$5:$T$44,$CU38,CM$57),"")))))))</f>
        <v/>
      </c>
      <c r="CN38" s="71">
        <f>IF(CN$59="X","",IF(CN$59&lt;&gt;"",CN$59,IF(IFERROR(INDEX(醫師週班表!$C$5:$T$44,$CU38,CN$57),"")=0,"",IF(MID(IFERROR(INDEX(醫師週班表!$C$5:$T$44,$CU38,CN$57),""),2,1)="/",MID(IFERROR(INDEX(醫師週班表!$C$5:$T$44,$CU38,CN$57),""),1+CN$58*2,1),IF(MID(IFERROR(INDEX(醫師週班表!$C$5:$T$44,$CU38,CN$57),""),3,1)="隔",IF(CN$58=0,LEFT(IFERROR(INDEX(醫師週班表!$C$5:$T$44,$CU38,CN$57),""),1),""),IF(MID(IFERROR(INDEX(醫師週班表!$C$5:$T$44,$CU38,CN$57),""),2,1)="(",LEFT(IFERROR(INDEX(醫師週班表!$C$5:$T$44,$CU38,CN$57),""),1),IFERROR(INDEX(醫師週班表!$C$5:$T$44,$CU38,CN$57),"")))))))</f>
        <v/>
      </c>
      <c r="CO38" s="72">
        <f>IF(CO$59="X","",IF(CO$59&lt;&gt;"",CO$59,IF(IFERROR(INDEX(醫師週班表!$C$5:$T$44,$CU38,CO$57),"")=0,"",IF(MID(IFERROR(INDEX(醫師週班表!$C$5:$T$44,$CU38,CO$57),""),2,1)="/",MID(IFERROR(INDEX(醫師週班表!$C$5:$T$44,$CU38,CO$57),""),1+CO$58*2,1),IF(MID(IFERROR(INDEX(醫師週班表!$C$5:$T$44,$CU38,CO$57),""),3,1)="隔",IF(CO$58=0,LEFT(IFERROR(INDEX(醫師週班表!$C$5:$T$44,$CU38,CO$57),""),1),""),IF(MID(IFERROR(INDEX(醫師週班表!$C$5:$T$44,$CU38,CO$57),""),2,1)="(",LEFT(IFERROR(INDEX(醫師週班表!$C$5:$T$44,$CU38,CO$57),""),1),IFERROR(INDEX(醫師週班表!$C$5:$T$44,$CU38,CO$57),"")))))))</f>
        <v/>
      </c>
      <c r="CP38" s="72">
        <f>IF(CP$59="X","",IF(CP$59&lt;&gt;"",CP$59,IF(IFERROR(INDEX(醫師週班表!$C$5:$T$44,$CU38,CP$57),"")=0,"",IF(MID(IFERROR(INDEX(醫師週班表!$C$5:$T$44,$CU38,CP$57),""),2,1)="/",MID(IFERROR(INDEX(醫師週班表!$C$5:$T$44,$CU38,CP$57),""),1+CP$58*2,1),IF(MID(IFERROR(INDEX(醫師週班表!$C$5:$T$44,$CU38,CP$57),""),3,1)="隔",IF(CP$58=0,LEFT(IFERROR(INDEX(醫師週班表!$C$5:$T$44,$CU38,CP$57),""),1),""),IF(MID(IFERROR(INDEX(醫師週班表!$C$5:$T$44,$CU38,CP$57),""),2,1)="(",LEFT(IFERROR(INDEX(醫師週班表!$C$5:$T$44,$CU38,CP$57),""),1),IFERROR(INDEX(醫師週班表!$C$5:$T$44,$CU38,CP$57),"")))))))</f>
        <v/>
      </c>
      <c r="CQ38" s="71">
        <f>IF(CQ$59="X","",IF(CQ$59&lt;&gt;"",CQ$59,IF(IFERROR(INDEX(醫師週班表!$C$5:$T$44,$CU38,CQ$57),"")=0,"",IF(MID(IFERROR(INDEX(醫師週班表!$C$5:$T$44,$CU38,CQ$57),""),2,1)="/",MID(IFERROR(INDEX(醫師週班表!$C$5:$T$44,$CU38,CQ$57),""),1+CQ$58*2,1),IF(MID(IFERROR(INDEX(醫師週班表!$C$5:$T$44,$CU38,CQ$57),""),3,1)="隔",IF(CQ$58=0,LEFT(IFERROR(INDEX(醫師週班表!$C$5:$T$44,$CU38,CQ$57),""),1),""),IF(MID(IFERROR(INDEX(醫師週班表!$C$5:$T$44,$CU38,CQ$57),""),2,1)="(",LEFT(IFERROR(INDEX(醫師週班表!$C$5:$T$44,$CU38,CQ$57),""),1),IFERROR(INDEX(醫師週班表!$C$5:$T$44,$CU38,CQ$57),"")))))))</f>
        <v/>
      </c>
      <c r="CR38" s="72">
        <f>IF(CR$59="X","",IF(CR$59&lt;&gt;"",CR$59,IF(IFERROR(INDEX(醫師週班表!$C$5:$T$44,$CU38,CR$57),"")=0,"",IF(MID(IFERROR(INDEX(醫師週班表!$C$5:$T$44,$CU38,CR$57),""),2,1)="/",MID(IFERROR(INDEX(醫師週班表!$C$5:$T$44,$CU38,CR$57),""),1+CR$58*2,1),IF(MID(IFERROR(INDEX(醫師週班表!$C$5:$T$44,$CU38,CR$57),""),3,1)="隔",IF(CR$58=0,LEFT(IFERROR(INDEX(醫師週班表!$C$5:$T$44,$CU38,CR$57),""),1),""),IF(MID(IFERROR(INDEX(醫師週班表!$C$5:$T$44,$CU38,CR$57),""),2,1)="(",LEFT(IFERROR(INDEX(醫師週班表!$C$5:$T$44,$CU38,CR$57),""),1),IFERROR(INDEX(醫師週班表!$C$5:$T$44,$CU38,CR$57),"")))))))</f>
        <v/>
      </c>
      <c r="CS38" s="72">
        <f>IF(CS$59="X","",IF(CS$59&lt;&gt;"",CS$59,IF(IFERROR(INDEX(醫師週班表!$C$5:$T$44,$CU38,CS$57),"")=0,"",IF(MID(IFERROR(INDEX(醫師週班表!$C$5:$T$44,$CU38,CS$57),""),2,1)="/",MID(IFERROR(INDEX(醫師週班表!$C$5:$T$44,$CU38,CS$57),""),1+CS$58*2,1),IF(MID(IFERROR(INDEX(醫師週班表!$C$5:$T$44,$CU38,CS$57),""),3,1)="隔",IF(CS$58=0,LEFT(IFERROR(INDEX(醫師週班表!$C$5:$T$44,$CU38,CS$57),""),1),""),IF(MID(IFERROR(INDEX(醫師週班表!$C$5:$T$44,$CU38,CS$57),""),2,1)="(",LEFT(IFERROR(INDEX(醫師週班表!$C$5:$T$44,$CU38,CS$57),""),1),IFERROR(INDEX(醫師週班表!$C$5:$T$44,$CU38,CS$57),"")))))))</f>
        <v/>
      </c>
      <c r="CU38" s="73">
        <f>IFERROR(MATCH($A38,醫師週班表!$A$5:$A$44,0),0)</f>
        <v/>
      </c>
    </row>
    <row r="39" ht="17" customHeight="1">
      <c r="A39" s="19" t="n"/>
      <c r="B39" s="16">
        <f>IFERROR(INDEX(設定!$C$64:$C$203,MATCH($A39,設定!$B$64:$B$203,0)),"")</f>
        <v/>
      </c>
      <c r="C39" s="70">
        <f>IFERROR(INDEX(設定!$E$64:$E$203,MATCH($A39,設定!$B$64:$B$203,0)),"")</f>
        <v/>
      </c>
      <c r="D39" s="16">
        <f>IFERROR(INDEX(設定!$F$64:$F$203,MATCH($A39,設定!$B$64:$B$203,0)),"")</f>
        <v/>
      </c>
      <c r="E39" s="71">
        <f>IF(E$59="X","",IF(E$59&lt;&gt;"",E$59,IF(IFERROR(INDEX(醫師週班表!$C$5:$T$44,$CU39,E$57),"")=0,"",IF(MID(IFERROR(INDEX(醫師週班表!$C$5:$T$44,$CU39,E$57),""),2,1)="/",MID(IFERROR(INDEX(醫師週班表!$C$5:$T$44,$CU39,E$57),""),1+E$58*2,1),IF(MID(IFERROR(INDEX(醫師週班表!$C$5:$T$44,$CU39,E$57),""),3,1)="隔",IF(E$58=0,LEFT(IFERROR(INDEX(醫師週班表!$C$5:$T$44,$CU39,E$57),""),1),""),IF(MID(IFERROR(INDEX(醫師週班表!$C$5:$T$44,$CU39,E$57),""),2,1)="(",LEFT(IFERROR(INDEX(醫師週班表!$C$5:$T$44,$CU39,E$57),""),1),IFERROR(INDEX(醫師週班表!$C$5:$T$44,$CU39,E$57),"")))))))</f>
        <v/>
      </c>
      <c r="F39" s="72">
        <f>IF(F$59="X","",IF(F$59&lt;&gt;"",F$59,IF(IFERROR(INDEX(醫師週班表!$C$5:$T$44,$CU39,F$57),"")=0,"",IF(MID(IFERROR(INDEX(醫師週班表!$C$5:$T$44,$CU39,F$57),""),2,1)="/",MID(IFERROR(INDEX(醫師週班表!$C$5:$T$44,$CU39,F$57),""),1+F$58*2,1),IF(MID(IFERROR(INDEX(醫師週班表!$C$5:$T$44,$CU39,F$57),""),3,1)="隔",IF(F$58=0,LEFT(IFERROR(INDEX(醫師週班表!$C$5:$T$44,$CU39,F$57),""),1),""),IF(MID(IFERROR(INDEX(醫師週班表!$C$5:$T$44,$CU39,F$57),""),2,1)="(",LEFT(IFERROR(INDEX(醫師週班表!$C$5:$T$44,$CU39,F$57),""),1),IFERROR(INDEX(醫師週班表!$C$5:$T$44,$CU39,F$57),"")))))))</f>
        <v/>
      </c>
      <c r="G39" s="72">
        <f>IF(G$59="X","",IF(G$59&lt;&gt;"",G$59,IF(IFERROR(INDEX(醫師週班表!$C$5:$T$44,$CU39,G$57),"")=0,"",IF(MID(IFERROR(INDEX(醫師週班表!$C$5:$T$44,$CU39,G$57),""),2,1)="/",MID(IFERROR(INDEX(醫師週班表!$C$5:$T$44,$CU39,G$57),""),1+G$58*2,1),IF(MID(IFERROR(INDEX(醫師週班表!$C$5:$T$44,$CU39,G$57),""),3,1)="隔",IF(G$58=0,LEFT(IFERROR(INDEX(醫師週班表!$C$5:$T$44,$CU39,G$57),""),1),""),IF(MID(IFERROR(INDEX(醫師週班表!$C$5:$T$44,$CU39,G$57),""),2,1)="(",LEFT(IFERROR(INDEX(醫師週班表!$C$5:$T$44,$CU39,G$57),""),1),IFERROR(INDEX(醫師週班表!$C$5:$T$44,$CU39,G$57),"")))))))</f>
        <v/>
      </c>
      <c r="H39" s="71">
        <f>IF(H$59="X","",IF(H$59&lt;&gt;"",H$59,IF(IFERROR(INDEX(醫師週班表!$C$5:$T$44,$CU39,H$57),"")=0,"",IF(MID(IFERROR(INDEX(醫師週班表!$C$5:$T$44,$CU39,H$57),""),2,1)="/",MID(IFERROR(INDEX(醫師週班表!$C$5:$T$44,$CU39,H$57),""),1+H$58*2,1),IF(MID(IFERROR(INDEX(醫師週班表!$C$5:$T$44,$CU39,H$57),""),3,1)="隔",IF(H$58=0,LEFT(IFERROR(INDEX(醫師週班表!$C$5:$T$44,$CU39,H$57),""),1),""),IF(MID(IFERROR(INDEX(醫師週班表!$C$5:$T$44,$CU39,H$57),""),2,1)="(",LEFT(IFERROR(INDEX(醫師週班表!$C$5:$T$44,$CU39,H$57),""),1),IFERROR(INDEX(醫師週班表!$C$5:$T$44,$CU39,H$57),"")))))))</f>
        <v/>
      </c>
      <c r="I39" s="72">
        <f>IF(I$59="X","",IF(I$59&lt;&gt;"",I$59,IF(IFERROR(INDEX(醫師週班表!$C$5:$T$44,$CU39,I$57),"")=0,"",IF(MID(IFERROR(INDEX(醫師週班表!$C$5:$T$44,$CU39,I$57),""),2,1)="/",MID(IFERROR(INDEX(醫師週班表!$C$5:$T$44,$CU39,I$57),""),1+I$58*2,1),IF(MID(IFERROR(INDEX(醫師週班表!$C$5:$T$44,$CU39,I$57),""),3,1)="隔",IF(I$58=0,LEFT(IFERROR(INDEX(醫師週班表!$C$5:$T$44,$CU39,I$57),""),1),""),IF(MID(IFERROR(INDEX(醫師週班表!$C$5:$T$44,$CU39,I$57),""),2,1)="(",LEFT(IFERROR(INDEX(醫師週班表!$C$5:$T$44,$CU39,I$57),""),1),IFERROR(INDEX(醫師週班表!$C$5:$T$44,$CU39,I$57),"")))))))</f>
        <v/>
      </c>
      <c r="J39" s="72">
        <f>IF(J$59="X","",IF(J$59&lt;&gt;"",J$59,IF(IFERROR(INDEX(醫師週班表!$C$5:$T$44,$CU39,J$57),"")=0,"",IF(MID(IFERROR(INDEX(醫師週班表!$C$5:$T$44,$CU39,J$57),""),2,1)="/",MID(IFERROR(INDEX(醫師週班表!$C$5:$T$44,$CU39,J$57),""),1+J$58*2,1),IF(MID(IFERROR(INDEX(醫師週班表!$C$5:$T$44,$CU39,J$57),""),3,1)="隔",IF(J$58=0,LEFT(IFERROR(INDEX(醫師週班表!$C$5:$T$44,$CU39,J$57),""),1),""),IF(MID(IFERROR(INDEX(醫師週班表!$C$5:$T$44,$CU39,J$57),""),2,1)="(",LEFT(IFERROR(INDEX(醫師週班表!$C$5:$T$44,$CU39,J$57),""),1),IFERROR(INDEX(醫師週班表!$C$5:$T$44,$CU39,J$57),"")))))))</f>
        <v/>
      </c>
      <c r="K39" s="71">
        <f>IF(K$59="X","",IF(K$59&lt;&gt;"",K$59,IF(IFERROR(INDEX(醫師週班表!$C$5:$T$44,$CU39,K$57),"")=0,"",IF(MID(IFERROR(INDEX(醫師週班表!$C$5:$T$44,$CU39,K$57),""),2,1)="/",MID(IFERROR(INDEX(醫師週班表!$C$5:$T$44,$CU39,K$57),""),1+K$58*2,1),IF(MID(IFERROR(INDEX(醫師週班表!$C$5:$T$44,$CU39,K$57),""),3,1)="隔",IF(K$58=0,LEFT(IFERROR(INDEX(醫師週班表!$C$5:$T$44,$CU39,K$57),""),1),""),IF(MID(IFERROR(INDEX(醫師週班表!$C$5:$T$44,$CU39,K$57),""),2,1)="(",LEFT(IFERROR(INDEX(醫師週班表!$C$5:$T$44,$CU39,K$57),""),1),IFERROR(INDEX(醫師週班表!$C$5:$T$44,$CU39,K$57),"")))))))</f>
        <v/>
      </c>
      <c r="L39" s="72">
        <f>IF(L$59="X","",IF(L$59&lt;&gt;"",L$59,IF(IFERROR(INDEX(醫師週班表!$C$5:$T$44,$CU39,L$57),"")=0,"",IF(MID(IFERROR(INDEX(醫師週班表!$C$5:$T$44,$CU39,L$57),""),2,1)="/",MID(IFERROR(INDEX(醫師週班表!$C$5:$T$44,$CU39,L$57),""),1+L$58*2,1),IF(MID(IFERROR(INDEX(醫師週班表!$C$5:$T$44,$CU39,L$57),""),3,1)="隔",IF(L$58=0,LEFT(IFERROR(INDEX(醫師週班表!$C$5:$T$44,$CU39,L$57),""),1),""),IF(MID(IFERROR(INDEX(醫師週班表!$C$5:$T$44,$CU39,L$57),""),2,1)="(",LEFT(IFERROR(INDEX(醫師週班表!$C$5:$T$44,$CU39,L$57),""),1),IFERROR(INDEX(醫師週班表!$C$5:$T$44,$CU39,L$57),"")))))))</f>
        <v/>
      </c>
      <c r="M39" s="72">
        <f>IF(M$59="X","",IF(M$59&lt;&gt;"",M$59,IF(IFERROR(INDEX(醫師週班表!$C$5:$T$44,$CU39,M$57),"")=0,"",IF(MID(IFERROR(INDEX(醫師週班表!$C$5:$T$44,$CU39,M$57),""),2,1)="/",MID(IFERROR(INDEX(醫師週班表!$C$5:$T$44,$CU39,M$57),""),1+M$58*2,1),IF(MID(IFERROR(INDEX(醫師週班表!$C$5:$T$44,$CU39,M$57),""),3,1)="隔",IF(M$58=0,LEFT(IFERROR(INDEX(醫師週班表!$C$5:$T$44,$CU39,M$57),""),1),""),IF(MID(IFERROR(INDEX(醫師週班表!$C$5:$T$44,$CU39,M$57),""),2,1)="(",LEFT(IFERROR(INDEX(醫師週班表!$C$5:$T$44,$CU39,M$57),""),1),IFERROR(INDEX(醫師週班表!$C$5:$T$44,$CU39,M$57),"")))))))</f>
        <v/>
      </c>
      <c r="N39" s="71">
        <f>IF(N$59="X","",IF(N$59&lt;&gt;"",N$59,IF(IFERROR(INDEX(醫師週班表!$C$5:$T$44,$CU39,N$57),"")=0,"",IF(MID(IFERROR(INDEX(醫師週班表!$C$5:$T$44,$CU39,N$57),""),2,1)="/",MID(IFERROR(INDEX(醫師週班表!$C$5:$T$44,$CU39,N$57),""),1+N$58*2,1),IF(MID(IFERROR(INDEX(醫師週班表!$C$5:$T$44,$CU39,N$57),""),3,1)="隔",IF(N$58=0,LEFT(IFERROR(INDEX(醫師週班表!$C$5:$T$44,$CU39,N$57),""),1),""),IF(MID(IFERROR(INDEX(醫師週班表!$C$5:$T$44,$CU39,N$57),""),2,1)="(",LEFT(IFERROR(INDEX(醫師週班表!$C$5:$T$44,$CU39,N$57),""),1),IFERROR(INDEX(醫師週班表!$C$5:$T$44,$CU39,N$57),"")))))))</f>
        <v/>
      </c>
      <c r="O39" s="72">
        <f>IF(O$59="X","",IF(O$59&lt;&gt;"",O$59,IF(IFERROR(INDEX(醫師週班表!$C$5:$T$44,$CU39,O$57),"")=0,"",IF(MID(IFERROR(INDEX(醫師週班表!$C$5:$T$44,$CU39,O$57),""),2,1)="/",MID(IFERROR(INDEX(醫師週班表!$C$5:$T$44,$CU39,O$57),""),1+O$58*2,1),IF(MID(IFERROR(INDEX(醫師週班表!$C$5:$T$44,$CU39,O$57),""),3,1)="隔",IF(O$58=0,LEFT(IFERROR(INDEX(醫師週班表!$C$5:$T$44,$CU39,O$57),""),1),""),IF(MID(IFERROR(INDEX(醫師週班表!$C$5:$T$44,$CU39,O$57),""),2,1)="(",LEFT(IFERROR(INDEX(醫師週班表!$C$5:$T$44,$CU39,O$57),""),1),IFERROR(INDEX(醫師週班表!$C$5:$T$44,$CU39,O$57),"")))))))</f>
        <v/>
      </c>
      <c r="P39" s="72">
        <f>IF(P$59="X","",IF(P$59&lt;&gt;"",P$59,IF(IFERROR(INDEX(醫師週班表!$C$5:$T$44,$CU39,P$57),"")=0,"",IF(MID(IFERROR(INDEX(醫師週班表!$C$5:$T$44,$CU39,P$57),""),2,1)="/",MID(IFERROR(INDEX(醫師週班表!$C$5:$T$44,$CU39,P$57),""),1+P$58*2,1),IF(MID(IFERROR(INDEX(醫師週班表!$C$5:$T$44,$CU39,P$57),""),3,1)="隔",IF(P$58=0,LEFT(IFERROR(INDEX(醫師週班表!$C$5:$T$44,$CU39,P$57),""),1),""),IF(MID(IFERROR(INDEX(醫師週班表!$C$5:$T$44,$CU39,P$57),""),2,1)="(",LEFT(IFERROR(INDEX(醫師週班表!$C$5:$T$44,$CU39,P$57),""),1),IFERROR(INDEX(醫師週班表!$C$5:$T$44,$CU39,P$57),"")))))))</f>
        <v/>
      </c>
      <c r="Q39" s="71">
        <f>IF(Q$59="X","",IF(Q$59&lt;&gt;"",Q$59,IF(IFERROR(INDEX(醫師週班表!$C$5:$T$44,$CU39,Q$57),"")=0,"",IF(MID(IFERROR(INDEX(醫師週班表!$C$5:$T$44,$CU39,Q$57),""),2,1)="/",MID(IFERROR(INDEX(醫師週班表!$C$5:$T$44,$CU39,Q$57),""),1+Q$58*2,1),IF(MID(IFERROR(INDEX(醫師週班表!$C$5:$T$44,$CU39,Q$57),""),3,1)="隔",IF(Q$58=0,LEFT(IFERROR(INDEX(醫師週班表!$C$5:$T$44,$CU39,Q$57),""),1),""),IF(MID(IFERROR(INDEX(醫師週班表!$C$5:$T$44,$CU39,Q$57),""),2,1)="(",LEFT(IFERROR(INDEX(醫師週班表!$C$5:$T$44,$CU39,Q$57),""),1),IFERROR(INDEX(醫師週班表!$C$5:$T$44,$CU39,Q$57),"")))))))</f>
        <v/>
      </c>
      <c r="R39" s="72">
        <f>IF(R$59="X","",IF(R$59&lt;&gt;"",R$59,IF(IFERROR(INDEX(醫師週班表!$C$5:$T$44,$CU39,R$57),"")=0,"",IF(MID(IFERROR(INDEX(醫師週班表!$C$5:$T$44,$CU39,R$57),""),2,1)="/",MID(IFERROR(INDEX(醫師週班表!$C$5:$T$44,$CU39,R$57),""),1+R$58*2,1),IF(MID(IFERROR(INDEX(醫師週班表!$C$5:$T$44,$CU39,R$57),""),3,1)="隔",IF(R$58=0,LEFT(IFERROR(INDEX(醫師週班表!$C$5:$T$44,$CU39,R$57),""),1),""),IF(MID(IFERROR(INDEX(醫師週班表!$C$5:$T$44,$CU39,R$57),""),2,1)="(",LEFT(IFERROR(INDEX(醫師週班表!$C$5:$T$44,$CU39,R$57),""),1),IFERROR(INDEX(醫師週班表!$C$5:$T$44,$CU39,R$57),"")))))))</f>
        <v/>
      </c>
      <c r="S39" s="72">
        <f>IF(S$59="X","",IF(S$59&lt;&gt;"",S$59,IF(IFERROR(INDEX(醫師週班表!$C$5:$T$44,$CU39,S$57),"")=0,"",IF(MID(IFERROR(INDEX(醫師週班表!$C$5:$T$44,$CU39,S$57),""),2,1)="/",MID(IFERROR(INDEX(醫師週班表!$C$5:$T$44,$CU39,S$57),""),1+S$58*2,1),IF(MID(IFERROR(INDEX(醫師週班表!$C$5:$T$44,$CU39,S$57),""),3,1)="隔",IF(S$58=0,LEFT(IFERROR(INDEX(醫師週班表!$C$5:$T$44,$CU39,S$57),""),1),""),IF(MID(IFERROR(INDEX(醫師週班表!$C$5:$T$44,$CU39,S$57),""),2,1)="(",LEFT(IFERROR(INDEX(醫師週班表!$C$5:$T$44,$CU39,S$57),""),1),IFERROR(INDEX(醫師週班表!$C$5:$T$44,$CU39,S$57),"")))))))</f>
        <v/>
      </c>
      <c r="T39" s="71">
        <f>IF(T$59="X","",IF(T$59&lt;&gt;"",T$59,IF(IFERROR(INDEX(醫師週班表!$C$5:$T$44,$CU39,T$57),"")=0,"",IF(MID(IFERROR(INDEX(醫師週班表!$C$5:$T$44,$CU39,T$57),""),2,1)="/",MID(IFERROR(INDEX(醫師週班表!$C$5:$T$44,$CU39,T$57),""),1+T$58*2,1),IF(MID(IFERROR(INDEX(醫師週班表!$C$5:$T$44,$CU39,T$57),""),3,1)="隔",IF(T$58=0,LEFT(IFERROR(INDEX(醫師週班表!$C$5:$T$44,$CU39,T$57),""),1),""),IF(MID(IFERROR(INDEX(醫師週班表!$C$5:$T$44,$CU39,T$57),""),2,1)="(",LEFT(IFERROR(INDEX(醫師週班表!$C$5:$T$44,$CU39,T$57),""),1),IFERROR(INDEX(醫師週班表!$C$5:$T$44,$CU39,T$57),"")))))))</f>
        <v/>
      </c>
      <c r="U39" s="72">
        <f>IF(U$59="X","",IF(U$59&lt;&gt;"",U$59,IF(IFERROR(INDEX(醫師週班表!$C$5:$T$44,$CU39,U$57),"")=0,"",IF(MID(IFERROR(INDEX(醫師週班表!$C$5:$T$44,$CU39,U$57),""),2,1)="/",MID(IFERROR(INDEX(醫師週班表!$C$5:$T$44,$CU39,U$57),""),1+U$58*2,1),IF(MID(IFERROR(INDEX(醫師週班表!$C$5:$T$44,$CU39,U$57),""),3,1)="隔",IF(U$58=0,LEFT(IFERROR(INDEX(醫師週班表!$C$5:$T$44,$CU39,U$57),""),1),""),IF(MID(IFERROR(INDEX(醫師週班表!$C$5:$T$44,$CU39,U$57),""),2,1)="(",LEFT(IFERROR(INDEX(醫師週班表!$C$5:$T$44,$CU39,U$57),""),1),IFERROR(INDEX(醫師週班表!$C$5:$T$44,$CU39,U$57),"")))))))</f>
        <v/>
      </c>
      <c r="V39" s="72">
        <f>IF(V$59="X","",IF(V$59&lt;&gt;"",V$59,IF(IFERROR(INDEX(醫師週班表!$C$5:$T$44,$CU39,V$57),"")=0,"",IF(MID(IFERROR(INDEX(醫師週班表!$C$5:$T$44,$CU39,V$57),""),2,1)="/",MID(IFERROR(INDEX(醫師週班表!$C$5:$T$44,$CU39,V$57),""),1+V$58*2,1),IF(MID(IFERROR(INDEX(醫師週班表!$C$5:$T$44,$CU39,V$57),""),3,1)="隔",IF(V$58=0,LEFT(IFERROR(INDEX(醫師週班表!$C$5:$T$44,$CU39,V$57),""),1),""),IF(MID(IFERROR(INDEX(醫師週班表!$C$5:$T$44,$CU39,V$57),""),2,1)="(",LEFT(IFERROR(INDEX(醫師週班表!$C$5:$T$44,$CU39,V$57),""),1),IFERROR(INDEX(醫師週班表!$C$5:$T$44,$CU39,V$57),"")))))))</f>
        <v/>
      </c>
      <c r="W39" s="71">
        <f>IF(W$59="X","",IF(W$59&lt;&gt;"",W$59,IF(IFERROR(INDEX(醫師週班表!$C$5:$T$44,$CU39,W$57),"")=0,"",IF(MID(IFERROR(INDEX(醫師週班表!$C$5:$T$44,$CU39,W$57),""),2,1)="/",MID(IFERROR(INDEX(醫師週班表!$C$5:$T$44,$CU39,W$57),""),1+W$58*2,1),IF(MID(IFERROR(INDEX(醫師週班表!$C$5:$T$44,$CU39,W$57),""),3,1)="隔",IF(W$58=0,LEFT(IFERROR(INDEX(醫師週班表!$C$5:$T$44,$CU39,W$57),""),1),""),IF(MID(IFERROR(INDEX(醫師週班表!$C$5:$T$44,$CU39,W$57),""),2,1)="(",LEFT(IFERROR(INDEX(醫師週班表!$C$5:$T$44,$CU39,W$57),""),1),IFERROR(INDEX(醫師週班表!$C$5:$T$44,$CU39,W$57),"")))))))</f>
        <v/>
      </c>
      <c r="X39" s="72">
        <f>IF(X$59="X","",IF(X$59&lt;&gt;"",X$59,IF(IFERROR(INDEX(醫師週班表!$C$5:$T$44,$CU39,X$57),"")=0,"",IF(MID(IFERROR(INDEX(醫師週班表!$C$5:$T$44,$CU39,X$57),""),2,1)="/",MID(IFERROR(INDEX(醫師週班表!$C$5:$T$44,$CU39,X$57),""),1+X$58*2,1),IF(MID(IFERROR(INDEX(醫師週班表!$C$5:$T$44,$CU39,X$57),""),3,1)="隔",IF(X$58=0,LEFT(IFERROR(INDEX(醫師週班表!$C$5:$T$44,$CU39,X$57),""),1),""),IF(MID(IFERROR(INDEX(醫師週班表!$C$5:$T$44,$CU39,X$57),""),2,1)="(",LEFT(IFERROR(INDEX(醫師週班表!$C$5:$T$44,$CU39,X$57),""),1),IFERROR(INDEX(醫師週班表!$C$5:$T$44,$CU39,X$57),"")))))))</f>
        <v/>
      </c>
      <c r="Y39" s="72">
        <f>IF(Y$59="X","",IF(Y$59&lt;&gt;"",Y$59,IF(IFERROR(INDEX(醫師週班表!$C$5:$T$44,$CU39,Y$57),"")=0,"",IF(MID(IFERROR(INDEX(醫師週班表!$C$5:$T$44,$CU39,Y$57),""),2,1)="/",MID(IFERROR(INDEX(醫師週班表!$C$5:$T$44,$CU39,Y$57),""),1+Y$58*2,1),IF(MID(IFERROR(INDEX(醫師週班表!$C$5:$T$44,$CU39,Y$57),""),3,1)="隔",IF(Y$58=0,LEFT(IFERROR(INDEX(醫師週班表!$C$5:$T$44,$CU39,Y$57),""),1),""),IF(MID(IFERROR(INDEX(醫師週班表!$C$5:$T$44,$CU39,Y$57),""),2,1)="(",LEFT(IFERROR(INDEX(醫師週班表!$C$5:$T$44,$CU39,Y$57),""),1),IFERROR(INDEX(醫師週班表!$C$5:$T$44,$CU39,Y$57),"")))))))</f>
        <v/>
      </c>
      <c r="Z39" s="71">
        <f>IF(Z$59="X","",IF(Z$59&lt;&gt;"",Z$59,IF(IFERROR(INDEX(醫師週班表!$C$5:$T$44,$CU39,Z$57),"")=0,"",IF(MID(IFERROR(INDEX(醫師週班表!$C$5:$T$44,$CU39,Z$57),""),2,1)="/",MID(IFERROR(INDEX(醫師週班表!$C$5:$T$44,$CU39,Z$57),""),1+Z$58*2,1),IF(MID(IFERROR(INDEX(醫師週班表!$C$5:$T$44,$CU39,Z$57),""),3,1)="隔",IF(Z$58=0,LEFT(IFERROR(INDEX(醫師週班表!$C$5:$T$44,$CU39,Z$57),""),1),""),IF(MID(IFERROR(INDEX(醫師週班表!$C$5:$T$44,$CU39,Z$57),""),2,1)="(",LEFT(IFERROR(INDEX(醫師週班表!$C$5:$T$44,$CU39,Z$57),""),1),IFERROR(INDEX(醫師週班表!$C$5:$T$44,$CU39,Z$57),"")))))))</f>
        <v/>
      </c>
      <c r="AA39" s="72">
        <f>IF(AA$59="X","",IF(AA$59&lt;&gt;"",AA$59,IF(IFERROR(INDEX(醫師週班表!$C$5:$T$44,$CU39,AA$57),"")=0,"",IF(MID(IFERROR(INDEX(醫師週班表!$C$5:$T$44,$CU39,AA$57),""),2,1)="/",MID(IFERROR(INDEX(醫師週班表!$C$5:$T$44,$CU39,AA$57),""),1+AA$58*2,1),IF(MID(IFERROR(INDEX(醫師週班表!$C$5:$T$44,$CU39,AA$57),""),3,1)="隔",IF(AA$58=0,LEFT(IFERROR(INDEX(醫師週班表!$C$5:$T$44,$CU39,AA$57),""),1),""),IF(MID(IFERROR(INDEX(醫師週班表!$C$5:$T$44,$CU39,AA$57),""),2,1)="(",LEFT(IFERROR(INDEX(醫師週班表!$C$5:$T$44,$CU39,AA$57),""),1),IFERROR(INDEX(醫師週班表!$C$5:$T$44,$CU39,AA$57),"")))))))</f>
        <v/>
      </c>
      <c r="AB39" s="72">
        <f>IF(AB$59="X","",IF(AB$59&lt;&gt;"",AB$59,IF(IFERROR(INDEX(醫師週班表!$C$5:$T$44,$CU39,AB$57),"")=0,"",IF(MID(IFERROR(INDEX(醫師週班表!$C$5:$T$44,$CU39,AB$57),""),2,1)="/",MID(IFERROR(INDEX(醫師週班表!$C$5:$T$44,$CU39,AB$57),""),1+AB$58*2,1),IF(MID(IFERROR(INDEX(醫師週班表!$C$5:$T$44,$CU39,AB$57),""),3,1)="隔",IF(AB$58=0,LEFT(IFERROR(INDEX(醫師週班表!$C$5:$T$44,$CU39,AB$57),""),1),""),IF(MID(IFERROR(INDEX(醫師週班表!$C$5:$T$44,$CU39,AB$57),""),2,1)="(",LEFT(IFERROR(INDEX(醫師週班表!$C$5:$T$44,$CU39,AB$57),""),1),IFERROR(INDEX(醫師週班表!$C$5:$T$44,$CU39,AB$57),"")))))))</f>
        <v/>
      </c>
      <c r="AC39" s="71">
        <f>IF(AC$59="X","",IF(AC$59&lt;&gt;"",AC$59,IF(IFERROR(INDEX(醫師週班表!$C$5:$T$44,$CU39,AC$57),"")=0,"",IF(MID(IFERROR(INDEX(醫師週班表!$C$5:$T$44,$CU39,AC$57),""),2,1)="/",MID(IFERROR(INDEX(醫師週班表!$C$5:$T$44,$CU39,AC$57),""),1+AC$58*2,1),IF(MID(IFERROR(INDEX(醫師週班表!$C$5:$T$44,$CU39,AC$57),""),3,1)="隔",IF(AC$58=0,LEFT(IFERROR(INDEX(醫師週班表!$C$5:$T$44,$CU39,AC$57),""),1),""),IF(MID(IFERROR(INDEX(醫師週班表!$C$5:$T$44,$CU39,AC$57),""),2,1)="(",LEFT(IFERROR(INDEX(醫師週班表!$C$5:$T$44,$CU39,AC$57),""),1),IFERROR(INDEX(醫師週班表!$C$5:$T$44,$CU39,AC$57),"")))))))</f>
        <v/>
      </c>
      <c r="AD39" s="72">
        <f>IF(AD$59="X","",IF(AD$59&lt;&gt;"",AD$59,IF(IFERROR(INDEX(醫師週班表!$C$5:$T$44,$CU39,AD$57),"")=0,"",IF(MID(IFERROR(INDEX(醫師週班表!$C$5:$T$44,$CU39,AD$57),""),2,1)="/",MID(IFERROR(INDEX(醫師週班表!$C$5:$T$44,$CU39,AD$57),""),1+AD$58*2,1),IF(MID(IFERROR(INDEX(醫師週班表!$C$5:$T$44,$CU39,AD$57),""),3,1)="隔",IF(AD$58=0,LEFT(IFERROR(INDEX(醫師週班表!$C$5:$T$44,$CU39,AD$57),""),1),""),IF(MID(IFERROR(INDEX(醫師週班表!$C$5:$T$44,$CU39,AD$57),""),2,1)="(",LEFT(IFERROR(INDEX(醫師週班表!$C$5:$T$44,$CU39,AD$57),""),1),IFERROR(INDEX(醫師週班表!$C$5:$T$44,$CU39,AD$57),"")))))))</f>
        <v/>
      </c>
      <c r="AE39" s="72">
        <f>IF(AE$59="X","",IF(AE$59&lt;&gt;"",AE$59,IF(IFERROR(INDEX(醫師週班表!$C$5:$T$44,$CU39,AE$57),"")=0,"",IF(MID(IFERROR(INDEX(醫師週班表!$C$5:$T$44,$CU39,AE$57),""),2,1)="/",MID(IFERROR(INDEX(醫師週班表!$C$5:$T$44,$CU39,AE$57),""),1+AE$58*2,1),IF(MID(IFERROR(INDEX(醫師週班表!$C$5:$T$44,$CU39,AE$57),""),3,1)="隔",IF(AE$58=0,LEFT(IFERROR(INDEX(醫師週班表!$C$5:$T$44,$CU39,AE$57),""),1),""),IF(MID(IFERROR(INDEX(醫師週班表!$C$5:$T$44,$CU39,AE$57),""),2,1)="(",LEFT(IFERROR(INDEX(醫師週班表!$C$5:$T$44,$CU39,AE$57),""),1),IFERROR(INDEX(醫師週班表!$C$5:$T$44,$CU39,AE$57),"")))))))</f>
        <v/>
      </c>
      <c r="AF39" s="71">
        <f>IF(AF$59="X","",IF(AF$59&lt;&gt;"",AF$59,IF(IFERROR(INDEX(醫師週班表!$C$5:$T$44,$CU39,AF$57),"")=0,"",IF(MID(IFERROR(INDEX(醫師週班表!$C$5:$T$44,$CU39,AF$57),""),2,1)="/",MID(IFERROR(INDEX(醫師週班表!$C$5:$T$44,$CU39,AF$57),""),1+AF$58*2,1),IF(MID(IFERROR(INDEX(醫師週班表!$C$5:$T$44,$CU39,AF$57),""),3,1)="隔",IF(AF$58=0,LEFT(IFERROR(INDEX(醫師週班表!$C$5:$T$44,$CU39,AF$57),""),1),""),IF(MID(IFERROR(INDEX(醫師週班表!$C$5:$T$44,$CU39,AF$57),""),2,1)="(",LEFT(IFERROR(INDEX(醫師週班表!$C$5:$T$44,$CU39,AF$57),""),1),IFERROR(INDEX(醫師週班表!$C$5:$T$44,$CU39,AF$57),"")))))))</f>
        <v/>
      </c>
      <c r="AG39" s="72">
        <f>IF(AG$59="X","",IF(AG$59&lt;&gt;"",AG$59,IF(IFERROR(INDEX(醫師週班表!$C$5:$T$44,$CU39,AG$57),"")=0,"",IF(MID(IFERROR(INDEX(醫師週班表!$C$5:$T$44,$CU39,AG$57),""),2,1)="/",MID(IFERROR(INDEX(醫師週班表!$C$5:$T$44,$CU39,AG$57),""),1+AG$58*2,1),IF(MID(IFERROR(INDEX(醫師週班表!$C$5:$T$44,$CU39,AG$57),""),3,1)="隔",IF(AG$58=0,LEFT(IFERROR(INDEX(醫師週班表!$C$5:$T$44,$CU39,AG$57),""),1),""),IF(MID(IFERROR(INDEX(醫師週班表!$C$5:$T$44,$CU39,AG$57),""),2,1)="(",LEFT(IFERROR(INDEX(醫師週班表!$C$5:$T$44,$CU39,AG$57),""),1),IFERROR(INDEX(醫師週班表!$C$5:$T$44,$CU39,AG$57),"")))))))</f>
        <v/>
      </c>
      <c r="AH39" s="72">
        <f>IF(AH$59="X","",IF(AH$59&lt;&gt;"",AH$59,IF(IFERROR(INDEX(醫師週班表!$C$5:$T$44,$CU39,AH$57),"")=0,"",IF(MID(IFERROR(INDEX(醫師週班表!$C$5:$T$44,$CU39,AH$57),""),2,1)="/",MID(IFERROR(INDEX(醫師週班表!$C$5:$T$44,$CU39,AH$57),""),1+AH$58*2,1),IF(MID(IFERROR(INDEX(醫師週班表!$C$5:$T$44,$CU39,AH$57),""),3,1)="隔",IF(AH$58=0,LEFT(IFERROR(INDEX(醫師週班表!$C$5:$T$44,$CU39,AH$57),""),1),""),IF(MID(IFERROR(INDEX(醫師週班表!$C$5:$T$44,$CU39,AH$57),""),2,1)="(",LEFT(IFERROR(INDEX(醫師週班表!$C$5:$T$44,$CU39,AH$57),""),1),IFERROR(INDEX(醫師週班表!$C$5:$T$44,$CU39,AH$57),"")))))))</f>
        <v/>
      </c>
      <c r="AI39" s="71">
        <f>IF(AI$59="X","",IF(AI$59&lt;&gt;"",AI$59,IF(IFERROR(INDEX(醫師週班表!$C$5:$T$44,$CU39,AI$57),"")=0,"",IF(MID(IFERROR(INDEX(醫師週班表!$C$5:$T$44,$CU39,AI$57),""),2,1)="/",MID(IFERROR(INDEX(醫師週班表!$C$5:$T$44,$CU39,AI$57),""),1+AI$58*2,1),IF(MID(IFERROR(INDEX(醫師週班表!$C$5:$T$44,$CU39,AI$57),""),3,1)="隔",IF(AI$58=0,LEFT(IFERROR(INDEX(醫師週班表!$C$5:$T$44,$CU39,AI$57),""),1),""),IF(MID(IFERROR(INDEX(醫師週班表!$C$5:$T$44,$CU39,AI$57),""),2,1)="(",LEFT(IFERROR(INDEX(醫師週班表!$C$5:$T$44,$CU39,AI$57),""),1),IFERROR(INDEX(醫師週班表!$C$5:$T$44,$CU39,AI$57),"")))))))</f>
        <v/>
      </c>
      <c r="AJ39" s="72">
        <f>IF(AJ$59="X","",IF(AJ$59&lt;&gt;"",AJ$59,IF(IFERROR(INDEX(醫師週班表!$C$5:$T$44,$CU39,AJ$57),"")=0,"",IF(MID(IFERROR(INDEX(醫師週班表!$C$5:$T$44,$CU39,AJ$57),""),2,1)="/",MID(IFERROR(INDEX(醫師週班表!$C$5:$T$44,$CU39,AJ$57),""),1+AJ$58*2,1),IF(MID(IFERROR(INDEX(醫師週班表!$C$5:$T$44,$CU39,AJ$57),""),3,1)="隔",IF(AJ$58=0,LEFT(IFERROR(INDEX(醫師週班表!$C$5:$T$44,$CU39,AJ$57),""),1),""),IF(MID(IFERROR(INDEX(醫師週班表!$C$5:$T$44,$CU39,AJ$57),""),2,1)="(",LEFT(IFERROR(INDEX(醫師週班表!$C$5:$T$44,$CU39,AJ$57),""),1),IFERROR(INDEX(醫師週班表!$C$5:$T$44,$CU39,AJ$57),"")))))))</f>
        <v/>
      </c>
      <c r="AK39" s="72">
        <f>IF(AK$59="X","",IF(AK$59&lt;&gt;"",AK$59,IF(IFERROR(INDEX(醫師週班表!$C$5:$T$44,$CU39,AK$57),"")=0,"",IF(MID(IFERROR(INDEX(醫師週班表!$C$5:$T$44,$CU39,AK$57),""),2,1)="/",MID(IFERROR(INDEX(醫師週班表!$C$5:$T$44,$CU39,AK$57),""),1+AK$58*2,1),IF(MID(IFERROR(INDEX(醫師週班表!$C$5:$T$44,$CU39,AK$57),""),3,1)="隔",IF(AK$58=0,LEFT(IFERROR(INDEX(醫師週班表!$C$5:$T$44,$CU39,AK$57),""),1),""),IF(MID(IFERROR(INDEX(醫師週班表!$C$5:$T$44,$CU39,AK$57),""),2,1)="(",LEFT(IFERROR(INDEX(醫師週班表!$C$5:$T$44,$CU39,AK$57),""),1),IFERROR(INDEX(醫師週班表!$C$5:$T$44,$CU39,AK$57),"")))))))</f>
        <v/>
      </c>
      <c r="AL39" s="71">
        <f>IF(AL$59="X","",IF(AL$59&lt;&gt;"",AL$59,IF(IFERROR(INDEX(醫師週班表!$C$5:$T$44,$CU39,AL$57),"")=0,"",IF(MID(IFERROR(INDEX(醫師週班表!$C$5:$T$44,$CU39,AL$57),""),2,1)="/",MID(IFERROR(INDEX(醫師週班表!$C$5:$T$44,$CU39,AL$57),""),1+AL$58*2,1),IF(MID(IFERROR(INDEX(醫師週班表!$C$5:$T$44,$CU39,AL$57),""),3,1)="隔",IF(AL$58=0,LEFT(IFERROR(INDEX(醫師週班表!$C$5:$T$44,$CU39,AL$57),""),1),""),IF(MID(IFERROR(INDEX(醫師週班表!$C$5:$T$44,$CU39,AL$57),""),2,1)="(",LEFT(IFERROR(INDEX(醫師週班表!$C$5:$T$44,$CU39,AL$57),""),1),IFERROR(INDEX(醫師週班表!$C$5:$T$44,$CU39,AL$57),"")))))))</f>
        <v/>
      </c>
      <c r="AM39" s="72">
        <f>IF(AM$59="X","",IF(AM$59&lt;&gt;"",AM$59,IF(IFERROR(INDEX(醫師週班表!$C$5:$T$44,$CU39,AM$57),"")=0,"",IF(MID(IFERROR(INDEX(醫師週班表!$C$5:$T$44,$CU39,AM$57),""),2,1)="/",MID(IFERROR(INDEX(醫師週班表!$C$5:$T$44,$CU39,AM$57),""),1+AM$58*2,1),IF(MID(IFERROR(INDEX(醫師週班表!$C$5:$T$44,$CU39,AM$57),""),3,1)="隔",IF(AM$58=0,LEFT(IFERROR(INDEX(醫師週班表!$C$5:$T$44,$CU39,AM$57),""),1),""),IF(MID(IFERROR(INDEX(醫師週班表!$C$5:$T$44,$CU39,AM$57),""),2,1)="(",LEFT(IFERROR(INDEX(醫師週班表!$C$5:$T$44,$CU39,AM$57),""),1),IFERROR(INDEX(醫師週班表!$C$5:$T$44,$CU39,AM$57),"")))))))</f>
        <v/>
      </c>
      <c r="AN39" s="72">
        <f>IF(AN$59="X","",IF(AN$59&lt;&gt;"",AN$59,IF(IFERROR(INDEX(醫師週班表!$C$5:$T$44,$CU39,AN$57),"")=0,"",IF(MID(IFERROR(INDEX(醫師週班表!$C$5:$T$44,$CU39,AN$57),""),2,1)="/",MID(IFERROR(INDEX(醫師週班表!$C$5:$T$44,$CU39,AN$57),""),1+AN$58*2,1),IF(MID(IFERROR(INDEX(醫師週班表!$C$5:$T$44,$CU39,AN$57),""),3,1)="隔",IF(AN$58=0,LEFT(IFERROR(INDEX(醫師週班表!$C$5:$T$44,$CU39,AN$57),""),1),""),IF(MID(IFERROR(INDEX(醫師週班表!$C$5:$T$44,$CU39,AN$57),""),2,1)="(",LEFT(IFERROR(INDEX(醫師週班表!$C$5:$T$44,$CU39,AN$57),""),1),IFERROR(INDEX(醫師週班表!$C$5:$T$44,$CU39,AN$57),"")))))))</f>
        <v/>
      </c>
      <c r="AO39" s="71">
        <f>IF(AO$59="X","",IF(AO$59&lt;&gt;"",AO$59,IF(IFERROR(INDEX(醫師週班表!$C$5:$T$44,$CU39,AO$57),"")=0,"",IF(MID(IFERROR(INDEX(醫師週班表!$C$5:$T$44,$CU39,AO$57),""),2,1)="/",MID(IFERROR(INDEX(醫師週班表!$C$5:$T$44,$CU39,AO$57),""),1+AO$58*2,1),IF(MID(IFERROR(INDEX(醫師週班表!$C$5:$T$44,$CU39,AO$57),""),3,1)="隔",IF(AO$58=0,LEFT(IFERROR(INDEX(醫師週班表!$C$5:$T$44,$CU39,AO$57),""),1),""),IF(MID(IFERROR(INDEX(醫師週班表!$C$5:$T$44,$CU39,AO$57),""),2,1)="(",LEFT(IFERROR(INDEX(醫師週班表!$C$5:$T$44,$CU39,AO$57),""),1),IFERROR(INDEX(醫師週班表!$C$5:$T$44,$CU39,AO$57),"")))))))</f>
        <v/>
      </c>
      <c r="AP39" s="72">
        <f>IF(AP$59="X","",IF(AP$59&lt;&gt;"",AP$59,IF(IFERROR(INDEX(醫師週班表!$C$5:$T$44,$CU39,AP$57),"")=0,"",IF(MID(IFERROR(INDEX(醫師週班表!$C$5:$T$44,$CU39,AP$57),""),2,1)="/",MID(IFERROR(INDEX(醫師週班表!$C$5:$T$44,$CU39,AP$57),""),1+AP$58*2,1),IF(MID(IFERROR(INDEX(醫師週班表!$C$5:$T$44,$CU39,AP$57),""),3,1)="隔",IF(AP$58=0,LEFT(IFERROR(INDEX(醫師週班表!$C$5:$T$44,$CU39,AP$57),""),1),""),IF(MID(IFERROR(INDEX(醫師週班表!$C$5:$T$44,$CU39,AP$57),""),2,1)="(",LEFT(IFERROR(INDEX(醫師週班表!$C$5:$T$44,$CU39,AP$57),""),1),IFERROR(INDEX(醫師週班表!$C$5:$T$44,$CU39,AP$57),"")))))))</f>
        <v/>
      </c>
      <c r="AQ39" s="72">
        <f>IF(AQ$59="X","",IF(AQ$59&lt;&gt;"",AQ$59,IF(IFERROR(INDEX(醫師週班表!$C$5:$T$44,$CU39,AQ$57),"")=0,"",IF(MID(IFERROR(INDEX(醫師週班表!$C$5:$T$44,$CU39,AQ$57),""),2,1)="/",MID(IFERROR(INDEX(醫師週班表!$C$5:$T$44,$CU39,AQ$57),""),1+AQ$58*2,1),IF(MID(IFERROR(INDEX(醫師週班表!$C$5:$T$44,$CU39,AQ$57),""),3,1)="隔",IF(AQ$58=0,LEFT(IFERROR(INDEX(醫師週班表!$C$5:$T$44,$CU39,AQ$57),""),1),""),IF(MID(IFERROR(INDEX(醫師週班表!$C$5:$T$44,$CU39,AQ$57),""),2,1)="(",LEFT(IFERROR(INDEX(醫師週班表!$C$5:$T$44,$CU39,AQ$57),""),1),IFERROR(INDEX(醫師週班表!$C$5:$T$44,$CU39,AQ$57),"")))))))</f>
        <v/>
      </c>
      <c r="AR39" s="71">
        <f>IF(AR$59="X","",IF(AR$59&lt;&gt;"",AR$59,IF(IFERROR(INDEX(醫師週班表!$C$5:$T$44,$CU39,AR$57),"")=0,"",IF(MID(IFERROR(INDEX(醫師週班表!$C$5:$T$44,$CU39,AR$57),""),2,1)="/",MID(IFERROR(INDEX(醫師週班表!$C$5:$T$44,$CU39,AR$57),""),1+AR$58*2,1),IF(MID(IFERROR(INDEX(醫師週班表!$C$5:$T$44,$CU39,AR$57),""),3,1)="隔",IF(AR$58=0,LEFT(IFERROR(INDEX(醫師週班表!$C$5:$T$44,$CU39,AR$57),""),1),""),IF(MID(IFERROR(INDEX(醫師週班表!$C$5:$T$44,$CU39,AR$57),""),2,1)="(",LEFT(IFERROR(INDEX(醫師週班表!$C$5:$T$44,$CU39,AR$57),""),1),IFERROR(INDEX(醫師週班表!$C$5:$T$44,$CU39,AR$57),"")))))))</f>
        <v/>
      </c>
      <c r="AS39" s="72">
        <f>IF(AS$59="X","",IF(AS$59&lt;&gt;"",AS$59,IF(IFERROR(INDEX(醫師週班表!$C$5:$T$44,$CU39,AS$57),"")=0,"",IF(MID(IFERROR(INDEX(醫師週班表!$C$5:$T$44,$CU39,AS$57),""),2,1)="/",MID(IFERROR(INDEX(醫師週班表!$C$5:$T$44,$CU39,AS$57),""),1+AS$58*2,1),IF(MID(IFERROR(INDEX(醫師週班表!$C$5:$T$44,$CU39,AS$57),""),3,1)="隔",IF(AS$58=0,LEFT(IFERROR(INDEX(醫師週班表!$C$5:$T$44,$CU39,AS$57),""),1),""),IF(MID(IFERROR(INDEX(醫師週班表!$C$5:$T$44,$CU39,AS$57),""),2,1)="(",LEFT(IFERROR(INDEX(醫師週班表!$C$5:$T$44,$CU39,AS$57),""),1),IFERROR(INDEX(醫師週班表!$C$5:$T$44,$CU39,AS$57),"")))))))</f>
        <v/>
      </c>
      <c r="AT39" s="72">
        <f>IF(AT$59="X","",IF(AT$59&lt;&gt;"",AT$59,IF(IFERROR(INDEX(醫師週班表!$C$5:$T$44,$CU39,AT$57),"")=0,"",IF(MID(IFERROR(INDEX(醫師週班表!$C$5:$T$44,$CU39,AT$57),""),2,1)="/",MID(IFERROR(INDEX(醫師週班表!$C$5:$T$44,$CU39,AT$57),""),1+AT$58*2,1),IF(MID(IFERROR(INDEX(醫師週班表!$C$5:$T$44,$CU39,AT$57),""),3,1)="隔",IF(AT$58=0,LEFT(IFERROR(INDEX(醫師週班表!$C$5:$T$44,$CU39,AT$57),""),1),""),IF(MID(IFERROR(INDEX(醫師週班表!$C$5:$T$44,$CU39,AT$57),""),2,1)="(",LEFT(IFERROR(INDEX(醫師週班表!$C$5:$T$44,$CU39,AT$57),""),1),IFERROR(INDEX(醫師週班表!$C$5:$T$44,$CU39,AT$57),"")))))))</f>
        <v/>
      </c>
      <c r="AU39" s="71">
        <f>IF(AU$59="X","",IF(AU$59&lt;&gt;"",AU$59,IF(IFERROR(INDEX(醫師週班表!$C$5:$T$44,$CU39,AU$57),"")=0,"",IF(MID(IFERROR(INDEX(醫師週班表!$C$5:$T$44,$CU39,AU$57),""),2,1)="/",MID(IFERROR(INDEX(醫師週班表!$C$5:$T$44,$CU39,AU$57),""),1+AU$58*2,1),IF(MID(IFERROR(INDEX(醫師週班表!$C$5:$T$44,$CU39,AU$57),""),3,1)="隔",IF(AU$58=0,LEFT(IFERROR(INDEX(醫師週班表!$C$5:$T$44,$CU39,AU$57),""),1),""),IF(MID(IFERROR(INDEX(醫師週班表!$C$5:$T$44,$CU39,AU$57),""),2,1)="(",LEFT(IFERROR(INDEX(醫師週班表!$C$5:$T$44,$CU39,AU$57),""),1),IFERROR(INDEX(醫師週班表!$C$5:$T$44,$CU39,AU$57),"")))))))</f>
        <v/>
      </c>
      <c r="AV39" s="72">
        <f>IF(AV$59="X","",IF(AV$59&lt;&gt;"",AV$59,IF(IFERROR(INDEX(醫師週班表!$C$5:$T$44,$CU39,AV$57),"")=0,"",IF(MID(IFERROR(INDEX(醫師週班表!$C$5:$T$44,$CU39,AV$57),""),2,1)="/",MID(IFERROR(INDEX(醫師週班表!$C$5:$T$44,$CU39,AV$57),""),1+AV$58*2,1),IF(MID(IFERROR(INDEX(醫師週班表!$C$5:$T$44,$CU39,AV$57),""),3,1)="隔",IF(AV$58=0,LEFT(IFERROR(INDEX(醫師週班表!$C$5:$T$44,$CU39,AV$57),""),1),""),IF(MID(IFERROR(INDEX(醫師週班表!$C$5:$T$44,$CU39,AV$57),""),2,1)="(",LEFT(IFERROR(INDEX(醫師週班表!$C$5:$T$44,$CU39,AV$57),""),1),IFERROR(INDEX(醫師週班表!$C$5:$T$44,$CU39,AV$57),"")))))))</f>
        <v/>
      </c>
      <c r="AW39" s="72">
        <f>IF(AW$59="X","",IF(AW$59&lt;&gt;"",AW$59,IF(IFERROR(INDEX(醫師週班表!$C$5:$T$44,$CU39,AW$57),"")=0,"",IF(MID(IFERROR(INDEX(醫師週班表!$C$5:$T$44,$CU39,AW$57),""),2,1)="/",MID(IFERROR(INDEX(醫師週班表!$C$5:$T$44,$CU39,AW$57),""),1+AW$58*2,1),IF(MID(IFERROR(INDEX(醫師週班表!$C$5:$T$44,$CU39,AW$57),""),3,1)="隔",IF(AW$58=0,LEFT(IFERROR(INDEX(醫師週班表!$C$5:$T$44,$CU39,AW$57),""),1),""),IF(MID(IFERROR(INDEX(醫師週班表!$C$5:$T$44,$CU39,AW$57),""),2,1)="(",LEFT(IFERROR(INDEX(醫師週班表!$C$5:$T$44,$CU39,AW$57),""),1),IFERROR(INDEX(醫師週班表!$C$5:$T$44,$CU39,AW$57),"")))))))</f>
        <v/>
      </c>
      <c r="AX39" s="71">
        <f>IF(AX$59="X","",IF(AX$59&lt;&gt;"",AX$59,IF(IFERROR(INDEX(醫師週班表!$C$5:$T$44,$CU39,AX$57),"")=0,"",IF(MID(IFERROR(INDEX(醫師週班表!$C$5:$T$44,$CU39,AX$57),""),2,1)="/",MID(IFERROR(INDEX(醫師週班表!$C$5:$T$44,$CU39,AX$57),""),1+AX$58*2,1),IF(MID(IFERROR(INDEX(醫師週班表!$C$5:$T$44,$CU39,AX$57),""),3,1)="隔",IF(AX$58=0,LEFT(IFERROR(INDEX(醫師週班表!$C$5:$T$44,$CU39,AX$57),""),1),""),IF(MID(IFERROR(INDEX(醫師週班表!$C$5:$T$44,$CU39,AX$57),""),2,1)="(",LEFT(IFERROR(INDEX(醫師週班表!$C$5:$T$44,$CU39,AX$57),""),1),IFERROR(INDEX(醫師週班表!$C$5:$T$44,$CU39,AX$57),"")))))))</f>
        <v/>
      </c>
      <c r="AY39" s="72">
        <f>IF(AY$59="X","",IF(AY$59&lt;&gt;"",AY$59,IF(IFERROR(INDEX(醫師週班表!$C$5:$T$44,$CU39,AY$57),"")=0,"",IF(MID(IFERROR(INDEX(醫師週班表!$C$5:$T$44,$CU39,AY$57),""),2,1)="/",MID(IFERROR(INDEX(醫師週班表!$C$5:$T$44,$CU39,AY$57),""),1+AY$58*2,1),IF(MID(IFERROR(INDEX(醫師週班表!$C$5:$T$44,$CU39,AY$57),""),3,1)="隔",IF(AY$58=0,LEFT(IFERROR(INDEX(醫師週班表!$C$5:$T$44,$CU39,AY$57),""),1),""),IF(MID(IFERROR(INDEX(醫師週班表!$C$5:$T$44,$CU39,AY$57),""),2,1)="(",LEFT(IFERROR(INDEX(醫師週班表!$C$5:$T$44,$CU39,AY$57),""),1),IFERROR(INDEX(醫師週班表!$C$5:$T$44,$CU39,AY$57),"")))))))</f>
        <v/>
      </c>
      <c r="AZ39" s="72">
        <f>IF(AZ$59="X","",IF(AZ$59&lt;&gt;"",AZ$59,IF(IFERROR(INDEX(醫師週班表!$C$5:$T$44,$CU39,AZ$57),"")=0,"",IF(MID(IFERROR(INDEX(醫師週班表!$C$5:$T$44,$CU39,AZ$57),""),2,1)="/",MID(IFERROR(INDEX(醫師週班表!$C$5:$T$44,$CU39,AZ$57),""),1+AZ$58*2,1),IF(MID(IFERROR(INDEX(醫師週班表!$C$5:$T$44,$CU39,AZ$57),""),3,1)="隔",IF(AZ$58=0,LEFT(IFERROR(INDEX(醫師週班表!$C$5:$T$44,$CU39,AZ$57),""),1),""),IF(MID(IFERROR(INDEX(醫師週班表!$C$5:$T$44,$CU39,AZ$57),""),2,1)="(",LEFT(IFERROR(INDEX(醫師週班表!$C$5:$T$44,$CU39,AZ$57),""),1),IFERROR(INDEX(醫師週班表!$C$5:$T$44,$CU39,AZ$57),"")))))))</f>
        <v/>
      </c>
      <c r="BA39" s="71">
        <f>IF(BA$59="X","",IF(BA$59&lt;&gt;"",BA$59,IF(IFERROR(INDEX(醫師週班表!$C$5:$T$44,$CU39,BA$57),"")=0,"",IF(MID(IFERROR(INDEX(醫師週班表!$C$5:$T$44,$CU39,BA$57),""),2,1)="/",MID(IFERROR(INDEX(醫師週班表!$C$5:$T$44,$CU39,BA$57),""),1+BA$58*2,1),IF(MID(IFERROR(INDEX(醫師週班表!$C$5:$T$44,$CU39,BA$57),""),3,1)="隔",IF(BA$58=0,LEFT(IFERROR(INDEX(醫師週班表!$C$5:$T$44,$CU39,BA$57),""),1),""),IF(MID(IFERROR(INDEX(醫師週班表!$C$5:$T$44,$CU39,BA$57),""),2,1)="(",LEFT(IFERROR(INDEX(醫師週班表!$C$5:$T$44,$CU39,BA$57),""),1),IFERROR(INDEX(醫師週班表!$C$5:$T$44,$CU39,BA$57),"")))))))</f>
        <v/>
      </c>
      <c r="BB39" s="72">
        <f>IF(BB$59="X","",IF(BB$59&lt;&gt;"",BB$59,IF(IFERROR(INDEX(醫師週班表!$C$5:$T$44,$CU39,BB$57),"")=0,"",IF(MID(IFERROR(INDEX(醫師週班表!$C$5:$T$44,$CU39,BB$57),""),2,1)="/",MID(IFERROR(INDEX(醫師週班表!$C$5:$T$44,$CU39,BB$57),""),1+BB$58*2,1),IF(MID(IFERROR(INDEX(醫師週班表!$C$5:$T$44,$CU39,BB$57),""),3,1)="隔",IF(BB$58=0,LEFT(IFERROR(INDEX(醫師週班表!$C$5:$T$44,$CU39,BB$57),""),1),""),IF(MID(IFERROR(INDEX(醫師週班表!$C$5:$T$44,$CU39,BB$57),""),2,1)="(",LEFT(IFERROR(INDEX(醫師週班表!$C$5:$T$44,$CU39,BB$57),""),1),IFERROR(INDEX(醫師週班表!$C$5:$T$44,$CU39,BB$57),"")))))))</f>
        <v/>
      </c>
      <c r="BC39" s="72">
        <f>IF(BC$59="X","",IF(BC$59&lt;&gt;"",BC$59,IF(IFERROR(INDEX(醫師週班表!$C$5:$T$44,$CU39,BC$57),"")=0,"",IF(MID(IFERROR(INDEX(醫師週班表!$C$5:$T$44,$CU39,BC$57),""),2,1)="/",MID(IFERROR(INDEX(醫師週班表!$C$5:$T$44,$CU39,BC$57),""),1+BC$58*2,1),IF(MID(IFERROR(INDEX(醫師週班表!$C$5:$T$44,$CU39,BC$57),""),3,1)="隔",IF(BC$58=0,LEFT(IFERROR(INDEX(醫師週班表!$C$5:$T$44,$CU39,BC$57),""),1),""),IF(MID(IFERROR(INDEX(醫師週班表!$C$5:$T$44,$CU39,BC$57),""),2,1)="(",LEFT(IFERROR(INDEX(醫師週班表!$C$5:$T$44,$CU39,BC$57),""),1),IFERROR(INDEX(醫師週班表!$C$5:$T$44,$CU39,BC$57),"")))))))</f>
        <v/>
      </c>
      <c r="BD39" s="71">
        <f>IF(BD$59="X","",IF(BD$59&lt;&gt;"",BD$59,IF(IFERROR(INDEX(醫師週班表!$C$5:$T$44,$CU39,BD$57),"")=0,"",IF(MID(IFERROR(INDEX(醫師週班表!$C$5:$T$44,$CU39,BD$57),""),2,1)="/",MID(IFERROR(INDEX(醫師週班表!$C$5:$T$44,$CU39,BD$57),""),1+BD$58*2,1),IF(MID(IFERROR(INDEX(醫師週班表!$C$5:$T$44,$CU39,BD$57),""),3,1)="隔",IF(BD$58=0,LEFT(IFERROR(INDEX(醫師週班表!$C$5:$T$44,$CU39,BD$57),""),1),""),IF(MID(IFERROR(INDEX(醫師週班表!$C$5:$T$44,$CU39,BD$57),""),2,1)="(",LEFT(IFERROR(INDEX(醫師週班表!$C$5:$T$44,$CU39,BD$57),""),1),IFERROR(INDEX(醫師週班表!$C$5:$T$44,$CU39,BD$57),"")))))))</f>
        <v/>
      </c>
      <c r="BE39" s="72">
        <f>IF(BE$59="X","",IF(BE$59&lt;&gt;"",BE$59,IF(IFERROR(INDEX(醫師週班表!$C$5:$T$44,$CU39,BE$57),"")=0,"",IF(MID(IFERROR(INDEX(醫師週班表!$C$5:$T$44,$CU39,BE$57),""),2,1)="/",MID(IFERROR(INDEX(醫師週班表!$C$5:$T$44,$CU39,BE$57),""),1+BE$58*2,1),IF(MID(IFERROR(INDEX(醫師週班表!$C$5:$T$44,$CU39,BE$57),""),3,1)="隔",IF(BE$58=0,LEFT(IFERROR(INDEX(醫師週班表!$C$5:$T$44,$CU39,BE$57),""),1),""),IF(MID(IFERROR(INDEX(醫師週班表!$C$5:$T$44,$CU39,BE$57),""),2,1)="(",LEFT(IFERROR(INDEX(醫師週班表!$C$5:$T$44,$CU39,BE$57),""),1),IFERROR(INDEX(醫師週班表!$C$5:$T$44,$CU39,BE$57),"")))))))</f>
        <v/>
      </c>
      <c r="BF39" s="72">
        <f>IF(BF$59="X","",IF(BF$59&lt;&gt;"",BF$59,IF(IFERROR(INDEX(醫師週班表!$C$5:$T$44,$CU39,BF$57),"")=0,"",IF(MID(IFERROR(INDEX(醫師週班表!$C$5:$T$44,$CU39,BF$57),""),2,1)="/",MID(IFERROR(INDEX(醫師週班表!$C$5:$T$44,$CU39,BF$57),""),1+BF$58*2,1),IF(MID(IFERROR(INDEX(醫師週班表!$C$5:$T$44,$CU39,BF$57),""),3,1)="隔",IF(BF$58=0,LEFT(IFERROR(INDEX(醫師週班表!$C$5:$T$44,$CU39,BF$57),""),1),""),IF(MID(IFERROR(INDEX(醫師週班表!$C$5:$T$44,$CU39,BF$57),""),2,1)="(",LEFT(IFERROR(INDEX(醫師週班表!$C$5:$T$44,$CU39,BF$57),""),1),IFERROR(INDEX(醫師週班表!$C$5:$T$44,$CU39,BF$57),"")))))))</f>
        <v/>
      </c>
      <c r="BG39" s="71">
        <f>IF(BG$59="X","",IF(BG$59&lt;&gt;"",BG$59,IF(IFERROR(INDEX(醫師週班表!$C$5:$T$44,$CU39,BG$57),"")=0,"",IF(MID(IFERROR(INDEX(醫師週班表!$C$5:$T$44,$CU39,BG$57),""),2,1)="/",MID(IFERROR(INDEX(醫師週班表!$C$5:$T$44,$CU39,BG$57),""),1+BG$58*2,1),IF(MID(IFERROR(INDEX(醫師週班表!$C$5:$T$44,$CU39,BG$57),""),3,1)="隔",IF(BG$58=0,LEFT(IFERROR(INDEX(醫師週班表!$C$5:$T$44,$CU39,BG$57),""),1),""),IF(MID(IFERROR(INDEX(醫師週班表!$C$5:$T$44,$CU39,BG$57),""),2,1)="(",LEFT(IFERROR(INDEX(醫師週班表!$C$5:$T$44,$CU39,BG$57),""),1),IFERROR(INDEX(醫師週班表!$C$5:$T$44,$CU39,BG$57),"")))))))</f>
        <v/>
      </c>
      <c r="BH39" s="72">
        <f>IF(BH$59="X","",IF(BH$59&lt;&gt;"",BH$59,IF(IFERROR(INDEX(醫師週班表!$C$5:$T$44,$CU39,BH$57),"")=0,"",IF(MID(IFERROR(INDEX(醫師週班表!$C$5:$T$44,$CU39,BH$57),""),2,1)="/",MID(IFERROR(INDEX(醫師週班表!$C$5:$T$44,$CU39,BH$57),""),1+BH$58*2,1),IF(MID(IFERROR(INDEX(醫師週班表!$C$5:$T$44,$CU39,BH$57),""),3,1)="隔",IF(BH$58=0,LEFT(IFERROR(INDEX(醫師週班表!$C$5:$T$44,$CU39,BH$57),""),1),""),IF(MID(IFERROR(INDEX(醫師週班表!$C$5:$T$44,$CU39,BH$57),""),2,1)="(",LEFT(IFERROR(INDEX(醫師週班表!$C$5:$T$44,$CU39,BH$57),""),1),IFERROR(INDEX(醫師週班表!$C$5:$T$44,$CU39,BH$57),"")))))))</f>
        <v/>
      </c>
      <c r="BI39" s="72">
        <f>IF(BI$59="X","",IF(BI$59&lt;&gt;"",BI$59,IF(IFERROR(INDEX(醫師週班表!$C$5:$T$44,$CU39,BI$57),"")=0,"",IF(MID(IFERROR(INDEX(醫師週班表!$C$5:$T$44,$CU39,BI$57),""),2,1)="/",MID(IFERROR(INDEX(醫師週班表!$C$5:$T$44,$CU39,BI$57),""),1+BI$58*2,1),IF(MID(IFERROR(INDEX(醫師週班表!$C$5:$T$44,$CU39,BI$57),""),3,1)="隔",IF(BI$58=0,LEFT(IFERROR(INDEX(醫師週班表!$C$5:$T$44,$CU39,BI$57),""),1),""),IF(MID(IFERROR(INDEX(醫師週班表!$C$5:$T$44,$CU39,BI$57),""),2,1)="(",LEFT(IFERROR(INDEX(醫師週班表!$C$5:$T$44,$CU39,BI$57),""),1),IFERROR(INDEX(醫師週班表!$C$5:$T$44,$CU39,BI$57),"")))))))</f>
        <v/>
      </c>
      <c r="BJ39" s="71">
        <f>IF(BJ$59="X","",IF(BJ$59&lt;&gt;"",BJ$59,IF(IFERROR(INDEX(醫師週班表!$C$5:$T$44,$CU39,BJ$57),"")=0,"",IF(MID(IFERROR(INDEX(醫師週班表!$C$5:$T$44,$CU39,BJ$57),""),2,1)="/",MID(IFERROR(INDEX(醫師週班表!$C$5:$T$44,$CU39,BJ$57),""),1+BJ$58*2,1),IF(MID(IFERROR(INDEX(醫師週班表!$C$5:$T$44,$CU39,BJ$57),""),3,1)="隔",IF(BJ$58=0,LEFT(IFERROR(INDEX(醫師週班表!$C$5:$T$44,$CU39,BJ$57),""),1),""),IF(MID(IFERROR(INDEX(醫師週班表!$C$5:$T$44,$CU39,BJ$57),""),2,1)="(",LEFT(IFERROR(INDEX(醫師週班表!$C$5:$T$44,$CU39,BJ$57),""),1),IFERROR(INDEX(醫師週班表!$C$5:$T$44,$CU39,BJ$57),"")))))))</f>
        <v/>
      </c>
      <c r="BK39" s="72">
        <f>IF(BK$59="X","",IF(BK$59&lt;&gt;"",BK$59,IF(IFERROR(INDEX(醫師週班表!$C$5:$T$44,$CU39,BK$57),"")=0,"",IF(MID(IFERROR(INDEX(醫師週班表!$C$5:$T$44,$CU39,BK$57),""),2,1)="/",MID(IFERROR(INDEX(醫師週班表!$C$5:$T$44,$CU39,BK$57),""),1+BK$58*2,1),IF(MID(IFERROR(INDEX(醫師週班表!$C$5:$T$44,$CU39,BK$57),""),3,1)="隔",IF(BK$58=0,LEFT(IFERROR(INDEX(醫師週班表!$C$5:$T$44,$CU39,BK$57),""),1),""),IF(MID(IFERROR(INDEX(醫師週班表!$C$5:$T$44,$CU39,BK$57),""),2,1)="(",LEFT(IFERROR(INDEX(醫師週班表!$C$5:$T$44,$CU39,BK$57),""),1),IFERROR(INDEX(醫師週班表!$C$5:$T$44,$CU39,BK$57),"")))))))</f>
        <v/>
      </c>
      <c r="BL39" s="72">
        <f>IF(BL$59="X","",IF(BL$59&lt;&gt;"",BL$59,IF(IFERROR(INDEX(醫師週班表!$C$5:$T$44,$CU39,BL$57),"")=0,"",IF(MID(IFERROR(INDEX(醫師週班表!$C$5:$T$44,$CU39,BL$57),""),2,1)="/",MID(IFERROR(INDEX(醫師週班表!$C$5:$T$44,$CU39,BL$57),""),1+BL$58*2,1),IF(MID(IFERROR(INDEX(醫師週班表!$C$5:$T$44,$CU39,BL$57),""),3,1)="隔",IF(BL$58=0,LEFT(IFERROR(INDEX(醫師週班表!$C$5:$T$44,$CU39,BL$57),""),1),""),IF(MID(IFERROR(INDEX(醫師週班表!$C$5:$T$44,$CU39,BL$57),""),2,1)="(",LEFT(IFERROR(INDEX(醫師週班表!$C$5:$T$44,$CU39,BL$57),""),1),IFERROR(INDEX(醫師週班表!$C$5:$T$44,$CU39,BL$57),"")))))))</f>
        <v/>
      </c>
      <c r="BM39" s="71">
        <f>IF(BM$59="X","",IF(BM$59&lt;&gt;"",BM$59,IF(IFERROR(INDEX(醫師週班表!$C$5:$T$44,$CU39,BM$57),"")=0,"",IF(MID(IFERROR(INDEX(醫師週班表!$C$5:$T$44,$CU39,BM$57),""),2,1)="/",MID(IFERROR(INDEX(醫師週班表!$C$5:$T$44,$CU39,BM$57),""),1+BM$58*2,1),IF(MID(IFERROR(INDEX(醫師週班表!$C$5:$T$44,$CU39,BM$57),""),3,1)="隔",IF(BM$58=0,LEFT(IFERROR(INDEX(醫師週班表!$C$5:$T$44,$CU39,BM$57),""),1),""),IF(MID(IFERROR(INDEX(醫師週班表!$C$5:$T$44,$CU39,BM$57),""),2,1)="(",LEFT(IFERROR(INDEX(醫師週班表!$C$5:$T$44,$CU39,BM$57),""),1),IFERROR(INDEX(醫師週班表!$C$5:$T$44,$CU39,BM$57),"")))))))</f>
        <v/>
      </c>
      <c r="BN39" s="72">
        <f>IF(BN$59="X","",IF(BN$59&lt;&gt;"",BN$59,IF(IFERROR(INDEX(醫師週班表!$C$5:$T$44,$CU39,BN$57),"")=0,"",IF(MID(IFERROR(INDEX(醫師週班表!$C$5:$T$44,$CU39,BN$57),""),2,1)="/",MID(IFERROR(INDEX(醫師週班表!$C$5:$T$44,$CU39,BN$57),""),1+BN$58*2,1),IF(MID(IFERROR(INDEX(醫師週班表!$C$5:$T$44,$CU39,BN$57),""),3,1)="隔",IF(BN$58=0,LEFT(IFERROR(INDEX(醫師週班表!$C$5:$T$44,$CU39,BN$57),""),1),""),IF(MID(IFERROR(INDEX(醫師週班表!$C$5:$T$44,$CU39,BN$57),""),2,1)="(",LEFT(IFERROR(INDEX(醫師週班表!$C$5:$T$44,$CU39,BN$57),""),1),IFERROR(INDEX(醫師週班表!$C$5:$T$44,$CU39,BN$57),"")))))))</f>
        <v/>
      </c>
      <c r="BO39" s="72">
        <f>IF(BO$59="X","",IF(BO$59&lt;&gt;"",BO$59,IF(IFERROR(INDEX(醫師週班表!$C$5:$T$44,$CU39,BO$57),"")=0,"",IF(MID(IFERROR(INDEX(醫師週班表!$C$5:$T$44,$CU39,BO$57),""),2,1)="/",MID(IFERROR(INDEX(醫師週班表!$C$5:$T$44,$CU39,BO$57),""),1+BO$58*2,1),IF(MID(IFERROR(INDEX(醫師週班表!$C$5:$T$44,$CU39,BO$57),""),3,1)="隔",IF(BO$58=0,LEFT(IFERROR(INDEX(醫師週班表!$C$5:$T$44,$CU39,BO$57),""),1),""),IF(MID(IFERROR(INDEX(醫師週班表!$C$5:$T$44,$CU39,BO$57),""),2,1)="(",LEFT(IFERROR(INDEX(醫師週班表!$C$5:$T$44,$CU39,BO$57),""),1),IFERROR(INDEX(醫師週班表!$C$5:$T$44,$CU39,BO$57),"")))))))</f>
        <v/>
      </c>
      <c r="BP39" s="71">
        <f>IF(BP$59="X","",IF(BP$59&lt;&gt;"",BP$59,IF(IFERROR(INDEX(醫師週班表!$C$5:$T$44,$CU39,BP$57),"")=0,"",IF(MID(IFERROR(INDEX(醫師週班表!$C$5:$T$44,$CU39,BP$57),""),2,1)="/",MID(IFERROR(INDEX(醫師週班表!$C$5:$T$44,$CU39,BP$57),""),1+BP$58*2,1),IF(MID(IFERROR(INDEX(醫師週班表!$C$5:$T$44,$CU39,BP$57),""),3,1)="隔",IF(BP$58=0,LEFT(IFERROR(INDEX(醫師週班表!$C$5:$T$44,$CU39,BP$57),""),1),""),IF(MID(IFERROR(INDEX(醫師週班表!$C$5:$T$44,$CU39,BP$57),""),2,1)="(",LEFT(IFERROR(INDEX(醫師週班表!$C$5:$T$44,$CU39,BP$57),""),1),IFERROR(INDEX(醫師週班表!$C$5:$T$44,$CU39,BP$57),"")))))))</f>
        <v/>
      </c>
      <c r="BQ39" s="72">
        <f>IF(BQ$59="X","",IF(BQ$59&lt;&gt;"",BQ$59,IF(IFERROR(INDEX(醫師週班表!$C$5:$T$44,$CU39,BQ$57),"")=0,"",IF(MID(IFERROR(INDEX(醫師週班表!$C$5:$T$44,$CU39,BQ$57),""),2,1)="/",MID(IFERROR(INDEX(醫師週班表!$C$5:$T$44,$CU39,BQ$57),""),1+BQ$58*2,1),IF(MID(IFERROR(INDEX(醫師週班表!$C$5:$T$44,$CU39,BQ$57),""),3,1)="隔",IF(BQ$58=0,LEFT(IFERROR(INDEX(醫師週班表!$C$5:$T$44,$CU39,BQ$57),""),1),""),IF(MID(IFERROR(INDEX(醫師週班表!$C$5:$T$44,$CU39,BQ$57),""),2,1)="(",LEFT(IFERROR(INDEX(醫師週班表!$C$5:$T$44,$CU39,BQ$57),""),1),IFERROR(INDEX(醫師週班表!$C$5:$T$44,$CU39,BQ$57),"")))))))</f>
        <v/>
      </c>
      <c r="BR39" s="72">
        <f>IF(BR$59="X","",IF(BR$59&lt;&gt;"",BR$59,IF(IFERROR(INDEX(醫師週班表!$C$5:$T$44,$CU39,BR$57),"")=0,"",IF(MID(IFERROR(INDEX(醫師週班表!$C$5:$T$44,$CU39,BR$57),""),2,1)="/",MID(IFERROR(INDEX(醫師週班表!$C$5:$T$44,$CU39,BR$57),""),1+BR$58*2,1),IF(MID(IFERROR(INDEX(醫師週班表!$C$5:$T$44,$CU39,BR$57),""),3,1)="隔",IF(BR$58=0,LEFT(IFERROR(INDEX(醫師週班表!$C$5:$T$44,$CU39,BR$57),""),1),""),IF(MID(IFERROR(INDEX(醫師週班表!$C$5:$T$44,$CU39,BR$57),""),2,1)="(",LEFT(IFERROR(INDEX(醫師週班表!$C$5:$T$44,$CU39,BR$57),""),1),IFERROR(INDEX(醫師週班表!$C$5:$T$44,$CU39,BR$57),"")))))))</f>
        <v/>
      </c>
      <c r="BS39" s="71">
        <f>IF(BS$59="X","",IF(BS$59&lt;&gt;"",BS$59,IF(IFERROR(INDEX(醫師週班表!$C$5:$T$44,$CU39,BS$57),"")=0,"",IF(MID(IFERROR(INDEX(醫師週班表!$C$5:$T$44,$CU39,BS$57),""),2,1)="/",MID(IFERROR(INDEX(醫師週班表!$C$5:$T$44,$CU39,BS$57),""),1+BS$58*2,1),IF(MID(IFERROR(INDEX(醫師週班表!$C$5:$T$44,$CU39,BS$57),""),3,1)="隔",IF(BS$58=0,LEFT(IFERROR(INDEX(醫師週班表!$C$5:$T$44,$CU39,BS$57),""),1),""),IF(MID(IFERROR(INDEX(醫師週班表!$C$5:$T$44,$CU39,BS$57),""),2,1)="(",LEFT(IFERROR(INDEX(醫師週班表!$C$5:$T$44,$CU39,BS$57),""),1),IFERROR(INDEX(醫師週班表!$C$5:$T$44,$CU39,BS$57),"")))))))</f>
        <v/>
      </c>
      <c r="BT39" s="72">
        <f>IF(BT$59="X","",IF(BT$59&lt;&gt;"",BT$59,IF(IFERROR(INDEX(醫師週班表!$C$5:$T$44,$CU39,BT$57),"")=0,"",IF(MID(IFERROR(INDEX(醫師週班表!$C$5:$T$44,$CU39,BT$57),""),2,1)="/",MID(IFERROR(INDEX(醫師週班表!$C$5:$T$44,$CU39,BT$57),""),1+BT$58*2,1),IF(MID(IFERROR(INDEX(醫師週班表!$C$5:$T$44,$CU39,BT$57),""),3,1)="隔",IF(BT$58=0,LEFT(IFERROR(INDEX(醫師週班表!$C$5:$T$44,$CU39,BT$57),""),1),""),IF(MID(IFERROR(INDEX(醫師週班表!$C$5:$T$44,$CU39,BT$57),""),2,1)="(",LEFT(IFERROR(INDEX(醫師週班表!$C$5:$T$44,$CU39,BT$57),""),1),IFERROR(INDEX(醫師週班表!$C$5:$T$44,$CU39,BT$57),"")))))))</f>
        <v/>
      </c>
      <c r="BU39" s="72">
        <f>IF(BU$59="X","",IF(BU$59&lt;&gt;"",BU$59,IF(IFERROR(INDEX(醫師週班表!$C$5:$T$44,$CU39,BU$57),"")=0,"",IF(MID(IFERROR(INDEX(醫師週班表!$C$5:$T$44,$CU39,BU$57),""),2,1)="/",MID(IFERROR(INDEX(醫師週班表!$C$5:$T$44,$CU39,BU$57),""),1+BU$58*2,1),IF(MID(IFERROR(INDEX(醫師週班表!$C$5:$T$44,$CU39,BU$57),""),3,1)="隔",IF(BU$58=0,LEFT(IFERROR(INDEX(醫師週班表!$C$5:$T$44,$CU39,BU$57),""),1),""),IF(MID(IFERROR(INDEX(醫師週班表!$C$5:$T$44,$CU39,BU$57),""),2,1)="(",LEFT(IFERROR(INDEX(醫師週班表!$C$5:$T$44,$CU39,BU$57),""),1),IFERROR(INDEX(醫師週班表!$C$5:$T$44,$CU39,BU$57),"")))))))</f>
        <v/>
      </c>
      <c r="BV39" s="71">
        <f>IF(BV$59="X","",IF(BV$59&lt;&gt;"",BV$59,IF(IFERROR(INDEX(醫師週班表!$C$5:$T$44,$CU39,BV$57),"")=0,"",IF(MID(IFERROR(INDEX(醫師週班表!$C$5:$T$44,$CU39,BV$57),""),2,1)="/",MID(IFERROR(INDEX(醫師週班表!$C$5:$T$44,$CU39,BV$57),""),1+BV$58*2,1),IF(MID(IFERROR(INDEX(醫師週班表!$C$5:$T$44,$CU39,BV$57),""),3,1)="隔",IF(BV$58=0,LEFT(IFERROR(INDEX(醫師週班表!$C$5:$T$44,$CU39,BV$57),""),1),""),IF(MID(IFERROR(INDEX(醫師週班表!$C$5:$T$44,$CU39,BV$57),""),2,1)="(",LEFT(IFERROR(INDEX(醫師週班表!$C$5:$T$44,$CU39,BV$57),""),1),IFERROR(INDEX(醫師週班表!$C$5:$T$44,$CU39,BV$57),"")))))))</f>
        <v/>
      </c>
      <c r="BW39" s="72">
        <f>IF(BW$59="X","",IF(BW$59&lt;&gt;"",BW$59,IF(IFERROR(INDEX(醫師週班表!$C$5:$T$44,$CU39,BW$57),"")=0,"",IF(MID(IFERROR(INDEX(醫師週班表!$C$5:$T$44,$CU39,BW$57),""),2,1)="/",MID(IFERROR(INDEX(醫師週班表!$C$5:$T$44,$CU39,BW$57),""),1+BW$58*2,1),IF(MID(IFERROR(INDEX(醫師週班表!$C$5:$T$44,$CU39,BW$57),""),3,1)="隔",IF(BW$58=0,LEFT(IFERROR(INDEX(醫師週班表!$C$5:$T$44,$CU39,BW$57),""),1),""),IF(MID(IFERROR(INDEX(醫師週班表!$C$5:$T$44,$CU39,BW$57),""),2,1)="(",LEFT(IFERROR(INDEX(醫師週班表!$C$5:$T$44,$CU39,BW$57),""),1),IFERROR(INDEX(醫師週班表!$C$5:$T$44,$CU39,BW$57),"")))))))</f>
        <v/>
      </c>
      <c r="BX39" s="72">
        <f>IF(BX$59="X","",IF(BX$59&lt;&gt;"",BX$59,IF(IFERROR(INDEX(醫師週班表!$C$5:$T$44,$CU39,BX$57),"")=0,"",IF(MID(IFERROR(INDEX(醫師週班表!$C$5:$T$44,$CU39,BX$57),""),2,1)="/",MID(IFERROR(INDEX(醫師週班表!$C$5:$T$44,$CU39,BX$57),""),1+BX$58*2,1),IF(MID(IFERROR(INDEX(醫師週班表!$C$5:$T$44,$CU39,BX$57),""),3,1)="隔",IF(BX$58=0,LEFT(IFERROR(INDEX(醫師週班表!$C$5:$T$44,$CU39,BX$57),""),1),""),IF(MID(IFERROR(INDEX(醫師週班表!$C$5:$T$44,$CU39,BX$57),""),2,1)="(",LEFT(IFERROR(INDEX(醫師週班表!$C$5:$T$44,$CU39,BX$57),""),1),IFERROR(INDEX(醫師週班表!$C$5:$T$44,$CU39,BX$57),"")))))))</f>
        <v/>
      </c>
      <c r="BY39" s="71">
        <f>IF(BY$59="X","",IF(BY$59&lt;&gt;"",BY$59,IF(IFERROR(INDEX(醫師週班表!$C$5:$T$44,$CU39,BY$57),"")=0,"",IF(MID(IFERROR(INDEX(醫師週班表!$C$5:$T$44,$CU39,BY$57),""),2,1)="/",MID(IFERROR(INDEX(醫師週班表!$C$5:$T$44,$CU39,BY$57),""),1+BY$58*2,1),IF(MID(IFERROR(INDEX(醫師週班表!$C$5:$T$44,$CU39,BY$57),""),3,1)="隔",IF(BY$58=0,LEFT(IFERROR(INDEX(醫師週班表!$C$5:$T$44,$CU39,BY$57),""),1),""),IF(MID(IFERROR(INDEX(醫師週班表!$C$5:$T$44,$CU39,BY$57),""),2,1)="(",LEFT(IFERROR(INDEX(醫師週班表!$C$5:$T$44,$CU39,BY$57),""),1),IFERROR(INDEX(醫師週班表!$C$5:$T$44,$CU39,BY$57),"")))))))</f>
        <v/>
      </c>
      <c r="BZ39" s="72">
        <f>IF(BZ$59="X","",IF(BZ$59&lt;&gt;"",BZ$59,IF(IFERROR(INDEX(醫師週班表!$C$5:$T$44,$CU39,BZ$57),"")=0,"",IF(MID(IFERROR(INDEX(醫師週班表!$C$5:$T$44,$CU39,BZ$57),""),2,1)="/",MID(IFERROR(INDEX(醫師週班表!$C$5:$T$44,$CU39,BZ$57),""),1+BZ$58*2,1),IF(MID(IFERROR(INDEX(醫師週班表!$C$5:$T$44,$CU39,BZ$57),""),3,1)="隔",IF(BZ$58=0,LEFT(IFERROR(INDEX(醫師週班表!$C$5:$T$44,$CU39,BZ$57),""),1),""),IF(MID(IFERROR(INDEX(醫師週班表!$C$5:$T$44,$CU39,BZ$57),""),2,1)="(",LEFT(IFERROR(INDEX(醫師週班表!$C$5:$T$44,$CU39,BZ$57),""),1),IFERROR(INDEX(醫師週班表!$C$5:$T$44,$CU39,BZ$57),"")))))))</f>
        <v/>
      </c>
      <c r="CA39" s="72">
        <f>IF(CA$59="X","",IF(CA$59&lt;&gt;"",CA$59,IF(IFERROR(INDEX(醫師週班表!$C$5:$T$44,$CU39,CA$57),"")=0,"",IF(MID(IFERROR(INDEX(醫師週班表!$C$5:$T$44,$CU39,CA$57),""),2,1)="/",MID(IFERROR(INDEX(醫師週班表!$C$5:$T$44,$CU39,CA$57),""),1+CA$58*2,1),IF(MID(IFERROR(INDEX(醫師週班表!$C$5:$T$44,$CU39,CA$57),""),3,1)="隔",IF(CA$58=0,LEFT(IFERROR(INDEX(醫師週班表!$C$5:$T$44,$CU39,CA$57),""),1),""),IF(MID(IFERROR(INDEX(醫師週班表!$C$5:$T$44,$CU39,CA$57),""),2,1)="(",LEFT(IFERROR(INDEX(醫師週班表!$C$5:$T$44,$CU39,CA$57),""),1),IFERROR(INDEX(醫師週班表!$C$5:$T$44,$CU39,CA$57),"")))))))</f>
        <v/>
      </c>
      <c r="CB39" s="71">
        <f>IF(CB$59="X","",IF(CB$59&lt;&gt;"",CB$59,IF(IFERROR(INDEX(醫師週班表!$C$5:$T$44,$CU39,CB$57),"")=0,"",IF(MID(IFERROR(INDEX(醫師週班表!$C$5:$T$44,$CU39,CB$57),""),2,1)="/",MID(IFERROR(INDEX(醫師週班表!$C$5:$T$44,$CU39,CB$57),""),1+CB$58*2,1),IF(MID(IFERROR(INDEX(醫師週班表!$C$5:$T$44,$CU39,CB$57),""),3,1)="隔",IF(CB$58=0,LEFT(IFERROR(INDEX(醫師週班表!$C$5:$T$44,$CU39,CB$57),""),1),""),IF(MID(IFERROR(INDEX(醫師週班表!$C$5:$T$44,$CU39,CB$57),""),2,1)="(",LEFT(IFERROR(INDEX(醫師週班表!$C$5:$T$44,$CU39,CB$57),""),1),IFERROR(INDEX(醫師週班表!$C$5:$T$44,$CU39,CB$57),"")))))))</f>
        <v/>
      </c>
      <c r="CC39" s="72">
        <f>IF(CC$59="X","",IF(CC$59&lt;&gt;"",CC$59,IF(IFERROR(INDEX(醫師週班表!$C$5:$T$44,$CU39,CC$57),"")=0,"",IF(MID(IFERROR(INDEX(醫師週班表!$C$5:$T$44,$CU39,CC$57),""),2,1)="/",MID(IFERROR(INDEX(醫師週班表!$C$5:$T$44,$CU39,CC$57),""),1+CC$58*2,1),IF(MID(IFERROR(INDEX(醫師週班表!$C$5:$T$44,$CU39,CC$57),""),3,1)="隔",IF(CC$58=0,LEFT(IFERROR(INDEX(醫師週班表!$C$5:$T$44,$CU39,CC$57),""),1),""),IF(MID(IFERROR(INDEX(醫師週班表!$C$5:$T$44,$CU39,CC$57),""),2,1)="(",LEFT(IFERROR(INDEX(醫師週班表!$C$5:$T$44,$CU39,CC$57),""),1),IFERROR(INDEX(醫師週班表!$C$5:$T$44,$CU39,CC$57),"")))))))</f>
        <v/>
      </c>
      <c r="CD39" s="72">
        <f>IF(CD$59="X","",IF(CD$59&lt;&gt;"",CD$59,IF(IFERROR(INDEX(醫師週班表!$C$5:$T$44,$CU39,CD$57),"")=0,"",IF(MID(IFERROR(INDEX(醫師週班表!$C$5:$T$44,$CU39,CD$57),""),2,1)="/",MID(IFERROR(INDEX(醫師週班表!$C$5:$T$44,$CU39,CD$57),""),1+CD$58*2,1),IF(MID(IFERROR(INDEX(醫師週班表!$C$5:$T$44,$CU39,CD$57),""),3,1)="隔",IF(CD$58=0,LEFT(IFERROR(INDEX(醫師週班表!$C$5:$T$44,$CU39,CD$57),""),1),""),IF(MID(IFERROR(INDEX(醫師週班表!$C$5:$T$44,$CU39,CD$57),""),2,1)="(",LEFT(IFERROR(INDEX(醫師週班表!$C$5:$T$44,$CU39,CD$57),""),1),IFERROR(INDEX(醫師週班表!$C$5:$T$44,$CU39,CD$57),"")))))))</f>
        <v/>
      </c>
      <c r="CE39" s="71">
        <f>IF(CE$59="X","",IF(CE$59&lt;&gt;"",CE$59,IF(IFERROR(INDEX(醫師週班表!$C$5:$T$44,$CU39,CE$57),"")=0,"",IF(MID(IFERROR(INDEX(醫師週班表!$C$5:$T$44,$CU39,CE$57),""),2,1)="/",MID(IFERROR(INDEX(醫師週班表!$C$5:$T$44,$CU39,CE$57),""),1+CE$58*2,1),IF(MID(IFERROR(INDEX(醫師週班表!$C$5:$T$44,$CU39,CE$57),""),3,1)="隔",IF(CE$58=0,LEFT(IFERROR(INDEX(醫師週班表!$C$5:$T$44,$CU39,CE$57),""),1),""),IF(MID(IFERROR(INDEX(醫師週班表!$C$5:$T$44,$CU39,CE$57),""),2,1)="(",LEFT(IFERROR(INDEX(醫師週班表!$C$5:$T$44,$CU39,CE$57),""),1),IFERROR(INDEX(醫師週班表!$C$5:$T$44,$CU39,CE$57),"")))))))</f>
        <v/>
      </c>
      <c r="CF39" s="72">
        <f>IF(CF$59="X","",IF(CF$59&lt;&gt;"",CF$59,IF(IFERROR(INDEX(醫師週班表!$C$5:$T$44,$CU39,CF$57),"")=0,"",IF(MID(IFERROR(INDEX(醫師週班表!$C$5:$T$44,$CU39,CF$57),""),2,1)="/",MID(IFERROR(INDEX(醫師週班表!$C$5:$T$44,$CU39,CF$57),""),1+CF$58*2,1),IF(MID(IFERROR(INDEX(醫師週班表!$C$5:$T$44,$CU39,CF$57),""),3,1)="隔",IF(CF$58=0,LEFT(IFERROR(INDEX(醫師週班表!$C$5:$T$44,$CU39,CF$57),""),1),""),IF(MID(IFERROR(INDEX(醫師週班表!$C$5:$T$44,$CU39,CF$57),""),2,1)="(",LEFT(IFERROR(INDEX(醫師週班表!$C$5:$T$44,$CU39,CF$57),""),1),IFERROR(INDEX(醫師週班表!$C$5:$T$44,$CU39,CF$57),"")))))))</f>
        <v/>
      </c>
      <c r="CG39" s="72">
        <f>IF(CG$59="X","",IF(CG$59&lt;&gt;"",CG$59,IF(IFERROR(INDEX(醫師週班表!$C$5:$T$44,$CU39,CG$57),"")=0,"",IF(MID(IFERROR(INDEX(醫師週班表!$C$5:$T$44,$CU39,CG$57),""),2,1)="/",MID(IFERROR(INDEX(醫師週班表!$C$5:$T$44,$CU39,CG$57),""),1+CG$58*2,1),IF(MID(IFERROR(INDEX(醫師週班表!$C$5:$T$44,$CU39,CG$57),""),3,1)="隔",IF(CG$58=0,LEFT(IFERROR(INDEX(醫師週班表!$C$5:$T$44,$CU39,CG$57),""),1),""),IF(MID(IFERROR(INDEX(醫師週班表!$C$5:$T$44,$CU39,CG$57),""),2,1)="(",LEFT(IFERROR(INDEX(醫師週班表!$C$5:$T$44,$CU39,CG$57),""),1),IFERROR(INDEX(醫師週班表!$C$5:$T$44,$CU39,CG$57),"")))))))</f>
        <v/>
      </c>
      <c r="CH39" s="71">
        <f>IF(CH$59="X","",IF(CH$59&lt;&gt;"",CH$59,IF(IFERROR(INDEX(醫師週班表!$C$5:$T$44,$CU39,CH$57),"")=0,"",IF(MID(IFERROR(INDEX(醫師週班表!$C$5:$T$44,$CU39,CH$57),""),2,1)="/",MID(IFERROR(INDEX(醫師週班表!$C$5:$T$44,$CU39,CH$57),""),1+CH$58*2,1),IF(MID(IFERROR(INDEX(醫師週班表!$C$5:$T$44,$CU39,CH$57),""),3,1)="隔",IF(CH$58=0,LEFT(IFERROR(INDEX(醫師週班表!$C$5:$T$44,$CU39,CH$57),""),1),""),IF(MID(IFERROR(INDEX(醫師週班表!$C$5:$T$44,$CU39,CH$57),""),2,1)="(",LEFT(IFERROR(INDEX(醫師週班表!$C$5:$T$44,$CU39,CH$57),""),1),IFERROR(INDEX(醫師週班表!$C$5:$T$44,$CU39,CH$57),"")))))))</f>
        <v/>
      </c>
      <c r="CI39" s="72">
        <f>IF(CI$59="X","",IF(CI$59&lt;&gt;"",CI$59,IF(IFERROR(INDEX(醫師週班表!$C$5:$T$44,$CU39,CI$57),"")=0,"",IF(MID(IFERROR(INDEX(醫師週班表!$C$5:$T$44,$CU39,CI$57),""),2,1)="/",MID(IFERROR(INDEX(醫師週班表!$C$5:$T$44,$CU39,CI$57),""),1+CI$58*2,1),IF(MID(IFERROR(INDEX(醫師週班表!$C$5:$T$44,$CU39,CI$57),""),3,1)="隔",IF(CI$58=0,LEFT(IFERROR(INDEX(醫師週班表!$C$5:$T$44,$CU39,CI$57),""),1),""),IF(MID(IFERROR(INDEX(醫師週班表!$C$5:$T$44,$CU39,CI$57),""),2,1)="(",LEFT(IFERROR(INDEX(醫師週班表!$C$5:$T$44,$CU39,CI$57),""),1),IFERROR(INDEX(醫師週班表!$C$5:$T$44,$CU39,CI$57),"")))))))</f>
        <v/>
      </c>
      <c r="CJ39" s="72">
        <f>IF(CJ$59="X","",IF(CJ$59&lt;&gt;"",CJ$59,IF(IFERROR(INDEX(醫師週班表!$C$5:$T$44,$CU39,CJ$57),"")=0,"",IF(MID(IFERROR(INDEX(醫師週班表!$C$5:$T$44,$CU39,CJ$57),""),2,1)="/",MID(IFERROR(INDEX(醫師週班表!$C$5:$T$44,$CU39,CJ$57),""),1+CJ$58*2,1),IF(MID(IFERROR(INDEX(醫師週班表!$C$5:$T$44,$CU39,CJ$57),""),3,1)="隔",IF(CJ$58=0,LEFT(IFERROR(INDEX(醫師週班表!$C$5:$T$44,$CU39,CJ$57),""),1),""),IF(MID(IFERROR(INDEX(醫師週班表!$C$5:$T$44,$CU39,CJ$57),""),2,1)="(",LEFT(IFERROR(INDEX(醫師週班表!$C$5:$T$44,$CU39,CJ$57),""),1),IFERROR(INDEX(醫師週班表!$C$5:$T$44,$CU39,CJ$57),"")))))))</f>
        <v/>
      </c>
      <c r="CK39" s="71">
        <f>IF(CK$59="X","",IF(CK$59&lt;&gt;"",CK$59,IF(IFERROR(INDEX(醫師週班表!$C$5:$T$44,$CU39,CK$57),"")=0,"",IF(MID(IFERROR(INDEX(醫師週班表!$C$5:$T$44,$CU39,CK$57),""),2,1)="/",MID(IFERROR(INDEX(醫師週班表!$C$5:$T$44,$CU39,CK$57),""),1+CK$58*2,1),IF(MID(IFERROR(INDEX(醫師週班表!$C$5:$T$44,$CU39,CK$57),""),3,1)="隔",IF(CK$58=0,LEFT(IFERROR(INDEX(醫師週班表!$C$5:$T$44,$CU39,CK$57),""),1),""),IF(MID(IFERROR(INDEX(醫師週班表!$C$5:$T$44,$CU39,CK$57),""),2,1)="(",LEFT(IFERROR(INDEX(醫師週班表!$C$5:$T$44,$CU39,CK$57),""),1),IFERROR(INDEX(醫師週班表!$C$5:$T$44,$CU39,CK$57),"")))))))</f>
        <v/>
      </c>
      <c r="CL39" s="72">
        <f>IF(CL$59="X","",IF(CL$59&lt;&gt;"",CL$59,IF(IFERROR(INDEX(醫師週班表!$C$5:$T$44,$CU39,CL$57),"")=0,"",IF(MID(IFERROR(INDEX(醫師週班表!$C$5:$T$44,$CU39,CL$57),""),2,1)="/",MID(IFERROR(INDEX(醫師週班表!$C$5:$T$44,$CU39,CL$57),""),1+CL$58*2,1),IF(MID(IFERROR(INDEX(醫師週班表!$C$5:$T$44,$CU39,CL$57),""),3,1)="隔",IF(CL$58=0,LEFT(IFERROR(INDEX(醫師週班表!$C$5:$T$44,$CU39,CL$57),""),1),""),IF(MID(IFERROR(INDEX(醫師週班表!$C$5:$T$44,$CU39,CL$57),""),2,1)="(",LEFT(IFERROR(INDEX(醫師週班表!$C$5:$T$44,$CU39,CL$57),""),1),IFERROR(INDEX(醫師週班表!$C$5:$T$44,$CU39,CL$57),"")))))))</f>
        <v/>
      </c>
      <c r="CM39" s="72">
        <f>IF(CM$59="X","",IF(CM$59&lt;&gt;"",CM$59,IF(IFERROR(INDEX(醫師週班表!$C$5:$T$44,$CU39,CM$57),"")=0,"",IF(MID(IFERROR(INDEX(醫師週班表!$C$5:$T$44,$CU39,CM$57),""),2,1)="/",MID(IFERROR(INDEX(醫師週班表!$C$5:$T$44,$CU39,CM$57),""),1+CM$58*2,1),IF(MID(IFERROR(INDEX(醫師週班表!$C$5:$T$44,$CU39,CM$57),""),3,1)="隔",IF(CM$58=0,LEFT(IFERROR(INDEX(醫師週班表!$C$5:$T$44,$CU39,CM$57),""),1),""),IF(MID(IFERROR(INDEX(醫師週班表!$C$5:$T$44,$CU39,CM$57),""),2,1)="(",LEFT(IFERROR(INDEX(醫師週班表!$C$5:$T$44,$CU39,CM$57),""),1),IFERROR(INDEX(醫師週班表!$C$5:$T$44,$CU39,CM$57),"")))))))</f>
        <v/>
      </c>
      <c r="CN39" s="71">
        <f>IF(CN$59="X","",IF(CN$59&lt;&gt;"",CN$59,IF(IFERROR(INDEX(醫師週班表!$C$5:$T$44,$CU39,CN$57),"")=0,"",IF(MID(IFERROR(INDEX(醫師週班表!$C$5:$T$44,$CU39,CN$57),""),2,1)="/",MID(IFERROR(INDEX(醫師週班表!$C$5:$T$44,$CU39,CN$57),""),1+CN$58*2,1),IF(MID(IFERROR(INDEX(醫師週班表!$C$5:$T$44,$CU39,CN$57),""),3,1)="隔",IF(CN$58=0,LEFT(IFERROR(INDEX(醫師週班表!$C$5:$T$44,$CU39,CN$57),""),1),""),IF(MID(IFERROR(INDEX(醫師週班表!$C$5:$T$44,$CU39,CN$57),""),2,1)="(",LEFT(IFERROR(INDEX(醫師週班表!$C$5:$T$44,$CU39,CN$57),""),1),IFERROR(INDEX(醫師週班表!$C$5:$T$44,$CU39,CN$57),"")))))))</f>
        <v/>
      </c>
      <c r="CO39" s="72">
        <f>IF(CO$59="X","",IF(CO$59&lt;&gt;"",CO$59,IF(IFERROR(INDEX(醫師週班表!$C$5:$T$44,$CU39,CO$57),"")=0,"",IF(MID(IFERROR(INDEX(醫師週班表!$C$5:$T$44,$CU39,CO$57),""),2,1)="/",MID(IFERROR(INDEX(醫師週班表!$C$5:$T$44,$CU39,CO$57),""),1+CO$58*2,1),IF(MID(IFERROR(INDEX(醫師週班表!$C$5:$T$44,$CU39,CO$57),""),3,1)="隔",IF(CO$58=0,LEFT(IFERROR(INDEX(醫師週班表!$C$5:$T$44,$CU39,CO$57),""),1),""),IF(MID(IFERROR(INDEX(醫師週班表!$C$5:$T$44,$CU39,CO$57),""),2,1)="(",LEFT(IFERROR(INDEX(醫師週班表!$C$5:$T$44,$CU39,CO$57),""),1),IFERROR(INDEX(醫師週班表!$C$5:$T$44,$CU39,CO$57),"")))))))</f>
        <v/>
      </c>
      <c r="CP39" s="72">
        <f>IF(CP$59="X","",IF(CP$59&lt;&gt;"",CP$59,IF(IFERROR(INDEX(醫師週班表!$C$5:$T$44,$CU39,CP$57),"")=0,"",IF(MID(IFERROR(INDEX(醫師週班表!$C$5:$T$44,$CU39,CP$57),""),2,1)="/",MID(IFERROR(INDEX(醫師週班表!$C$5:$T$44,$CU39,CP$57),""),1+CP$58*2,1),IF(MID(IFERROR(INDEX(醫師週班表!$C$5:$T$44,$CU39,CP$57),""),3,1)="隔",IF(CP$58=0,LEFT(IFERROR(INDEX(醫師週班表!$C$5:$T$44,$CU39,CP$57),""),1),""),IF(MID(IFERROR(INDEX(醫師週班表!$C$5:$T$44,$CU39,CP$57),""),2,1)="(",LEFT(IFERROR(INDEX(醫師週班表!$C$5:$T$44,$CU39,CP$57),""),1),IFERROR(INDEX(醫師週班表!$C$5:$T$44,$CU39,CP$57),"")))))))</f>
        <v/>
      </c>
      <c r="CQ39" s="71">
        <f>IF(CQ$59="X","",IF(CQ$59&lt;&gt;"",CQ$59,IF(IFERROR(INDEX(醫師週班表!$C$5:$T$44,$CU39,CQ$57),"")=0,"",IF(MID(IFERROR(INDEX(醫師週班表!$C$5:$T$44,$CU39,CQ$57),""),2,1)="/",MID(IFERROR(INDEX(醫師週班表!$C$5:$T$44,$CU39,CQ$57),""),1+CQ$58*2,1),IF(MID(IFERROR(INDEX(醫師週班表!$C$5:$T$44,$CU39,CQ$57),""),3,1)="隔",IF(CQ$58=0,LEFT(IFERROR(INDEX(醫師週班表!$C$5:$T$44,$CU39,CQ$57),""),1),""),IF(MID(IFERROR(INDEX(醫師週班表!$C$5:$T$44,$CU39,CQ$57),""),2,1)="(",LEFT(IFERROR(INDEX(醫師週班表!$C$5:$T$44,$CU39,CQ$57),""),1),IFERROR(INDEX(醫師週班表!$C$5:$T$44,$CU39,CQ$57),"")))))))</f>
        <v/>
      </c>
      <c r="CR39" s="72">
        <f>IF(CR$59="X","",IF(CR$59&lt;&gt;"",CR$59,IF(IFERROR(INDEX(醫師週班表!$C$5:$T$44,$CU39,CR$57),"")=0,"",IF(MID(IFERROR(INDEX(醫師週班表!$C$5:$T$44,$CU39,CR$57),""),2,1)="/",MID(IFERROR(INDEX(醫師週班表!$C$5:$T$44,$CU39,CR$57),""),1+CR$58*2,1),IF(MID(IFERROR(INDEX(醫師週班表!$C$5:$T$44,$CU39,CR$57),""),3,1)="隔",IF(CR$58=0,LEFT(IFERROR(INDEX(醫師週班表!$C$5:$T$44,$CU39,CR$57),""),1),""),IF(MID(IFERROR(INDEX(醫師週班表!$C$5:$T$44,$CU39,CR$57),""),2,1)="(",LEFT(IFERROR(INDEX(醫師週班表!$C$5:$T$44,$CU39,CR$57),""),1),IFERROR(INDEX(醫師週班表!$C$5:$T$44,$CU39,CR$57),"")))))))</f>
        <v/>
      </c>
      <c r="CS39" s="72">
        <f>IF(CS$59="X","",IF(CS$59&lt;&gt;"",CS$59,IF(IFERROR(INDEX(醫師週班表!$C$5:$T$44,$CU39,CS$57),"")=0,"",IF(MID(IFERROR(INDEX(醫師週班表!$C$5:$T$44,$CU39,CS$57),""),2,1)="/",MID(IFERROR(INDEX(醫師週班表!$C$5:$T$44,$CU39,CS$57),""),1+CS$58*2,1),IF(MID(IFERROR(INDEX(醫師週班表!$C$5:$T$44,$CU39,CS$57),""),3,1)="隔",IF(CS$58=0,LEFT(IFERROR(INDEX(醫師週班表!$C$5:$T$44,$CU39,CS$57),""),1),""),IF(MID(IFERROR(INDEX(醫師週班表!$C$5:$T$44,$CU39,CS$57),""),2,1)="(",LEFT(IFERROR(INDEX(醫師週班表!$C$5:$T$44,$CU39,CS$57),""),1),IFERROR(INDEX(醫師週班表!$C$5:$T$44,$CU39,CS$57),"")))))))</f>
        <v/>
      </c>
      <c r="CU39" s="73">
        <f>IFERROR(MATCH($A39,醫師週班表!$A$5:$A$44,0),0)</f>
        <v/>
      </c>
    </row>
    <row r="40" ht="17" customHeight="1">
      <c r="A40" s="19" t="n"/>
      <c r="B40" s="16">
        <f>IFERROR(INDEX(設定!$C$64:$C$203,MATCH($A40,設定!$B$64:$B$203,0)),"")</f>
        <v/>
      </c>
      <c r="C40" s="70">
        <f>IFERROR(INDEX(設定!$E$64:$E$203,MATCH($A40,設定!$B$64:$B$203,0)),"")</f>
        <v/>
      </c>
      <c r="D40" s="16">
        <f>IFERROR(INDEX(設定!$F$64:$F$203,MATCH($A40,設定!$B$64:$B$203,0)),"")</f>
        <v/>
      </c>
      <c r="E40" s="71">
        <f>IF(E$59="X","",IF(E$59&lt;&gt;"",E$59,IF(IFERROR(INDEX(醫師週班表!$C$5:$T$44,$CU40,E$57),"")=0,"",IF(MID(IFERROR(INDEX(醫師週班表!$C$5:$T$44,$CU40,E$57),""),2,1)="/",MID(IFERROR(INDEX(醫師週班表!$C$5:$T$44,$CU40,E$57),""),1+E$58*2,1),IF(MID(IFERROR(INDEX(醫師週班表!$C$5:$T$44,$CU40,E$57),""),3,1)="隔",IF(E$58=0,LEFT(IFERROR(INDEX(醫師週班表!$C$5:$T$44,$CU40,E$57),""),1),""),IF(MID(IFERROR(INDEX(醫師週班表!$C$5:$T$44,$CU40,E$57),""),2,1)="(",LEFT(IFERROR(INDEX(醫師週班表!$C$5:$T$44,$CU40,E$57),""),1),IFERROR(INDEX(醫師週班表!$C$5:$T$44,$CU40,E$57),"")))))))</f>
        <v/>
      </c>
      <c r="F40" s="72">
        <f>IF(F$59="X","",IF(F$59&lt;&gt;"",F$59,IF(IFERROR(INDEX(醫師週班表!$C$5:$T$44,$CU40,F$57),"")=0,"",IF(MID(IFERROR(INDEX(醫師週班表!$C$5:$T$44,$CU40,F$57),""),2,1)="/",MID(IFERROR(INDEX(醫師週班表!$C$5:$T$44,$CU40,F$57),""),1+F$58*2,1),IF(MID(IFERROR(INDEX(醫師週班表!$C$5:$T$44,$CU40,F$57),""),3,1)="隔",IF(F$58=0,LEFT(IFERROR(INDEX(醫師週班表!$C$5:$T$44,$CU40,F$57),""),1),""),IF(MID(IFERROR(INDEX(醫師週班表!$C$5:$T$44,$CU40,F$57),""),2,1)="(",LEFT(IFERROR(INDEX(醫師週班表!$C$5:$T$44,$CU40,F$57),""),1),IFERROR(INDEX(醫師週班表!$C$5:$T$44,$CU40,F$57),"")))))))</f>
        <v/>
      </c>
      <c r="G40" s="72">
        <f>IF(G$59="X","",IF(G$59&lt;&gt;"",G$59,IF(IFERROR(INDEX(醫師週班表!$C$5:$T$44,$CU40,G$57),"")=0,"",IF(MID(IFERROR(INDEX(醫師週班表!$C$5:$T$44,$CU40,G$57),""),2,1)="/",MID(IFERROR(INDEX(醫師週班表!$C$5:$T$44,$CU40,G$57),""),1+G$58*2,1),IF(MID(IFERROR(INDEX(醫師週班表!$C$5:$T$44,$CU40,G$57),""),3,1)="隔",IF(G$58=0,LEFT(IFERROR(INDEX(醫師週班表!$C$5:$T$44,$CU40,G$57),""),1),""),IF(MID(IFERROR(INDEX(醫師週班表!$C$5:$T$44,$CU40,G$57),""),2,1)="(",LEFT(IFERROR(INDEX(醫師週班表!$C$5:$T$44,$CU40,G$57),""),1),IFERROR(INDEX(醫師週班表!$C$5:$T$44,$CU40,G$57),"")))))))</f>
        <v/>
      </c>
      <c r="H40" s="71">
        <f>IF(H$59="X","",IF(H$59&lt;&gt;"",H$59,IF(IFERROR(INDEX(醫師週班表!$C$5:$T$44,$CU40,H$57),"")=0,"",IF(MID(IFERROR(INDEX(醫師週班表!$C$5:$T$44,$CU40,H$57),""),2,1)="/",MID(IFERROR(INDEX(醫師週班表!$C$5:$T$44,$CU40,H$57),""),1+H$58*2,1),IF(MID(IFERROR(INDEX(醫師週班表!$C$5:$T$44,$CU40,H$57),""),3,1)="隔",IF(H$58=0,LEFT(IFERROR(INDEX(醫師週班表!$C$5:$T$44,$CU40,H$57),""),1),""),IF(MID(IFERROR(INDEX(醫師週班表!$C$5:$T$44,$CU40,H$57),""),2,1)="(",LEFT(IFERROR(INDEX(醫師週班表!$C$5:$T$44,$CU40,H$57),""),1),IFERROR(INDEX(醫師週班表!$C$5:$T$44,$CU40,H$57),"")))))))</f>
        <v/>
      </c>
      <c r="I40" s="72">
        <f>IF(I$59="X","",IF(I$59&lt;&gt;"",I$59,IF(IFERROR(INDEX(醫師週班表!$C$5:$T$44,$CU40,I$57),"")=0,"",IF(MID(IFERROR(INDEX(醫師週班表!$C$5:$T$44,$CU40,I$57),""),2,1)="/",MID(IFERROR(INDEX(醫師週班表!$C$5:$T$44,$CU40,I$57),""),1+I$58*2,1),IF(MID(IFERROR(INDEX(醫師週班表!$C$5:$T$44,$CU40,I$57),""),3,1)="隔",IF(I$58=0,LEFT(IFERROR(INDEX(醫師週班表!$C$5:$T$44,$CU40,I$57),""),1),""),IF(MID(IFERROR(INDEX(醫師週班表!$C$5:$T$44,$CU40,I$57),""),2,1)="(",LEFT(IFERROR(INDEX(醫師週班表!$C$5:$T$44,$CU40,I$57),""),1),IFERROR(INDEX(醫師週班表!$C$5:$T$44,$CU40,I$57),"")))))))</f>
        <v/>
      </c>
      <c r="J40" s="72">
        <f>IF(J$59="X","",IF(J$59&lt;&gt;"",J$59,IF(IFERROR(INDEX(醫師週班表!$C$5:$T$44,$CU40,J$57),"")=0,"",IF(MID(IFERROR(INDEX(醫師週班表!$C$5:$T$44,$CU40,J$57),""),2,1)="/",MID(IFERROR(INDEX(醫師週班表!$C$5:$T$44,$CU40,J$57),""),1+J$58*2,1),IF(MID(IFERROR(INDEX(醫師週班表!$C$5:$T$44,$CU40,J$57),""),3,1)="隔",IF(J$58=0,LEFT(IFERROR(INDEX(醫師週班表!$C$5:$T$44,$CU40,J$57),""),1),""),IF(MID(IFERROR(INDEX(醫師週班表!$C$5:$T$44,$CU40,J$57),""),2,1)="(",LEFT(IFERROR(INDEX(醫師週班表!$C$5:$T$44,$CU40,J$57),""),1),IFERROR(INDEX(醫師週班表!$C$5:$T$44,$CU40,J$57),"")))))))</f>
        <v/>
      </c>
      <c r="K40" s="71">
        <f>IF(K$59="X","",IF(K$59&lt;&gt;"",K$59,IF(IFERROR(INDEX(醫師週班表!$C$5:$T$44,$CU40,K$57),"")=0,"",IF(MID(IFERROR(INDEX(醫師週班表!$C$5:$T$44,$CU40,K$57),""),2,1)="/",MID(IFERROR(INDEX(醫師週班表!$C$5:$T$44,$CU40,K$57),""),1+K$58*2,1),IF(MID(IFERROR(INDEX(醫師週班表!$C$5:$T$44,$CU40,K$57),""),3,1)="隔",IF(K$58=0,LEFT(IFERROR(INDEX(醫師週班表!$C$5:$T$44,$CU40,K$57),""),1),""),IF(MID(IFERROR(INDEX(醫師週班表!$C$5:$T$44,$CU40,K$57),""),2,1)="(",LEFT(IFERROR(INDEX(醫師週班表!$C$5:$T$44,$CU40,K$57),""),1),IFERROR(INDEX(醫師週班表!$C$5:$T$44,$CU40,K$57),"")))))))</f>
        <v/>
      </c>
      <c r="L40" s="72">
        <f>IF(L$59="X","",IF(L$59&lt;&gt;"",L$59,IF(IFERROR(INDEX(醫師週班表!$C$5:$T$44,$CU40,L$57),"")=0,"",IF(MID(IFERROR(INDEX(醫師週班表!$C$5:$T$44,$CU40,L$57),""),2,1)="/",MID(IFERROR(INDEX(醫師週班表!$C$5:$T$44,$CU40,L$57),""),1+L$58*2,1),IF(MID(IFERROR(INDEX(醫師週班表!$C$5:$T$44,$CU40,L$57),""),3,1)="隔",IF(L$58=0,LEFT(IFERROR(INDEX(醫師週班表!$C$5:$T$44,$CU40,L$57),""),1),""),IF(MID(IFERROR(INDEX(醫師週班表!$C$5:$T$44,$CU40,L$57),""),2,1)="(",LEFT(IFERROR(INDEX(醫師週班表!$C$5:$T$44,$CU40,L$57),""),1),IFERROR(INDEX(醫師週班表!$C$5:$T$44,$CU40,L$57),"")))))))</f>
        <v/>
      </c>
      <c r="M40" s="72">
        <f>IF(M$59="X","",IF(M$59&lt;&gt;"",M$59,IF(IFERROR(INDEX(醫師週班表!$C$5:$T$44,$CU40,M$57),"")=0,"",IF(MID(IFERROR(INDEX(醫師週班表!$C$5:$T$44,$CU40,M$57),""),2,1)="/",MID(IFERROR(INDEX(醫師週班表!$C$5:$T$44,$CU40,M$57),""),1+M$58*2,1),IF(MID(IFERROR(INDEX(醫師週班表!$C$5:$T$44,$CU40,M$57),""),3,1)="隔",IF(M$58=0,LEFT(IFERROR(INDEX(醫師週班表!$C$5:$T$44,$CU40,M$57),""),1),""),IF(MID(IFERROR(INDEX(醫師週班表!$C$5:$T$44,$CU40,M$57),""),2,1)="(",LEFT(IFERROR(INDEX(醫師週班表!$C$5:$T$44,$CU40,M$57),""),1),IFERROR(INDEX(醫師週班表!$C$5:$T$44,$CU40,M$57),"")))))))</f>
        <v/>
      </c>
      <c r="N40" s="71">
        <f>IF(N$59="X","",IF(N$59&lt;&gt;"",N$59,IF(IFERROR(INDEX(醫師週班表!$C$5:$T$44,$CU40,N$57),"")=0,"",IF(MID(IFERROR(INDEX(醫師週班表!$C$5:$T$44,$CU40,N$57),""),2,1)="/",MID(IFERROR(INDEX(醫師週班表!$C$5:$T$44,$CU40,N$57),""),1+N$58*2,1),IF(MID(IFERROR(INDEX(醫師週班表!$C$5:$T$44,$CU40,N$57),""),3,1)="隔",IF(N$58=0,LEFT(IFERROR(INDEX(醫師週班表!$C$5:$T$44,$CU40,N$57),""),1),""),IF(MID(IFERROR(INDEX(醫師週班表!$C$5:$T$44,$CU40,N$57),""),2,1)="(",LEFT(IFERROR(INDEX(醫師週班表!$C$5:$T$44,$CU40,N$57),""),1),IFERROR(INDEX(醫師週班表!$C$5:$T$44,$CU40,N$57),"")))))))</f>
        <v/>
      </c>
      <c r="O40" s="72">
        <f>IF(O$59="X","",IF(O$59&lt;&gt;"",O$59,IF(IFERROR(INDEX(醫師週班表!$C$5:$T$44,$CU40,O$57),"")=0,"",IF(MID(IFERROR(INDEX(醫師週班表!$C$5:$T$44,$CU40,O$57),""),2,1)="/",MID(IFERROR(INDEX(醫師週班表!$C$5:$T$44,$CU40,O$57),""),1+O$58*2,1),IF(MID(IFERROR(INDEX(醫師週班表!$C$5:$T$44,$CU40,O$57),""),3,1)="隔",IF(O$58=0,LEFT(IFERROR(INDEX(醫師週班表!$C$5:$T$44,$CU40,O$57),""),1),""),IF(MID(IFERROR(INDEX(醫師週班表!$C$5:$T$44,$CU40,O$57),""),2,1)="(",LEFT(IFERROR(INDEX(醫師週班表!$C$5:$T$44,$CU40,O$57),""),1),IFERROR(INDEX(醫師週班表!$C$5:$T$44,$CU40,O$57),"")))))))</f>
        <v/>
      </c>
      <c r="P40" s="72">
        <f>IF(P$59="X","",IF(P$59&lt;&gt;"",P$59,IF(IFERROR(INDEX(醫師週班表!$C$5:$T$44,$CU40,P$57),"")=0,"",IF(MID(IFERROR(INDEX(醫師週班表!$C$5:$T$44,$CU40,P$57),""),2,1)="/",MID(IFERROR(INDEX(醫師週班表!$C$5:$T$44,$CU40,P$57),""),1+P$58*2,1),IF(MID(IFERROR(INDEX(醫師週班表!$C$5:$T$44,$CU40,P$57),""),3,1)="隔",IF(P$58=0,LEFT(IFERROR(INDEX(醫師週班表!$C$5:$T$44,$CU40,P$57),""),1),""),IF(MID(IFERROR(INDEX(醫師週班表!$C$5:$T$44,$CU40,P$57),""),2,1)="(",LEFT(IFERROR(INDEX(醫師週班表!$C$5:$T$44,$CU40,P$57),""),1),IFERROR(INDEX(醫師週班表!$C$5:$T$44,$CU40,P$57),"")))))))</f>
        <v/>
      </c>
      <c r="Q40" s="71">
        <f>IF(Q$59="X","",IF(Q$59&lt;&gt;"",Q$59,IF(IFERROR(INDEX(醫師週班表!$C$5:$T$44,$CU40,Q$57),"")=0,"",IF(MID(IFERROR(INDEX(醫師週班表!$C$5:$T$44,$CU40,Q$57),""),2,1)="/",MID(IFERROR(INDEX(醫師週班表!$C$5:$T$44,$CU40,Q$57),""),1+Q$58*2,1),IF(MID(IFERROR(INDEX(醫師週班表!$C$5:$T$44,$CU40,Q$57),""),3,1)="隔",IF(Q$58=0,LEFT(IFERROR(INDEX(醫師週班表!$C$5:$T$44,$CU40,Q$57),""),1),""),IF(MID(IFERROR(INDEX(醫師週班表!$C$5:$T$44,$CU40,Q$57),""),2,1)="(",LEFT(IFERROR(INDEX(醫師週班表!$C$5:$T$44,$CU40,Q$57),""),1),IFERROR(INDEX(醫師週班表!$C$5:$T$44,$CU40,Q$57),"")))))))</f>
        <v/>
      </c>
      <c r="R40" s="72">
        <f>IF(R$59="X","",IF(R$59&lt;&gt;"",R$59,IF(IFERROR(INDEX(醫師週班表!$C$5:$T$44,$CU40,R$57),"")=0,"",IF(MID(IFERROR(INDEX(醫師週班表!$C$5:$T$44,$CU40,R$57),""),2,1)="/",MID(IFERROR(INDEX(醫師週班表!$C$5:$T$44,$CU40,R$57),""),1+R$58*2,1),IF(MID(IFERROR(INDEX(醫師週班表!$C$5:$T$44,$CU40,R$57),""),3,1)="隔",IF(R$58=0,LEFT(IFERROR(INDEX(醫師週班表!$C$5:$T$44,$CU40,R$57),""),1),""),IF(MID(IFERROR(INDEX(醫師週班表!$C$5:$T$44,$CU40,R$57),""),2,1)="(",LEFT(IFERROR(INDEX(醫師週班表!$C$5:$T$44,$CU40,R$57),""),1),IFERROR(INDEX(醫師週班表!$C$5:$T$44,$CU40,R$57),"")))))))</f>
        <v/>
      </c>
      <c r="S40" s="72">
        <f>IF(S$59="X","",IF(S$59&lt;&gt;"",S$59,IF(IFERROR(INDEX(醫師週班表!$C$5:$T$44,$CU40,S$57),"")=0,"",IF(MID(IFERROR(INDEX(醫師週班表!$C$5:$T$44,$CU40,S$57),""),2,1)="/",MID(IFERROR(INDEX(醫師週班表!$C$5:$T$44,$CU40,S$57),""),1+S$58*2,1),IF(MID(IFERROR(INDEX(醫師週班表!$C$5:$T$44,$CU40,S$57),""),3,1)="隔",IF(S$58=0,LEFT(IFERROR(INDEX(醫師週班表!$C$5:$T$44,$CU40,S$57),""),1),""),IF(MID(IFERROR(INDEX(醫師週班表!$C$5:$T$44,$CU40,S$57),""),2,1)="(",LEFT(IFERROR(INDEX(醫師週班表!$C$5:$T$44,$CU40,S$57),""),1),IFERROR(INDEX(醫師週班表!$C$5:$T$44,$CU40,S$57),"")))))))</f>
        <v/>
      </c>
      <c r="T40" s="71">
        <f>IF(T$59="X","",IF(T$59&lt;&gt;"",T$59,IF(IFERROR(INDEX(醫師週班表!$C$5:$T$44,$CU40,T$57),"")=0,"",IF(MID(IFERROR(INDEX(醫師週班表!$C$5:$T$44,$CU40,T$57),""),2,1)="/",MID(IFERROR(INDEX(醫師週班表!$C$5:$T$44,$CU40,T$57),""),1+T$58*2,1),IF(MID(IFERROR(INDEX(醫師週班表!$C$5:$T$44,$CU40,T$57),""),3,1)="隔",IF(T$58=0,LEFT(IFERROR(INDEX(醫師週班表!$C$5:$T$44,$CU40,T$57),""),1),""),IF(MID(IFERROR(INDEX(醫師週班表!$C$5:$T$44,$CU40,T$57),""),2,1)="(",LEFT(IFERROR(INDEX(醫師週班表!$C$5:$T$44,$CU40,T$57),""),1),IFERROR(INDEX(醫師週班表!$C$5:$T$44,$CU40,T$57),"")))))))</f>
        <v/>
      </c>
      <c r="U40" s="72">
        <f>IF(U$59="X","",IF(U$59&lt;&gt;"",U$59,IF(IFERROR(INDEX(醫師週班表!$C$5:$T$44,$CU40,U$57),"")=0,"",IF(MID(IFERROR(INDEX(醫師週班表!$C$5:$T$44,$CU40,U$57),""),2,1)="/",MID(IFERROR(INDEX(醫師週班表!$C$5:$T$44,$CU40,U$57),""),1+U$58*2,1),IF(MID(IFERROR(INDEX(醫師週班表!$C$5:$T$44,$CU40,U$57),""),3,1)="隔",IF(U$58=0,LEFT(IFERROR(INDEX(醫師週班表!$C$5:$T$44,$CU40,U$57),""),1),""),IF(MID(IFERROR(INDEX(醫師週班表!$C$5:$T$44,$CU40,U$57),""),2,1)="(",LEFT(IFERROR(INDEX(醫師週班表!$C$5:$T$44,$CU40,U$57),""),1),IFERROR(INDEX(醫師週班表!$C$5:$T$44,$CU40,U$57),"")))))))</f>
        <v/>
      </c>
      <c r="V40" s="72">
        <f>IF(V$59="X","",IF(V$59&lt;&gt;"",V$59,IF(IFERROR(INDEX(醫師週班表!$C$5:$T$44,$CU40,V$57),"")=0,"",IF(MID(IFERROR(INDEX(醫師週班表!$C$5:$T$44,$CU40,V$57),""),2,1)="/",MID(IFERROR(INDEX(醫師週班表!$C$5:$T$44,$CU40,V$57),""),1+V$58*2,1),IF(MID(IFERROR(INDEX(醫師週班表!$C$5:$T$44,$CU40,V$57),""),3,1)="隔",IF(V$58=0,LEFT(IFERROR(INDEX(醫師週班表!$C$5:$T$44,$CU40,V$57),""),1),""),IF(MID(IFERROR(INDEX(醫師週班表!$C$5:$T$44,$CU40,V$57),""),2,1)="(",LEFT(IFERROR(INDEX(醫師週班表!$C$5:$T$44,$CU40,V$57),""),1),IFERROR(INDEX(醫師週班表!$C$5:$T$44,$CU40,V$57),"")))))))</f>
        <v/>
      </c>
      <c r="W40" s="71">
        <f>IF(W$59="X","",IF(W$59&lt;&gt;"",W$59,IF(IFERROR(INDEX(醫師週班表!$C$5:$T$44,$CU40,W$57),"")=0,"",IF(MID(IFERROR(INDEX(醫師週班表!$C$5:$T$44,$CU40,W$57),""),2,1)="/",MID(IFERROR(INDEX(醫師週班表!$C$5:$T$44,$CU40,W$57),""),1+W$58*2,1),IF(MID(IFERROR(INDEX(醫師週班表!$C$5:$T$44,$CU40,W$57),""),3,1)="隔",IF(W$58=0,LEFT(IFERROR(INDEX(醫師週班表!$C$5:$T$44,$CU40,W$57),""),1),""),IF(MID(IFERROR(INDEX(醫師週班表!$C$5:$T$44,$CU40,W$57),""),2,1)="(",LEFT(IFERROR(INDEX(醫師週班表!$C$5:$T$44,$CU40,W$57),""),1),IFERROR(INDEX(醫師週班表!$C$5:$T$44,$CU40,W$57),"")))))))</f>
        <v/>
      </c>
      <c r="X40" s="72">
        <f>IF(X$59="X","",IF(X$59&lt;&gt;"",X$59,IF(IFERROR(INDEX(醫師週班表!$C$5:$T$44,$CU40,X$57),"")=0,"",IF(MID(IFERROR(INDEX(醫師週班表!$C$5:$T$44,$CU40,X$57),""),2,1)="/",MID(IFERROR(INDEX(醫師週班表!$C$5:$T$44,$CU40,X$57),""),1+X$58*2,1),IF(MID(IFERROR(INDEX(醫師週班表!$C$5:$T$44,$CU40,X$57),""),3,1)="隔",IF(X$58=0,LEFT(IFERROR(INDEX(醫師週班表!$C$5:$T$44,$CU40,X$57),""),1),""),IF(MID(IFERROR(INDEX(醫師週班表!$C$5:$T$44,$CU40,X$57),""),2,1)="(",LEFT(IFERROR(INDEX(醫師週班表!$C$5:$T$44,$CU40,X$57),""),1),IFERROR(INDEX(醫師週班表!$C$5:$T$44,$CU40,X$57),"")))))))</f>
        <v/>
      </c>
      <c r="Y40" s="72">
        <f>IF(Y$59="X","",IF(Y$59&lt;&gt;"",Y$59,IF(IFERROR(INDEX(醫師週班表!$C$5:$T$44,$CU40,Y$57),"")=0,"",IF(MID(IFERROR(INDEX(醫師週班表!$C$5:$T$44,$CU40,Y$57),""),2,1)="/",MID(IFERROR(INDEX(醫師週班表!$C$5:$T$44,$CU40,Y$57),""),1+Y$58*2,1),IF(MID(IFERROR(INDEX(醫師週班表!$C$5:$T$44,$CU40,Y$57),""),3,1)="隔",IF(Y$58=0,LEFT(IFERROR(INDEX(醫師週班表!$C$5:$T$44,$CU40,Y$57),""),1),""),IF(MID(IFERROR(INDEX(醫師週班表!$C$5:$T$44,$CU40,Y$57),""),2,1)="(",LEFT(IFERROR(INDEX(醫師週班表!$C$5:$T$44,$CU40,Y$57),""),1),IFERROR(INDEX(醫師週班表!$C$5:$T$44,$CU40,Y$57),"")))))))</f>
        <v/>
      </c>
      <c r="Z40" s="71">
        <f>IF(Z$59="X","",IF(Z$59&lt;&gt;"",Z$59,IF(IFERROR(INDEX(醫師週班表!$C$5:$T$44,$CU40,Z$57),"")=0,"",IF(MID(IFERROR(INDEX(醫師週班表!$C$5:$T$44,$CU40,Z$57),""),2,1)="/",MID(IFERROR(INDEX(醫師週班表!$C$5:$T$44,$CU40,Z$57),""),1+Z$58*2,1),IF(MID(IFERROR(INDEX(醫師週班表!$C$5:$T$44,$CU40,Z$57),""),3,1)="隔",IF(Z$58=0,LEFT(IFERROR(INDEX(醫師週班表!$C$5:$T$44,$CU40,Z$57),""),1),""),IF(MID(IFERROR(INDEX(醫師週班表!$C$5:$T$44,$CU40,Z$57),""),2,1)="(",LEFT(IFERROR(INDEX(醫師週班表!$C$5:$T$44,$CU40,Z$57),""),1),IFERROR(INDEX(醫師週班表!$C$5:$T$44,$CU40,Z$57),"")))))))</f>
        <v/>
      </c>
      <c r="AA40" s="72">
        <f>IF(AA$59="X","",IF(AA$59&lt;&gt;"",AA$59,IF(IFERROR(INDEX(醫師週班表!$C$5:$T$44,$CU40,AA$57),"")=0,"",IF(MID(IFERROR(INDEX(醫師週班表!$C$5:$T$44,$CU40,AA$57),""),2,1)="/",MID(IFERROR(INDEX(醫師週班表!$C$5:$T$44,$CU40,AA$57),""),1+AA$58*2,1),IF(MID(IFERROR(INDEX(醫師週班表!$C$5:$T$44,$CU40,AA$57),""),3,1)="隔",IF(AA$58=0,LEFT(IFERROR(INDEX(醫師週班表!$C$5:$T$44,$CU40,AA$57),""),1),""),IF(MID(IFERROR(INDEX(醫師週班表!$C$5:$T$44,$CU40,AA$57),""),2,1)="(",LEFT(IFERROR(INDEX(醫師週班表!$C$5:$T$44,$CU40,AA$57),""),1),IFERROR(INDEX(醫師週班表!$C$5:$T$44,$CU40,AA$57),"")))))))</f>
        <v/>
      </c>
      <c r="AB40" s="72">
        <f>IF(AB$59="X","",IF(AB$59&lt;&gt;"",AB$59,IF(IFERROR(INDEX(醫師週班表!$C$5:$T$44,$CU40,AB$57),"")=0,"",IF(MID(IFERROR(INDEX(醫師週班表!$C$5:$T$44,$CU40,AB$57),""),2,1)="/",MID(IFERROR(INDEX(醫師週班表!$C$5:$T$44,$CU40,AB$57),""),1+AB$58*2,1),IF(MID(IFERROR(INDEX(醫師週班表!$C$5:$T$44,$CU40,AB$57),""),3,1)="隔",IF(AB$58=0,LEFT(IFERROR(INDEX(醫師週班表!$C$5:$T$44,$CU40,AB$57),""),1),""),IF(MID(IFERROR(INDEX(醫師週班表!$C$5:$T$44,$CU40,AB$57),""),2,1)="(",LEFT(IFERROR(INDEX(醫師週班表!$C$5:$T$44,$CU40,AB$57),""),1),IFERROR(INDEX(醫師週班表!$C$5:$T$44,$CU40,AB$57),"")))))))</f>
        <v/>
      </c>
      <c r="AC40" s="71">
        <f>IF(AC$59="X","",IF(AC$59&lt;&gt;"",AC$59,IF(IFERROR(INDEX(醫師週班表!$C$5:$T$44,$CU40,AC$57),"")=0,"",IF(MID(IFERROR(INDEX(醫師週班表!$C$5:$T$44,$CU40,AC$57),""),2,1)="/",MID(IFERROR(INDEX(醫師週班表!$C$5:$T$44,$CU40,AC$57),""),1+AC$58*2,1),IF(MID(IFERROR(INDEX(醫師週班表!$C$5:$T$44,$CU40,AC$57),""),3,1)="隔",IF(AC$58=0,LEFT(IFERROR(INDEX(醫師週班表!$C$5:$T$44,$CU40,AC$57),""),1),""),IF(MID(IFERROR(INDEX(醫師週班表!$C$5:$T$44,$CU40,AC$57),""),2,1)="(",LEFT(IFERROR(INDEX(醫師週班表!$C$5:$T$44,$CU40,AC$57),""),1),IFERROR(INDEX(醫師週班表!$C$5:$T$44,$CU40,AC$57),"")))))))</f>
        <v/>
      </c>
      <c r="AD40" s="72">
        <f>IF(AD$59="X","",IF(AD$59&lt;&gt;"",AD$59,IF(IFERROR(INDEX(醫師週班表!$C$5:$T$44,$CU40,AD$57),"")=0,"",IF(MID(IFERROR(INDEX(醫師週班表!$C$5:$T$44,$CU40,AD$57),""),2,1)="/",MID(IFERROR(INDEX(醫師週班表!$C$5:$T$44,$CU40,AD$57),""),1+AD$58*2,1),IF(MID(IFERROR(INDEX(醫師週班表!$C$5:$T$44,$CU40,AD$57),""),3,1)="隔",IF(AD$58=0,LEFT(IFERROR(INDEX(醫師週班表!$C$5:$T$44,$CU40,AD$57),""),1),""),IF(MID(IFERROR(INDEX(醫師週班表!$C$5:$T$44,$CU40,AD$57),""),2,1)="(",LEFT(IFERROR(INDEX(醫師週班表!$C$5:$T$44,$CU40,AD$57),""),1),IFERROR(INDEX(醫師週班表!$C$5:$T$44,$CU40,AD$57),"")))))))</f>
        <v/>
      </c>
      <c r="AE40" s="72">
        <f>IF(AE$59="X","",IF(AE$59&lt;&gt;"",AE$59,IF(IFERROR(INDEX(醫師週班表!$C$5:$T$44,$CU40,AE$57),"")=0,"",IF(MID(IFERROR(INDEX(醫師週班表!$C$5:$T$44,$CU40,AE$57),""),2,1)="/",MID(IFERROR(INDEX(醫師週班表!$C$5:$T$44,$CU40,AE$57),""),1+AE$58*2,1),IF(MID(IFERROR(INDEX(醫師週班表!$C$5:$T$44,$CU40,AE$57),""),3,1)="隔",IF(AE$58=0,LEFT(IFERROR(INDEX(醫師週班表!$C$5:$T$44,$CU40,AE$57),""),1),""),IF(MID(IFERROR(INDEX(醫師週班表!$C$5:$T$44,$CU40,AE$57),""),2,1)="(",LEFT(IFERROR(INDEX(醫師週班表!$C$5:$T$44,$CU40,AE$57),""),1),IFERROR(INDEX(醫師週班表!$C$5:$T$44,$CU40,AE$57),"")))))))</f>
        <v/>
      </c>
      <c r="AF40" s="71">
        <f>IF(AF$59="X","",IF(AF$59&lt;&gt;"",AF$59,IF(IFERROR(INDEX(醫師週班表!$C$5:$T$44,$CU40,AF$57),"")=0,"",IF(MID(IFERROR(INDEX(醫師週班表!$C$5:$T$44,$CU40,AF$57),""),2,1)="/",MID(IFERROR(INDEX(醫師週班表!$C$5:$T$44,$CU40,AF$57),""),1+AF$58*2,1),IF(MID(IFERROR(INDEX(醫師週班表!$C$5:$T$44,$CU40,AF$57),""),3,1)="隔",IF(AF$58=0,LEFT(IFERROR(INDEX(醫師週班表!$C$5:$T$44,$CU40,AF$57),""),1),""),IF(MID(IFERROR(INDEX(醫師週班表!$C$5:$T$44,$CU40,AF$57),""),2,1)="(",LEFT(IFERROR(INDEX(醫師週班表!$C$5:$T$44,$CU40,AF$57),""),1),IFERROR(INDEX(醫師週班表!$C$5:$T$44,$CU40,AF$57),"")))))))</f>
        <v/>
      </c>
      <c r="AG40" s="72">
        <f>IF(AG$59="X","",IF(AG$59&lt;&gt;"",AG$59,IF(IFERROR(INDEX(醫師週班表!$C$5:$T$44,$CU40,AG$57),"")=0,"",IF(MID(IFERROR(INDEX(醫師週班表!$C$5:$T$44,$CU40,AG$57),""),2,1)="/",MID(IFERROR(INDEX(醫師週班表!$C$5:$T$44,$CU40,AG$57),""),1+AG$58*2,1),IF(MID(IFERROR(INDEX(醫師週班表!$C$5:$T$44,$CU40,AG$57),""),3,1)="隔",IF(AG$58=0,LEFT(IFERROR(INDEX(醫師週班表!$C$5:$T$44,$CU40,AG$57),""),1),""),IF(MID(IFERROR(INDEX(醫師週班表!$C$5:$T$44,$CU40,AG$57),""),2,1)="(",LEFT(IFERROR(INDEX(醫師週班表!$C$5:$T$44,$CU40,AG$57),""),1),IFERROR(INDEX(醫師週班表!$C$5:$T$44,$CU40,AG$57),"")))))))</f>
        <v/>
      </c>
      <c r="AH40" s="72">
        <f>IF(AH$59="X","",IF(AH$59&lt;&gt;"",AH$59,IF(IFERROR(INDEX(醫師週班表!$C$5:$T$44,$CU40,AH$57),"")=0,"",IF(MID(IFERROR(INDEX(醫師週班表!$C$5:$T$44,$CU40,AH$57),""),2,1)="/",MID(IFERROR(INDEX(醫師週班表!$C$5:$T$44,$CU40,AH$57),""),1+AH$58*2,1),IF(MID(IFERROR(INDEX(醫師週班表!$C$5:$T$44,$CU40,AH$57),""),3,1)="隔",IF(AH$58=0,LEFT(IFERROR(INDEX(醫師週班表!$C$5:$T$44,$CU40,AH$57),""),1),""),IF(MID(IFERROR(INDEX(醫師週班表!$C$5:$T$44,$CU40,AH$57),""),2,1)="(",LEFT(IFERROR(INDEX(醫師週班表!$C$5:$T$44,$CU40,AH$57),""),1),IFERROR(INDEX(醫師週班表!$C$5:$T$44,$CU40,AH$57),"")))))))</f>
        <v/>
      </c>
      <c r="AI40" s="71">
        <f>IF(AI$59="X","",IF(AI$59&lt;&gt;"",AI$59,IF(IFERROR(INDEX(醫師週班表!$C$5:$T$44,$CU40,AI$57),"")=0,"",IF(MID(IFERROR(INDEX(醫師週班表!$C$5:$T$44,$CU40,AI$57),""),2,1)="/",MID(IFERROR(INDEX(醫師週班表!$C$5:$T$44,$CU40,AI$57),""),1+AI$58*2,1),IF(MID(IFERROR(INDEX(醫師週班表!$C$5:$T$44,$CU40,AI$57),""),3,1)="隔",IF(AI$58=0,LEFT(IFERROR(INDEX(醫師週班表!$C$5:$T$44,$CU40,AI$57),""),1),""),IF(MID(IFERROR(INDEX(醫師週班表!$C$5:$T$44,$CU40,AI$57),""),2,1)="(",LEFT(IFERROR(INDEX(醫師週班表!$C$5:$T$44,$CU40,AI$57),""),1),IFERROR(INDEX(醫師週班表!$C$5:$T$44,$CU40,AI$57),"")))))))</f>
        <v/>
      </c>
      <c r="AJ40" s="72">
        <f>IF(AJ$59="X","",IF(AJ$59&lt;&gt;"",AJ$59,IF(IFERROR(INDEX(醫師週班表!$C$5:$T$44,$CU40,AJ$57),"")=0,"",IF(MID(IFERROR(INDEX(醫師週班表!$C$5:$T$44,$CU40,AJ$57),""),2,1)="/",MID(IFERROR(INDEX(醫師週班表!$C$5:$T$44,$CU40,AJ$57),""),1+AJ$58*2,1),IF(MID(IFERROR(INDEX(醫師週班表!$C$5:$T$44,$CU40,AJ$57),""),3,1)="隔",IF(AJ$58=0,LEFT(IFERROR(INDEX(醫師週班表!$C$5:$T$44,$CU40,AJ$57),""),1),""),IF(MID(IFERROR(INDEX(醫師週班表!$C$5:$T$44,$CU40,AJ$57),""),2,1)="(",LEFT(IFERROR(INDEX(醫師週班表!$C$5:$T$44,$CU40,AJ$57),""),1),IFERROR(INDEX(醫師週班表!$C$5:$T$44,$CU40,AJ$57),"")))))))</f>
        <v/>
      </c>
      <c r="AK40" s="72">
        <f>IF(AK$59="X","",IF(AK$59&lt;&gt;"",AK$59,IF(IFERROR(INDEX(醫師週班表!$C$5:$T$44,$CU40,AK$57),"")=0,"",IF(MID(IFERROR(INDEX(醫師週班表!$C$5:$T$44,$CU40,AK$57),""),2,1)="/",MID(IFERROR(INDEX(醫師週班表!$C$5:$T$44,$CU40,AK$57),""),1+AK$58*2,1),IF(MID(IFERROR(INDEX(醫師週班表!$C$5:$T$44,$CU40,AK$57),""),3,1)="隔",IF(AK$58=0,LEFT(IFERROR(INDEX(醫師週班表!$C$5:$T$44,$CU40,AK$57),""),1),""),IF(MID(IFERROR(INDEX(醫師週班表!$C$5:$T$44,$CU40,AK$57),""),2,1)="(",LEFT(IFERROR(INDEX(醫師週班表!$C$5:$T$44,$CU40,AK$57),""),1),IFERROR(INDEX(醫師週班表!$C$5:$T$44,$CU40,AK$57),"")))))))</f>
        <v/>
      </c>
      <c r="AL40" s="71">
        <f>IF(AL$59="X","",IF(AL$59&lt;&gt;"",AL$59,IF(IFERROR(INDEX(醫師週班表!$C$5:$T$44,$CU40,AL$57),"")=0,"",IF(MID(IFERROR(INDEX(醫師週班表!$C$5:$T$44,$CU40,AL$57),""),2,1)="/",MID(IFERROR(INDEX(醫師週班表!$C$5:$T$44,$CU40,AL$57),""),1+AL$58*2,1),IF(MID(IFERROR(INDEX(醫師週班表!$C$5:$T$44,$CU40,AL$57),""),3,1)="隔",IF(AL$58=0,LEFT(IFERROR(INDEX(醫師週班表!$C$5:$T$44,$CU40,AL$57),""),1),""),IF(MID(IFERROR(INDEX(醫師週班表!$C$5:$T$44,$CU40,AL$57),""),2,1)="(",LEFT(IFERROR(INDEX(醫師週班表!$C$5:$T$44,$CU40,AL$57),""),1),IFERROR(INDEX(醫師週班表!$C$5:$T$44,$CU40,AL$57),"")))))))</f>
        <v/>
      </c>
      <c r="AM40" s="72">
        <f>IF(AM$59="X","",IF(AM$59&lt;&gt;"",AM$59,IF(IFERROR(INDEX(醫師週班表!$C$5:$T$44,$CU40,AM$57),"")=0,"",IF(MID(IFERROR(INDEX(醫師週班表!$C$5:$T$44,$CU40,AM$57),""),2,1)="/",MID(IFERROR(INDEX(醫師週班表!$C$5:$T$44,$CU40,AM$57),""),1+AM$58*2,1),IF(MID(IFERROR(INDEX(醫師週班表!$C$5:$T$44,$CU40,AM$57),""),3,1)="隔",IF(AM$58=0,LEFT(IFERROR(INDEX(醫師週班表!$C$5:$T$44,$CU40,AM$57),""),1),""),IF(MID(IFERROR(INDEX(醫師週班表!$C$5:$T$44,$CU40,AM$57),""),2,1)="(",LEFT(IFERROR(INDEX(醫師週班表!$C$5:$T$44,$CU40,AM$57),""),1),IFERROR(INDEX(醫師週班表!$C$5:$T$44,$CU40,AM$57),"")))))))</f>
        <v/>
      </c>
      <c r="AN40" s="72">
        <f>IF(AN$59="X","",IF(AN$59&lt;&gt;"",AN$59,IF(IFERROR(INDEX(醫師週班表!$C$5:$T$44,$CU40,AN$57),"")=0,"",IF(MID(IFERROR(INDEX(醫師週班表!$C$5:$T$44,$CU40,AN$57),""),2,1)="/",MID(IFERROR(INDEX(醫師週班表!$C$5:$T$44,$CU40,AN$57),""),1+AN$58*2,1),IF(MID(IFERROR(INDEX(醫師週班表!$C$5:$T$44,$CU40,AN$57),""),3,1)="隔",IF(AN$58=0,LEFT(IFERROR(INDEX(醫師週班表!$C$5:$T$44,$CU40,AN$57),""),1),""),IF(MID(IFERROR(INDEX(醫師週班表!$C$5:$T$44,$CU40,AN$57),""),2,1)="(",LEFT(IFERROR(INDEX(醫師週班表!$C$5:$T$44,$CU40,AN$57),""),1),IFERROR(INDEX(醫師週班表!$C$5:$T$44,$CU40,AN$57),"")))))))</f>
        <v/>
      </c>
      <c r="AO40" s="71">
        <f>IF(AO$59="X","",IF(AO$59&lt;&gt;"",AO$59,IF(IFERROR(INDEX(醫師週班表!$C$5:$T$44,$CU40,AO$57),"")=0,"",IF(MID(IFERROR(INDEX(醫師週班表!$C$5:$T$44,$CU40,AO$57),""),2,1)="/",MID(IFERROR(INDEX(醫師週班表!$C$5:$T$44,$CU40,AO$57),""),1+AO$58*2,1),IF(MID(IFERROR(INDEX(醫師週班表!$C$5:$T$44,$CU40,AO$57),""),3,1)="隔",IF(AO$58=0,LEFT(IFERROR(INDEX(醫師週班表!$C$5:$T$44,$CU40,AO$57),""),1),""),IF(MID(IFERROR(INDEX(醫師週班表!$C$5:$T$44,$CU40,AO$57),""),2,1)="(",LEFT(IFERROR(INDEX(醫師週班表!$C$5:$T$44,$CU40,AO$57),""),1),IFERROR(INDEX(醫師週班表!$C$5:$T$44,$CU40,AO$57),"")))))))</f>
        <v/>
      </c>
      <c r="AP40" s="72">
        <f>IF(AP$59="X","",IF(AP$59&lt;&gt;"",AP$59,IF(IFERROR(INDEX(醫師週班表!$C$5:$T$44,$CU40,AP$57),"")=0,"",IF(MID(IFERROR(INDEX(醫師週班表!$C$5:$T$44,$CU40,AP$57),""),2,1)="/",MID(IFERROR(INDEX(醫師週班表!$C$5:$T$44,$CU40,AP$57),""),1+AP$58*2,1),IF(MID(IFERROR(INDEX(醫師週班表!$C$5:$T$44,$CU40,AP$57),""),3,1)="隔",IF(AP$58=0,LEFT(IFERROR(INDEX(醫師週班表!$C$5:$T$44,$CU40,AP$57),""),1),""),IF(MID(IFERROR(INDEX(醫師週班表!$C$5:$T$44,$CU40,AP$57),""),2,1)="(",LEFT(IFERROR(INDEX(醫師週班表!$C$5:$T$44,$CU40,AP$57),""),1),IFERROR(INDEX(醫師週班表!$C$5:$T$44,$CU40,AP$57),"")))))))</f>
        <v/>
      </c>
      <c r="AQ40" s="72">
        <f>IF(AQ$59="X","",IF(AQ$59&lt;&gt;"",AQ$59,IF(IFERROR(INDEX(醫師週班表!$C$5:$T$44,$CU40,AQ$57),"")=0,"",IF(MID(IFERROR(INDEX(醫師週班表!$C$5:$T$44,$CU40,AQ$57),""),2,1)="/",MID(IFERROR(INDEX(醫師週班表!$C$5:$T$44,$CU40,AQ$57),""),1+AQ$58*2,1),IF(MID(IFERROR(INDEX(醫師週班表!$C$5:$T$44,$CU40,AQ$57),""),3,1)="隔",IF(AQ$58=0,LEFT(IFERROR(INDEX(醫師週班表!$C$5:$T$44,$CU40,AQ$57),""),1),""),IF(MID(IFERROR(INDEX(醫師週班表!$C$5:$T$44,$CU40,AQ$57),""),2,1)="(",LEFT(IFERROR(INDEX(醫師週班表!$C$5:$T$44,$CU40,AQ$57),""),1),IFERROR(INDEX(醫師週班表!$C$5:$T$44,$CU40,AQ$57),"")))))))</f>
        <v/>
      </c>
      <c r="AR40" s="71">
        <f>IF(AR$59="X","",IF(AR$59&lt;&gt;"",AR$59,IF(IFERROR(INDEX(醫師週班表!$C$5:$T$44,$CU40,AR$57),"")=0,"",IF(MID(IFERROR(INDEX(醫師週班表!$C$5:$T$44,$CU40,AR$57),""),2,1)="/",MID(IFERROR(INDEX(醫師週班表!$C$5:$T$44,$CU40,AR$57),""),1+AR$58*2,1),IF(MID(IFERROR(INDEX(醫師週班表!$C$5:$T$44,$CU40,AR$57),""),3,1)="隔",IF(AR$58=0,LEFT(IFERROR(INDEX(醫師週班表!$C$5:$T$44,$CU40,AR$57),""),1),""),IF(MID(IFERROR(INDEX(醫師週班表!$C$5:$T$44,$CU40,AR$57),""),2,1)="(",LEFT(IFERROR(INDEX(醫師週班表!$C$5:$T$44,$CU40,AR$57),""),1),IFERROR(INDEX(醫師週班表!$C$5:$T$44,$CU40,AR$57),"")))))))</f>
        <v/>
      </c>
      <c r="AS40" s="72">
        <f>IF(AS$59="X","",IF(AS$59&lt;&gt;"",AS$59,IF(IFERROR(INDEX(醫師週班表!$C$5:$T$44,$CU40,AS$57),"")=0,"",IF(MID(IFERROR(INDEX(醫師週班表!$C$5:$T$44,$CU40,AS$57),""),2,1)="/",MID(IFERROR(INDEX(醫師週班表!$C$5:$T$44,$CU40,AS$57),""),1+AS$58*2,1),IF(MID(IFERROR(INDEX(醫師週班表!$C$5:$T$44,$CU40,AS$57),""),3,1)="隔",IF(AS$58=0,LEFT(IFERROR(INDEX(醫師週班表!$C$5:$T$44,$CU40,AS$57),""),1),""),IF(MID(IFERROR(INDEX(醫師週班表!$C$5:$T$44,$CU40,AS$57),""),2,1)="(",LEFT(IFERROR(INDEX(醫師週班表!$C$5:$T$44,$CU40,AS$57),""),1),IFERROR(INDEX(醫師週班表!$C$5:$T$44,$CU40,AS$57),"")))))))</f>
        <v/>
      </c>
      <c r="AT40" s="72">
        <f>IF(AT$59="X","",IF(AT$59&lt;&gt;"",AT$59,IF(IFERROR(INDEX(醫師週班表!$C$5:$T$44,$CU40,AT$57),"")=0,"",IF(MID(IFERROR(INDEX(醫師週班表!$C$5:$T$44,$CU40,AT$57),""),2,1)="/",MID(IFERROR(INDEX(醫師週班表!$C$5:$T$44,$CU40,AT$57),""),1+AT$58*2,1),IF(MID(IFERROR(INDEX(醫師週班表!$C$5:$T$44,$CU40,AT$57),""),3,1)="隔",IF(AT$58=0,LEFT(IFERROR(INDEX(醫師週班表!$C$5:$T$44,$CU40,AT$57),""),1),""),IF(MID(IFERROR(INDEX(醫師週班表!$C$5:$T$44,$CU40,AT$57),""),2,1)="(",LEFT(IFERROR(INDEX(醫師週班表!$C$5:$T$44,$CU40,AT$57),""),1),IFERROR(INDEX(醫師週班表!$C$5:$T$44,$CU40,AT$57),"")))))))</f>
        <v/>
      </c>
      <c r="AU40" s="71">
        <f>IF(AU$59="X","",IF(AU$59&lt;&gt;"",AU$59,IF(IFERROR(INDEX(醫師週班表!$C$5:$T$44,$CU40,AU$57),"")=0,"",IF(MID(IFERROR(INDEX(醫師週班表!$C$5:$T$44,$CU40,AU$57),""),2,1)="/",MID(IFERROR(INDEX(醫師週班表!$C$5:$T$44,$CU40,AU$57),""),1+AU$58*2,1),IF(MID(IFERROR(INDEX(醫師週班表!$C$5:$T$44,$CU40,AU$57),""),3,1)="隔",IF(AU$58=0,LEFT(IFERROR(INDEX(醫師週班表!$C$5:$T$44,$CU40,AU$57),""),1),""),IF(MID(IFERROR(INDEX(醫師週班表!$C$5:$T$44,$CU40,AU$57),""),2,1)="(",LEFT(IFERROR(INDEX(醫師週班表!$C$5:$T$44,$CU40,AU$57),""),1),IFERROR(INDEX(醫師週班表!$C$5:$T$44,$CU40,AU$57),"")))))))</f>
        <v/>
      </c>
      <c r="AV40" s="72">
        <f>IF(AV$59="X","",IF(AV$59&lt;&gt;"",AV$59,IF(IFERROR(INDEX(醫師週班表!$C$5:$T$44,$CU40,AV$57),"")=0,"",IF(MID(IFERROR(INDEX(醫師週班表!$C$5:$T$44,$CU40,AV$57),""),2,1)="/",MID(IFERROR(INDEX(醫師週班表!$C$5:$T$44,$CU40,AV$57),""),1+AV$58*2,1),IF(MID(IFERROR(INDEX(醫師週班表!$C$5:$T$44,$CU40,AV$57),""),3,1)="隔",IF(AV$58=0,LEFT(IFERROR(INDEX(醫師週班表!$C$5:$T$44,$CU40,AV$57),""),1),""),IF(MID(IFERROR(INDEX(醫師週班表!$C$5:$T$44,$CU40,AV$57),""),2,1)="(",LEFT(IFERROR(INDEX(醫師週班表!$C$5:$T$44,$CU40,AV$57),""),1),IFERROR(INDEX(醫師週班表!$C$5:$T$44,$CU40,AV$57),"")))))))</f>
        <v/>
      </c>
      <c r="AW40" s="72">
        <f>IF(AW$59="X","",IF(AW$59&lt;&gt;"",AW$59,IF(IFERROR(INDEX(醫師週班表!$C$5:$T$44,$CU40,AW$57),"")=0,"",IF(MID(IFERROR(INDEX(醫師週班表!$C$5:$T$44,$CU40,AW$57),""),2,1)="/",MID(IFERROR(INDEX(醫師週班表!$C$5:$T$44,$CU40,AW$57),""),1+AW$58*2,1),IF(MID(IFERROR(INDEX(醫師週班表!$C$5:$T$44,$CU40,AW$57),""),3,1)="隔",IF(AW$58=0,LEFT(IFERROR(INDEX(醫師週班表!$C$5:$T$44,$CU40,AW$57),""),1),""),IF(MID(IFERROR(INDEX(醫師週班表!$C$5:$T$44,$CU40,AW$57),""),2,1)="(",LEFT(IFERROR(INDEX(醫師週班表!$C$5:$T$44,$CU40,AW$57),""),1),IFERROR(INDEX(醫師週班表!$C$5:$T$44,$CU40,AW$57),"")))))))</f>
        <v/>
      </c>
      <c r="AX40" s="71">
        <f>IF(AX$59="X","",IF(AX$59&lt;&gt;"",AX$59,IF(IFERROR(INDEX(醫師週班表!$C$5:$T$44,$CU40,AX$57),"")=0,"",IF(MID(IFERROR(INDEX(醫師週班表!$C$5:$T$44,$CU40,AX$57),""),2,1)="/",MID(IFERROR(INDEX(醫師週班表!$C$5:$T$44,$CU40,AX$57),""),1+AX$58*2,1),IF(MID(IFERROR(INDEX(醫師週班表!$C$5:$T$44,$CU40,AX$57),""),3,1)="隔",IF(AX$58=0,LEFT(IFERROR(INDEX(醫師週班表!$C$5:$T$44,$CU40,AX$57),""),1),""),IF(MID(IFERROR(INDEX(醫師週班表!$C$5:$T$44,$CU40,AX$57),""),2,1)="(",LEFT(IFERROR(INDEX(醫師週班表!$C$5:$T$44,$CU40,AX$57),""),1),IFERROR(INDEX(醫師週班表!$C$5:$T$44,$CU40,AX$57),"")))))))</f>
        <v/>
      </c>
      <c r="AY40" s="72">
        <f>IF(AY$59="X","",IF(AY$59&lt;&gt;"",AY$59,IF(IFERROR(INDEX(醫師週班表!$C$5:$T$44,$CU40,AY$57),"")=0,"",IF(MID(IFERROR(INDEX(醫師週班表!$C$5:$T$44,$CU40,AY$57),""),2,1)="/",MID(IFERROR(INDEX(醫師週班表!$C$5:$T$44,$CU40,AY$57),""),1+AY$58*2,1),IF(MID(IFERROR(INDEX(醫師週班表!$C$5:$T$44,$CU40,AY$57),""),3,1)="隔",IF(AY$58=0,LEFT(IFERROR(INDEX(醫師週班表!$C$5:$T$44,$CU40,AY$57),""),1),""),IF(MID(IFERROR(INDEX(醫師週班表!$C$5:$T$44,$CU40,AY$57),""),2,1)="(",LEFT(IFERROR(INDEX(醫師週班表!$C$5:$T$44,$CU40,AY$57),""),1),IFERROR(INDEX(醫師週班表!$C$5:$T$44,$CU40,AY$57),"")))))))</f>
        <v/>
      </c>
      <c r="AZ40" s="72">
        <f>IF(AZ$59="X","",IF(AZ$59&lt;&gt;"",AZ$59,IF(IFERROR(INDEX(醫師週班表!$C$5:$T$44,$CU40,AZ$57),"")=0,"",IF(MID(IFERROR(INDEX(醫師週班表!$C$5:$T$44,$CU40,AZ$57),""),2,1)="/",MID(IFERROR(INDEX(醫師週班表!$C$5:$T$44,$CU40,AZ$57),""),1+AZ$58*2,1),IF(MID(IFERROR(INDEX(醫師週班表!$C$5:$T$44,$CU40,AZ$57),""),3,1)="隔",IF(AZ$58=0,LEFT(IFERROR(INDEX(醫師週班表!$C$5:$T$44,$CU40,AZ$57),""),1),""),IF(MID(IFERROR(INDEX(醫師週班表!$C$5:$T$44,$CU40,AZ$57),""),2,1)="(",LEFT(IFERROR(INDEX(醫師週班表!$C$5:$T$44,$CU40,AZ$57),""),1),IFERROR(INDEX(醫師週班表!$C$5:$T$44,$CU40,AZ$57),"")))))))</f>
        <v/>
      </c>
      <c r="BA40" s="71">
        <f>IF(BA$59="X","",IF(BA$59&lt;&gt;"",BA$59,IF(IFERROR(INDEX(醫師週班表!$C$5:$T$44,$CU40,BA$57),"")=0,"",IF(MID(IFERROR(INDEX(醫師週班表!$C$5:$T$44,$CU40,BA$57),""),2,1)="/",MID(IFERROR(INDEX(醫師週班表!$C$5:$T$44,$CU40,BA$57),""),1+BA$58*2,1),IF(MID(IFERROR(INDEX(醫師週班表!$C$5:$T$44,$CU40,BA$57),""),3,1)="隔",IF(BA$58=0,LEFT(IFERROR(INDEX(醫師週班表!$C$5:$T$44,$CU40,BA$57),""),1),""),IF(MID(IFERROR(INDEX(醫師週班表!$C$5:$T$44,$CU40,BA$57),""),2,1)="(",LEFT(IFERROR(INDEX(醫師週班表!$C$5:$T$44,$CU40,BA$57),""),1),IFERROR(INDEX(醫師週班表!$C$5:$T$44,$CU40,BA$57),"")))))))</f>
        <v/>
      </c>
      <c r="BB40" s="72">
        <f>IF(BB$59="X","",IF(BB$59&lt;&gt;"",BB$59,IF(IFERROR(INDEX(醫師週班表!$C$5:$T$44,$CU40,BB$57),"")=0,"",IF(MID(IFERROR(INDEX(醫師週班表!$C$5:$T$44,$CU40,BB$57),""),2,1)="/",MID(IFERROR(INDEX(醫師週班表!$C$5:$T$44,$CU40,BB$57),""),1+BB$58*2,1),IF(MID(IFERROR(INDEX(醫師週班表!$C$5:$T$44,$CU40,BB$57),""),3,1)="隔",IF(BB$58=0,LEFT(IFERROR(INDEX(醫師週班表!$C$5:$T$44,$CU40,BB$57),""),1),""),IF(MID(IFERROR(INDEX(醫師週班表!$C$5:$T$44,$CU40,BB$57),""),2,1)="(",LEFT(IFERROR(INDEX(醫師週班表!$C$5:$T$44,$CU40,BB$57),""),1),IFERROR(INDEX(醫師週班表!$C$5:$T$44,$CU40,BB$57),"")))))))</f>
        <v/>
      </c>
      <c r="BC40" s="72">
        <f>IF(BC$59="X","",IF(BC$59&lt;&gt;"",BC$59,IF(IFERROR(INDEX(醫師週班表!$C$5:$T$44,$CU40,BC$57),"")=0,"",IF(MID(IFERROR(INDEX(醫師週班表!$C$5:$T$44,$CU40,BC$57),""),2,1)="/",MID(IFERROR(INDEX(醫師週班表!$C$5:$T$44,$CU40,BC$57),""),1+BC$58*2,1),IF(MID(IFERROR(INDEX(醫師週班表!$C$5:$T$44,$CU40,BC$57),""),3,1)="隔",IF(BC$58=0,LEFT(IFERROR(INDEX(醫師週班表!$C$5:$T$44,$CU40,BC$57),""),1),""),IF(MID(IFERROR(INDEX(醫師週班表!$C$5:$T$44,$CU40,BC$57),""),2,1)="(",LEFT(IFERROR(INDEX(醫師週班表!$C$5:$T$44,$CU40,BC$57),""),1),IFERROR(INDEX(醫師週班表!$C$5:$T$44,$CU40,BC$57),"")))))))</f>
        <v/>
      </c>
      <c r="BD40" s="71">
        <f>IF(BD$59="X","",IF(BD$59&lt;&gt;"",BD$59,IF(IFERROR(INDEX(醫師週班表!$C$5:$T$44,$CU40,BD$57),"")=0,"",IF(MID(IFERROR(INDEX(醫師週班表!$C$5:$T$44,$CU40,BD$57),""),2,1)="/",MID(IFERROR(INDEX(醫師週班表!$C$5:$T$44,$CU40,BD$57),""),1+BD$58*2,1),IF(MID(IFERROR(INDEX(醫師週班表!$C$5:$T$44,$CU40,BD$57),""),3,1)="隔",IF(BD$58=0,LEFT(IFERROR(INDEX(醫師週班表!$C$5:$T$44,$CU40,BD$57),""),1),""),IF(MID(IFERROR(INDEX(醫師週班表!$C$5:$T$44,$CU40,BD$57),""),2,1)="(",LEFT(IFERROR(INDEX(醫師週班表!$C$5:$T$44,$CU40,BD$57),""),1),IFERROR(INDEX(醫師週班表!$C$5:$T$44,$CU40,BD$57),"")))))))</f>
        <v/>
      </c>
      <c r="BE40" s="72">
        <f>IF(BE$59="X","",IF(BE$59&lt;&gt;"",BE$59,IF(IFERROR(INDEX(醫師週班表!$C$5:$T$44,$CU40,BE$57),"")=0,"",IF(MID(IFERROR(INDEX(醫師週班表!$C$5:$T$44,$CU40,BE$57),""),2,1)="/",MID(IFERROR(INDEX(醫師週班表!$C$5:$T$44,$CU40,BE$57),""),1+BE$58*2,1),IF(MID(IFERROR(INDEX(醫師週班表!$C$5:$T$44,$CU40,BE$57),""),3,1)="隔",IF(BE$58=0,LEFT(IFERROR(INDEX(醫師週班表!$C$5:$T$44,$CU40,BE$57),""),1),""),IF(MID(IFERROR(INDEX(醫師週班表!$C$5:$T$44,$CU40,BE$57),""),2,1)="(",LEFT(IFERROR(INDEX(醫師週班表!$C$5:$T$44,$CU40,BE$57),""),1),IFERROR(INDEX(醫師週班表!$C$5:$T$44,$CU40,BE$57),"")))))))</f>
        <v/>
      </c>
      <c r="BF40" s="72">
        <f>IF(BF$59="X","",IF(BF$59&lt;&gt;"",BF$59,IF(IFERROR(INDEX(醫師週班表!$C$5:$T$44,$CU40,BF$57),"")=0,"",IF(MID(IFERROR(INDEX(醫師週班表!$C$5:$T$44,$CU40,BF$57),""),2,1)="/",MID(IFERROR(INDEX(醫師週班表!$C$5:$T$44,$CU40,BF$57),""),1+BF$58*2,1),IF(MID(IFERROR(INDEX(醫師週班表!$C$5:$T$44,$CU40,BF$57),""),3,1)="隔",IF(BF$58=0,LEFT(IFERROR(INDEX(醫師週班表!$C$5:$T$44,$CU40,BF$57),""),1),""),IF(MID(IFERROR(INDEX(醫師週班表!$C$5:$T$44,$CU40,BF$57),""),2,1)="(",LEFT(IFERROR(INDEX(醫師週班表!$C$5:$T$44,$CU40,BF$57),""),1),IFERROR(INDEX(醫師週班表!$C$5:$T$44,$CU40,BF$57),"")))))))</f>
        <v/>
      </c>
      <c r="BG40" s="71">
        <f>IF(BG$59="X","",IF(BG$59&lt;&gt;"",BG$59,IF(IFERROR(INDEX(醫師週班表!$C$5:$T$44,$CU40,BG$57),"")=0,"",IF(MID(IFERROR(INDEX(醫師週班表!$C$5:$T$44,$CU40,BG$57),""),2,1)="/",MID(IFERROR(INDEX(醫師週班表!$C$5:$T$44,$CU40,BG$57),""),1+BG$58*2,1),IF(MID(IFERROR(INDEX(醫師週班表!$C$5:$T$44,$CU40,BG$57),""),3,1)="隔",IF(BG$58=0,LEFT(IFERROR(INDEX(醫師週班表!$C$5:$T$44,$CU40,BG$57),""),1),""),IF(MID(IFERROR(INDEX(醫師週班表!$C$5:$T$44,$CU40,BG$57),""),2,1)="(",LEFT(IFERROR(INDEX(醫師週班表!$C$5:$T$44,$CU40,BG$57),""),1),IFERROR(INDEX(醫師週班表!$C$5:$T$44,$CU40,BG$57),"")))))))</f>
        <v/>
      </c>
      <c r="BH40" s="72">
        <f>IF(BH$59="X","",IF(BH$59&lt;&gt;"",BH$59,IF(IFERROR(INDEX(醫師週班表!$C$5:$T$44,$CU40,BH$57),"")=0,"",IF(MID(IFERROR(INDEX(醫師週班表!$C$5:$T$44,$CU40,BH$57),""),2,1)="/",MID(IFERROR(INDEX(醫師週班表!$C$5:$T$44,$CU40,BH$57),""),1+BH$58*2,1),IF(MID(IFERROR(INDEX(醫師週班表!$C$5:$T$44,$CU40,BH$57),""),3,1)="隔",IF(BH$58=0,LEFT(IFERROR(INDEX(醫師週班表!$C$5:$T$44,$CU40,BH$57),""),1),""),IF(MID(IFERROR(INDEX(醫師週班表!$C$5:$T$44,$CU40,BH$57),""),2,1)="(",LEFT(IFERROR(INDEX(醫師週班表!$C$5:$T$44,$CU40,BH$57),""),1),IFERROR(INDEX(醫師週班表!$C$5:$T$44,$CU40,BH$57),"")))))))</f>
        <v/>
      </c>
      <c r="BI40" s="72">
        <f>IF(BI$59="X","",IF(BI$59&lt;&gt;"",BI$59,IF(IFERROR(INDEX(醫師週班表!$C$5:$T$44,$CU40,BI$57),"")=0,"",IF(MID(IFERROR(INDEX(醫師週班表!$C$5:$T$44,$CU40,BI$57),""),2,1)="/",MID(IFERROR(INDEX(醫師週班表!$C$5:$T$44,$CU40,BI$57),""),1+BI$58*2,1),IF(MID(IFERROR(INDEX(醫師週班表!$C$5:$T$44,$CU40,BI$57),""),3,1)="隔",IF(BI$58=0,LEFT(IFERROR(INDEX(醫師週班表!$C$5:$T$44,$CU40,BI$57),""),1),""),IF(MID(IFERROR(INDEX(醫師週班表!$C$5:$T$44,$CU40,BI$57),""),2,1)="(",LEFT(IFERROR(INDEX(醫師週班表!$C$5:$T$44,$CU40,BI$57),""),1),IFERROR(INDEX(醫師週班表!$C$5:$T$44,$CU40,BI$57),"")))))))</f>
        <v/>
      </c>
      <c r="BJ40" s="71">
        <f>IF(BJ$59="X","",IF(BJ$59&lt;&gt;"",BJ$59,IF(IFERROR(INDEX(醫師週班表!$C$5:$T$44,$CU40,BJ$57),"")=0,"",IF(MID(IFERROR(INDEX(醫師週班表!$C$5:$T$44,$CU40,BJ$57),""),2,1)="/",MID(IFERROR(INDEX(醫師週班表!$C$5:$T$44,$CU40,BJ$57),""),1+BJ$58*2,1),IF(MID(IFERROR(INDEX(醫師週班表!$C$5:$T$44,$CU40,BJ$57),""),3,1)="隔",IF(BJ$58=0,LEFT(IFERROR(INDEX(醫師週班表!$C$5:$T$44,$CU40,BJ$57),""),1),""),IF(MID(IFERROR(INDEX(醫師週班表!$C$5:$T$44,$CU40,BJ$57),""),2,1)="(",LEFT(IFERROR(INDEX(醫師週班表!$C$5:$T$44,$CU40,BJ$57),""),1),IFERROR(INDEX(醫師週班表!$C$5:$T$44,$CU40,BJ$57),"")))))))</f>
        <v/>
      </c>
      <c r="BK40" s="72">
        <f>IF(BK$59="X","",IF(BK$59&lt;&gt;"",BK$59,IF(IFERROR(INDEX(醫師週班表!$C$5:$T$44,$CU40,BK$57),"")=0,"",IF(MID(IFERROR(INDEX(醫師週班表!$C$5:$T$44,$CU40,BK$57),""),2,1)="/",MID(IFERROR(INDEX(醫師週班表!$C$5:$T$44,$CU40,BK$57),""),1+BK$58*2,1),IF(MID(IFERROR(INDEX(醫師週班表!$C$5:$T$44,$CU40,BK$57),""),3,1)="隔",IF(BK$58=0,LEFT(IFERROR(INDEX(醫師週班表!$C$5:$T$44,$CU40,BK$57),""),1),""),IF(MID(IFERROR(INDEX(醫師週班表!$C$5:$T$44,$CU40,BK$57),""),2,1)="(",LEFT(IFERROR(INDEX(醫師週班表!$C$5:$T$44,$CU40,BK$57),""),1),IFERROR(INDEX(醫師週班表!$C$5:$T$44,$CU40,BK$57),"")))))))</f>
        <v/>
      </c>
      <c r="BL40" s="72">
        <f>IF(BL$59="X","",IF(BL$59&lt;&gt;"",BL$59,IF(IFERROR(INDEX(醫師週班表!$C$5:$T$44,$CU40,BL$57),"")=0,"",IF(MID(IFERROR(INDEX(醫師週班表!$C$5:$T$44,$CU40,BL$57),""),2,1)="/",MID(IFERROR(INDEX(醫師週班表!$C$5:$T$44,$CU40,BL$57),""),1+BL$58*2,1),IF(MID(IFERROR(INDEX(醫師週班表!$C$5:$T$44,$CU40,BL$57),""),3,1)="隔",IF(BL$58=0,LEFT(IFERROR(INDEX(醫師週班表!$C$5:$T$44,$CU40,BL$57),""),1),""),IF(MID(IFERROR(INDEX(醫師週班表!$C$5:$T$44,$CU40,BL$57),""),2,1)="(",LEFT(IFERROR(INDEX(醫師週班表!$C$5:$T$44,$CU40,BL$57),""),1),IFERROR(INDEX(醫師週班表!$C$5:$T$44,$CU40,BL$57),"")))))))</f>
        <v/>
      </c>
      <c r="BM40" s="71">
        <f>IF(BM$59="X","",IF(BM$59&lt;&gt;"",BM$59,IF(IFERROR(INDEX(醫師週班表!$C$5:$T$44,$CU40,BM$57),"")=0,"",IF(MID(IFERROR(INDEX(醫師週班表!$C$5:$T$44,$CU40,BM$57),""),2,1)="/",MID(IFERROR(INDEX(醫師週班表!$C$5:$T$44,$CU40,BM$57),""),1+BM$58*2,1),IF(MID(IFERROR(INDEX(醫師週班表!$C$5:$T$44,$CU40,BM$57),""),3,1)="隔",IF(BM$58=0,LEFT(IFERROR(INDEX(醫師週班表!$C$5:$T$44,$CU40,BM$57),""),1),""),IF(MID(IFERROR(INDEX(醫師週班表!$C$5:$T$44,$CU40,BM$57),""),2,1)="(",LEFT(IFERROR(INDEX(醫師週班表!$C$5:$T$44,$CU40,BM$57),""),1),IFERROR(INDEX(醫師週班表!$C$5:$T$44,$CU40,BM$57),"")))))))</f>
        <v/>
      </c>
      <c r="BN40" s="72">
        <f>IF(BN$59="X","",IF(BN$59&lt;&gt;"",BN$59,IF(IFERROR(INDEX(醫師週班表!$C$5:$T$44,$CU40,BN$57),"")=0,"",IF(MID(IFERROR(INDEX(醫師週班表!$C$5:$T$44,$CU40,BN$57),""),2,1)="/",MID(IFERROR(INDEX(醫師週班表!$C$5:$T$44,$CU40,BN$57),""),1+BN$58*2,1),IF(MID(IFERROR(INDEX(醫師週班表!$C$5:$T$44,$CU40,BN$57),""),3,1)="隔",IF(BN$58=0,LEFT(IFERROR(INDEX(醫師週班表!$C$5:$T$44,$CU40,BN$57),""),1),""),IF(MID(IFERROR(INDEX(醫師週班表!$C$5:$T$44,$CU40,BN$57),""),2,1)="(",LEFT(IFERROR(INDEX(醫師週班表!$C$5:$T$44,$CU40,BN$57),""),1),IFERROR(INDEX(醫師週班表!$C$5:$T$44,$CU40,BN$57),"")))))))</f>
        <v/>
      </c>
      <c r="BO40" s="72">
        <f>IF(BO$59="X","",IF(BO$59&lt;&gt;"",BO$59,IF(IFERROR(INDEX(醫師週班表!$C$5:$T$44,$CU40,BO$57),"")=0,"",IF(MID(IFERROR(INDEX(醫師週班表!$C$5:$T$44,$CU40,BO$57),""),2,1)="/",MID(IFERROR(INDEX(醫師週班表!$C$5:$T$44,$CU40,BO$57),""),1+BO$58*2,1),IF(MID(IFERROR(INDEX(醫師週班表!$C$5:$T$44,$CU40,BO$57),""),3,1)="隔",IF(BO$58=0,LEFT(IFERROR(INDEX(醫師週班表!$C$5:$T$44,$CU40,BO$57),""),1),""),IF(MID(IFERROR(INDEX(醫師週班表!$C$5:$T$44,$CU40,BO$57),""),2,1)="(",LEFT(IFERROR(INDEX(醫師週班表!$C$5:$T$44,$CU40,BO$57),""),1),IFERROR(INDEX(醫師週班表!$C$5:$T$44,$CU40,BO$57),"")))))))</f>
        <v/>
      </c>
      <c r="BP40" s="71">
        <f>IF(BP$59="X","",IF(BP$59&lt;&gt;"",BP$59,IF(IFERROR(INDEX(醫師週班表!$C$5:$T$44,$CU40,BP$57),"")=0,"",IF(MID(IFERROR(INDEX(醫師週班表!$C$5:$T$44,$CU40,BP$57),""),2,1)="/",MID(IFERROR(INDEX(醫師週班表!$C$5:$T$44,$CU40,BP$57),""),1+BP$58*2,1),IF(MID(IFERROR(INDEX(醫師週班表!$C$5:$T$44,$CU40,BP$57),""),3,1)="隔",IF(BP$58=0,LEFT(IFERROR(INDEX(醫師週班表!$C$5:$T$44,$CU40,BP$57),""),1),""),IF(MID(IFERROR(INDEX(醫師週班表!$C$5:$T$44,$CU40,BP$57),""),2,1)="(",LEFT(IFERROR(INDEX(醫師週班表!$C$5:$T$44,$CU40,BP$57),""),1),IFERROR(INDEX(醫師週班表!$C$5:$T$44,$CU40,BP$57),"")))))))</f>
        <v/>
      </c>
      <c r="BQ40" s="72">
        <f>IF(BQ$59="X","",IF(BQ$59&lt;&gt;"",BQ$59,IF(IFERROR(INDEX(醫師週班表!$C$5:$T$44,$CU40,BQ$57),"")=0,"",IF(MID(IFERROR(INDEX(醫師週班表!$C$5:$T$44,$CU40,BQ$57),""),2,1)="/",MID(IFERROR(INDEX(醫師週班表!$C$5:$T$44,$CU40,BQ$57),""),1+BQ$58*2,1),IF(MID(IFERROR(INDEX(醫師週班表!$C$5:$T$44,$CU40,BQ$57),""),3,1)="隔",IF(BQ$58=0,LEFT(IFERROR(INDEX(醫師週班表!$C$5:$T$44,$CU40,BQ$57),""),1),""),IF(MID(IFERROR(INDEX(醫師週班表!$C$5:$T$44,$CU40,BQ$57),""),2,1)="(",LEFT(IFERROR(INDEX(醫師週班表!$C$5:$T$44,$CU40,BQ$57),""),1),IFERROR(INDEX(醫師週班表!$C$5:$T$44,$CU40,BQ$57),"")))))))</f>
        <v/>
      </c>
      <c r="BR40" s="72">
        <f>IF(BR$59="X","",IF(BR$59&lt;&gt;"",BR$59,IF(IFERROR(INDEX(醫師週班表!$C$5:$T$44,$CU40,BR$57),"")=0,"",IF(MID(IFERROR(INDEX(醫師週班表!$C$5:$T$44,$CU40,BR$57),""),2,1)="/",MID(IFERROR(INDEX(醫師週班表!$C$5:$T$44,$CU40,BR$57),""),1+BR$58*2,1),IF(MID(IFERROR(INDEX(醫師週班表!$C$5:$T$44,$CU40,BR$57),""),3,1)="隔",IF(BR$58=0,LEFT(IFERROR(INDEX(醫師週班表!$C$5:$T$44,$CU40,BR$57),""),1),""),IF(MID(IFERROR(INDEX(醫師週班表!$C$5:$T$44,$CU40,BR$57),""),2,1)="(",LEFT(IFERROR(INDEX(醫師週班表!$C$5:$T$44,$CU40,BR$57),""),1),IFERROR(INDEX(醫師週班表!$C$5:$T$44,$CU40,BR$57),"")))))))</f>
        <v/>
      </c>
      <c r="BS40" s="71">
        <f>IF(BS$59="X","",IF(BS$59&lt;&gt;"",BS$59,IF(IFERROR(INDEX(醫師週班表!$C$5:$T$44,$CU40,BS$57),"")=0,"",IF(MID(IFERROR(INDEX(醫師週班表!$C$5:$T$44,$CU40,BS$57),""),2,1)="/",MID(IFERROR(INDEX(醫師週班表!$C$5:$T$44,$CU40,BS$57),""),1+BS$58*2,1),IF(MID(IFERROR(INDEX(醫師週班表!$C$5:$T$44,$CU40,BS$57),""),3,1)="隔",IF(BS$58=0,LEFT(IFERROR(INDEX(醫師週班表!$C$5:$T$44,$CU40,BS$57),""),1),""),IF(MID(IFERROR(INDEX(醫師週班表!$C$5:$T$44,$CU40,BS$57),""),2,1)="(",LEFT(IFERROR(INDEX(醫師週班表!$C$5:$T$44,$CU40,BS$57),""),1),IFERROR(INDEX(醫師週班表!$C$5:$T$44,$CU40,BS$57),"")))))))</f>
        <v/>
      </c>
      <c r="BT40" s="72">
        <f>IF(BT$59="X","",IF(BT$59&lt;&gt;"",BT$59,IF(IFERROR(INDEX(醫師週班表!$C$5:$T$44,$CU40,BT$57),"")=0,"",IF(MID(IFERROR(INDEX(醫師週班表!$C$5:$T$44,$CU40,BT$57),""),2,1)="/",MID(IFERROR(INDEX(醫師週班表!$C$5:$T$44,$CU40,BT$57),""),1+BT$58*2,1),IF(MID(IFERROR(INDEX(醫師週班表!$C$5:$T$44,$CU40,BT$57),""),3,1)="隔",IF(BT$58=0,LEFT(IFERROR(INDEX(醫師週班表!$C$5:$T$44,$CU40,BT$57),""),1),""),IF(MID(IFERROR(INDEX(醫師週班表!$C$5:$T$44,$CU40,BT$57),""),2,1)="(",LEFT(IFERROR(INDEX(醫師週班表!$C$5:$T$44,$CU40,BT$57),""),1),IFERROR(INDEX(醫師週班表!$C$5:$T$44,$CU40,BT$57),"")))))))</f>
        <v/>
      </c>
      <c r="BU40" s="72">
        <f>IF(BU$59="X","",IF(BU$59&lt;&gt;"",BU$59,IF(IFERROR(INDEX(醫師週班表!$C$5:$T$44,$CU40,BU$57),"")=0,"",IF(MID(IFERROR(INDEX(醫師週班表!$C$5:$T$44,$CU40,BU$57),""),2,1)="/",MID(IFERROR(INDEX(醫師週班表!$C$5:$T$44,$CU40,BU$57),""),1+BU$58*2,1),IF(MID(IFERROR(INDEX(醫師週班表!$C$5:$T$44,$CU40,BU$57),""),3,1)="隔",IF(BU$58=0,LEFT(IFERROR(INDEX(醫師週班表!$C$5:$T$44,$CU40,BU$57),""),1),""),IF(MID(IFERROR(INDEX(醫師週班表!$C$5:$T$44,$CU40,BU$57),""),2,1)="(",LEFT(IFERROR(INDEX(醫師週班表!$C$5:$T$44,$CU40,BU$57),""),1),IFERROR(INDEX(醫師週班表!$C$5:$T$44,$CU40,BU$57),"")))))))</f>
        <v/>
      </c>
      <c r="BV40" s="71">
        <f>IF(BV$59="X","",IF(BV$59&lt;&gt;"",BV$59,IF(IFERROR(INDEX(醫師週班表!$C$5:$T$44,$CU40,BV$57),"")=0,"",IF(MID(IFERROR(INDEX(醫師週班表!$C$5:$T$44,$CU40,BV$57),""),2,1)="/",MID(IFERROR(INDEX(醫師週班表!$C$5:$T$44,$CU40,BV$57),""),1+BV$58*2,1),IF(MID(IFERROR(INDEX(醫師週班表!$C$5:$T$44,$CU40,BV$57),""),3,1)="隔",IF(BV$58=0,LEFT(IFERROR(INDEX(醫師週班表!$C$5:$T$44,$CU40,BV$57),""),1),""),IF(MID(IFERROR(INDEX(醫師週班表!$C$5:$T$44,$CU40,BV$57),""),2,1)="(",LEFT(IFERROR(INDEX(醫師週班表!$C$5:$T$44,$CU40,BV$57),""),1),IFERROR(INDEX(醫師週班表!$C$5:$T$44,$CU40,BV$57),"")))))))</f>
        <v/>
      </c>
      <c r="BW40" s="72">
        <f>IF(BW$59="X","",IF(BW$59&lt;&gt;"",BW$59,IF(IFERROR(INDEX(醫師週班表!$C$5:$T$44,$CU40,BW$57),"")=0,"",IF(MID(IFERROR(INDEX(醫師週班表!$C$5:$T$44,$CU40,BW$57),""),2,1)="/",MID(IFERROR(INDEX(醫師週班表!$C$5:$T$44,$CU40,BW$57),""),1+BW$58*2,1),IF(MID(IFERROR(INDEX(醫師週班表!$C$5:$T$44,$CU40,BW$57),""),3,1)="隔",IF(BW$58=0,LEFT(IFERROR(INDEX(醫師週班表!$C$5:$T$44,$CU40,BW$57),""),1),""),IF(MID(IFERROR(INDEX(醫師週班表!$C$5:$T$44,$CU40,BW$57),""),2,1)="(",LEFT(IFERROR(INDEX(醫師週班表!$C$5:$T$44,$CU40,BW$57),""),1),IFERROR(INDEX(醫師週班表!$C$5:$T$44,$CU40,BW$57),"")))))))</f>
        <v/>
      </c>
      <c r="BX40" s="72">
        <f>IF(BX$59="X","",IF(BX$59&lt;&gt;"",BX$59,IF(IFERROR(INDEX(醫師週班表!$C$5:$T$44,$CU40,BX$57),"")=0,"",IF(MID(IFERROR(INDEX(醫師週班表!$C$5:$T$44,$CU40,BX$57),""),2,1)="/",MID(IFERROR(INDEX(醫師週班表!$C$5:$T$44,$CU40,BX$57),""),1+BX$58*2,1),IF(MID(IFERROR(INDEX(醫師週班表!$C$5:$T$44,$CU40,BX$57),""),3,1)="隔",IF(BX$58=0,LEFT(IFERROR(INDEX(醫師週班表!$C$5:$T$44,$CU40,BX$57),""),1),""),IF(MID(IFERROR(INDEX(醫師週班表!$C$5:$T$44,$CU40,BX$57),""),2,1)="(",LEFT(IFERROR(INDEX(醫師週班表!$C$5:$T$44,$CU40,BX$57),""),1),IFERROR(INDEX(醫師週班表!$C$5:$T$44,$CU40,BX$57),"")))))))</f>
        <v/>
      </c>
      <c r="BY40" s="71">
        <f>IF(BY$59="X","",IF(BY$59&lt;&gt;"",BY$59,IF(IFERROR(INDEX(醫師週班表!$C$5:$T$44,$CU40,BY$57),"")=0,"",IF(MID(IFERROR(INDEX(醫師週班表!$C$5:$T$44,$CU40,BY$57),""),2,1)="/",MID(IFERROR(INDEX(醫師週班表!$C$5:$T$44,$CU40,BY$57),""),1+BY$58*2,1),IF(MID(IFERROR(INDEX(醫師週班表!$C$5:$T$44,$CU40,BY$57),""),3,1)="隔",IF(BY$58=0,LEFT(IFERROR(INDEX(醫師週班表!$C$5:$T$44,$CU40,BY$57),""),1),""),IF(MID(IFERROR(INDEX(醫師週班表!$C$5:$T$44,$CU40,BY$57),""),2,1)="(",LEFT(IFERROR(INDEX(醫師週班表!$C$5:$T$44,$CU40,BY$57),""),1),IFERROR(INDEX(醫師週班表!$C$5:$T$44,$CU40,BY$57),"")))))))</f>
        <v/>
      </c>
      <c r="BZ40" s="72">
        <f>IF(BZ$59="X","",IF(BZ$59&lt;&gt;"",BZ$59,IF(IFERROR(INDEX(醫師週班表!$C$5:$T$44,$CU40,BZ$57),"")=0,"",IF(MID(IFERROR(INDEX(醫師週班表!$C$5:$T$44,$CU40,BZ$57),""),2,1)="/",MID(IFERROR(INDEX(醫師週班表!$C$5:$T$44,$CU40,BZ$57),""),1+BZ$58*2,1),IF(MID(IFERROR(INDEX(醫師週班表!$C$5:$T$44,$CU40,BZ$57),""),3,1)="隔",IF(BZ$58=0,LEFT(IFERROR(INDEX(醫師週班表!$C$5:$T$44,$CU40,BZ$57),""),1),""),IF(MID(IFERROR(INDEX(醫師週班表!$C$5:$T$44,$CU40,BZ$57),""),2,1)="(",LEFT(IFERROR(INDEX(醫師週班表!$C$5:$T$44,$CU40,BZ$57),""),1),IFERROR(INDEX(醫師週班表!$C$5:$T$44,$CU40,BZ$57),"")))))))</f>
        <v/>
      </c>
      <c r="CA40" s="72">
        <f>IF(CA$59="X","",IF(CA$59&lt;&gt;"",CA$59,IF(IFERROR(INDEX(醫師週班表!$C$5:$T$44,$CU40,CA$57),"")=0,"",IF(MID(IFERROR(INDEX(醫師週班表!$C$5:$T$44,$CU40,CA$57),""),2,1)="/",MID(IFERROR(INDEX(醫師週班表!$C$5:$T$44,$CU40,CA$57),""),1+CA$58*2,1),IF(MID(IFERROR(INDEX(醫師週班表!$C$5:$T$44,$CU40,CA$57),""),3,1)="隔",IF(CA$58=0,LEFT(IFERROR(INDEX(醫師週班表!$C$5:$T$44,$CU40,CA$57),""),1),""),IF(MID(IFERROR(INDEX(醫師週班表!$C$5:$T$44,$CU40,CA$57),""),2,1)="(",LEFT(IFERROR(INDEX(醫師週班表!$C$5:$T$44,$CU40,CA$57),""),1),IFERROR(INDEX(醫師週班表!$C$5:$T$44,$CU40,CA$57),"")))))))</f>
        <v/>
      </c>
      <c r="CB40" s="71">
        <f>IF(CB$59="X","",IF(CB$59&lt;&gt;"",CB$59,IF(IFERROR(INDEX(醫師週班表!$C$5:$T$44,$CU40,CB$57),"")=0,"",IF(MID(IFERROR(INDEX(醫師週班表!$C$5:$T$44,$CU40,CB$57),""),2,1)="/",MID(IFERROR(INDEX(醫師週班表!$C$5:$T$44,$CU40,CB$57),""),1+CB$58*2,1),IF(MID(IFERROR(INDEX(醫師週班表!$C$5:$T$44,$CU40,CB$57),""),3,1)="隔",IF(CB$58=0,LEFT(IFERROR(INDEX(醫師週班表!$C$5:$T$44,$CU40,CB$57),""),1),""),IF(MID(IFERROR(INDEX(醫師週班表!$C$5:$T$44,$CU40,CB$57),""),2,1)="(",LEFT(IFERROR(INDEX(醫師週班表!$C$5:$T$44,$CU40,CB$57),""),1),IFERROR(INDEX(醫師週班表!$C$5:$T$44,$CU40,CB$57),"")))))))</f>
        <v/>
      </c>
      <c r="CC40" s="72">
        <f>IF(CC$59="X","",IF(CC$59&lt;&gt;"",CC$59,IF(IFERROR(INDEX(醫師週班表!$C$5:$T$44,$CU40,CC$57),"")=0,"",IF(MID(IFERROR(INDEX(醫師週班表!$C$5:$T$44,$CU40,CC$57),""),2,1)="/",MID(IFERROR(INDEX(醫師週班表!$C$5:$T$44,$CU40,CC$57),""),1+CC$58*2,1),IF(MID(IFERROR(INDEX(醫師週班表!$C$5:$T$44,$CU40,CC$57),""),3,1)="隔",IF(CC$58=0,LEFT(IFERROR(INDEX(醫師週班表!$C$5:$T$44,$CU40,CC$57),""),1),""),IF(MID(IFERROR(INDEX(醫師週班表!$C$5:$T$44,$CU40,CC$57),""),2,1)="(",LEFT(IFERROR(INDEX(醫師週班表!$C$5:$T$44,$CU40,CC$57),""),1),IFERROR(INDEX(醫師週班表!$C$5:$T$44,$CU40,CC$57),"")))))))</f>
        <v/>
      </c>
      <c r="CD40" s="72">
        <f>IF(CD$59="X","",IF(CD$59&lt;&gt;"",CD$59,IF(IFERROR(INDEX(醫師週班表!$C$5:$T$44,$CU40,CD$57),"")=0,"",IF(MID(IFERROR(INDEX(醫師週班表!$C$5:$T$44,$CU40,CD$57),""),2,1)="/",MID(IFERROR(INDEX(醫師週班表!$C$5:$T$44,$CU40,CD$57),""),1+CD$58*2,1),IF(MID(IFERROR(INDEX(醫師週班表!$C$5:$T$44,$CU40,CD$57),""),3,1)="隔",IF(CD$58=0,LEFT(IFERROR(INDEX(醫師週班表!$C$5:$T$44,$CU40,CD$57),""),1),""),IF(MID(IFERROR(INDEX(醫師週班表!$C$5:$T$44,$CU40,CD$57),""),2,1)="(",LEFT(IFERROR(INDEX(醫師週班表!$C$5:$T$44,$CU40,CD$57),""),1),IFERROR(INDEX(醫師週班表!$C$5:$T$44,$CU40,CD$57),"")))))))</f>
        <v/>
      </c>
      <c r="CE40" s="71">
        <f>IF(CE$59="X","",IF(CE$59&lt;&gt;"",CE$59,IF(IFERROR(INDEX(醫師週班表!$C$5:$T$44,$CU40,CE$57),"")=0,"",IF(MID(IFERROR(INDEX(醫師週班表!$C$5:$T$44,$CU40,CE$57),""),2,1)="/",MID(IFERROR(INDEX(醫師週班表!$C$5:$T$44,$CU40,CE$57),""),1+CE$58*2,1),IF(MID(IFERROR(INDEX(醫師週班表!$C$5:$T$44,$CU40,CE$57),""),3,1)="隔",IF(CE$58=0,LEFT(IFERROR(INDEX(醫師週班表!$C$5:$T$44,$CU40,CE$57),""),1),""),IF(MID(IFERROR(INDEX(醫師週班表!$C$5:$T$44,$CU40,CE$57),""),2,1)="(",LEFT(IFERROR(INDEX(醫師週班表!$C$5:$T$44,$CU40,CE$57),""),1),IFERROR(INDEX(醫師週班表!$C$5:$T$44,$CU40,CE$57),"")))))))</f>
        <v/>
      </c>
      <c r="CF40" s="72">
        <f>IF(CF$59="X","",IF(CF$59&lt;&gt;"",CF$59,IF(IFERROR(INDEX(醫師週班表!$C$5:$T$44,$CU40,CF$57),"")=0,"",IF(MID(IFERROR(INDEX(醫師週班表!$C$5:$T$44,$CU40,CF$57),""),2,1)="/",MID(IFERROR(INDEX(醫師週班表!$C$5:$T$44,$CU40,CF$57),""),1+CF$58*2,1),IF(MID(IFERROR(INDEX(醫師週班表!$C$5:$T$44,$CU40,CF$57),""),3,1)="隔",IF(CF$58=0,LEFT(IFERROR(INDEX(醫師週班表!$C$5:$T$44,$CU40,CF$57),""),1),""),IF(MID(IFERROR(INDEX(醫師週班表!$C$5:$T$44,$CU40,CF$57),""),2,1)="(",LEFT(IFERROR(INDEX(醫師週班表!$C$5:$T$44,$CU40,CF$57),""),1),IFERROR(INDEX(醫師週班表!$C$5:$T$44,$CU40,CF$57),"")))))))</f>
        <v/>
      </c>
      <c r="CG40" s="72">
        <f>IF(CG$59="X","",IF(CG$59&lt;&gt;"",CG$59,IF(IFERROR(INDEX(醫師週班表!$C$5:$T$44,$CU40,CG$57),"")=0,"",IF(MID(IFERROR(INDEX(醫師週班表!$C$5:$T$44,$CU40,CG$57),""),2,1)="/",MID(IFERROR(INDEX(醫師週班表!$C$5:$T$44,$CU40,CG$57),""),1+CG$58*2,1),IF(MID(IFERROR(INDEX(醫師週班表!$C$5:$T$44,$CU40,CG$57),""),3,1)="隔",IF(CG$58=0,LEFT(IFERROR(INDEX(醫師週班表!$C$5:$T$44,$CU40,CG$57),""),1),""),IF(MID(IFERROR(INDEX(醫師週班表!$C$5:$T$44,$CU40,CG$57),""),2,1)="(",LEFT(IFERROR(INDEX(醫師週班表!$C$5:$T$44,$CU40,CG$57),""),1),IFERROR(INDEX(醫師週班表!$C$5:$T$44,$CU40,CG$57),"")))))))</f>
        <v/>
      </c>
      <c r="CH40" s="71">
        <f>IF(CH$59="X","",IF(CH$59&lt;&gt;"",CH$59,IF(IFERROR(INDEX(醫師週班表!$C$5:$T$44,$CU40,CH$57),"")=0,"",IF(MID(IFERROR(INDEX(醫師週班表!$C$5:$T$44,$CU40,CH$57),""),2,1)="/",MID(IFERROR(INDEX(醫師週班表!$C$5:$T$44,$CU40,CH$57),""),1+CH$58*2,1),IF(MID(IFERROR(INDEX(醫師週班表!$C$5:$T$44,$CU40,CH$57),""),3,1)="隔",IF(CH$58=0,LEFT(IFERROR(INDEX(醫師週班表!$C$5:$T$44,$CU40,CH$57),""),1),""),IF(MID(IFERROR(INDEX(醫師週班表!$C$5:$T$44,$CU40,CH$57),""),2,1)="(",LEFT(IFERROR(INDEX(醫師週班表!$C$5:$T$44,$CU40,CH$57),""),1),IFERROR(INDEX(醫師週班表!$C$5:$T$44,$CU40,CH$57),"")))))))</f>
        <v/>
      </c>
      <c r="CI40" s="72">
        <f>IF(CI$59="X","",IF(CI$59&lt;&gt;"",CI$59,IF(IFERROR(INDEX(醫師週班表!$C$5:$T$44,$CU40,CI$57),"")=0,"",IF(MID(IFERROR(INDEX(醫師週班表!$C$5:$T$44,$CU40,CI$57),""),2,1)="/",MID(IFERROR(INDEX(醫師週班表!$C$5:$T$44,$CU40,CI$57),""),1+CI$58*2,1),IF(MID(IFERROR(INDEX(醫師週班表!$C$5:$T$44,$CU40,CI$57),""),3,1)="隔",IF(CI$58=0,LEFT(IFERROR(INDEX(醫師週班表!$C$5:$T$44,$CU40,CI$57),""),1),""),IF(MID(IFERROR(INDEX(醫師週班表!$C$5:$T$44,$CU40,CI$57),""),2,1)="(",LEFT(IFERROR(INDEX(醫師週班表!$C$5:$T$44,$CU40,CI$57),""),1),IFERROR(INDEX(醫師週班表!$C$5:$T$44,$CU40,CI$57),"")))))))</f>
        <v/>
      </c>
      <c r="CJ40" s="72">
        <f>IF(CJ$59="X","",IF(CJ$59&lt;&gt;"",CJ$59,IF(IFERROR(INDEX(醫師週班表!$C$5:$T$44,$CU40,CJ$57),"")=0,"",IF(MID(IFERROR(INDEX(醫師週班表!$C$5:$T$44,$CU40,CJ$57),""),2,1)="/",MID(IFERROR(INDEX(醫師週班表!$C$5:$T$44,$CU40,CJ$57),""),1+CJ$58*2,1),IF(MID(IFERROR(INDEX(醫師週班表!$C$5:$T$44,$CU40,CJ$57),""),3,1)="隔",IF(CJ$58=0,LEFT(IFERROR(INDEX(醫師週班表!$C$5:$T$44,$CU40,CJ$57),""),1),""),IF(MID(IFERROR(INDEX(醫師週班表!$C$5:$T$44,$CU40,CJ$57),""),2,1)="(",LEFT(IFERROR(INDEX(醫師週班表!$C$5:$T$44,$CU40,CJ$57),""),1),IFERROR(INDEX(醫師週班表!$C$5:$T$44,$CU40,CJ$57),"")))))))</f>
        <v/>
      </c>
      <c r="CK40" s="71">
        <f>IF(CK$59="X","",IF(CK$59&lt;&gt;"",CK$59,IF(IFERROR(INDEX(醫師週班表!$C$5:$T$44,$CU40,CK$57),"")=0,"",IF(MID(IFERROR(INDEX(醫師週班表!$C$5:$T$44,$CU40,CK$57),""),2,1)="/",MID(IFERROR(INDEX(醫師週班表!$C$5:$T$44,$CU40,CK$57),""),1+CK$58*2,1),IF(MID(IFERROR(INDEX(醫師週班表!$C$5:$T$44,$CU40,CK$57),""),3,1)="隔",IF(CK$58=0,LEFT(IFERROR(INDEX(醫師週班表!$C$5:$T$44,$CU40,CK$57),""),1),""),IF(MID(IFERROR(INDEX(醫師週班表!$C$5:$T$44,$CU40,CK$57),""),2,1)="(",LEFT(IFERROR(INDEX(醫師週班表!$C$5:$T$44,$CU40,CK$57),""),1),IFERROR(INDEX(醫師週班表!$C$5:$T$44,$CU40,CK$57),"")))))))</f>
        <v/>
      </c>
      <c r="CL40" s="72">
        <f>IF(CL$59="X","",IF(CL$59&lt;&gt;"",CL$59,IF(IFERROR(INDEX(醫師週班表!$C$5:$T$44,$CU40,CL$57),"")=0,"",IF(MID(IFERROR(INDEX(醫師週班表!$C$5:$T$44,$CU40,CL$57),""),2,1)="/",MID(IFERROR(INDEX(醫師週班表!$C$5:$T$44,$CU40,CL$57),""),1+CL$58*2,1),IF(MID(IFERROR(INDEX(醫師週班表!$C$5:$T$44,$CU40,CL$57),""),3,1)="隔",IF(CL$58=0,LEFT(IFERROR(INDEX(醫師週班表!$C$5:$T$44,$CU40,CL$57),""),1),""),IF(MID(IFERROR(INDEX(醫師週班表!$C$5:$T$44,$CU40,CL$57),""),2,1)="(",LEFT(IFERROR(INDEX(醫師週班表!$C$5:$T$44,$CU40,CL$57),""),1),IFERROR(INDEX(醫師週班表!$C$5:$T$44,$CU40,CL$57),"")))))))</f>
        <v/>
      </c>
      <c r="CM40" s="72">
        <f>IF(CM$59="X","",IF(CM$59&lt;&gt;"",CM$59,IF(IFERROR(INDEX(醫師週班表!$C$5:$T$44,$CU40,CM$57),"")=0,"",IF(MID(IFERROR(INDEX(醫師週班表!$C$5:$T$44,$CU40,CM$57),""),2,1)="/",MID(IFERROR(INDEX(醫師週班表!$C$5:$T$44,$CU40,CM$57),""),1+CM$58*2,1),IF(MID(IFERROR(INDEX(醫師週班表!$C$5:$T$44,$CU40,CM$57),""),3,1)="隔",IF(CM$58=0,LEFT(IFERROR(INDEX(醫師週班表!$C$5:$T$44,$CU40,CM$57),""),1),""),IF(MID(IFERROR(INDEX(醫師週班表!$C$5:$T$44,$CU40,CM$57),""),2,1)="(",LEFT(IFERROR(INDEX(醫師週班表!$C$5:$T$44,$CU40,CM$57),""),1),IFERROR(INDEX(醫師週班表!$C$5:$T$44,$CU40,CM$57),"")))))))</f>
        <v/>
      </c>
      <c r="CN40" s="71">
        <f>IF(CN$59="X","",IF(CN$59&lt;&gt;"",CN$59,IF(IFERROR(INDEX(醫師週班表!$C$5:$T$44,$CU40,CN$57),"")=0,"",IF(MID(IFERROR(INDEX(醫師週班表!$C$5:$T$44,$CU40,CN$57),""),2,1)="/",MID(IFERROR(INDEX(醫師週班表!$C$5:$T$44,$CU40,CN$57),""),1+CN$58*2,1),IF(MID(IFERROR(INDEX(醫師週班表!$C$5:$T$44,$CU40,CN$57),""),3,1)="隔",IF(CN$58=0,LEFT(IFERROR(INDEX(醫師週班表!$C$5:$T$44,$CU40,CN$57),""),1),""),IF(MID(IFERROR(INDEX(醫師週班表!$C$5:$T$44,$CU40,CN$57),""),2,1)="(",LEFT(IFERROR(INDEX(醫師週班表!$C$5:$T$44,$CU40,CN$57),""),1),IFERROR(INDEX(醫師週班表!$C$5:$T$44,$CU40,CN$57),"")))))))</f>
        <v/>
      </c>
      <c r="CO40" s="72">
        <f>IF(CO$59="X","",IF(CO$59&lt;&gt;"",CO$59,IF(IFERROR(INDEX(醫師週班表!$C$5:$T$44,$CU40,CO$57),"")=0,"",IF(MID(IFERROR(INDEX(醫師週班表!$C$5:$T$44,$CU40,CO$57),""),2,1)="/",MID(IFERROR(INDEX(醫師週班表!$C$5:$T$44,$CU40,CO$57),""),1+CO$58*2,1),IF(MID(IFERROR(INDEX(醫師週班表!$C$5:$T$44,$CU40,CO$57),""),3,1)="隔",IF(CO$58=0,LEFT(IFERROR(INDEX(醫師週班表!$C$5:$T$44,$CU40,CO$57),""),1),""),IF(MID(IFERROR(INDEX(醫師週班表!$C$5:$T$44,$CU40,CO$57),""),2,1)="(",LEFT(IFERROR(INDEX(醫師週班表!$C$5:$T$44,$CU40,CO$57),""),1),IFERROR(INDEX(醫師週班表!$C$5:$T$44,$CU40,CO$57),"")))))))</f>
        <v/>
      </c>
      <c r="CP40" s="72">
        <f>IF(CP$59="X","",IF(CP$59&lt;&gt;"",CP$59,IF(IFERROR(INDEX(醫師週班表!$C$5:$T$44,$CU40,CP$57),"")=0,"",IF(MID(IFERROR(INDEX(醫師週班表!$C$5:$T$44,$CU40,CP$57),""),2,1)="/",MID(IFERROR(INDEX(醫師週班表!$C$5:$T$44,$CU40,CP$57),""),1+CP$58*2,1),IF(MID(IFERROR(INDEX(醫師週班表!$C$5:$T$44,$CU40,CP$57),""),3,1)="隔",IF(CP$58=0,LEFT(IFERROR(INDEX(醫師週班表!$C$5:$T$44,$CU40,CP$57),""),1),""),IF(MID(IFERROR(INDEX(醫師週班表!$C$5:$T$44,$CU40,CP$57),""),2,1)="(",LEFT(IFERROR(INDEX(醫師週班表!$C$5:$T$44,$CU40,CP$57),""),1),IFERROR(INDEX(醫師週班表!$C$5:$T$44,$CU40,CP$57),"")))))))</f>
        <v/>
      </c>
      <c r="CQ40" s="71">
        <f>IF(CQ$59="X","",IF(CQ$59&lt;&gt;"",CQ$59,IF(IFERROR(INDEX(醫師週班表!$C$5:$T$44,$CU40,CQ$57),"")=0,"",IF(MID(IFERROR(INDEX(醫師週班表!$C$5:$T$44,$CU40,CQ$57),""),2,1)="/",MID(IFERROR(INDEX(醫師週班表!$C$5:$T$44,$CU40,CQ$57),""),1+CQ$58*2,1),IF(MID(IFERROR(INDEX(醫師週班表!$C$5:$T$44,$CU40,CQ$57),""),3,1)="隔",IF(CQ$58=0,LEFT(IFERROR(INDEX(醫師週班表!$C$5:$T$44,$CU40,CQ$57),""),1),""),IF(MID(IFERROR(INDEX(醫師週班表!$C$5:$T$44,$CU40,CQ$57),""),2,1)="(",LEFT(IFERROR(INDEX(醫師週班表!$C$5:$T$44,$CU40,CQ$57),""),1),IFERROR(INDEX(醫師週班表!$C$5:$T$44,$CU40,CQ$57),"")))))))</f>
        <v/>
      </c>
      <c r="CR40" s="72">
        <f>IF(CR$59="X","",IF(CR$59&lt;&gt;"",CR$59,IF(IFERROR(INDEX(醫師週班表!$C$5:$T$44,$CU40,CR$57),"")=0,"",IF(MID(IFERROR(INDEX(醫師週班表!$C$5:$T$44,$CU40,CR$57),""),2,1)="/",MID(IFERROR(INDEX(醫師週班表!$C$5:$T$44,$CU40,CR$57),""),1+CR$58*2,1),IF(MID(IFERROR(INDEX(醫師週班表!$C$5:$T$44,$CU40,CR$57),""),3,1)="隔",IF(CR$58=0,LEFT(IFERROR(INDEX(醫師週班表!$C$5:$T$44,$CU40,CR$57),""),1),""),IF(MID(IFERROR(INDEX(醫師週班表!$C$5:$T$44,$CU40,CR$57),""),2,1)="(",LEFT(IFERROR(INDEX(醫師週班表!$C$5:$T$44,$CU40,CR$57),""),1),IFERROR(INDEX(醫師週班表!$C$5:$T$44,$CU40,CR$57),"")))))))</f>
        <v/>
      </c>
      <c r="CS40" s="72">
        <f>IF(CS$59="X","",IF(CS$59&lt;&gt;"",CS$59,IF(IFERROR(INDEX(醫師週班表!$C$5:$T$44,$CU40,CS$57),"")=0,"",IF(MID(IFERROR(INDEX(醫師週班表!$C$5:$T$44,$CU40,CS$57),""),2,1)="/",MID(IFERROR(INDEX(醫師週班表!$C$5:$T$44,$CU40,CS$57),""),1+CS$58*2,1),IF(MID(IFERROR(INDEX(醫師週班表!$C$5:$T$44,$CU40,CS$57),""),3,1)="隔",IF(CS$58=0,LEFT(IFERROR(INDEX(醫師週班表!$C$5:$T$44,$CU40,CS$57),""),1),""),IF(MID(IFERROR(INDEX(醫師週班表!$C$5:$T$44,$CU40,CS$57),""),2,1)="(",LEFT(IFERROR(INDEX(醫師週班表!$C$5:$T$44,$CU40,CS$57),""),1),IFERROR(INDEX(醫師週班表!$C$5:$T$44,$CU40,CS$57),"")))))))</f>
        <v/>
      </c>
      <c r="CU40" s="73">
        <f>IFERROR(MATCH($A40,醫師週班表!$A$5:$A$44,0),0)</f>
        <v/>
      </c>
    </row>
    <row r="41" ht="17" customHeight="1">
      <c r="A41" s="19" t="n"/>
      <c r="B41" s="16">
        <f>IFERROR(INDEX(設定!$C$64:$C$203,MATCH($A41,設定!$B$64:$B$203,0)),"")</f>
        <v/>
      </c>
      <c r="C41" s="70">
        <f>IFERROR(INDEX(設定!$E$64:$E$203,MATCH($A41,設定!$B$64:$B$203,0)),"")</f>
        <v/>
      </c>
      <c r="D41" s="16">
        <f>IFERROR(INDEX(設定!$F$64:$F$203,MATCH($A41,設定!$B$64:$B$203,0)),"")</f>
        <v/>
      </c>
      <c r="E41" s="71">
        <f>IF(E$59="X","",IF(E$59&lt;&gt;"",E$59,IF(IFERROR(INDEX(醫師週班表!$C$5:$T$44,$CU41,E$57),"")=0,"",IF(MID(IFERROR(INDEX(醫師週班表!$C$5:$T$44,$CU41,E$57),""),2,1)="/",MID(IFERROR(INDEX(醫師週班表!$C$5:$T$44,$CU41,E$57),""),1+E$58*2,1),IF(MID(IFERROR(INDEX(醫師週班表!$C$5:$T$44,$CU41,E$57),""),3,1)="隔",IF(E$58=0,LEFT(IFERROR(INDEX(醫師週班表!$C$5:$T$44,$CU41,E$57),""),1),""),IF(MID(IFERROR(INDEX(醫師週班表!$C$5:$T$44,$CU41,E$57),""),2,1)="(",LEFT(IFERROR(INDEX(醫師週班表!$C$5:$T$44,$CU41,E$57),""),1),IFERROR(INDEX(醫師週班表!$C$5:$T$44,$CU41,E$57),"")))))))</f>
        <v/>
      </c>
      <c r="F41" s="72">
        <f>IF(F$59="X","",IF(F$59&lt;&gt;"",F$59,IF(IFERROR(INDEX(醫師週班表!$C$5:$T$44,$CU41,F$57),"")=0,"",IF(MID(IFERROR(INDEX(醫師週班表!$C$5:$T$44,$CU41,F$57),""),2,1)="/",MID(IFERROR(INDEX(醫師週班表!$C$5:$T$44,$CU41,F$57),""),1+F$58*2,1),IF(MID(IFERROR(INDEX(醫師週班表!$C$5:$T$44,$CU41,F$57),""),3,1)="隔",IF(F$58=0,LEFT(IFERROR(INDEX(醫師週班表!$C$5:$T$44,$CU41,F$57),""),1),""),IF(MID(IFERROR(INDEX(醫師週班表!$C$5:$T$44,$CU41,F$57),""),2,1)="(",LEFT(IFERROR(INDEX(醫師週班表!$C$5:$T$44,$CU41,F$57),""),1),IFERROR(INDEX(醫師週班表!$C$5:$T$44,$CU41,F$57),"")))))))</f>
        <v/>
      </c>
      <c r="G41" s="72">
        <f>IF(G$59="X","",IF(G$59&lt;&gt;"",G$59,IF(IFERROR(INDEX(醫師週班表!$C$5:$T$44,$CU41,G$57),"")=0,"",IF(MID(IFERROR(INDEX(醫師週班表!$C$5:$T$44,$CU41,G$57),""),2,1)="/",MID(IFERROR(INDEX(醫師週班表!$C$5:$T$44,$CU41,G$57),""),1+G$58*2,1),IF(MID(IFERROR(INDEX(醫師週班表!$C$5:$T$44,$CU41,G$57),""),3,1)="隔",IF(G$58=0,LEFT(IFERROR(INDEX(醫師週班表!$C$5:$T$44,$CU41,G$57),""),1),""),IF(MID(IFERROR(INDEX(醫師週班表!$C$5:$T$44,$CU41,G$57),""),2,1)="(",LEFT(IFERROR(INDEX(醫師週班表!$C$5:$T$44,$CU41,G$57),""),1),IFERROR(INDEX(醫師週班表!$C$5:$T$44,$CU41,G$57),"")))))))</f>
        <v/>
      </c>
      <c r="H41" s="71">
        <f>IF(H$59="X","",IF(H$59&lt;&gt;"",H$59,IF(IFERROR(INDEX(醫師週班表!$C$5:$T$44,$CU41,H$57),"")=0,"",IF(MID(IFERROR(INDEX(醫師週班表!$C$5:$T$44,$CU41,H$57),""),2,1)="/",MID(IFERROR(INDEX(醫師週班表!$C$5:$T$44,$CU41,H$57),""),1+H$58*2,1),IF(MID(IFERROR(INDEX(醫師週班表!$C$5:$T$44,$CU41,H$57),""),3,1)="隔",IF(H$58=0,LEFT(IFERROR(INDEX(醫師週班表!$C$5:$T$44,$CU41,H$57),""),1),""),IF(MID(IFERROR(INDEX(醫師週班表!$C$5:$T$44,$CU41,H$57),""),2,1)="(",LEFT(IFERROR(INDEX(醫師週班表!$C$5:$T$44,$CU41,H$57),""),1),IFERROR(INDEX(醫師週班表!$C$5:$T$44,$CU41,H$57),"")))))))</f>
        <v/>
      </c>
      <c r="I41" s="72">
        <f>IF(I$59="X","",IF(I$59&lt;&gt;"",I$59,IF(IFERROR(INDEX(醫師週班表!$C$5:$T$44,$CU41,I$57),"")=0,"",IF(MID(IFERROR(INDEX(醫師週班表!$C$5:$T$44,$CU41,I$57),""),2,1)="/",MID(IFERROR(INDEX(醫師週班表!$C$5:$T$44,$CU41,I$57),""),1+I$58*2,1),IF(MID(IFERROR(INDEX(醫師週班表!$C$5:$T$44,$CU41,I$57),""),3,1)="隔",IF(I$58=0,LEFT(IFERROR(INDEX(醫師週班表!$C$5:$T$44,$CU41,I$57),""),1),""),IF(MID(IFERROR(INDEX(醫師週班表!$C$5:$T$44,$CU41,I$57),""),2,1)="(",LEFT(IFERROR(INDEX(醫師週班表!$C$5:$T$44,$CU41,I$57),""),1),IFERROR(INDEX(醫師週班表!$C$5:$T$44,$CU41,I$57),"")))))))</f>
        <v/>
      </c>
      <c r="J41" s="72">
        <f>IF(J$59="X","",IF(J$59&lt;&gt;"",J$59,IF(IFERROR(INDEX(醫師週班表!$C$5:$T$44,$CU41,J$57),"")=0,"",IF(MID(IFERROR(INDEX(醫師週班表!$C$5:$T$44,$CU41,J$57),""),2,1)="/",MID(IFERROR(INDEX(醫師週班表!$C$5:$T$44,$CU41,J$57),""),1+J$58*2,1),IF(MID(IFERROR(INDEX(醫師週班表!$C$5:$T$44,$CU41,J$57),""),3,1)="隔",IF(J$58=0,LEFT(IFERROR(INDEX(醫師週班表!$C$5:$T$44,$CU41,J$57),""),1),""),IF(MID(IFERROR(INDEX(醫師週班表!$C$5:$T$44,$CU41,J$57),""),2,1)="(",LEFT(IFERROR(INDEX(醫師週班表!$C$5:$T$44,$CU41,J$57),""),1),IFERROR(INDEX(醫師週班表!$C$5:$T$44,$CU41,J$57),"")))))))</f>
        <v/>
      </c>
      <c r="K41" s="71">
        <f>IF(K$59="X","",IF(K$59&lt;&gt;"",K$59,IF(IFERROR(INDEX(醫師週班表!$C$5:$T$44,$CU41,K$57),"")=0,"",IF(MID(IFERROR(INDEX(醫師週班表!$C$5:$T$44,$CU41,K$57),""),2,1)="/",MID(IFERROR(INDEX(醫師週班表!$C$5:$T$44,$CU41,K$57),""),1+K$58*2,1),IF(MID(IFERROR(INDEX(醫師週班表!$C$5:$T$44,$CU41,K$57),""),3,1)="隔",IF(K$58=0,LEFT(IFERROR(INDEX(醫師週班表!$C$5:$T$44,$CU41,K$57),""),1),""),IF(MID(IFERROR(INDEX(醫師週班表!$C$5:$T$44,$CU41,K$57),""),2,1)="(",LEFT(IFERROR(INDEX(醫師週班表!$C$5:$T$44,$CU41,K$57),""),1),IFERROR(INDEX(醫師週班表!$C$5:$T$44,$CU41,K$57),"")))))))</f>
        <v/>
      </c>
      <c r="L41" s="72">
        <f>IF(L$59="X","",IF(L$59&lt;&gt;"",L$59,IF(IFERROR(INDEX(醫師週班表!$C$5:$T$44,$CU41,L$57),"")=0,"",IF(MID(IFERROR(INDEX(醫師週班表!$C$5:$T$44,$CU41,L$57),""),2,1)="/",MID(IFERROR(INDEX(醫師週班表!$C$5:$T$44,$CU41,L$57),""),1+L$58*2,1),IF(MID(IFERROR(INDEX(醫師週班表!$C$5:$T$44,$CU41,L$57),""),3,1)="隔",IF(L$58=0,LEFT(IFERROR(INDEX(醫師週班表!$C$5:$T$44,$CU41,L$57),""),1),""),IF(MID(IFERROR(INDEX(醫師週班表!$C$5:$T$44,$CU41,L$57),""),2,1)="(",LEFT(IFERROR(INDEX(醫師週班表!$C$5:$T$44,$CU41,L$57),""),1),IFERROR(INDEX(醫師週班表!$C$5:$T$44,$CU41,L$57),"")))))))</f>
        <v/>
      </c>
      <c r="M41" s="72">
        <f>IF(M$59="X","",IF(M$59&lt;&gt;"",M$59,IF(IFERROR(INDEX(醫師週班表!$C$5:$T$44,$CU41,M$57),"")=0,"",IF(MID(IFERROR(INDEX(醫師週班表!$C$5:$T$44,$CU41,M$57),""),2,1)="/",MID(IFERROR(INDEX(醫師週班表!$C$5:$T$44,$CU41,M$57),""),1+M$58*2,1),IF(MID(IFERROR(INDEX(醫師週班表!$C$5:$T$44,$CU41,M$57),""),3,1)="隔",IF(M$58=0,LEFT(IFERROR(INDEX(醫師週班表!$C$5:$T$44,$CU41,M$57),""),1),""),IF(MID(IFERROR(INDEX(醫師週班表!$C$5:$T$44,$CU41,M$57),""),2,1)="(",LEFT(IFERROR(INDEX(醫師週班表!$C$5:$T$44,$CU41,M$57),""),1),IFERROR(INDEX(醫師週班表!$C$5:$T$44,$CU41,M$57),"")))))))</f>
        <v/>
      </c>
      <c r="N41" s="71">
        <f>IF(N$59="X","",IF(N$59&lt;&gt;"",N$59,IF(IFERROR(INDEX(醫師週班表!$C$5:$T$44,$CU41,N$57),"")=0,"",IF(MID(IFERROR(INDEX(醫師週班表!$C$5:$T$44,$CU41,N$57),""),2,1)="/",MID(IFERROR(INDEX(醫師週班表!$C$5:$T$44,$CU41,N$57),""),1+N$58*2,1),IF(MID(IFERROR(INDEX(醫師週班表!$C$5:$T$44,$CU41,N$57),""),3,1)="隔",IF(N$58=0,LEFT(IFERROR(INDEX(醫師週班表!$C$5:$T$44,$CU41,N$57),""),1),""),IF(MID(IFERROR(INDEX(醫師週班表!$C$5:$T$44,$CU41,N$57),""),2,1)="(",LEFT(IFERROR(INDEX(醫師週班表!$C$5:$T$44,$CU41,N$57),""),1),IFERROR(INDEX(醫師週班表!$C$5:$T$44,$CU41,N$57),"")))))))</f>
        <v/>
      </c>
      <c r="O41" s="72">
        <f>IF(O$59="X","",IF(O$59&lt;&gt;"",O$59,IF(IFERROR(INDEX(醫師週班表!$C$5:$T$44,$CU41,O$57),"")=0,"",IF(MID(IFERROR(INDEX(醫師週班表!$C$5:$T$44,$CU41,O$57),""),2,1)="/",MID(IFERROR(INDEX(醫師週班表!$C$5:$T$44,$CU41,O$57),""),1+O$58*2,1),IF(MID(IFERROR(INDEX(醫師週班表!$C$5:$T$44,$CU41,O$57),""),3,1)="隔",IF(O$58=0,LEFT(IFERROR(INDEX(醫師週班表!$C$5:$T$44,$CU41,O$57),""),1),""),IF(MID(IFERROR(INDEX(醫師週班表!$C$5:$T$44,$CU41,O$57),""),2,1)="(",LEFT(IFERROR(INDEX(醫師週班表!$C$5:$T$44,$CU41,O$57),""),1),IFERROR(INDEX(醫師週班表!$C$5:$T$44,$CU41,O$57),"")))))))</f>
        <v/>
      </c>
      <c r="P41" s="72">
        <f>IF(P$59="X","",IF(P$59&lt;&gt;"",P$59,IF(IFERROR(INDEX(醫師週班表!$C$5:$T$44,$CU41,P$57),"")=0,"",IF(MID(IFERROR(INDEX(醫師週班表!$C$5:$T$44,$CU41,P$57),""),2,1)="/",MID(IFERROR(INDEX(醫師週班表!$C$5:$T$44,$CU41,P$57),""),1+P$58*2,1),IF(MID(IFERROR(INDEX(醫師週班表!$C$5:$T$44,$CU41,P$57),""),3,1)="隔",IF(P$58=0,LEFT(IFERROR(INDEX(醫師週班表!$C$5:$T$44,$CU41,P$57),""),1),""),IF(MID(IFERROR(INDEX(醫師週班表!$C$5:$T$44,$CU41,P$57),""),2,1)="(",LEFT(IFERROR(INDEX(醫師週班表!$C$5:$T$44,$CU41,P$57),""),1),IFERROR(INDEX(醫師週班表!$C$5:$T$44,$CU41,P$57),"")))))))</f>
        <v/>
      </c>
      <c r="Q41" s="71">
        <f>IF(Q$59="X","",IF(Q$59&lt;&gt;"",Q$59,IF(IFERROR(INDEX(醫師週班表!$C$5:$T$44,$CU41,Q$57),"")=0,"",IF(MID(IFERROR(INDEX(醫師週班表!$C$5:$T$44,$CU41,Q$57),""),2,1)="/",MID(IFERROR(INDEX(醫師週班表!$C$5:$T$44,$CU41,Q$57),""),1+Q$58*2,1),IF(MID(IFERROR(INDEX(醫師週班表!$C$5:$T$44,$CU41,Q$57),""),3,1)="隔",IF(Q$58=0,LEFT(IFERROR(INDEX(醫師週班表!$C$5:$T$44,$CU41,Q$57),""),1),""),IF(MID(IFERROR(INDEX(醫師週班表!$C$5:$T$44,$CU41,Q$57),""),2,1)="(",LEFT(IFERROR(INDEX(醫師週班表!$C$5:$T$44,$CU41,Q$57),""),1),IFERROR(INDEX(醫師週班表!$C$5:$T$44,$CU41,Q$57),"")))))))</f>
        <v/>
      </c>
      <c r="R41" s="72">
        <f>IF(R$59="X","",IF(R$59&lt;&gt;"",R$59,IF(IFERROR(INDEX(醫師週班表!$C$5:$T$44,$CU41,R$57),"")=0,"",IF(MID(IFERROR(INDEX(醫師週班表!$C$5:$T$44,$CU41,R$57),""),2,1)="/",MID(IFERROR(INDEX(醫師週班表!$C$5:$T$44,$CU41,R$57),""),1+R$58*2,1),IF(MID(IFERROR(INDEX(醫師週班表!$C$5:$T$44,$CU41,R$57),""),3,1)="隔",IF(R$58=0,LEFT(IFERROR(INDEX(醫師週班表!$C$5:$T$44,$CU41,R$57),""),1),""),IF(MID(IFERROR(INDEX(醫師週班表!$C$5:$T$44,$CU41,R$57),""),2,1)="(",LEFT(IFERROR(INDEX(醫師週班表!$C$5:$T$44,$CU41,R$57),""),1),IFERROR(INDEX(醫師週班表!$C$5:$T$44,$CU41,R$57),"")))))))</f>
        <v/>
      </c>
      <c r="S41" s="72">
        <f>IF(S$59="X","",IF(S$59&lt;&gt;"",S$59,IF(IFERROR(INDEX(醫師週班表!$C$5:$T$44,$CU41,S$57),"")=0,"",IF(MID(IFERROR(INDEX(醫師週班表!$C$5:$T$44,$CU41,S$57),""),2,1)="/",MID(IFERROR(INDEX(醫師週班表!$C$5:$T$44,$CU41,S$57),""),1+S$58*2,1),IF(MID(IFERROR(INDEX(醫師週班表!$C$5:$T$44,$CU41,S$57),""),3,1)="隔",IF(S$58=0,LEFT(IFERROR(INDEX(醫師週班表!$C$5:$T$44,$CU41,S$57),""),1),""),IF(MID(IFERROR(INDEX(醫師週班表!$C$5:$T$44,$CU41,S$57),""),2,1)="(",LEFT(IFERROR(INDEX(醫師週班表!$C$5:$T$44,$CU41,S$57),""),1),IFERROR(INDEX(醫師週班表!$C$5:$T$44,$CU41,S$57),"")))))))</f>
        <v/>
      </c>
      <c r="T41" s="71">
        <f>IF(T$59="X","",IF(T$59&lt;&gt;"",T$59,IF(IFERROR(INDEX(醫師週班表!$C$5:$T$44,$CU41,T$57),"")=0,"",IF(MID(IFERROR(INDEX(醫師週班表!$C$5:$T$44,$CU41,T$57),""),2,1)="/",MID(IFERROR(INDEX(醫師週班表!$C$5:$T$44,$CU41,T$57),""),1+T$58*2,1),IF(MID(IFERROR(INDEX(醫師週班表!$C$5:$T$44,$CU41,T$57),""),3,1)="隔",IF(T$58=0,LEFT(IFERROR(INDEX(醫師週班表!$C$5:$T$44,$CU41,T$57),""),1),""),IF(MID(IFERROR(INDEX(醫師週班表!$C$5:$T$44,$CU41,T$57),""),2,1)="(",LEFT(IFERROR(INDEX(醫師週班表!$C$5:$T$44,$CU41,T$57),""),1),IFERROR(INDEX(醫師週班表!$C$5:$T$44,$CU41,T$57),"")))))))</f>
        <v/>
      </c>
      <c r="U41" s="72">
        <f>IF(U$59="X","",IF(U$59&lt;&gt;"",U$59,IF(IFERROR(INDEX(醫師週班表!$C$5:$T$44,$CU41,U$57),"")=0,"",IF(MID(IFERROR(INDEX(醫師週班表!$C$5:$T$44,$CU41,U$57),""),2,1)="/",MID(IFERROR(INDEX(醫師週班表!$C$5:$T$44,$CU41,U$57),""),1+U$58*2,1),IF(MID(IFERROR(INDEX(醫師週班表!$C$5:$T$44,$CU41,U$57),""),3,1)="隔",IF(U$58=0,LEFT(IFERROR(INDEX(醫師週班表!$C$5:$T$44,$CU41,U$57),""),1),""),IF(MID(IFERROR(INDEX(醫師週班表!$C$5:$T$44,$CU41,U$57),""),2,1)="(",LEFT(IFERROR(INDEX(醫師週班表!$C$5:$T$44,$CU41,U$57),""),1),IFERROR(INDEX(醫師週班表!$C$5:$T$44,$CU41,U$57),"")))))))</f>
        <v/>
      </c>
      <c r="V41" s="72">
        <f>IF(V$59="X","",IF(V$59&lt;&gt;"",V$59,IF(IFERROR(INDEX(醫師週班表!$C$5:$T$44,$CU41,V$57),"")=0,"",IF(MID(IFERROR(INDEX(醫師週班表!$C$5:$T$44,$CU41,V$57),""),2,1)="/",MID(IFERROR(INDEX(醫師週班表!$C$5:$T$44,$CU41,V$57),""),1+V$58*2,1),IF(MID(IFERROR(INDEX(醫師週班表!$C$5:$T$44,$CU41,V$57),""),3,1)="隔",IF(V$58=0,LEFT(IFERROR(INDEX(醫師週班表!$C$5:$T$44,$CU41,V$57),""),1),""),IF(MID(IFERROR(INDEX(醫師週班表!$C$5:$T$44,$CU41,V$57),""),2,1)="(",LEFT(IFERROR(INDEX(醫師週班表!$C$5:$T$44,$CU41,V$57),""),1),IFERROR(INDEX(醫師週班表!$C$5:$T$44,$CU41,V$57),"")))))))</f>
        <v/>
      </c>
      <c r="W41" s="71">
        <f>IF(W$59="X","",IF(W$59&lt;&gt;"",W$59,IF(IFERROR(INDEX(醫師週班表!$C$5:$T$44,$CU41,W$57),"")=0,"",IF(MID(IFERROR(INDEX(醫師週班表!$C$5:$T$44,$CU41,W$57),""),2,1)="/",MID(IFERROR(INDEX(醫師週班表!$C$5:$T$44,$CU41,W$57),""),1+W$58*2,1),IF(MID(IFERROR(INDEX(醫師週班表!$C$5:$T$44,$CU41,W$57),""),3,1)="隔",IF(W$58=0,LEFT(IFERROR(INDEX(醫師週班表!$C$5:$T$44,$CU41,W$57),""),1),""),IF(MID(IFERROR(INDEX(醫師週班表!$C$5:$T$44,$CU41,W$57),""),2,1)="(",LEFT(IFERROR(INDEX(醫師週班表!$C$5:$T$44,$CU41,W$57),""),1),IFERROR(INDEX(醫師週班表!$C$5:$T$44,$CU41,W$57),"")))))))</f>
        <v/>
      </c>
      <c r="X41" s="72">
        <f>IF(X$59="X","",IF(X$59&lt;&gt;"",X$59,IF(IFERROR(INDEX(醫師週班表!$C$5:$T$44,$CU41,X$57),"")=0,"",IF(MID(IFERROR(INDEX(醫師週班表!$C$5:$T$44,$CU41,X$57),""),2,1)="/",MID(IFERROR(INDEX(醫師週班表!$C$5:$T$44,$CU41,X$57),""),1+X$58*2,1),IF(MID(IFERROR(INDEX(醫師週班表!$C$5:$T$44,$CU41,X$57),""),3,1)="隔",IF(X$58=0,LEFT(IFERROR(INDEX(醫師週班表!$C$5:$T$44,$CU41,X$57),""),1),""),IF(MID(IFERROR(INDEX(醫師週班表!$C$5:$T$44,$CU41,X$57),""),2,1)="(",LEFT(IFERROR(INDEX(醫師週班表!$C$5:$T$44,$CU41,X$57),""),1),IFERROR(INDEX(醫師週班表!$C$5:$T$44,$CU41,X$57),"")))))))</f>
        <v/>
      </c>
      <c r="Y41" s="72">
        <f>IF(Y$59="X","",IF(Y$59&lt;&gt;"",Y$59,IF(IFERROR(INDEX(醫師週班表!$C$5:$T$44,$CU41,Y$57),"")=0,"",IF(MID(IFERROR(INDEX(醫師週班表!$C$5:$T$44,$CU41,Y$57),""),2,1)="/",MID(IFERROR(INDEX(醫師週班表!$C$5:$T$44,$CU41,Y$57),""),1+Y$58*2,1),IF(MID(IFERROR(INDEX(醫師週班表!$C$5:$T$44,$CU41,Y$57),""),3,1)="隔",IF(Y$58=0,LEFT(IFERROR(INDEX(醫師週班表!$C$5:$T$44,$CU41,Y$57),""),1),""),IF(MID(IFERROR(INDEX(醫師週班表!$C$5:$T$44,$CU41,Y$57),""),2,1)="(",LEFT(IFERROR(INDEX(醫師週班表!$C$5:$T$44,$CU41,Y$57),""),1),IFERROR(INDEX(醫師週班表!$C$5:$T$44,$CU41,Y$57),"")))))))</f>
        <v/>
      </c>
      <c r="Z41" s="71">
        <f>IF(Z$59="X","",IF(Z$59&lt;&gt;"",Z$59,IF(IFERROR(INDEX(醫師週班表!$C$5:$T$44,$CU41,Z$57),"")=0,"",IF(MID(IFERROR(INDEX(醫師週班表!$C$5:$T$44,$CU41,Z$57),""),2,1)="/",MID(IFERROR(INDEX(醫師週班表!$C$5:$T$44,$CU41,Z$57),""),1+Z$58*2,1),IF(MID(IFERROR(INDEX(醫師週班表!$C$5:$T$44,$CU41,Z$57),""),3,1)="隔",IF(Z$58=0,LEFT(IFERROR(INDEX(醫師週班表!$C$5:$T$44,$CU41,Z$57),""),1),""),IF(MID(IFERROR(INDEX(醫師週班表!$C$5:$T$44,$CU41,Z$57),""),2,1)="(",LEFT(IFERROR(INDEX(醫師週班表!$C$5:$T$44,$CU41,Z$57),""),1),IFERROR(INDEX(醫師週班表!$C$5:$T$44,$CU41,Z$57),"")))))))</f>
        <v/>
      </c>
      <c r="AA41" s="72">
        <f>IF(AA$59="X","",IF(AA$59&lt;&gt;"",AA$59,IF(IFERROR(INDEX(醫師週班表!$C$5:$T$44,$CU41,AA$57),"")=0,"",IF(MID(IFERROR(INDEX(醫師週班表!$C$5:$T$44,$CU41,AA$57),""),2,1)="/",MID(IFERROR(INDEX(醫師週班表!$C$5:$T$44,$CU41,AA$57),""),1+AA$58*2,1),IF(MID(IFERROR(INDEX(醫師週班表!$C$5:$T$44,$CU41,AA$57),""),3,1)="隔",IF(AA$58=0,LEFT(IFERROR(INDEX(醫師週班表!$C$5:$T$44,$CU41,AA$57),""),1),""),IF(MID(IFERROR(INDEX(醫師週班表!$C$5:$T$44,$CU41,AA$57),""),2,1)="(",LEFT(IFERROR(INDEX(醫師週班表!$C$5:$T$44,$CU41,AA$57),""),1),IFERROR(INDEX(醫師週班表!$C$5:$T$44,$CU41,AA$57),"")))))))</f>
        <v/>
      </c>
      <c r="AB41" s="72">
        <f>IF(AB$59="X","",IF(AB$59&lt;&gt;"",AB$59,IF(IFERROR(INDEX(醫師週班表!$C$5:$T$44,$CU41,AB$57),"")=0,"",IF(MID(IFERROR(INDEX(醫師週班表!$C$5:$T$44,$CU41,AB$57),""),2,1)="/",MID(IFERROR(INDEX(醫師週班表!$C$5:$T$44,$CU41,AB$57),""),1+AB$58*2,1),IF(MID(IFERROR(INDEX(醫師週班表!$C$5:$T$44,$CU41,AB$57),""),3,1)="隔",IF(AB$58=0,LEFT(IFERROR(INDEX(醫師週班表!$C$5:$T$44,$CU41,AB$57),""),1),""),IF(MID(IFERROR(INDEX(醫師週班表!$C$5:$T$44,$CU41,AB$57),""),2,1)="(",LEFT(IFERROR(INDEX(醫師週班表!$C$5:$T$44,$CU41,AB$57),""),1),IFERROR(INDEX(醫師週班表!$C$5:$T$44,$CU41,AB$57),"")))))))</f>
        <v/>
      </c>
      <c r="AC41" s="71">
        <f>IF(AC$59="X","",IF(AC$59&lt;&gt;"",AC$59,IF(IFERROR(INDEX(醫師週班表!$C$5:$T$44,$CU41,AC$57),"")=0,"",IF(MID(IFERROR(INDEX(醫師週班表!$C$5:$T$44,$CU41,AC$57),""),2,1)="/",MID(IFERROR(INDEX(醫師週班表!$C$5:$T$44,$CU41,AC$57),""),1+AC$58*2,1),IF(MID(IFERROR(INDEX(醫師週班表!$C$5:$T$44,$CU41,AC$57),""),3,1)="隔",IF(AC$58=0,LEFT(IFERROR(INDEX(醫師週班表!$C$5:$T$44,$CU41,AC$57),""),1),""),IF(MID(IFERROR(INDEX(醫師週班表!$C$5:$T$44,$CU41,AC$57),""),2,1)="(",LEFT(IFERROR(INDEX(醫師週班表!$C$5:$T$44,$CU41,AC$57),""),1),IFERROR(INDEX(醫師週班表!$C$5:$T$44,$CU41,AC$57),"")))))))</f>
        <v/>
      </c>
      <c r="AD41" s="72">
        <f>IF(AD$59="X","",IF(AD$59&lt;&gt;"",AD$59,IF(IFERROR(INDEX(醫師週班表!$C$5:$T$44,$CU41,AD$57),"")=0,"",IF(MID(IFERROR(INDEX(醫師週班表!$C$5:$T$44,$CU41,AD$57),""),2,1)="/",MID(IFERROR(INDEX(醫師週班表!$C$5:$T$44,$CU41,AD$57),""),1+AD$58*2,1),IF(MID(IFERROR(INDEX(醫師週班表!$C$5:$T$44,$CU41,AD$57),""),3,1)="隔",IF(AD$58=0,LEFT(IFERROR(INDEX(醫師週班表!$C$5:$T$44,$CU41,AD$57),""),1),""),IF(MID(IFERROR(INDEX(醫師週班表!$C$5:$T$44,$CU41,AD$57),""),2,1)="(",LEFT(IFERROR(INDEX(醫師週班表!$C$5:$T$44,$CU41,AD$57),""),1),IFERROR(INDEX(醫師週班表!$C$5:$T$44,$CU41,AD$57),"")))))))</f>
        <v/>
      </c>
      <c r="AE41" s="72">
        <f>IF(AE$59="X","",IF(AE$59&lt;&gt;"",AE$59,IF(IFERROR(INDEX(醫師週班表!$C$5:$T$44,$CU41,AE$57),"")=0,"",IF(MID(IFERROR(INDEX(醫師週班表!$C$5:$T$44,$CU41,AE$57),""),2,1)="/",MID(IFERROR(INDEX(醫師週班表!$C$5:$T$44,$CU41,AE$57),""),1+AE$58*2,1),IF(MID(IFERROR(INDEX(醫師週班表!$C$5:$T$44,$CU41,AE$57),""),3,1)="隔",IF(AE$58=0,LEFT(IFERROR(INDEX(醫師週班表!$C$5:$T$44,$CU41,AE$57),""),1),""),IF(MID(IFERROR(INDEX(醫師週班表!$C$5:$T$44,$CU41,AE$57),""),2,1)="(",LEFT(IFERROR(INDEX(醫師週班表!$C$5:$T$44,$CU41,AE$57),""),1),IFERROR(INDEX(醫師週班表!$C$5:$T$44,$CU41,AE$57),"")))))))</f>
        <v/>
      </c>
      <c r="AF41" s="71">
        <f>IF(AF$59="X","",IF(AF$59&lt;&gt;"",AF$59,IF(IFERROR(INDEX(醫師週班表!$C$5:$T$44,$CU41,AF$57),"")=0,"",IF(MID(IFERROR(INDEX(醫師週班表!$C$5:$T$44,$CU41,AF$57),""),2,1)="/",MID(IFERROR(INDEX(醫師週班表!$C$5:$T$44,$CU41,AF$57),""),1+AF$58*2,1),IF(MID(IFERROR(INDEX(醫師週班表!$C$5:$T$44,$CU41,AF$57),""),3,1)="隔",IF(AF$58=0,LEFT(IFERROR(INDEX(醫師週班表!$C$5:$T$44,$CU41,AF$57),""),1),""),IF(MID(IFERROR(INDEX(醫師週班表!$C$5:$T$44,$CU41,AF$57),""),2,1)="(",LEFT(IFERROR(INDEX(醫師週班表!$C$5:$T$44,$CU41,AF$57),""),1),IFERROR(INDEX(醫師週班表!$C$5:$T$44,$CU41,AF$57),"")))))))</f>
        <v/>
      </c>
      <c r="AG41" s="72">
        <f>IF(AG$59="X","",IF(AG$59&lt;&gt;"",AG$59,IF(IFERROR(INDEX(醫師週班表!$C$5:$T$44,$CU41,AG$57),"")=0,"",IF(MID(IFERROR(INDEX(醫師週班表!$C$5:$T$44,$CU41,AG$57),""),2,1)="/",MID(IFERROR(INDEX(醫師週班表!$C$5:$T$44,$CU41,AG$57),""),1+AG$58*2,1),IF(MID(IFERROR(INDEX(醫師週班表!$C$5:$T$44,$CU41,AG$57),""),3,1)="隔",IF(AG$58=0,LEFT(IFERROR(INDEX(醫師週班表!$C$5:$T$44,$CU41,AG$57),""),1),""),IF(MID(IFERROR(INDEX(醫師週班表!$C$5:$T$44,$CU41,AG$57),""),2,1)="(",LEFT(IFERROR(INDEX(醫師週班表!$C$5:$T$44,$CU41,AG$57),""),1),IFERROR(INDEX(醫師週班表!$C$5:$T$44,$CU41,AG$57),"")))))))</f>
        <v/>
      </c>
      <c r="AH41" s="72">
        <f>IF(AH$59="X","",IF(AH$59&lt;&gt;"",AH$59,IF(IFERROR(INDEX(醫師週班表!$C$5:$T$44,$CU41,AH$57),"")=0,"",IF(MID(IFERROR(INDEX(醫師週班表!$C$5:$T$44,$CU41,AH$57),""),2,1)="/",MID(IFERROR(INDEX(醫師週班表!$C$5:$T$44,$CU41,AH$57),""),1+AH$58*2,1),IF(MID(IFERROR(INDEX(醫師週班表!$C$5:$T$44,$CU41,AH$57),""),3,1)="隔",IF(AH$58=0,LEFT(IFERROR(INDEX(醫師週班表!$C$5:$T$44,$CU41,AH$57),""),1),""),IF(MID(IFERROR(INDEX(醫師週班表!$C$5:$T$44,$CU41,AH$57),""),2,1)="(",LEFT(IFERROR(INDEX(醫師週班表!$C$5:$T$44,$CU41,AH$57),""),1),IFERROR(INDEX(醫師週班表!$C$5:$T$44,$CU41,AH$57),"")))))))</f>
        <v/>
      </c>
      <c r="AI41" s="71">
        <f>IF(AI$59="X","",IF(AI$59&lt;&gt;"",AI$59,IF(IFERROR(INDEX(醫師週班表!$C$5:$T$44,$CU41,AI$57),"")=0,"",IF(MID(IFERROR(INDEX(醫師週班表!$C$5:$T$44,$CU41,AI$57),""),2,1)="/",MID(IFERROR(INDEX(醫師週班表!$C$5:$T$44,$CU41,AI$57),""),1+AI$58*2,1),IF(MID(IFERROR(INDEX(醫師週班表!$C$5:$T$44,$CU41,AI$57),""),3,1)="隔",IF(AI$58=0,LEFT(IFERROR(INDEX(醫師週班表!$C$5:$T$44,$CU41,AI$57),""),1),""),IF(MID(IFERROR(INDEX(醫師週班表!$C$5:$T$44,$CU41,AI$57),""),2,1)="(",LEFT(IFERROR(INDEX(醫師週班表!$C$5:$T$44,$CU41,AI$57),""),1),IFERROR(INDEX(醫師週班表!$C$5:$T$44,$CU41,AI$57),"")))))))</f>
        <v/>
      </c>
      <c r="AJ41" s="72">
        <f>IF(AJ$59="X","",IF(AJ$59&lt;&gt;"",AJ$59,IF(IFERROR(INDEX(醫師週班表!$C$5:$T$44,$CU41,AJ$57),"")=0,"",IF(MID(IFERROR(INDEX(醫師週班表!$C$5:$T$44,$CU41,AJ$57),""),2,1)="/",MID(IFERROR(INDEX(醫師週班表!$C$5:$T$44,$CU41,AJ$57),""),1+AJ$58*2,1),IF(MID(IFERROR(INDEX(醫師週班表!$C$5:$T$44,$CU41,AJ$57),""),3,1)="隔",IF(AJ$58=0,LEFT(IFERROR(INDEX(醫師週班表!$C$5:$T$44,$CU41,AJ$57),""),1),""),IF(MID(IFERROR(INDEX(醫師週班表!$C$5:$T$44,$CU41,AJ$57),""),2,1)="(",LEFT(IFERROR(INDEX(醫師週班表!$C$5:$T$44,$CU41,AJ$57),""),1),IFERROR(INDEX(醫師週班表!$C$5:$T$44,$CU41,AJ$57),"")))))))</f>
        <v/>
      </c>
      <c r="AK41" s="72">
        <f>IF(AK$59="X","",IF(AK$59&lt;&gt;"",AK$59,IF(IFERROR(INDEX(醫師週班表!$C$5:$T$44,$CU41,AK$57),"")=0,"",IF(MID(IFERROR(INDEX(醫師週班表!$C$5:$T$44,$CU41,AK$57),""),2,1)="/",MID(IFERROR(INDEX(醫師週班表!$C$5:$T$44,$CU41,AK$57),""),1+AK$58*2,1),IF(MID(IFERROR(INDEX(醫師週班表!$C$5:$T$44,$CU41,AK$57),""),3,1)="隔",IF(AK$58=0,LEFT(IFERROR(INDEX(醫師週班表!$C$5:$T$44,$CU41,AK$57),""),1),""),IF(MID(IFERROR(INDEX(醫師週班表!$C$5:$T$44,$CU41,AK$57),""),2,1)="(",LEFT(IFERROR(INDEX(醫師週班表!$C$5:$T$44,$CU41,AK$57),""),1),IFERROR(INDEX(醫師週班表!$C$5:$T$44,$CU41,AK$57),"")))))))</f>
        <v/>
      </c>
      <c r="AL41" s="71">
        <f>IF(AL$59="X","",IF(AL$59&lt;&gt;"",AL$59,IF(IFERROR(INDEX(醫師週班表!$C$5:$T$44,$CU41,AL$57),"")=0,"",IF(MID(IFERROR(INDEX(醫師週班表!$C$5:$T$44,$CU41,AL$57),""),2,1)="/",MID(IFERROR(INDEX(醫師週班表!$C$5:$T$44,$CU41,AL$57),""),1+AL$58*2,1),IF(MID(IFERROR(INDEX(醫師週班表!$C$5:$T$44,$CU41,AL$57),""),3,1)="隔",IF(AL$58=0,LEFT(IFERROR(INDEX(醫師週班表!$C$5:$T$44,$CU41,AL$57),""),1),""),IF(MID(IFERROR(INDEX(醫師週班表!$C$5:$T$44,$CU41,AL$57),""),2,1)="(",LEFT(IFERROR(INDEX(醫師週班表!$C$5:$T$44,$CU41,AL$57),""),1),IFERROR(INDEX(醫師週班表!$C$5:$T$44,$CU41,AL$57),"")))))))</f>
        <v/>
      </c>
      <c r="AM41" s="72">
        <f>IF(AM$59="X","",IF(AM$59&lt;&gt;"",AM$59,IF(IFERROR(INDEX(醫師週班表!$C$5:$T$44,$CU41,AM$57),"")=0,"",IF(MID(IFERROR(INDEX(醫師週班表!$C$5:$T$44,$CU41,AM$57),""),2,1)="/",MID(IFERROR(INDEX(醫師週班表!$C$5:$T$44,$CU41,AM$57),""),1+AM$58*2,1),IF(MID(IFERROR(INDEX(醫師週班表!$C$5:$T$44,$CU41,AM$57),""),3,1)="隔",IF(AM$58=0,LEFT(IFERROR(INDEX(醫師週班表!$C$5:$T$44,$CU41,AM$57),""),1),""),IF(MID(IFERROR(INDEX(醫師週班表!$C$5:$T$44,$CU41,AM$57),""),2,1)="(",LEFT(IFERROR(INDEX(醫師週班表!$C$5:$T$44,$CU41,AM$57),""),1),IFERROR(INDEX(醫師週班表!$C$5:$T$44,$CU41,AM$57),"")))))))</f>
        <v/>
      </c>
      <c r="AN41" s="72">
        <f>IF(AN$59="X","",IF(AN$59&lt;&gt;"",AN$59,IF(IFERROR(INDEX(醫師週班表!$C$5:$T$44,$CU41,AN$57),"")=0,"",IF(MID(IFERROR(INDEX(醫師週班表!$C$5:$T$44,$CU41,AN$57),""),2,1)="/",MID(IFERROR(INDEX(醫師週班表!$C$5:$T$44,$CU41,AN$57),""),1+AN$58*2,1),IF(MID(IFERROR(INDEX(醫師週班表!$C$5:$T$44,$CU41,AN$57),""),3,1)="隔",IF(AN$58=0,LEFT(IFERROR(INDEX(醫師週班表!$C$5:$T$44,$CU41,AN$57),""),1),""),IF(MID(IFERROR(INDEX(醫師週班表!$C$5:$T$44,$CU41,AN$57),""),2,1)="(",LEFT(IFERROR(INDEX(醫師週班表!$C$5:$T$44,$CU41,AN$57),""),1),IFERROR(INDEX(醫師週班表!$C$5:$T$44,$CU41,AN$57),"")))))))</f>
        <v/>
      </c>
      <c r="AO41" s="71">
        <f>IF(AO$59="X","",IF(AO$59&lt;&gt;"",AO$59,IF(IFERROR(INDEX(醫師週班表!$C$5:$T$44,$CU41,AO$57),"")=0,"",IF(MID(IFERROR(INDEX(醫師週班表!$C$5:$T$44,$CU41,AO$57),""),2,1)="/",MID(IFERROR(INDEX(醫師週班表!$C$5:$T$44,$CU41,AO$57),""),1+AO$58*2,1),IF(MID(IFERROR(INDEX(醫師週班表!$C$5:$T$44,$CU41,AO$57),""),3,1)="隔",IF(AO$58=0,LEFT(IFERROR(INDEX(醫師週班表!$C$5:$T$44,$CU41,AO$57),""),1),""),IF(MID(IFERROR(INDEX(醫師週班表!$C$5:$T$44,$CU41,AO$57),""),2,1)="(",LEFT(IFERROR(INDEX(醫師週班表!$C$5:$T$44,$CU41,AO$57),""),1),IFERROR(INDEX(醫師週班表!$C$5:$T$44,$CU41,AO$57),"")))))))</f>
        <v/>
      </c>
      <c r="AP41" s="72">
        <f>IF(AP$59="X","",IF(AP$59&lt;&gt;"",AP$59,IF(IFERROR(INDEX(醫師週班表!$C$5:$T$44,$CU41,AP$57),"")=0,"",IF(MID(IFERROR(INDEX(醫師週班表!$C$5:$T$44,$CU41,AP$57),""),2,1)="/",MID(IFERROR(INDEX(醫師週班表!$C$5:$T$44,$CU41,AP$57),""),1+AP$58*2,1),IF(MID(IFERROR(INDEX(醫師週班表!$C$5:$T$44,$CU41,AP$57),""),3,1)="隔",IF(AP$58=0,LEFT(IFERROR(INDEX(醫師週班表!$C$5:$T$44,$CU41,AP$57),""),1),""),IF(MID(IFERROR(INDEX(醫師週班表!$C$5:$T$44,$CU41,AP$57),""),2,1)="(",LEFT(IFERROR(INDEX(醫師週班表!$C$5:$T$44,$CU41,AP$57),""),1),IFERROR(INDEX(醫師週班表!$C$5:$T$44,$CU41,AP$57),"")))))))</f>
        <v/>
      </c>
      <c r="AQ41" s="72">
        <f>IF(AQ$59="X","",IF(AQ$59&lt;&gt;"",AQ$59,IF(IFERROR(INDEX(醫師週班表!$C$5:$T$44,$CU41,AQ$57),"")=0,"",IF(MID(IFERROR(INDEX(醫師週班表!$C$5:$T$44,$CU41,AQ$57),""),2,1)="/",MID(IFERROR(INDEX(醫師週班表!$C$5:$T$44,$CU41,AQ$57),""),1+AQ$58*2,1),IF(MID(IFERROR(INDEX(醫師週班表!$C$5:$T$44,$CU41,AQ$57),""),3,1)="隔",IF(AQ$58=0,LEFT(IFERROR(INDEX(醫師週班表!$C$5:$T$44,$CU41,AQ$57),""),1),""),IF(MID(IFERROR(INDEX(醫師週班表!$C$5:$T$44,$CU41,AQ$57),""),2,1)="(",LEFT(IFERROR(INDEX(醫師週班表!$C$5:$T$44,$CU41,AQ$57),""),1),IFERROR(INDEX(醫師週班表!$C$5:$T$44,$CU41,AQ$57),"")))))))</f>
        <v/>
      </c>
      <c r="AR41" s="71">
        <f>IF(AR$59="X","",IF(AR$59&lt;&gt;"",AR$59,IF(IFERROR(INDEX(醫師週班表!$C$5:$T$44,$CU41,AR$57),"")=0,"",IF(MID(IFERROR(INDEX(醫師週班表!$C$5:$T$44,$CU41,AR$57),""),2,1)="/",MID(IFERROR(INDEX(醫師週班表!$C$5:$T$44,$CU41,AR$57),""),1+AR$58*2,1),IF(MID(IFERROR(INDEX(醫師週班表!$C$5:$T$44,$CU41,AR$57),""),3,1)="隔",IF(AR$58=0,LEFT(IFERROR(INDEX(醫師週班表!$C$5:$T$44,$CU41,AR$57),""),1),""),IF(MID(IFERROR(INDEX(醫師週班表!$C$5:$T$44,$CU41,AR$57),""),2,1)="(",LEFT(IFERROR(INDEX(醫師週班表!$C$5:$T$44,$CU41,AR$57),""),1),IFERROR(INDEX(醫師週班表!$C$5:$T$44,$CU41,AR$57),"")))))))</f>
        <v/>
      </c>
      <c r="AS41" s="72">
        <f>IF(AS$59="X","",IF(AS$59&lt;&gt;"",AS$59,IF(IFERROR(INDEX(醫師週班表!$C$5:$T$44,$CU41,AS$57),"")=0,"",IF(MID(IFERROR(INDEX(醫師週班表!$C$5:$T$44,$CU41,AS$57),""),2,1)="/",MID(IFERROR(INDEX(醫師週班表!$C$5:$T$44,$CU41,AS$57),""),1+AS$58*2,1),IF(MID(IFERROR(INDEX(醫師週班表!$C$5:$T$44,$CU41,AS$57),""),3,1)="隔",IF(AS$58=0,LEFT(IFERROR(INDEX(醫師週班表!$C$5:$T$44,$CU41,AS$57),""),1),""),IF(MID(IFERROR(INDEX(醫師週班表!$C$5:$T$44,$CU41,AS$57),""),2,1)="(",LEFT(IFERROR(INDEX(醫師週班表!$C$5:$T$44,$CU41,AS$57),""),1),IFERROR(INDEX(醫師週班表!$C$5:$T$44,$CU41,AS$57),"")))))))</f>
        <v/>
      </c>
      <c r="AT41" s="72">
        <f>IF(AT$59="X","",IF(AT$59&lt;&gt;"",AT$59,IF(IFERROR(INDEX(醫師週班表!$C$5:$T$44,$CU41,AT$57),"")=0,"",IF(MID(IFERROR(INDEX(醫師週班表!$C$5:$T$44,$CU41,AT$57),""),2,1)="/",MID(IFERROR(INDEX(醫師週班表!$C$5:$T$44,$CU41,AT$57),""),1+AT$58*2,1),IF(MID(IFERROR(INDEX(醫師週班表!$C$5:$T$44,$CU41,AT$57),""),3,1)="隔",IF(AT$58=0,LEFT(IFERROR(INDEX(醫師週班表!$C$5:$T$44,$CU41,AT$57),""),1),""),IF(MID(IFERROR(INDEX(醫師週班表!$C$5:$T$44,$CU41,AT$57),""),2,1)="(",LEFT(IFERROR(INDEX(醫師週班表!$C$5:$T$44,$CU41,AT$57),""),1),IFERROR(INDEX(醫師週班表!$C$5:$T$44,$CU41,AT$57),"")))))))</f>
        <v/>
      </c>
      <c r="AU41" s="71">
        <f>IF(AU$59="X","",IF(AU$59&lt;&gt;"",AU$59,IF(IFERROR(INDEX(醫師週班表!$C$5:$T$44,$CU41,AU$57),"")=0,"",IF(MID(IFERROR(INDEX(醫師週班表!$C$5:$T$44,$CU41,AU$57),""),2,1)="/",MID(IFERROR(INDEX(醫師週班表!$C$5:$T$44,$CU41,AU$57),""),1+AU$58*2,1),IF(MID(IFERROR(INDEX(醫師週班表!$C$5:$T$44,$CU41,AU$57),""),3,1)="隔",IF(AU$58=0,LEFT(IFERROR(INDEX(醫師週班表!$C$5:$T$44,$CU41,AU$57),""),1),""),IF(MID(IFERROR(INDEX(醫師週班表!$C$5:$T$44,$CU41,AU$57),""),2,1)="(",LEFT(IFERROR(INDEX(醫師週班表!$C$5:$T$44,$CU41,AU$57),""),1),IFERROR(INDEX(醫師週班表!$C$5:$T$44,$CU41,AU$57),"")))))))</f>
        <v/>
      </c>
      <c r="AV41" s="72">
        <f>IF(AV$59="X","",IF(AV$59&lt;&gt;"",AV$59,IF(IFERROR(INDEX(醫師週班表!$C$5:$T$44,$CU41,AV$57),"")=0,"",IF(MID(IFERROR(INDEX(醫師週班表!$C$5:$T$44,$CU41,AV$57),""),2,1)="/",MID(IFERROR(INDEX(醫師週班表!$C$5:$T$44,$CU41,AV$57),""),1+AV$58*2,1),IF(MID(IFERROR(INDEX(醫師週班表!$C$5:$T$44,$CU41,AV$57),""),3,1)="隔",IF(AV$58=0,LEFT(IFERROR(INDEX(醫師週班表!$C$5:$T$44,$CU41,AV$57),""),1),""),IF(MID(IFERROR(INDEX(醫師週班表!$C$5:$T$44,$CU41,AV$57),""),2,1)="(",LEFT(IFERROR(INDEX(醫師週班表!$C$5:$T$44,$CU41,AV$57),""),1),IFERROR(INDEX(醫師週班表!$C$5:$T$44,$CU41,AV$57),"")))))))</f>
        <v/>
      </c>
      <c r="AW41" s="72">
        <f>IF(AW$59="X","",IF(AW$59&lt;&gt;"",AW$59,IF(IFERROR(INDEX(醫師週班表!$C$5:$T$44,$CU41,AW$57),"")=0,"",IF(MID(IFERROR(INDEX(醫師週班表!$C$5:$T$44,$CU41,AW$57),""),2,1)="/",MID(IFERROR(INDEX(醫師週班表!$C$5:$T$44,$CU41,AW$57),""),1+AW$58*2,1),IF(MID(IFERROR(INDEX(醫師週班表!$C$5:$T$44,$CU41,AW$57),""),3,1)="隔",IF(AW$58=0,LEFT(IFERROR(INDEX(醫師週班表!$C$5:$T$44,$CU41,AW$57),""),1),""),IF(MID(IFERROR(INDEX(醫師週班表!$C$5:$T$44,$CU41,AW$57),""),2,1)="(",LEFT(IFERROR(INDEX(醫師週班表!$C$5:$T$44,$CU41,AW$57),""),1),IFERROR(INDEX(醫師週班表!$C$5:$T$44,$CU41,AW$57),"")))))))</f>
        <v/>
      </c>
      <c r="AX41" s="71">
        <f>IF(AX$59="X","",IF(AX$59&lt;&gt;"",AX$59,IF(IFERROR(INDEX(醫師週班表!$C$5:$T$44,$CU41,AX$57),"")=0,"",IF(MID(IFERROR(INDEX(醫師週班表!$C$5:$T$44,$CU41,AX$57),""),2,1)="/",MID(IFERROR(INDEX(醫師週班表!$C$5:$T$44,$CU41,AX$57),""),1+AX$58*2,1),IF(MID(IFERROR(INDEX(醫師週班表!$C$5:$T$44,$CU41,AX$57),""),3,1)="隔",IF(AX$58=0,LEFT(IFERROR(INDEX(醫師週班表!$C$5:$T$44,$CU41,AX$57),""),1),""),IF(MID(IFERROR(INDEX(醫師週班表!$C$5:$T$44,$CU41,AX$57),""),2,1)="(",LEFT(IFERROR(INDEX(醫師週班表!$C$5:$T$44,$CU41,AX$57),""),1),IFERROR(INDEX(醫師週班表!$C$5:$T$44,$CU41,AX$57),"")))))))</f>
        <v/>
      </c>
      <c r="AY41" s="72">
        <f>IF(AY$59="X","",IF(AY$59&lt;&gt;"",AY$59,IF(IFERROR(INDEX(醫師週班表!$C$5:$T$44,$CU41,AY$57),"")=0,"",IF(MID(IFERROR(INDEX(醫師週班表!$C$5:$T$44,$CU41,AY$57),""),2,1)="/",MID(IFERROR(INDEX(醫師週班表!$C$5:$T$44,$CU41,AY$57),""),1+AY$58*2,1),IF(MID(IFERROR(INDEX(醫師週班表!$C$5:$T$44,$CU41,AY$57),""),3,1)="隔",IF(AY$58=0,LEFT(IFERROR(INDEX(醫師週班表!$C$5:$T$44,$CU41,AY$57),""),1),""),IF(MID(IFERROR(INDEX(醫師週班表!$C$5:$T$44,$CU41,AY$57),""),2,1)="(",LEFT(IFERROR(INDEX(醫師週班表!$C$5:$T$44,$CU41,AY$57),""),1),IFERROR(INDEX(醫師週班表!$C$5:$T$44,$CU41,AY$57),"")))))))</f>
        <v/>
      </c>
      <c r="AZ41" s="72">
        <f>IF(AZ$59="X","",IF(AZ$59&lt;&gt;"",AZ$59,IF(IFERROR(INDEX(醫師週班表!$C$5:$T$44,$CU41,AZ$57),"")=0,"",IF(MID(IFERROR(INDEX(醫師週班表!$C$5:$T$44,$CU41,AZ$57),""),2,1)="/",MID(IFERROR(INDEX(醫師週班表!$C$5:$T$44,$CU41,AZ$57),""),1+AZ$58*2,1),IF(MID(IFERROR(INDEX(醫師週班表!$C$5:$T$44,$CU41,AZ$57),""),3,1)="隔",IF(AZ$58=0,LEFT(IFERROR(INDEX(醫師週班表!$C$5:$T$44,$CU41,AZ$57),""),1),""),IF(MID(IFERROR(INDEX(醫師週班表!$C$5:$T$44,$CU41,AZ$57),""),2,1)="(",LEFT(IFERROR(INDEX(醫師週班表!$C$5:$T$44,$CU41,AZ$57),""),1),IFERROR(INDEX(醫師週班表!$C$5:$T$44,$CU41,AZ$57),"")))))))</f>
        <v/>
      </c>
      <c r="BA41" s="71">
        <f>IF(BA$59="X","",IF(BA$59&lt;&gt;"",BA$59,IF(IFERROR(INDEX(醫師週班表!$C$5:$T$44,$CU41,BA$57),"")=0,"",IF(MID(IFERROR(INDEX(醫師週班表!$C$5:$T$44,$CU41,BA$57),""),2,1)="/",MID(IFERROR(INDEX(醫師週班表!$C$5:$T$44,$CU41,BA$57),""),1+BA$58*2,1),IF(MID(IFERROR(INDEX(醫師週班表!$C$5:$T$44,$CU41,BA$57),""),3,1)="隔",IF(BA$58=0,LEFT(IFERROR(INDEX(醫師週班表!$C$5:$T$44,$CU41,BA$57),""),1),""),IF(MID(IFERROR(INDEX(醫師週班表!$C$5:$T$44,$CU41,BA$57),""),2,1)="(",LEFT(IFERROR(INDEX(醫師週班表!$C$5:$T$44,$CU41,BA$57),""),1),IFERROR(INDEX(醫師週班表!$C$5:$T$44,$CU41,BA$57),"")))))))</f>
        <v/>
      </c>
      <c r="BB41" s="72">
        <f>IF(BB$59="X","",IF(BB$59&lt;&gt;"",BB$59,IF(IFERROR(INDEX(醫師週班表!$C$5:$T$44,$CU41,BB$57),"")=0,"",IF(MID(IFERROR(INDEX(醫師週班表!$C$5:$T$44,$CU41,BB$57),""),2,1)="/",MID(IFERROR(INDEX(醫師週班表!$C$5:$T$44,$CU41,BB$57),""),1+BB$58*2,1),IF(MID(IFERROR(INDEX(醫師週班表!$C$5:$T$44,$CU41,BB$57),""),3,1)="隔",IF(BB$58=0,LEFT(IFERROR(INDEX(醫師週班表!$C$5:$T$44,$CU41,BB$57),""),1),""),IF(MID(IFERROR(INDEX(醫師週班表!$C$5:$T$44,$CU41,BB$57),""),2,1)="(",LEFT(IFERROR(INDEX(醫師週班表!$C$5:$T$44,$CU41,BB$57),""),1),IFERROR(INDEX(醫師週班表!$C$5:$T$44,$CU41,BB$57),"")))))))</f>
        <v/>
      </c>
      <c r="BC41" s="72">
        <f>IF(BC$59="X","",IF(BC$59&lt;&gt;"",BC$59,IF(IFERROR(INDEX(醫師週班表!$C$5:$T$44,$CU41,BC$57),"")=0,"",IF(MID(IFERROR(INDEX(醫師週班表!$C$5:$T$44,$CU41,BC$57),""),2,1)="/",MID(IFERROR(INDEX(醫師週班表!$C$5:$T$44,$CU41,BC$57),""),1+BC$58*2,1),IF(MID(IFERROR(INDEX(醫師週班表!$C$5:$T$44,$CU41,BC$57),""),3,1)="隔",IF(BC$58=0,LEFT(IFERROR(INDEX(醫師週班表!$C$5:$T$44,$CU41,BC$57),""),1),""),IF(MID(IFERROR(INDEX(醫師週班表!$C$5:$T$44,$CU41,BC$57),""),2,1)="(",LEFT(IFERROR(INDEX(醫師週班表!$C$5:$T$44,$CU41,BC$57),""),1),IFERROR(INDEX(醫師週班表!$C$5:$T$44,$CU41,BC$57),"")))))))</f>
        <v/>
      </c>
      <c r="BD41" s="71">
        <f>IF(BD$59="X","",IF(BD$59&lt;&gt;"",BD$59,IF(IFERROR(INDEX(醫師週班表!$C$5:$T$44,$CU41,BD$57),"")=0,"",IF(MID(IFERROR(INDEX(醫師週班表!$C$5:$T$44,$CU41,BD$57),""),2,1)="/",MID(IFERROR(INDEX(醫師週班表!$C$5:$T$44,$CU41,BD$57),""),1+BD$58*2,1),IF(MID(IFERROR(INDEX(醫師週班表!$C$5:$T$44,$CU41,BD$57),""),3,1)="隔",IF(BD$58=0,LEFT(IFERROR(INDEX(醫師週班表!$C$5:$T$44,$CU41,BD$57),""),1),""),IF(MID(IFERROR(INDEX(醫師週班表!$C$5:$T$44,$CU41,BD$57),""),2,1)="(",LEFT(IFERROR(INDEX(醫師週班表!$C$5:$T$44,$CU41,BD$57),""),1),IFERROR(INDEX(醫師週班表!$C$5:$T$44,$CU41,BD$57),"")))))))</f>
        <v/>
      </c>
      <c r="BE41" s="72">
        <f>IF(BE$59="X","",IF(BE$59&lt;&gt;"",BE$59,IF(IFERROR(INDEX(醫師週班表!$C$5:$T$44,$CU41,BE$57),"")=0,"",IF(MID(IFERROR(INDEX(醫師週班表!$C$5:$T$44,$CU41,BE$57),""),2,1)="/",MID(IFERROR(INDEX(醫師週班表!$C$5:$T$44,$CU41,BE$57),""),1+BE$58*2,1),IF(MID(IFERROR(INDEX(醫師週班表!$C$5:$T$44,$CU41,BE$57),""),3,1)="隔",IF(BE$58=0,LEFT(IFERROR(INDEX(醫師週班表!$C$5:$T$44,$CU41,BE$57),""),1),""),IF(MID(IFERROR(INDEX(醫師週班表!$C$5:$T$44,$CU41,BE$57),""),2,1)="(",LEFT(IFERROR(INDEX(醫師週班表!$C$5:$T$44,$CU41,BE$57),""),1),IFERROR(INDEX(醫師週班表!$C$5:$T$44,$CU41,BE$57),"")))))))</f>
        <v/>
      </c>
      <c r="BF41" s="72">
        <f>IF(BF$59="X","",IF(BF$59&lt;&gt;"",BF$59,IF(IFERROR(INDEX(醫師週班表!$C$5:$T$44,$CU41,BF$57),"")=0,"",IF(MID(IFERROR(INDEX(醫師週班表!$C$5:$T$44,$CU41,BF$57),""),2,1)="/",MID(IFERROR(INDEX(醫師週班表!$C$5:$T$44,$CU41,BF$57),""),1+BF$58*2,1),IF(MID(IFERROR(INDEX(醫師週班表!$C$5:$T$44,$CU41,BF$57),""),3,1)="隔",IF(BF$58=0,LEFT(IFERROR(INDEX(醫師週班表!$C$5:$T$44,$CU41,BF$57),""),1),""),IF(MID(IFERROR(INDEX(醫師週班表!$C$5:$T$44,$CU41,BF$57),""),2,1)="(",LEFT(IFERROR(INDEX(醫師週班表!$C$5:$T$44,$CU41,BF$57),""),1),IFERROR(INDEX(醫師週班表!$C$5:$T$44,$CU41,BF$57),"")))))))</f>
        <v/>
      </c>
      <c r="BG41" s="71">
        <f>IF(BG$59="X","",IF(BG$59&lt;&gt;"",BG$59,IF(IFERROR(INDEX(醫師週班表!$C$5:$T$44,$CU41,BG$57),"")=0,"",IF(MID(IFERROR(INDEX(醫師週班表!$C$5:$T$44,$CU41,BG$57),""),2,1)="/",MID(IFERROR(INDEX(醫師週班表!$C$5:$T$44,$CU41,BG$57),""),1+BG$58*2,1),IF(MID(IFERROR(INDEX(醫師週班表!$C$5:$T$44,$CU41,BG$57),""),3,1)="隔",IF(BG$58=0,LEFT(IFERROR(INDEX(醫師週班表!$C$5:$T$44,$CU41,BG$57),""),1),""),IF(MID(IFERROR(INDEX(醫師週班表!$C$5:$T$44,$CU41,BG$57),""),2,1)="(",LEFT(IFERROR(INDEX(醫師週班表!$C$5:$T$44,$CU41,BG$57),""),1),IFERROR(INDEX(醫師週班表!$C$5:$T$44,$CU41,BG$57),"")))))))</f>
        <v/>
      </c>
      <c r="BH41" s="72">
        <f>IF(BH$59="X","",IF(BH$59&lt;&gt;"",BH$59,IF(IFERROR(INDEX(醫師週班表!$C$5:$T$44,$CU41,BH$57),"")=0,"",IF(MID(IFERROR(INDEX(醫師週班表!$C$5:$T$44,$CU41,BH$57),""),2,1)="/",MID(IFERROR(INDEX(醫師週班表!$C$5:$T$44,$CU41,BH$57),""),1+BH$58*2,1),IF(MID(IFERROR(INDEX(醫師週班表!$C$5:$T$44,$CU41,BH$57),""),3,1)="隔",IF(BH$58=0,LEFT(IFERROR(INDEX(醫師週班表!$C$5:$T$44,$CU41,BH$57),""),1),""),IF(MID(IFERROR(INDEX(醫師週班表!$C$5:$T$44,$CU41,BH$57),""),2,1)="(",LEFT(IFERROR(INDEX(醫師週班表!$C$5:$T$44,$CU41,BH$57),""),1),IFERROR(INDEX(醫師週班表!$C$5:$T$44,$CU41,BH$57),"")))))))</f>
        <v/>
      </c>
      <c r="BI41" s="72">
        <f>IF(BI$59="X","",IF(BI$59&lt;&gt;"",BI$59,IF(IFERROR(INDEX(醫師週班表!$C$5:$T$44,$CU41,BI$57),"")=0,"",IF(MID(IFERROR(INDEX(醫師週班表!$C$5:$T$44,$CU41,BI$57),""),2,1)="/",MID(IFERROR(INDEX(醫師週班表!$C$5:$T$44,$CU41,BI$57),""),1+BI$58*2,1),IF(MID(IFERROR(INDEX(醫師週班表!$C$5:$T$44,$CU41,BI$57),""),3,1)="隔",IF(BI$58=0,LEFT(IFERROR(INDEX(醫師週班表!$C$5:$T$44,$CU41,BI$57),""),1),""),IF(MID(IFERROR(INDEX(醫師週班表!$C$5:$T$44,$CU41,BI$57),""),2,1)="(",LEFT(IFERROR(INDEX(醫師週班表!$C$5:$T$44,$CU41,BI$57),""),1),IFERROR(INDEX(醫師週班表!$C$5:$T$44,$CU41,BI$57),"")))))))</f>
        <v/>
      </c>
      <c r="BJ41" s="71">
        <f>IF(BJ$59="X","",IF(BJ$59&lt;&gt;"",BJ$59,IF(IFERROR(INDEX(醫師週班表!$C$5:$T$44,$CU41,BJ$57),"")=0,"",IF(MID(IFERROR(INDEX(醫師週班表!$C$5:$T$44,$CU41,BJ$57),""),2,1)="/",MID(IFERROR(INDEX(醫師週班表!$C$5:$T$44,$CU41,BJ$57),""),1+BJ$58*2,1),IF(MID(IFERROR(INDEX(醫師週班表!$C$5:$T$44,$CU41,BJ$57),""),3,1)="隔",IF(BJ$58=0,LEFT(IFERROR(INDEX(醫師週班表!$C$5:$T$44,$CU41,BJ$57),""),1),""),IF(MID(IFERROR(INDEX(醫師週班表!$C$5:$T$44,$CU41,BJ$57),""),2,1)="(",LEFT(IFERROR(INDEX(醫師週班表!$C$5:$T$44,$CU41,BJ$57),""),1),IFERROR(INDEX(醫師週班表!$C$5:$T$44,$CU41,BJ$57),"")))))))</f>
        <v/>
      </c>
      <c r="BK41" s="72">
        <f>IF(BK$59="X","",IF(BK$59&lt;&gt;"",BK$59,IF(IFERROR(INDEX(醫師週班表!$C$5:$T$44,$CU41,BK$57),"")=0,"",IF(MID(IFERROR(INDEX(醫師週班表!$C$5:$T$44,$CU41,BK$57),""),2,1)="/",MID(IFERROR(INDEX(醫師週班表!$C$5:$T$44,$CU41,BK$57),""),1+BK$58*2,1),IF(MID(IFERROR(INDEX(醫師週班表!$C$5:$T$44,$CU41,BK$57),""),3,1)="隔",IF(BK$58=0,LEFT(IFERROR(INDEX(醫師週班表!$C$5:$T$44,$CU41,BK$57),""),1),""),IF(MID(IFERROR(INDEX(醫師週班表!$C$5:$T$44,$CU41,BK$57),""),2,1)="(",LEFT(IFERROR(INDEX(醫師週班表!$C$5:$T$44,$CU41,BK$57),""),1),IFERROR(INDEX(醫師週班表!$C$5:$T$44,$CU41,BK$57),"")))))))</f>
        <v/>
      </c>
      <c r="BL41" s="72">
        <f>IF(BL$59="X","",IF(BL$59&lt;&gt;"",BL$59,IF(IFERROR(INDEX(醫師週班表!$C$5:$T$44,$CU41,BL$57),"")=0,"",IF(MID(IFERROR(INDEX(醫師週班表!$C$5:$T$44,$CU41,BL$57),""),2,1)="/",MID(IFERROR(INDEX(醫師週班表!$C$5:$T$44,$CU41,BL$57),""),1+BL$58*2,1),IF(MID(IFERROR(INDEX(醫師週班表!$C$5:$T$44,$CU41,BL$57),""),3,1)="隔",IF(BL$58=0,LEFT(IFERROR(INDEX(醫師週班表!$C$5:$T$44,$CU41,BL$57),""),1),""),IF(MID(IFERROR(INDEX(醫師週班表!$C$5:$T$44,$CU41,BL$57),""),2,1)="(",LEFT(IFERROR(INDEX(醫師週班表!$C$5:$T$44,$CU41,BL$57),""),1),IFERROR(INDEX(醫師週班表!$C$5:$T$44,$CU41,BL$57),"")))))))</f>
        <v/>
      </c>
      <c r="BM41" s="71">
        <f>IF(BM$59="X","",IF(BM$59&lt;&gt;"",BM$59,IF(IFERROR(INDEX(醫師週班表!$C$5:$T$44,$CU41,BM$57),"")=0,"",IF(MID(IFERROR(INDEX(醫師週班表!$C$5:$T$44,$CU41,BM$57),""),2,1)="/",MID(IFERROR(INDEX(醫師週班表!$C$5:$T$44,$CU41,BM$57),""),1+BM$58*2,1),IF(MID(IFERROR(INDEX(醫師週班表!$C$5:$T$44,$CU41,BM$57),""),3,1)="隔",IF(BM$58=0,LEFT(IFERROR(INDEX(醫師週班表!$C$5:$T$44,$CU41,BM$57),""),1),""),IF(MID(IFERROR(INDEX(醫師週班表!$C$5:$T$44,$CU41,BM$57),""),2,1)="(",LEFT(IFERROR(INDEX(醫師週班表!$C$5:$T$44,$CU41,BM$57),""),1),IFERROR(INDEX(醫師週班表!$C$5:$T$44,$CU41,BM$57),"")))))))</f>
        <v/>
      </c>
      <c r="BN41" s="72">
        <f>IF(BN$59="X","",IF(BN$59&lt;&gt;"",BN$59,IF(IFERROR(INDEX(醫師週班表!$C$5:$T$44,$CU41,BN$57),"")=0,"",IF(MID(IFERROR(INDEX(醫師週班表!$C$5:$T$44,$CU41,BN$57),""),2,1)="/",MID(IFERROR(INDEX(醫師週班表!$C$5:$T$44,$CU41,BN$57),""),1+BN$58*2,1),IF(MID(IFERROR(INDEX(醫師週班表!$C$5:$T$44,$CU41,BN$57),""),3,1)="隔",IF(BN$58=0,LEFT(IFERROR(INDEX(醫師週班表!$C$5:$T$44,$CU41,BN$57),""),1),""),IF(MID(IFERROR(INDEX(醫師週班表!$C$5:$T$44,$CU41,BN$57),""),2,1)="(",LEFT(IFERROR(INDEX(醫師週班表!$C$5:$T$44,$CU41,BN$57),""),1),IFERROR(INDEX(醫師週班表!$C$5:$T$44,$CU41,BN$57),"")))))))</f>
        <v/>
      </c>
      <c r="BO41" s="72">
        <f>IF(BO$59="X","",IF(BO$59&lt;&gt;"",BO$59,IF(IFERROR(INDEX(醫師週班表!$C$5:$T$44,$CU41,BO$57),"")=0,"",IF(MID(IFERROR(INDEX(醫師週班表!$C$5:$T$44,$CU41,BO$57),""),2,1)="/",MID(IFERROR(INDEX(醫師週班表!$C$5:$T$44,$CU41,BO$57),""),1+BO$58*2,1),IF(MID(IFERROR(INDEX(醫師週班表!$C$5:$T$44,$CU41,BO$57),""),3,1)="隔",IF(BO$58=0,LEFT(IFERROR(INDEX(醫師週班表!$C$5:$T$44,$CU41,BO$57),""),1),""),IF(MID(IFERROR(INDEX(醫師週班表!$C$5:$T$44,$CU41,BO$57),""),2,1)="(",LEFT(IFERROR(INDEX(醫師週班表!$C$5:$T$44,$CU41,BO$57),""),1),IFERROR(INDEX(醫師週班表!$C$5:$T$44,$CU41,BO$57),"")))))))</f>
        <v/>
      </c>
      <c r="BP41" s="71">
        <f>IF(BP$59="X","",IF(BP$59&lt;&gt;"",BP$59,IF(IFERROR(INDEX(醫師週班表!$C$5:$T$44,$CU41,BP$57),"")=0,"",IF(MID(IFERROR(INDEX(醫師週班表!$C$5:$T$44,$CU41,BP$57),""),2,1)="/",MID(IFERROR(INDEX(醫師週班表!$C$5:$T$44,$CU41,BP$57),""),1+BP$58*2,1),IF(MID(IFERROR(INDEX(醫師週班表!$C$5:$T$44,$CU41,BP$57),""),3,1)="隔",IF(BP$58=0,LEFT(IFERROR(INDEX(醫師週班表!$C$5:$T$44,$CU41,BP$57),""),1),""),IF(MID(IFERROR(INDEX(醫師週班表!$C$5:$T$44,$CU41,BP$57),""),2,1)="(",LEFT(IFERROR(INDEX(醫師週班表!$C$5:$T$44,$CU41,BP$57),""),1),IFERROR(INDEX(醫師週班表!$C$5:$T$44,$CU41,BP$57),"")))))))</f>
        <v/>
      </c>
      <c r="BQ41" s="72">
        <f>IF(BQ$59="X","",IF(BQ$59&lt;&gt;"",BQ$59,IF(IFERROR(INDEX(醫師週班表!$C$5:$T$44,$CU41,BQ$57),"")=0,"",IF(MID(IFERROR(INDEX(醫師週班表!$C$5:$T$44,$CU41,BQ$57),""),2,1)="/",MID(IFERROR(INDEX(醫師週班表!$C$5:$T$44,$CU41,BQ$57),""),1+BQ$58*2,1),IF(MID(IFERROR(INDEX(醫師週班表!$C$5:$T$44,$CU41,BQ$57),""),3,1)="隔",IF(BQ$58=0,LEFT(IFERROR(INDEX(醫師週班表!$C$5:$T$44,$CU41,BQ$57),""),1),""),IF(MID(IFERROR(INDEX(醫師週班表!$C$5:$T$44,$CU41,BQ$57),""),2,1)="(",LEFT(IFERROR(INDEX(醫師週班表!$C$5:$T$44,$CU41,BQ$57),""),1),IFERROR(INDEX(醫師週班表!$C$5:$T$44,$CU41,BQ$57),"")))))))</f>
        <v/>
      </c>
      <c r="BR41" s="72">
        <f>IF(BR$59="X","",IF(BR$59&lt;&gt;"",BR$59,IF(IFERROR(INDEX(醫師週班表!$C$5:$T$44,$CU41,BR$57),"")=0,"",IF(MID(IFERROR(INDEX(醫師週班表!$C$5:$T$44,$CU41,BR$57),""),2,1)="/",MID(IFERROR(INDEX(醫師週班表!$C$5:$T$44,$CU41,BR$57),""),1+BR$58*2,1),IF(MID(IFERROR(INDEX(醫師週班表!$C$5:$T$44,$CU41,BR$57),""),3,1)="隔",IF(BR$58=0,LEFT(IFERROR(INDEX(醫師週班表!$C$5:$T$44,$CU41,BR$57),""),1),""),IF(MID(IFERROR(INDEX(醫師週班表!$C$5:$T$44,$CU41,BR$57),""),2,1)="(",LEFT(IFERROR(INDEX(醫師週班表!$C$5:$T$44,$CU41,BR$57),""),1),IFERROR(INDEX(醫師週班表!$C$5:$T$44,$CU41,BR$57),"")))))))</f>
        <v/>
      </c>
      <c r="BS41" s="71">
        <f>IF(BS$59="X","",IF(BS$59&lt;&gt;"",BS$59,IF(IFERROR(INDEX(醫師週班表!$C$5:$T$44,$CU41,BS$57),"")=0,"",IF(MID(IFERROR(INDEX(醫師週班表!$C$5:$T$44,$CU41,BS$57),""),2,1)="/",MID(IFERROR(INDEX(醫師週班表!$C$5:$T$44,$CU41,BS$57),""),1+BS$58*2,1),IF(MID(IFERROR(INDEX(醫師週班表!$C$5:$T$44,$CU41,BS$57),""),3,1)="隔",IF(BS$58=0,LEFT(IFERROR(INDEX(醫師週班表!$C$5:$T$44,$CU41,BS$57),""),1),""),IF(MID(IFERROR(INDEX(醫師週班表!$C$5:$T$44,$CU41,BS$57),""),2,1)="(",LEFT(IFERROR(INDEX(醫師週班表!$C$5:$T$44,$CU41,BS$57),""),1),IFERROR(INDEX(醫師週班表!$C$5:$T$44,$CU41,BS$57),"")))))))</f>
        <v/>
      </c>
      <c r="BT41" s="72">
        <f>IF(BT$59="X","",IF(BT$59&lt;&gt;"",BT$59,IF(IFERROR(INDEX(醫師週班表!$C$5:$T$44,$CU41,BT$57),"")=0,"",IF(MID(IFERROR(INDEX(醫師週班表!$C$5:$T$44,$CU41,BT$57),""),2,1)="/",MID(IFERROR(INDEX(醫師週班表!$C$5:$T$44,$CU41,BT$57),""),1+BT$58*2,1),IF(MID(IFERROR(INDEX(醫師週班表!$C$5:$T$44,$CU41,BT$57),""),3,1)="隔",IF(BT$58=0,LEFT(IFERROR(INDEX(醫師週班表!$C$5:$T$44,$CU41,BT$57),""),1),""),IF(MID(IFERROR(INDEX(醫師週班表!$C$5:$T$44,$CU41,BT$57),""),2,1)="(",LEFT(IFERROR(INDEX(醫師週班表!$C$5:$T$44,$CU41,BT$57),""),1),IFERROR(INDEX(醫師週班表!$C$5:$T$44,$CU41,BT$57),"")))))))</f>
        <v/>
      </c>
      <c r="BU41" s="72">
        <f>IF(BU$59="X","",IF(BU$59&lt;&gt;"",BU$59,IF(IFERROR(INDEX(醫師週班表!$C$5:$T$44,$CU41,BU$57),"")=0,"",IF(MID(IFERROR(INDEX(醫師週班表!$C$5:$T$44,$CU41,BU$57),""),2,1)="/",MID(IFERROR(INDEX(醫師週班表!$C$5:$T$44,$CU41,BU$57),""),1+BU$58*2,1),IF(MID(IFERROR(INDEX(醫師週班表!$C$5:$T$44,$CU41,BU$57),""),3,1)="隔",IF(BU$58=0,LEFT(IFERROR(INDEX(醫師週班表!$C$5:$T$44,$CU41,BU$57),""),1),""),IF(MID(IFERROR(INDEX(醫師週班表!$C$5:$T$44,$CU41,BU$57),""),2,1)="(",LEFT(IFERROR(INDEX(醫師週班表!$C$5:$T$44,$CU41,BU$57),""),1),IFERROR(INDEX(醫師週班表!$C$5:$T$44,$CU41,BU$57),"")))))))</f>
        <v/>
      </c>
      <c r="BV41" s="71">
        <f>IF(BV$59="X","",IF(BV$59&lt;&gt;"",BV$59,IF(IFERROR(INDEX(醫師週班表!$C$5:$T$44,$CU41,BV$57),"")=0,"",IF(MID(IFERROR(INDEX(醫師週班表!$C$5:$T$44,$CU41,BV$57),""),2,1)="/",MID(IFERROR(INDEX(醫師週班表!$C$5:$T$44,$CU41,BV$57),""),1+BV$58*2,1),IF(MID(IFERROR(INDEX(醫師週班表!$C$5:$T$44,$CU41,BV$57),""),3,1)="隔",IF(BV$58=0,LEFT(IFERROR(INDEX(醫師週班表!$C$5:$T$44,$CU41,BV$57),""),1),""),IF(MID(IFERROR(INDEX(醫師週班表!$C$5:$T$44,$CU41,BV$57),""),2,1)="(",LEFT(IFERROR(INDEX(醫師週班表!$C$5:$T$44,$CU41,BV$57),""),1),IFERROR(INDEX(醫師週班表!$C$5:$T$44,$CU41,BV$57),"")))))))</f>
        <v/>
      </c>
      <c r="BW41" s="72">
        <f>IF(BW$59="X","",IF(BW$59&lt;&gt;"",BW$59,IF(IFERROR(INDEX(醫師週班表!$C$5:$T$44,$CU41,BW$57),"")=0,"",IF(MID(IFERROR(INDEX(醫師週班表!$C$5:$T$44,$CU41,BW$57),""),2,1)="/",MID(IFERROR(INDEX(醫師週班表!$C$5:$T$44,$CU41,BW$57),""),1+BW$58*2,1),IF(MID(IFERROR(INDEX(醫師週班表!$C$5:$T$44,$CU41,BW$57),""),3,1)="隔",IF(BW$58=0,LEFT(IFERROR(INDEX(醫師週班表!$C$5:$T$44,$CU41,BW$57),""),1),""),IF(MID(IFERROR(INDEX(醫師週班表!$C$5:$T$44,$CU41,BW$57),""),2,1)="(",LEFT(IFERROR(INDEX(醫師週班表!$C$5:$T$44,$CU41,BW$57),""),1),IFERROR(INDEX(醫師週班表!$C$5:$T$44,$CU41,BW$57),"")))))))</f>
        <v/>
      </c>
      <c r="BX41" s="72">
        <f>IF(BX$59="X","",IF(BX$59&lt;&gt;"",BX$59,IF(IFERROR(INDEX(醫師週班表!$C$5:$T$44,$CU41,BX$57),"")=0,"",IF(MID(IFERROR(INDEX(醫師週班表!$C$5:$T$44,$CU41,BX$57),""),2,1)="/",MID(IFERROR(INDEX(醫師週班表!$C$5:$T$44,$CU41,BX$57),""),1+BX$58*2,1),IF(MID(IFERROR(INDEX(醫師週班表!$C$5:$T$44,$CU41,BX$57),""),3,1)="隔",IF(BX$58=0,LEFT(IFERROR(INDEX(醫師週班表!$C$5:$T$44,$CU41,BX$57),""),1),""),IF(MID(IFERROR(INDEX(醫師週班表!$C$5:$T$44,$CU41,BX$57),""),2,1)="(",LEFT(IFERROR(INDEX(醫師週班表!$C$5:$T$44,$CU41,BX$57),""),1),IFERROR(INDEX(醫師週班表!$C$5:$T$44,$CU41,BX$57),"")))))))</f>
        <v/>
      </c>
      <c r="BY41" s="71">
        <f>IF(BY$59="X","",IF(BY$59&lt;&gt;"",BY$59,IF(IFERROR(INDEX(醫師週班表!$C$5:$T$44,$CU41,BY$57),"")=0,"",IF(MID(IFERROR(INDEX(醫師週班表!$C$5:$T$44,$CU41,BY$57),""),2,1)="/",MID(IFERROR(INDEX(醫師週班表!$C$5:$T$44,$CU41,BY$57),""),1+BY$58*2,1),IF(MID(IFERROR(INDEX(醫師週班表!$C$5:$T$44,$CU41,BY$57),""),3,1)="隔",IF(BY$58=0,LEFT(IFERROR(INDEX(醫師週班表!$C$5:$T$44,$CU41,BY$57),""),1),""),IF(MID(IFERROR(INDEX(醫師週班表!$C$5:$T$44,$CU41,BY$57),""),2,1)="(",LEFT(IFERROR(INDEX(醫師週班表!$C$5:$T$44,$CU41,BY$57),""),1),IFERROR(INDEX(醫師週班表!$C$5:$T$44,$CU41,BY$57),"")))))))</f>
        <v/>
      </c>
      <c r="BZ41" s="72">
        <f>IF(BZ$59="X","",IF(BZ$59&lt;&gt;"",BZ$59,IF(IFERROR(INDEX(醫師週班表!$C$5:$T$44,$CU41,BZ$57),"")=0,"",IF(MID(IFERROR(INDEX(醫師週班表!$C$5:$T$44,$CU41,BZ$57),""),2,1)="/",MID(IFERROR(INDEX(醫師週班表!$C$5:$T$44,$CU41,BZ$57),""),1+BZ$58*2,1),IF(MID(IFERROR(INDEX(醫師週班表!$C$5:$T$44,$CU41,BZ$57),""),3,1)="隔",IF(BZ$58=0,LEFT(IFERROR(INDEX(醫師週班表!$C$5:$T$44,$CU41,BZ$57),""),1),""),IF(MID(IFERROR(INDEX(醫師週班表!$C$5:$T$44,$CU41,BZ$57),""),2,1)="(",LEFT(IFERROR(INDEX(醫師週班表!$C$5:$T$44,$CU41,BZ$57),""),1),IFERROR(INDEX(醫師週班表!$C$5:$T$44,$CU41,BZ$57),"")))))))</f>
        <v/>
      </c>
      <c r="CA41" s="72">
        <f>IF(CA$59="X","",IF(CA$59&lt;&gt;"",CA$59,IF(IFERROR(INDEX(醫師週班表!$C$5:$T$44,$CU41,CA$57),"")=0,"",IF(MID(IFERROR(INDEX(醫師週班表!$C$5:$T$44,$CU41,CA$57),""),2,1)="/",MID(IFERROR(INDEX(醫師週班表!$C$5:$T$44,$CU41,CA$57),""),1+CA$58*2,1),IF(MID(IFERROR(INDEX(醫師週班表!$C$5:$T$44,$CU41,CA$57),""),3,1)="隔",IF(CA$58=0,LEFT(IFERROR(INDEX(醫師週班表!$C$5:$T$44,$CU41,CA$57),""),1),""),IF(MID(IFERROR(INDEX(醫師週班表!$C$5:$T$44,$CU41,CA$57),""),2,1)="(",LEFT(IFERROR(INDEX(醫師週班表!$C$5:$T$44,$CU41,CA$57),""),1),IFERROR(INDEX(醫師週班表!$C$5:$T$44,$CU41,CA$57),"")))))))</f>
        <v/>
      </c>
      <c r="CB41" s="71">
        <f>IF(CB$59="X","",IF(CB$59&lt;&gt;"",CB$59,IF(IFERROR(INDEX(醫師週班表!$C$5:$T$44,$CU41,CB$57),"")=0,"",IF(MID(IFERROR(INDEX(醫師週班表!$C$5:$T$44,$CU41,CB$57),""),2,1)="/",MID(IFERROR(INDEX(醫師週班表!$C$5:$T$44,$CU41,CB$57),""),1+CB$58*2,1),IF(MID(IFERROR(INDEX(醫師週班表!$C$5:$T$44,$CU41,CB$57),""),3,1)="隔",IF(CB$58=0,LEFT(IFERROR(INDEX(醫師週班表!$C$5:$T$44,$CU41,CB$57),""),1),""),IF(MID(IFERROR(INDEX(醫師週班表!$C$5:$T$44,$CU41,CB$57),""),2,1)="(",LEFT(IFERROR(INDEX(醫師週班表!$C$5:$T$44,$CU41,CB$57),""),1),IFERROR(INDEX(醫師週班表!$C$5:$T$44,$CU41,CB$57),"")))))))</f>
        <v/>
      </c>
      <c r="CC41" s="72">
        <f>IF(CC$59="X","",IF(CC$59&lt;&gt;"",CC$59,IF(IFERROR(INDEX(醫師週班表!$C$5:$T$44,$CU41,CC$57),"")=0,"",IF(MID(IFERROR(INDEX(醫師週班表!$C$5:$T$44,$CU41,CC$57),""),2,1)="/",MID(IFERROR(INDEX(醫師週班表!$C$5:$T$44,$CU41,CC$57),""),1+CC$58*2,1),IF(MID(IFERROR(INDEX(醫師週班表!$C$5:$T$44,$CU41,CC$57),""),3,1)="隔",IF(CC$58=0,LEFT(IFERROR(INDEX(醫師週班表!$C$5:$T$44,$CU41,CC$57),""),1),""),IF(MID(IFERROR(INDEX(醫師週班表!$C$5:$T$44,$CU41,CC$57),""),2,1)="(",LEFT(IFERROR(INDEX(醫師週班表!$C$5:$T$44,$CU41,CC$57),""),1),IFERROR(INDEX(醫師週班表!$C$5:$T$44,$CU41,CC$57),"")))))))</f>
        <v/>
      </c>
      <c r="CD41" s="72">
        <f>IF(CD$59="X","",IF(CD$59&lt;&gt;"",CD$59,IF(IFERROR(INDEX(醫師週班表!$C$5:$T$44,$CU41,CD$57),"")=0,"",IF(MID(IFERROR(INDEX(醫師週班表!$C$5:$T$44,$CU41,CD$57),""),2,1)="/",MID(IFERROR(INDEX(醫師週班表!$C$5:$T$44,$CU41,CD$57),""),1+CD$58*2,1),IF(MID(IFERROR(INDEX(醫師週班表!$C$5:$T$44,$CU41,CD$57),""),3,1)="隔",IF(CD$58=0,LEFT(IFERROR(INDEX(醫師週班表!$C$5:$T$44,$CU41,CD$57),""),1),""),IF(MID(IFERROR(INDEX(醫師週班表!$C$5:$T$44,$CU41,CD$57),""),2,1)="(",LEFT(IFERROR(INDEX(醫師週班表!$C$5:$T$44,$CU41,CD$57),""),1),IFERROR(INDEX(醫師週班表!$C$5:$T$44,$CU41,CD$57),"")))))))</f>
        <v/>
      </c>
      <c r="CE41" s="71">
        <f>IF(CE$59="X","",IF(CE$59&lt;&gt;"",CE$59,IF(IFERROR(INDEX(醫師週班表!$C$5:$T$44,$CU41,CE$57),"")=0,"",IF(MID(IFERROR(INDEX(醫師週班表!$C$5:$T$44,$CU41,CE$57),""),2,1)="/",MID(IFERROR(INDEX(醫師週班表!$C$5:$T$44,$CU41,CE$57),""),1+CE$58*2,1),IF(MID(IFERROR(INDEX(醫師週班表!$C$5:$T$44,$CU41,CE$57),""),3,1)="隔",IF(CE$58=0,LEFT(IFERROR(INDEX(醫師週班表!$C$5:$T$44,$CU41,CE$57),""),1),""),IF(MID(IFERROR(INDEX(醫師週班表!$C$5:$T$44,$CU41,CE$57),""),2,1)="(",LEFT(IFERROR(INDEX(醫師週班表!$C$5:$T$44,$CU41,CE$57),""),1),IFERROR(INDEX(醫師週班表!$C$5:$T$44,$CU41,CE$57),"")))))))</f>
        <v/>
      </c>
      <c r="CF41" s="72">
        <f>IF(CF$59="X","",IF(CF$59&lt;&gt;"",CF$59,IF(IFERROR(INDEX(醫師週班表!$C$5:$T$44,$CU41,CF$57),"")=0,"",IF(MID(IFERROR(INDEX(醫師週班表!$C$5:$T$44,$CU41,CF$57),""),2,1)="/",MID(IFERROR(INDEX(醫師週班表!$C$5:$T$44,$CU41,CF$57),""),1+CF$58*2,1),IF(MID(IFERROR(INDEX(醫師週班表!$C$5:$T$44,$CU41,CF$57),""),3,1)="隔",IF(CF$58=0,LEFT(IFERROR(INDEX(醫師週班表!$C$5:$T$44,$CU41,CF$57),""),1),""),IF(MID(IFERROR(INDEX(醫師週班表!$C$5:$T$44,$CU41,CF$57),""),2,1)="(",LEFT(IFERROR(INDEX(醫師週班表!$C$5:$T$44,$CU41,CF$57),""),1),IFERROR(INDEX(醫師週班表!$C$5:$T$44,$CU41,CF$57),"")))))))</f>
        <v/>
      </c>
      <c r="CG41" s="72">
        <f>IF(CG$59="X","",IF(CG$59&lt;&gt;"",CG$59,IF(IFERROR(INDEX(醫師週班表!$C$5:$T$44,$CU41,CG$57),"")=0,"",IF(MID(IFERROR(INDEX(醫師週班表!$C$5:$T$44,$CU41,CG$57),""),2,1)="/",MID(IFERROR(INDEX(醫師週班表!$C$5:$T$44,$CU41,CG$57),""),1+CG$58*2,1),IF(MID(IFERROR(INDEX(醫師週班表!$C$5:$T$44,$CU41,CG$57),""),3,1)="隔",IF(CG$58=0,LEFT(IFERROR(INDEX(醫師週班表!$C$5:$T$44,$CU41,CG$57),""),1),""),IF(MID(IFERROR(INDEX(醫師週班表!$C$5:$T$44,$CU41,CG$57),""),2,1)="(",LEFT(IFERROR(INDEX(醫師週班表!$C$5:$T$44,$CU41,CG$57),""),1),IFERROR(INDEX(醫師週班表!$C$5:$T$44,$CU41,CG$57),"")))))))</f>
        <v/>
      </c>
      <c r="CH41" s="71">
        <f>IF(CH$59="X","",IF(CH$59&lt;&gt;"",CH$59,IF(IFERROR(INDEX(醫師週班表!$C$5:$T$44,$CU41,CH$57),"")=0,"",IF(MID(IFERROR(INDEX(醫師週班表!$C$5:$T$44,$CU41,CH$57),""),2,1)="/",MID(IFERROR(INDEX(醫師週班表!$C$5:$T$44,$CU41,CH$57),""),1+CH$58*2,1),IF(MID(IFERROR(INDEX(醫師週班表!$C$5:$T$44,$CU41,CH$57),""),3,1)="隔",IF(CH$58=0,LEFT(IFERROR(INDEX(醫師週班表!$C$5:$T$44,$CU41,CH$57),""),1),""),IF(MID(IFERROR(INDEX(醫師週班表!$C$5:$T$44,$CU41,CH$57),""),2,1)="(",LEFT(IFERROR(INDEX(醫師週班表!$C$5:$T$44,$CU41,CH$57),""),1),IFERROR(INDEX(醫師週班表!$C$5:$T$44,$CU41,CH$57),"")))))))</f>
        <v/>
      </c>
      <c r="CI41" s="72">
        <f>IF(CI$59="X","",IF(CI$59&lt;&gt;"",CI$59,IF(IFERROR(INDEX(醫師週班表!$C$5:$T$44,$CU41,CI$57),"")=0,"",IF(MID(IFERROR(INDEX(醫師週班表!$C$5:$T$44,$CU41,CI$57),""),2,1)="/",MID(IFERROR(INDEX(醫師週班表!$C$5:$T$44,$CU41,CI$57),""),1+CI$58*2,1),IF(MID(IFERROR(INDEX(醫師週班表!$C$5:$T$44,$CU41,CI$57),""),3,1)="隔",IF(CI$58=0,LEFT(IFERROR(INDEX(醫師週班表!$C$5:$T$44,$CU41,CI$57),""),1),""),IF(MID(IFERROR(INDEX(醫師週班表!$C$5:$T$44,$CU41,CI$57),""),2,1)="(",LEFT(IFERROR(INDEX(醫師週班表!$C$5:$T$44,$CU41,CI$57),""),1),IFERROR(INDEX(醫師週班表!$C$5:$T$44,$CU41,CI$57),"")))))))</f>
        <v/>
      </c>
      <c r="CJ41" s="72">
        <f>IF(CJ$59="X","",IF(CJ$59&lt;&gt;"",CJ$59,IF(IFERROR(INDEX(醫師週班表!$C$5:$T$44,$CU41,CJ$57),"")=0,"",IF(MID(IFERROR(INDEX(醫師週班表!$C$5:$T$44,$CU41,CJ$57),""),2,1)="/",MID(IFERROR(INDEX(醫師週班表!$C$5:$T$44,$CU41,CJ$57),""),1+CJ$58*2,1),IF(MID(IFERROR(INDEX(醫師週班表!$C$5:$T$44,$CU41,CJ$57),""),3,1)="隔",IF(CJ$58=0,LEFT(IFERROR(INDEX(醫師週班表!$C$5:$T$44,$CU41,CJ$57),""),1),""),IF(MID(IFERROR(INDEX(醫師週班表!$C$5:$T$44,$CU41,CJ$57),""),2,1)="(",LEFT(IFERROR(INDEX(醫師週班表!$C$5:$T$44,$CU41,CJ$57),""),1),IFERROR(INDEX(醫師週班表!$C$5:$T$44,$CU41,CJ$57),"")))))))</f>
        <v/>
      </c>
      <c r="CK41" s="71">
        <f>IF(CK$59="X","",IF(CK$59&lt;&gt;"",CK$59,IF(IFERROR(INDEX(醫師週班表!$C$5:$T$44,$CU41,CK$57),"")=0,"",IF(MID(IFERROR(INDEX(醫師週班表!$C$5:$T$44,$CU41,CK$57),""),2,1)="/",MID(IFERROR(INDEX(醫師週班表!$C$5:$T$44,$CU41,CK$57),""),1+CK$58*2,1),IF(MID(IFERROR(INDEX(醫師週班表!$C$5:$T$44,$CU41,CK$57),""),3,1)="隔",IF(CK$58=0,LEFT(IFERROR(INDEX(醫師週班表!$C$5:$T$44,$CU41,CK$57),""),1),""),IF(MID(IFERROR(INDEX(醫師週班表!$C$5:$T$44,$CU41,CK$57),""),2,1)="(",LEFT(IFERROR(INDEX(醫師週班表!$C$5:$T$44,$CU41,CK$57),""),1),IFERROR(INDEX(醫師週班表!$C$5:$T$44,$CU41,CK$57),"")))))))</f>
        <v/>
      </c>
      <c r="CL41" s="72">
        <f>IF(CL$59="X","",IF(CL$59&lt;&gt;"",CL$59,IF(IFERROR(INDEX(醫師週班表!$C$5:$T$44,$CU41,CL$57),"")=0,"",IF(MID(IFERROR(INDEX(醫師週班表!$C$5:$T$44,$CU41,CL$57),""),2,1)="/",MID(IFERROR(INDEX(醫師週班表!$C$5:$T$44,$CU41,CL$57),""),1+CL$58*2,1),IF(MID(IFERROR(INDEX(醫師週班表!$C$5:$T$44,$CU41,CL$57),""),3,1)="隔",IF(CL$58=0,LEFT(IFERROR(INDEX(醫師週班表!$C$5:$T$44,$CU41,CL$57),""),1),""),IF(MID(IFERROR(INDEX(醫師週班表!$C$5:$T$44,$CU41,CL$57),""),2,1)="(",LEFT(IFERROR(INDEX(醫師週班表!$C$5:$T$44,$CU41,CL$57),""),1),IFERROR(INDEX(醫師週班表!$C$5:$T$44,$CU41,CL$57),"")))))))</f>
        <v/>
      </c>
      <c r="CM41" s="72">
        <f>IF(CM$59="X","",IF(CM$59&lt;&gt;"",CM$59,IF(IFERROR(INDEX(醫師週班表!$C$5:$T$44,$CU41,CM$57),"")=0,"",IF(MID(IFERROR(INDEX(醫師週班表!$C$5:$T$44,$CU41,CM$57),""),2,1)="/",MID(IFERROR(INDEX(醫師週班表!$C$5:$T$44,$CU41,CM$57),""),1+CM$58*2,1),IF(MID(IFERROR(INDEX(醫師週班表!$C$5:$T$44,$CU41,CM$57),""),3,1)="隔",IF(CM$58=0,LEFT(IFERROR(INDEX(醫師週班表!$C$5:$T$44,$CU41,CM$57),""),1),""),IF(MID(IFERROR(INDEX(醫師週班表!$C$5:$T$44,$CU41,CM$57),""),2,1)="(",LEFT(IFERROR(INDEX(醫師週班表!$C$5:$T$44,$CU41,CM$57),""),1),IFERROR(INDEX(醫師週班表!$C$5:$T$44,$CU41,CM$57),"")))))))</f>
        <v/>
      </c>
      <c r="CN41" s="71">
        <f>IF(CN$59="X","",IF(CN$59&lt;&gt;"",CN$59,IF(IFERROR(INDEX(醫師週班表!$C$5:$T$44,$CU41,CN$57),"")=0,"",IF(MID(IFERROR(INDEX(醫師週班表!$C$5:$T$44,$CU41,CN$57),""),2,1)="/",MID(IFERROR(INDEX(醫師週班表!$C$5:$T$44,$CU41,CN$57),""),1+CN$58*2,1),IF(MID(IFERROR(INDEX(醫師週班表!$C$5:$T$44,$CU41,CN$57),""),3,1)="隔",IF(CN$58=0,LEFT(IFERROR(INDEX(醫師週班表!$C$5:$T$44,$CU41,CN$57),""),1),""),IF(MID(IFERROR(INDEX(醫師週班表!$C$5:$T$44,$CU41,CN$57),""),2,1)="(",LEFT(IFERROR(INDEX(醫師週班表!$C$5:$T$44,$CU41,CN$57),""),1),IFERROR(INDEX(醫師週班表!$C$5:$T$44,$CU41,CN$57),"")))))))</f>
        <v/>
      </c>
      <c r="CO41" s="72">
        <f>IF(CO$59="X","",IF(CO$59&lt;&gt;"",CO$59,IF(IFERROR(INDEX(醫師週班表!$C$5:$T$44,$CU41,CO$57),"")=0,"",IF(MID(IFERROR(INDEX(醫師週班表!$C$5:$T$44,$CU41,CO$57),""),2,1)="/",MID(IFERROR(INDEX(醫師週班表!$C$5:$T$44,$CU41,CO$57),""),1+CO$58*2,1),IF(MID(IFERROR(INDEX(醫師週班表!$C$5:$T$44,$CU41,CO$57),""),3,1)="隔",IF(CO$58=0,LEFT(IFERROR(INDEX(醫師週班表!$C$5:$T$44,$CU41,CO$57),""),1),""),IF(MID(IFERROR(INDEX(醫師週班表!$C$5:$T$44,$CU41,CO$57),""),2,1)="(",LEFT(IFERROR(INDEX(醫師週班表!$C$5:$T$44,$CU41,CO$57),""),1),IFERROR(INDEX(醫師週班表!$C$5:$T$44,$CU41,CO$57),"")))))))</f>
        <v/>
      </c>
      <c r="CP41" s="72">
        <f>IF(CP$59="X","",IF(CP$59&lt;&gt;"",CP$59,IF(IFERROR(INDEX(醫師週班表!$C$5:$T$44,$CU41,CP$57),"")=0,"",IF(MID(IFERROR(INDEX(醫師週班表!$C$5:$T$44,$CU41,CP$57),""),2,1)="/",MID(IFERROR(INDEX(醫師週班表!$C$5:$T$44,$CU41,CP$57),""),1+CP$58*2,1),IF(MID(IFERROR(INDEX(醫師週班表!$C$5:$T$44,$CU41,CP$57),""),3,1)="隔",IF(CP$58=0,LEFT(IFERROR(INDEX(醫師週班表!$C$5:$T$44,$CU41,CP$57),""),1),""),IF(MID(IFERROR(INDEX(醫師週班表!$C$5:$T$44,$CU41,CP$57),""),2,1)="(",LEFT(IFERROR(INDEX(醫師週班表!$C$5:$T$44,$CU41,CP$57),""),1),IFERROR(INDEX(醫師週班表!$C$5:$T$44,$CU41,CP$57),"")))))))</f>
        <v/>
      </c>
      <c r="CQ41" s="71">
        <f>IF(CQ$59="X","",IF(CQ$59&lt;&gt;"",CQ$59,IF(IFERROR(INDEX(醫師週班表!$C$5:$T$44,$CU41,CQ$57),"")=0,"",IF(MID(IFERROR(INDEX(醫師週班表!$C$5:$T$44,$CU41,CQ$57),""),2,1)="/",MID(IFERROR(INDEX(醫師週班表!$C$5:$T$44,$CU41,CQ$57),""),1+CQ$58*2,1),IF(MID(IFERROR(INDEX(醫師週班表!$C$5:$T$44,$CU41,CQ$57),""),3,1)="隔",IF(CQ$58=0,LEFT(IFERROR(INDEX(醫師週班表!$C$5:$T$44,$CU41,CQ$57),""),1),""),IF(MID(IFERROR(INDEX(醫師週班表!$C$5:$T$44,$CU41,CQ$57),""),2,1)="(",LEFT(IFERROR(INDEX(醫師週班表!$C$5:$T$44,$CU41,CQ$57),""),1),IFERROR(INDEX(醫師週班表!$C$5:$T$44,$CU41,CQ$57),"")))))))</f>
        <v/>
      </c>
      <c r="CR41" s="72">
        <f>IF(CR$59="X","",IF(CR$59&lt;&gt;"",CR$59,IF(IFERROR(INDEX(醫師週班表!$C$5:$T$44,$CU41,CR$57),"")=0,"",IF(MID(IFERROR(INDEX(醫師週班表!$C$5:$T$44,$CU41,CR$57),""),2,1)="/",MID(IFERROR(INDEX(醫師週班表!$C$5:$T$44,$CU41,CR$57),""),1+CR$58*2,1),IF(MID(IFERROR(INDEX(醫師週班表!$C$5:$T$44,$CU41,CR$57),""),3,1)="隔",IF(CR$58=0,LEFT(IFERROR(INDEX(醫師週班表!$C$5:$T$44,$CU41,CR$57),""),1),""),IF(MID(IFERROR(INDEX(醫師週班表!$C$5:$T$44,$CU41,CR$57),""),2,1)="(",LEFT(IFERROR(INDEX(醫師週班表!$C$5:$T$44,$CU41,CR$57),""),1),IFERROR(INDEX(醫師週班表!$C$5:$T$44,$CU41,CR$57),"")))))))</f>
        <v/>
      </c>
      <c r="CS41" s="72">
        <f>IF(CS$59="X","",IF(CS$59&lt;&gt;"",CS$59,IF(IFERROR(INDEX(醫師週班表!$C$5:$T$44,$CU41,CS$57),"")=0,"",IF(MID(IFERROR(INDEX(醫師週班表!$C$5:$T$44,$CU41,CS$57),""),2,1)="/",MID(IFERROR(INDEX(醫師週班表!$C$5:$T$44,$CU41,CS$57),""),1+CS$58*2,1),IF(MID(IFERROR(INDEX(醫師週班表!$C$5:$T$44,$CU41,CS$57),""),3,1)="隔",IF(CS$58=0,LEFT(IFERROR(INDEX(醫師週班表!$C$5:$T$44,$CU41,CS$57),""),1),""),IF(MID(IFERROR(INDEX(醫師週班表!$C$5:$T$44,$CU41,CS$57),""),2,1)="(",LEFT(IFERROR(INDEX(醫師週班表!$C$5:$T$44,$CU41,CS$57),""),1),IFERROR(INDEX(醫師週班表!$C$5:$T$44,$CU41,CS$57),"")))))))</f>
        <v/>
      </c>
      <c r="CU41" s="73">
        <f>IFERROR(MATCH($A41,醫師週班表!$A$5:$A$44,0),0)</f>
        <v/>
      </c>
    </row>
    <row r="42" ht="17" customHeight="1">
      <c r="A42" s="19" t="n"/>
      <c r="B42" s="16">
        <f>IFERROR(INDEX(設定!$C$64:$C$203,MATCH($A42,設定!$B$64:$B$203,0)),"")</f>
        <v/>
      </c>
      <c r="C42" s="70">
        <f>IFERROR(INDEX(設定!$E$64:$E$203,MATCH($A42,設定!$B$64:$B$203,0)),"")</f>
        <v/>
      </c>
      <c r="D42" s="16">
        <f>IFERROR(INDEX(設定!$F$64:$F$203,MATCH($A42,設定!$B$64:$B$203,0)),"")</f>
        <v/>
      </c>
      <c r="E42" s="71">
        <f>IF(E$59="X","",IF(E$59&lt;&gt;"",E$59,IF(IFERROR(INDEX(醫師週班表!$C$5:$T$44,$CU42,E$57),"")=0,"",IF(MID(IFERROR(INDEX(醫師週班表!$C$5:$T$44,$CU42,E$57),""),2,1)="/",MID(IFERROR(INDEX(醫師週班表!$C$5:$T$44,$CU42,E$57),""),1+E$58*2,1),IF(MID(IFERROR(INDEX(醫師週班表!$C$5:$T$44,$CU42,E$57),""),3,1)="隔",IF(E$58=0,LEFT(IFERROR(INDEX(醫師週班表!$C$5:$T$44,$CU42,E$57),""),1),""),IF(MID(IFERROR(INDEX(醫師週班表!$C$5:$T$44,$CU42,E$57),""),2,1)="(",LEFT(IFERROR(INDEX(醫師週班表!$C$5:$T$44,$CU42,E$57),""),1),IFERROR(INDEX(醫師週班表!$C$5:$T$44,$CU42,E$57),"")))))))</f>
        <v/>
      </c>
      <c r="F42" s="72">
        <f>IF(F$59="X","",IF(F$59&lt;&gt;"",F$59,IF(IFERROR(INDEX(醫師週班表!$C$5:$T$44,$CU42,F$57),"")=0,"",IF(MID(IFERROR(INDEX(醫師週班表!$C$5:$T$44,$CU42,F$57),""),2,1)="/",MID(IFERROR(INDEX(醫師週班表!$C$5:$T$44,$CU42,F$57),""),1+F$58*2,1),IF(MID(IFERROR(INDEX(醫師週班表!$C$5:$T$44,$CU42,F$57),""),3,1)="隔",IF(F$58=0,LEFT(IFERROR(INDEX(醫師週班表!$C$5:$T$44,$CU42,F$57),""),1),""),IF(MID(IFERROR(INDEX(醫師週班表!$C$5:$T$44,$CU42,F$57),""),2,1)="(",LEFT(IFERROR(INDEX(醫師週班表!$C$5:$T$44,$CU42,F$57),""),1),IFERROR(INDEX(醫師週班表!$C$5:$T$44,$CU42,F$57),"")))))))</f>
        <v/>
      </c>
      <c r="G42" s="72">
        <f>IF(G$59="X","",IF(G$59&lt;&gt;"",G$59,IF(IFERROR(INDEX(醫師週班表!$C$5:$T$44,$CU42,G$57),"")=0,"",IF(MID(IFERROR(INDEX(醫師週班表!$C$5:$T$44,$CU42,G$57),""),2,1)="/",MID(IFERROR(INDEX(醫師週班表!$C$5:$T$44,$CU42,G$57),""),1+G$58*2,1),IF(MID(IFERROR(INDEX(醫師週班表!$C$5:$T$44,$CU42,G$57),""),3,1)="隔",IF(G$58=0,LEFT(IFERROR(INDEX(醫師週班表!$C$5:$T$44,$CU42,G$57),""),1),""),IF(MID(IFERROR(INDEX(醫師週班表!$C$5:$T$44,$CU42,G$57),""),2,1)="(",LEFT(IFERROR(INDEX(醫師週班表!$C$5:$T$44,$CU42,G$57),""),1),IFERROR(INDEX(醫師週班表!$C$5:$T$44,$CU42,G$57),"")))))))</f>
        <v/>
      </c>
      <c r="H42" s="71">
        <f>IF(H$59="X","",IF(H$59&lt;&gt;"",H$59,IF(IFERROR(INDEX(醫師週班表!$C$5:$T$44,$CU42,H$57),"")=0,"",IF(MID(IFERROR(INDEX(醫師週班表!$C$5:$T$44,$CU42,H$57),""),2,1)="/",MID(IFERROR(INDEX(醫師週班表!$C$5:$T$44,$CU42,H$57),""),1+H$58*2,1),IF(MID(IFERROR(INDEX(醫師週班表!$C$5:$T$44,$CU42,H$57),""),3,1)="隔",IF(H$58=0,LEFT(IFERROR(INDEX(醫師週班表!$C$5:$T$44,$CU42,H$57),""),1),""),IF(MID(IFERROR(INDEX(醫師週班表!$C$5:$T$44,$CU42,H$57),""),2,1)="(",LEFT(IFERROR(INDEX(醫師週班表!$C$5:$T$44,$CU42,H$57),""),1),IFERROR(INDEX(醫師週班表!$C$5:$T$44,$CU42,H$57),"")))))))</f>
        <v/>
      </c>
      <c r="I42" s="72">
        <f>IF(I$59="X","",IF(I$59&lt;&gt;"",I$59,IF(IFERROR(INDEX(醫師週班表!$C$5:$T$44,$CU42,I$57),"")=0,"",IF(MID(IFERROR(INDEX(醫師週班表!$C$5:$T$44,$CU42,I$57),""),2,1)="/",MID(IFERROR(INDEX(醫師週班表!$C$5:$T$44,$CU42,I$57),""),1+I$58*2,1),IF(MID(IFERROR(INDEX(醫師週班表!$C$5:$T$44,$CU42,I$57),""),3,1)="隔",IF(I$58=0,LEFT(IFERROR(INDEX(醫師週班表!$C$5:$T$44,$CU42,I$57),""),1),""),IF(MID(IFERROR(INDEX(醫師週班表!$C$5:$T$44,$CU42,I$57),""),2,1)="(",LEFT(IFERROR(INDEX(醫師週班表!$C$5:$T$44,$CU42,I$57),""),1),IFERROR(INDEX(醫師週班表!$C$5:$T$44,$CU42,I$57),"")))))))</f>
        <v/>
      </c>
      <c r="J42" s="72">
        <f>IF(J$59="X","",IF(J$59&lt;&gt;"",J$59,IF(IFERROR(INDEX(醫師週班表!$C$5:$T$44,$CU42,J$57),"")=0,"",IF(MID(IFERROR(INDEX(醫師週班表!$C$5:$T$44,$CU42,J$57),""),2,1)="/",MID(IFERROR(INDEX(醫師週班表!$C$5:$T$44,$CU42,J$57),""),1+J$58*2,1),IF(MID(IFERROR(INDEX(醫師週班表!$C$5:$T$44,$CU42,J$57),""),3,1)="隔",IF(J$58=0,LEFT(IFERROR(INDEX(醫師週班表!$C$5:$T$44,$CU42,J$57),""),1),""),IF(MID(IFERROR(INDEX(醫師週班表!$C$5:$T$44,$CU42,J$57),""),2,1)="(",LEFT(IFERROR(INDEX(醫師週班表!$C$5:$T$44,$CU42,J$57),""),1),IFERROR(INDEX(醫師週班表!$C$5:$T$44,$CU42,J$57),"")))))))</f>
        <v/>
      </c>
      <c r="K42" s="71">
        <f>IF(K$59="X","",IF(K$59&lt;&gt;"",K$59,IF(IFERROR(INDEX(醫師週班表!$C$5:$T$44,$CU42,K$57),"")=0,"",IF(MID(IFERROR(INDEX(醫師週班表!$C$5:$T$44,$CU42,K$57),""),2,1)="/",MID(IFERROR(INDEX(醫師週班表!$C$5:$T$44,$CU42,K$57),""),1+K$58*2,1),IF(MID(IFERROR(INDEX(醫師週班表!$C$5:$T$44,$CU42,K$57),""),3,1)="隔",IF(K$58=0,LEFT(IFERROR(INDEX(醫師週班表!$C$5:$T$44,$CU42,K$57),""),1),""),IF(MID(IFERROR(INDEX(醫師週班表!$C$5:$T$44,$CU42,K$57),""),2,1)="(",LEFT(IFERROR(INDEX(醫師週班表!$C$5:$T$44,$CU42,K$57),""),1),IFERROR(INDEX(醫師週班表!$C$5:$T$44,$CU42,K$57),"")))))))</f>
        <v/>
      </c>
      <c r="L42" s="72">
        <f>IF(L$59="X","",IF(L$59&lt;&gt;"",L$59,IF(IFERROR(INDEX(醫師週班表!$C$5:$T$44,$CU42,L$57),"")=0,"",IF(MID(IFERROR(INDEX(醫師週班表!$C$5:$T$44,$CU42,L$57),""),2,1)="/",MID(IFERROR(INDEX(醫師週班表!$C$5:$T$44,$CU42,L$57),""),1+L$58*2,1),IF(MID(IFERROR(INDEX(醫師週班表!$C$5:$T$44,$CU42,L$57),""),3,1)="隔",IF(L$58=0,LEFT(IFERROR(INDEX(醫師週班表!$C$5:$T$44,$CU42,L$57),""),1),""),IF(MID(IFERROR(INDEX(醫師週班表!$C$5:$T$44,$CU42,L$57),""),2,1)="(",LEFT(IFERROR(INDEX(醫師週班表!$C$5:$T$44,$CU42,L$57),""),1),IFERROR(INDEX(醫師週班表!$C$5:$T$44,$CU42,L$57),"")))))))</f>
        <v/>
      </c>
      <c r="M42" s="72">
        <f>IF(M$59="X","",IF(M$59&lt;&gt;"",M$59,IF(IFERROR(INDEX(醫師週班表!$C$5:$T$44,$CU42,M$57),"")=0,"",IF(MID(IFERROR(INDEX(醫師週班表!$C$5:$T$44,$CU42,M$57),""),2,1)="/",MID(IFERROR(INDEX(醫師週班表!$C$5:$T$44,$CU42,M$57),""),1+M$58*2,1),IF(MID(IFERROR(INDEX(醫師週班表!$C$5:$T$44,$CU42,M$57),""),3,1)="隔",IF(M$58=0,LEFT(IFERROR(INDEX(醫師週班表!$C$5:$T$44,$CU42,M$57),""),1),""),IF(MID(IFERROR(INDEX(醫師週班表!$C$5:$T$44,$CU42,M$57),""),2,1)="(",LEFT(IFERROR(INDEX(醫師週班表!$C$5:$T$44,$CU42,M$57),""),1),IFERROR(INDEX(醫師週班表!$C$5:$T$44,$CU42,M$57),"")))))))</f>
        <v/>
      </c>
      <c r="N42" s="71">
        <f>IF(N$59="X","",IF(N$59&lt;&gt;"",N$59,IF(IFERROR(INDEX(醫師週班表!$C$5:$T$44,$CU42,N$57),"")=0,"",IF(MID(IFERROR(INDEX(醫師週班表!$C$5:$T$44,$CU42,N$57),""),2,1)="/",MID(IFERROR(INDEX(醫師週班表!$C$5:$T$44,$CU42,N$57),""),1+N$58*2,1),IF(MID(IFERROR(INDEX(醫師週班表!$C$5:$T$44,$CU42,N$57),""),3,1)="隔",IF(N$58=0,LEFT(IFERROR(INDEX(醫師週班表!$C$5:$T$44,$CU42,N$57),""),1),""),IF(MID(IFERROR(INDEX(醫師週班表!$C$5:$T$44,$CU42,N$57),""),2,1)="(",LEFT(IFERROR(INDEX(醫師週班表!$C$5:$T$44,$CU42,N$57),""),1),IFERROR(INDEX(醫師週班表!$C$5:$T$44,$CU42,N$57),"")))))))</f>
        <v/>
      </c>
      <c r="O42" s="72">
        <f>IF(O$59="X","",IF(O$59&lt;&gt;"",O$59,IF(IFERROR(INDEX(醫師週班表!$C$5:$T$44,$CU42,O$57),"")=0,"",IF(MID(IFERROR(INDEX(醫師週班表!$C$5:$T$44,$CU42,O$57),""),2,1)="/",MID(IFERROR(INDEX(醫師週班表!$C$5:$T$44,$CU42,O$57),""),1+O$58*2,1),IF(MID(IFERROR(INDEX(醫師週班表!$C$5:$T$44,$CU42,O$57),""),3,1)="隔",IF(O$58=0,LEFT(IFERROR(INDEX(醫師週班表!$C$5:$T$44,$CU42,O$57),""),1),""),IF(MID(IFERROR(INDEX(醫師週班表!$C$5:$T$44,$CU42,O$57),""),2,1)="(",LEFT(IFERROR(INDEX(醫師週班表!$C$5:$T$44,$CU42,O$57),""),1),IFERROR(INDEX(醫師週班表!$C$5:$T$44,$CU42,O$57),"")))))))</f>
        <v/>
      </c>
      <c r="P42" s="72">
        <f>IF(P$59="X","",IF(P$59&lt;&gt;"",P$59,IF(IFERROR(INDEX(醫師週班表!$C$5:$T$44,$CU42,P$57),"")=0,"",IF(MID(IFERROR(INDEX(醫師週班表!$C$5:$T$44,$CU42,P$57),""),2,1)="/",MID(IFERROR(INDEX(醫師週班表!$C$5:$T$44,$CU42,P$57),""),1+P$58*2,1),IF(MID(IFERROR(INDEX(醫師週班表!$C$5:$T$44,$CU42,P$57),""),3,1)="隔",IF(P$58=0,LEFT(IFERROR(INDEX(醫師週班表!$C$5:$T$44,$CU42,P$57),""),1),""),IF(MID(IFERROR(INDEX(醫師週班表!$C$5:$T$44,$CU42,P$57),""),2,1)="(",LEFT(IFERROR(INDEX(醫師週班表!$C$5:$T$44,$CU42,P$57),""),1),IFERROR(INDEX(醫師週班表!$C$5:$T$44,$CU42,P$57),"")))))))</f>
        <v/>
      </c>
      <c r="Q42" s="71">
        <f>IF(Q$59="X","",IF(Q$59&lt;&gt;"",Q$59,IF(IFERROR(INDEX(醫師週班表!$C$5:$T$44,$CU42,Q$57),"")=0,"",IF(MID(IFERROR(INDEX(醫師週班表!$C$5:$T$44,$CU42,Q$57),""),2,1)="/",MID(IFERROR(INDEX(醫師週班表!$C$5:$T$44,$CU42,Q$57),""),1+Q$58*2,1),IF(MID(IFERROR(INDEX(醫師週班表!$C$5:$T$44,$CU42,Q$57),""),3,1)="隔",IF(Q$58=0,LEFT(IFERROR(INDEX(醫師週班表!$C$5:$T$44,$CU42,Q$57),""),1),""),IF(MID(IFERROR(INDEX(醫師週班表!$C$5:$T$44,$CU42,Q$57),""),2,1)="(",LEFT(IFERROR(INDEX(醫師週班表!$C$5:$T$44,$CU42,Q$57),""),1),IFERROR(INDEX(醫師週班表!$C$5:$T$44,$CU42,Q$57),"")))))))</f>
        <v/>
      </c>
      <c r="R42" s="72">
        <f>IF(R$59="X","",IF(R$59&lt;&gt;"",R$59,IF(IFERROR(INDEX(醫師週班表!$C$5:$T$44,$CU42,R$57),"")=0,"",IF(MID(IFERROR(INDEX(醫師週班表!$C$5:$T$44,$CU42,R$57),""),2,1)="/",MID(IFERROR(INDEX(醫師週班表!$C$5:$T$44,$CU42,R$57),""),1+R$58*2,1),IF(MID(IFERROR(INDEX(醫師週班表!$C$5:$T$44,$CU42,R$57),""),3,1)="隔",IF(R$58=0,LEFT(IFERROR(INDEX(醫師週班表!$C$5:$T$44,$CU42,R$57),""),1),""),IF(MID(IFERROR(INDEX(醫師週班表!$C$5:$T$44,$CU42,R$57),""),2,1)="(",LEFT(IFERROR(INDEX(醫師週班表!$C$5:$T$44,$CU42,R$57),""),1),IFERROR(INDEX(醫師週班表!$C$5:$T$44,$CU42,R$57),"")))))))</f>
        <v/>
      </c>
      <c r="S42" s="72">
        <f>IF(S$59="X","",IF(S$59&lt;&gt;"",S$59,IF(IFERROR(INDEX(醫師週班表!$C$5:$T$44,$CU42,S$57),"")=0,"",IF(MID(IFERROR(INDEX(醫師週班表!$C$5:$T$44,$CU42,S$57),""),2,1)="/",MID(IFERROR(INDEX(醫師週班表!$C$5:$T$44,$CU42,S$57),""),1+S$58*2,1),IF(MID(IFERROR(INDEX(醫師週班表!$C$5:$T$44,$CU42,S$57),""),3,1)="隔",IF(S$58=0,LEFT(IFERROR(INDEX(醫師週班表!$C$5:$T$44,$CU42,S$57),""),1),""),IF(MID(IFERROR(INDEX(醫師週班表!$C$5:$T$44,$CU42,S$57),""),2,1)="(",LEFT(IFERROR(INDEX(醫師週班表!$C$5:$T$44,$CU42,S$57),""),1),IFERROR(INDEX(醫師週班表!$C$5:$T$44,$CU42,S$57),"")))))))</f>
        <v/>
      </c>
      <c r="T42" s="71">
        <f>IF(T$59="X","",IF(T$59&lt;&gt;"",T$59,IF(IFERROR(INDEX(醫師週班表!$C$5:$T$44,$CU42,T$57),"")=0,"",IF(MID(IFERROR(INDEX(醫師週班表!$C$5:$T$44,$CU42,T$57),""),2,1)="/",MID(IFERROR(INDEX(醫師週班表!$C$5:$T$44,$CU42,T$57),""),1+T$58*2,1),IF(MID(IFERROR(INDEX(醫師週班表!$C$5:$T$44,$CU42,T$57),""),3,1)="隔",IF(T$58=0,LEFT(IFERROR(INDEX(醫師週班表!$C$5:$T$44,$CU42,T$57),""),1),""),IF(MID(IFERROR(INDEX(醫師週班表!$C$5:$T$44,$CU42,T$57),""),2,1)="(",LEFT(IFERROR(INDEX(醫師週班表!$C$5:$T$44,$CU42,T$57),""),1),IFERROR(INDEX(醫師週班表!$C$5:$T$44,$CU42,T$57),"")))))))</f>
        <v/>
      </c>
      <c r="U42" s="72">
        <f>IF(U$59="X","",IF(U$59&lt;&gt;"",U$59,IF(IFERROR(INDEX(醫師週班表!$C$5:$T$44,$CU42,U$57),"")=0,"",IF(MID(IFERROR(INDEX(醫師週班表!$C$5:$T$44,$CU42,U$57),""),2,1)="/",MID(IFERROR(INDEX(醫師週班表!$C$5:$T$44,$CU42,U$57),""),1+U$58*2,1),IF(MID(IFERROR(INDEX(醫師週班表!$C$5:$T$44,$CU42,U$57),""),3,1)="隔",IF(U$58=0,LEFT(IFERROR(INDEX(醫師週班表!$C$5:$T$44,$CU42,U$57),""),1),""),IF(MID(IFERROR(INDEX(醫師週班表!$C$5:$T$44,$CU42,U$57),""),2,1)="(",LEFT(IFERROR(INDEX(醫師週班表!$C$5:$T$44,$CU42,U$57),""),1),IFERROR(INDEX(醫師週班表!$C$5:$T$44,$CU42,U$57),"")))))))</f>
        <v/>
      </c>
      <c r="V42" s="72">
        <f>IF(V$59="X","",IF(V$59&lt;&gt;"",V$59,IF(IFERROR(INDEX(醫師週班表!$C$5:$T$44,$CU42,V$57),"")=0,"",IF(MID(IFERROR(INDEX(醫師週班表!$C$5:$T$44,$CU42,V$57),""),2,1)="/",MID(IFERROR(INDEX(醫師週班表!$C$5:$T$44,$CU42,V$57),""),1+V$58*2,1),IF(MID(IFERROR(INDEX(醫師週班表!$C$5:$T$44,$CU42,V$57),""),3,1)="隔",IF(V$58=0,LEFT(IFERROR(INDEX(醫師週班表!$C$5:$T$44,$CU42,V$57),""),1),""),IF(MID(IFERROR(INDEX(醫師週班表!$C$5:$T$44,$CU42,V$57),""),2,1)="(",LEFT(IFERROR(INDEX(醫師週班表!$C$5:$T$44,$CU42,V$57),""),1),IFERROR(INDEX(醫師週班表!$C$5:$T$44,$CU42,V$57),"")))))))</f>
        <v/>
      </c>
      <c r="W42" s="71">
        <f>IF(W$59="X","",IF(W$59&lt;&gt;"",W$59,IF(IFERROR(INDEX(醫師週班表!$C$5:$T$44,$CU42,W$57),"")=0,"",IF(MID(IFERROR(INDEX(醫師週班表!$C$5:$T$44,$CU42,W$57),""),2,1)="/",MID(IFERROR(INDEX(醫師週班表!$C$5:$T$44,$CU42,W$57),""),1+W$58*2,1),IF(MID(IFERROR(INDEX(醫師週班表!$C$5:$T$44,$CU42,W$57),""),3,1)="隔",IF(W$58=0,LEFT(IFERROR(INDEX(醫師週班表!$C$5:$T$44,$CU42,W$57),""),1),""),IF(MID(IFERROR(INDEX(醫師週班表!$C$5:$T$44,$CU42,W$57),""),2,1)="(",LEFT(IFERROR(INDEX(醫師週班表!$C$5:$T$44,$CU42,W$57),""),1),IFERROR(INDEX(醫師週班表!$C$5:$T$44,$CU42,W$57),"")))))))</f>
        <v/>
      </c>
      <c r="X42" s="72">
        <f>IF(X$59="X","",IF(X$59&lt;&gt;"",X$59,IF(IFERROR(INDEX(醫師週班表!$C$5:$T$44,$CU42,X$57),"")=0,"",IF(MID(IFERROR(INDEX(醫師週班表!$C$5:$T$44,$CU42,X$57),""),2,1)="/",MID(IFERROR(INDEX(醫師週班表!$C$5:$T$44,$CU42,X$57),""),1+X$58*2,1),IF(MID(IFERROR(INDEX(醫師週班表!$C$5:$T$44,$CU42,X$57),""),3,1)="隔",IF(X$58=0,LEFT(IFERROR(INDEX(醫師週班表!$C$5:$T$44,$CU42,X$57),""),1),""),IF(MID(IFERROR(INDEX(醫師週班表!$C$5:$T$44,$CU42,X$57),""),2,1)="(",LEFT(IFERROR(INDEX(醫師週班表!$C$5:$T$44,$CU42,X$57),""),1),IFERROR(INDEX(醫師週班表!$C$5:$T$44,$CU42,X$57),"")))))))</f>
        <v/>
      </c>
      <c r="Y42" s="72">
        <f>IF(Y$59="X","",IF(Y$59&lt;&gt;"",Y$59,IF(IFERROR(INDEX(醫師週班表!$C$5:$T$44,$CU42,Y$57),"")=0,"",IF(MID(IFERROR(INDEX(醫師週班表!$C$5:$T$44,$CU42,Y$57),""),2,1)="/",MID(IFERROR(INDEX(醫師週班表!$C$5:$T$44,$CU42,Y$57),""),1+Y$58*2,1),IF(MID(IFERROR(INDEX(醫師週班表!$C$5:$T$44,$CU42,Y$57),""),3,1)="隔",IF(Y$58=0,LEFT(IFERROR(INDEX(醫師週班表!$C$5:$T$44,$CU42,Y$57),""),1),""),IF(MID(IFERROR(INDEX(醫師週班表!$C$5:$T$44,$CU42,Y$57),""),2,1)="(",LEFT(IFERROR(INDEX(醫師週班表!$C$5:$T$44,$CU42,Y$57),""),1),IFERROR(INDEX(醫師週班表!$C$5:$T$44,$CU42,Y$57),"")))))))</f>
        <v/>
      </c>
      <c r="Z42" s="71">
        <f>IF(Z$59="X","",IF(Z$59&lt;&gt;"",Z$59,IF(IFERROR(INDEX(醫師週班表!$C$5:$T$44,$CU42,Z$57),"")=0,"",IF(MID(IFERROR(INDEX(醫師週班表!$C$5:$T$44,$CU42,Z$57),""),2,1)="/",MID(IFERROR(INDEX(醫師週班表!$C$5:$T$44,$CU42,Z$57),""),1+Z$58*2,1),IF(MID(IFERROR(INDEX(醫師週班表!$C$5:$T$44,$CU42,Z$57),""),3,1)="隔",IF(Z$58=0,LEFT(IFERROR(INDEX(醫師週班表!$C$5:$T$44,$CU42,Z$57),""),1),""),IF(MID(IFERROR(INDEX(醫師週班表!$C$5:$T$44,$CU42,Z$57),""),2,1)="(",LEFT(IFERROR(INDEX(醫師週班表!$C$5:$T$44,$CU42,Z$57),""),1),IFERROR(INDEX(醫師週班表!$C$5:$T$44,$CU42,Z$57),"")))))))</f>
        <v/>
      </c>
      <c r="AA42" s="72">
        <f>IF(AA$59="X","",IF(AA$59&lt;&gt;"",AA$59,IF(IFERROR(INDEX(醫師週班表!$C$5:$T$44,$CU42,AA$57),"")=0,"",IF(MID(IFERROR(INDEX(醫師週班表!$C$5:$T$44,$CU42,AA$57),""),2,1)="/",MID(IFERROR(INDEX(醫師週班表!$C$5:$T$44,$CU42,AA$57),""),1+AA$58*2,1),IF(MID(IFERROR(INDEX(醫師週班表!$C$5:$T$44,$CU42,AA$57),""),3,1)="隔",IF(AA$58=0,LEFT(IFERROR(INDEX(醫師週班表!$C$5:$T$44,$CU42,AA$57),""),1),""),IF(MID(IFERROR(INDEX(醫師週班表!$C$5:$T$44,$CU42,AA$57),""),2,1)="(",LEFT(IFERROR(INDEX(醫師週班表!$C$5:$T$44,$CU42,AA$57),""),1),IFERROR(INDEX(醫師週班表!$C$5:$T$44,$CU42,AA$57),"")))))))</f>
        <v/>
      </c>
      <c r="AB42" s="72">
        <f>IF(AB$59="X","",IF(AB$59&lt;&gt;"",AB$59,IF(IFERROR(INDEX(醫師週班表!$C$5:$T$44,$CU42,AB$57),"")=0,"",IF(MID(IFERROR(INDEX(醫師週班表!$C$5:$T$44,$CU42,AB$57),""),2,1)="/",MID(IFERROR(INDEX(醫師週班表!$C$5:$T$44,$CU42,AB$57),""),1+AB$58*2,1),IF(MID(IFERROR(INDEX(醫師週班表!$C$5:$T$44,$CU42,AB$57),""),3,1)="隔",IF(AB$58=0,LEFT(IFERROR(INDEX(醫師週班表!$C$5:$T$44,$CU42,AB$57),""),1),""),IF(MID(IFERROR(INDEX(醫師週班表!$C$5:$T$44,$CU42,AB$57),""),2,1)="(",LEFT(IFERROR(INDEX(醫師週班表!$C$5:$T$44,$CU42,AB$57),""),1),IFERROR(INDEX(醫師週班表!$C$5:$T$44,$CU42,AB$57),"")))))))</f>
        <v/>
      </c>
      <c r="AC42" s="71">
        <f>IF(AC$59="X","",IF(AC$59&lt;&gt;"",AC$59,IF(IFERROR(INDEX(醫師週班表!$C$5:$T$44,$CU42,AC$57),"")=0,"",IF(MID(IFERROR(INDEX(醫師週班表!$C$5:$T$44,$CU42,AC$57),""),2,1)="/",MID(IFERROR(INDEX(醫師週班表!$C$5:$T$44,$CU42,AC$57),""),1+AC$58*2,1),IF(MID(IFERROR(INDEX(醫師週班表!$C$5:$T$44,$CU42,AC$57),""),3,1)="隔",IF(AC$58=0,LEFT(IFERROR(INDEX(醫師週班表!$C$5:$T$44,$CU42,AC$57),""),1),""),IF(MID(IFERROR(INDEX(醫師週班表!$C$5:$T$44,$CU42,AC$57),""),2,1)="(",LEFT(IFERROR(INDEX(醫師週班表!$C$5:$T$44,$CU42,AC$57),""),1),IFERROR(INDEX(醫師週班表!$C$5:$T$44,$CU42,AC$57),"")))))))</f>
        <v/>
      </c>
      <c r="AD42" s="72">
        <f>IF(AD$59="X","",IF(AD$59&lt;&gt;"",AD$59,IF(IFERROR(INDEX(醫師週班表!$C$5:$T$44,$CU42,AD$57),"")=0,"",IF(MID(IFERROR(INDEX(醫師週班表!$C$5:$T$44,$CU42,AD$57),""),2,1)="/",MID(IFERROR(INDEX(醫師週班表!$C$5:$T$44,$CU42,AD$57),""),1+AD$58*2,1),IF(MID(IFERROR(INDEX(醫師週班表!$C$5:$T$44,$CU42,AD$57),""),3,1)="隔",IF(AD$58=0,LEFT(IFERROR(INDEX(醫師週班表!$C$5:$T$44,$CU42,AD$57),""),1),""),IF(MID(IFERROR(INDEX(醫師週班表!$C$5:$T$44,$CU42,AD$57),""),2,1)="(",LEFT(IFERROR(INDEX(醫師週班表!$C$5:$T$44,$CU42,AD$57),""),1),IFERROR(INDEX(醫師週班表!$C$5:$T$44,$CU42,AD$57),"")))))))</f>
        <v/>
      </c>
      <c r="AE42" s="72">
        <f>IF(AE$59="X","",IF(AE$59&lt;&gt;"",AE$59,IF(IFERROR(INDEX(醫師週班表!$C$5:$T$44,$CU42,AE$57),"")=0,"",IF(MID(IFERROR(INDEX(醫師週班表!$C$5:$T$44,$CU42,AE$57),""),2,1)="/",MID(IFERROR(INDEX(醫師週班表!$C$5:$T$44,$CU42,AE$57),""),1+AE$58*2,1),IF(MID(IFERROR(INDEX(醫師週班表!$C$5:$T$44,$CU42,AE$57),""),3,1)="隔",IF(AE$58=0,LEFT(IFERROR(INDEX(醫師週班表!$C$5:$T$44,$CU42,AE$57),""),1),""),IF(MID(IFERROR(INDEX(醫師週班表!$C$5:$T$44,$CU42,AE$57),""),2,1)="(",LEFT(IFERROR(INDEX(醫師週班表!$C$5:$T$44,$CU42,AE$57),""),1),IFERROR(INDEX(醫師週班表!$C$5:$T$44,$CU42,AE$57),"")))))))</f>
        <v/>
      </c>
      <c r="AF42" s="71">
        <f>IF(AF$59="X","",IF(AF$59&lt;&gt;"",AF$59,IF(IFERROR(INDEX(醫師週班表!$C$5:$T$44,$CU42,AF$57),"")=0,"",IF(MID(IFERROR(INDEX(醫師週班表!$C$5:$T$44,$CU42,AF$57),""),2,1)="/",MID(IFERROR(INDEX(醫師週班表!$C$5:$T$44,$CU42,AF$57),""),1+AF$58*2,1),IF(MID(IFERROR(INDEX(醫師週班表!$C$5:$T$44,$CU42,AF$57),""),3,1)="隔",IF(AF$58=0,LEFT(IFERROR(INDEX(醫師週班表!$C$5:$T$44,$CU42,AF$57),""),1),""),IF(MID(IFERROR(INDEX(醫師週班表!$C$5:$T$44,$CU42,AF$57),""),2,1)="(",LEFT(IFERROR(INDEX(醫師週班表!$C$5:$T$44,$CU42,AF$57),""),1),IFERROR(INDEX(醫師週班表!$C$5:$T$44,$CU42,AF$57),"")))))))</f>
        <v/>
      </c>
      <c r="AG42" s="72">
        <f>IF(AG$59="X","",IF(AG$59&lt;&gt;"",AG$59,IF(IFERROR(INDEX(醫師週班表!$C$5:$T$44,$CU42,AG$57),"")=0,"",IF(MID(IFERROR(INDEX(醫師週班表!$C$5:$T$44,$CU42,AG$57),""),2,1)="/",MID(IFERROR(INDEX(醫師週班表!$C$5:$T$44,$CU42,AG$57),""),1+AG$58*2,1),IF(MID(IFERROR(INDEX(醫師週班表!$C$5:$T$44,$CU42,AG$57),""),3,1)="隔",IF(AG$58=0,LEFT(IFERROR(INDEX(醫師週班表!$C$5:$T$44,$CU42,AG$57),""),1),""),IF(MID(IFERROR(INDEX(醫師週班表!$C$5:$T$44,$CU42,AG$57),""),2,1)="(",LEFT(IFERROR(INDEX(醫師週班表!$C$5:$T$44,$CU42,AG$57),""),1),IFERROR(INDEX(醫師週班表!$C$5:$T$44,$CU42,AG$57),"")))))))</f>
        <v/>
      </c>
      <c r="AH42" s="72">
        <f>IF(AH$59="X","",IF(AH$59&lt;&gt;"",AH$59,IF(IFERROR(INDEX(醫師週班表!$C$5:$T$44,$CU42,AH$57),"")=0,"",IF(MID(IFERROR(INDEX(醫師週班表!$C$5:$T$44,$CU42,AH$57),""),2,1)="/",MID(IFERROR(INDEX(醫師週班表!$C$5:$T$44,$CU42,AH$57),""),1+AH$58*2,1),IF(MID(IFERROR(INDEX(醫師週班表!$C$5:$T$44,$CU42,AH$57),""),3,1)="隔",IF(AH$58=0,LEFT(IFERROR(INDEX(醫師週班表!$C$5:$T$44,$CU42,AH$57),""),1),""),IF(MID(IFERROR(INDEX(醫師週班表!$C$5:$T$44,$CU42,AH$57),""),2,1)="(",LEFT(IFERROR(INDEX(醫師週班表!$C$5:$T$44,$CU42,AH$57),""),1),IFERROR(INDEX(醫師週班表!$C$5:$T$44,$CU42,AH$57),"")))))))</f>
        <v/>
      </c>
      <c r="AI42" s="71">
        <f>IF(AI$59="X","",IF(AI$59&lt;&gt;"",AI$59,IF(IFERROR(INDEX(醫師週班表!$C$5:$T$44,$CU42,AI$57),"")=0,"",IF(MID(IFERROR(INDEX(醫師週班表!$C$5:$T$44,$CU42,AI$57),""),2,1)="/",MID(IFERROR(INDEX(醫師週班表!$C$5:$T$44,$CU42,AI$57),""),1+AI$58*2,1),IF(MID(IFERROR(INDEX(醫師週班表!$C$5:$T$44,$CU42,AI$57),""),3,1)="隔",IF(AI$58=0,LEFT(IFERROR(INDEX(醫師週班表!$C$5:$T$44,$CU42,AI$57),""),1),""),IF(MID(IFERROR(INDEX(醫師週班表!$C$5:$T$44,$CU42,AI$57),""),2,1)="(",LEFT(IFERROR(INDEX(醫師週班表!$C$5:$T$44,$CU42,AI$57),""),1),IFERROR(INDEX(醫師週班表!$C$5:$T$44,$CU42,AI$57),"")))))))</f>
        <v/>
      </c>
      <c r="AJ42" s="72">
        <f>IF(AJ$59="X","",IF(AJ$59&lt;&gt;"",AJ$59,IF(IFERROR(INDEX(醫師週班表!$C$5:$T$44,$CU42,AJ$57),"")=0,"",IF(MID(IFERROR(INDEX(醫師週班表!$C$5:$T$44,$CU42,AJ$57),""),2,1)="/",MID(IFERROR(INDEX(醫師週班表!$C$5:$T$44,$CU42,AJ$57),""),1+AJ$58*2,1),IF(MID(IFERROR(INDEX(醫師週班表!$C$5:$T$44,$CU42,AJ$57),""),3,1)="隔",IF(AJ$58=0,LEFT(IFERROR(INDEX(醫師週班表!$C$5:$T$44,$CU42,AJ$57),""),1),""),IF(MID(IFERROR(INDEX(醫師週班表!$C$5:$T$44,$CU42,AJ$57),""),2,1)="(",LEFT(IFERROR(INDEX(醫師週班表!$C$5:$T$44,$CU42,AJ$57),""),1),IFERROR(INDEX(醫師週班表!$C$5:$T$44,$CU42,AJ$57),"")))))))</f>
        <v/>
      </c>
      <c r="AK42" s="72">
        <f>IF(AK$59="X","",IF(AK$59&lt;&gt;"",AK$59,IF(IFERROR(INDEX(醫師週班表!$C$5:$T$44,$CU42,AK$57),"")=0,"",IF(MID(IFERROR(INDEX(醫師週班表!$C$5:$T$44,$CU42,AK$57),""),2,1)="/",MID(IFERROR(INDEX(醫師週班表!$C$5:$T$44,$CU42,AK$57),""),1+AK$58*2,1),IF(MID(IFERROR(INDEX(醫師週班表!$C$5:$T$44,$CU42,AK$57),""),3,1)="隔",IF(AK$58=0,LEFT(IFERROR(INDEX(醫師週班表!$C$5:$T$44,$CU42,AK$57),""),1),""),IF(MID(IFERROR(INDEX(醫師週班表!$C$5:$T$44,$CU42,AK$57),""),2,1)="(",LEFT(IFERROR(INDEX(醫師週班表!$C$5:$T$44,$CU42,AK$57),""),1),IFERROR(INDEX(醫師週班表!$C$5:$T$44,$CU42,AK$57),"")))))))</f>
        <v/>
      </c>
      <c r="AL42" s="71">
        <f>IF(AL$59="X","",IF(AL$59&lt;&gt;"",AL$59,IF(IFERROR(INDEX(醫師週班表!$C$5:$T$44,$CU42,AL$57),"")=0,"",IF(MID(IFERROR(INDEX(醫師週班表!$C$5:$T$44,$CU42,AL$57),""),2,1)="/",MID(IFERROR(INDEX(醫師週班表!$C$5:$T$44,$CU42,AL$57),""),1+AL$58*2,1),IF(MID(IFERROR(INDEX(醫師週班表!$C$5:$T$44,$CU42,AL$57),""),3,1)="隔",IF(AL$58=0,LEFT(IFERROR(INDEX(醫師週班表!$C$5:$T$44,$CU42,AL$57),""),1),""),IF(MID(IFERROR(INDEX(醫師週班表!$C$5:$T$44,$CU42,AL$57),""),2,1)="(",LEFT(IFERROR(INDEX(醫師週班表!$C$5:$T$44,$CU42,AL$57),""),1),IFERROR(INDEX(醫師週班表!$C$5:$T$44,$CU42,AL$57),"")))))))</f>
        <v/>
      </c>
      <c r="AM42" s="72">
        <f>IF(AM$59="X","",IF(AM$59&lt;&gt;"",AM$59,IF(IFERROR(INDEX(醫師週班表!$C$5:$T$44,$CU42,AM$57),"")=0,"",IF(MID(IFERROR(INDEX(醫師週班表!$C$5:$T$44,$CU42,AM$57),""),2,1)="/",MID(IFERROR(INDEX(醫師週班表!$C$5:$T$44,$CU42,AM$57),""),1+AM$58*2,1),IF(MID(IFERROR(INDEX(醫師週班表!$C$5:$T$44,$CU42,AM$57),""),3,1)="隔",IF(AM$58=0,LEFT(IFERROR(INDEX(醫師週班表!$C$5:$T$44,$CU42,AM$57),""),1),""),IF(MID(IFERROR(INDEX(醫師週班表!$C$5:$T$44,$CU42,AM$57),""),2,1)="(",LEFT(IFERROR(INDEX(醫師週班表!$C$5:$T$44,$CU42,AM$57),""),1),IFERROR(INDEX(醫師週班表!$C$5:$T$44,$CU42,AM$57),"")))))))</f>
        <v/>
      </c>
      <c r="AN42" s="72">
        <f>IF(AN$59="X","",IF(AN$59&lt;&gt;"",AN$59,IF(IFERROR(INDEX(醫師週班表!$C$5:$T$44,$CU42,AN$57),"")=0,"",IF(MID(IFERROR(INDEX(醫師週班表!$C$5:$T$44,$CU42,AN$57),""),2,1)="/",MID(IFERROR(INDEX(醫師週班表!$C$5:$T$44,$CU42,AN$57),""),1+AN$58*2,1),IF(MID(IFERROR(INDEX(醫師週班表!$C$5:$T$44,$CU42,AN$57),""),3,1)="隔",IF(AN$58=0,LEFT(IFERROR(INDEX(醫師週班表!$C$5:$T$44,$CU42,AN$57),""),1),""),IF(MID(IFERROR(INDEX(醫師週班表!$C$5:$T$44,$CU42,AN$57),""),2,1)="(",LEFT(IFERROR(INDEX(醫師週班表!$C$5:$T$44,$CU42,AN$57),""),1),IFERROR(INDEX(醫師週班表!$C$5:$T$44,$CU42,AN$57),"")))))))</f>
        <v/>
      </c>
      <c r="AO42" s="71">
        <f>IF(AO$59="X","",IF(AO$59&lt;&gt;"",AO$59,IF(IFERROR(INDEX(醫師週班表!$C$5:$T$44,$CU42,AO$57),"")=0,"",IF(MID(IFERROR(INDEX(醫師週班表!$C$5:$T$44,$CU42,AO$57),""),2,1)="/",MID(IFERROR(INDEX(醫師週班表!$C$5:$T$44,$CU42,AO$57),""),1+AO$58*2,1),IF(MID(IFERROR(INDEX(醫師週班表!$C$5:$T$44,$CU42,AO$57),""),3,1)="隔",IF(AO$58=0,LEFT(IFERROR(INDEX(醫師週班表!$C$5:$T$44,$CU42,AO$57),""),1),""),IF(MID(IFERROR(INDEX(醫師週班表!$C$5:$T$44,$CU42,AO$57),""),2,1)="(",LEFT(IFERROR(INDEX(醫師週班表!$C$5:$T$44,$CU42,AO$57),""),1),IFERROR(INDEX(醫師週班表!$C$5:$T$44,$CU42,AO$57),"")))))))</f>
        <v/>
      </c>
      <c r="AP42" s="72">
        <f>IF(AP$59="X","",IF(AP$59&lt;&gt;"",AP$59,IF(IFERROR(INDEX(醫師週班表!$C$5:$T$44,$CU42,AP$57),"")=0,"",IF(MID(IFERROR(INDEX(醫師週班表!$C$5:$T$44,$CU42,AP$57),""),2,1)="/",MID(IFERROR(INDEX(醫師週班表!$C$5:$T$44,$CU42,AP$57),""),1+AP$58*2,1),IF(MID(IFERROR(INDEX(醫師週班表!$C$5:$T$44,$CU42,AP$57),""),3,1)="隔",IF(AP$58=0,LEFT(IFERROR(INDEX(醫師週班表!$C$5:$T$44,$CU42,AP$57),""),1),""),IF(MID(IFERROR(INDEX(醫師週班表!$C$5:$T$44,$CU42,AP$57),""),2,1)="(",LEFT(IFERROR(INDEX(醫師週班表!$C$5:$T$44,$CU42,AP$57),""),1),IFERROR(INDEX(醫師週班表!$C$5:$T$44,$CU42,AP$57),"")))))))</f>
        <v/>
      </c>
      <c r="AQ42" s="72">
        <f>IF(AQ$59="X","",IF(AQ$59&lt;&gt;"",AQ$59,IF(IFERROR(INDEX(醫師週班表!$C$5:$T$44,$CU42,AQ$57),"")=0,"",IF(MID(IFERROR(INDEX(醫師週班表!$C$5:$T$44,$CU42,AQ$57),""),2,1)="/",MID(IFERROR(INDEX(醫師週班表!$C$5:$T$44,$CU42,AQ$57),""),1+AQ$58*2,1),IF(MID(IFERROR(INDEX(醫師週班表!$C$5:$T$44,$CU42,AQ$57),""),3,1)="隔",IF(AQ$58=0,LEFT(IFERROR(INDEX(醫師週班表!$C$5:$T$44,$CU42,AQ$57),""),1),""),IF(MID(IFERROR(INDEX(醫師週班表!$C$5:$T$44,$CU42,AQ$57),""),2,1)="(",LEFT(IFERROR(INDEX(醫師週班表!$C$5:$T$44,$CU42,AQ$57),""),1),IFERROR(INDEX(醫師週班表!$C$5:$T$44,$CU42,AQ$57),"")))))))</f>
        <v/>
      </c>
      <c r="AR42" s="71">
        <f>IF(AR$59="X","",IF(AR$59&lt;&gt;"",AR$59,IF(IFERROR(INDEX(醫師週班表!$C$5:$T$44,$CU42,AR$57),"")=0,"",IF(MID(IFERROR(INDEX(醫師週班表!$C$5:$T$44,$CU42,AR$57),""),2,1)="/",MID(IFERROR(INDEX(醫師週班表!$C$5:$T$44,$CU42,AR$57),""),1+AR$58*2,1),IF(MID(IFERROR(INDEX(醫師週班表!$C$5:$T$44,$CU42,AR$57),""),3,1)="隔",IF(AR$58=0,LEFT(IFERROR(INDEX(醫師週班表!$C$5:$T$44,$CU42,AR$57),""),1),""),IF(MID(IFERROR(INDEX(醫師週班表!$C$5:$T$44,$CU42,AR$57),""),2,1)="(",LEFT(IFERROR(INDEX(醫師週班表!$C$5:$T$44,$CU42,AR$57),""),1),IFERROR(INDEX(醫師週班表!$C$5:$T$44,$CU42,AR$57),"")))))))</f>
        <v/>
      </c>
      <c r="AS42" s="72">
        <f>IF(AS$59="X","",IF(AS$59&lt;&gt;"",AS$59,IF(IFERROR(INDEX(醫師週班表!$C$5:$T$44,$CU42,AS$57),"")=0,"",IF(MID(IFERROR(INDEX(醫師週班表!$C$5:$T$44,$CU42,AS$57),""),2,1)="/",MID(IFERROR(INDEX(醫師週班表!$C$5:$T$44,$CU42,AS$57),""),1+AS$58*2,1),IF(MID(IFERROR(INDEX(醫師週班表!$C$5:$T$44,$CU42,AS$57),""),3,1)="隔",IF(AS$58=0,LEFT(IFERROR(INDEX(醫師週班表!$C$5:$T$44,$CU42,AS$57),""),1),""),IF(MID(IFERROR(INDEX(醫師週班表!$C$5:$T$44,$CU42,AS$57),""),2,1)="(",LEFT(IFERROR(INDEX(醫師週班表!$C$5:$T$44,$CU42,AS$57),""),1),IFERROR(INDEX(醫師週班表!$C$5:$T$44,$CU42,AS$57),"")))))))</f>
        <v/>
      </c>
      <c r="AT42" s="72">
        <f>IF(AT$59="X","",IF(AT$59&lt;&gt;"",AT$59,IF(IFERROR(INDEX(醫師週班表!$C$5:$T$44,$CU42,AT$57),"")=0,"",IF(MID(IFERROR(INDEX(醫師週班表!$C$5:$T$44,$CU42,AT$57),""),2,1)="/",MID(IFERROR(INDEX(醫師週班表!$C$5:$T$44,$CU42,AT$57),""),1+AT$58*2,1),IF(MID(IFERROR(INDEX(醫師週班表!$C$5:$T$44,$CU42,AT$57),""),3,1)="隔",IF(AT$58=0,LEFT(IFERROR(INDEX(醫師週班表!$C$5:$T$44,$CU42,AT$57),""),1),""),IF(MID(IFERROR(INDEX(醫師週班表!$C$5:$T$44,$CU42,AT$57),""),2,1)="(",LEFT(IFERROR(INDEX(醫師週班表!$C$5:$T$44,$CU42,AT$57),""),1),IFERROR(INDEX(醫師週班表!$C$5:$T$44,$CU42,AT$57),"")))))))</f>
        <v/>
      </c>
      <c r="AU42" s="71">
        <f>IF(AU$59="X","",IF(AU$59&lt;&gt;"",AU$59,IF(IFERROR(INDEX(醫師週班表!$C$5:$T$44,$CU42,AU$57),"")=0,"",IF(MID(IFERROR(INDEX(醫師週班表!$C$5:$T$44,$CU42,AU$57),""),2,1)="/",MID(IFERROR(INDEX(醫師週班表!$C$5:$T$44,$CU42,AU$57),""),1+AU$58*2,1),IF(MID(IFERROR(INDEX(醫師週班表!$C$5:$T$44,$CU42,AU$57),""),3,1)="隔",IF(AU$58=0,LEFT(IFERROR(INDEX(醫師週班表!$C$5:$T$44,$CU42,AU$57),""),1),""),IF(MID(IFERROR(INDEX(醫師週班表!$C$5:$T$44,$CU42,AU$57),""),2,1)="(",LEFT(IFERROR(INDEX(醫師週班表!$C$5:$T$44,$CU42,AU$57),""),1),IFERROR(INDEX(醫師週班表!$C$5:$T$44,$CU42,AU$57),"")))))))</f>
        <v/>
      </c>
      <c r="AV42" s="72">
        <f>IF(AV$59="X","",IF(AV$59&lt;&gt;"",AV$59,IF(IFERROR(INDEX(醫師週班表!$C$5:$T$44,$CU42,AV$57),"")=0,"",IF(MID(IFERROR(INDEX(醫師週班表!$C$5:$T$44,$CU42,AV$57),""),2,1)="/",MID(IFERROR(INDEX(醫師週班表!$C$5:$T$44,$CU42,AV$57),""),1+AV$58*2,1),IF(MID(IFERROR(INDEX(醫師週班表!$C$5:$T$44,$CU42,AV$57),""),3,1)="隔",IF(AV$58=0,LEFT(IFERROR(INDEX(醫師週班表!$C$5:$T$44,$CU42,AV$57),""),1),""),IF(MID(IFERROR(INDEX(醫師週班表!$C$5:$T$44,$CU42,AV$57),""),2,1)="(",LEFT(IFERROR(INDEX(醫師週班表!$C$5:$T$44,$CU42,AV$57),""),1),IFERROR(INDEX(醫師週班表!$C$5:$T$44,$CU42,AV$57),"")))))))</f>
        <v/>
      </c>
      <c r="AW42" s="72">
        <f>IF(AW$59="X","",IF(AW$59&lt;&gt;"",AW$59,IF(IFERROR(INDEX(醫師週班表!$C$5:$T$44,$CU42,AW$57),"")=0,"",IF(MID(IFERROR(INDEX(醫師週班表!$C$5:$T$44,$CU42,AW$57),""),2,1)="/",MID(IFERROR(INDEX(醫師週班表!$C$5:$T$44,$CU42,AW$57),""),1+AW$58*2,1),IF(MID(IFERROR(INDEX(醫師週班表!$C$5:$T$44,$CU42,AW$57),""),3,1)="隔",IF(AW$58=0,LEFT(IFERROR(INDEX(醫師週班表!$C$5:$T$44,$CU42,AW$57),""),1),""),IF(MID(IFERROR(INDEX(醫師週班表!$C$5:$T$44,$CU42,AW$57),""),2,1)="(",LEFT(IFERROR(INDEX(醫師週班表!$C$5:$T$44,$CU42,AW$57),""),1),IFERROR(INDEX(醫師週班表!$C$5:$T$44,$CU42,AW$57),"")))))))</f>
        <v/>
      </c>
      <c r="AX42" s="71">
        <f>IF(AX$59="X","",IF(AX$59&lt;&gt;"",AX$59,IF(IFERROR(INDEX(醫師週班表!$C$5:$T$44,$CU42,AX$57),"")=0,"",IF(MID(IFERROR(INDEX(醫師週班表!$C$5:$T$44,$CU42,AX$57),""),2,1)="/",MID(IFERROR(INDEX(醫師週班表!$C$5:$T$44,$CU42,AX$57),""),1+AX$58*2,1),IF(MID(IFERROR(INDEX(醫師週班表!$C$5:$T$44,$CU42,AX$57),""),3,1)="隔",IF(AX$58=0,LEFT(IFERROR(INDEX(醫師週班表!$C$5:$T$44,$CU42,AX$57),""),1),""),IF(MID(IFERROR(INDEX(醫師週班表!$C$5:$T$44,$CU42,AX$57),""),2,1)="(",LEFT(IFERROR(INDEX(醫師週班表!$C$5:$T$44,$CU42,AX$57),""),1),IFERROR(INDEX(醫師週班表!$C$5:$T$44,$CU42,AX$57),"")))))))</f>
        <v/>
      </c>
      <c r="AY42" s="72">
        <f>IF(AY$59="X","",IF(AY$59&lt;&gt;"",AY$59,IF(IFERROR(INDEX(醫師週班表!$C$5:$T$44,$CU42,AY$57),"")=0,"",IF(MID(IFERROR(INDEX(醫師週班表!$C$5:$T$44,$CU42,AY$57),""),2,1)="/",MID(IFERROR(INDEX(醫師週班表!$C$5:$T$44,$CU42,AY$57),""),1+AY$58*2,1),IF(MID(IFERROR(INDEX(醫師週班表!$C$5:$T$44,$CU42,AY$57),""),3,1)="隔",IF(AY$58=0,LEFT(IFERROR(INDEX(醫師週班表!$C$5:$T$44,$CU42,AY$57),""),1),""),IF(MID(IFERROR(INDEX(醫師週班表!$C$5:$T$44,$CU42,AY$57),""),2,1)="(",LEFT(IFERROR(INDEX(醫師週班表!$C$5:$T$44,$CU42,AY$57),""),1),IFERROR(INDEX(醫師週班表!$C$5:$T$44,$CU42,AY$57),"")))))))</f>
        <v/>
      </c>
      <c r="AZ42" s="72">
        <f>IF(AZ$59="X","",IF(AZ$59&lt;&gt;"",AZ$59,IF(IFERROR(INDEX(醫師週班表!$C$5:$T$44,$CU42,AZ$57),"")=0,"",IF(MID(IFERROR(INDEX(醫師週班表!$C$5:$T$44,$CU42,AZ$57),""),2,1)="/",MID(IFERROR(INDEX(醫師週班表!$C$5:$T$44,$CU42,AZ$57),""),1+AZ$58*2,1),IF(MID(IFERROR(INDEX(醫師週班表!$C$5:$T$44,$CU42,AZ$57),""),3,1)="隔",IF(AZ$58=0,LEFT(IFERROR(INDEX(醫師週班表!$C$5:$T$44,$CU42,AZ$57),""),1),""),IF(MID(IFERROR(INDEX(醫師週班表!$C$5:$T$44,$CU42,AZ$57),""),2,1)="(",LEFT(IFERROR(INDEX(醫師週班表!$C$5:$T$44,$CU42,AZ$57),""),1),IFERROR(INDEX(醫師週班表!$C$5:$T$44,$CU42,AZ$57),"")))))))</f>
        <v/>
      </c>
      <c r="BA42" s="71">
        <f>IF(BA$59="X","",IF(BA$59&lt;&gt;"",BA$59,IF(IFERROR(INDEX(醫師週班表!$C$5:$T$44,$CU42,BA$57),"")=0,"",IF(MID(IFERROR(INDEX(醫師週班表!$C$5:$T$44,$CU42,BA$57),""),2,1)="/",MID(IFERROR(INDEX(醫師週班表!$C$5:$T$44,$CU42,BA$57),""),1+BA$58*2,1),IF(MID(IFERROR(INDEX(醫師週班表!$C$5:$T$44,$CU42,BA$57),""),3,1)="隔",IF(BA$58=0,LEFT(IFERROR(INDEX(醫師週班表!$C$5:$T$44,$CU42,BA$57),""),1),""),IF(MID(IFERROR(INDEX(醫師週班表!$C$5:$T$44,$CU42,BA$57),""),2,1)="(",LEFT(IFERROR(INDEX(醫師週班表!$C$5:$T$44,$CU42,BA$57),""),1),IFERROR(INDEX(醫師週班表!$C$5:$T$44,$CU42,BA$57),"")))))))</f>
        <v/>
      </c>
      <c r="BB42" s="72">
        <f>IF(BB$59="X","",IF(BB$59&lt;&gt;"",BB$59,IF(IFERROR(INDEX(醫師週班表!$C$5:$T$44,$CU42,BB$57),"")=0,"",IF(MID(IFERROR(INDEX(醫師週班表!$C$5:$T$44,$CU42,BB$57),""),2,1)="/",MID(IFERROR(INDEX(醫師週班表!$C$5:$T$44,$CU42,BB$57),""),1+BB$58*2,1),IF(MID(IFERROR(INDEX(醫師週班表!$C$5:$T$44,$CU42,BB$57),""),3,1)="隔",IF(BB$58=0,LEFT(IFERROR(INDEX(醫師週班表!$C$5:$T$44,$CU42,BB$57),""),1),""),IF(MID(IFERROR(INDEX(醫師週班表!$C$5:$T$44,$CU42,BB$57),""),2,1)="(",LEFT(IFERROR(INDEX(醫師週班表!$C$5:$T$44,$CU42,BB$57),""),1),IFERROR(INDEX(醫師週班表!$C$5:$T$44,$CU42,BB$57),"")))))))</f>
        <v/>
      </c>
      <c r="BC42" s="72">
        <f>IF(BC$59="X","",IF(BC$59&lt;&gt;"",BC$59,IF(IFERROR(INDEX(醫師週班表!$C$5:$T$44,$CU42,BC$57),"")=0,"",IF(MID(IFERROR(INDEX(醫師週班表!$C$5:$T$44,$CU42,BC$57),""),2,1)="/",MID(IFERROR(INDEX(醫師週班表!$C$5:$T$44,$CU42,BC$57),""),1+BC$58*2,1),IF(MID(IFERROR(INDEX(醫師週班表!$C$5:$T$44,$CU42,BC$57),""),3,1)="隔",IF(BC$58=0,LEFT(IFERROR(INDEX(醫師週班表!$C$5:$T$44,$CU42,BC$57),""),1),""),IF(MID(IFERROR(INDEX(醫師週班表!$C$5:$T$44,$CU42,BC$57),""),2,1)="(",LEFT(IFERROR(INDEX(醫師週班表!$C$5:$T$44,$CU42,BC$57),""),1),IFERROR(INDEX(醫師週班表!$C$5:$T$44,$CU42,BC$57),"")))))))</f>
        <v/>
      </c>
      <c r="BD42" s="71">
        <f>IF(BD$59="X","",IF(BD$59&lt;&gt;"",BD$59,IF(IFERROR(INDEX(醫師週班表!$C$5:$T$44,$CU42,BD$57),"")=0,"",IF(MID(IFERROR(INDEX(醫師週班表!$C$5:$T$44,$CU42,BD$57),""),2,1)="/",MID(IFERROR(INDEX(醫師週班表!$C$5:$T$44,$CU42,BD$57),""),1+BD$58*2,1),IF(MID(IFERROR(INDEX(醫師週班表!$C$5:$T$44,$CU42,BD$57),""),3,1)="隔",IF(BD$58=0,LEFT(IFERROR(INDEX(醫師週班表!$C$5:$T$44,$CU42,BD$57),""),1),""),IF(MID(IFERROR(INDEX(醫師週班表!$C$5:$T$44,$CU42,BD$57),""),2,1)="(",LEFT(IFERROR(INDEX(醫師週班表!$C$5:$T$44,$CU42,BD$57),""),1),IFERROR(INDEX(醫師週班表!$C$5:$T$44,$CU42,BD$57),"")))))))</f>
        <v/>
      </c>
      <c r="BE42" s="72">
        <f>IF(BE$59="X","",IF(BE$59&lt;&gt;"",BE$59,IF(IFERROR(INDEX(醫師週班表!$C$5:$T$44,$CU42,BE$57),"")=0,"",IF(MID(IFERROR(INDEX(醫師週班表!$C$5:$T$44,$CU42,BE$57),""),2,1)="/",MID(IFERROR(INDEX(醫師週班表!$C$5:$T$44,$CU42,BE$57),""),1+BE$58*2,1),IF(MID(IFERROR(INDEX(醫師週班表!$C$5:$T$44,$CU42,BE$57),""),3,1)="隔",IF(BE$58=0,LEFT(IFERROR(INDEX(醫師週班表!$C$5:$T$44,$CU42,BE$57),""),1),""),IF(MID(IFERROR(INDEX(醫師週班表!$C$5:$T$44,$CU42,BE$57),""),2,1)="(",LEFT(IFERROR(INDEX(醫師週班表!$C$5:$T$44,$CU42,BE$57),""),1),IFERROR(INDEX(醫師週班表!$C$5:$T$44,$CU42,BE$57),"")))))))</f>
        <v/>
      </c>
      <c r="BF42" s="72">
        <f>IF(BF$59="X","",IF(BF$59&lt;&gt;"",BF$59,IF(IFERROR(INDEX(醫師週班表!$C$5:$T$44,$CU42,BF$57),"")=0,"",IF(MID(IFERROR(INDEX(醫師週班表!$C$5:$T$44,$CU42,BF$57),""),2,1)="/",MID(IFERROR(INDEX(醫師週班表!$C$5:$T$44,$CU42,BF$57),""),1+BF$58*2,1),IF(MID(IFERROR(INDEX(醫師週班表!$C$5:$T$44,$CU42,BF$57),""),3,1)="隔",IF(BF$58=0,LEFT(IFERROR(INDEX(醫師週班表!$C$5:$T$44,$CU42,BF$57),""),1),""),IF(MID(IFERROR(INDEX(醫師週班表!$C$5:$T$44,$CU42,BF$57),""),2,1)="(",LEFT(IFERROR(INDEX(醫師週班表!$C$5:$T$44,$CU42,BF$57),""),1),IFERROR(INDEX(醫師週班表!$C$5:$T$44,$CU42,BF$57),"")))))))</f>
        <v/>
      </c>
      <c r="BG42" s="71">
        <f>IF(BG$59="X","",IF(BG$59&lt;&gt;"",BG$59,IF(IFERROR(INDEX(醫師週班表!$C$5:$T$44,$CU42,BG$57),"")=0,"",IF(MID(IFERROR(INDEX(醫師週班表!$C$5:$T$44,$CU42,BG$57),""),2,1)="/",MID(IFERROR(INDEX(醫師週班表!$C$5:$T$44,$CU42,BG$57),""),1+BG$58*2,1),IF(MID(IFERROR(INDEX(醫師週班表!$C$5:$T$44,$CU42,BG$57),""),3,1)="隔",IF(BG$58=0,LEFT(IFERROR(INDEX(醫師週班表!$C$5:$T$44,$CU42,BG$57),""),1),""),IF(MID(IFERROR(INDEX(醫師週班表!$C$5:$T$44,$CU42,BG$57),""),2,1)="(",LEFT(IFERROR(INDEX(醫師週班表!$C$5:$T$44,$CU42,BG$57),""),1),IFERROR(INDEX(醫師週班表!$C$5:$T$44,$CU42,BG$57),"")))))))</f>
        <v/>
      </c>
      <c r="BH42" s="72">
        <f>IF(BH$59="X","",IF(BH$59&lt;&gt;"",BH$59,IF(IFERROR(INDEX(醫師週班表!$C$5:$T$44,$CU42,BH$57),"")=0,"",IF(MID(IFERROR(INDEX(醫師週班表!$C$5:$T$44,$CU42,BH$57),""),2,1)="/",MID(IFERROR(INDEX(醫師週班表!$C$5:$T$44,$CU42,BH$57),""),1+BH$58*2,1),IF(MID(IFERROR(INDEX(醫師週班表!$C$5:$T$44,$CU42,BH$57),""),3,1)="隔",IF(BH$58=0,LEFT(IFERROR(INDEX(醫師週班表!$C$5:$T$44,$CU42,BH$57),""),1),""),IF(MID(IFERROR(INDEX(醫師週班表!$C$5:$T$44,$CU42,BH$57),""),2,1)="(",LEFT(IFERROR(INDEX(醫師週班表!$C$5:$T$44,$CU42,BH$57),""),1),IFERROR(INDEX(醫師週班表!$C$5:$T$44,$CU42,BH$57),"")))))))</f>
        <v/>
      </c>
      <c r="BI42" s="72">
        <f>IF(BI$59="X","",IF(BI$59&lt;&gt;"",BI$59,IF(IFERROR(INDEX(醫師週班表!$C$5:$T$44,$CU42,BI$57),"")=0,"",IF(MID(IFERROR(INDEX(醫師週班表!$C$5:$T$44,$CU42,BI$57),""),2,1)="/",MID(IFERROR(INDEX(醫師週班表!$C$5:$T$44,$CU42,BI$57),""),1+BI$58*2,1),IF(MID(IFERROR(INDEX(醫師週班表!$C$5:$T$44,$CU42,BI$57),""),3,1)="隔",IF(BI$58=0,LEFT(IFERROR(INDEX(醫師週班表!$C$5:$T$44,$CU42,BI$57),""),1),""),IF(MID(IFERROR(INDEX(醫師週班表!$C$5:$T$44,$CU42,BI$57),""),2,1)="(",LEFT(IFERROR(INDEX(醫師週班表!$C$5:$T$44,$CU42,BI$57),""),1),IFERROR(INDEX(醫師週班表!$C$5:$T$44,$CU42,BI$57),"")))))))</f>
        <v/>
      </c>
      <c r="BJ42" s="71">
        <f>IF(BJ$59="X","",IF(BJ$59&lt;&gt;"",BJ$59,IF(IFERROR(INDEX(醫師週班表!$C$5:$T$44,$CU42,BJ$57),"")=0,"",IF(MID(IFERROR(INDEX(醫師週班表!$C$5:$T$44,$CU42,BJ$57),""),2,1)="/",MID(IFERROR(INDEX(醫師週班表!$C$5:$T$44,$CU42,BJ$57),""),1+BJ$58*2,1),IF(MID(IFERROR(INDEX(醫師週班表!$C$5:$T$44,$CU42,BJ$57),""),3,1)="隔",IF(BJ$58=0,LEFT(IFERROR(INDEX(醫師週班表!$C$5:$T$44,$CU42,BJ$57),""),1),""),IF(MID(IFERROR(INDEX(醫師週班表!$C$5:$T$44,$CU42,BJ$57),""),2,1)="(",LEFT(IFERROR(INDEX(醫師週班表!$C$5:$T$44,$CU42,BJ$57),""),1),IFERROR(INDEX(醫師週班表!$C$5:$T$44,$CU42,BJ$57),"")))))))</f>
        <v/>
      </c>
      <c r="BK42" s="72">
        <f>IF(BK$59="X","",IF(BK$59&lt;&gt;"",BK$59,IF(IFERROR(INDEX(醫師週班表!$C$5:$T$44,$CU42,BK$57),"")=0,"",IF(MID(IFERROR(INDEX(醫師週班表!$C$5:$T$44,$CU42,BK$57),""),2,1)="/",MID(IFERROR(INDEX(醫師週班表!$C$5:$T$44,$CU42,BK$57),""),1+BK$58*2,1),IF(MID(IFERROR(INDEX(醫師週班表!$C$5:$T$44,$CU42,BK$57),""),3,1)="隔",IF(BK$58=0,LEFT(IFERROR(INDEX(醫師週班表!$C$5:$T$44,$CU42,BK$57),""),1),""),IF(MID(IFERROR(INDEX(醫師週班表!$C$5:$T$44,$CU42,BK$57),""),2,1)="(",LEFT(IFERROR(INDEX(醫師週班表!$C$5:$T$44,$CU42,BK$57),""),1),IFERROR(INDEX(醫師週班表!$C$5:$T$44,$CU42,BK$57),"")))))))</f>
        <v/>
      </c>
      <c r="BL42" s="72">
        <f>IF(BL$59="X","",IF(BL$59&lt;&gt;"",BL$59,IF(IFERROR(INDEX(醫師週班表!$C$5:$T$44,$CU42,BL$57),"")=0,"",IF(MID(IFERROR(INDEX(醫師週班表!$C$5:$T$44,$CU42,BL$57),""),2,1)="/",MID(IFERROR(INDEX(醫師週班表!$C$5:$T$44,$CU42,BL$57),""),1+BL$58*2,1),IF(MID(IFERROR(INDEX(醫師週班表!$C$5:$T$44,$CU42,BL$57),""),3,1)="隔",IF(BL$58=0,LEFT(IFERROR(INDEX(醫師週班表!$C$5:$T$44,$CU42,BL$57),""),1),""),IF(MID(IFERROR(INDEX(醫師週班表!$C$5:$T$44,$CU42,BL$57),""),2,1)="(",LEFT(IFERROR(INDEX(醫師週班表!$C$5:$T$44,$CU42,BL$57),""),1),IFERROR(INDEX(醫師週班表!$C$5:$T$44,$CU42,BL$57),"")))))))</f>
        <v/>
      </c>
      <c r="BM42" s="71">
        <f>IF(BM$59="X","",IF(BM$59&lt;&gt;"",BM$59,IF(IFERROR(INDEX(醫師週班表!$C$5:$T$44,$CU42,BM$57),"")=0,"",IF(MID(IFERROR(INDEX(醫師週班表!$C$5:$T$44,$CU42,BM$57),""),2,1)="/",MID(IFERROR(INDEX(醫師週班表!$C$5:$T$44,$CU42,BM$57),""),1+BM$58*2,1),IF(MID(IFERROR(INDEX(醫師週班表!$C$5:$T$44,$CU42,BM$57),""),3,1)="隔",IF(BM$58=0,LEFT(IFERROR(INDEX(醫師週班表!$C$5:$T$44,$CU42,BM$57),""),1),""),IF(MID(IFERROR(INDEX(醫師週班表!$C$5:$T$44,$CU42,BM$57),""),2,1)="(",LEFT(IFERROR(INDEX(醫師週班表!$C$5:$T$44,$CU42,BM$57),""),1),IFERROR(INDEX(醫師週班表!$C$5:$T$44,$CU42,BM$57),"")))))))</f>
        <v/>
      </c>
      <c r="BN42" s="72">
        <f>IF(BN$59="X","",IF(BN$59&lt;&gt;"",BN$59,IF(IFERROR(INDEX(醫師週班表!$C$5:$T$44,$CU42,BN$57),"")=0,"",IF(MID(IFERROR(INDEX(醫師週班表!$C$5:$T$44,$CU42,BN$57),""),2,1)="/",MID(IFERROR(INDEX(醫師週班表!$C$5:$T$44,$CU42,BN$57),""),1+BN$58*2,1),IF(MID(IFERROR(INDEX(醫師週班表!$C$5:$T$44,$CU42,BN$57),""),3,1)="隔",IF(BN$58=0,LEFT(IFERROR(INDEX(醫師週班表!$C$5:$T$44,$CU42,BN$57),""),1),""),IF(MID(IFERROR(INDEX(醫師週班表!$C$5:$T$44,$CU42,BN$57),""),2,1)="(",LEFT(IFERROR(INDEX(醫師週班表!$C$5:$T$44,$CU42,BN$57),""),1),IFERROR(INDEX(醫師週班表!$C$5:$T$44,$CU42,BN$57),"")))))))</f>
        <v/>
      </c>
      <c r="BO42" s="72">
        <f>IF(BO$59="X","",IF(BO$59&lt;&gt;"",BO$59,IF(IFERROR(INDEX(醫師週班表!$C$5:$T$44,$CU42,BO$57),"")=0,"",IF(MID(IFERROR(INDEX(醫師週班表!$C$5:$T$44,$CU42,BO$57),""),2,1)="/",MID(IFERROR(INDEX(醫師週班表!$C$5:$T$44,$CU42,BO$57),""),1+BO$58*2,1),IF(MID(IFERROR(INDEX(醫師週班表!$C$5:$T$44,$CU42,BO$57),""),3,1)="隔",IF(BO$58=0,LEFT(IFERROR(INDEX(醫師週班表!$C$5:$T$44,$CU42,BO$57),""),1),""),IF(MID(IFERROR(INDEX(醫師週班表!$C$5:$T$44,$CU42,BO$57),""),2,1)="(",LEFT(IFERROR(INDEX(醫師週班表!$C$5:$T$44,$CU42,BO$57),""),1),IFERROR(INDEX(醫師週班表!$C$5:$T$44,$CU42,BO$57),"")))))))</f>
        <v/>
      </c>
      <c r="BP42" s="71">
        <f>IF(BP$59="X","",IF(BP$59&lt;&gt;"",BP$59,IF(IFERROR(INDEX(醫師週班表!$C$5:$T$44,$CU42,BP$57),"")=0,"",IF(MID(IFERROR(INDEX(醫師週班表!$C$5:$T$44,$CU42,BP$57),""),2,1)="/",MID(IFERROR(INDEX(醫師週班表!$C$5:$T$44,$CU42,BP$57),""),1+BP$58*2,1),IF(MID(IFERROR(INDEX(醫師週班表!$C$5:$T$44,$CU42,BP$57),""),3,1)="隔",IF(BP$58=0,LEFT(IFERROR(INDEX(醫師週班表!$C$5:$T$44,$CU42,BP$57),""),1),""),IF(MID(IFERROR(INDEX(醫師週班表!$C$5:$T$44,$CU42,BP$57),""),2,1)="(",LEFT(IFERROR(INDEX(醫師週班表!$C$5:$T$44,$CU42,BP$57),""),1),IFERROR(INDEX(醫師週班表!$C$5:$T$44,$CU42,BP$57),"")))))))</f>
        <v/>
      </c>
      <c r="BQ42" s="72">
        <f>IF(BQ$59="X","",IF(BQ$59&lt;&gt;"",BQ$59,IF(IFERROR(INDEX(醫師週班表!$C$5:$T$44,$CU42,BQ$57),"")=0,"",IF(MID(IFERROR(INDEX(醫師週班表!$C$5:$T$44,$CU42,BQ$57),""),2,1)="/",MID(IFERROR(INDEX(醫師週班表!$C$5:$T$44,$CU42,BQ$57),""),1+BQ$58*2,1),IF(MID(IFERROR(INDEX(醫師週班表!$C$5:$T$44,$CU42,BQ$57),""),3,1)="隔",IF(BQ$58=0,LEFT(IFERROR(INDEX(醫師週班表!$C$5:$T$44,$CU42,BQ$57),""),1),""),IF(MID(IFERROR(INDEX(醫師週班表!$C$5:$T$44,$CU42,BQ$57),""),2,1)="(",LEFT(IFERROR(INDEX(醫師週班表!$C$5:$T$44,$CU42,BQ$57),""),1),IFERROR(INDEX(醫師週班表!$C$5:$T$44,$CU42,BQ$57),"")))))))</f>
        <v/>
      </c>
      <c r="BR42" s="72">
        <f>IF(BR$59="X","",IF(BR$59&lt;&gt;"",BR$59,IF(IFERROR(INDEX(醫師週班表!$C$5:$T$44,$CU42,BR$57),"")=0,"",IF(MID(IFERROR(INDEX(醫師週班表!$C$5:$T$44,$CU42,BR$57),""),2,1)="/",MID(IFERROR(INDEX(醫師週班表!$C$5:$T$44,$CU42,BR$57),""),1+BR$58*2,1),IF(MID(IFERROR(INDEX(醫師週班表!$C$5:$T$44,$CU42,BR$57),""),3,1)="隔",IF(BR$58=0,LEFT(IFERROR(INDEX(醫師週班表!$C$5:$T$44,$CU42,BR$57),""),1),""),IF(MID(IFERROR(INDEX(醫師週班表!$C$5:$T$44,$CU42,BR$57),""),2,1)="(",LEFT(IFERROR(INDEX(醫師週班表!$C$5:$T$44,$CU42,BR$57),""),1),IFERROR(INDEX(醫師週班表!$C$5:$T$44,$CU42,BR$57),"")))))))</f>
        <v/>
      </c>
      <c r="BS42" s="71">
        <f>IF(BS$59="X","",IF(BS$59&lt;&gt;"",BS$59,IF(IFERROR(INDEX(醫師週班表!$C$5:$T$44,$CU42,BS$57),"")=0,"",IF(MID(IFERROR(INDEX(醫師週班表!$C$5:$T$44,$CU42,BS$57),""),2,1)="/",MID(IFERROR(INDEX(醫師週班表!$C$5:$T$44,$CU42,BS$57),""),1+BS$58*2,1),IF(MID(IFERROR(INDEX(醫師週班表!$C$5:$T$44,$CU42,BS$57),""),3,1)="隔",IF(BS$58=0,LEFT(IFERROR(INDEX(醫師週班表!$C$5:$T$44,$CU42,BS$57),""),1),""),IF(MID(IFERROR(INDEX(醫師週班表!$C$5:$T$44,$CU42,BS$57),""),2,1)="(",LEFT(IFERROR(INDEX(醫師週班表!$C$5:$T$44,$CU42,BS$57),""),1),IFERROR(INDEX(醫師週班表!$C$5:$T$44,$CU42,BS$57),"")))))))</f>
        <v/>
      </c>
      <c r="BT42" s="72">
        <f>IF(BT$59="X","",IF(BT$59&lt;&gt;"",BT$59,IF(IFERROR(INDEX(醫師週班表!$C$5:$T$44,$CU42,BT$57),"")=0,"",IF(MID(IFERROR(INDEX(醫師週班表!$C$5:$T$44,$CU42,BT$57),""),2,1)="/",MID(IFERROR(INDEX(醫師週班表!$C$5:$T$44,$CU42,BT$57),""),1+BT$58*2,1),IF(MID(IFERROR(INDEX(醫師週班表!$C$5:$T$44,$CU42,BT$57),""),3,1)="隔",IF(BT$58=0,LEFT(IFERROR(INDEX(醫師週班表!$C$5:$T$44,$CU42,BT$57),""),1),""),IF(MID(IFERROR(INDEX(醫師週班表!$C$5:$T$44,$CU42,BT$57),""),2,1)="(",LEFT(IFERROR(INDEX(醫師週班表!$C$5:$T$44,$CU42,BT$57),""),1),IFERROR(INDEX(醫師週班表!$C$5:$T$44,$CU42,BT$57),"")))))))</f>
        <v/>
      </c>
      <c r="BU42" s="72">
        <f>IF(BU$59="X","",IF(BU$59&lt;&gt;"",BU$59,IF(IFERROR(INDEX(醫師週班表!$C$5:$T$44,$CU42,BU$57),"")=0,"",IF(MID(IFERROR(INDEX(醫師週班表!$C$5:$T$44,$CU42,BU$57),""),2,1)="/",MID(IFERROR(INDEX(醫師週班表!$C$5:$T$44,$CU42,BU$57),""),1+BU$58*2,1),IF(MID(IFERROR(INDEX(醫師週班表!$C$5:$T$44,$CU42,BU$57),""),3,1)="隔",IF(BU$58=0,LEFT(IFERROR(INDEX(醫師週班表!$C$5:$T$44,$CU42,BU$57),""),1),""),IF(MID(IFERROR(INDEX(醫師週班表!$C$5:$T$44,$CU42,BU$57),""),2,1)="(",LEFT(IFERROR(INDEX(醫師週班表!$C$5:$T$44,$CU42,BU$57),""),1),IFERROR(INDEX(醫師週班表!$C$5:$T$44,$CU42,BU$57),"")))))))</f>
        <v/>
      </c>
      <c r="BV42" s="71">
        <f>IF(BV$59="X","",IF(BV$59&lt;&gt;"",BV$59,IF(IFERROR(INDEX(醫師週班表!$C$5:$T$44,$CU42,BV$57),"")=0,"",IF(MID(IFERROR(INDEX(醫師週班表!$C$5:$T$44,$CU42,BV$57),""),2,1)="/",MID(IFERROR(INDEX(醫師週班表!$C$5:$T$44,$CU42,BV$57),""),1+BV$58*2,1),IF(MID(IFERROR(INDEX(醫師週班表!$C$5:$T$44,$CU42,BV$57),""),3,1)="隔",IF(BV$58=0,LEFT(IFERROR(INDEX(醫師週班表!$C$5:$T$44,$CU42,BV$57),""),1),""),IF(MID(IFERROR(INDEX(醫師週班表!$C$5:$T$44,$CU42,BV$57),""),2,1)="(",LEFT(IFERROR(INDEX(醫師週班表!$C$5:$T$44,$CU42,BV$57),""),1),IFERROR(INDEX(醫師週班表!$C$5:$T$44,$CU42,BV$57),"")))))))</f>
        <v/>
      </c>
      <c r="BW42" s="72">
        <f>IF(BW$59="X","",IF(BW$59&lt;&gt;"",BW$59,IF(IFERROR(INDEX(醫師週班表!$C$5:$T$44,$CU42,BW$57),"")=0,"",IF(MID(IFERROR(INDEX(醫師週班表!$C$5:$T$44,$CU42,BW$57),""),2,1)="/",MID(IFERROR(INDEX(醫師週班表!$C$5:$T$44,$CU42,BW$57),""),1+BW$58*2,1),IF(MID(IFERROR(INDEX(醫師週班表!$C$5:$T$44,$CU42,BW$57),""),3,1)="隔",IF(BW$58=0,LEFT(IFERROR(INDEX(醫師週班表!$C$5:$T$44,$CU42,BW$57),""),1),""),IF(MID(IFERROR(INDEX(醫師週班表!$C$5:$T$44,$CU42,BW$57),""),2,1)="(",LEFT(IFERROR(INDEX(醫師週班表!$C$5:$T$44,$CU42,BW$57),""),1),IFERROR(INDEX(醫師週班表!$C$5:$T$44,$CU42,BW$57),"")))))))</f>
        <v/>
      </c>
      <c r="BX42" s="72">
        <f>IF(BX$59="X","",IF(BX$59&lt;&gt;"",BX$59,IF(IFERROR(INDEX(醫師週班表!$C$5:$T$44,$CU42,BX$57),"")=0,"",IF(MID(IFERROR(INDEX(醫師週班表!$C$5:$T$44,$CU42,BX$57),""),2,1)="/",MID(IFERROR(INDEX(醫師週班表!$C$5:$T$44,$CU42,BX$57),""),1+BX$58*2,1),IF(MID(IFERROR(INDEX(醫師週班表!$C$5:$T$44,$CU42,BX$57),""),3,1)="隔",IF(BX$58=0,LEFT(IFERROR(INDEX(醫師週班表!$C$5:$T$44,$CU42,BX$57),""),1),""),IF(MID(IFERROR(INDEX(醫師週班表!$C$5:$T$44,$CU42,BX$57),""),2,1)="(",LEFT(IFERROR(INDEX(醫師週班表!$C$5:$T$44,$CU42,BX$57),""),1),IFERROR(INDEX(醫師週班表!$C$5:$T$44,$CU42,BX$57),"")))))))</f>
        <v/>
      </c>
      <c r="BY42" s="71">
        <f>IF(BY$59="X","",IF(BY$59&lt;&gt;"",BY$59,IF(IFERROR(INDEX(醫師週班表!$C$5:$T$44,$CU42,BY$57),"")=0,"",IF(MID(IFERROR(INDEX(醫師週班表!$C$5:$T$44,$CU42,BY$57),""),2,1)="/",MID(IFERROR(INDEX(醫師週班表!$C$5:$T$44,$CU42,BY$57),""),1+BY$58*2,1),IF(MID(IFERROR(INDEX(醫師週班表!$C$5:$T$44,$CU42,BY$57),""),3,1)="隔",IF(BY$58=0,LEFT(IFERROR(INDEX(醫師週班表!$C$5:$T$44,$CU42,BY$57),""),1),""),IF(MID(IFERROR(INDEX(醫師週班表!$C$5:$T$44,$CU42,BY$57),""),2,1)="(",LEFT(IFERROR(INDEX(醫師週班表!$C$5:$T$44,$CU42,BY$57),""),1),IFERROR(INDEX(醫師週班表!$C$5:$T$44,$CU42,BY$57),"")))))))</f>
        <v/>
      </c>
      <c r="BZ42" s="72">
        <f>IF(BZ$59="X","",IF(BZ$59&lt;&gt;"",BZ$59,IF(IFERROR(INDEX(醫師週班表!$C$5:$T$44,$CU42,BZ$57),"")=0,"",IF(MID(IFERROR(INDEX(醫師週班表!$C$5:$T$44,$CU42,BZ$57),""),2,1)="/",MID(IFERROR(INDEX(醫師週班表!$C$5:$T$44,$CU42,BZ$57),""),1+BZ$58*2,1),IF(MID(IFERROR(INDEX(醫師週班表!$C$5:$T$44,$CU42,BZ$57),""),3,1)="隔",IF(BZ$58=0,LEFT(IFERROR(INDEX(醫師週班表!$C$5:$T$44,$CU42,BZ$57),""),1),""),IF(MID(IFERROR(INDEX(醫師週班表!$C$5:$T$44,$CU42,BZ$57),""),2,1)="(",LEFT(IFERROR(INDEX(醫師週班表!$C$5:$T$44,$CU42,BZ$57),""),1),IFERROR(INDEX(醫師週班表!$C$5:$T$44,$CU42,BZ$57),"")))))))</f>
        <v/>
      </c>
      <c r="CA42" s="72">
        <f>IF(CA$59="X","",IF(CA$59&lt;&gt;"",CA$59,IF(IFERROR(INDEX(醫師週班表!$C$5:$T$44,$CU42,CA$57),"")=0,"",IF(MID(IFERROR(INDEX(醫師週班表!$C$5:$T$44,$CU42,CA$57),""),2,1)="/",MID(IFERROR(INDEX(醫師週班表!$C$5:$T$44,$CU42,CA$57),""),1+CA$58*2,1),IF(MID(IFERROR(INDEX(醫師週班表!$C$5:$T$44,$CU42,CA$57),""),3,1)="隔",IF(CA$58=0,LEFT(IFERROR(INDEX(醫師週班表!$C$5:$T$44,$CU42,CA$57),""),1),""),IF(MID(IFERROR(INDEX(醫師週班表!$C$5:$T$44,$CU42,CA$57),""),2,1)="(",LEFT(IFERROR(INDEX(醫師週班表!$C$5:$T$44,$CU42,CA$57),""),1),IFERROR(INDEX(醫師週班表!$C$5:$T$44,$CU42,CA$57),"")))))))</f>
        <v/>
      </c>
      <c r="CB42" s="71">
        <f>IF(CB$59="X","",IF(CB$59&lt;&gt;"",CB$59,IF(IFERROR(INDEX(醫師週班表!$C$5:$T$44,$CU42,CB$57),"")=0,"",IF(MID(IFERROR(INDEX(醫師週班表!$C$5:$T$44,$CU42,CB$57),""),2,1)="/",MID(IFERROR(INDEX(醫師週班表!$C$5:$T$44,$CU42,CB$57),""),1+CB$58*2,1),IF(MID(IFERROR(INDEX(醫師週班表!$C$5:$T$44,$CU42,CB$57),""),3,1)="隔",IF(CB$58=0,LEFT(IFERROR(INDEX(醫師週班表!$C$5:$T$44,$CU42,CB$57),""),1),""),IF(MID(IFERROR(INDEX(醫師週班表!$C$5:$T$44,$CU42,CB$57),""),2,1)="(",LEFT(IFERROR(INDEX(醫師週班表!$C$5:$T$44,$CU42,CB$57),""),1),IFERROR(INDEX(醫師週班表!$C$5:$T$44,$CU42,CB$57),"")))))))</f>
        <v/>
      </c>
      <c r="CC42" s="72">
        <f>IF(CC$59="X","",IF(CC$59&lt;&gt;"",CC$59,IF(IFERROR(INDEX(醫師週班表!$C$5:$T$44,$CU42,CC$57),"")=0,"",IF(MID(IFERROR(INDEX(醫師週班表!$C$5:$T$44,$CU42,CC$57),""),2,1)="/",MID(IFERROR(INDEX(醫師週班表!$C$5:$T$44,$CU42,CC$57),""),1+CC$58*2,1),IF(MID(IFERROR(INDEX(醫師週班表!$C$5:$T$44,$CU42,CC$57),""),3,1)="隔",IF(CC$58=0,LEFT(IFERROR(INDEX(醫師週班表!$C$5:$T$44,$CU42,CC$57),""),1),""),IF(MID(IFERROR(INDEX(醫師週班表!$C$5:$T$44,$CU42,CC$57),""),2,1)="(",LEFT(IFERROR(INDEX(醫師週班表!$C$5:$T$44,$CU42,CC$57),""),1),IFERROR(INDEX(醫師週班表!$C$5:$T$44,$CU42,CC$57),"")))))))</f>
        <v/>
      </c>
      <c r="CD42" s="72">
        <f>IF(CD$59="X","",IF(CD$59&lt;&gt;"",CD$59,IF(IFERROR(INDEX(醫師週班表!$C$5:$T$44,$CU42,CD$57),"")=0,"",IF(MID(IFERROR(INDEX(醫師週班表!$C$5:$T$44,$CU42,CD$57),""),2,1)="/",MID(IFERROR(INDEX(醫師週班表!$C$5:$T$44,$CU42,CD$57),""),1+CD$58*2,1),IF(MID(IFERROR(INDEX(醫師週班表!$C$5:$T$44,$CU42,CD$57),""),3,1)="隔",IF(CD$58=0,LEFT(IFERROR(INDEX(醫師週班表!$C$5:$T$44,$CU42,CD$57),""),1),""),IF(MID(IFERROR(INDEX(醫師週班表!$C$5:$T$44,$CU42,CD$57),""),2,1)="(",LEFT(IFERROR(INDEX(醫師週班表!$C$5:$T$44,$CU42,CD$57),""),1),IFERROR(INDEX(醫師週班表!$C$5:$T$44,$CU42,CD$57),"")))))))</f>
        <v/>
      </c>
      <c r="CE42" s="71">
        <f>IF(CE$59="X","",IF(CE$59&lt;&gt;"",CE$59,IF(IFERROR(INDEX(醫師週班表!$C$5:$T$44,$CU42,CE$57),"")=0,"",IF(MID(IFERROR(INDEX(醫師週班表!$C$5:$T$44,$CU42,CE$57),""),2,1)="/",MID(IFERROR(INDEX(醫師週班表!$C$5:$T$44,$CU42,CE$57),""),1+CE$58*2,1),IF(MID(IFERROR(INDEX(醫師週班表!$C$5:$T$44,$CU42,CE$57),""),3,1)="隔",IF(CE$58=0,LEFT(IFERROR(INDEX(醫師週班表!$C$5:$T$44,$CU42,CE$57),""),1),""),IF(MID(IFERROR(INDEX(醫師週班表!$C$5:$T$44,$CU42,CE$57),""),2,1)="(",LEFT(IFERROR(INDEX(醫師週班表!$C$5:$T$44,$CU42,CE$57),""),1),IFERROR(INDEX(醫師週班表!$C$5:$T$44,$CU42,CE$57),"")))))))</f>
        <v/>
      </c>
      <c r="CF42" s="72">
        <f>IF(CF$59="X","",IF(CF$59&lt;&gt;"",CF$59,IF(IFERROR(INDEX(醫師週班表!$C$5:$T$44,$CU42,CF$57),"")=0,"",IF(MID(IFERROR(INDEX(醫師週班表!$C$5:$T$44,$CU42,CF$57),""),2,1)="/",MID(IFERROR(INDEX(醫師週班表!$C$5:$T$44,$CU42,CF$57),""),1+CF$58*2,1),IF(MID(IFERROR(INDEX(醫師週班表!$C$5:$T$44,$CU42,CF$57),""),3,1)="隔",IF(CF$58=0,LEFT(IFERROR(INDEX(醫師週班表!$C$5:$T$44,$CU42,CF$57),""),1),""),IF(MID(IFERROR(INDEX(醫師週班表!$C$5:$T$44,$CU42,CF$57),""),2,1)="(",LEFT(IFERROR(INDEX(醫師週班表!$C$5:$T$44,$CU42,CF$57),""),1),IFERROR(INDEX(醫師週班表!$C$5:$T$44,$CU42,CF$57),"")))))))</f>
        <v/>
      </c>
      <c r="CG42" s="72">
        <f>IF(CG$59="X","",IF(CG$59&lt;&gt;"",CG$59,IF(IFERROR(INDEX(醫師週班表!$C$5:$T$44,$CU42,CG$57),"")=0,"",IF(MID(IFERROR(INDEX(醫師週班表!$C$5:$T$44,$CU42,CG$57),""),2,1)="/",MID(IFERROR(INDEX(醫師週班表!$C$5:$T$44,$CU42,CG$57),""),1+CG$58*2,1),IF(MID(IFERROR(INDEX(醫師週班表!$C$5:$T$44,$CU42,CG$57),""),3,1)="隔",IF(CG$58=0,LEFT(IFERROR(INDEX(醫師週班表!$C$5:$T$44,$CU42,CG$57),""),1),""),IF(MID(IFERROR(INDEX(醫師週班表!$C$5:$T$44,$CU42,CG$57),""),2,1)="(",LEFT(IFERROR(INDEX(醫師週班表!$C$5:$T$44,$CU42,CG$57),""),1),IFERROR(INDEX(醫師週班表!$C$5:$T$44,$CU42,CG$57),"")))))))</f>
        <v/>
      </c>
      <c r="CH42" s="71">
        <f>IF(CH$59="X","",IF(CH$59&lt;&gt;"",CH$59,IF(IFERROR(INDEX(醫師週班表!$C$5:$T$44,$CU42,CH$57),"")=0,"",IF(MID(IFERROR(INDEX(醫師週班表!$C$5:$T$44,$CU42,CH$57),""),2,1)="/",MID(IFERROR(INDEX(醫師週班表!$C$5:$T$44,$CU42,CH$57),""),1+CH$58*2,1),IF(MID(IFERROR(INDEX(醫師週班表!$C$5:$T$44,$CU42,CH$57),""),3,1)="隔",IF(CH$58=0,LEFT(IFERROR(INDEX(醫師週班表!$C$5:$T$44,$CU42,CH$57),""),1),""),IF(MID(IFERROR(INDEX(醫師週班表!$C$5:$T$44,$CU42,CH$57),""),2,1)="(",LEFT(IFERROR(INDEX(醫師週班表!$C$5:$T$44,$CU42,CH$57),""),1),IFERROR(INDEX(醫師週班表!$C$5:$T$44,$CU42,CH$57),"")))))))</f>
        <v/>
      </c>
      <c r="CI42" s="72">
        <f>IF(CI$59="X","",IF(CI$59&lt;&gt;"",CI$59,IF(IFERROR(INDEX(醫師週班表!$C$5:$T$44,$CU42,CI$57),"")=0,"",IF(MID(IFERROR(INDEX(醫師週班表!$C$5:$T$44,$CU42,CI$57),""),2,1)="/",MID(IFERROR(INDEX(醫師週班表!$C$5:$T$44,$CU42,CI$57),""),1+CI$58*2,1),IF(MID(IFERROR(INDEX(醫師週班表!$C$5:$T$44,$CU42,CI$57),""),3,1)="隔",IF(CI$58=0,LEFT(IFERROR(INDEX(醫師週班表!$C$5:$T$44,$CU42,CI$57),""),1),""),IF(MID(IFERROR(INDEX(醫師週班表!$C$5:$T$44,$CU42,CI$57),""),2,1)="(",LEFT(IFERROR(INDEX(醫師週班表!$C$5:$T$44,$CU42,CI$57),""),1),IFERROR(INDEX(醫師週班表!$C$5:$T$44,$CU42,CI$57),"")))))))</f>
        <v/>
      </c>
      <c r="CJ42" s="72">
        <f>IF(CJ$59="X","",IF(CJ$59&lt;&gt;"",CJ$59,IF(IFERROR(INDEX(醫師週班表!$C$5:$T$44,$CU42,CJ$57),"")=0,"",IF(MID(IFERROR(INDEX(醫師週班表!$C$5:$T$44,$CU42,CJ$57),""),2,1)="/",MID(IFERROR(INDEX(醫師週班表!$C$5:$T$44,$CU42,CJ$57),""),1+CJ$58*2,1),IF(MID(IFERROR(INDEX(醫師週班表!$C$5:$T$44,$CU42,CJ$57),""),3,1)="隔",IF(CJ$58=0,LEFT(IFERROR(INDEX(醫師週班表!$C$5:$T$44,$CU42,CJ$57),""),1),""),IF(MID(IFERROR(INDEX(醫師週班表!$C$5:$T$44,$CU42,CJ$57),""),2,1)="(",LEFT(IFERROR(INDEX(醫師週班表!$C$5:$T$44,$CU42,CJ$57),""),1),IFERROR(INDEX(醫師週班表!$C$5:$T$44,$CU42,CJ$57),"")))))))</f>
        <v/>
      </c>
      <c r="CK42" s="71">
        <f>IF(CK$59="X","",IF(CK$59&lt;&gt;"",CK$59,IF(IFERROR(INDEX(醫師週班表!$C$5:$T$44,$CU42,CK$57),"")=0,"",IF(MID(IFERROR(INDEX(醫師週班表!$C$5:$T$44,$CU42,CK$57),""),2,1)="/",MID(IFERROR(INDEX(醫師週班表!$C$5:$T$44,$CU42,CK$57),""),1+CK$58*2,1),IF(MID(IFERROR(INDEX(醫師週班表!$C$5:$T$44,$CU42,CK$57),""),3,1)="隔",IF(CK$58=0,LEFT(IFERROR(INDEX(醫師週班表!$C$5:$T$44,$CU42,CK$57),""),1),""),IF(MID(IFERROR(INDEX(醫師週班表!$C$5:$T$44,$CU42,CK$57),""),2,1)="(",LEFT(IFERROR(INDEX(醫師週班表!$C$5:$T$44,$CU42,CK$57),""),1),IFERROR(INDEX(醫師週班表!$C$5:$T$44,$CU42,CK$57),"")))))))</f>
        <v/>
      </c>
      <c r="CL42" s="72">
        <f>IF(CL$59="X","",IF(CL$59&lt;&gt;"",CL$59,IF(IFERROR(INDEX(醫師週班表!$C$5:$T$44,$CU42,CL$57),"")=0,"",IF(MID(IFERROR(INDEX(醫師週班表!$C$5:$T$44,$CU42,CL$57),""),2,1)="/",MID(IFERROR(INDEX(醫師週班表!$C$5:$T$44,$CU42,CL$57),""),1+CL$58*2,1),IF(MID(IFERROR(INDEX(醫師週班表!$C$5:$T$44,$CU42,CL$57),""),3,1)="隔",IF(CL$58=0,LEFT(IFERROR(INDEX(醫師週班表!$C$5:$T$44,$CU42,CL$57),""),1),""),IF(MID(IFERROR(INDEX(醫師週班表!$C$5:$T$44,$CU42,CL$57),""),2,1)="(",LEFT(IFERROR(INDEX(醫師週班表!$C$5:$T$44,$CU42,CL$57),""),1),IFERROR(INDEX(醫師週班表!$C$5:$T$44,$CU42,CL$57),"")))))))</f>
        <v/>
      </c>
      <c r="CM42" s="72">
        <f>IF(CM$59="X","",IF(CM$59&lt;&gt;"",CM$59,IF(IFERROR(INDEX(醫師週班表!$C$5:$T$44,$CU42,CM$57),"")=0,"",IF(MID(IFERROR(INDEX(醫師週班表!$C$5:$T$44,$CU42,CM$57),""),2,1)="/",MID(IFERROR(INDEX(醫師週班表!$C$5:$T$44,$CU42,CM$57),""),1+CM$58*2,1),IF(MID(IFERROR(INDEX(醫師週班表!$C$5:$T$44,$CU42,CM$57),""),3,1)="隔",IF(CM$58=0,LEFT(IFERROR(INDEX(醫師週班表!$C$5:$T$44,$CU42,CM$57),""),1),""),IF(MID(IFERROR(INDEX(醫師週班表!$C$5:$T$44,$CU42,CM$57),""),2,1)="(",LEFT(IFERROR(INDEX(醫師週班表!$C$5:$T$44,$CU42,CM$57),""),1),IFERROR(INDEX(醫師週班表!$C$5:$T$44,$CU42,CM$57),"")))))))</f>
        <v/>
      </c>
      <c r="CN42" s="71">
        <f>IF(CN$59="X","",IF(CN$59&lt;&gt;"",CN$59,IF(IFERROR(INDEX(醫師週班表!$C$5:$T$44,$CU42,CN$57),"")=0,"",IF(MID(IFERROR(INDEX(醫師週班表!$C$5:$T$44,$CU42,CN$57),""),2,1)="/",MID(IFERROR(INDEX(醫師週班表!$C$5:$T$44,$CU42,CN$57),""),1+CN$58*2,1),IF(MID(IFERROR(INDEX(醫師週班表!$C$5:$T$44,$CU42,CN$57),""),3,1)="隔",IF(CN$58=0,LEFT(IFERROR(INDEX(醫師週班表!$C$5:$T$44,$CU42,CN$57),""),1),""),IF(MID(IFERROR(INDEX(醫師週班表!$C$5:$T$44,$CU42,CN$57),""),2,1)="(",LEFT(IFERROR(INDEX(醫師週班表!$C$5:$T$44,$CU42,CN$57),""),1),IFERROR(INDEX(醫師週班表!$C$5:$T$44,$CU42,CN$57),"")))))))</f>
        <v/>
      </c>
      <c r="CO42" s="72">
        <f>IF(CO$59="X","",IF(CO$59&lt;&gt;"",CO$59,IF(IFERROR(INDEX(醫師週班表!$C$5:$T$44,$CU42,CO$57),"")=0,"",IF(MID(IFERROR(INDEX(醫師週班表!$C$5:$T$44,$CU42,CO$57),""),2,1)="/",MID(IFERROR(INDEX(醫師週班表!$C$5:$T$44,$CU42,CO$57),""),1+CO$58*2,1),IF(MID(IFERROR(INDEX(醫師週班表!$C$5:$T$44,$CU42,CO$57),""),3,1)="隔",IF(CO$58=0,LEFT(IFERROR(INDEX(醫師週班表!$C$5:$T$44,$CU42,CO$57),""),1),""),IF(MID(IFERROR(INDEX(醫師週班表!$C$5:$T$44,$CU42,CO$57),""),2,1)="(",LEFT(IFERROR(INDEX(醫師週班表!$C$5:$T$44,$CU42,CO$57),""),1),IFERROR(INDEX(醫師週班表!$C$5:$T$44,$CU42,CO$57),"")))))))</f>
        <v/>
      </c>
      <c r="CP42" s="72">
        <f>IF(CP$59="X","",IF(CP$59&lt;&gt;"",CP$59,IF(IFERROR(INDEX(醫師週班表!$C$5:$T$44,$CU42,CP$57),"")=0,"",IF(MID(IFERROR(INDEX(醫師週班表!$C$5:$T$44,$CU42,CP$57),""),2,1)="/",MID(IFERROR(INDEX(醫師週班表!$C$5:$T$44,$CU42,CP$57),""),1+CP$58*2,1),IF(MID(IFERROR(INDEX(醫師週班表!$C$5:$T$44,$CU42,CP$57),""),3,1)="隔",IF(CP$58=0,LEFT(IFERROR(INDEX(醫師週班表!$C$5:$T$44,$CU42,CP$57),""),1),""),IF(MID(IFERROR(INDEX(醫師週班表!$C$5:$T$44,$CU42,CP$57),""),2,1)="(",LEFT(IFERROR(INDEX(醫師週班表!$C$5:$T$44,$CU42,CP$57),""),1),IFERROR(INDEX(醫師週班表!$C$5:$T$44,$CU42,CP$57),"")))))))</f>
        <v/>
      </c>
      <c r="CQ42" s="71">
        <f>IF(CQ$59="X","",IF(CQ$59&lt;&gt;"",CQ$59,IF(IFERROR(INDEX(醫師週班表!$C$5:$T$44,$CU42,CQ$57),"")=0,"",IF(MID(IFERROR(INDEX(醫師週班表!$C$5:$T$44,$CU42,CQ$57),""),2,1)="/",MID(IFERROR(INDEX(醫師週班表!$C$5:$T$44,$CU42,CQ$57),""),1+CQ$58*2,1),IF(MID(IFERROR(INDEX(醫師週班表!$C$5:$T$44,$CU42,CQ$57),""),3,1)="隔",IF(CQ$58=0,LEFT(IFERROR(INDEX(醫師週班表!$C$5:$T$44,$CU42,CQ$57),""),1),""),IF(MID(IFERROR(INDEX(醫師週班表!$C$5:$T$44,$CU42,CQ$57),""),2,1)="(",LEFT(IFERROR(INDEX(醫師週班表!$C$5:$T$44,$CU42,CQ$57),""),1),IFERROR(INDEX(醫師週班表!$C$5:$T$44,$CU42,CQ$57),"")))))))</f>
        <v/>
      </c>
      <c r="CR42" s="72">
        <f>IF(CR$59="X","",IF(CR$59&lt;&gt;"",CR$59,IF(IFERROR(INDEX(醫師週班表!$C$5:$T$44,$CU42,CR$57),"")=0,"",IF(MID(IFERROR(INDEX(醫師週班表!$C$5:$T$44,$CU42,CR$57),""),2,1)="/",MID(IFERROR(INDEX(醫師週班表!$C$5:$T$44,$CU42,CR$57),""),1+CR$58*2,1),IF(MID(IFERROR(INDEX(醫師週班表!$C$5:$T$44,$CU42,CR$57),""),3,1)="隔",IF(CR$58=0,LEFT(IFERROR(INDEX(醫師週班表!$C$5:$T$44,$CU42,CR$57),""),1),""),IF(MID(IFERROR(INDEX(醫師週班表!$C$5:$T$44,$CU42,CR$57),""),2,1)="(",LEFT(IFERROR(INDEX(醫師週班表!$C$5:$T$44,$CU42,CR$57),""),1),IFERROR(INDEX(醫師週班表!$C$5:$T$44,$CU42,CR$57),"")))))))</f>
        <v/>
      </c>
      <c r="CS42" s="72">
        <f>IF(CS$59="X","",IF(CS$59&lt;&gt;"",CS$59,IF(IFERROR(INDEX(醫師週班表!$C$5:$T$44,$CU42,CS$57),"")=0,"",IF(MID(IFERROR(INDEX(醫師週班表!$C$5:$T$44,$CU42,CS$57),""),2,1)="/",MID(IFERROR(INDEX(醫師週班表!$C$5:$T$44,$CU42,CS$57),""),1+CS$58*2,1),IF(MID(IFERROR(INDEX(醫師週班表!$C$5:$T$44,$CU42,CS$57),""),3,1)="隔",IF(CS$58=0,LEFT(IFERROR(INDEX(醫師週班表!$C$5:$T$44,$CU42,CS$57),""),1),""),IF(MID(IFERROR(INDEX(醫師週班表!$C$5:$T$44,$CU42,CS$57),""),2,1)="(",LEFT(IFERROR(INDEX(醫師週班表!$C$5:$T$44,$CU42,CS$57),""),1),IFERROR(INDEX(醫師週班表!$C$5:$T$44,$CU42,CS$57),"")))))))</f>
        <v/>
      </c>
      <c r="CU42" s="73">
        <f>IFERROR(MATCH($A42,醫師週班表!$A$5:$A$44,0),0)</f>
        <v/>
      </c>
    </row>
    <row r="43" ht="17" customHeight="1">
      <c r="A43" s="19" t="n"/>
      <c r="B43" s="16">
        <f>IFERROR(INDEX(設定!$C$64:$C$203,MATCH($A43,設定!$B$64:$B$203,0)),"")</f>
        <v/>
      </c>
      <c r="C43" s="70">
        <f>IFERROR(INDEX(設定!$E$64:$E$203,MATCH($A43,設定!$B$64:$B$203,0)),"")</f>
        <v/>
      </c>
      <c r="D43" s="16">
        <f>IFERROR(INDEX(設定!$F$64:$F$203,MATCH($A43,設定!$B$64:$B$203,0)),"")</f>
        <v/>
      </c>
      <c r="E43" s="71">
        <f>IF(E$59="X","",IF(E$59&lt;&gt;"",E$59,IF(IFERROR(INDEX(醫師週班表!$C$5:$T$44,$CU43,E$57),"")=0,"",IF(MID(IFERROR(INDEX(醫師週班表!$C$5:$T$44,$CU43,E$57),""),2,1)="/",MID(IFERROR(INDEX(醫師週班表!$C$5:$T$44,$CU43,E$57),""),1+E$58*2,1),IF(MID(IFERROR(INDEX(醫師週班表!$C$5:$T$44,$CU43,E$57),""),3,1)="隔",IF(E$58=0,LEFT(IFERROR(INDEX(醫師週班表!$C$5:$T$44,$CU43,E$57),""),1),""),IF(MID(IFERROR(INDEX(醫師週班表!$C$5:$T$44,$CU43,E$57),""),2,1)="(",LEFT(IFERROR(INDEX(醫師週班表!$C$5:$T$44,$CU43,E$57),""),1),IFERROR(INDEX(醫師週班表!$C$5:$T$44,$CU43,E$57),"")))))))</f>
        <v/>
      </c>
      <c r="F43" s="72">
        <f>IF(F$59="X","",IF(F$59&lt;&gt;"",F$59,IF(IFERROR(INDEX(醫師週班表!$C$5:$T$44,$CU43,F$57),"")=0,"",IF(MID(IFERROR(INDEX(醫師週班表!$C$5:$T$44,$CU43,F$57),""),2,1)="/",MID(IFERROR(INDEX(醫師週班表!$C$5:$T$44,$CU43,F$57),""),1+F$58*2,1),IF(MID(IFERROR(INDEX(醫師週班表!$C$5:$T$44,$CU43,F$57),""),3,1)="隔",IF(F$58=0,LEFT(IFERROR(INDEX(醫師週班表!$C$5:$T$44,$CU43,F$57),""),1),""),IF(MID(IFERROR(INDEX(醫師週班表!$C$5:$T$44,$CU43,F$57),""),2,1)="(",LEFT(IFERROR(INDEX(醫師週班表!$C$5:$T$44,$CU43,F$57),""),1),IFERROR(INDEX(醫師週班表!$C$5:$T$44,$CU43,F$57),"")))))))</f>
        <v/>
      </c>
      <c r="G43" s="72">
        <f>IF(G$59="X","",IF(G$59&lt;&gt;"",G$59,IF(IFERROR(INDEX(醫師週班表!$C$5:$T$44,$CU43,G$57),"")=0,"",IF(MID(IFERROR(INDEX(醫師週班表!$C$5:$T$44,$CU43,G$57),""),2,1)="/",MID(IFERROR(INDEX(醫師週班表!$C$5:$T$44,$CU43,G$57),""),1+G$58*2,1),IF(MID(IFERROR(INDEX(醫師週班表!$C$5:$T$44,$CU43,G$57),""),3,1)="隔",IF(G$58=0,LEFT(IFERROR(INDEX(醫師週班表!$C$5:$T$44,$CU43,G$57),""),1),""),IF(MID(IFERROR(INDEX(醫師週班表!$C$5:$T$44,$CU43,G$57),""),2,1)="(",LEFT(IFERROR(INDEX(醫師週班表!$C$5:$T$44,$CU43,G$57),""),1),IFERROR(INDEX(醫師週班表!$C$5:$T$44,$CU43,G$57),"")))))))</f>
        <v/>
      </c>
      <c r="H43" s="71">
        <f>IF(H$59="X","",IF(H$59&lt;&gt;"",H$59,IF(IFERROR(INDEX(醫師週班表!$C$5:$T$44,$CU43,H$57),"")=0,"",IF(MID(IFERROR(INDEX(醫師週班表!$C$5:$T$44,$CU43,H$57),""),2,1)="/",MID(IFERROR(INDEX(醫師週班表!$C$5:$T$44,$CU43,H$57),""),1+H$58*2,1),IF(MID(IFERROR(INDEX(醫師週班表!$C$5:$T$44,$CU43,H$57),""),3,1)="隔",IF(H$58=0,LEFT(IFERROR(INDEX(醫師週班表!$C$5:$T$44,$CU43,H$57),""),1),""),IF(MID(IFERROR(INDEX(醫師週班表!$C$5:$T$44,$CU43,H$57),""),2,1)="(",LEFT(IFERROR(INDEX(醫師週班表!$C$5:$T$44,$CU43,H$57),""),1),IFERROR(INDEX(醫師週班表!$C$5:$T$44,$CU43,H$57),"")))))))</f>
        <v/>
      </c>
      <c r="I43" s="72">
        <f>IF(I$59="X","",IF(I$59&lt;&gt;"",I$59,IF(IFERROR(INDEX(醫師週班表!$C$5:$T$44,$CU43,I$57),"")=0,"",IF(MID(IFERROR(INDEX(醫師週班表!$C$5:$T$44,$CU43,I$57),""),2,1)="/",MID(IFERROR(INDEX(醫師週班表!$C$5:$T$44,$CU43,I$57),""),1+I$58*2,1),IF(MID(IFERROR(INDEX(醫師週班表!$C$5:$T$44,$CU43,I$57),""),3,1)="隔",IF(I$58=0,LEFT(IFERROR(INDEX(醫師週班表!$C$5:$T$44,$CU43,I$57),""),1),""),IF(MID(IFERROR(INDEX(醫師週班表!$C$5:$T$44,$CU43,I$57),""),2,1)="(",LEFT(IFERROR(INDEX(醫師週班表!$C$5:$T$44,$CU43,I$57),""),1),IFERROR(INDEX(醫師週班表!$C$5:$T$44,$CU43,I$57),"")))))))</f>
        <v/>
      </c>
      <c r="J43" s="72">
        <f>IF(J$59="X","",IF(J$59&lt;&gt;"",J$59,IF(IFERROR(INDEX(醫師週班表!$C$5:$T$44,$CU43,J$57),"")=0,"",IF(MID(IFERROR(INDEX(醫師週班表!$C$5:$T$44,$CU43,J$57),""),2,1)="/",MID(IFERROR(INDEX(醫師週班表!$C$5:$T$44,$CU43,J$57),""),1+J$58*2,1),IF(MID(IFERROR(INDEX(醫師週班表!$C$5:$T$44,$CU43,J$57),""),3,1)="隔",IF(J$58=0,LEFT(IFERROR(INDEX(醫師週班表!$C$5:$T$44,$CU43,J$57),""),1),""),IF(MID(IFERROR(INDEX(醫師週班表!$C$5:$T$44,$CU43,J$57),""),2,1)="(",LEFT(IFERROR(INDEX(醫師週班表!$C$5:$T$44,$CU43,J$57),""),1),IFERROR(INDEX(醫師週班表!$C$5:$T$44,$CU43,J$57),"")))))))</f>
        <v/>
      </c>
      <c r="K43" s="71">
        <f>IF(K$59="X","",IF(K$59&lt;&gt;"",K$59,IF(IFERROR(INDEX(醫師週班表!$C$5:$T$44,$CU43,K$57),"")=0,"",IF(MID(IFERROR(INDEX(醫師週班表!$C$5:$T$44,$CU43,K$57),""),2,1)="/",MID(IFERROR(INDEX(醫師週班表!$C$5:$T$44,$CU43,K$57),""),1+K$58*2,1),IF(MID(IFERROR(INDEX(醫師週班表!$C$5:$T$44,$CU43,K$57),""),3,1)="隔",IF(K$58=0,LEFT(IFERROR(INDEX(醫師週班表!$C$5:$T$44,$CU43,K$57),""),1),""),IF(MID(IFERROR(INDEX(醫師週班表!$C$5:$T$44,$CU43,K$57),""),2,1)="(",LEFT(IFERROR(INDEX(醫師週班表!$C$5:$T$44,$CU43,K$57),""),1),IFERROR(INDEX(醫師週班表!$C$5:$T$44,$CU43,K$57),"")))))))</f>
        <v/>
      </c>
      <c r="L43" s="72">
        <f>IF(L$59="X","",IF(L$59&lt;&gt;"",L$59,IF(IFERROR(INDEX(醫師週班表!$C$5:$T$44,$CU43,L$57),"")=0,"",IF(MID(IFERROR(INDEX(醫師週班表!$C$5:$T$44,$CU43,L$57),""),2,1)="/",MID(IFERROR(INDEX(醫師週班表!$C$5:$T$44,$CU43,L$57),""),1+L$58*2,1),IF(MID(IFERROR(INDEX(醫師週班表!$C$5:$T$44,$CU43,L$57),""),3,1)="隔",IF(L$58=0,LEFT(IFERROR(INDEX(醫師週班表!$C$5:$T$44,$CU43,L$57),""),1),""),IF(MID(IFERROR(INDEX(醫師週班表!$C$5:$T$44,$CU43,L$57),""),2,1)="(",LEFT(IFERROR(INDEX(醫師週班表!$C$5:$T$44,$CU43,L$57),""),1),IFERROR(INDEX(醫師週班表!$C$5:$T$44,$CU43,L$57),"")))))))</f>
        <v/>
      </c>
      <c r="M43" s="72">
        <f>IF(M$59="X","",IF(M$59&lt;&gt;"",M$59,IF(IFERROR(INDEX(醫師週班表!$C$5:$T$44,$CU43,M$57),"")=0,"",IF(MID(IFERROR(INDEX(醫師週班表!$C$5:$T$44,$CU43,M$57),""),2,1)="/",MID(IFERROR(INDEX(醫師週班表!$C$5:$T$44,$CU43,M$57),""),1+M$58*2,1),IF(MID(IFERROR(INDEX(醫師週班表!$C$5:$T$44,$CU43,M$57),""),3,1)="隔",IF(M$58=0,LEFT(IFERROR(INDEX(醫師週班表!$C$5:$T$44,$CU43,M$57),""),1),""),IF(MID(IFERROR(INDEX(醫師週班表!$C$5:$T$44,$CU43,M$57),""),2,1)="(",LEFT(IFERROR(INDEX(醫師週班表!$C$5:$T$44,$CU43,M$57),""),1),IFERROR(INDEX(醫師週班表!$C$5:$T$44,$CU43,M$57),"")))))))</f>
        <v/>
      </c>
      <c r="N43" s="71">
        <f>IF(N$59="X","",IF(N$59&lt;&gt;"",N$59,IF(IFERROR(INDEX(醫師週班表!$C$5:$T$44,$CU43,N$57),"")=0,"",IF(MID(IFERROR(INDEX(醫師週班表!$C$5:$T$44,$CU43,N$57),""),2,1)="/",MID(IFERROR(INDEX(醫師週班表!$C$5:$T$44,$CU43,N$57),""),1+N$58*2,1),IF(MID(IFERROR(INDEX(醫師週班表!$C$5:$T$44,$CU43,N$57),""),3,1)="隔",IF(N$58=0,LEFT(IFERROR(INDEX(醫師週班表!$C$5:$T$44,$CU43,N$57),""),1),""),IF(MID(IFERROR(INDEX(醫師週班表!$C$5:$T$44,$CU43,N$57),""),2,1)="(",LEFT(IFERROR(INDEX(醫師週班表!$C$5:$T$44,$CU43,N$57),""),1),IFERROR(INDEX(醫師週班表!$C$5:$T$44,$CU43,N$57),"")))))))</f>
        <v/>
      </c>
      <c r="O43" s="72">
        <f>IF(O$59="X","",IF(O$59&lt;&gt;"",O$59,IF(IFERROR(INDEX(醫師週班表!$C$5:$T$44,$CU43,O$57),"")=0,"",IF(MID(IFERROR(INDEX(醫師週班表!$C$5:$T$44,$CU43,O$57),""),2,1)="/",MID(IFERROR(INDEX(醫師週班表!$C$5:$T$44,$CU43,O$57),""),1+O$58*2,1),IF(MID(IFERROR(INDEX(醫師週班表!$C$5:$T$44,$CU43,O$57),""),3,1)="隔",IF(O$58=0,LEFT(IFERROR(INDEX(醫師週班表!$C$5:$T$44,$CU43,O$57),""),1),""),IF(MID(IFERROR(INDEX(醫師週班表!$C$5:$T$44,$CU43,O$57),""),2,1)="(",LEFT(IFERROR(INDEX(醫師週班表!$C$5:$T$44,$CU43,O$57),""),1),IFERROR(INDEX(醫師週班表!$C$5:$T$44,$CU43,O$57),"")))))))</f>
        <v/>
      </c>
      <c r="P43" s="72">
        <f>IF(P$59="X","",IF(P$59&lt;&gt;"",P$59,IF(IFERROR(INDEX(醫師週班表!$C$5:$T$44,$CU43,P$57),"")=0,"",IF(MID(IFERROR(INDEX(醫師週班表!$C$5:$T$44,$CU43,P$57),""),2,1)="/",MID(IFERROR(INDEX(醫師週班表!$C$5:$T$44,$CU43,P$57),""),1+P$58*2,1),IF(MID(IFERROR(INDEX(醫師週班表!$C$5:$T$44,$CU43,P$57),""),3,1)="隔",IF(P$58=0,LEFT(IFERROR(INDEX(醫師週班表!$C$5:$T$44,$CU43,P$57),""),1),""),IF(MID(IFERROR(INDEX(醫師週班表!$C$5:$T$44,$CU43,P$57),""),2,1)="(",LEFT(IFERROR(INDEX(醫師週班表!$C$5:$T$44,$CU43,P$57),""),1),IFERROR(INDEX(醫師週班表!$C$5:$T$44,$CU43,P$57),"")))))))</f>
        <v/>
      </c>
      <c r="Q43" s="71">
        <f>IF(Q$59="X","",IF(Q$59&lt;&gt;"",Q$59,IF(IFERROR(INDEX(醫師週班表!$C$5:$T$44,$CU43,Q$57),"")=0,"",IF(MID(IFERROR(INDEX(醫師週班表!$C$5:$T$44,$CU43,Q$57),""),2,1)="/",MID(IFERROR(INDEX(醫師週班表!$C$5:$T$44,$CU43,Q$57),""),1+Q$58*2,1),IF(MID(IFERROR(INDEX(醫師週班表!$C$5:$T$44,$CU43,Q$57),""),3,1)="隔",IF(Q$58=0,LEFT(IFERROR(INDEX(醫師週班表!$C$5:$T$44,$CU43,Q$57),""),1),""),IF(MID(IFERROR(INDEX(醫師週班表!$C$5:$T$44,$CU43,Q$57),""),2,1)="(",LEFT(IFERROR(INDEX(醫師週班表!$C$5:$T$44,$CU43,Q$57),""),1),IFERROR(INDEX(醫師週班表!$C$5:$T$44,$CU43,Q$57),"")))))))</f>
        <v/>
      </c>
      <c r="R43" s="72">
        <f>IF(R$59="X","",IF(R$59&lt;&gt;"",R$59,IF(IFERROR(INDEX(醫師週班表!$C$5:$T$44,$CU43,R$57),"")=0,"",IF(MID(IFERROR(INDEX(醫師週班表!$C$5:$T$44,$CU43,R$57),""),2,1)="/",MID(IFERROR(INDEX(醫師週班表!$C$5:$T$44,$CU43,R$57),""),1+R$58*2,1),IF(MID(IFERROR(INDEX(醫師週班表!$C$5:$T$44,$CU43,R$57),""),3,1)="隔",IF(R$58=0,LEFT(IFERROR(INDEX(醫師週班表!$C$5:$T$44,$CU43,R$57),""),1),""),IF(MID(IFERROR(INDEX(醫師週班表!$C$5:$T$44,$CU43,R$57),""),2,1)="(",LEFT(IFERROR(INDEX(醫師週班表!$C$5:$T$44,$CU43,R$57),""),1),IFERROR(INDEX(醫師週班表!$C$5:$T$44,$CU43,R$57),"")))))))</f>
        <v/>
      </c>
      <c r="S43" s="72">
        <f>IF(S$59="X","",IF(S$59&lt;&gt;"",S$59,IF(IFERROR(INDEX(醫師週班表!$C$5:$T$44,$CU43,S$57),"")=0,"",IF(MID(IFERROR(INDEX(醫師週班表!$C$5:$T$44,$CU43,S$57),""),2,1)="/",MID(IFERROR(INDEX(醫師週班表!$C$5:$T$44,$CU43,S$57),""),1+S$58*2,1),IF(MID(IFERROR(INDEX(醫師週班表!$C$5:$T$44,$CU43,S$57),""),3,1)="隔",IF(S$58=0,LEFT(IFERROR(INDEX(醫師週班表!$C$5:$T$44,$CU43,S$57),""),1),""),IF(MID(IFERROR(INDEX(醫師週班表!$C$5:$T$44,$CU43,S$57),""),2,1)="(",LEFT(IFERROR(INDEX(醫師週班表!$C$5:$T$44,$CU43,S$57),""),1),IFERROR(INDEX(醫師週班表!$C$5:$T$44,$CU43,S$57),"")))))))</f>
        <v/>
      </c>
      <c r="T43" s="71">
        <f>IF(T$59="X","",IF(T$59&lt;&gt;"",T$59,IF(IFERROR(INDEX(醫師週班表!$C$5:$T$44,$CU43,T$57),"")=0,"",IF(MID(IFERROR(INDEX(醫師週班表!$C$5:$T$44,$CU43,T$57),""),2,1)="/",MID(IFERROR(INDEX(醫師週班表!$C$5:$T$44,$CU43,T$57),""),1+T$58*2,1),IF(MID(IFERROR(INDEX(醫師週班表!$C$5:$T$44,$CU43,T$57),""),3,1)="隔",IF(T$58=0,LEFT(IFERROR(INDEX(醫師週班表!$C$5:$T$44,$CU43,T$57),""),1),""),IF(MID(IFERROR(INDEX(醫師週班表!$C$5:$T$44,$CU43,T$57),""),2,1)="(",LEFT(IFERROR(INDEX(醫師週班表!$C$5:$T$44,$CU43,T$57),""),1),IFERROR(INDEX(醫師週班表!$C$5:$T$44,$CU43,T$57),"")))))))</f>
        <v/>
      </c>
      <c r="U43" s="72">
        <f>IF(U$59="X","",IF(U$59&lt;&gt;"",U$59,IF(IFERROR(INDEX(醫師週班表!$C$5:$T$44,$CU43,U$57),"")=0,"",IF(MID(IFERROR(INDEX(醫師週班表!$C$5:$T$44,$CU43,U$57),""),2,1)="/",MID(IFERROR(INDEX(醫師週班表!$C$5:$T$44,$CU43,U$57),""),1+U$58*2,1),IF(MID(IFERROR(INDEX(醫師週班表!$C$5:$T$44,$CU43,U$57),""),3,1)="隔",IF(U$58=0,LEFT(IFERROR(INDEX(醫師週班表!$C$5:$T$44,$CU43,U$57),""),1),""),IF(MID(IFERROR(INDEX(醫師週班表!$C$5:$T$44,$CU43,U$57),""),2,1)="(",LEFT(IFERROR(INDEX(醫師週班表!$C$5:$T$44,$CU43,U$57),""),1),IFERROR(INDEX(醫師週班表!$C$5:$T$44,$CU43,U$57),"")))))))</f>
        <v/>
      </c>
      <c r="V43" s="72">
        <f>IF(V$59="X","",IF(V$59&lt;&gt;"",V$59,IF(IFERROR(INDEX(醫師週班表!$C$5:$T$44,$CU43,V$57),"")=0,"",IF(MID(IFERROR(INDEX(醫師週班表!$C$5:$T$44,$CU43,V$57),""),2,1)="/",MID(IFERROR(INDEX(醫師週班表!$C$5:$T$44,$CU43,V$57),""),1+V$58*2,1),IF(MID(IFERROR(INDEX(醫師週班表!$C$5:$T$44,$CU43,V$57),""),3,1)="隔",IF(V$58=0,LEFT(IFERROR(INDEX(醫師週班表!$C$5:$T$44,$CU43,V$57),""),1),""),IF(MID(IFERROR(INDEX(醫師週班表!$C$5:$T$44,$CU43,V$57),""),2,1)="(",LEFT(IFERROR(INDEX(醫師週班表!$C$5:$T$44,$CU43,V$57),""),1),IFERROR(INDEX(醫師週班表!$C$5:$T$44,$CU43,V$57),"")))))))</f>
        <v/>
      </c>
      <c r="W43" s="71">
        <f>IF(W$59="X","",IF(W$59&lt;&gt;"",W$59,IF(IFERROR(INDEX(醫師週班表!$C$5:$T$44,$CU43,W$57),"")=0,"",IF(MID(IFERROR(INDEX(醫師週班表!$C$5:$T$44,$CU43,W$57),""),2,1)="/",MID(IFERROR(INDEX(醫師週班表!$C$5:$T$44,$CU43,W$57),""),1+W$58*2,1),IF(MID(IFERROR(INDEX(醫師週班表!$C$5:$T$44,$CU43,W$57),""),3,1)="隔",IF(W$58=0,LEFT(IFERROR(INDEX(醫師週班表!$C$5:$T$44,$CU43,W$57),""),1),""),IF(MID(IFERROR(INDEX(醫師週班表!$C$5:$T$44,$CU43,W$57),""),2,1)="(",LEFT(IFERROR(INDEX(醫師週班表!$C$5:$T$44,$CU43,W$57),""),1),IFERROR(INDEX(醫師週班表!$C$5:$T$44,$CU43,W$57),"")))))))</f>
        <v/>
      </c>
      <c r="X43" s="72">
        <f>IF(X$59="X","",IF(X$59&lt;&gt;"",X$59,IF(IFERROR(INDEX(醫師週班表!$C$5:$T$44,$CU43,X$57),"")=0,"",IF(MID(IFERROR(INDEX(醫師週班表!$C$5:$T$44,$CU43,X$57),""),2,1)="/",MID(IFERROR(INDEX(醫師週班表!$C$5:$T$44,$CU43,X$57),""),1+X$58*2,1),IF(MID(IFERROR(INDEX(醫師週班表!$C$5:$T$44,$CU43,X$57),""),3,1)="隔",IF(X$58=0,LEFT(IFERROR(INDEX(醫師週班表!$C$5:$T$44,$CU43,X$57),""),1),""),IF(MID(IFERROR(INDEX(醫師週班表!$C$5:$T$44,$CU43,X$57),""),2,1)="(",LEFT(IFERROR(INDEX(醫師週班表!$C$5:$T$44,$CU43,X$57),""),1),IFERROR(INDEX(醫師週班表!$C$5:$T$44,$CU43,X$57),"")))))))</f>
        <v/>
      </c>
      <c r="Y43" s="72">
        <f>IF(Y$59="X","",IF(Y$59&lt;&gt;"",Y$59,IF(IFERROR(INDEX(醫師週班表!$C$5:$T$44,$CU43,Y$57),"")=0,"",IF(MID(IFERROR(INDEX(醫師週班表!$C$5:$T$44,$CU43,Y$57),""),2,1)="/",MID(IFERROR(INDEX(醫師週班表!$C$5:$T$44,$CU43,Y$57),""),1+Y$58*2,1),IF(MID(IFERROR(INDEX(醫師週班表!$C$5:$T$44,$CU43,Y$57),""),3,1)="隔",IF(Y$58=0,LEFT(IFERROR(INDEX(醫師週班表!$C$5:$T$44,$CU43,Y$57),""),1),""),IF(MID(IFERROR(INDEX(醫師週班表!$C$5:$T$44,$CU43,Y$57),""),2,1)="(",LEFT(IFERROR(INDEX(醫師週班表!$C$5:$T$44,$CU43,Y$57),""),1),IFERROR(INDEX(醫師週班表!$C$5:$T$44,$CU43,Y$57),"")))))))</f>
        <v/>
      </c>
      <c r="Z43" s="71">
        <f>IF(Z$59="X","",IF(Z$59&lt;&gt;"",Z$59,IF(IFERROR(INDEX(醫師週班表!$C$5:$T$44,$CU43,Z$57),"")=0,"",IF(MID(IFERROR(INDEX(醫師週班表!$C$5:$T$44,$CU43,Z$57),""),2,1)="/",MID(IFERROR(INDEX(醫師週班表!$C$5:$T$44,$CU43,Z$57),""),1+Z$58*2,1),IF(MID(IFERROR(INDEX(醫師週班表!$C$5:$T$44,$CU43,Z$57),""),3,1)="隔",IF(Z$58=0,LEFT(IFERROR(INDEX(醫師週班表!$C$5:$T$44,$CU43,Z$57),""),1),""),IF(MID(IFERROR(INDEX(醫師週班表!$C$5:$T$44,$CU43,Z$57),""),2,1)="(",LEFT(IFERROR(INDEX(醫師週班表!$C$5:$T$44,$CU43,Z$57),""),1),IFERROR(INDEX(醫師週班表!$C$5:$T$44,$CU43,Z$57),"")))))))</f>
        <v/>
      </c>
      <c r="AA43" s="72">
        <f>IF(AA$59="X","",IF(AA$59&lt;&gt;"",AA$59,IF(IFERROR(INDEX(醫師週班表!$C$5:$T$44,$CU43,AA$57),"")=0,"",IF(MID(IFERROR(INDEX(醫師週班表!$C$5:$T$44,$CU43,AA$57),""),2,1)="/",MID(IFERROR(INDEX(醫師週班表!$C$5:$T$44,$CU43,AA$57),""),1+AA$58*2,1),IF(MID(IFERROR(INDEX(醫師週班表!$C$5:$T$44,$CU43,AA$57),""),3,1)="隔",IF(AA$58=0,LEFT(IFERROR(INDEX(醫師週班表!$C$5:$T$44,$CU43,AA$57),""),1),""),IF(MID(IFERROR(INDEX(醫師週班表!$C$5:$T$44,$CU43,AA$57),""),2,1)="(",LEFT(IFERROR(INDEX(醫師週班表!$C$5:$T$44,$CU43,AA$57),""),1),IFERROR(INDEX(醫師週班表!$C$5:$T$44,$CU43,AA$57),"")))))))</f>
        <v/>
      </c>
      <c r="AB43" s="72">
        <f>IF(AB$59="X","",IF(AB$59&lt;&gt;"",AB$59,IF(IFERROR(INDEX(醫師週班表!$C$5:$T$44,$CU43,AB$57),"")=0,"",IF(MID(IFERROR(INDEX(醫師週班表!$C$5:$T$44,$CU43,AB$57),""),2,1)="/",MID(IFERROR(INDEX(醫師週班表!$C$5:$T$44,$CU43,AB$57),""),1+AB$58*2,1),IF(MID(IFERROR(INDEX(醫師週班表!$C$5:$T$44,$CU43,AB$57),""),3,1)="隔",IF(AB$58=0,LEFT(IFERROR(INDEX(醫師週班表!$C$5:$T$44,$CU43,AB$57),""),1),""),IF(MID(IFERROR(INDEX(醫師週班表!$C$5:$T$44,$CU43,AB$57),""),2,1)="(",LEFT(IFERROR(INDEX(醫師週班表!$C$5:$T$44,$CU43,AB$57),""),1),IFERROR(INDEX(醫師週班表!$C$5:$T$44,$CU43,AB$57),"")))))))</f>
        <v/>
      </c>
      <c r="AC43" s="71">
        <f>IF(AC$59="X","",IF(AC$59&lt;&gt;"",AC$59,IF(IFERROR(INDEX(醫師週班表!$C$5:$T$44,$CU43,AC$57),"")=0,"",IF(MID(IFERROR(INDEX(醫師週班表!$C$5:$T$44,$CU43,AC$57),""),2,1)="/",MID(IFERROR(INDEX(醫師週班表!$C$5:$T$44,$CU43,AC$57),""),1+AC$58*2,1),IF(MID(IFERROR(INDEX(醫師週班表!$C$5:$T$44,$CU43,AC$57),""),3,1)="隔",IF(AC$58=0,LEFT(IFERROR(INDEX(醫師週班表!$C$5:$T$44,$CU43,AC$57),""),1),""),IF(MID(IFERROR(INDEX(醫師週班表!$C$5:$T$44,$CU43,AC$57),""),2,1)="(",LEFT(IFERROR(INDEX(醫師週班表!$C$5:$T$44,$CU43,AC$57),""),1),IFERROR(INDEX(醫師週班表!$C$5:$T$44,$CU43,AC$57),"")))))))</f>
        <v/>
      </c>
      <c r="AD43" s="72">
        <f>IF(AD$59="X","",IF(AD$59&lt;&gt;"",AD$59,IF(IFERROR(INDEX(醫師週班表!$C$5:$T$44,$CU43,AD$57),"")=0,"",IF(MID(IFERROR(INDEX(醫師週班表!$C$5:$T$44,$CU43,AD$57),""),2,1)="/",MID(IFERROR(INDEX(醫師週班表!$C$5:$T$44,$CU43,AD$57),""),1+AD$58*2,1),IF(MID(IFERROR(INDEX(醫師週班表!$C$5:$T$44,$CU43,AD$57),""),3,1)="隔",IF(AD$58=0,LEFT(IFERROR(INDEX(醫師週班表!$C$5:$T$44,$CU43,AD$57),""),1),""),IF(MID(IFERROR(INDEX(醫師週班表!$C$5:$T$44,$CU43,AD$57),""),2,1)="(",LEFT(IFERROR(INDEX(醫師週班表!$C$5:$T$44,$CU43,AD$57),""),1),IFERROR(INDEX(醫師週班表!$C$5:$T$44,$CU43,AD$57),"")))))))</f>
        <v/>
      </c>
      <c r="AE43" s="72">
        <f>IF(AE$59="X","",IF(AE$59&lt;&gt;"",AE$59,IF(IFERROR(INDEX(醫師週班表!$C$5:$T$44,$CU43,AE$57),"")=0,"",IF(MID(IFERROR(INDEX(醫師週班表!$C$5:$T$44,$CU43,AE$57),""),2,1)="/",MID(IFERROR(INDEX(醫師週班表!$C$5:$T$44,$CU43,AE$57),""),1+AE$58*2,1),IF(MID(IFERROR(INDEX(醫師週班表!$C$5:$T$44,$CU43,AE$57),""),3,1)="隔",IF(AE$58=0,LEFT(IFERROR(INDEX(醫師週班表!$C$5:$T$44,$CU43,AE$57),""),1),""),IF(MID(IFERROR(INDEX(醫師週班表!$C$5:$T$44,$CU43,AE$57),""),2,1)="(",LEFT(IFERROR(INDEX(醫師週班表!$C$5:$T$44,$CU43,AE$57),""),1),IFERROR(INDEX(醫師週班表!$C$5:$T$44,$CU43,AE$57),"")))))))</f>
        <v/>
      </c>
      <c r="AF43" s="71">
        <f>IF(AF$59="X","",IF(AF$59&lt;&gt;"",AF$59,IF(IFERROR(INDEX(醫師週班表!$C$5:$T$44,$CU43,AF$57),"")=0,"",IF(MID(IFERROR(INDEX(醫師週班表!$C$5:$T$44,$CU43,AF$57),""),2,1)="/",MID(IFERROR(INDEX(醫師週班表!$C$5:$T$44,$CU43,AF$57),""),1+AF$58*2,1),IF(MID(IFERROR(INDEX(醫師週班表!$C$5:$T$44,$CU43,AF$57),""),3,1)="隔",IF(AF$58=0,LEFT(IFERROR(INDEX(醫師週班表!$C$5:$T$44,$CU43,AF$57),""),1),""),IF(MID(IFERROR(INDEX(醫師週班表!$C$5:$T$44,$CU43,AF$57),""),2,1)="(",LEFT(IFERROR(INDEX(醫師週班表!$C$5:$T$44,$CU43,AF$57),""),1),IFERROR(INDEX(醫師週班表!$C$5:$T$44,$CU43,AF$57),"")))))))</f>
        <v/>
      </c>
      <c r="AG43" s="72">
        <f>IF(AG$59="X","",IF(AG$59&lt;&gt;"",AG$59,IF(IFERROR(INDEX(醫師週班表!$C$5:$T$44,$CU43,AG$57),"")=0,"",IF(MID(IFERROR(INDEX(醫師週班表!$C$5:$T$44,$CU43,AG$57),""),2,1)="/",MID(IFERROR(INDEX(醫師週班表!$C$5:$T$44,$CU43,AG$57),""),1+AG$58*2,1),IF(MID(IFERROR(INDEX(醫師週班表!$C$5:$T$44,$CU43,AG$57),""),3,1)="隔",IF(AG$58=0,LEFT(IFERROR(INDEX(醫師週班表!$C$5:$T$44,$CU43,AG$57),""),1),""),IF(MID(IFERROR(INDEX(醫師週班表!$C$5:$T$44,$CU43,AG$57),""),2,1)="(",LEFT(IFERROR(INDEX(醫師週班表!$C$5:$T$44,$CU43,AG$57),""),1),IFERROR(INDEX(醫師週班表!$C$5:$T$44,$CU43,AG$57),"")))))))</f>
        <v/>
      </c>
      <c r="AH43" s="72">
        <f>IF(AH$59="X","",IF(AH$59&lt;&gt;"",AH$59,IF(IFERROR(INDEX(醫師週班表!$C$5:$T$44,$CU43,AH$57),"")=0,"",IF(MID(IFERROR(INDEX(醫師週班表!$C$5:$T$44,$CU43,AH$57),""),2,1)="/",MID(IFERROR(INDEX(醫師週班表!$C$5:$T$44,$CU43,AH$57),""),1+AH$58*2,1),IF(MID(IFERROR(INDEX(醫師週班表!$C$5:$T$44,$CU43,AH$57),""),3,1)="隔",IF(AH$58=0,LEFT(IFERROR(INDEX(醫師週班表!$C$5:$T$44,$CU43,AH$57),""),1),""),IF(MID(IFERROR(INDEX(醫師週班表!$C$5:$T$44,$CU43,AH$57),""),2,1)="(",LEFT(IFERROR(INDEX(醫師週班表!$C$5:$T$44,$CU43,AH$57),""),1),IFERROR(INDEX(醫師週班表!$C$5:$T$44,$CU43,AH$57),"")))))))</f>
        <v/>
      </c>
      <c r="AI43" s="71">
        <f>IF(AI$59="X","",IF(AI$59&lt;&gt;"",AI$59,IF(IFERROR(INDEX(醫師週班表!$C$5:$T$44,$CU43,AI$57),"")=0,"",IF(MID(IFERROR(INDEX(醫師週班表!$C$5:$T$44,$CU43,AI$57),""),2,1)="/",MID(IFERROR(INDEX(醫師週班表!$C$5:$T$44,$CU43,AI$57),""),1+AI$58*2,1),IF(MID(IFERROR(INDEX(醫師週班表!$C$5:$T$44,$CU43,AI$57),""),3,1)="隔",IF(AI$58=0,LEFT(IFERROR(INDEX(醫師週班表!$C$5:$T$44,$CU43,AI$57),""),1),""),IF(MID(IFERROR(INDEX(醫師週班表!$C$5:$T$44,$CU43,AI$57),""),2,1)="(",LEFT(IFERROR(INDEX(醫師週班表!$C$5:$T$44,$CU43,AI$57),""),1),IFERROR(INDEX(醫師週班表!$C$5:$T$44,$CU43,AI$57),"")))))))</f>
        <v/>
      </c>
      <c r="AJ43" s="72">
        <f>IF(AJ$59="X","",IF(AJ$59&lt;&gt;"",AJ$59,IF(IFERROR(INDEX(醫師週班表!$C$5:$T$44,$CU43,AJ$57),"")=0,"",IF(MID(IFERROR(INDEX(醫師週班表!$C$5:$T$44,$CU43,AJ$57),""),2,1)="/",MID(IFERROR(INDEX(醫師週班表!$C$5:$T$44,$CU43,AJ$57),""),1+AJ$58*2,1),IF(MID(IFERROR(INDEX(醫師週班表!$C$5:$T$44,$CU43,AJ$57),""),3,1)="隔",IF(AJ$58=0,LEFT(IFERROR(INDEX(醫師週班表!$C$5:$T$44,$CU43,AJ$57),""),1),""),IF(MID(IFERROR(INDEX(醫師週班表!$C$5:$T$44,$CU43,AJ$57),""),2,1)="(",LEFT(IFERROR(INDEX(醫師週班表!$C$5:$T$44,$CU43,AJ$57),""),1),IFERROR(INDEX(醫師週班表!$C$5:$T$44,$CU43,AJ$57),"")))))))</f>
        <v/>
      </c>
      <c r="AK43" s="72">
        <f>IF(AK$59="X","",IF(AK$59&lt;&gt;"",AK$59,IF(IFERROR(INDEX(醫師週班表!$C$5:$T$44,$CU43,AK$57),"")=0,"",IF(MID(IFERROR(INDEX(醫師週班表!$C$5:$T$44,$CU43,AK$57),""),2,1)="/",MID(IFERROR(INDEX(醫師週班表!$C$5:$T$44,$CU43,AK$57),""),1+AK$58*2,1),IF(MID(IFERROR(INDEX(醫師週班表!$C$5:$T$44,$CU43,AK$57),""),3,1)="隔",IF(AK$58=0,LEFT(IFERROR(INDEX(醫師週班表!$C$5:$T$44,$CU43,AK$57),""),1),""),IF(MID(IFERROR(INDEX(醫師週班表!$C$5:$T$44,$CU43,AK$57),""),2,1)="(",LEFT(IFERROR(INDEX(醫師週班表!$C$5:$T$44,$CU43,AK$57),""),1),IFERROR(INDEX(醫師週班表!$C$5:$T$44,$CU43,AK$57),"")))))))</f>
        <v/>
      </c>
      <c r="AL43" s="71">
        <f>IF(AL$59="X","",IF(AL$59&lt;&gt;"",AL$59,IF(IFERROR(INDEX(醫師週班表!$C$5:$T$44,$CU43,AL$57),"")=0,"",IF(MID(IFERROR(INDEX(醫師週班表!$C$5:$T$44,$CU43,AL$57),""),2,1)="/",MID(IFERROR(INDEX(醫師週班表!$C$5:$T$44,$CU43,AL$57),""),1+AL$58*2,1),IF(MID(IFERROR(INDEX(醫師週班表!$C$5:$T$44,$CU43,AL$57),""),3,1)="隔",IF(AL$58=0,LEFT(IFERROR(INDEX(醫師週班表!$C$5:$T$44,$CU43,AL$57),""),1),""),IF(MID(IFERROR(INDEX(醫師週班表!$C$5:$T$44,$CU43,AL$57),""),2,1)="(",LEFT(IFERROR(INDEX(醫師週班表!$C$5:$T$44,$CU43,AL$57),""),1),IFERROR(INDEX(醫師週班表!$C$5:$T$44,$CU43,AL$57),"")))))))</f>
        <v/>
      </c>
      <c r="AM43" s="72">
        <f>IF(AM$59="X","",IF(AM$59&lt;&gt;"",AM$59,IF(IFERROR(INDEX(醫師週班表!$C$5:$T$44,$CU43,AM$57),"")=0,"",IF(MID(IFERROR(INDEX(醫師週班表!$C$5:$T$44,$CU43,AM$57),""),2,1)="/",MID(IFERROR(INDEX(醫師週班表!$C$5:$T$44,$CU43,AM$57),""),1+AM$58*2,1),IF(MID(IFERROR(INDEX(醫師週班表!$C$5:$T$44,$CU43,AM$57),""),3,1)="隔",IF(AM$58=0,LEFT(IFERROR(INDEX(醫師週班表!$C$5:$T$44,$CU43,AM$57),""),1),""),IF(MID(IFERROR(INDEX(醫師週班表!$C$5:$T$44,$CU43,AM$57),""),2,1)="(",LEFT(IFERROR(INDEX(醫師週班表!$C$5:$T$44,$CU43,AM$57),""),1),IFERROR(INDEX(醫師週班表!$C$5:$T$44,$CU43,AM$57),"")))))))</f>
        <v/>
      </c>
      <c r="AN43" s="72">
        <f>IF(AN$59="X","",IF(AN$59&lt;&gt;"",AN$59,IF(IFERROR(INDEX(醫師週班表!$C$5:$T$44,$CU43,AN$57),"")=0,"",IF(MID(IFERROR(INDEX(醫師週班表!$C$5:$T$44,$CU43,AN$57),""),2,1)="/",MID(IFERROR(INDEX(醫師週班表!$C$5:$T$44,$CU43,AN$57),""),1+AN$58*2,1),IF(MID(IFERROR(INDEX(醫師週班表!$C$5:$T$44,$CU43,AN$57),""),3,1)="隔",IF(AN$58=0,LEFT(IFERROR(INDEX(醫師週班表!$C$5:$T$44,$CU43,AN$57),""),1),""),IF(MID(IFERROR(INDEX(醫師週班表!$C$5:$T$44,$CU43,AN$57),""),2,1)="(",LEFT(IFERROR(INDEX(醫師週班表!$C$5:$T$44,$CU43,AN$57),""),1),IFERROR(INDEX(醫師週班表!$C$5:$T$44,$CU43,AN$57),"")))))))</f>
        <v/>
      </c>
      <c r="AO43" s="71">
        <f>IF(AO$59="X","",IF(AO$59&lt;&gt;"",AO$59,IF(IFERROR(INDEX(醫師週班表!$C$5:$T$44,$CU43,AO$57),"")=0,"",IF(MID(IFERROR(INDEX(醫師週班表!$C$5:$T$44,$CU43,AO$57),""),2,1)="/",MID(IFERROR(INDEX(醫師週班表!$C$5:$T$44,$CU43,AO$57),""),1+AO$58*2,1),IF(MID(IFERROR(INDEX(醫師週班表!$C$5:$T$44,$CU43,AO$57),""),3,1)="隔",IF(AO$58=0,LEFT(IFERROR(INDEX(醫師週班表!$C$5:$T$44,$CU43,AO$57),""),1),""),IF(MID(IFERROR(INDEX(醫師週班表!$C$5:$T$44,$CU43,AO$57),""),2,1)="(",LEFT(IFERROR(INDEX(醫師週班表!$C$5:$T$44,$CU43,AO$57),""),1),IFERROR(INDEX(醫師週班表!$C$5:$T$44,$CU43,AO$57),"")))))))</f>
        <v/>
      </c>
      <c r="AP43" s="72">
        <f>IF(AP$59="X","",IF(AP$59&lt;&gt;"",AP$59,IF(IFERROR(INDEX(醫師週班表!$C$5:$T$44,$CU43,AP$57),"")=0,"",IF(MID(IFERROR(INDEX(醫師週班表!$C$5:$T$44,$CU43,AP$57),""),2,1)="/",MID(IFERROR(INDEX(醫師週班表!$C$5:$T$44,$CU43,AP$57),""),1+AP$58*2,1),IF(MID(IFERROR(INDEX(醫師週班表!$C$5:$T$44,$CU43,AP$57),""),3,1)="隔",IF(AP$58=0,LEFT(IFERROR(INDEX(醫師週班表!$C$5:$T$44,$CU43,AP$57),""),1),""),IF(MID(IFERROR(INDEX(醫師週班表!$C$5:$T$44,$CU43,AP$57),""),2,1)="(",LEFT(IFERROR(INDEX(醫師週班表!$C$5:$T$44,$CU43,AP$57),""),1),IFERROR(INDEX(醫師週班表!$C$5:$T$44,$CU43,AP$57),"")))))))</f>
        <v/>
      </c>
      <c r="AQ43" s="72">
        <f>IF(AQ$59="X","",IF(AQ$59&lt;&gt;"",AQ$59,IF(IFERROR(INDEX(醫師週班表!$C$5:$T$44,$CU43,AQ$57),"")=0,"",IF(MID(IFERROR(INDEX(醫師週班表!$C$5:$T$44,$CU43,AQ$57),""),2,1)="/",MID(IFERROR(INDEX(醫師週班表!$C$5:$T$44,$CU43,AQ$57),""),1+AQ$58*2,1),IF(MID(IFERROR(INDEX(醫師週班表!$C$5:$T$44,$CU43,AQ$57),""),3,1)="隔",IF(AQ$58=0,LEFT(IFERROR(INDEX(醫師週班表!$C$5:$T$44,$CU43,AQ$57),""),1),""),IF(MID(IFERROR(INDEX(醫師週班表!$C$5:$T$44,$CU43,AQ$57),""),2,1)="(",LEFT(IFERROR(INDEX(醫師週班表!$C$5:$T$44,$CU43,AQ$57),""),1),IFERROR(INDEX(醫師週班表!$C$5:$T$44,$CU43,AQ$57),"")))))))</f>
        <v/>
      </c>
      <c r="AR43" s="71">
        <f>IF(AR$59="X","",IF(AR$59&lt;&gt;"",AR$59,IF(IFERROR(INDEX(醫師週班表!$C$5:$T$44,$CU43,AR$57),"")=0,"",IF(MID(IFERROR(INDEX(醫師週班表!$C$5:$T$44,$CU43,AR$57),""),2,1)="/",MID(IFERROR(INDEX(醫師週班表!$C$5:$T$44,$CU43,AR$57),""),1+AR$58*2,1),IF(MID(IFERROR(INDEX(醫師週班表!$C$5:$T$44,$CU43,AR$57),""),3,1)="隔",IF(AR$58=0,LEFT(IFERROR(INDEX(醫師週班表!$C$5:$T$44,$CU43,AR$57),""),1),""),IF(MID(IFERROR(INDEX(醫師週班表!$C$5:$T$44,$CU43,AR$57),""),2,1)="(",LEFT(IFERROR(INDEX(醫師週班表!$C$5:$T$44,$CU43,AR$57),""),1),IFERROR(INDEX(醫師週班表!$C$5:$T$44,$CU43,AR$57),"")))))))</f>
        <v/>
      </c>
      <c r="AS43" s="72">
        <f>IF(AS$59="X","",IF(AS$59&lt;&gt;"",AS$59,IF(IFERROR(INDEX(醫師週班表!$C$5:$T$44,$CU43,AS$57),"")=0,"",IF(MID(IFERROR(INDEX(醫師週班表!$C$5:$T$44,$CU43,AS$57),""),2,1)="/",MID(IFERROR(INDEX(醫師週班表!$C$5:$T$44,$CU43,AS$57),""),1+AS$58*2,1),IF(MID(IFERROR(INDEX(醫師週班表!$C$5:$T$44,$CU43,AS$57),""),3,1)="隔",IF(AS$58=0,LEFT(IFERROR(INDEX(醫師週班表!$C$5:$T$44,$CU43,AS$57),""),1),""),IF(MID(IFERROR(INDEX(醫師週班表!$C$5:$T$44,$CU43,AS$57),""),2,1)="(",LEFT(IFERROR(INDEX(醫師週班表!$C$5:$T$44,$CU43,AS$57),""),1),IFERROR(INDEX(醫師週班表!$C$5:$T$44,$CU43,AS$57),"")))))))</f>
        <v/>
      </c>
      <c r="AT43" s="72">
        <f>IF(AT$59="X","",IF(AT$59&lt;&gt;"",AT$59,IF(IFERROR(INDEX(醫師週班表!$C$5:$T$44,$CU43,AT$57),"")=0,"",IF(MID(IFERROR(INDEX(醫師週班表!$C$5:$T$44,$CU43,AT$57),""),2,1)="/",MID(IFERROR(INDEX(醫師週班表!$C$5:$T$44,$CU43,AT$57),""),1+AT$58*2,1),IF(MID(IFERROR(INDEX(醫師週班表!$C$5:$T$44,$CU43,AT$57),""),3,1)="隔",IF(AT$58=0,LEFT(IFERROR(INDEX(醫師週班表!$C$5:$T$44,$CU43,AT$57),""),1),""),IF(MID(IFERROR(INDEX(醫師週班表!$C$5:$T$44,$CU43,AT$57),""),2,1)="(",LEFT(IFERROR(INDEX(醫師週班表!$C$5:$T$44,$CU43,AT$57),""),1),IFERROR(INDEX(醫師週班表!$C$5:$T$44,$CU43,AT$57),"")))))))</f>
        <v/>
      </c>
      <c r="AU43" s="71">
        <f>IF(AU$59="X","",IF(AU$59&lt;&gt;"",AU$59,IF(IFERROR(INDEX(醫師週班表!$C$5:$T$44,$CU43,AU$57),"")=0,"",IF(MID(IFERROR(INDEX(醫師週班表!$C$5:$T$44,$CU43,AU$57),""),2,1)="/",MID(IFERROR(INDEX(醫師週班表!$C$5:$T$44,$CU43,AU$57),""),1+AU$58*2,1),IF(MID(IFERROR(INDEX(醫師週班表!$C$5:$T$44,$CU43,AU$57),""),3,1)="隔",IF(AU$58=0,LEFT(IFERROR(INDEX(醫師週班表!$C$5:$T$44,$CU43,AU$57),""),1),""),IF(MID(IFERROR(INDEX(醫師週班表!$C$5:$T$44,$CU43,AU$57),""),2,1)="(",LEFT(IFERROR(INDEX(醫師週班表!$C$5:$T$44,$CU43,AU$57),""),1),IFERROR(INDEX(醫師週班表!$C$5:$T$44,$CU43,AU$57),"")))))))</f>
        <v/>
      </c>
      <c r="AV43" s="72">
        <f>IF(AV$59="X","",IF(AV$59&lt;&gt;"",AV$59,IF(IFERROR(INDEX(醫師週班表!$C$5:$T$44,$CU43,AV$57),"")=0,"",IF(MID(IFERROR(INDEX(醫師週班表!$C$5:$T$44,$CU43,AV$57),""),2,1)="/",MID(IFERROR(INDEX(醫師週班表!$C$5:$T$44,$CU43,AV$57),""),1+AV$58*2,1),IF(MID(IFERROR(INDEX(醫師週班表!$C$5:$T$44,$CU43,AV$57),""),3,1)="隔",IF(AV$58=0,LEFT(IFERROR(INDEX(醫師週班表!$C$5:$T$44,$CU43,AV$57),""),1),""),IF(MID(IFERROR(INDEX(醫師週班表!$C$5:$T$44,$CU43,AV$57),""),2,1)="(",LEFT(IFERROR(INDEX(醫師週班表!$C$5:$T$44,$CU43,AV$57),""),1),IFERROR(INDEX(醫師週班表!$C$5:$T$44,$CU43,AV$57),"")))))))</f>
        <v/>
      </c>
      <c r="AW43" s="72">
        <f>IF(AW$59="X","",IF(AW$59&lt;&gt;"",AW$59,IF(IFERROR(INDEX(醫師週班表!$C$5:$T$44,$CU43,AW$57),"")=0,"",IF(MID(IFERROR(INDEX(醫師週班表!$C$5:$T$44,$CU43,AW$57),""),2,1)="/",MID(IFERROR(INDEX(醫師週班表!$C$5:$T$44,$CU43,AW$57),""),1+AW$58*2,1),IF(MID(IFERROR(INDEX(醫師週班表!$C$5:$T$44,$CU43,AW$57),""),3,1)="隔",IF(AW$58=0,LEFT(IFERROR(INDEX(醫師週班表!$C$5:$T$44,$CU43,AW$57),""),1),""),IF(MID(IFERROR(INDEX(醫師週班表!$C$5:$T$44,$CU43,AW$57),""),2,1)="(",LEFT(IFERROR(INDEX(醫師週班表!$C$5:$T$44,$CU43,AW$57),""),1),IFERROR(INDEX(醫師週班表!$C$5:$T$44,$CU43,AW$57),"")))))))</f>
        <v/>
      </c>
      <c r="AX43" s="71">
        <f>IF(AX$59="X","",IF(AX$59&lt;&gt;"",AX$59,IF(IFERROR(INDEX(醫師週班表!$C$5:$T$44,$CU43,AX$57),"")=0,"",IF(MID(IFERROR(INDEX(醫師週班表!$C$5:$T$44,$CU43,AX$57),""),2,1)="/",MID(IFERROR(INDEX(醫師週班表!$C$5:$T$44,$CU43,AX$57),""),1+AX$58*2,1),IF(MID(IFERROR(INDEX(醫師週班表!$C$5:$T$44,$CU43,AX$57),""),3,1)="隔",IF(AX$58=0,LEFT(IFERROR(INDEX(醫師週班表!$C$5:$T$44,$CU43,AX$57),""),1),""),IF(MID(IFERROR(INDEX(醫師週班表!$C$5:$T$44,$CU43,AX$57),""),2,1)="(",LEFT(IFERROR(INDEX(醫師週班表!$C$5:$T$44,$CU43,AX$57),""),1),IFERROR(INDEX(醫師週班表!$C$5:$T$44,$CU43,AX$57),"")))))))</f>
        <v/>
      </c>
      <c r="AY43" s="72">
        <f>IF(AY$59="X","",IF(AY$59&lt;&gt;"",AY$59,IF(IFERROR(INDEX(醫師週班表!$C$5:$T$44,$CU43,AY$57),"")=0,"",IF(MID(IFERROR(INDEX(醫師週班表!$C$5:$T$44,$CU43,AY$57),""),2,1)="/",MID(IFERROR(INDEX(醫師週班表!$C$5:$T$44,$CU43,AY$57),""),1+AY$58*2,1),IF(MID(IFERROR(INDEX(醫師週班表!$C$5:$T$44,$CU43,AY$57),""),3,1)="隔",IF(AY$58=0,LEFT(IFERROR(INDEX(醫師週班表!$C$5:$T$44,$CU43,AY$57),""),1),""),IF(MID(IFERROR(INDEX(醫師週班表!$C$5:$T$44,$CU43,AY$57),""),2,1)="(",LEFT(IFERROR(INDEX(醫師週班表!$C$5:$T$44,$CU43,AY$57),""),1),IFERROR(INDEX(醫師週班表!$C$5:$T$44,$CU43,AY$57),"")))))))</f>
        <v/>
      </c>
      <c r="AZ43" s="72">
        <f>IF(AZ$59="X","",IF(AZ$59&lt;&gt;"",AZ$59,IF(IFERROR(INDEX(醫師週班表!$C$5:$T$44,$CU43,AZ$57),"")=0,"",IF(MID(IFERROR(INDEX(醫師週班表!$C$5:$T$44,$CU43,AZ$57),""),2,1)="/",MID(IFERROR(INDEX(醫師週班表!$C$5:$T$44,$CU43,AZ$57),""),1+AZ$58*2,1),IF(MID(IFERROR(INDEX(醫師週班表!$C$5:$T$44,$CU43,AZ$57),""),3,1)="隔",IF(AZ$58=0,LEFT(IFERROR(INDEX(醫師週班表!$C$5:$T$44,$CU43,AZ$57),""),1),""),IF(MID(IFERROR(INDEX(醫師週班表!$C$5:$T$44,$CU43,AZ$57),""),2,1)="(",LEFT(IFERROR(INDEX(醫師週班表!$C$5:$T$44,$CU43,AZ$57),""),1),IFERROR(INDEX(醫師週班表!$C$5:$T$44,$CU43,AZ$57),"")))))))</f>
        <v/>
      </c>
      <c r="BA43" s="71">
        <f>IF(BA$59="X","",IF(BA$59&lt;&gt;"",BA$59,IF(IFERROR(INDEX(醫師週班表!$C$5:$T$44,$CU43,BA$57),"")=0,"",IF(MID(IFERROR(INDEX(醫師週班表!$C$5:$T$44,$CU43,BA$57),""),2,1)="/",MID(IFERROR(INDEX(醫師週班表!$C$5:$T$44,$CU43,BA$57),""),1+BA$58*2,1),IF(MID(IFERROR(INDEX(醫師週班表!$C$5:$T$44,$CU43,BA$57),""),3,1)="隔",IF(BA$58=0,LEFT(IFERROR(INDEX(醫師週班表!$C$5:$T$44,$CU43,BA$57),""),1),""),IF(MID(IFERROR(INDEX(醫師週班表!$C$5:$T$44,$CU43,BA$57),""),2,1)="(",LEFT(IFERROR(INDEX(醫師週班表!$C$5:$T$44,$CU43,BA$57),""),1),IFERROR(INDEX(醫師週班表!$C$5:$T$44,$CU43,BA$57),"")))))))</f>
        <v/>
      </c>
      <c r="BB43" s="72">
        <f>IF(BB$59="X","",IF(BB$59&lt;&gt;"",BB$59,IF(IFERROR(INDEX(醫師週班表!$C$5:$T$44,$CU43,BB$57),"")=0,"",IF(MID(IFERROR(INDEX(醫師週班表!$C$5:$T$44,$CU43,BB$57),""),2,1)="/",MID(IFERROR(INDEX(醫師週班表!$C$5:$T$44,$CU43,BB$57),""),1+BB$58*2,1),IF(MID(IFERROR(INDEX(醫師週班表!$C$5:$T$44,$CU43,BB$57),""),3,1)="隔",IF(BB$58=0,LEFT(IFERROR(INDEX(醫師週班表!$C$5:$T$44,$CU43,BB$57),""),1),""),IF(MID(IFERROR(INDEX(醫師週班表!$C$5:$T$44,$CU43,BB$57),""),2,1)="(",LEFT(IFERROR(INDEX(醫師週班表!$C$5:$T$44,$CU43,BB$57),""),1),IFERROR(INDEX(醫師週班表!$C$5:$T$44,$CU43,BB$57),"")))))))</f>
        <v/>
      </c>
      <c r="BC43" s="72">
        <f>IF(BC$59="X","",IF(BC$59&lt;&gt;"",BC$59,IF(IFERROR(INDEX(醫師週班表!$C$5:$T$44,$CU43,BC$57),"")=0,"",IF(MID(IFERROR(INDEX(醫師週班表!$C$5:$T$44,$CU43,BC$57),""),2,1)="/",MID(IFERROR(INDEX(醫師週班表!$C$5:$T$44,$CU43,BC$57),""),1+BC$58*2,1),IF(MID(IFERROR(INDEX(醫師週班表!$C$5:$T$44,$CU43,BC$57),""),3,1)="隔",IF(BC$58=0,LEFT(IFERROR(INDEX(醫師週班表!$C$5:$T$44,$CU43,BC$57),""),1),""),IF(MID(IFERROR(INDEX(醫師週班表!$C$5:$T$44,$CU43,BC$57),""),2,1)="(",LEFT(IFERROR(INDEX(醫師週班表!$C$5:$T$44,$CU43,BC$57),""),1),IFERROR(INDEX(醫師週班表!$C$5:$T$44,$CU43,BC$57),"")))))))</f>
        <v/>
      </c>
      <c r="BD43" s="71">
        <f>IF(BD$59="X","",IF(BD$59&lt;&gt;"",BD$59,IF(IFERROR(INDEX(醫師週班表!$C$5:$T$44,$CU43,BD$57),"")=0,"",IF(MID(IFERROR(INDEX(醫師週班表!$C$5:$T$44,$CU43,BD$57),""),2,1)="/",MID(IFERROR(INDEX(醫師週班表!$C$5:$T$44,$CU43,BD$57),""),1+BD$58*2,1),IF(MID(IFERROR(INDEX(醫師週班表!$C$5:$T$44,$CU43,BD$57),""),3,1)="隔",IF(BD$58=0,LEFT(IFERROR(INDEX(醫師週班表!$C$5:$T$44,$CU43,BD$57),""),1),""),IF(MID(IFERROR(INDEX(醫師週班表!$C$5:$T$44,$CU43,BD$57),""),2,1)="(",LEFT(IFERROR(INDEX(醫師週班表!$C$5:$T$44,$CU43,BD$57),""),1),IFERROR(INDEX(醫師週班表!$C$5:$T$44,$CU43,BD$57),"")))))))</f>
        <v/>
      </c>
      <c r="BE43" s="72">
        <f>IF(BE$59="X","",IF(BE$59&lt;&gt;"",BE$59,IF(IFERROR(INDEX(醫師週班表!$C$5:$T$44,$CU43,BE$57),"")=0,"",IF(MID(IFERROR(INDEX(醫師週班表!$C$5:$T$44,$CU43,BE$57),""),2,1)="/",MID(IFERROR(INDEX(醫師週班表!$C$5:$T$44,$CU43,BE$57),""),1+BE$58*2,1),IF(MID(IFERROR(INDEX(醫師週班表!$C$5:$T$44,$CU43,BE$57),""),3,1)="隔",IF(BE$58=0,LEFT(IFERROR(INDEX(醫師週班表!$C$5:$T$44,$CU43,BE$57),""),1),""),IF(MID(IFERROR(INDEX(醫師週班表!$C$5:$T$44,$CU43,BE$57),""),2,1)="(",LEFT(IFERROR(INDEX(醫師週班表!$C$5:$T$44,$CU43,BE$57),""),1),IFERROR(INDEX(醫師週班表!$C$5:$T$44,$CU43,BE$57),"")))))))</f>
        <v/>
      </c>
      <c r="BF43" s="72">
        <f>IF(BF$59="X","",IF(BF$59&lt;&gt;"",BF$59,IF(IFERROR(INDEX(醫師週班表!$C$5:$T$44,$CU43,BF$57),"")=0,"",IF(MID(IFERROR(INDEX(醫師週班表!$C$5:$T$44,$CU43,BF$57),""),2,1)="/",MID(IFERROR(INDEX(醫師週班表!$C$5:$T$44,$CU43,BF$57),""),1+BF$58*2,1),IF(MID(IFERROR(INDEX(醫師週班表!$C$5:$T$44,$CU43,BF$57),""),3,1)="隔",IF(BF$58=0,LEFT(IFERROR(INDEX(醫師週班表!$C$5:$T$44,$CU43,BF$57),""),1),""),IF(MID(IFERROR(INDEX(醫師週班表!$C$5:$T$44,$CU43,BF$57),""),2,1)="(",LEFT(IFERROR(INDEX(醫師週班表!$C$5:$T$44,$CU43,BF$57),""),1),IFERROR(INDEX(醫師週班表!$C$5:$T$44,$CU43,BF$57),"")))))))</f>
        <v/>
      </c>
      <c r="BG43" s="71">
        <f>IF(BG$59="X","",IF(BG$59&lt;&gt;"",BG$59,IF(IFERROR(INDEX(醫師週班表!$C$5:$T$44,$CU43,BG$57),"")=0,"",IF(MID(IFERROR(INDEX(醫師週班表!$C$5:$T$44,$CU43,BG$57),""),2,1)="/",MID(IFERROR(INDEX(醫師週班表!$C$5:$T$44,$CU43,BG$57),""),1+BG$58*2,1),IF(MID(IFERROR(INDEX(醫師週班表!$C$5:$T$44,$CU43,BG$57),""),3,1)="隔",IF(BG$58=0,LEFT(IFERROR(INDEX(醫師週班表!$C$5:$T$44,$CU43,BG$57),""),1),""),IF(MID(IFERROR(INDEX(醫師週班表!$C$5:$T$44,$CU43,BG$57),""),2,1)="(",LEFT(IFERROR(INDEX(醫師週班表!$C$5:$T$44,$CU43,BG$57),""),1),IFERROR(INDEX(醫師週班表!$C$5:$T$44,$CU43,BG$57),"")))))))</f>
        <v/>
      </c>
      <c r="BH43" s="72">
        <f>IF(BH$59="X","",IF(BH$59&lt;&gt;"",BH$59,IF(IFERROR(INDEX(醫師週班表!$C$5:$T$44,$CU43,BH$57),"")=0,"",IF(MID(IFERROR(INDEX(醫師週班表!$C$5:$T$44,$CU43,BH$57),""),2,1)="/",MID(IFERROR(INDEX(醫師週班表!$C$5:$T$44,$CU43,BH$57),""),1+BH$58*2,1),IF(MID(IFERROR(INDEX(醫師週班表!$C$5:$T$44,$CU43,BH$57),""),3,1)="隔",IF(BH$58=0,LEFT(IFERROR(INDEX(醫師週班表!$C$5:$T$44,$CU43,BH$57),""),1),""),IF(MID(IFERROR(INDEX(醫師週班表!$C$5:$T$44,$CU43,BH$57),""),2,1)="(",LEFT(IFERROR(INDEX(醫師週班表!$C$5:$T$44,$CU43,BH$57),""),1),IFERROR(INDEX(醫師週班表!$C$5:$T$44,$CU43,BH$57),"")))))))</f>
        <v/>
      </c>
      <c r="BI43" s="72">
        <f>IF(BI$59="X","",IF(BI$59&lt;&gt;"",BI$59,IF(IFERROR(INDEX(醫師週班表!$C$5:$T$44,$CU43,BI$57),"")=0,"",IF(MID(IFERROR(INDEX(醫師週班表!$C$5:$T$44,$CU43,BI$57),""),2,1)="/",MID(IFERROR(INDEX(醫師週班表!$C$5:$T$44,$CU43,BI$57),""),1+BI$58*2,1),IF(MID(IFERROR(INDEX(醫師週班表!$C$5:$T$44,$CU43,BI$57),""),3,1)="隔",IF(BI$58=0,LEFT(IFERROR(INDEX(醫師週班表!$C$5:$T$44,$CU43,BI$57),""),1),""),IF(MID(IFERROR(INDEX(醫師週班表!$C$5:$T$44,$CU43,BI$57),""),2,1)="(",LEFT(IFERROR(INDEX(醫師週班表!$C$5:$T$44,$CU43,BI$57),""),1),IFERROR(INDEX(醫師週班表!$C$5:$T$44,$CU43,BI$57),"")))))))</f>
        <v/>
      </c>
      <c r="BJ43" s="71">
        <f>IF(BJ$59="X","",IF(BJ$59&lt;&gt;"",BJ$59,IF(IFERROR(INDEX(醫師週班表!$C$5:$T$44,$CU43,BJ$57),"")=0,"",IF(MID(IFERROR(INDEX(醫師週班表!$C$5:$T$44,$CU43,BJ$57),""),2,1)="/",MID(IFERROR(INDEX(醫師週班表!$C$5:$T$44,$CU43,BJ$57),""),1+BJ$58*2,1),IF(MID(IFERROR(INDEX(醫師週班表!$C$5:$T$44,$CU43,BJ$57),""),3,1)="隔",IF(BJ$58=0,LEFT(IFERROR(INDEX(醫師週班表!$C$5:$T$44,$CU43,BJ$57),""),1),""),IF(MID(IFERROR(INDEX(醫師週班表!$C$5:$T$44,$CU43,BJ$57),""),2,1)="(",LEFT(IFERROR(INDEX(醫師週班表!$C$5:$T$44,$CU43,BJ$57),""),1),IFERROR(INDEX(醫師週班表!$C$5:$T$44,$CU43,BJ$57),"")))))))</f>
        <v/>
      </c>
      <c r="BK43" s="72">
        <f>IF(BK$59="X","",IF(BK$59&lt;&gt;"",BK$59,IF(IFERROR(INDEX(醫師週班表!$C$5:$T$44,$CU43,BK$57),"")=0,"",IF(MID(IFERROR(INDEX(醫師週班表!$C$5:$T$44,$CU43,BK$57),""),2,1)="/",MID(IFERROR(INDEX(醫師週班表!$C$5:$T$44,$CU43,BK$57),""),1+BK$58*2,1),IF(MID(IFERROR(INDEX(醫師週班表!$C$5:$T$44,$CU43,BK$57),""),3,1)="隔",IF(BK$58=0,LEFT(IFERROR(INDEX(醫師週班表!$C$5:$T$44,$CU43,BK$57),""),1),""),IF(MID(IFERROR(INDEX(醫師週班表!$C$5:$T$44,$CU43,BK$57),""),2,1)="(",LEFT(IFERROR(INDEX(醫師週班表!$C$5:$T$44,$CU43,BK$57),""),1),IFERROR(INDEX(醫師週班表!$C$5:$T$44,$CU43,BK$57),"")))))))</f>
        <v/>
      </c>
      <c r="BL43" s="72">
        <f>IF(BL$59="X","",IF(BL$59&lt;&gt;"",BL$59,IF(IFERROR(INDEX(醫師週班表!$C$5:$T$44,$CU43,BL$57),"")=0,"",IF(MID(IFERROR(INDEX(醫師週班表!$C$5:$T$44,$CU43,BL$57),""),2,1)="/",MID(IFERROR(INDEX(醫師週班表!$C$5:$T$44,$CU43,BL$57),""),1+BL$58*2,1),IF(MID(IFERROR(INDEX(醫師週班表!$C$5:$T$44,$CU43,BL$57),""),3,1)="隔",IF(BL$58=0,LEFT(IFERROR(INDEX(醫師週班表!$C$5:$T$44,$CU43,BL$57),""),1),""),IF(MID(IFERROR(INDEX(醫師週班表!$C$5:$T$44,$CU43,BL$57),""),2,1)="(",LEFT(IFERROR(INDEX(醫師週班表!$C$5:$T$44,$CU43,BL$57),""),1),IFERROR(INDEX(醫師週班表!$C$5:$T$44,$CU43,BL$57),"")))))))</f>
        <v/>
      </c>
      <c r="BM43" s="71">
        <f>IF(BM$59="X","",IF(BM$59&lt;&gt;"",BM$59,IF(IFERROR(INDEX(醫師週班表!$C$5:$T$44,$CU43,BM$57),"")=0,"",IF(MID(IFERROR(INDEX(醫師週班表!$C$5:$T$44,$CU43,BM$57),""),2,1)="/",MID(IFERROR(INDEX(醫師週班表!$C$5:$T$44,$CU43,BM$57),""),1+BM$58*2,1),IF(MID(IFERROR(INDEX(醫師週班表!$C$5:$T$44,$CU43,BM$57),""),3,1)="隔",IF(BM$58=0,LEFT(IFERROR(INDEX(醫師週班表!$C$5:$T$44,$CU43,BM$57),""),1),""),IF(MID(IFERROR(INDEX(醫師週班表!$C$5:$T$44,$CU43,BM$57),""),2,1)="(",LEFT(IFERROR(INDEX(醫師週班表!$C$5:$T$44,$CU43,BM$57),""),1),IFERROR(INDEX(醫師週班表!$C$5:$T$44,$CU43,BM$57),"")))))))</f>
        <v/>
      </c>
      <c r="BN43" s="72">
        <f>IF(BN$59="X","",IF(BN$59&lt;&gt;"",BN$59,IF(IFERROR(INDEX(醫師週班表!$C$5:$T$44,$CU43,BN$57),"")=0,"",IF(MID(IFERROR(INDEX(醫師週班表!$C$5:$T$44,$CU43,BN$57),""),2,1)="/",MID(IFERROR(INDEX(醫師週班表!$C$5:$T$44,$CU43,BN$57),""),1+BN$58*2,1),IF(MID(IFERROR(INDEX(醫師週班表!$C$5:$T$44,$CU43,BN$57),""),3,1)="隔",IF(BN$58=0,LEFT(IFERROR(INDEX(醫師週班表!$C$5:$T$44,$CU43,BN$57),""),1),""),IF(MID(IFERROR(INDEX(醫師週班表!$C$5:$T$44,$CU43,BN$57),""),2,1)="(",LEFT(IFERROR(INDEX(醫師週班表!$C$5:$T$44,$CU43,BN$57),""),1),IFERROR(INDEX(醫師週班表!$C$5:$T$44,$CU43,BN$57),"")))))))</f>
        <v/>
      </c>
      <c r="BO43" s="72">
        <f>IF(BO$59="X","",IF(BO$59&lt;&gt;"",BO$59,IF(IFERROR(INDEX(醫師週班表!$C$5:$T$44,$CU43,BO$57),"")=0,"",IF(MID(IFERROR(INDEX(醫師週班表!$C$5:$T$44,$CU43,BO$57),""),2,1)="/",MID(IFERROR(INDEX(醫師週班表!$C$5:$T$44,$CU43,BO$57),""),1+BO$58*2,1),IF(MID(IFERROR(INDEX(醫師週班表!$C$5:$T$44,$CU43,BO$57),""),3,1)="隔",IF(BO$58=0,LEFT(IFERROR(INDEX(醫師週班表!$C$5:$T$44,$CU43,BO$57),""),1),""),IF(MID(IFERROR(INDEX(醫師週班表!$C$5:$T$44,$CU43,BO$57),""),2,1)="(",LEFT(IFERROR(INDEX(醫師週班表!$C$5:$T$44,$CU43,BO$57),""),1),IFERROR(INDEX(醫師週班表!$C$5:$T$44,$CU43,BO$57),"")))))))</f>
        <v/>
      </c>
      <c r="BP43" s="71">
        <f>IF(BP$59="X","",IF(BP$59&lt;&gt;"",BP$59,IF(IFERROR(INDEX(醫師週班表!$C$5:$T$44,$CU43,BP$57),"")=0,"",IF(MID(IFERROR(INDEX(醫師週班表!$C$5:$T$44,$CU43,BP$57),""),2,1)="/",MID(IFERROR(INDEX(醫師週班表!$C$5:$T$44,$CU43,BP$57),""),1+BP$58*2,1),IF(MID(IFERROR(INDEX(醫師週班表!$C$5:$T$44,$CU43,BP$57),""),3,1)="隔",IF(BP$58=0,LEFT(IFERROR(INDEX(醫師週班表!$C$5:$T$44,$CU43,BP$57),""),1),""),IF(MID(IFERROR(INDEX(醫師週班表!$C$5:$T$44,$CU43,BP$57),""),2,1)="(",LEFT(IFERROR(INDEX(醫師週班表!$C$5:$T$44,$CU43,BP$57),""),1),IFERROR(INDEX(醫師週班表!$C$5:$T$44,$CU43,BP$57),"")))))))</f>
        <v/>
      </c>
      <c r="BQ43" s="72">
        <f>IF(BQ$59="X","",IF(BQ$59&lt;&gt;"",BQ$59,IF(IFERROR(INDEX(醫師週班表!$C$5:$T$44,$CU43,BQ$57),"")=0,"",IF(MID(IFERROR(INDEX(醫師週班表!$C$5:$T$44,$CU43,BQ$57),""),2,1)="/",MID(IFERROR(INDEX(醫師週班表!$C$5:$T$44,$CU43,BQ$57),""),1+BQ$58*2,1),IF(MID(IFERROR(INDEX(醫師週班表!$C$5:$T$44,$CU43,BQ$57),""),3,1)="隔",IF(BQ$58=0,LEFT(IFERROR(INDEX(醫師週班表!$C$5:$T$44,$CU43,BQ$57),""),1),""),IF(MID(IFERROR(INDEX(醫師週班表!$C$5:$T$44,$CU43,BQ$57),""),2,1)="(",LEFT(IFERROR(INDEX(醫師週班表!$C$5:$T$44,$CU43,BQ$57),""),1),IFERROR(INDEX(醫師週班表!$C$5:$T$44,$CU43,BQ$57),"")))))))</f>
        <v/>
      </c>
      <c r="BR43" s="72">
        <f>IF(BR$59="X","",IF(BR$59&lt;&gt;"",BR$59,IF(IFERROR(INDEX(醫師週班表!$C$5:$T$44,$CU43,BR$57),"")=0,"",IF(MID(IFERROR(INDEX(醫師週班表!$C$5:$T$44,$CU43,BR$57),""),2,1)="/",MID(IFERROR(INDEX(醫師週班表!$C$5:$T$44,$CU43,BR$57),""),1+BR$58*2,1),IF(MID(IFERROR(INDEX(醫師週班表!$C$5:$T$44,$CU43,BR$57),""),3,1)="隔",IF(BR$58=0,LEFT(IFERROR(INDEX(醫師週班表!$C$5:$T$44,$CU43,BR$57),""),1),""),IF(MID(IFERROR(INDEX(醫師週班表!$C$5:$T$44,$CU43,BR$57),""),2,1)="(",LEFT(IFERROR(INDEX(醫師週班表!$C$5:$T$44,$CU43,BR$57),""),1),IFERROR(INDEX(醫師週班表!$C$5:$T$44,$CU43,BR$57),"")))))))</f>
        <v/>
      </c>
      <c r="BS43" s="71">
        <f>IF(BS$59="X","",IF(BS$59&lt;&gt;"",BS$59,IF(IFERROR(INDEX(醫師週班表!$C$5:$T$44,$CU43,BS$57),"")=0,"",IF(MID(IFERROR(INDEX(醫師週班表!$C$5:$T$44,$CU43,BS$57),""),2,1)="/",MID(IFERROR(INDEX(醫師週班表!$C$5:$T$44,$CU43,BS$57),""),1+BS$58*2,1),IF(MID(IFERROR(INDEX(醫師週班表!$C$5:$T$44,$CU43,BS$57),""),3,1)="隔",IF(BS$58=0,LEFT(IFERROR(INDEX(醫師週班表!$C$5:$T$44,$CU43,BS$57),""),1),""),IF(MID(IFERROR(INDEX(醫師週班表!$C$5:$T$44,$CU43,BS$57),""),2,1)="(",LEFT(IFERROR(INDEX(醫師週班表!$C$5:$T$44,$CU43,BS$57),""),1),IFERROR(INDEX(醫師週班表!$C$5:$T$44,$CU43,BS$57),"")))))))</f>
        <v/>
      </c>
      <c r="BT43" s="72">
        <f>IF(BT$59="X","",IF(BT$59&lt;&gt;"",BT$59,IF(IFERROR(INDEX(醫師週班表!$C$5:$T$44,$CU43,BT$57),"")=0,"",IF(MID(IFERROR(INDEX(醫師週班表!$C$5:$T$44,$CU43,BT$57),""),2,1)="/",MID(IFERROR(INDEX(醫師週班表!$C$5:$T$44,$CU43,BT$57),""),1+BT$58*2,1),IF(MID(IFERROR(INDEX(醫師週班表!$C$5:$T$44,$CU43,BT$57),""),3,1)="隔",IF(BT$58=0,LEFT(IFERROR(INDEX(醫師週班表!$C$5:$T$44,$CU43,BT$57),""),1),""),IF(MID(IFERROR(INDEX(醫師週班表!$C$5:$T$44,$CU43,BT$57),""),2,1)="(",LEFT(IFERROR(INDEX(醫師週班表!$C$5:$T$44,$CU43,BT$57),""),1),IFERROR(INDEX(醫師週班表!$C$5:$T$44,$CU43,BT$57),"")))))))</f>
        <v/>
      </c>
      <c r="BU43" s="72">
        <f>IF(BU$59="X","",IF(BU$59&lt;&gt;"",BU$59,IF(IFERROR(INDEX(醫師週班表!$C$5:$T$44,$CU43,BU$57),"")=0,"",IF(MID(IFERROR(INDEX(醫師週班表!$C$5:$T$44,$CU43,BU$57),""),2,1)="/",MID(IFERROR(INDEX(醫師週班表!$C$5:$T$44,$CU43,BU$57),""),1+BU$58*2,1),IF(MID(IFERROR(INDEX(醫師週班表!$C$5:$T$44,$CU43,BU$57),""),3,1)="隔",IF(BU$58=0,LEFT(IFERROR(INDEX(醫師週班表!$C$5:$T$44,$CU43,BU$57),""),1),""),IF(MID(IFERROR(INDEX(醫師週班表!$C$5:$T$44,$CU43,BU$57),""),2,1)="(",LEFT(IFERROR(INDEX(醫師週班表!$C$5:$T$44,$CU43,BU$57),""),1),IFERROR(INDEX(醫師週班表!$C$5:$T$44,$CU43,BU$57),"")))))))</f>
        <v/>
      </c>
      <c r="BV43" s="71">
        <f>IF(BV$59="X","",IF(BV$59&lt;&gt;"",BV$59,IF(IFERROR(INDEX(醫師週班表!$C$5:$T$44,$CU43,BV$57),"")=0,"",IF(MID(IFERROR(INDEX(醫師週班表!$C$5:$T$44,$CU43,BV$57),""),2,1)="/",MID(IFERROR(INDEX(醫師週班表!$C$5:$T$44,$CU43,BV$57),""),1+BV$58*2,1),IF(MID(IFERROR(INDEX(醫師週班表!$C$5:$T$44,$CU43,BV$57),""),3,1)="隔",IF(BV$58=0,LEFT(IFERROR(INDEX(醫師週班表!$C$5:$T$44,$CU43,BV$57),""),1),""),IF(MID(IFERROR(INDEX(醫師週班表!$C$5:$T$44,$CU43,BV$57),""),2,1)="(",LEFT(IFERROR(INDEX(醫師週班表!$C$5:$T$44,$CU43,BV$57),""),1),IFERROR(INDEX(醫師週班表!$C$5:$T$44,$CU43,BV$57),"")))))))</f>
        <v/>
      </c>
      <c r="BW43" s="72">
        <f>IF(BW$59="X","",IF(BW$59&lt;&gt;"",BW$59,IF(IFERROR(INDEX(醫師週班表!$C$5:$T$44,$CU43,BW$57),"")=0,"",IF(MID(IFERROR(INDEX(醫師週班表!$C$5:$T$44,$CU43,BW$57),""),2,1)="/",MID(IFERROR(INDEX(醫師週班表!$C$5:$T$44,$CU43,BW$57),""),1+BW$58*2,1),IF(MID(IFERROR(INDEX(醫師週班表!$C$5:$T$44,$CU43,BW$57),""),3,1)="隔",IF(BW$58=0,LEFT(IFERROR(INDEX(醫師週班表!$C$5:$T$44,$CU43,BW$57),""),1),""),IF(MID(IFERROR(INDEX(醫師週班表!$C$5:$T$44,$CU43,BW$57),""),2,1)="(",LEFT(IFERROR(INDEX(醫師週班表!$C$5:$T$44,$CU43,BW$57),""),1),IFERROR(INDEX(醫師週班表!$C$5:$T$44,$CU43,BW$57),"")))))))</f>
        <v/>
      </c>
      <c r="BX43" s="72">
        <f>IF(BX$59="X","",IF(BX$59&lt;&gt;"",BX$59,IF(IFERROR(INDEX(醫師週班表!$C$5:$T$44,$CU43,BX$57),"")=0,"",IF(MID(IFERROR(INDEX(醫師週班表!$C$5:$T$44,$CU43,BX$57),""),2,1)="/",MID(IFERROR(INDEX(醫師週班表!$C$5:$T$44,$CU43,BX$57),""),1+BX$58*2,1),IF(MID(IFERROR(INDEX(醫師週班表!$C$5:$T$44,$CU43,BX$57),""),3,1)="隔",IF(BX$58=0,LEFT(IFERROR(INDEX(醫師週班表!$C$5:$T$44,$CU43,BX$57),""),1),""),IF(MID(IFERROR(INDEX(醫師週班表!$C$5:$T$44,$CU43,BX$57),""),2,1)="(",LEFT(IFERROR(INDEX(醫師週班表!$C$5:$T$44,$CU43,BX$57),""),1),IFERROR(INDEX(醫師週班表!$C$5:$T$44,$CU43,BX$57),"")))))))</f>
        <v/>
      </c>
      <c r="BY43" s="71">
        <f>IF(BY$59="X","",IF(BY$59&lt;&gt;"",BY$59,IF(IFERROR(INDEX(醫師週班表!$C$5:$T$44,$CU43,BY$57),"")=0,"",IF(MID(IFERROR(INDEX(醫師週班表!$C$5:$T$44,$CU43,BY$57),""),2,1)="/",MID(IFERROR(INDEX(醫師週班表!$C$5:$T$44,$CU43,BY$57),""),1+BY$58*2,1),IF(MID(IFERROR(INDEX(醫師週班表!$C$5:$T$44,$CU43,BY$57),""),3,1)="隔",IF(BY$58=0,LEFT(IFERROR(INDEX(醫師週班表!$C$5:$T$44,$CU43,BY$57),""),1),""),IF(MID(IFERROR(INDEX(醫師週班表!$C$5:$T$44,$CU43,BY$57),""),2,1)="(",LEFT(IFERROR(INDEX(醫師週班表!$C$5:$T$44,$CU43,BY$57),""),1),IFERROR(INDEX(醫師週班表!$C$5:$T$44,$CU43,BY$57),"")))))))</f>
        <v/>
      </c>
      <c r="BZ43" s="72">
        <f>IF(BZ$59="X","",IF(BZ$59&lt;&gt;"",BZ$59,IF(IFERROR(INDEX(醫師週班表!$C$5:$T$44,$CU43,BZ$57),"")=0,"",IF(MID(IFERROR(INDEX(醫師週班表!$C$5:$T$44,$CU43,BZ$57),""),2,1)="/",MID(IFERROR(INDEX(醫師週班表!$C$5:$T$44,$CU43,BZ$57),""),1+BZ$58*2,1),IF(MID(IFERROR(INDEX(醫師週班表!$C$5:$T$44,$CU43,BZ$57),""),3,1)="隔",IF(BZ$58=0,LEFT(IFERROR(INDEX(醫師週班表!$C$5:$T$44,$CU43,BZ$57),""),1),""),IF(MID(IFERROR(INDEX(醫師週班表!$C$5:$T$44,$CU43,BZ$57),""),2,1)="(",LEFT(IFERROR(INDEX(醫師週班表!$C$5:$T$44,$CU43,BZ$57),""),1),IFERROR(INDEX(醫師週班表!$C$5:$T$44,$CU43,BZ$57),"")))))))</f>
        <v/>
      </c>
      <c r="CA43" s="72">
        <f>IF(CA$59="X","",IF(CA$59&lt;&gt;"",CA$59,IF(IFERROR(INDEX(醫師週班表!$C$5:$T$44,$CU43,CA$57),"")=0,"",IF(MID(IFERROR(INDEX(醫師週班表!$C$5:$T$44,$CU43,CA$57),""),2,1)="/",MID(IFERROR(INDEX(醫師週班表!$C$5:$T$44,$CU43,CA$57),""),1+CA$58*2,1),IF(MID(IFERROR(INDEX(醫師週班表!$C$5:$T$44,$CU43,CA$57),""),3,1)="隔",IF(CA$58=0,LEFT(IFERROR(INDEX(醫師週班表!$C$5:$T$44,$CU43,CA$57),""),1),""),IF(MID(IFERROR(INDEX(醫師週班表!$C$5:$T$44,$CU43,CA$57),""),2,1)="(",LEFT(IFERROR(INDEX(醫師週班表!$C$5:$T$44,$CU43,CA$57),""),1),IFERROR(INDEX(醫師週班表!$C$5:$T$44,$CU43,CA$57),"")))))))</f>
        <v/>
      </c>
      <c r="CB43" s="71">
        <f>IF(CB$59="X","",IF(CB$59&lt;&gt;"",CB$59,IF(IFERROR(INDEX(醫師週班表!$C$5:$T$44,$CU43,CB$57),"")=0,"",IF(MID(IFERROR(INDEX(醫師週班表!$C$5:$T$44,$CU43,CB$57),""),2,1)="/",MID(IFERROR(INDEX(醫師週班表!$C$5:$T$44,$CU43,CB$57),""),1+CB$58*2,1),IF(MID(IFERROR(INDEX(醫師週班表!$C$5:$T$44,$CU43,CB$57),""),3,1)="隔",IF(CB$58=0,LEFT(IFERROR(INDEX(醫師週班表!$C$5:$T$44,$CU43,CB$57),""),1),""),IF(MID(IFERROR(INDEX(醫師週班表!$C$5:$T$44,$CU43,CB$57),""),2,1)="(",LEFT(IFERROR(INDEX(醫師週班表!$C$5:$T$44,$CU43,CB$57),""),1),IFERROR(INDEX(醫師週班表!$C$5:$T$44,$CU43,CB$57),"")))))))</f>
        <v/>
      </c>
      <c r="CC43" s="72">
        <f>IF(CC$59="X","",IF(CC$59&lt;&gt;"",CC$59,IF(IFERROR(INDEX(醫師週班表!$C$5:$T$44,$CU43,CC$57),"")=0,"",IF(MID(IFERROR(INDEX(醫師週班表!$C$5:$T$44,$CU43,CC$57),""),2,1)="/",MID(IFERROR(INDEX(醫師週班表!$C$5:$T$44,$CU43,CC$57),""),1+CC$58*2,1),IF(MID(IFERROR(INDEX(醫師週班表!$C$5:$T$44,$CU43,CC$57),""),3,1)="隔",IF(CC$58=0,LEFT(IFERROR(INDEX(醫師週班表!$C$5:$T$44,$CU43,CC$57),""),1),""),IF(MID(IFERROR(INDEX(醫師週班表!$C$5:$T$44,$CU43,CC$57),""),2,1)="(",LEFT(IFERROR(INDEX(醫師週班表!$C$5:$T$44,$CU43,CC$57),""),1),IFERROR(INDEX(醫師週班表!$C$5:$T$44,$CU43,CC$57),"")))))))</f>
        <v/>
      </c>
      <c r="CD43" s="72">
        <f>IF(CD$59="X","",IF(CD$59&lt;&gt;"",CD$59,IF(IFERROR(INDEX(醫師週班表!$C$5:$T$44,$CU43,CD$57),"")=0,"",IF(MID(IFERROR(INDEX(醫師週班表!$C$5:$T$44,$CU43,CD$57),""),2,1)="/",MID(IFERROR(INDEX(醫師週班表!$C$5:$T$44,$CU43,CD$57),""),1+CD$58*2,1),IF(MID(IFERROR(INDEX(醫師週班表!$C$5:$T$44,$CU43,CD$57),""),3,1)="隔",IF(CD$58=0,LEFT(IFERROR(INDEX(醫師週班表!$C$5:$T$44,$CU43,CD$57),""),1),""),IF(MID(IFERROR(INDEX(醫師週班表!$C$5:$T$44,$CU43,CD$57),""),2,1)="(",LEFT(IFERROR(INDEX(醫師週班表!$C$5:$T$44,$CU43,CD$57),""),1),IFERROR(INDEX(醫師週班表!$C$5:$T$44,$CU43,CD$57),"")))))))</f>
        <v/>
      </c>
      <c r="CE43" s="71">
        <f>IF(CE$59="X","",IF(CE$59&lt;&gt;"",CE$59,IF(IFERROR(INDEX(醫師週班表!$C$5:$T$44,$CU43,CE$57),"")=0,"",IF(MID(IFERROR(INDEX(醫師週班表!$C$5:$T$44,$CU43,CE$57),""),2,1)="/",MID(IFERROR(INDEX(醫師週班表!$C$5:$T$44,$CU43,CE$57),""),1+CE$58*2,1),IF(MID(IFERROR(INDEX(醫師週班表!$C$5:$T$44,$CU43,CE$57),""),3,1)="隔",IF(CE$58=0,LEFT(IFERROR(INDEX(醫師週班表!$C$5:$T$44,$CU43,CE$57),""),1),""),IF(MID(IFERROR(INDEX(醫師週班表!$C$5:$T$44,$CU43,CE$57),""),2,1)="(",LEFT(IFERROR(INDEX(醫師週班表!$C$5:$T$44,$CU43,CE$57),""),1),IFERROR(INDEX(醫師週班表!$C$5:$T$44,$CU43,CE$57),"")))))))</f>
        <v/>
      </c>
      <c r="CF43" s="72">
        <f>IF(CF$59="X","",IF(CF$59&lt;&gt;"",CF$59,IF(IFERROR(INDEX(醫師週班表!$C$5:$T$44,$CU43,CF$57),"")=0,"",IF(MID(IFERROR(INDEX(醫師週班表!$C$5:$T$44,$CU43,CF$57),""),2,1)="/",MID(IFERROR(INDEX(醫師週班表!$C$5:$T$44,$CU43,CF$57),""),1+CF$58*2,1),IF(MID(IFERROR(INDEX(醫師週班表!$C$5:$T$44,$CU43,CF$57),""),3,1)="隔",IF(CF$58=0,LEFT(IFERROR(INDEX(醫師週班表!$C$5:$T$44,$CU43,CF$57),""),1),""),IF(MID(IFERROR(INDEX(醫師週班表!$C$5:$T$44,$CU43,CF$57),""),2,1)="(",LEFT(IFERROR(INDEX(醫師週班表!$C$5:$T$44,$CU43,CF$57),""),1),IFERROR(INDEX(醫師週班表!$C$5:$T$44,$CU43,CF$57),"")))))))</f>
        <v/>
      </c>
      <c r="CG43" s="72">
        <f>IF(CG$59="X","",IF(CG$59&lt;&gt;"",CG$59,IF(IFERROR(INDEX(醫師週班表!$C$5:$T$44,$CU43,CG$57),"")=0,"",IF(MID(IFERROR(INDEX(醫師週班表!$C$5:$T$44,$CU43,CG$57),""),2,1)="/",MID(IFERROR(INDEX(醫師週班表!$C$5:$T$44,$CU43,CG$57),""),1+CG$58*2,1),IF(MID(IFERROR(INDEX(醫師週班表!$C$5:$T$44,$CU43,CG$57),""),3,1)="隔",IF(CG$58=0,LEFT(IFERROR(INDEX(醫師週班表!$C$5:$T$44,$CU43,CG$57),""),1),""),IF(MID(IFERROR(INDEX(醫師週班表!$C$5:$T$44,$CU43,CG$57),""),2,1)="(",LEFT(IFERROR(INDEX(醫師週班表!$C$5:$T$44,$CU43,CG$57),""),1),IFERROR(INDEX(醫師週班表!$C$5:$T$44,$CU43,CG$57),"")))))))</f>
        <v/>
      </c>
      <c r="CH43" s="71">
        <f>IF(CH$59="X","",IF(CH$59&lt;&gt;"",CH$59,IF(IFERROR(INDEX(醫師週班表!$C$5:$T$44,$CU43,CH$57),"")=0,"",IF(MID(IFERROR(INDEX(醫師週班表!$C$5:$T$44,$CU43,CH$57),""),2,1)="/",MID(IFERROR(INDEX(醫師週班表!$C$5:$T$44,$CU43,CH$57),""),1+CH$58*2,1),IF(MID(IFERROR(INDEX(醫師週班表!$C$5:$T$44,$CU43,CH$57),""),3,1)="隔",IF(CH$58=0,LEFT(IFERROR(INDEX(醫師週班表!$C$5:$T$44,$CU43,CH$57),""),1),""),IF(MID(IFERROR(INDEX(醫師週班表!$C$5:$T$44,$CU43,CH$57),""),2,1)="(",LEFT(IFERROR(INDEX(醫師週班表!$C$5:$T$44,$CU43,CH$57),""),1),IFERROR(INDEX(醫師週班表!$C$5:$T$44,$CU43,CH$57),"")))))))</f>
        <v/>
      </c>
      <c r="CI43" s="72">
        <f>IF(CI$59="X","",IF(CI$59&lt;&gt;"",CI$59,IF(IFERROR(INDEX(醫師週班表!$C$5:$T$44,$CU43,CI$57),"")=0,"",IF(MID(IFERROR(INDEX(醫師週班表!$C$5:$T$44,$CU43,CI$57),""),2,1)="/",MID(IFERROR(INDEX(醫師週班表!$C$5:$T$44,$CU43,CI$57),""),1+CI$58*2,1),IF(MID(IFERROR(INDEX(醫師週班表!$C$5:$T$44,$CU43,CI$57),""),3,1)="隔",IF(CI$58=0,LEFT(IFERROR(INDEX(醫師週班表!$C$5:$T$44,$CU43,CI$57),""),1),""),IF(MID(IFERROR(INDEX(醫師週班表!$C$5:$T$44,$CU43,CI$57),""),2,1)="(",LEFT(IFERROR(INDEX(醫師週班表!$C$5:$T$44,$CU43,CI$57),""),1),IFERROR(INDEX(醫師週班表!$C$5:$T$44,$CU43,CI$57),"")))))))</f>
        <v/>
      </c>
      <c r="CJ43" s="72">
        <f>IF(CJ$59="X","",IF(CJ$59&lt;&gt;"",CJ$59,IF(IFERROR(INDEX(醫師週班表!$C$5:$T$44,$CU43,CJ$57),"")=0,"",IF(MID(IFERROR(INDEX(醫師週班表!$C$5:$T$44,$CU43,CJ$57),""),2,1)="/",MID(IFERROR(INDEX(醫師週班表!$C$5:$T$44,$CU43,CJ$57),""),1+CJ$58*2,1),IF(MID(IFERROR(INDEX(醫師週班表!$C$5:$T$44,$CU43,CJ$57),""),3,1)="隔",IF(CJ$58=0,LEFT(IFERROR(INDEX(醫師週班表!$C$5:$T$44,$CU43,CJ$57),""),1),""),IF(MID(IFERROR(INDEX(醫師週班表!$C$5:$T$44,$CU43,CJ$57),""),2,1)="(",LEFT(IFERROR(INDEX(醫師週班表!$C$5:$T$44,$CU43,CJ$57),""),1),IFERROR(INDEX(醫師週班表!$C$5:$T$44,$CU43,CJ$57),"")))))))</f>
        <v/>
      </c>
      <c r="CK43" s="71">
        <f>IF(CK$59="X","",IF(CK$59&lt;&gt;"",CK$59,IF(IFERROR(INDEX(醫師週班表!$C$5:$T$44,$CU43,CK$57),"")=0,"",IF(MID(IFERROR(INDEX(醫師週班表!$C$5:$T$44,$CU43,CK$57),""),2,1)="/",MID(IFERROR(INDEX(醫師週班表!$C$5:$T$44,$CU43,CK$57),""),1+CK$58*2,1),IF(MID(IFERROR(INDEX(醫師週班表!$C$5:$T$44,$CU43,CK$57),""),3,1)="隔",IF(CK$58=0,LEFT(IFERROR(INDEX(醫師週班表!$C$5:$T$44,$CU43,CK$57),""),1),""),IF(MID(IFERROR(INDEX(醫師週班表!$C$5:$T$44,$CU43,CK$57),""),2,1)="(",LEFT(IFERROR(INDEX(醫師週班表!$C$5:$T$44,$CU43,CK$57),""),1),IFERROR(INDEX(醫師週班表!$C$5:$T$44,$CU43,CK$57),"")))))))</f>
        <v/>
      </c>
      <c r="CL43" s="72">
        <f>IF(CL$59="X","",IF(CL$59&lt;&gt;"",CL$59,IF(IFERROR(INDEX(醫師週班表!$C$5:$T$44,$CU43,CL$57),"")=0,"",IF(MID(IFERROR(INDEX(醫師週班表!$C$5:$T$44,$CU43,CL$57),""),2,1)="/",MID(IFERROR(INDEX(醫師週班表!$C$5:$T$44,$CU43,CL$57),""),1+CL$58*2,1),IF(MID(IFERROR(INDEX(醫師週班表!$C$5:$T$44,$CU43,CL$57),""),3,1)="隔",IF(CL$58=0,LEFT(IFERROR(INDEX(醫師週班表!$C$5:$T$44,$CU43,CL$57),""),1),""),IF(MID(IFERROR(INDEX(醫師週班表!$C$5:$T$44,$CU43,CL$57),""),2,1)="(",LEFT(IFERROR(INDEX(醫師週班表!$C$5:$T$44,$CU43,CL$57),""),1),IFERROR(INDEX(醫師週班表!$C$5:$T$44,$CU43,CL$57),"")))))))</f>
        <v/>
      </c>
      <c r="CM43" s="72">
        <f>IF(CM$59="X","",IF(CM$59&lt;&gt;"",CM$59,IF(IFERROR(INDEX(醫師週班表!$C$5:$T$44,$CU43,CM$57),"")=0,"",IF(MID(IFERROR(INDEX(醫師週班表!$C$5:$T$44,$CU43,CM$57),""),2,1)="/",MID(IFERROR(INDEX(醫師週班表!$C$5:$T$44,$CU43,CM$57),""),1+CM$58*2,1),IF(MID(IFERROR(INDEX(醫師週班表!$C$5:$T$44,$CU43,CM$57),""),3,1)="隔",IF(CM$58=0,LEFT(IFERROR(INDEX(醫師週班表!$C$5:$T$44,$CU43,CM$57),""),1),""),IF(MID(IFERROR(INDEX(醫師週班表!$C$5:$T$44,$CU43,CM$57),""),2,1)="(",LEFT(IFERROR(INDEX(醫師週班表!$C$5:$T$44,$CU43,CM$57),""),1),IFERROR(INDEX(醫師週班表!$C$5:$T$44,$CU43,CM$57),"")))))))</f>
        <v/>
      </c>
      <c r="CN43" s="71">
        <f>IF(CN$59="X","",IF(CN$59&lt;&gt;"",CN$59,IF(IFERROR(INDEX(醫師週班表!$C$5:$T$44,$CU43,CN$57),"")=0,"",IF(MID(IFERROR(INDEX(醫師週班表!$C$5:$T$44,$CU43,CN$57),""),2,1)="/",MID(IFERROR(INDEX(醫師週班表!$C$5:$T$44,$CU43,CN$57),""),1+CN$58*2,1),IF(MID(IFERROR(INDEX(醫師週班表!$C$5:$T$44,$CU43,CN$57),""),3,1)="隔",IF(CN$58=0,LEFT(IFERROR(INDEX(醫師週班表!$C$5:$T$44,$CU43,CN$57),""),1),""),IF(MID(IFERROR(INDEX(醫師週班表!$C$5:$T$44,$CU43,CN$57),""),2,1)="(",LEFT(IFERROR(INDEX(醫師週班表!$C$5:$T$44,$CU43,CN$57),""),1),IFERROR(INDEX(醫師週班表!$C$5:$T$44,$CU43,CN$57),"")))))))</f>
        <v/>
      </c>
      <c r="CO43" s="72">
        <f>IF(CO$59="X","",IF(CO$59&lt;&gt;"",CO$59,IF(IFERROR(INDEX(醫師週班表!$C$5:$T$44,$CU43,CO$57),"")=0,"",IF(MID(IFERROR(INDEX(醫師週班表!$C$5:$T$44,$CU43,CO$57),""),2,1)="/",MID(IFERROR(INDEX(醫師週班表!$C$5:$T$44,$CU43,CO$57),""),1+CO$58*2,1),IF(MID(IFERROR(INDEX(醫師週班表!$C$5:$T$44,$CU43,CO$57),""),3,1)="隔",IF(CO$58=0,LEFT(IFERROR(INDEX(醫師週班表!$C$5:$T$44,$CU43,CO$57),""),1),""),IF(MID(IFERROR(INDEX(醫師週班表!$C$5:$T$44,$CU43,CO$57),""),2,1)="(",LEFT(IFERROR(INDEX(醫師週班表!$C$5:$T$44,$CU43,CO$57),""),1),IFERROR(INDEX(醫師週班表!$C$5:$T$44,$CU43,CO$57),"")))))))</f>
        <v/>
      </c>
      <c r="CP43" s="72">
        <f>IF(CP$59="X","",IF(CP$59&lt;&gt;"",CP$59,IF(IFERROR(INDEX(醫師週班表!$C$5:$T$44,$CU43,CP$57),"")=0,"",IF(MID(IFERROR(INDEX(醫師週班表!$C$5:$T$44,$CU43,CP$57),""),2,1)="/",MID(IFERROR(INDEX(醫師週班表!$C$5:$T$44,$CU43,CP$57),""),1+CP$58*2,1),IF(MID(IFERROR(INDEX(醫師週班表!$C$5:$T$44,$CU43,CP$57),""),3,1)="隔",IF(CP$58=0,LEFT(IFERROR(INDEX(醫師週班表!$C$5:$T$44,$CU43,CP$57),""),1),""),IF(MID(IFERROR(INDEX(醫師週班表!$C$5:$T$44,$CU43,CP$57),""),2,1)="(",LEFT(IFERROR(INDEX(醫師週班表!$C$5:$T$44,$CU43,CP$57),""),1),IFERROR(INDEX(醫師週班表!$C$5:$T$44,$CU43,CP$57),"")))))))</f>
        <v/>
      </c>
      <c r="CQ43" s="71">
        <f>IF(CQ$59="X","",IF(CQ$59&lt;&gt;"",CQ$59,IF(IFERROR(INDEX(醫師週班表!$C$5:$T$44,$CU43,CQ$57),"")=0,"",IF(MID(IFERROR(INDEX(醫師週班表!$C$5:$T$44,$CU43,CQ$57),""),2,1)="/",MID(IFERROR(INDEX(醫師週班表!$C$5:$T$44,$CU43,CQ$57),""),1+CQ$58*2,1),IF(MID(IFERROR(INDEX(醫師週班表!$C$5:$T$44,$CU43,CQ$57),""),3,1)="隔",IF(CQ$58=0,LEFT(IFERROR(INDEX(醫師週班表!$C$5:$T$44,$CU43,CQ$57),""),1),""),IF(MID(IFERROR(INDEX(醫師週班表!$C$5:$T$44,$CU43,CQ$57),""),2,1)="(",LEFT(IFERROR(INDEX(醫師週班表!$C$5:$T$44,$CU43,CQ$57),""),1),IFERROR(INDEX(醫師週班表!$C$5:$T$44,$CU43,CQ$57),"")))))))</f>
        <v/>
      </c>
      <c r="CR43" s="72">
        <f>IF(CR$59="X","",IF(CR$59&lt;&gt;"",CR$59,IF(IFERROR(INDEX(醫師週班表!$C$5:$T$44,$CU43,CR$57),"")=0,"",IF(MID(IFERROR(INDEX(醫師週班表!$C$5:$T$44,$CU43,CR$57),""),2,1)="/",MID(IFERROR(INDEX(醫師週班表!$C$5:$T$44,$CU43,CR$57),""),1+CR$58*2,1),IF(MID(IFERROR(INDEX(醫師週班表!$C$5:$T$44,$CU43,CR$57),""),3,1)="隔",IF(CR$58=0,LEFT(IFERROR(INDEX(醫師週班表!$C$5:$T$44,$CU43,CR$57),""),1),""),IF(MID(IFERROR(INDEX(醫師週班表!$C$5:$T$44,$CU43,CR$57),""),2,1)="(",LEFT(IFERROR(INDEX(醫師週班表!$C$5:$T$44,$CU43,CR$57),""),1),IFERROR(INDEX(醫師週班表!$C$5:$T$44,$CU43,CR$57),"")))))))</f>
        <v/>
      </c>
      <c r="CS43" s="72">
        <f>IF(CS$59="X","",IF(CS$59&lt;&gt;"",CS$59,IF(IFERROR(INDEX(醫師週班表!$C$5:$T$44,$CU43,CS$57),"")=0,"",IF(MID(IFERROR(INDEX(醫師週班表!$C$5:$T$44,$CU43,CS$57),""),2,1)="/",MID(IFERROR(INDEX(醫師週班表!$C$5:$T$44,$CU43,CS$57),""),1+CS$58*2,1),IF(MID(IFERROR(INDEX(醫師週班表!$C$5:$T$44,$CU43,CS$57),""),3,1)="隔",IF(CS$58=0,LEFT(IFERROR(INDEX(醫師週班表!$C$5:$T$44,$CU43,CS$57),""),1),""),IF(MID(IFERROR(INDEX(醫師週班表!$C$5:$T$44,$CU43,CS$57),""),2,1)="(",LEFT(IFERROR(INDEX(醫師週班表!$C$5:$T$44,$CU43,CS$57),""),1),IFERROR(INDEX(醫師週班表!$C$5:$T$44,$CU43,CS$57),"")))))))</f>
        <v/>
      </c>
      <c r="CU43" s="73">
        <f>IFERROR(MATCH($A43,醫師週班表!$A$5:$A$44,0),0)</f>
        <v/>
      </c>
    </row>
    <row r="44" ht="17" customHeight="1">
      <c r="A44" s="19" t="n"/>
      <c r="B44" s="16">
        <f>IFERROR(INDEX(設定!$C$64:$C$203,MATCH($A44,設定!$B$64:$B$203,0)),"")</f>
        <v/>
      </c>
      <c r="C44" s="70">
        <f>IFERROR(INDEX(設定!$E$64:$E$203,MATCH($A44,設定!$B$64:$B$203,0)),"")</f>
        <v/>
      </c>
      <c r="D44" s="16">
        <f>IFERROR(INDEX(設定!$F$64:$F$203,MATCH($A44,設定!$B$64:$B$203,0)),"")</f>
        <v/>
      </c>
      <c r="E44" s="71">
        <f>IF(E$59="X","",IF(E$59&lt;&gt;"",E$59,IF(IFERROR(INDEX(醫師週班表!$C$5:$T$44,$CU44,E$57),"")=0,"",IF(MID(IFERROR(INDEX(醫師週班表!$C$5:$T$44,$CU44,E$57),""),2,1)="/",MID(IFERROR(INDEX(醫師週班表!$C$5:$T$44,$CU44,E$57),""),1+E$58*2,1),IF(MID(IFERROR(INDEX(醫師週班表!$C$5:$T$44,$CU44,E$57),""),3,1)="隔",IF(E$58=0,LEFT(IFERROR(INDEX(醫師週班表!$C$5:$T$44,$CU44,E$57),""),1),""),IF(MID(IFERROR(INDEX(醫師週班表!$C$5:$T$44,$CU44,E$57),""),2,1)="(",LEFT(IFERROR(INDEX(醫師週班表!$C$5:$T$44,$CU44,E$57),""),1),IFERROR(INDEX(醫師週班表!$C$5:$T$44,$CU44,E$57),"")))))))</f>
        <v/>
      </c>
      <c r="F44" s="72">
        <f>IF(F$59="X","",IF(F$59&lt;&gt;"",F$59,IF(IFERROR(INDEX(醫師週班表!$C$5:$T$44,$CU44,F$57),"")=0,"",IF(MID(IFERROR(INDEX(醫師週班表!$C$5:$T$44,$CU44,F$57),""),2,1)="/",MID(IFERROR(INDEX(醫師週班表!$C$5:$T$44,$CU44,F$57),""),1+F$58*2,1),IF(MID(IFERROR(INDEX(醫師週班表!$C$5:$T$44,$CU44,F$57),""),3,1)="隔",IF(F$58=0,LEFT(IFERROR(INDEX(醫師週班表!$C$5:$T$44,$CU44,F$57),""),1),""),IF(MID(IFERROR(INDEX(醫師週班表!$C$5:$T$44,$CU44,F$57),""),2,1)="(",LEFT(IFERROR(INDEX(醫師週班表!$C$5:$T$44,$CU44,F$57),""),1),IFERROR(INDEX(醫師週班表!$C$5:$T$44,$CU44,F$57),"")))))))</f>
        <v/>
      </c>
      <c r="G44" s="72">
        <f>IF(G$59="X","",IF(G$59&lt;&gt;"",G$59,IF(IFERROR(INDEX(醫師週班表!$C$5:$T$44,$CU44,G$57),"")=0,"",IF(MID(IFERROR(INDEX(醫師週班表!$C$5:$T$44,$CU44,G$57),""),2,1)="/",MID(IFERROR(INDEX(醫師週班表!$C$5:$T$44,$CU44,G$57),""),1+G$58*2,1),IF(MID(IFERROR(INDEX(醫師週班表!$C$5:$T$44,$CU44,G$57),""),3,1)="隔",IF(G$58=0,LEFT(IFERROR(INDEX(醫師週班表!$C$5:$T$44,$CU44,G$57),""),1),""),IF(MID(IFERROR(INDEX(醫師週班表!$C$5:$T$44,$CU44,G$57),""),2,1)="(",LEFT(IFERROR(INDEX(醫師週班表!$C$5:$T$44,$CU44,G$57),""),1),IFERROR(INDEX(醫師週班表!$C$5:$T$44,$CU44,G$57),"")))))))</f>
        <v/>
      </c>
      <c r="H44" s="71">
        <f>IF(H$59="X","",IF(H$59&lt;&gt;"",H$59,IF(IFERROR(INDEX(醫師週班表!$C$5:$T$44,$CU44,H$57),"")=0,"",IF(MID(IFERROR(INDEX(醫師週班表!$C$5:$T$44,$CU44,H$57),""),2,1)="/",MID(IFERROR(INDEX(醫師週班表!$C$5:$T$44,$CU44,H$57),""),1+H$58*2,1),IF(MID(IFERROR(INDEX(醫師週班表!$C$5:$T$44,$CU44,H$57),""),3,1)="隔",IF(H$58=0,LEFT(IFERROR(INDEX(醫師週班表!$C$5:$T$44,$CU44,H$57),""),1),""),IF(MID(IFERROR(INDEX(醫師週班表!$C$5:$T$44,$CU44,H$57),""),2,1)="(",LEFT(IFERROR(INDEX(醫師週班表!$C$5:$T$44,$CU44,H$57),""),1),IFERROR(INDEX(醫師週班表!$C$5:$T$44,$CU44,H$57),"")))))))</f>
        <v/>
      </c>
      <c r="I44" s="72">
        <f>IF(I$59="X","",IF(I$59&lt;&gt;"",I$59,IF(IFERROR(INDEX(醫師週班表!$C$5:$T$44,$CU44,I$57),"")=0,"",IF(MID(IFERROR(INDEX(醫師週班表!$C$5:$T$44,$CU44,I$57),""),2,1)="/",MID(IFERROR(INDEX(醫師週班表!$C$5:$T$44,$CU44,I$57),""),1+I$58*2,1),IF(MID(IFERROR(INDEX(醫師週班表!$C$5:$T$44,$CU44,I$57),""),3,1)="隔",IF(I$58=0,LEFT(IFERROR(INDEX(醫師週班表!$C$5:$T$44,$CU44,I$57),""),1),""),IF(MID(IFERROR(INDEX(醫師週班表!$C$5:$T$44,$CU44,I$57),""),2,1)="(",LEFT(IFERROR(INDEX(醫師週班表!$C$5:$T$44,$CU44,I$57),""),1),IFERROR(INDEX(醫師週班表!$C$5:$T$44,$CU44,I$57),"")))))))</f>
        <v/>
      </c>
      <c r="J44" s="72">
        <f>IF(J$59="X","",IF(J$59&lt;&gt;"",J$59,IF(IFERROR(INDEX(醫師週班表!$C$5:$T$44,$CU44,J$57),"")=0,"",IF(MID(IFERROR(INDEX(醫師週班表!$C$5:$T$44,$CU44,J$57),""),2,1)="/",MID(IFERROR(INDEX(醫師週班表!$C$5:$T$44,$CU44,J$57),""),1+J$58*2,1),IF(MID(IFERROR(INDEX(醫師週班表!$C$5:$T$44,$CU44,J$57),""),3,1)="隔",IF(J$58=0,LEFT(IFERROR(INDEX(醫師週班表!$C$5:$T$44,$CU44,J$57),""),1),""),IF(MID(IFERROR(INDEX(醫師週班表!$C$5:$T$44,$CU44,J$57),""),2,1)="(",LEFT(IFERROR(INDEX(醫師週班表!$C$5:$T$44,$CU44,J$57),""),1),IFERROR(INDEX(醫師週班表!$C$5:$T$44,$CU44,J$57),"")))))))</f>
        <v/>
      </c>
      <c r="K44" s="71">
        <f>IF(K$59="X","",IF(K$59&lt;&gt;"",K$59,IF(IFERROR(INDEX(醫師週班表!$C$5:$T$44,$CU44,K$57),"")=0,"",IF(MID(IFERROR(INDEX(醫師週班表!$C$5:$T$44,$CU44,K$57),""),2,1)="/",MID(IFERROR(INDEX(醫師週班表!$C$5:$T$44,$CU44,K$57),""),1+K$58*2,1),IF(MID(IFERROR(INDEX(醫師週班表!$C$5:$T$44,$CU44,K$57),""),3,1)="隔",IF(K$58=0,LEFT(IFERROR(INDEX(醫師週班表!$C$5:$T$44,$CU44,K$57),""),1),""),IF(MID(IFERROR(INDEX(醫師週班表!$C$5:$T$44,$CU44,K$57),""),2,1)="(",LEFT(IFERROR(INDEX(醫師週班表!$C$5:$T$44,$CU44,K$57),""),1),IFERROR(INDEX(醫師週班表!$C$5:$T$44,$CU44,K$57),"")))))))</f>
        <v/>
      </c>
      <c r="L44" s="72">
        <f>IF(L$59="X","",IF(L$59&lt;&gt;"",L$59,IF(IFERROR(INDEX(醫師週班表!$C$5:$T$44,$CU44,L$57),"")=0,"",IF(MID(IFERROR(INDEX(醫師週班表!$C$5:$T$44,$CU44,L$57),""),2,1)="/",MID(IFERROR(INDEX(醫師週班表!$C$5:$T$44,$CU44,L$57),""),1+L$58*2,1),IF(MID(IFERROR(INDEX(醫師週班表!$C$5:$T$44,$CU44,L$57),""),3,1)="隔",IF(L$58=0,LEFT(IFERROR(INDEX(醫師週班表!$C$5:$T$44,$CU44,L$57),""),1),""),IF(MID(IFERROR(INDEX(醫師週班表!$C$5:$T$44,$CU44,L$57),""),2,1)="(",LEFT(IFERROR(INDEX(醫師週班表!$C$5:$T$44,$CU44,L$57),""),1),IFERROR(INDEX(醫師週班表!$C$5:$T$44,$CU44,L$57),"")))))))</f>
        <v/>
      </c>
      <c r="M44" s="72">
        <f>IF(M$59="X","",IF(M$59&lt;&gt;"",M$59,IF(IFERROR(INDEX(醫師週班表!$C$5:$T$44,$CU44,M$57),"")=0,"",IF(MID(IFERROR(INDEX(醫師週班表!$C$5:$T$44,$CU44,M$57),""),2,1)="/",MID(IFERROR(INDEX(醫師週班表!$C$5:$T$44,$CU44,M$57),""),1+M$58*2,1),IF(MID(IFERROR(INDEX(醫師週班表!$C$5:$T$44,$CU44,M$57),""),3,1)="隔",IF(M$58=0,LEFT(IFERROR(INDEX(醫師週班表!$C$5:$T$44,$CU44,M$57),""),1),""),IF(MID(IFERROR(INDEX(醫師週班表!$C$5:$T$44,$CU44,M$57),""),2,1)="(",LEFT(IFERROR(INDEX(醫師週班表!$C$5:$T$44,$CU44,M$57),""),1),IFERROR(INDEX(醫師週班表!$C$5:$T$44,$CU44,M$57),"")))))))</f>
        <v/>
      </c>
      <c r="N44" s="71">
        <f>IF(N$59="X","",IF(N$59&lt;&gt;"",N$59,IF(IFERROR(INDEX(醫師週班表!$C$5:$T$44,$CU44,N$57),"")=0,"",IF(MID(IFERROR(INDEX(醫師週班表!$C$5:$T$44,$CU44,N$57),""),2,1)="/",MID(IFERROR(INDEX(醫師週班表!$C$5:$T$44,$CU44,N$57),""),1+N$58*2,1),IF(MID(IFERROR(INDEX(醫師週班表!$C$5:$T$44,$CU44,N$57),""),3,1)="隔",IF(N$58=0,LEFT(IFERROR(INDEX(醫師週班表!$C$5:$T$44,$CU44,N$57),""),1),""),IF(MID(IFERROR(INDEX(醫師週班表!$C$5:$T$44,$CU44,N$57),""),2,1)="(",LEFT(IFERROR(INDEX(醫師週班表!$C$5:$T$44,$CU44,N$57),""),1),IFERROR(INDEX(醫師週班表!$C$5:$T$44,$CU44,N$57),"")))))))</f>
        <v/>
      </c>
      <c r="O44" s="72">
        <f>IF(O$59="X","",IF(O$59&lt;&gt;"",O$59,IF(IFERROR(INDEX(醫師週班表!$C$5:$T$44,$CU44,O$57),"")=0,"",IF(MID(IFERROR(INDEX(醫師週班表!$C$5:$T$44,$CU44,O$57),""),2,1)="/",MID(IFERROR(INDEX(醫師週班表!$C$5:$T$44,$CU44,O$57),""),1+O$58*2,1),IF(MID(IFERROR(INDEX(醫師週班表!$C$5:$T$44,$CU44,O$57),""),3,1)="隔",IF(O$58=0,LEFT(IFERROR(INDEX(醫師週班表!$C$5:$T$44,$CU44,O$57),""),1),""),IF(MID(IFERROR(INDEX(醫師週班表!$C$5:$T$44,$CU44,O$57),""),2,1)="(",LEFT(IFERROR(INDEX(醫師週班表!$C$5:$T$44,$CU44,O$57),""),1),IFERROR(INDEX(醫師週班表!$C$5:$T$44,$CU44,O$57),"")))))))</f>
        <v/>
      </c>
      <c r="P44" s="72">
        <f>IF(P$59="X","",IF(P$59&lt;&gt;"",P$59,IF(IFERROR(INDEX(醫師週班表!$C$5:$T$44,$CU44,P$57),"")=0,"",IF(MID(IFERROR(INDEX(醫師週班表!$C$5:$T$44,$CU44,P$57),""),2,1)="/",MID(IFERROR(INDEX(醫師週班表!$C$5:$T$44,$CU44,P$57),""),1+P$58*2,1),IF(MID(IFERROR(INDEX(醫師週班表!$C$5:$T$44,$CU44,P$57),""),3,1)="隔",IF(P$58=0,LEFT(IFERROR(INDEX(醫師週班表!$C$5:$T$44,$CU44,P$57),""),1),""),IF(MID(IFERROR(INDEX(醫師週班表!$C$5:$T$44,$CU44,P$57),""),2,1)="(",LEFT(IFERROR(INDEX(醫師週班表!$C$5:$T$44,$CU44,P$57),""),1),IFERROR(INDEX(醫師週班表!$C$5:$T$44,$CU44,P$57),"")))))))</f>
        <v/>
      </c>
      <c r="Q44" s="71">
        <f>IF(Q$59="X","",IF(Q$59&lt;&gt;"",Q$59,IF(IFERROR(INDEX(醫師週班表!$C$5:$T$44,$CU44,Q$57),"")=0,"",IF(MID(IFERROR(INDEX(醫師週班表!$C$5:$T$44,$CU44,Q$57),""),2,1)="/",MID(IFERROR(INDEX(醫師週班表!$C$5:$T$44,$CU44,Q$57),""),1+Q$58*2,1),IF(MID(IFERROR(INDEX(醫師週班表!$C$5:$T$44,$CU44,Q$57),""),3,1)="隔",IF(Q$58=0,LEFT(IFERROR(INDEX(醫師週班表!$C$5:$T$44,$CU44,Q$57),""),1),""),IF(MID(IFERROR(INDEX(醫師週班表!$C$5:$T$44,$CU44,Q$57),""),2,1)="(",LEFT(IFERROR(INDEX(醫師週班表!$C$5:$T$44,$CU44,Q$57),""),1),IFERROR(INDEX(醫師週班表!$C$5:$T$44,$CU44,Q$57),"")))))))</f>
        <v/>
      </c>
      <c r="R44" s="72">
        <f>IF(R$59="X","",IF(R$59&lt;&gt;"",R$59,IF(IFERROR(INDEX(醫師週班表!$C$5:$T$44,$CU44,R$57),"")=0,"",IF(MID(IFERROR(INDEX(醫師週班表!$C$5:$T$44,$CU44,R$57),""),2,1)="/",MID(IFERROR(INDEX(醫師週班表!$C$5:$T$44,$CU44,R$57),""),1+R$58*2,1),IF(MID(IFERROR(INDEX(醫師週班表!$C$5:$T$44,$CU44,R$57),""),3,1)="隔",IF(R$58=0,LEFT(IFERROR(INDEX(醫師週班表!$C$5:$T$44,$CU44,R$57),""),1),""),IF(MID(IFERROR(INDEX(醫師週班表!$C$5:$T$44,$CU44,R$57),""),2,1)="(",LEFT(IFERROR(INDEX(醫師週班表!$C$5:$T$44,$CU44,R$57),""),1),IFERROR(INDEX(醫師週班表!$C$5:$T$44,$CU44,R$57),"")))))))</f>
        <v/>
      </c>
      <c r="S44" s="72">
        <f>IF(S$59="X","",IF(S$59&lt;&gt;"",S$59,IF(IFERROR(INDEX(醫師週班表!$C$5:$T$44,$CU44,S$57),"")=0,"",IF(MID(IFERROR(INDEX(醫師週班表!$C$5:$T$44,$CU44,S$57),""),2,1)="/",MID(IFERROR(INDEX(醫師週班表!$C$5:$T$44,$CU44,S$57),""),1+S$58*2,1),IF(MID(IFERROR(INDEX(醫師週班表!$C$5:$T$44,$CU44,S$57),""),3,1)="隔",IF(S$58=0,LEFT(IFERROR(INDEX(醫師週班表!$C$5:$T$44,$CU44,S$57),""),1),""),IF(MID(IFERROR(INDEX(醫師週班表!$C$5:$T$44,$CU44,S$57),""),2,1)="(",LEFT(IFERROR(INDEX(醫師週班表!$C$5:$T$44,$CU44,S$57),""),1),IFERROR(INDEX(醫師週班表!$C$5:$T$44,$CU44,S$57),"")))))))</f>
        <v/>
      </c>
      <c r="T44" s="71">
        <f>IF(T$59="X","",IF(T$59&lt;&gt;"",T$59,IF(IFERROR(INDEX(醫師週班表!$C$5:$T$44,$CU44,T$57),"")=0,"",IF(MID(IFERROR(INDEX(醫師週班表!$C$5:$T$44,$CU44,T$57),""),2,1)="/",MID(IFERROR(INDEX(醫師週班表!$C$5:$T$44,$CU44,T$57),""),1+T$58*2,1),IF(MID(IFERROR(INDEX(醫師週班表!$C$5:$T$44,$CU44,T$57),""),3,1)="隔",IF(T$58=0,LEFT(IFERROR(INDEX(醫師週班表!$C$5:$T$44,$CU44,T$57),""),1),""),IF(MID(IFERROR(INDEX(醫師週班表!$C$5:$T$44,$CU44,T$57),""),2,1)="(",LEFT(IFERROR(INDEX(醫師週班表!$C$5:$T$44,$CU44,T$57),""),1),IFERROR(INDEX(醫師週班表!$C$5:$T$44,$CU44,T$57),"")))))))</f>
        <v/>
      </c>
      <c r="U44" s="72">
        <f>IF(U$59="X","",IF(U$59&lt;&gt;"",U$59,IF(IFERROR(INDEX(醫師週班表!$C$5:$T$44,$CU44,U$57),"")=0,"",IF(MID(IFERROR(INDEX(醫師週班表!$C$5:$T$44,$CU44,U$57),""),2,1)="/",MID(IFERROR(INDEX(醫師週班表!$C$5:$T$44,$CU44,U$57),""),1+U$58*2,1),IF(MID(IFERROR(INDEX(醫師週班表!$C$5:$T$44,$CU44,U$57),""),3,1)="隔",IF(U$58=0,LEFT(IFERROR(INDEX(醫師週班表!$C$5:$T$44,$CU44,U$57),""),1),""),IF(MID(IFERROR(INDEX(醫師週班表!$C$5:$T$44,$CU44,U$57),""),2,1)="(",LEFT(IFERROR(INDEX(醫師週班表!$C$5:$T$44,$CU44,U$57),""),1),IFERROR(INDEX(醫師週班表!$C$5:$T$44,$CU44,U$57),"")))))))</f>
        <v/>
      </c>
      <c r="V44" s="72">
        <f>IF(V$59="X","",IF(V$59&lt;&gt;"",V$59,IF(IFERROR(INDEX(醫師週班表!$C$5:$T$44,$CU44,V$57),"")=0,"",IF(MID(IFERROR(INDEX(醫師週班表!$C$5:$T$44,$CU44,V$57),""),2,1)="/",MID(IFERROR(INDEX(醫師週班表!$C$5:$T$44,$CU44,V$57),""),1+V$58*2,1),IF(MID(IFERROR(INDEX(醫師週班表!$C$5:$T$44,$CU44,V$57),""),3,1)="隔",IF(V$58=0,LEFT(IFERROR(INDEX(醫師週班表!$C$5:$T$44,$CU44,V$57),""),1),""),IF(MID(IFERROR(INDEX(醫師週班表!$C$5:$T$44,$CU44,V$57),""),2,1)="(",LEFT(IFERROR(INDEX(醫師週班表!$C$5:$T$44,$CU44,V$57),""),1),IFERROR(INDEX(醫師週班表!$C$5:$T$44,$CU44,V$57),"")))))))</f>
        <v/>
      </c>
      <c r="W44" s="71">
        <f>IF(W$59="X","",IF(W$59&lt;&gt;"",W$59,IF(IFERROR(INDEX(醫師週班表!$C$5:$T$44,$CU44,W$57),"")=0,"",IF(MID(IFERROR(INDEX(醫師週班表!$C$5:$T$44,$CU44,W$57),""),2,1)="/",MID(IFERROR(INDEX(醫師週班表!$C$5:$T$44,$CU44,W$57),""),1+W$58*2,1),IF(MID(IFERROR(INDEX(醫師週班表!$C$5:$T$44,$CU44,W$57),""),3,1)="隔",IF(W$58=0,LEFT(IFERROR(INDEX(醫師週班表!$C$5:$T$44,$CU44,W$57),""),1),""),IF(MID(IFERROR(INDEX(醫師週班表!$C$5:$T$44,$CU44,W$57),""),2,1)="(",LEFT(IFERROR(INDEX(醫師週班表!$C$5:$T$44,$CU44,W$57),""),1),IFERROR(INDEX(醫師週班表!$C$5:$T$44,$CU44,W$57),"")))))))</f>
        <v/>
      </c>
      <c r="X44" s="72">
        <f>IF(X$59="X","",IF(X$59&lt;&gt;"",X$59,IF(IFERROR(INDEX(醫師週班表!$C$5:$T$44,$CU44,X$57),"")=0,"",IF(MID(IFERROR(INDEX(醫師週班表!$C$5:$T$44,$CU44,X$57),""),2,1)="/",MID(IFERROR(INDEX(醫師週班表!$C$5:$T$44,$CU44,X$57),""),1+X$58*2,1),IF(MID(IFERROR(INDEX(醫師週班表!$C$5:$T$44,$CU44,X$57),""),3,1)="隔",IF(X$58=0,LEFT(IFERROR(INDEX(醫師週班表!$C$5:$T$44,$CU44,X$57),""),1),""),IF(MID(IFERROR(INDEX(醫師週班表!$C$5:$T$44,$CU44,X$57),""),2,1)="(",LEFT(IFERROR(INDEX(醫師週班表!$C$5:$T$44,$CU44,X$57),""),1),IFERROR(INDEX(醫師週班表!$C$5:$T$44,$CU44,X$57),"")))))))</f>
        <v/>
      </c>
      <c r="Y44" s="72">
        <f>IF(Y$59="X","",IF(Y$59&lt;&gt;"",Y$59,IF(IFERROR(INDEX(醫師週班表!$C$5:$T$44,$CU44,Y$57),"")=0,"",IF(MID(IFERROR(INDEX(醫師週班表!$C$5:$T$44,$CU44,Y$57),""),2,1)="/",MID(IFERROR(INDEX(醫師週班表!$C$5:$T$44,$CU44,Y$57),""),1+Y$58*2,1),IF(MID(IFERROR(INDEX(醫師週班表!$C$5:$T$44,$CU44,Y$57),""),3,1)="隔",IF(Y$58=0,LEFT(IFERROR(INDEX(醫師週班表!$C$5:$T$44,$CU44,Y$57),""),1),""),IF(MID(IFERROR(INDEX(醫師週班表!$C$5:$T$44,$CU44,Y$57),""),2,1)="(",LEFT(IFERROR(INDEX(醫師週班表!$C$5:$T$44,$CU44,Y$57),""),1),IFERROR(INDEX(醫師週班表!$C$5:$T$44,$CU44,Y$57),"")))))))</f>
        <v/>
      </c>
      <c r="Z44" s="71">
        <f>IF(Z$59="X","",IF(Z$59&lt;&gt;"",Z$59,IF(IFERROR(INDEX(醫師週班表!$C$5:$T$44,$CU44,Z$57),"")=0,"",IF(MID(IFERROR(INDEX(醫師週班表!$C$5:$T$44,$CU44,Z$57),""),2,1)="/",MID(IFERROR(INDEX(醫師週班表!$C$5:$T$44,$CU44,Z$57),""),1+Z$58*2,1),IF(MID(IFERROR(INDEX(醫師週班表!$C$5:$T$44,$CU44,Z$57),""),3,1)="隔",IF(Z$58=0,LEFT(IFERROR(INDEX(醫師週班表!$C$5:$T$44,$CU44,Z$57),""),1),""),IF(MID(IFERROR(INDEX(醫師週班表!$C$5:$T$44,$CU44,Z$57),""),2,1)="(",LEFT(IFERROR(INDEX(醫師週班表!$C$5:$T$44,$CU44,Z$57),""),1),IFERROR(INDEX(醫師週班表!$C$5:$T$44,$CU44,Z$57),"")))))))</f>
        <v/>
      </c>
      <c r="AA44" s="72">
        <f>IF(AA$59="X","",IF(AA$59&lt;&gt;"",AA$59,IF(IFERROR(INDEX(醫師週班表!$C$5:$T$44,$CU44,AA$57),"")=0,"",IF(MID(IFERROR(INDEX(醫師週班表!$C$5:$T$44,$CU44,AA$57),""),2,1)="/",MID(IFERROR(INDEX(醫師週班表!$C$5:$T$44,$CU44,AA$57),""),1+AA$58*2,1),IF(MID(IFERROR(INDEX(醫師週班表!$C$5:$T$44,$CU44,AA$57),""),3,1)="隔",IF(AA$58=0,LEFT(IFERROR(INDEX(醫師週班表!$C$5:$T$44,$CU44,AA$57),""),1),""),IF(MID(IFERROR(INDEX(醫師週班表!$C$5:$T$44,$CU44,AA$57),""),2,1)="(",LEFT(IFERROR(INDEX(醫師週班表!$C$5:$T$44,$CU44,AA$57),""),1),IFERROR(INDEX(醫師週班表!$C$5:$T$44,$CU44,AA$57),"")))))))</f>
        <v/>
      </c>
      <c r="AB44" s="72">
        <f>IF(AB$59="X","",IF(AB$59&lt;&gt;"",AB$59,IF(IFERROR(INDEX(醫師週班表!$C$5:$T$44,$CU44,AB$57),"")=0,"",IF(MID(IFERROR(INDEX(醫師週班表!$C$5:$T$44,$CU44,AB$57),""),2,1)="/",MID(IFERROR(INDEX(醫師週班表!$C$5:$T$44,$CU44,AB$57),""),1+AB$58*2,1),IF(MID(IFERROR(INDEX(醫師週班表!$C$5:$T$44,$CU44,AB$57),""),3,1)="隔",IF(AB$58=0,LEFT(IFERROR(INDEX(醫師週班表!$C$5:$T$44,$CU44,AB$57),""),1),""),IF(MID(IFERROR(INDEX(醫師週班表!$C$5:$T$44,$CU44,AB$57),""),2,1)="(",LEFT(IFERROR(INDEX(醫師週班表!$C$5:$T$44,$CU44,AB$57),""),1),IFERROR(INDEX(醫師週班表!$C$5:$T$44,$CU44,AB$57),"")))))))</f>
        <v/>
      </c>
      <c r="AC44" s="71">
        <f>IF(AC$59="X","",IF(AC$59&lt;&gt;"",AC$59,IF(IFERROR(INDEX(醫師週班表!$C$5:$T$44,$CU44,AC$57),"")=0,"",IF(MID(IFERROR(INDEX(醫師週班表!$C$5:$T$44,$CU44,AC$57),""),2,1)="/",MID(IFERROR(INDEX(醫師週班表!$C$5:$T$44,$CU44,AC$57),""),1+AC$58*2,1),IF(MID(IFERROR(INDEX(醫師週班表!$C$5:$T$44,$CU44,AC$57),""),3,1)="隔",IF(AC$58=0,LEFT(IFERROR(INDEX(醫師週班表!$C$5:$T$44,$CU44,AC$57),""),1),""),IF(MID(IFERROR(INDEX(醫師週班表!$C$5:$T$44,$CU44,AC$57),""),2,1)="(",LEFT(IFERROR(INDEX(醫師週班表!$C$5:$T$44,$CU44,AC$57),""),1),IFERROR(INDEX(醫師週班表!$C$5:$T$44,$CU44,AC$57),"")))))))</f>
        <v/>
      </c>
      <c r="AD44" s="72">
        <f>IF(AD$59="X","",IF(AD$59&lt;&gt;"",AD$59,IF(IFERROR(INDEX(醫師週班表!$C$5:$T$44,$CU44,AD$57),"")=0,"",IF(MID(IFERROR(INDEX(醫師週班表!$C$5:$T$44,$CU44,AD$57),""),2,1)="/",MID(IFERROR(INDEX(醫師週班表!$C$5:$T$44,$CU44,AD$57),""),1+AD$58*2,1),IF(MID(IFERROR(INDEX(醫師週班表!$C$5:$T$44,$CU44,AD$57),""),3,1)="隔",IF(AD$58=0,LEFT(IFERROR(INDEX(醫師週班表!$C$5:$T$44,$CU44,AD$57),""),1),""),IF(MID(IFERROR(INDEX(醫師週班表!$C$5:$T$44,$CU44,AD$57),""),2,1)="(",LEFT(IFERROR(INDEX(醫師週班表!$C$5:$T$44,$CU44,AD$57),""),1),IFERROR(INDEX(醫師週班表!$C$5:$T$44,$CU44,AD$57),"")))))))</f>
        <v/>
      </c>
      <c r="AE44" s="72">
        <f>IF(AE$59="X","",IF(AE$59&lt;&gt;"",AE$59,IF(IFERROR(INDEX(醫師週班表!$C$5:$T$44,$CU44,AE$57),"")=0,"",IF(MID(IFERROR(INDEX(醫師週班表!$C$5:$T$44,$CU44,AE$57),""),2,1)="/",MID(IFERROR(INDEX(醫師週班表!$C$5:$T$44,$CU44,AE$57),""),1+AE$58*2,1),IF(MID(IFERROR(INDEX(醫師週班表!$C$5:$T$44,$CU44,AE$57),""),3,1)="隔",IF(AE$58=0,LEFT(IFERROR(INDEX(醫師週班表!$C$5:$T$44,$CU44,AE$57),""),1),""),IF(MID(IFERROR(INDEX(醫師週班表!$C$5:$T$44,$CU44,AE$57),""),2,1)="(",LEFT(IFERROR(INDEX(醫師週班表!$C$5:$T$44,$CU44,AE$57),""),1),IFERROR(INDEX(醫師週班表!$C$5:$T$44,$CU44,AE$57),"")))))))</f>
        <v/>
      </c>
      <c r="AF44" s="71">
        <f>IF(AF$59="X","",IF(AF$59&lt;&gt;"",AF$59,IF(IFERROR(INDEX(醫師週班表!$C$5:$T$44,$CU44,AF$57),"")=0,"",IF(MID(IFERROR(INDEX(醫師週班表!$C$5:$T$44,$CU44,AF$57),""),2,1)="/",MID(IFERROR(INDEX(醫師週班表!$C$5:$T$44,$CU44,AF$57),""),1+AF$58*2,1),IF(MID(IFERROR(INDEX(醫師週班表!$C$5:$T$44,$CU44,AF$57),""),3,1)="隔",IF(AF$58=0,LEFT(IFERROR(INDEX(醫師週班表!$C$5:$T$44,$CU44,AF$57),""),1),""),IF(MID(IFERROR(INDEX(醫師週班表!$C$5:$T$44,$CU44,AF$57),""),2,1)="(",LEFT(IFERROR(INDEX(醫師週班表!$C$5:$T$44,$CU44,AF$57),""),1),IFERROR(INDEX(醫師週班表!$C$5:$T$44,$CU44,AF$57),"")))))))</f>
        <v/>
      </c>
      <c r="AG44" s="72">
        <f>IF(AG$59="X","",IF(AG$59&lt;&gt;"",AG$59,IF(IFERROR(INDEX(醫師週班表!$C$5:$T$44,$CU44,AG$57),"")=0,"",IF(MID(IFERROR(INDEX(醫師週班表!$C$5:$T$44,$CU44,AG$57),""),2,1)="/",MID(IFERROR(INDEX(醫師週班表!$C$5:$T$44,$CU44,AG$57),""),1+AG$58*2,1),IF(MID(IFERROR(INDEX(醫師週班表!$C$5:$T$44,$CU44,AG$57),""),3,1)="隔",IF(AG$58=0,LEFT(IFERROR(INDEX(醫師週班表!$C$5:$T$44,$CU44,AG$57),""),1),""),IF(MID(IFERROR(INDEX(醫師週班表!$C$5:$T$44,$CU44,AG$57),""),2,1)="(",LEFT(IFERROR(INDEX(醫師週班表!$C$5:$T$44,$CU44,AG$57),""),1),IFERROR(INDEX(醫師週班表!$C$5:$T$44,$CU44,AG$57),"")))))))</f>
        <v/>
      </c>
      <c r="AH44" s="72">
        <f>IF(AH$59="X","",IF(AH$59&lt;&gt;"",AH$59,IF(IFERROR(INDEX(醫師週班表!$C$5:$T$44,$CU44,AH$57),"")=0,"",IF(MID(IFERROR(INDEX(醫師週班表!$C$5:$T$44,$CU44,AH$57),""),2,1)="/",MID(IFERROR(INDEX(醫師週班表!$C$5:$T$44,$CU44,AH$57),""),1+AH$58*2,1),IF(MID(IFERROR(INDEX(醫師週班表!$C$5:$T$44,$CU44,AH$57),""),3,1)="隔",IF(AH$58=0,LEFT(IFERROR(INDEX(醫師週班表!$C$5:$T$44,$CU44,AH$57),""),1),""),IF(MID(IFERROR(INDEX(醫師週班表!$C$5:$T$44,$CU44,AH$57),""),2,1)="(",LEFT(IFERROR(INDEX(醫師週班表!$C$5:$T$44,$CU44,AH$57),""),1),IFERROR(INDEX(醫師週班表!$C$5:$T$44,$CU44,AH$57),"")))))))</f>
        <v/>
      </c>
      <c r="AI44" s="71">
        <f>IF(AI$59="X","",IF(AI$59&lt;&gt;"",AI$59,IF(IFERROR(INDEX(醫師週班表!$C$5:$T$44,$CU44,AI$57),"")=0,"",IF(MID(IFERROR(INDEX(醫師週班表!$C$5:$T$44,$CU44,AI$57),""),2,1)="/",MID(IFERROR(INDEX(醫師週班表!$C$5:$T$44,$CU44,AI$57),""),1+AI$58*2,1),IF(MID(IFERROR(INDEX(醫師週班表!$C$5:$T$44,$CU44,AI$57),""),3,1)="隔",IF(AI$58=0,LEFT(IFERROR(INDEX(醫師週班表!$C$5:$T$44,$CU44,AI$57),""),1),""),IF(MID(IFERROR(INDEX(醫師週班表!$C$5:$T$44,$CU44,AI$57),""),2,1)="(",LEFT(IFERROR(INDEX(醫師週班表!$C$5:$T$44,$CU44,AI$57),""),1),IFERROR(INDEX(醫師週班表!$C$5:$T$44,$CU44,AI$57),"")))))))</f>
        <v/>
      </c>
      <c r="AJ44" s="72">
        <f>IF(AJ$59="X","",IF(AJ$59&lt;&gt;"",AJ$59,IF(IFERROR(INDEX(醫師週班表!$C$5:$T$44,$CU44,AJ$57),"")=0,"",IF(MID(IFERROR(INDEX(醫師週班表!$C$5:$T$44,$CU44,AJ$57),""),2,1)="/",MID(IFERROR(INDEX(醫師週班表!$C$5:$T$44,$CU44,AJ$57),""),1+AJ$58*2,1),IF(MID(IFERROR(INDEX(醫師週班表!$C$5:$T$44,$CU44,AJ$57),""),3,1)="隔",IF(AJ$58=0,LEFT(IFERROR(INDEX(醫師週班表!$C$5:$T$44,$CU44,AJ$57),""),1),""),IF(MID(IFERROR(INDEX(醫師週班表!$C$5:$T$44,$CU44,AJ$57),""),2,1)="(",LEFT(IFERROR(INDEX(醫師週班表!$C$5:$T$44,$CU44,AJ$57),""),1),IFERROR(INDEX(醫師週班表!$C$5:$T$44,$CU44,AJ$57),"")))))))</f>
        <v/>
      </c>
      <c r="AK44" s="72">
        <f>IF(AK$59="X","",IF(AK$59&lt;&gt;"",AK$59,IF(IFERROR(INDEX(醫師週班表!$C$5:$T$44,$CU44,AK$57),"")=0,"",IF(MID(IFERROR(INDEX(醫師週班表!$C$5:$T$44,$CU44,AK$57),""),2,1)="/",MID(IFERROR(INDEX(醫師週班表!$C$5:$T$44,$CU44,AK$57),""),1+AK$58*2,1),IF(MID(IFERROR(INDEX(醫師週班表!$C$5:$T$44,$CU44,AK$57),""),3,1)="隔",IF(AK$58=0,LEFT(IFERROR(INDEX(醫師週班表!$C$5:$T$44,$CU44,AK$57),""),1),""),IF(MID(IFERROR(INDEX(醫師週班表!$C$5:$T$44,$CU44,AK$57),""),2,1)="(",LEFT(IFERROR(INDEX(醫師週班表!$C$5:$T$44,$CU44,AK$57),""),1),IFERROR(INDEX(醫師週班表!$C$5:$T$44,$CU44,AK$57),"")))))))</f>
        <v/>
      </c>
      <c r="AL44" s="71">
        <f>IF(AL$59="X","",IF(AL$59&lt;&gt;"",AL$59,IF(IFERROR(INDEX(醫師週班表!$C$5:$T$44,$CU44,AL$57),"")=0,"",IF(MID(IFERROR(INDEX(醫師週班表!$C$5:$T$44,$CU44,AL$57),""),2,1)="/",MID(IFERROR(INDEX(醫師週班表!$C$5:$T$44,$CU44,AL$57),""),1+AL$58*2,1),IF(MID(IFERROR(INDEX(醫師週班表!$C$5:$T$44,$CU44,AL$57),""),3,1)="隔",IF(AL$58=0,LEFT(IFERROR(INDEX(醫師週班表!$C$5:$T$44,$CU44,AL$57),""),1),""),IF(MID(IFERROR(INDEX(醫師週班表!$C$5:$T$44,$CU44,AL$57),""),2,1)="(",LEFT(IFERROR(INDEX(醫師週班表!$C$5:$T$44,$CU44,AL$57),""),1),IFERROR(INDEX(醫師週班表!$C$5:$T$44,$CU44,AL$57),"")))))))</f>
        <v/>
      </c>
      <c r="AM44" s="72">
        <f>IF(AM$59="X","",IF(AM$59&lt;&gt;"",AM$59,IF(IFERROR(INDEX(醫師週班表!$C$5:$T$44,$CU44,AM$57),"")=0,"",IF(MID(IFERROR(INDEX(醫師週班表!$C$5:$T$44,$CU44,AM$57),""),2,1)="/",MID(IFERROR(INDEX(醫師週班表!$C$5:$T$44,$CU44,AM$57),""),1+AM$58*2,1),IF(MID(IFERROR(INDEX(醫師週班表!$C$5:$T$44,$CU44,AM$57),""),3,1)="隔",IF(AM$58=0,LEFT(IFERROR(INDEX(醫師週班表!$C$5:$T$44,$CU44,AM$57),""),1),""),IF(MID(IFERROR(INDEX(醫師週班表!$C$5:$T$44,$CU44,AM$57),""),2,1)="(",LEFT(IFERROR(INDEX(醫師週班表!$C$5:$T$44,$CU44,AM$57),""),1),IFERROR(INDEX(醫師週班表!$C$5:$T$44,$CU44,AM$57),"")))))))</f>
        <v/>
      </c>
      <c r="AN44" s="72">
        <f>IF(AN$59="X","",IF(AN$59&lt;&gt;"",AN$59,IF(IFERROR(INDEX(醫師週班表!$C$5:$T$44,$CU44,AN$57),"")=0,"",IF(MID(IFERROR(INDEX(醫師週班表!$C$5:$T$44,$CU44,AN$57),""),2,1)="/",MID(IFERROR(INDEX(醫師週班表!$C$5:$T$44,$CU44,AN$57),""),1+AN$58*2,1),IF(MID(IFERROR(INDEX(醫師週班表!$C$5:$T$44,$CU44,AN$57),""),3,1)="隔",IF(AN$58=0,LEFT(IFERROR(INDEX(醫師週班表!$C$5:$T$44,$CU44,AN$57),""),1),""),IF(MID(IFERROR(INDEX(醫師週班表!$C$5:$T$44,$CU44,AN$57),""),2,1)="(",LEFT(IFERROR(INDEX(醫師週班表!$C$5:$T$44,$CU44,AN$57),""),1),IFERROR(INDEX(醫師週班表!$C$5:$T$44,$CU44,AN$57),"")))))))</f>
        <v/>
      </c>
      <c r="AO44" s="71">
        <f>IF(AO$59="X","",IF(AO$59&lt;&gt;"",AO$59,IF(IFERROR(INDEX(醫師週班表!$C$5:$T$44,$CU44,AO$57),"")=0,"",IF(MID(IFERROR(INDEX(醫師週班表!$C$5:$T$44,$CU44,AO$57),""),2,1)="/",MID(IFERROR(INDEX(醫師週班表!$C$5:$T$44,$CU44,AO$57),""),1+AO$58*2,1),IF(MID(IFERROR(INDEX(醫師週班表!$C$5:$T$44,$CU44,AO$57),""),3,1)="隔",IF(AO$58=0,LEFT(IFERROR(INDEX(醫師週班表!$C$5:$T$44,$CU44,AO$57),""),1),""),IF(MID(IFERROR(INDEX(醫師週班表!$C$5:$T$44,$CU44,AO$57),""),2,1)="(",LEFT(IFERROR(INDEX(醫師週班表!$C$5:$T$44,$CU44,AO$57),""),1),IFERROR(INDEX(醫師週班表!$C$5:$T$44,$CU44,AO$57),"")))))))</f>
        <v/>
      </c>
      <c r="AP44" s="72">
        <f>IF(AP$59="X","",IF(AP$59&lt;&gt;"",AP$59,IF(IFERROR(INDEX(醫師週班表!$C$5:$T$44,$CU44,AP$57),"")=0,"",IF(MID(IFERROR(INDEX(醫師週班表!$C$5:$T$44,$CU44,AP$57),""),2,1)="/",MID(IFERROR(INDEX(醫師週班表!$C$5:$T$44,$CU44,AP$57),""),1+AP$58*2,1),IF(MID(IFERROR(INDEX(醫師週班表!$C$5:$T$44,$CU44,AP$57),""),3,1)="隔",IF(AP$58=0,LEFT(IFERROR(INDEX(醫師週班表!$C$5:$T$44,$CU44,AP$57),""),1),""),IF(MID(IFERROR(INDEX(醫師週班表!$C$5:$T$44,$CU44,AP$57),""),2,1)="(",LEFT(IFERROR(INDEX(醫師週班表!$C$5:$T$44,$CU44,AP$57),""),1),IFERROR(INDEX(醫師週班表!$C$5:$T$44,$CU44,AP$57),"")))))))</f>
        <v/>
      </c>
      <c r="AQ44" s="72">
        <f>IF(AQ$59="X","",IF(AQ$59&lt;&gt;"",AQ$59,IF(IFERROR(INDEX(醫師週班表!$C$5:$T$44,$CU44,AQ$57),"")=0,"",IF(MID(IFERROR(INDEX(醫師週班表!$C$5:$T$44,$CU44,AQ$57),""),2,1)="/",MID(IFERROR(INDEX(醫師週班表!$C$5:$T$44,$CU44,AQ$57),""),1+AQ$58*2,1),IF(MID(IFERROR(INDEX(醫師週班表!$C$5:$T$44,$CU44,AQ$57),""),3,1)="隔",IF(AQ$58=0,LEFT(IFERROR(INDEX(醫師週班表!$C$5:$T$44,$CU44,AQ$57),""),1),""),IF(MID(IFERROR(INDEX(醫師週班表!$C$5:$T$44,$CU44,AQ$57),""),2,1)="(",LEFT(IFERROR(INDEX(醫師週班表!$C$5:$T$44,$CU44,AQ$57),""),1),IFERROR(INDEX(醫師週班表!$C$5:$T$44,$CU44,AQ$57),"")))))))</f>
        <v/>
      </c>
      <c r="AR44" s="71">
        <f>IF(AR$59="X","",IF(AR$59&lt;&gt;"",AR$59,IF(IFERROR(INDEX(醫師週班表!$C$5:$T$44,$CU44,AR$57),"")=0,"",IF(MID(IFERROR(INDEX(醫師週班表!$C$5:$T$44,$CU44,AR$57),""),2,1)="/",MID(IFERROR(INDEX(醫師週班表!$C$5:$T$44,$CU44,AR$57),""),1+AR$58*2,1),IF(MID(IFERROR(INDEX(醫師週班表!$C$5:$T$44,$CU44,AR$57),""),3,1)="隔",IF(AR$58=0,LEFT(IFERROR(INDEX(醫師週班表!$C$5:$T$44,$CU44,AR$57),""),1),""),IF(MID(IFERROR(INDEX(醫師週班表!$C$5:$T$44,$CU44,AR$57),""),2,1)="(",LEFT(IFERROR(INDEX(醫師週班表!$C$5:$T$44,$CU44,AR$57),""),1),IFERROR(INDEX(醫師週班表!$C$5:$T$44,$CU44,AR$57),"")))))))</f>
        <v/>
      </c>
      <c r="AS44" s="72">
        <f>IF(AS$59="X","",IF(AS$59&lt;&gt;"",AS$59,IF(IFERROR(INDEX(醫師週班表!$C$5:$T$44,$CU44,AS$57),"")=0,"",IF(MID(IFERROR(INDEX(醫師週班表!$C$5:$T$44,$CU44,AS$57),""),2,1)="/",MID(IFERROR(INDEX(醫師週班表!$C$5:$T$44,$CU44,AS$57),""),1+AS$58*2,1),IF(MID(IFERROR(INDEX(醫師週班表!$C$5:$T$44,$CU44,AS$57),""),3,1)="隔",IF(AS$58=0,LEFT(IFERROR(INDEX(醫師週班表!$C$5:$T$44,$CU44,AS$57),""),1),""),IF(MID(IFERROR(INDEX(醫師週班表!$C$5:$T$44,$CU44,AS$57),""),2,1)="(",LEFT(IFERROR(INDEX(醫師週班表!$C$5:$T$44,$CU44,AS$57),""),1),IFERROR(INDEX(醫師週班表!$C$5:$T$44,$CU44,AS$57),"")))))))</f>
        <v/>
      </c>
      <c r="AT44" s="72">
        <f>IF(AT$59="X","",IF(AT$59&lt;&gt;"",AT$59,IF(IFERROR(INDEX(醫師週班表!$C$5:$T$44,$CU44,AT$57),"")=0,"",IF(MID(IFERROR(INDEX(醫師週班表!$C$5:$T$44,$CU44,AT$57),""),2,1)="/",MID(IFERROR(INDEX(醫師週班表!$C$5:$T$44,$CU44,AT$57),""),1+AT$58*2,1),IF(MID(IFERROR(INDEX(醫師週班表!$C$5:$T$44,$CU44,AT$57),""),3,1)="隔",IF(AT$58=0,LEFT(IFERROR(INDEX(醫師週班表!$C$5:$T$44,$CU44,AT$57),""),1),""),IF(MID(IFERROR(INDEX(醫師週班表!$C$5:$T$44,$CU44,AT$57),""),2,1)="(",LEFT(IFERROR(INDEX(醫師週班表!$C$5:$T$44,$CU44,AT$57),""),1),IFERROR(INDEX(醫師週班表!$C$5:$T$44,$CU44,AT$57),"")))))))</f>
        <v/>
      </c>
      <c r="AU44" s="71">
        <f>IF(AU$59="X","",IF(AU$59&lt;&gt;"",AU$59,IF(IFERROR(INDEX(醫師週班表!$C$5:$T$44,$CU44,AU$57),"")=0,"",IF(MID(IFERROR(INDEX(醫師週班表!$C$5:$T$44,$CU44,AU$57),""),2,1)="/",MID(IFERROR(INDEX(醫師週班表!$C$5:$T$44,$CU44,AU$57),""),1+AU$58*2,1),IF(MID(IFERROR(INDEX(醫師週班表!$C$5:$T$44,$CU44,AU$57),""),3,1)="隔",IF(AU$58=0,LEFT(IFERROR(INDEX(醫師週班表!$C$5:$T$44,$CU44,AU$57),""),1),""),IF(MID(IFERROR(INDEX(醫師週班表!$C$5:$T$44,$CU44,AU$57),""),2,1)="(",LEFT(IFERROR(INDEX(醫師週班表!$C$5:$T$44,$CU44,AU$57),""),1),IFERROR(INDEX(醫師週班表!$C$5:$T$44,$CU44,AU$57),"")))))))</f>
        <v/>
      </c>
      <c r="AV44" s="72">
        <f>IF(AV$59="X","",IF(AV$59&lt;&gt;"",AV$59,IF(IFERROR(INDEX(醫師週班表!$C$5:$T$44,$CU44,AV$57),"")=0,"",IF(MID(IFERROR(INDEX(醫師週班表!$C$5:$T$44,$CU44,AV$57),""),2,1)="/",MID(IFERROR(INDEX(醫師週班表!$C$5:$T$44,$CU44,AV$57),""),1+AV$58*2,1),IF(MID(IFERROR(INDEX(醫師週班表!$C$5:$T$44,$CU44,AV$57),""),3,1)="隔",IF(AV$58=0,LEFT(IFERROR(INDEX(醫師週班表!$C$5:$T$44,$CU44,AV$57),""),1),""),IF(MID(IFERROR(INDEX(醫師週班表!$C$5:$T$44,$CU44,AV$57),""),2,1)="(",LEFT(IFERROR(INDEX(醫師週班表!$C$5:$T$44,$CU44,AV$57),""),1),IFERROR(INDEX(醫師週班表!$C$5:$T$44,$CU44,AV$57),"")))))))</f>
        <v/>
      </c>
      <c r="AW44" s="72">
        <f>IF(AW$59="X","",IF(AW$59&lt;&gt;"",AW$59,IF(IFERROR(INDEX(醫師週班表!$C$5:$T$44,$CU44,AW$57),"")=0,"",IF(MID(IFERROR(INDEX(醫師週班表!$C$5:$T$44,$CU44,AW$57),""),2,1)="/",MID(IFERROR(INDEX(醫師週班表!$C$5:$T$44,$CU44,AW$57),""),1+AW$58*2,1),IF(MID(IFERROR(INDEX(醫師週班表!$C$5:$T$44,$CU44,AW$57),""),3,1)="隔",IF(AW$58=0,LEFT(IFERROR(INDEX(醫師週班表!$C$5:$T$44,$CU44,AW$57),""),1),""),IF(MID(IFERROR(INDEX(醫師週班表!$C$5:$T$44,$CU44,AW$57),""),2,1)="(",LEFT(IFERROR(INDEX(醫師週班表!$C$5:$T$44,$CU44,AW$57),""),1),IFERROR(INDEX(醫師週班表!$C$5:$T$44,$CU44,AW$57),"")))))))</f>
        <v/>
      </c>
      <c r="AX44" s="71">
        <f>IF(AX$59="X","",IF(AX$59&lt;&gt;"",AX$59,IF(IFERROR(INDEX(醫師週班表!$C$5:$T$44,$CU44,AX$57),"")=0,"",IF(MID(IFERROR(INDEX(醫師週班表!$C$5:$T$44,$CU44,AX$57),""),2,1)="/",MID(IFERROR(INDEX(醫師週班表!$C$5:$T$44,$CU44,AX$57),""),1+AX$58*2,1),IF(MID(IFERROR(INDEX(醫師週班表!$C$5:$T$44,$CU44,AX$57),""),3,1)="隔",IF(AX$58=0,LEFT(IFERROR(INDEX(醫師週班表!$C$5:$T$44,$CU44,AX$57),""),1),""),IF(MID(IFERROR(INDEX(醫師週班表!$C$5:$T$44,$CU44,AX$57),""),2,1)="(",LEFT(IFERROR(INDEX(醫師週班表!$C$5:$T$44,$CU44,AX$57),""),1),IFERROR(INDEX(醫師週班表!$C$5:$T$44,$CU44,AX$57),"")))))))</f>
        <v/>
      </c>
      <c r="AY44" s="72">
        <f>IF(AY$59="X","",IF(AY$59&lt;&gt;"",AY$59,IF(IFERROR(INDEX(醫師週班表!$C$5:$T$44,$CU44,AY$57),"")=0,"",IF(MID(IFERROR(INDEX(醫師週班表!$C$5:$T$44,$CU44,AY$57),""),2,1)="/",MID(IFERROR(INDEX(醫師週班表!$C$5:$T$44,$CU44,AY$57),""),1+AY$58*2,1),IF(MID(IFERROR(INDEX(醫師週班表!$C$5:$T$44,$CU44,AY$57),""),3,1)="隔",IF(AY$58=0,LEFT(IFERROR(INDEX(醫師週班表!$C$5:$T$44,$CU44,AY$57),""),1),""),IF(MID(IFERROR(INDEX(醫師週班表!$C$5:$T$44,$CU44,AY$57),""),2,1)="(",LEFT(IFERROR(INDEX(醫師週班表!$C$5:$T$44,$CU44,AY$57),""),1),IFERROR(INDEX(醫師週班表!$C$5:$T$44,$CU44,AY$57),"")))))))</f>
        <v/>
      </c>
      <c r="AZ44" s="72">
        <f>IF(AZ$59="X","",IF(AZ$59&lt;&gt;"",AZ$59,IF(IFERROR(INDEX(醫師週班表!$C$5:$T$44,$CU44,AZ$57),"")=0,"",IF(MID(IFERROR(INDEX(醫師週班表!$C$5:$T$44,$CU44,AZ$57),""),2,1)="/",MID(IFERROR(INDEX(醫師週班表!$C$5:$T$44,$CU44,AZ$57),""),1+AZ$58*2,1),IF(MID(IFERROR(INDEX(醫師週班表!$C$5:$T$44,$CU44,AZ$57),""),3,1)="隔",IF(AZ$58=0,LEFT(IFERROR(INDEX(醫師週班表!$C$5:$T$44,$CU44,AZ$57),""),1),""),IF(MID(IFERROR(INDEX(醫師週班表!$C$5:$T$44,$CU44,AZ$57),""),2,1)="(",LEFT(IFERROR(INDEX(醫師週班表!$C$5:$T$44,$CU44,AZ$57),""),1),IFERROR(INDEX(醫師週班表!$C$5:$T$44,$CU44,AZ$57),"")))))))</f>
        <v/>
      </c>
      <c r="BA44" s="71">
        <f>IF(BA$59="X","",IF(BA$59&lt;&gt;"",BA$59,IF(IFERROR(INDEX(醫師週班表!$C$5:$T$44,$CU44,BA$57),"")=0,"",IF(MID(IFERROR(INDEX(醫師週班表!$C$5:$T$44,$CU44,BA$57),""),2,1)="/",MID(IFERROR(INDEX(醫師週班表!$C$5:$T$44,$CU44,BA$57),""),1+BA$58*2,1),IF(MID(IFERROR(INDEX(醫師週班表!$C$5:$T$44,$CU44,BA$57),""),3,1)="隔",IF(BA$58=0,LEFT(IFERROR(INDEX(醫師週班表!$C$5:$T$44,$CU44,BA$57),""),1),""),IF(MID(IFERROR(INDEX(醫師週班表!$C$5:$T$44,$CU44,BA$57),""),2,1)="(",LEFT(IFERROR(INDEX(醫師週班表!$C$5:$T$44,$CU44,BA$57),""),1),IFERROR(INDEX(醫師週班表!$C$5:$T$44,$CU44,BA$57),"")))))))</f>
        <v/>
      </c>
      <c r="BB44" s="72">
        <f>IF(BB$59="X","",IF(BB$59&lt;&gt;"",BB$59,IF(IFERROR(INDEX(醫師週班表!$C$5:$T$44,$CU44,BB$57),"")=0,"",IF(MID(IFERROR(INDEX(醫師週班表!$C$5:$T$44,$CU44,BB$57),""),2,1)="/",MID(IFERROR(INDEX(醫師週班表!$C$5:$T$44,$CU44,BB$57),""),1+BB$58*2,1),IF(MID(IFERROR(INDEX(醫師週班表!$C$5:$T$44,$CU44,BB$57),""),3,1)="隔",IF(BB$58=0,LEFT(IFERROR(INDEX(醫師週班表!$C$5:$T$44,$CU44,BB$57),""),1),""),IF(MID(IFERROR(INDEX(醫師週班表!$C$5:$T$44,$CU44,BB$57),""),2,1)="(",LEFT(IFERROR(INDEX(醫師週班表!$C$5:$T$44,$CU44,BB$57),""),1),IFERROR(INDEX(醫師週班表!$C$5:$T$44,$CU44,BB$57),"")))))))</f>
        <v/>
      </c>
      <c r="BC44" s="72">
        <f>IF(BC$59="X","",IF(BC$59&lt;&gt;"",BC$59,IF(IFERROR(INDEX(醫師週班表!$C$5:$T$44,$CU44,BC$57),"")=0,"",IF(MID(IFERROR(INDEX(醫師週班表!$C$5:$T$44,$CU44,BC$57),""),2,1)="/",MID(IFERROR(INDEX(醫師週班表!$C$5:$T$44,$CU44,BC$57),""),1+BC$58*2,1),IF(MID(IFERROR(INDEX(醫師週班表!$C$5:$T$44,$CU44,BC$57),""),3,1)="隔",IF(BC$58=0,LEFT(IFERROR(INDEX(醫師週班表!$C$5:$T$44,$CU44,BC$57),""),1),""),IF(MID(IFERROR(INDEX(醫師週班表!$C$5:$T$44,$CU44,BC$57),""),2,1)="(",LEFT(IFERROR(INDEX(醫師週班表!$C$5:$T$44,$CU44,BC$57),""),1),IFERROR(INDEX(醫師週班表!$C$5:$T$44,$CU44,BC$57),"")))))))</f>
        <v/>
      </c>
      <c r="BD44" s="71">
        <f>IF(BD$59="X","",IF(BD$59&lt;&gt;"",BD$59,IF(IFERROR(INDEX(醫師週班表!$C$5:$T$44,$CU44,BD$57),"")=0,"",IF(MID(IFERROR(INDEX(醫師週班表!$C$5:$T$44,$CU44,BD$57),""),2,1)="/",MID(IFERROR(INDEX(醫師週班表!$C$5:$T$44,$CU44,BD$57),""),1+BD$58*2,1),IF(MID(IFERROR(INDEX(醫師週班表!$C$5:$T$44,$CU44,BD$57),""),3,1)="隔",IF(BD$58=0,LEFT(IFERROR(INDEX(醫師週班表!$C$5:$T$44,$CU44,BD$57),""),1),""),IF(MID(IFERROR(INDEX(醫師週班表!$C$5:$T$44,$CU44,BD$57),""),2,1)="(",LEFT(IFERROR(INDEX(醫師週班表!$C$5:$T$44,$CU44,BD$57),""),1),IFERROR(INDEX(醫師週班表!$C$5:$T$44,$CU44,BD$57),"")))))))</f>
        <v/>
      </c>
      <c r="BE44" s="72">
        <f>IF(BE$59="X","",IF(BE$59&lt;&gt;"",BE$59,IF(IFERROR(INDEX(醫師週班表!$C$5:$T$44,$CU44,BE$57),"")=0,"",IF(MID(IFERROR(INDEX(醫師週班表!$C$5:$T$44,$CU44,BE$57),""),2,1)="/",MID(IFERROR(INDEX(醫師週班表!$C$5:$T$44,$CU44,BE$57),""),1+BE$58*2,1),IF(MID(IFERROR(INDEX(醫師週班表!$C$5:$T$44,$CU44,BE$57),""),3,1)="隔",IF(BE$58=0,LEFT(IFERROR(INDEX(醫師週班表!$C$5:$T$44,$CU44,BE$57),""),1),""),IF(MID(IFERROR(INDEX(醫師週班表!$C$5:$T$44,$CU44,BE$57),""),2,1)="(",LEFT(IFERROR(INDEX(醫師週班表!$C$5:$T$44,$CU44,BE$57),""),1),IFERROR(INDEX(醫師週班表!$C$5:$T$44,$CU44,BE$57),"")))))))</f>
        <v/>
      </c>
      <c r="BF44" s="72">
        <f>IF(BF$59="X","",IF(BF$59&lt;&gt;"",BF$59,IF(IFERROR(INDEX(醫師週班表!$C$5:$T$44,$CU44,BF$57),"")=0,"",IF(MID(IFERROR(INDEX(醫師週班表!$C$5:$T$44,$CU44,BF$57),""),2,1)="/",MID(IFERROR(INDEX(醫師週班表!$C$5:$T$44,$CU44,BF$57),""),1+BF$58*2,1),IF(MID(IFERROR(INDEX(醫師週班表!$C$5:$T$44,$CU44,BF$57),""),3,1)="隔",IF(BF$58=0,LEFT(IFERROR(INDEX(醫師週班表!$C$5:$T$44,$CU44,BF$57),""),1),""),IF(MID(IFERROR(INDEX(醫師週班表!$C$5:$T$44,$CU44,BF$57),""),2,1)="(",LEFT(IFERROR(INDEX(醫師週班表!$C$5:$T$44,$CU44,BF$57),""),1),IFERROR(INDEX(醫師週班表!$C$5:$T$44,$CU44,BF$57),"")))))))</f>
        <v/>
      </c>
      <c r="BG44" s="71">
        <f>IF(BG$59="X","",IF(BG$59&lt;&gt;"",BG$59,IF(IFERROR(INDEX(醫師週班表!$C$5:$T$44,$CU44,BG$57),"")=0,"",IF(MID(IFERROR(INDEX(醫師週班表!$C$5:$T$44,$CU44,BG$57),""),2,1)="/",MID(IFERROR(INDEX(醫師週班表!$C$5:$T$44,$CU44,BG$57),""),1+BG$58*2,1),IF(MID(IFERROR(INDEX(醫師週班表!$C$5:$T$44,$CU44,BG$57),""),3,1)="隔",IF(BG$58=0,LEFT(IFERROR(INDEX(醫師週班表!$C$5:$T$44,$CU44,BG$57),""),1),""),IF(MID(IFERROR(INDEX(醫師週班表!$C$5:$T$44,$CU44,BG$57),""),2,1)="(",LEFT(IFERROR(INDEX(醫師週班表!$C$5:$T$44,$CU44,BG$57),""),1),IFERROR(INDEX(醫師週班表!$C$5:$T$44,$CU44,BG$57),"")))))))</f>
        <v/>
      </c>
      <c r="BH44" s="72">
        <f>IF(BH$59="X","",IF(BH$59&lt;&gt;"",BH$59,IF(IFERROR(INDEX(醫師週班表!$C$5:$T$44,$CU44,BH$57),"")=0,"",IF(MID(IFERROR(INDEX(醫師週班表!$C$5:$T$44,$CU44,BH$57),""),2,1)="/",MID(IFERROR(INDEX(醫師週班表!$C$5:$T$44,$CU44,BH$57),""),1+BH$58*2,1),IF(MID(IFERROR(INDEX(醫師週班表!$C$5:$T$44,$CU44,BH$57),""),3,1)="隔",IF(BH$58=0,LEFT(IFERROR(INDEX(醫師週班表!$C$5:$T$44,$CU44,BH$57),""),1),""),IF(MID(IFERROR(INDEX(醫師週班表!$C$5:$T$44,$CU44,BH$57),""),2,1)="(",LEFT(IFERROR(INDEX(醫師週班表!$C$5:$T$44,$CU44,BH$57),""),1),IFERROR(INDEX(醫師週班表!$C$5:$T$44,$CU44,BH$57),"")))))))</f>
        <v/>
      </c>
      <c r="BI44" s="72">
        <f>IF(BI$59="X","",IF(BI$59&lt;&gt;"",BI$59,IF(IFERROR(INDEX(醫師週班表!$C$5:$T$44,$CU44,BI$57),"")=0,"",IF(MID(IFERROR(INDEX(醫師週班表!$C$5:$T$44,$CU44,BI$57),""),2,1)="/",MID(IFERROR(INDEX(醫師週班表!$C$5:$T$44,$CU44,BI$57),""),1+BI$58*2,1),IF(MID(IFERROR(INDEX(醫師週班表!$C$5:$T$44,$CU44,BI$57),""),3,1)="隔",IF(BI$58=0,LEFT(IFERROR(INDEX(醫師週班表!$C$5:$T$44,$CU44,BI$57),""),1),""),IF(MID(IFERROR(INDEX(醫師週班表!$C$5:$T$44,$CU44,BI$57),""),2,1)="(",LEFT(IFERROR(INDEX(醫師週班表!$C$5:$T$44,$CU44,BI$57),""),1),IFERROR(INDEX(醫師週班表!$C$5:$T$44,$CU44,BI$57),"")))))))</f>
        <v/>
      </c>
      <c r="BJ44" s="71">
        <f>IF(BJ$59="X","",IF(BJ$59&lt;&gt;"",BJ$59,IF(IFERROR(INDEX(醫師週班表!$C$5:$T$44,$CU44,BJ$57),"")=0,"",IF(MID(IFERROR(INDEX(醫師週班表!$C$5:$T$44,$CU44,BJ$57),""),2,1)="/",MID(IFERROR(INDEX(醫師週班表!$C$5:$T$44,$CU44,BJ$57),""),1+BJ$58*2,1),IF(MID(IFERROR(INDEX(醫師週班表!$C$5:$T$44,$CU44,BJ$57),""),3,1)="隔",IF(BJ$58=0,LEFT(IFERROR(INDEX(醫師週班表!$C$5:$T$44,$CU44,BJ$57),""),1),""),IF(MID(IFERROR(INDEX(醫師週班表!$C$5:$T$44,$CU44,BJ$57),""),2,1)="(",LEFT(IFERROR(INDEX(醫師週班表!$C$5:$T$44,$CU44,BJ$57),""),1),IFERROR(INDEX(醫師週班表!$C$5:$T$44,$CU44,BJ$57),"")))))))</f>
        <v/>
      </c>
      <c r="BK44" s="72">
        <f>IF(BK$59="X","",IF(BK$59&lt;&gt;"",BK$59,IF(IFERROR(INDEX(醫師週班表!$C$5:$T$44,$CU44,BK$57),"")=0,"",IF(MID(IFERROR(INDEX(醫師週班表!$C$5:$T$44,$CU44,BK$57),""),2,1)="/",MID(IFERROR(INDEX(醫師週班表!$C$5:$T$44,$CU44,BK$57),""),1+BK$58*2,1),IF(MID(IFERROR(INDEX(醫師週班表!$C$5:$T$44,$CU44,BK$57),""),3,1)="隔",IF(BK$58=0,LEFT(IFERROR(INDEX(醫師週班表!$C$5:$T$44,$CU44,BK$57),""),1),""),IF(MID(IFERROR(INDEX(醫師週班表!$C$5:$T$44,$CU44,BK$57),""),2,1)="(",LEFT(IFERROR(INDEX(醫師週班表!$C$5:$T$44,$CU44,BK$57),""),1),IFERROR(INDEX(醫師週班表!$C$5:$T$44,$CU44,BK$57),"")))))))</f>
        <v/>
      </c>
      <c r="BL44" s="72">
        <f>IF(BL$59="X","",IF(BL$59&lt;&gt;"",BL$59,IF(IFERROR(INDEX(醫師週班表!$C$5:$T$44,$CU44,BL$57),"")=0,"",IF(MID(IFERROR(INDEX(醫師週班表!$C$5:$T$44,$CU44,BL$57),""),2,1)="/",MID(IFERROR(INDEX(醫師週班表!$C$5:$T$44,$CU44,BL$57),""),1+BL$58*2,1),IF(MID(IFERROR(INDEX(醫師週班表!$C$5:$T$44,$CU44,BL$57),""),3,1)="隔",IF(BL$58=0,LEFT(IFERROR(INDEX(醫師週班表!$C$5:$T$44,$CU44,BL$57),""),1),""),IF(MID(IFERROR(INDEX(醫師週班表!$C$5:$T$44,$CU44,BL$57),""),2,1)="(",LEFT(IFERROR(INDEX(醫師週班表!$C$5:$T$44,$CU44,BL$57),""),1),IFERROR(INDEX(醫師週班表!$C$5:$T$44,$CU44,BL$57),"")))))))</f>
        <v/>
      </c>
      <c r="BM44" s="71">
        <f>IF(BM$59="X","",IF(BM$59&lt;&gt;"",BM$59,IF(IFERROR(INDEX(醫師週班表!$C$5:$T$44,$CU44,BM$57),"")=0,"",IF(MID(IFERROR(INDEX(醫師週班表!$C$5:$T$44,$CU44,BM$57),""),2,1)="/",MID(IFERROR(INDEX(醫師週班表!$C$5:$T$44,$CU44,BM$57),""),1+BM$58*2,1),IF(MID(IFERROR(INDEX(醫師週班表!$C$5:$T$44,$CU44,BM$57),""),3,1)="隔",IF(BM$58=0,LEFT(IFERROR(INDEX(醫師週班表!$C$5:$T$44,$CU44,BM$57),""),1),""),IF(MID(IFERROR(INDEX(醫師週班表!$C$5:$T$44,$CU44,BM$57),""),2,1)="(",LEFT(IFERROR(INDEX(醫師週班表!$C$5:$T$44,$CU44,BM$57),""),1),IFERROR(INDEX(醫師週班表!$C$5:$T$44,$CU44,BM$57),"")))))))</f>
        <v/>
      </c>
      <c r="BN44" s="72">
        <f>IF(BN$59="X","",IF(BN$59&lt;&gt;"",BN$59,IF(IFERROR(INDEX(醫師週班表!$C$5:$T$44,$CU44,BN$57),"")=0,"",IF(MID(IFERROR(INDEX(醫師週班表!$C$5:$T$44,$CU44,BN$57),""),2,1)="/",MID(IFERROR(INDEX(醫師週班表!$C$5:$T$44,$CU44,BN$57),""),1+BN$58*2,1),IF(MID(IFERROR(INDEX(醫師週班表!$C$5:$T$44,$CU44,BN$57),""),3,1)="隔",IF(BN$58=0,LEFT(IFERROR(INDEX(醫師週班表!$C$5:$T$44,$CU44,BN$57),""),1),""),IF(MID(IFERROR(INDEX(醫師週班表!$C$5:$T$44,$CU44,BN$57),""),2,1)="(",LEFT(IFERROR(INDEX(醫師週班表!$C$5:$T$44,$CU44,BN$57),""),1),IFERROR(INDEX(醫師週班表!$C$5:$T$44,$CU44,BN$57),"")))))))</f>
        <v/>
      </c>
      <c r="BO44" s="72">
        <f>IF(BO$59="X","",IF(BO$59&lt;&gt;"",BO$59,IF(IFERROR(INDEX(醫師週班表!$C$5:$T$44,$CU44,BO$57),"")=0,"",IF(MID(IFERROR(INDEX(醫師週班表!$C$5:$T$44,$CU44,BO$57),""),2,1)="/",MID(IFERROR(INDEX(醫師週班表!$C$5:$T$44,$CU44,BO$57),""),1+BO$58*2,1),IF(MID(IFERROR(INDEX(醫師週班表!$C$5:$T$44,$CU44,BO$57),""),3,1)="隔",IF(BO$58=0,LEFT(IFERROR(INDEX(醫師週班表!$C$5:$T$44,$CU44,BO$57),""),1),""),IF(MID(IFERROR(INDEX(醫師週班表!$C$5:$T$44,$CU44,BO$57),""),2,1)="(",LEFT(IFERROR(INDEX(醫師週班表!$C$5:$T$44,$CU44,BO$57),""),1),IFERROR(INDEX(醫師週班表!$C$5:$T$44,$CU44,BO$57),"")))))))</f>
        <v/>
      </c>
      <c r="BP44" s="71">
        <f>IF(BP$59="X","",IF(BP$59&lt;&gt;"",BP$59,IF(IFERROR(INDEX(醫師週班表!$C$5:$T$44,$CU44,BP$57),"")=0,"",IF(MID(IFERROR(INDEX(醫師週班表!$C$5:$T$44,$CU44,BP$57),""),2,1)="/",MID(IFERROR(INDEX(醫師週班表!$C$5:$T$44,$CU44,BP$57),""),1+BP$58*2,1),IF(MID(IFERROR(INDEX(醫師週班表!$C$5:$T$44,$CU44,BP$57),""),3,1)="隔",IF(BP$58=0,LEFT(IFERROR(INDEX(醫師週班表!$C$5:$T$44,$CU44,BP$57),""),1),""),IF(MID(IFERROR(INDEX(醫師週班表!$C$5:$T$44,$CU44,BP$57),""),2,1)="(",LEFT(IFERROR(INDEX(醫師週班表!$C$5:$T$44,$CU44,BP$57),""),1),IFERROR(INDEX(醫師週班表!$C$5:$T$44,$CU44,BP$57),"")))))))</f>
        <v/>
      </c>
      <c r="BQ44" s="72">
        <f>IF(BQ$59="X","",IF(BQ$59&lt;&gt;"",BQ$59,IF(IFERROR(INDEX(醫師週班表!$C$5:$T$44,$CU44,BQ$57),"")=0,"",IF(MID(IFERROR(INDEX(醫師週班表!$C$5:$T$44,$CU44,BQ$57),""),2,1)="/",MID(IFERROR(INDEX(醫師週班表!$C$5:$T$44,$CU44,BQ$57),""),1+BQ$58*2,1),IF(MID(IFERROR(INDEX(醫師週班表!$C$5:$T$44,$CU44,BQ$57),""),3,1)="隔",IF(BQ$58=0,LEFT(IFERROR(INDEX(醫師週班表!$C$5:$T$44,$CU44,BQ$57),""),1),""),IF(MID(IFERROR(INDEX(醫師週班表!$C$5:$T$44,$CU44,BQ$57),""),2,1)="(",LEFT(IFERROR(INDEX(醫師週班表!$C$5:$T$44,$CU44,BQ$57),""),1),IFERROR(INDEX(醫師週班表!$C$5:$T$44,$CU44,BQ$57),"")))))))</f>
        <v/>
      </c>
      <c r="BR44" s="72">
        <f>IF(BR$59="X","",IF(BR$59&lt;&gt;"",BR$59,IF(IFERROR(INDEX(醫師週班表!$C$5:$T$44,$CU44,BR$57),"")=0,"",IF(MID(IFERROR(INDEX(醫師週班表!$C$5:$T$44,$CU44,BR$57),""),2,1)="/",MID(IFERROR(INDEX(醫師週班表!$C$5:$T$44,$CU44,BR$57),""),1+BR$58*2,1),IF(MID(IFERROR(INDEX(醫師週班表!$C$5:$T$44,$CU44,BR$57),""),3,1)="隔",IF(BR$58=0,LEFT(IFERROR(INDEX(醫師週班表!$C$5:$T$44,$CU44,BR$57),""),1),""),IF(MID(IFERROR(INDEX(醫師週班表!$C$5:$T$44,$CU44,BR$57),""),2,1)="(",LEFT(IFERROR(INDEX(醫師週班表!$C$5:$T$44,$CU44,BR$57),""),1),IFERROR(INDEX(醫師週班表!$C$5:$T$44,$CU44,BR$57),"")))))))</f>
        <v/>
      </c>
      <c r="BS44" s="71">
        <f>IF(BS$59="X","",IF(BS$59&lt;&gt;"",BS$59,IF(IFERROR(INDEX(醫師週班表!$C$5:$T$44,$CU44,BS$57),"")=0,"",IF(MID(IFERROR(INDEX(醫師週班表!$C$5:$T$44,$CU44,BS$57),""),2,1)="/",MID(IFERROR(INDEX(醫師週班表!$C$5:$T$44,$CU44,BS$57),""),1+BS$58*2,1),IF(MID(IFERROR(INDEX(醫師週班表!$C$5:$T$44,$CU44,BS$57),""),3,1)="隔",IF(BS$58=0,LEFT(IFERROR(INDEX(醫師週班表!$C$5:$T$44,$CU44,BS$57),""),1),""),IF(MID(IFERROR(INDEX(醫師週班表!$C$5:$T$44,$CU44,BS$57),""),2,1)="(",LEFT(IFERROR(INDEX(醫師週班表!$C$5:$T$44,$CU44,BS$57),""),1),IFERROR(INDEX(醫師週班表!$C$5:$T$44,$CU44,BS$57),"")))))))</f>
        <v/>
      </c>
      <c r="BT44" s="72">
        <f>IF(BT$59="X","",IF(BT$59&lt;&gt;"",BT$59,IF(IFERROR(INDEX(醫師週班表!$C$5:$T$44,$CU44,BT$57),"")=0,"",IF(MID(IFERROR(INDEX(醫師週班表!$C$5:$T$44,$CU44,BT$57),""),2,1)="/",MID(IFERROR(INDEX(醫師週班表!$C$5:$T$44,$CU44,BT$57),""),1+BT$58*2,1),IF(MID(IFERROR(INDEX(醫師週班表!$C$5:$T$44,$CU44,BT$57),""),3,1)="隔",IF(BT$58=0,LEFT(IFERROR(INDEX(醫師週班表!$C$5:$T$44,$CU44,BT$57),""),1),""),IF(MID(IFERROR(INDEX(醫師週班表!$C$5:$T$44,$CU44,BT$57),""),2,1)="(",LEFT(IFERROR(INDEX(醫師週班表!$C$5:$T$44,$CU44,BT$57),""),1),IFERROR(INDEX(醫師週班表!$C$5:$T$44,$CU44,BT$57),"")))))))</f>
        <v/>
      </c>
      <c r="BU44" s="72">
        <f>IF(BU$59="X","",IF(BU$59&lt;&gt;"",BU$59,IF(IFERROR(INDEX(醫師週班表!$C$5:$T$44,$CU44,BU$57),"")=0,"",IF(MID(IFERROR(INDEX(醫師週班表!$C$5:$T$44,$CU44,BU$57),""),2,1)="/",MID(IFERROR(INDEX(醫師週班表!$C$5:$T$44,$CU44,BU$57),""),1+BU$58*2,1),IF(MID(IFERROR(INDEX(醫師週班表!$C$5:$T$44,$CU44,BU$57),""),3,1)="隔",IF(BU$58=0,LEFT(IFERROR(INDEX(醫師週班表!$C$5:$T$44,$CU44,BU$57),""),1),""),IF(MID(IFERROR(INDEX(醫師週班表!$C$5:$T$44,$CU44,BU$57),""),2,1)="(",LEFT(IFERROR(INDEX(醫師週班表!$C$5:$T$44,$CU44,BU$57),""),1),IFERROR(INDEX(醫師週班表!$C$5:$T$44,$CU44,BU$57),"")))))))</f>
        <v/>
      </c>
      <c r="BV44" s="71">
        <f>IF(BV$59="X","",IF(BV$59&lt;&gt;"",BV$59,IF(IFERROR(INDEX(醫師週班表!$C$5:$T$44,$CU44,BV$57),"")=0,"",IF(MID(IFERROR(INDEX(醫師週班表!$C$5:$T$44,$CU44,BV$57),""),2,1)="/",MID(IFERROR(INDEX(醫師週班表!$C$5:$T$44,$CU44,BV$57),""),1+BV$58*2,1),IF(MID(IFERROR(INDEX(醫師週班表!$C$5:$T$44,$CU44,BV$57),""),3,1)="隔",IF(BV$58=0,LEFT(IFERROR(INDEX(醫師週班表!$C$5:$T$44,$CU44,BV$57),""),1),""),IF(MID(IFERROR(INDEX(醫師週班表!$C$5:$T$44,$CU44,BV$57),""),2,1)="(",LEFT(IFERROR(INDEX(醫師週班表!$C$5:$T$44,$CU44,BV$57),""),1),IFERROR(INDEX(醫師週班表!$C$5:$T$44,$CU44,BV$57),"")))))))</f>
        <v/>
      </c>
      <c r="BW44" s="72">
        <f>IF(BW$59="X","",IF(BW$59&lt;&gt;"",BW$59,IF(IFERROR(INDEX(醫師週班表!$C$5:$T$44,$CU44,BW$57),"")=0,"",IF(MID(IFERROR(INDEX(醫師週班表!$C$5:$T$44,$CU44,BW$57),""),2,1)="/",MID(IFERROR(INDEX(醫師週班表!$C$5:$T$44,$CU44,BW$57),""),1+BW$58*2,1),IF(MID(IFERROR(INDEX(醫師週班表!$C$5:$T$44,$CU44,BW$57),""),3,1)="隔",IF(BW$58=0,LEFT(IFERROR(INDEX(醫師週班表!$C$5:$T$44,$CU44,BW$57),""),1),""),IF(MID(IFERROR(INDEX(醫師週班表!$C$5:$T$44,$CU44,BW$57),""),2,1)="(",LEFT(IFERROR(INDEX(醫師週班表!$C$5:$T$44,$CU44,BW$57),""),1),IFERROR(INDEX(醫師週班表!$C$5:$T$44,$CU44,BW$57),"")))))))</f>
        <v/>
      </c>
      <c r="BX44" s="72">
        <f>IF(BX$59="X","",IF(BX$59&lt;&gt;"",BX$59,IF(IFERROR(INDEX(醫師週班表!$C$5:$T$44,$CU44,BX$57),"")=0,"",IF(MID(IFERROR(INDEX(醫師週班表!$C$5:$T$44,$CU44,BX$57),""),2,1)="/",MID(IFERROR(INDEX(醫師週班表!$C$5:$T$44,$CU44,BX$57),""),1+BX$58*2,1),IF(MID(IFERROR(INDEX(醫師週班表!$C$5:$T$44,$CU44,BX$57),""),3,1)="隔",IF(BX$58=0,LEFT(IFERROR(INDEX(醫師週班表!$C$5:$T$44,$CU44,BX$57),""),1),""),IF(MID(IFERROR(INDEX(醫師週班表!$C$5:$T$44,$CU44,BX$57),""),2,1)="(",LEFT(IFERROR(INDEX(醫師週班表!$C$5:$T$44,$CU44,BX$57),""),1),IFERROR(INDEX(醫師週班表!$C$5:$T$44,$CU44,BX$57),"")))))))</f>
        <v/>
      </c>
      <c r="BY44" s="71">
        <f>IF(BY$59="X","",IF(BY$59&lt;&gt;"",BY$59,IF(IFERROR(INDEX(醫師週班表!$C$5:$T$44,$CU44,BY$57),"")=0,"",IF(MID(IFERROR(INDEX(醫師週班表!$C$5:$T$44,$CU44,BY$57),""),2,1)="/",MID(IFERROR(INDEX(醫師週班表!$C$5:$T$44,$CU44,BY$57),""),1+BY$58*2,1),IF(MID(IFERROR(INDEX(醫師週班表!$C$5:$T$44,$CU44,BY$57),""),3,1)="隔",IF(BY$58=0,LEFT(IFERROR(INDEX(醫師週班表!$C$5:$T$44,$CU44,BY$57),""),1),""),IF(MID(IFERROR(INDEX(醫師週班表!$C$5:$T$44,$CU44,BY$57),""),2,1)="(",LEFT(IFERROR(INDEX(醫師週班表!$C$5:$T$44,$CU44,BY$57),""),1),IFERROR(INDEX(醫師週班表!$C$5:$T$44,$CU44,BY$57),"")))))))</f>
        <v/>
      </c>
      <c r="BZ44" s="72">
        <f>IF(BZ$59="X","",IF(BZ$59&lt;&gt;"",BZ$59,IF(IFERROR(INDEX(醫師週班表!$C$5:$T$44,$CU44,BZ$57),"")=0,"",IF(MID(IFERROR(INDEX(醫師週班表!$C$5:$T$44,$CU44,BZ$57),""),2,1)="/",MID(IFERROR(INDEX(醫師週班表!$C$5:$T$44,$CU44,BZ$57),""),1+BZ$58*2,1),IF(MID(IFERROR(INDEX(醫師週班表!$C$5:$T$44,$CU44,BZ$57),""),3,1)="隔",IF(BZ$58=0,LEFT(IFERROR(INDEX(醫師週班表!$C$5:$T$44,$CU44,BZ$57),""),1),""),IF(MID(IFERROR(INDEX(醫師週班表!$C$5:$T$44,$CU44,BZ$57),""),2,1)="(",LEFT(IFERROR(INDEX(醫師週班表!$C$5:$T$44,$CU44,BZ$57),""),1),IFERROR(INDEX(醫師週班表!$C$5:$T$44,$CU44,BZ$57),"")))))))</f>
        <v/>
      </c>
      <c r="CA44" s="72">
        <f>IF(CA$59="X","",IF(CA$59&lt;&gt;"",CA$59,IF(IFERROR(INDEX(醫師週班表!$C$5:$T$44,$CU44,CA$57),"")=0,"",IF(MID(IFERROR(INDEX(醫師週班表!$C$5:$T$44,$CU44,CA$57),""),2,1)="/",MID(IFERROR(INDEX(醫師週班表!$C$5:$T$44,$CU44,CA$57),""),1+CA$58*2,1),IF(MID(IFERROR(INDEX(醫師週班表!$C$5:$T$44,$CU44,CA$57),""),3,1)="隔",IF(CA$58=0,LEFT(IFERROR(INDEX(醫師週班表!$C$5:$T$44,$CU44,CA$57),""),1),""),IF(MID(IFERROR(INDEX(醫師週班表!$C$5:$T$44,$CU44,CA$57),""),2,1)="(",LEFT(IFERROR(INDEX(醫師週班表!$C$5:$T$44,$CU44,CA$57),""),1),IFERROR(INDEX(醫師週班表!$C$5:$T$44,$CU44,CA$57),"")))))))</f>
        <v/>
      </c>
      <c r="CB44" s="71">
        <f>IF(CB$59="X","",IF(CB$59&lt;&gt;"",CB$59,IF(IFERROR(INDEX(醫師週班表!$C$5:$T$44,$CU44,CB$57),"")=0,"",IF(MID(IFERROR(INDEX(醫師週班表!$C$5:$T$44,$CU44,CB$57),""),2,1)="/",MID(IFERROR(INDEX(醫師週班表!$C$5:$T$44,$CU44,CB$57),""),1+CB$58*2,1),IF(MID(IFERROR(INDEX(醫師週班表!$C$5:$T$44,$CU44,CB$57),""),3,1)="隔",IF(CB$58=0,LEFT(IFERROR(INDEX(醫師週班表!$C$5:$T$44,$CU44,CB$57),""),1),""),IF(MID(IFERROR(INDEX(醫師週班表!$C$5:$T$44,$CU44,CB$57),""),2,1)="(",LEFT(IFERROR(INDEX(醫師週班表!$C$5:$T$44,$CU44,CB$57),""),1),IFERROR(INDEX(醫師週班表!$C$5:$T$44,$CU44,CB$57),"")))))))</f>
        <v/>
      </c>
      <c r="CC44" s="72">
        <f>IF(CC$59="X","",IF(CC$59&lt;&gt;"",CC$59,IF(IFERROR(INDEX(醫師週班表!$C$5:$T$44,$CU44,CC$57),"")=0,"",IF(MID(IFERROR(INDEX(醫師週班表!$C$5:$T$44,$CU44,CC$57),""),2,1)="/",MID(IFERROR(INDEX(醫師週班表!$C$5:$T$44,$CU44,CC$57),""),1+CC$58*2,1),IF(MID(IFERROR(INDEX(醫師週班表!$C$5:$T$44,$CU44,CC$57),""),3,1)="隔",IF(CC$58=0,LEFT(IFERROR(INDEX(醫師週班表!$C$5:$T$44,$CU44,CC$57),""),1),""),IF(MID(IFERROR(INDEX(醫師週班表!$C$5:$T$44,$CU44,CC$57),""),2,1)="(",LEFT(IFERROR(INDEX(醫師週班表!$C$5:$T$44,$CU44,CC$57),""),1),IFERROR(INDEX(醫師週班表!$C$5:$T$44,$CU44,CC$57),"")))))))</f>
        <v/>
      </c>
      <c r="CD44" s="72">
        <f>IF(CD$59="X","",IF(CD$59&lt;&gt;"",CD$59,IF(IFERROR(INDEX(醫師週班表!$C$5:$T$44,$CU44,CD$57),"")=0,"",IF(MID(IFERROR(INDEX(醫師週班表!$C$5:$T$44,$CU44,CD$57),""),2,1)="/",MID(IFERROR(INDEX(醫師週班表!$C$5:$T$44,$CU44,CD$57),""),1+CD$58*2,1),IF(MID(IFERROR(INDEX(醫師週班表!$C$5:$T$44,$CU44,CD$57),""),3,1)="隔",IF(CD$58=0,LEFT(IFERROR(INDEX(醫師週班表!$C$5:$T$44,$CU44,CD$57),""),1),""),IF(MID(IFERROR(INDEX(醫師週班表!$C$5:$T$44,$CU44,CD$57),""),2,1)="(",LEFT(IFERROR(INDEX(醫師週班表!$C$5:$T$44,$CU44,CD$57),""),1),IFERROR(INDEX(醫師週班表!$C$5:$T$44,$CU44,CD$57),"")))))))</f>
        <v/>
      </c>
      <c r="CE44" s="71">
        <f>IF(CE$59="X","",IF(CE$59&lt;&gt;"",CE$59,IF(IFERROR(INDEX(醫師週班表!$C$5:$T$44,$CU44,CE$57),"")=0,"",IF(MID(IFERROR(INDEX(醫師週班表!$C$5:$T$44,$CU44,CE$57),""),2,1)="/",MID(IFERROR(INDEX(醫師週班表!$C$5:$T$44,$CU44,CE$57),""),1+CE$58*2,1),IF(MID(IFERROR(INDEX(醫師週班表!$C$5:$T$44,$CU44,CE$57),""),3,1)="隔",IF(CE$58=0,LEFT(IFERROR(INDEX(醫師週班表!$C$5:$T$44,$CU44,CE$57),""),1),""),IF(MID(IFERROR(INDEX(醫師週班表!$C$5:$T$44,$CU44,CE$57),""),2,1)="(",LEFT(IFERROR(INDEX(醫師週班表!$C$5:$T$44,$CU44,CE$57),""),1),IFERROR(INDEX(醫師週班表!$C$5:$T$44,$CU44,CE$57),"")))))))</f>
        <v/>
      </c>
      <c r="CF44" s="72">
        <f>IF(CF$59="X","",IF(CF$59&lt;&gt;"",CF$59,IF(IFERROR(INDEX(醫師週班表!$C$5:$T$44,$CU44,CF$57),"")=0,"",IF(MID(IFERROR(INDEX(醫師週班表!$C$5:$T$44,$CU44,CF$57),""),2,1)="/",MID(IFERROR(INDEX(醫師週班表!$C$5:$T$44,$CU44,CF$57),""),1+CF$58*2,1),IF(MID(IFERROR(INDEX(醫師週班表!$C$5:$T$44,$CU44,CF$57),""),3,1)="隔",IF(CF$58=0,LEFT(IFERROR(INDEX(醫師週班表!$C$5:$T$44,$CU44,CF$57),""),1),""),IF(MID(IFERROR(INDEX(醫師週班表!$C$5:$T$44,$CU44,CF$57),""),2,1)="(",LEFT(IFERROR(INDEX(醫師週班表!$C$5:$T$44,$CU44,CF$57),""),1),IFERROR(INDEX(醫師週班表!$C$5:$T$44,$CU44,CF$57),"")))))))</f>
        <v/>
      </c>
      <c r="CG44" s="72">
        <f>IF(CG$59="X","",IF(CG$59&lt;&gt;"",CG$59,IF(IFERROR(INDEX(醫師週班表!$C$5:$T$44,$CU44,CG$57),"")=0,"",IF(MID(IFERROR(INDEX(醫師週班表!$C$5:$T$44,$CU44,CG$57),""),2,1)="/",MID(IFERROR(INDEX(醫師週班表!$C$5:$T$44,$CU44,CG$57),""),1+CG$58*2,1),IF(MID(IFERROR(INDEX(醫師週班表!$C$5:$T$44,$CU44,CG$57),""),3,1)="隔",IF(CG$58=0,LEFT(IFERROR(INDEX(醫師週班表!$C$5:$T$44,$CU44,CG$57),""),1),""),IF(MID(IFERROR(INDEX(醫師週班表!$C$5:$T$44,$CU44,CG$57),""),2,1)="(",LEFT(IFERROR(INDEX(醫師週班表!$C$5:$T$44,$CU44,CG$57),""),1),IFERROR(INDEX(醫師週班表!$C$5:$T$44,$CU44,CG$57),"")))))))</f>
        <v/>
      </c>
      <c r="CH44" s="71">
        <f>IF(CH$59="X","",IF(CH$59&lt;&gt;"",CH$59,IF(IFERROR(INDEX(醫師週班表!$C$5:$T$44,$CU44,CH$57),"")=0,"",IF(MID(IFERROR(INDEX(醫師週班表!$C$5:$T$44,$CU44,CH$57),""),2,1)="/",MID(IFERROR(INDEX(醫師週班表!$C$5:$T$44,$CU44,CH$57),""),1+CH$58*2,1),IF(MID(IFERROR(INDEX(醫師週班表!$C$5:$T$44,$CU44,CH$57),""),3,1)="隔",IF(CH$58=0,LEFT(IFERROR(INDEX(醫師週班表!$C$5:$T$44,$CU44,CH$57),""),1),""),IF(MID(IFERROR(INDEX(醫師週班表!$C$5:$T$44,$CU44,CH$57),""),2,1)="(",LEFT(IFERROR(INDEX(醫師週班表!$C$5:$T$44,$CU44,CH$57),""),1),IFERROR(INDEX(醫師週班表!$C$5:$T$44,$CU44,CH$57),"")))))))</f>
        <v/>
      </c>
      <c r="CI44" s="72">
        <f>IF(CI$59="X","",IF(CI$59&lt;&gt;"",CI$59,IF(IFERROR(INDEX(醫師週班表!$C$5:$T$44,$CU44,CI$57),"")=0,"",IF(MID(IFERROR(INDEX(醫師週班表!$C$5:$T$44,$CU44,CI$57),""),2,1)="/",MID(IFERROR(INDEX(醫師週班表!$C$5:$T$44,$CU44,CI$57),""),1+CI$58*2,1),IF(MID(IFERROR(INDEX(醫師週班表!$C$5:$T$44,$CU44,CI$57),""),3,1)="隔",IF(CI$58=0,LEFT(IFERROR(INDEX(醫師週班表!$C$5:$T$44,$CU44,CI$57),""),1),""),IF(MID(IFERROR(INDEX(醫師週班表!$C$5:$T$44,$CU44,CI$57),""),2,1)="(",LEFT(IFERROR(INDEX(醫師週班表!$C$5:$T$44,$CU44,CI$57),""),1),IFERROR(INDEX(醫師週班表!$C$5:$T$44,$CU44,CI$57),"")))))))</f>
        <v/>
      </c>
      <c r="CJ44" s="72">
        <f>IF(CJ$59="X","",IF(CJ$59&lt;&gt;"",CJ$59,IF(IFERROR(INDEX(醫師週班表!$C$5:$T$44,$CU44,CJ$57),"")=0,"",IF(MID(IFERROR(INDEX(醫師週班表!$C$5:$T$44,$CU44,CJ$57),""),2,1)="/",MID(IFERROR(INDEX(醫師週班表!$C$5:$T$44,$CU44,CJ$57),""),1+CJ$58*2,1),IF(MID(IFERROR(INDEX(醫師週班表!$C$5:$T$44,$CU44,CJ$57),""),3,1)="隔",IF(CJ$58=0,LEFT(IFERROR(INDEX(醫師週班表!$C$5:$T$44,$CU44,CJ$57),""),1),""),IF(MID(IFERROR(INDEX(醫師週班表!$C$5:$T$44,$CU44,CJ$57),""),2,1)="(",LEFT(IFERROR(INDEX(醫師週班表!$C$5:$T$44,$CU44,CJ$57),""),1),IFERROR(INDEX(醫師週班表!$C$5:$T$44,$CU44,CJ$57),"")))))))</f>
        <v/>
      </c>
      <c r="CK44" s="71">
        <f>IF(CK$59="X","",IF(CK$59&lt;&gt;"",CK$59,IF(IFERROR(INDEX(醫師週班表!$C$5:$T$44,$CU44,CK$57),"")=0,"",IF(MID(IFERROR(INDEX(醫師週班表!$C$5:$T$44,$CU44,CK$57),""),2,1)="/",MID(IFERROR(INDEX(醫師週班表!$C$5:$T$44,$CU44,CK$57),""),1+CK$58*2,1),IF(MID(IFERROR(INDEX(醫師週班表!$C$5:$T$44,$CU44,CK$57),""),3,1)="隔",IF(CK$58=0,LEFT(IFERROR(INDEX(醫師週班表!$C$5:$T$44,$CU44,CK$57),""),1),""),IF(MID(IFERROR(INDEX(醫師週班表!$C$5:$T$44,$CU44,CK$57),""),2,1)="(",LEFT(IFERROR(INDEX(醫師週班表!$C$5:$T$44,$CU44,CK$57),""),1),IFERROR(INDEX(醫師週班表!$C$5:$T$44,$CU44,CK$57),"")))))))</f>
        <v/>
      </c>
      <c r="CL44" s="72">
        <f>IF(CL$59="X","",IF(CL$59&lt;&gt;"",CL$59,IF(IFERROR(INDEX(醫師週班表!$C$5:$T$44,$CU44,CL$57),"")=0,"",IF(MID(IFERROR(INDEX(醫師週班表!$C$5:$T$44,$CU44,CL$57),""),2,1)="/",MID(IFERROR(INDEX(醫師週班表!$C$5:$T$44,$CU44,CL$57),""),1+CL$58*2,1),IF(MID(IFERROR(INDEX(醫師週班表!$C$5:$T$44,$CU44,CL$57),""),3,1)="隔",IF(CL$58=0,LEFT(IFERROR(INDEX(醫師週班表!$C$5:$T$44,$CU44,CL$57),""),1),""),IF(MID(IFERROR(INDEX(醫師週班表!$C$5:$T$44,$CU44,CL$57),""),2,1)="(",LEFT(IFERROR(INDEX(醫師週班表!$C$5:$T$44,$CU44,CL$57),""),1),IFERROR(INDEX(醫師週班表!$C$5:$T$44,$CU44,CL$57),"")))))))</f>
        <v/>
      </c>
      <c r="CM44" s="72">
        <f>IF(CM$59="X","",IF(CM$59&lt;&gt;"",CM$59,IF(IFERROR(INDEX(醫師週班表!$C$5:$T$44,$CU44,CM$57),"")=0,"",IF(MID(IFERROR(INDEX(醫師週班表!$C$5:$T$44,$CU44,CM$57),""),2,1)="/",MID(IFERROR(INDEX(醫師週班表!$C$5:$T$44,$CU44,CM$57),""),1+CM$58*2,1),IF(MID(IFERROR(INDEX(醫師週班表!$C$5:$T$44,$CU44,CM$57),""),3,1)="隔",IF(CM$58=0,LEFT(IFERROR(INDEX(醫師週班表!$C$5:$T$44,$CU44,CM$57),""),1),""),IF(MID(IFERROR(INDEX(醫師週班表!$C$5:$T$44,$CU44,CM$57),""),2,1)="(",LEFT(IFERROR(INDEX(醫師週班表!$C$5:$T$44,$CU44,CM$57),""),1),IFERROR(INDEX(醫師週班表!$C$5:$T$44,$CU44,CM$57),"")))))))</f>
        <v/>
      </c>
      <c r="CN44" s="71">
        <f>IF(CN$59="X","",IF(CN$59&lt;&gt;"",CN$59,IF(IFERROR(INDEX(醫師週班表!$C$5:$T$44,$CU44,CN$57),"")=0,"",IF(MID(IFERROR(INDEX(醫師週班表!$C$5:$T$44,$CU44,CN$57),""),2,1)="/",MID(IFERROR(INDEX(醫師週班表!$C$5:$T$44,$CU44,CN$57),""),1+CN$58*2,1),IF(MID(IFERROR(INDEX(醫師週班表!$C$5:$T$44,$CU44,CN$57),""),3,1)="隔",IF(CN$58=0,LEFT(IFERROR(INDEX(醫師週班表!$C$5:$T$44,$CU44,CN$57),""),1),""),IF(MID(IFERROR(INDEX(醫師週班表!$C$5:$T$44,$CU44,CN$57),""),2,1)="(",LEFT(IFERROR(INDEX(醫師週班表!$C$5:$T$44,$CU44,CN$57),""),1),IFERROR(INDEX(醫師週班表!$C$5:$T$44,$CU44,CN$57),"")))))))</f>
        <v/>
      </c>
      <c r="CO44" s="72">
        <f>IF(CO$59="X","",IF(CO$59&lt;&gt;"",CO$59,IF(IFERROR(INDEX(醫師週班表!$C$5:$T$44,$CU44,CO$57),"")=0,"",IF(MID(IFERROR(INDEX(醫師週班表!$C$5:$T$44,$CU44,CO$57),""),2,1)="/",MID(IFERROR(INDEX(醫師週班表!$C$5:$T$44,$CU44,CO$57),""),1+CO$58*2,1),IF(MID(IFERROR(INDEX(醫師週班表!$C$5:$T$44,$CU44,CO$57),""),3,1)="隔",IF(CO$58=0,LEFT(IFERROR(INDEX(醫師週班表!$C$5:$T$44,$CU44,CO$57),""),1),""),IF(MID(IFERROR(INDEX(醫師週班表!$C$5:$T$44,$CU44,CO$57),""),2,1)="(",LEFT(IFERROR(INDEX(醫師週班表!$C$5:$T$44,$CU44,CO$57),""),1),IFERROR(INDEX(醫師週班表!$C$5:$T$44,$CU44,CO$57),"")))))))</f>
        <v/>
      </c>
      <c r="CP44" s="72">
        <f>IF(CP$59="X","",IF(CP$59&lt;&gt;"",CP$59,IF(IFERROR(INDEX(醫師週班表!$C$5:$T$44,$CU44,CP$57),"")=0,"",IF(MID(IFERROR(INDEX(醫師週班表!$C$5:$T$44,$CU44,CP$57),""),2,1)="/",MID(IFERROR(INDEX(醫師週班表!$C$5:$T$44,$CU44,CP$57),""),1+CP$58*2,1),IF(MID(IFERROR(INDEX(醫師週班表!$C$5:$T$44,$CU44,CP$57),""),3,1)="隔",IF(CP$58=0,LEFT(IFERROR(INDEX(醫師週班表!$C$5:$T$44,$CU44,CP$57),""),1),""),IF(MID(IFERROR(INDEX(醫師週班表!$C$5:$T$44,$CU44,CP$57),""),2,1)="(",LEFT(IFERROR(INDEX(醫師週班表!$C$5:$T$44,$CU44,CP$57),""),1),IFERROR(INDEX(醫師週班表!$C$5:$T$44,$CU44,CP$57),"")))))))</f>
        <v/>
      </c>
      <c r="CQ44" s="71">
        <f>IF(CQ$59="X","",IF(CQ$59&lt;&gt;"",CQ$59,IF(IFERROR(INDEX(醫師週班表!$C$5:$T$44,$CU44,CQ$57),"")=0,"",IF(MID(IFERROR(INDEX(醫師週班表!$C$5:$T$44,$CU44,CQ$57),""),2,1)="/",MID(IFERROR(INDEX(醫師週班表!$C$5:$T$44,$CU44,CQ$57),""),1+CQ$58*2,1),IF(MID(IFERROR(INDEX(醫師週班表!$C$5:$T$44,$CU44,CQ$57),""),3,1)="隔",IF(CQ$58=0,LEFT(IFERROR(INDEX(醫師週班表!$C$5:$T$44,$CU44,CQ$57),""),1),""),IF(MID(IFERROR(INDEX(醫師週班表!$C$5:$T$44,$CU44,CQ$57),""),2,1)="(",LEFT(IFERROR(INDEX(醫師週班表!$C$5:$T$44,$CU44,CQ$57),""),1),IFERROR(INDEX(醫師週班表!$C$5:$T$44,$CU44,CQ$57),"")))))))</f>
        <v/>
      </c>
      <c r="CR44" s="72">
        <f>IF(CR$59="X","",IF(CR$59&lt;&gt;"",CR$59,IF(IFERROR(INDEX(醫師週班表!$C$5:$T$44,$CU44,CR$57),"")=0,"",IF(MID(IFERROR(INDEX(醫師週班表!$C$5:$T$44,$CU44,CR$57),""),2,1)="/",MID(IFERROR(INDEX(醫師週班表!$C$5:$T$44,$CU44,CR$57),""),1+CR$58*2,1),IF(MID(IFERROR(INDEX(醫師週班表!$C$5:$T$44,$CU44,CR$57),""),3,1)="隔",IF(CR$58=0,LEFT(IFERROR(INDEX(醫師週班表!$C$5:$T$44,$CU44,CR$57),""),1),""),IF(MID(IFERROR(INDEX(醫師週班表!$C$5:$T$44,$CU44,CR$57),""),2,1)="(",LEFT(IFERROR(INDEX(醫師週班表!$C$5:$T$44,$CU44,CR$57),""),1),IFERROR(INDEX(醫師週班表!$C$5:$T$44,$CU44,CR$57),"")))))))</f>
        <v/>
      </c>
      <c r="CS44" s="72">
        <f>IF(CS$59="X","",IF(CS$59&lt;&gt;"",CS$59,IF(IFERROR(INDEX(醫師週班表!$C$5:$T$44,$CU44,CS$57),"")=0,"",IF(MID(IFERROR(INDEX(醫師週班表!$C$5:$T$44,$CU44,CS$57),""),2,1)="/",MID(IFERROR(INDEX(醫師週班表!$C$5:$T$44,$CU44,CS$57),""),1+CS$58*2,1),IF(MID(IFERROR(INDEX(醫師週班表!$C$5:$T$44,$CU44,CS$57),""),3,1)="隔",IF(CS$58=0,LEFT(IFERROR(INDEX(醫師週班表!$C$5:$T$44,$CU44,CS$57),""),1),""),IF(MID(IFERROR(INDEX(醫師週班表!$C$5:$T$44,$CU44,CS$57),""),2,1)="(",LEFT(IFERROR(INDEX(醫師週班表!$C$5:$T$44,$CU44,CS$57),""),1),IFERROR(INDEX(醫師週班表!$C$5:$T$44,$CU44,CS$57),"")))))))</f>
        <v/>
      </c>
      <c r="CU44" s="73">
        <f>IFERROR(MATCH($A44,醫師週班表!$A$5:$A$44,0),0)</f>
        <v/>
      </c>
    </row>
    <row r="45" ht="17" customHeight="1">
      <c r="A45" s="19" t="n"/>
      <c r="B45" s="16">
        <f>IFERROR(INDEX(設定!$C$64:$C$203,MATCH($A45,設定!$B$64:$B$203,0)),"")</f>
        <v/>
      </c>
      <c r="C45" s="70">
        <f>IFERROR(INDEX(設定!$E$64:$E$203,MATCH($A45,設定!$B$64:$B$203,0)),"")</f>
        <v/>
      </c>
      <c r="D45" s="16">
        <f>IFERROR(INDEX(設定!$F$64:$F$203,MATCH($A45,設定!$B$64:$B$203,0)),"")</f>
        <v/>
      </c>
      <c r="E45" s="71">
        <f>IF(E$59="X","",IF(E$59&lt;&gt;"",E$59,IF(IFERROR(INDEX(醫師週班表!$C$5:$T$44,$CU45,E$57),"")=0,"",IF(MID(IFERROR(INDEX(醫師週班表!$C$5:$T$44,$CU45,E$57),""),2,1)="/",MID(IFERROR(INDEX(醫師週班表!$C$5:$T$44,$CU45,E$57),""),1+E$58*2,1),IF(MID(IFERROR(INDEX(醫師週班表!$C$5:$T$44,$CU45,E$57),""),3,1)="隔",IF(E$58=0,LEFT(IFERROR(INDEX(醫師週班表!$C$5:$T$44,$CU45,E$57),""),1),""),IF(MID(IFERROR(INDEX(醫師週班表!$C$5:$T$44,$CU45,E$57),""),2,1)="(",LEFT(IFERROR(INDEX(醫師週班表!$C$5:$T$44,$CU45,E$57),""),1),IFERROR(INDEX(醫師週班表!$C$5:$T$44,$CU45,E$57),"")))))))</f>
        <v/>
      </c>
      <c r="F45" s="72">
        <f>IF(F$59="X","",IF(F$59&lt;&gt;"",F$59,IF(IFERROR(INDEX(醫師週班表!$C$5:$T$44,$CU45,F$57),"")=0,"",IF(MID(IFERROR(INDEX(醫師週班表!$C$5:$T$44,$CU45,F$57),""),2,1)="/",MID(IFERROR(INDEX(醫師週班表!$C$5:$T$44,$CU45,F$57),""),1+F$58*2,1),IF(MID(IFERROR(INDEX(醫師週班表!$C$5:$T$44,$CU45,F$57),""),3,1)="隔",IF(F$58=0,LEFT(IFERROR(INDEX(醫師週班表!$C$5:$T$44,$CU45,F$57),""),1),""),IF(MID(IFERROR(INDEX(醫師週班表!$C$5:$T$44,$CU45,F$57),""),2,1)="(",LEFT(IFERROR(INDEX(醫師週班表!$C$5:$T$44,$CU45,F$57),""),1),IFERROR(INDEX(醫師週班表!$C$5:$T$44,$CU45,F$57),"")))))))</f>
        <v/>
      </c>
      <c r="G45" s="72">
        <f>IF(G$59="X","",IF(G$59&lt;&gt;"",G$59,IF(IFERROR(INDEX(醫師週班表!$C$5:$T$44,$CU45,G$57),"")=0,"",IF(MID(IFERROR(INDEX(醫師週班表!$C$5:$T$44,$CU45,G$57),""),2,1)="/",MID(IFERROR(INDEX(醫師週班表!$C$5:$T$44,$CU45,G$57),""),1+G$58*2,1),IF(MID(IFERROR(INDEX(醫師週班表!$C$5:$T$44,$CU45,G$57),""),3,1)="隔",IF(G$58=0,LEFT(IFERROR(INDEX(醫師週班表!$C$5:$T$44,$CU45,G$57),""),1),""),IF(MID(IFERROR(INDEX(醫師週班表!$C$5:$T$44,$CU45,G$57),""),2,1)="(",LEFT(IFERROR(INDEX(醫師週班表!$C$5:$T$44,$CU45,G$57),""),1),IFERROR(INDEX(醫師週班表!$C$5:$T$44,$CU45,G$57),"")))))))</f>
        <v/>
      </c>
      <c r="H45" s="71">
        <f>IF(H$59="X","",IF(H$59&lt;&gt;"",H$59,IF(IFERROR(INDEX(醫師週班表!$C$5:$T$44,$CU45,H$57),"")=0,"",IF(MID(IFERROR(INDEX(醫師週班表!$C$5:$T$44,$CU45,H$57),""),2,1)="/",MID(IFERROR(INDEX(醫師週班表!$C$5:$T$44,$CU45,H$57),""),1+H$58*2,1),IF(MID(IFERROR(INDEX(醫師週班表!$C$5:$T$44,$CU45,H$57),""),3,1)="隔",IF(H$58=0,LEFT(IFERROR(INDEX(醫師週班表!$C$5:$T$44,$CU45,H$57),""),1),""),IF(MID(IFERROR(INDEX(醫師週班表!$C$5:$T$44,$CU45,H$57),""),2,1)="(",LEFT(IFERROR(INDEX(醫師週班表!$C$5:$T$44,$CU45,H$57),""),1),IFERROR(INDEX(醫師週班表!$C$5:$T$44,$CU45,H$57),"")))))))</f>
        <v/>
      </c>
      <c r="I45" s="72">
        <f>IF(I$59="X","",IF(I$59&lt;&gt;"",I$59,IF(IFERROR(INDEX(醫師週班表!$C$5:$T$44,$CU45,I$57),"")=0,"",IF(MID(IFERROR(INDEX(醫師週班表!$C$5:$T$44,$CU45,I$57),""),2,1)="/",MID(IFERROR(INDEX(醫師週班表!$C$5:$T$44,$CU45,I$57),""),1+I$58*2,1),IF(MID(IFERROR(INDEX(醫師週班表!$C$5:$T$44,$CU45,I$57),""),3,1)="隔",IF(I$58=0,LEFT(IFERROR(INDEX(醫師週班表!$C$5:$T$44,$CU45,I$57),""),1),""),IF(MID(IFERROR(INDEX(醫師週班表!$C$5:$T$44,$CU45,I$57),""),2,1)="(",LEFT(IFERROR(INDEX(醫師週班表!$C$5:$T$44,$CU45,I$57),""),1),IFERROR(INDEX(醫師週班表!$C$5:$T$44,$CU45,I$57),"")))))))</f>
        <v/>
      </c>
      <c r="J45" s="72">
        <f>IF(J$59="X","",IF(J$59&lt;&gt;"",J$59,IF(IFERROR(INDEX(醫師週班表!$C$5:$T$44,$CU45,J$57),"")=0,"",IF(MID(IFERROR(INDEX(醫師週班表!$C$5:$T$44,$CU45,J$57),""),2,1)="/",MID(IFERROR(INDEX(醫師週班表!$C$5:$T$44,$CU45,J$57),""),1+J$58*2,1),IF(MID(IFERROR(INDEX(醫師週班表!$C$5:$T$44,$CU45,J$57),""),3,1)="隔",IF(J$58=0,LEFT(IFERROR(INDEX(醫師週班表!$C$5:$T$44,$CU45,J$57),""),1),""),IF(MID(IFERROR(INDEX(醫師週班表!$C$5:$T$44,$CU45,J$57),""),2,1)="(",LEFT(IFERROR(INDEX(醫師週班表!$C$5:$T$44,$CU45,J$57),""),1),IFERROR(INDEX(醫師週班表!$C$5:$T$44,$CU45,J$57),"")))))))</f>
        <v/>
      </c>
      <c r="K45" s="71">
        <f>IF(K$59="X","",IF(K$59&lt;&gt;"",K$59,IF(IFERROR(INDEX(醫師週班表!$C$5:$T$44,$CU45,K$57),"")=0,"",IF(MID(IFERROR(INDEX(醫師週班表!$C$5:$T$44,$CU45,K$57),""),2,1)="/",MID(IFERROR(INDEX(醫師週班表!$C$5:$T$44,$CU45,K$57),""),1+K$58*2,1),IF(MID(IFERROR(INDEX(醫師週班表!$C$5:$T$44,$CU45,K$57),""),3,1)="隔",IF(K$58=0,LEFT(IFERROR(INDEX(醫師週班表!$C$5:$T$44,$CU45,K$57),""),1),""),IF(MID(IFERROR(INDEX(醫師週班表!$C$5:$T$44,$CU45,K$57),""),2,1)="(",LEFT(IFERROR(INDEX(醫師週班表!$C$5:$T$44,$CU45,K$57),""),1),IFERROR(INDEX(醫師週班表!$C$5:$T$44,$CU45,K$57),"")))))))</f>
        <v/>
      </c>
      <c r="L45" s="72">
        <f>IF(L$59="X","",IF(L$59&lt;&gt;"",L$59,IF(IFERROR(INDEX(醫師週班表!$C$5:$T$44,$CU45,L$57),"")=0,"",IF(MID(IFERROR(INDEX(醫師週班表!$C$5:$T$44,$CU45,L$57),""),2,1)="/",MID(IFERROR(INDEX(醫師週班表!$C$5:$T$44,$CU45,L$57),""),1+L$58*2,1),IF(MID(IFERROR(INDEX(醫師週班表!$C$5:$T$44,$CU45,L$57),""),3,1)="隔",IF(L$58=0,LEFT(IFERROR(INDEX(醫師週班表!$C$5:$T$44,$CU45,L$57),""),1),""),IF(MID(IFERROR(INDEX(醫師週班表!$C$5:$T$44,$CU45,L$57),""),2,1)="(",LEFT(IFERROR(INDEX(醫師週班表!$C$5:$T$44,$CU45,L$57),""),1),IFERROR(INDEX(醫師週班表!$C$5:$T$44,$CU45,L$57),"")))))))</f>
        <v/>
      </c>
      <c r="M45" s="72">
        <f>IF(M$59="X","",IF(M$59&lt;&gt;"",M$59,IF(IFERROR(INDEX(醫師週班表!$C$5:$T$44,$CU45,M$57),"")=0,"",IF(MID(IFERROR(INDEX(醫師週班表!$C$5:$T$44,$CU45,M$57),""),2,1)="/",MID(IFERROR(INDEX(醫師週班表!$C$5:$T$44,$CU45,M$57),""),1+M$58*2,1),IF(MID(IFERROR(INDEX(醫師週班表!$C$5:$T$44,$CU45,M$57),""),3,1)="隔",IF(M$58=0,LEFT(IFERROR(INDEX(醫師週班表!$C$5:$T$44,$CU45,M$57),""),1),""),IF(MID(IFERROR(INDEX(醫師週班表!$C$5:$T$44,$CU45,M$57),""),2,1)="(",LEFT(IFERROR(INDEX(醫師週班表!$C$5:$T$44,$CU45,M$57),""),1),IFERROR(INDEX(醫師週班表!$C$5:$T$44,$CU45,M$57),"")))))))</f>
        <v/>
      </c>
      <c r="N45" s="71">
        <f>IF(N$59="X","",IF(N$59&lt;&gt;"",N$59,IF(IFERROR(INDEX(醫師週班表!$C$5:$T$44,$CU45,N$57),"")=0,"",IF(MID(IFERROR(INDEX(醫師週班表!$C$5:$T$44,$CU45,N$57),""),2,1)="/",MID(IFERROR(INDEX(醫師週班表!$C$5:$T$44,$CU45,N$57),""),1+N$58*2,1),IF(MID(IFERROR(INDEX(醫師週班表!$C$5:$T$44,$CU45,N$57),""),3,1)="隔",IF(N$58=0,LEFT(IFERROR(INDEX(醫師週班表!$C$5:$T$44,$CU45,N$57),""),1),""),IF(MID(IFERROR(INDEX(醫師週班表!$C$5:$T$44,$CU45,N$57),""),2,1)="(",LEFT(IFERROR(INDEX(醫師週班表!$C$5:$T$44,$CU45,N$57),""),1),IFERROR(INDEX(醫師週班表!$C$5:$T$44,$CU45,N$57),"")))))))</f>
        <v/>
      </c>
      <c r="O45" s="72">
        <f>IF(O$59="X","",IF(O$59&lt;&gt;"",O$59,IF(IFERROR(INDEX(醫師週班表!$C$5:$T$44,$CU45,O$57),"")=0,"",IF(MID(IFERROR(INDEX(醫師週班表!$C$5:$T$44,$CU45,O$57),""),2,1)="/",MID(IFERROR(INDEX(醫師週班表!$C$5:$T$44,$CU45,O$57),""),1+O$58*2,1),IF(MID(IFERROR(INDEX(醫師週班表!$C$5:$T$44,$CU45,O$57),""),3,1)="隔",IF(O$58=0,LEFT(IFERROR(INDEX(醫師週班表!$C$5:$T$44,$CU45,O$57),""),1),""),IF(MID(IFERROR(INDEX(醫師週班表!$C$5:$T$44,$CU45,O$57),""),2,1)="(",LEFT(IFERROR(INDEX(醫師週班表!$C$5:$T$44,$CU45,O$57),""),1),IFERROR(INDEX(醫師週班表!$C$5:$T$44,$CU45,O$57),"")))))))</f>
        <v/>
      </c>
      <c r="P45" s="72">
        <f>IF(P$59="X","",IF(P$59&lt;&gt;"",P$59,IF(IFERROR(INDEX(醫師週班表!$C$5:$T$44,$CU45,P$57),"")=0,"",IF(MID(IFERROR(INDEX(醫師週班表!$C$5:$T$44,$CU45,P$57),""),2,1)="/",MID(IFERROR(INDEX(醫師週班表!$C$5:$T$44,$CU45,P$57),""),1+P$58*2,1),IF(MID(IFERROR(INDEX(醫師週班表!$C$5:$T$44,$CU45,P$57),""),3,1)="隔",IF(P$58=0,LEFT(IFERROR(INDEX(醫師週班表!$C$5:$T$44,$CU45,P$57),""),1),""),IF(MID(IFERROR(INDEX(醫師週班表!$C$5:$T$44,$CU45,P$57),""),2,1)="(",LEFT(IFERROR(INDEX(醫師週班表!$C$5:$T$44,$CU45,P$57),""),1),IFERROR(INDEX(醫師週班表!$C$5:$T$44,$CU45,P$57),"")))))))</f>
        <v/>
      </c>
      <c r="Q45" s="71">
        <f>IF(Q$59="X","",IF(Q$59&lt;&gt;"",Q$59,IF(IFERROR(INDEX(醫師週班表!$C$5:$T$44,$CU45,Q$57),"")=0,"",IF(MID(IFERROR(INDEX(醫師週班表!$C$5:$T$44,$CU45,Q$57),""),2,1)="/",MID(IFERROR(INDEX(醫師週班表!$C$5:$T$44,$CU45,Q$57),""),1+Q$58*2,1),IF(MID(IFERROR(INDEX(醫師週班表!$C$5:$T$44,$CU45,Q$57),""),3,1)="隔",IF(Q$58=0,LEFT(IFERROR(INDEX(醫師週班表!$C$5:$T$44,$CU45,Q$57),""),1),""),IF(MID(IFERROR(INDEX(醫師週班表!$C$5:$T$44,$CU45,Q$57),""),2,1)="(",LEFT(IFERROR(INDEX(醫師週班表!$C$5:$T$44,$CU45,Q$57),""),1),IFERROR(INDEX(醫師週班表!$C$5:$T$44,$CU45,Q$57),"")))))))</f>
        <v/>
      </c>
      <c r="R45" s="72">
        <f>IF(R$59="X","",IF(R$59&lt;&gt;"",R$59,IF(IFERROR(INDEX(醫師週班表!$C$5:$T$44,$CU45,R$57),"")=0,"",IF(MID(IFERROR(INDEX(醫師週班表!$C$5:$T$44,$CU45,R$57),""),2,1)="/",MID(IFERROR(INDEX(醫師週班表!$C$5:$T$44,$CU45,R$57),""),1+R$58*2,1),IF(MID(IFERROR(INDEX(醫師週班表!$C$5:$T$44,$CU45,R$57),""),3,1)="隔",IF(R$58=0,LEFT(IFERROR(INDEX(醫師週班表!$C$5:$T$44,$CU45,R$57),""),1),""),IF(MID(IFERROR(INDEX(醫師週班表!$C$5:$T$44,$CU45,R$57),""),2,1)="(",LEFT(IFERROR(INDEX(醫師週班表!$C$5:$T$44,$CU45,R$57),""),1),IFERROR(INDEX(醫師週班表!$C$5:$T$44,$CU45,R$57),"")))))))</f>
        <v/>
      </c>
      <c r="S45" s="72">
        <f>IF(S$59="X","",IF(S$59&lt;&gt;"",S$59,IF(IFERROR(INDEX(醫師週班表!$C$5:$T$44,$CU45,S$57),"")=0,"",IF(MID(IFERROR(INDEX(醫師週班表!$C$5:$T$44,$CU45,S$57),""),2,1)="/",MID(IFERROR(INDEX(醫師週班表!$C$5:$T$44,$CU45,S$57),""),1+S$58*2,1),IF(MID(IFERROR(INDEX(醫師週班表!$C$5:$T$44,$CU45,S$57),""),3,1)="隔",IF(S$58=0,LEFT(IFERROR(INDEX(醫師週班表!$C$5:$T$44,$CU45,S$57),""),1),""),IF(MID(IFERROR(INDEX(醫師週班表!$C$5:$T$44,$CU45,S$57),""),2,1)="(",LEFT(IFERROR(INDEX(醫師週班表!$C$5:$T$44,$CU45,S$57),""),1),IFERROR(INDEX(醫師週班表!$C$5:$T$44,$CU45,S$57),"")))))))</f>
        <v/>
      </c>
      <c r="T45" s="71">
        <f>IF(T$59="X","",IF(T$59&lt;&gt;"",T$59,IF(IFERROR(INDEX(醫師週班表!$C$5:$T$44,$CU45,T$57),"")=0,"",IF(MID(IFERROR(INDEX(醫師週班表!$C$5:$T$44,$CU45,T$57),""),2,1)="/",MID(IFERROR(INDEX(醫師週班表!$C$5:$T$44,$CU45,T$57),""),1+T$58*2,1),IF(MID(IFERROR(INDEX(醫師週班表!$C$5:$T$44,$CU45,T$57),""),3,1)="隔",IF(T$58=0,LEFT(IFERROR(INDEX(醫師週班表!$C$5:$T$44,$CU45,T$57),""),1),""),IF(MID(IFERROR(INDEX(醫師週班表!$C$5:$T$44,$CU45,T$57),""),2,1)="(",LEFT(IFERROR(INDEX(醫師週班表!$C$5:$T$44,$CU45,T$57),""),1),IFERROR(INDEX(醫師週班表!$C$5:$T$44,$CU45,T$57),"")))))))</f>
        <v/>
      </c>
      <c r="U45" s="72">
        <f>IF(U$59="X","",IF(U$59&lt;&gt;"",U$59,IF(IFERROR(INDEX(醫師週班表!$C$5:$T$44,$CU45,U$57),"")=0,"",IF(MID(IFERROR(INDEX(醫師週班表!$C$5:$T$44,$CU45,U$57),""),2,1)="/",MID(IFERROR(INDEX(醫師週班表!$C$5:$T$44,$CU45,U$57),""),1+U$58*2,1),IF(MID(IFERROR(INDEX(醫師週班表!$C$5:$T$44,$CU45,U$57),""),3,1)="隔",IF(U$58=0,LEFT(IFERROR(INDEX(醫師週班表!$C$5:$T$44,$CU45,U$57),""),1),""),IF(MID(IFERROR(INDEX(醫師週班表!$C$5:$T$44,$CU45,U$57),""),2,1)="(",LEFT(IFERROR(INDEX(醫師週班表!$C$5:$T$44,$CU45,U$57),""),1),IFERROR(INDEX(醫師週班表!$C$5:$T$44,$CU45,U$57),"")))))))</f>
        <v/>
      </c>
      <c r="V45" s="72">
        <f>IF(V$59="X","",IF(V$59&lt;&gt;"",V$59,IF(IFERROR(INDEX(醫師週班表!$C$5:$T$44,$CU45,V$57),"")=0,"",IF(MID(IFERROR(INDEX(醫師週班表!$C$5:$T$44,$CU45,V$57),""),2,1)="/",MID(IFERROR(INDEX(醫師週班表!$C$5:$T$44,$CU45,V$57),""),1+V$58*2,1),IF(MID(IFERROR(INDEX(醫師週班表!$C$5:$T$44,$CU45,V$57),""),3,1)="隔",IF(V$58=0,LEFT(IFERROR(INDEX(醫師週班表!$C$5:$T$44,$CU45,V$57),""),1),""),IF(MID(IFERROR(INDEX(醫師週班表!$C$5:$T$44,$CU45,V$57),""),2,1)="(",LEFT(IFERROR(INDEX(醫師週班表!$C$5:$T$44,$CU45,V$57),""),1),IFERROR(INDEX(醫師週班表!$C$5:$T$44,$CU45,V$57),"")))))))</f>
        <v/>
      </c>
      <c r="W45" s="71">
        <f>IF(W$59="X","",IF(W$59&lt;&gt;"",W$59,IF(IFERROR(INDEX(醫師週班表!$C$5:$T$44,$CU45,W$57),"")=0,"",IF(MID(IFERROR(INDEX(醫師週班表!$C$5:$T$44,$CU45,W$57),""),2,1)="/",MID(IFERROR(INDEX(醫師週班表!$C$5:$T$44,$CU45,W$57),""),1+W$58*2,1),IF(MID(IFERROR(INDEX(醫師週班表!$C$5:$T$44,$CU45,W$57),""),3,1)="隔",IF(W$58=0,LEFT(IFERROR(INDEX(醫師週班表!$C$5:$T$44,$CU45,W$57),""),1),""),IF(MID(IFERROR(INDEX(醫師週班表!$C$5:$T$44,$CU45,W$57),""),2,1)="(",LEFT(IFERROR(INDEX(醫師週班表!$C$5:$T$44,$CU45,W$57),""),1),IFERROR(INDEX(醫師週班表!$C$5:$T$44,$CU45,W$57),"")))))))</f>
        <v/>
      </c>
      <c r="X45" s="72">
        <f>IF(X$59="X","",IF(X$59&lt;&gt;"",X$59,IF(IFERROR(INDEX(醫師週班表!$C$5:$T$44,$CU45,X$57),"")=0,"",IF(MID(IFERROR(INDEX(醫師週班表!$C$5:$T$44,$CU45,X$57),""),2,1)="/",MID(IFERROR(INDEX(醫師週班表!$C$5:$T$44,$CU45,X$57),""),1+X$58*2,1),IF(MID(IFERROR(INDEX(醫師週班表!$C$5:$T$44,$CU45,X$57),""),3,1)="隔",IF(X$58=0,LEFT(IFERROR(INDEX(醫師週班表!$C$5:$T$44,$CU45,X$57),""),1),""),IF(MID(IFERROR(INDEX(醫師週班表!$C$5:$T$44,$CU45,X$57),""),2,1)="(",LEFT(IFERROR(INDEX(醫師週班表!$C$5:$T$44,$CU45,X$57),""),1),IFERROR(INDEX(醫師週班表!$C$5:$T$44,$CU45,X$57),"")))))))</f>
        <v/>
      </c>
      <c r="Y45" s="72">
        <f>IF(Y$59="X","",IF(Y$59&lt;&gt;"",Y$59,IF(IFERROR(INDEX(醫師週班表!$C$5:$T$44,$CU45,Y$57),"")=0,"",IF(MID(IFERROR(INDEX(醫師週班表!$C$5:$T$44,$CU45,Y$57),""),2,1)="/",MID(IFERROR(INDEX(醫師週班表!$C$5:$T$44,$CU45,Y$57),""),1+Y$58*2,1),IF(MID(IFERROR(INDEX(醫師週班表!$C$5:$T$44,$CU45,Y$57),""),3,1)="隔",IF(Y$58=0,LEFT(IFERROR(INDEX(醫師週班表!$C$5:$T$44,$CU45,Y$57),""),1),""),IF(MID(IFERROR(INDEX(醫師週班表!$C$5:$T$44,$CU45,Y$57),""),2,1)="(",LEFT(IFERROR(INDEX(醫師週班表!$C$5:$T$44,$CU45,Y$57),""),1),IFERROR(INDEX(醫師週班表!$C$5:$T$44,$CU45,Y$57),"")))))))</f>
        <v/>
      </c>
      <c r="Z45" s="71">
        <f>IF(Z$59="X","",IF(Z$59&lt;&gt;"",Z$59,IF(IFERROR(INDEX(醫師週班表!$C$5:$T$44,$CU45,Z$57),"")=0,"",IF(MID(IFERROR(INDEX(醫師週班表!$C$5:$T$44,$CU45,Z$57),""),2,1)="/",MID(IFERROR(INDEX(醫師週班表!$C$5:$T$44,$CU45,Z$57),""),1+Z$58*2,1),IF(MID(IFERROR(INDEX(醫師週班表!$C$5:$T$44,$CU45,Z$57),""),3,1)="隔",IF(Z$58=0,LEFT(IFERROR(INDEX(醫師週班表!$C$5:$T$44,$CU45,Z$57),""),1),""),IF(MID(IFERROR(INDEX(醫師週班表!$C$5:$T$44,$CU45,Z$57),""),2,1)="(",LEFT(IFERROR(INDEX(醫師週班表!$C$5:$T$44,$CU45,Z$57),""),1),IFERROR(INDEX(醫師週班表!$C$5:$T$44,$CU45,Z$57),"")))))))</f>
        <v/>
      </c>
      <c r="AA45" s="72">
        <f>IF(AA$59="X","",IF(AA$59&lt;&gt;"",AA$59,IF(IFERROR(INDEX(醫師週班表!$C$5:$T$44,$CU45,AA$57),"")=0,"",IF(MID(IFERROR(INDEX(醫師週班表!$C$5:$T$44,$CU45,AA$57),""),2,1)="/",MID(IFERROR(INDEX(醫師週班表!$C$5:$T$44,$CU45,AA$57),""),1+AA$58*2,1),IF(MID(IFERROR(INDEX(醫師週班表!$C$5:$T$44,$CU45,AA$57),""),3,1)="隔",IF(AA$58=0,LEFT(IFERROR(INDEX(醫師週班表!$C$5:$T$44,$CU45,AA$57),""),1),""),IF(MID(IFERROR(INDEX(醫師週班表!$C$5:$T$44,$CU45,AA$57),""),2,1)="(",LEFT(IFERROR(INDEX(醫師週班表!$C$5:$T$44,$CU45,AA$57),""),1),IFERROR(INDEX(醫師週班表!$C$5:$T$44,$CU45,AA$57),"")))))))</f>
        <v/>
      </c>
      <c r="AB45" s="72">
        <f>IF(AB$59="X","",IF(AB$59&lt;&gt;"",AB$59,IF(IFERROR(INDEX(醫師週班表!$C$5:$T$44,$CU45,AB$57),"")=0,"",IF(MID(IFERROR(INDEX(醫師週班表!$C$5:$T$44,$CU45,AB$57),""),2,1)="/",MID(IFERROR(INDEX(醫師週班表!$C$5:$T$44,$CU45,AB$57),""),1+AB$58*2,1),IF(MID(IFERROR(INDEX(醫師週班表!$C$5:$T$44,$CU45,AB$57),""),3,1)="隔",IF(AB$58=0,LEFT(IFERROR(INDEX(醫師週班表!$C$5:$T$44,$CU45,AB$57),""),1),""),IF(MID(IFERROR(INDEX(醫師週班表!$C$5:$T$44,$CU45,AB$57),""),2,1)="(",LEFT(IFERROR(INDEX(醫師週班表!$C$5:$T$44,$CU45,AB$57),""),1),IFERROR(INDEX(醫師週班表!$C$5:$T$44,$CU45,AB$57),"")))))))</f>
        <v/>
      </c>
      <c r="AC45" s="71">
        <f>IF(AC$59="X","",IF(AC$59&lt;&gt;"",AC$59,IF(IFERROR(INDEX(醫師週班表!$C$5:$T$44,$CU45,AC$57),"")=0,"",IF(MID(IFERROR(INDEX(醫師週班表!$C$5:$T$44,$CU45,AC$57),""),2,1)="/",MID(IFERROR(INDEX(醫師週班表!$C$5:$T$44,$CU45,AC$57),""),1+AC$58*2,1),IF(MID(IFERROR(INDEX(醫師週班表!$C$5:$T$44,$CU45,AC$57),""),3,1)="隔",IF(AC$58=0,LEFT(IFERROR(INDEX(醫師週班表!$C$5:$T$44,$CU45,AC$57),""),1),""),IF(MID(IFERROR(INDEX(醫師週班表!$C$5:$T$44,$CU45,AC$57),""),2,1)="(",LEFT(IFERROR(INDEX(醫師週班表!$C$5:$T$44,$CU45,AC$57),""),1),IFERROR(INDEX(醫師週班表!$C$5:$T$44,$CU45,AC$57),"")))))))</f>
        <v/>
      </c>
      <c r="AD45" s="72">
        <f>IF(AD$59="X","",IF(AD$59&lt;&gt;"",AD$59,IF(IFERROR(INDEX(醫師週班表!$C$5:$T$44,$CU45,AD$57),"")=0,"",IF(MID(IFERROR(INDEX(醫師週班表!$C$5:$T$44,$CU45,AD$57),""),2,1)="/",MID(IFERROR(INDEX(醫師週班表!$C$5:$T$44,$CU45,AD$57),""),1+AD$58*2,1),IF(MID(IFERROR(INDEX(醫師週班表!$C$5:$T$44,$CU45,AD$57),""),3,1)="隔",IF(AD$58=0,LEFT(IFERROR(INDEX(醫師週班表!$C$5:$T$44,$CU45,AD$57),""),1),""),IF(MID(IFERROR(INDEX(醫師週班表!$C$5:$T$44,$CU45,AD$57),""),2,1)="(",LEFT(IFERROR(INDEX(醫師週班表!$C$5:$T$44,$CU45,AD$57),""),1),IFERROR(INDEX(醫師週班表!$C$5:$T$44,$CU45,AD$57),"")))))))</f>
        <v/>
      </c>
      <c r="AE45" s="72">
        <f>IF(AE$59="X","",IF(AE$59&lt;&gt;"",AE$59,IF(IFERROR(INDEX(醫師週班表!$C$5:$T$44,$CU45,AE$57),"")=0,"",IF(MID(IFERROR(INDEX(醫師週班表!$C$5:$T$44,$CU45,AE$57),""),2,1)="/",MID(IFERROR(INDEX(醫師週班表!$C$5:$T$44,$CU45,AE$57),""),1+AE$58*2,1),IF(MID(IFERROR(INDEX(醫師週班表!$C$5:$T$44,$CU45,AE$57),""),3,1)="隔",IF(AE$58=0,LEFT(IFERROR(INDEX(醫師週班表!$C$5:$T$44,$CU45,AE$57),""),1),""),IF(MID(IFERROR(INDEX(醫師週班表!$C$5:$T$44,$CU45,AE$57),""),2,1)="(",LEFT(IFERROR(INDEX(醫師週班表!$C$5:$T$44,$CU45,AE$57),""),1),IFERROR(INDEX(醫師週班表!$C$5:$T$44,$CU45,AE$57),"")))))))</f>
        <v/>
      </c>
      <c r="AF45" s="71">
        <f>IF(AF$59="X","",IF(AF$59&lt;&gt;"",AF$59,IF(IFERROR(INDEX(醫師週班表!$C$5:$T$44,$CU45,AF$57),"")=0,"",IF(MID(IFERROR(INDEX(醫師週班表!$C$5:$T$44,$CU45,AF$57),""),2,1)="/",MID(IFERROR(INDEX(醫師週班表!$C$5:$T$44,$CU45,AF$57),""),1+AF$58*2,1),IF(MID(IFERROR(INDEX(醫師週班表!$C$5:$T$44,$CU45,AF$57),""),3,1)="隔",IF(AF$58=0,LEFT(IFERROR(INDEX(醫師週班表!$C$5:$T$44,$CU45,AF$57),""),1),""),IF(MID(IFERROR(INDEX(醫師週班表!$C$5:$T$44,$CU45,AF$57),""),2,1)="(",LEFT(IFERROR(INDEX(醫師週班表!$C$5:$T$44,$CU45,AF$57),""),1),IFERROR(INDEX(醫師週班表!$C$5:$T$44,$CU45,AF$57),"")))))))</f>
        <v/>
      </c>
      <c r="AG45" s="72">
        <f>IF(AG$59="X","",IF(AG$59&lt;&gt;"",AG$59,IF(IFERROR(INDEX(醫師週班表!$C$5:$T$44,$CU45,AG$57),"")=0,"",IF(MID(IFERROR(INDEX(醫師週班表!$C$5:$T$44,$CU45,AG$57),""),2,1)="/",MID(IFERROR(INDEX(醫師週班表!$C$5:$T$44,$CU45,AG$57),""),1+AG$58*2,1),IF(MID(IFERROR(INDEX(醫師週班表!$C$5:$T$44,$CU45,AG$57),""),3,1)="隔",IF(AG$58=0,LEFT(IFERROR(INDEX(醫師週班表!$C$5:$T$44,$CU45,AG$57),""),1),""),IF(MID(IFERROR(INDEX(醫師週班表!$C$5:$T$44,$CU45,AG$57),""),2,1)="(",LEFT(IFERROR(INDEX(醫師週班表!$C$5:$T$44,$CU45,AG$57),""),1),IFERROR(INDEX(醫師週班表!$C$5:$T$44,$CU45,AG$57),"")))))))</f>
        <v/>
      </c>
      <c r="AH45" s="72">
        <f>IF(AH$59="X","",IF(AH$59&lt;&gt;"",AH$59,IF(IFERROR(INDEX(醫師週班表!$C$5:$T$44,$CU45,AH$57),"")=0,"",IF(MID(IFERROR(INDEX(醫師週班表!$C$5:$T$44,$CU45,AH$57),""),2,1)="/",MID(IFERROR(INDEX(醫師週班表!$C$5:$T$44,$CU45,AH$57),""),1+AH$58*2,1),IF(MID(IFERROR(INDEX(醫師週班表!$C$5:$T$44,$CU45,AH$57),""),3,1)="隔",IF(AH$58=0,LEFT(IFERROR(INDEX(醫師週班表!$C$5:$T$44,$CU45,AH$57),""),1),""),IF(MID(IFERROR(INDEX(醫師週班表!$C$5:$T$44,$CU45,AH$57),""),2,1)="(",LEFT(IFERROR(INDEX(醫師週班表!$C$5:$T$44,$CU45,AH$57),""),1),IFERROR(INDEX(醫師週班表!$C$5:$T$44,$CU45,AH$57),"")))))))</f>
        <v/>
      </c>
      <c r="AI45" s="71">
        <f>IF(AI$59="X","",IF(AI$59&lt;&gt;"",AI$59,IF(IFERROR(INDEX(醫師週班表!$C$5:$T$44,$CU45,AI$57),"")=0,"",IF(MID(IFERROR(INDEX(醫師週班表!$C$5:$T$44,$CU45,AI$57),""),2,1)="/",MID(IFERROR(INDEX(醫師週班表!$C$5:$T$44,$CU45,AI$57),""),1+AI$58*2,1),IF(MID(IFERROR(INDEX(醫師週班表!$C$5:$T$44,$CU45,AI$57),""),3,1)="隔",IF(AI$58=0,LEFT(IFERROR(INDEX(醫師週班表!$C$5:$T$44,$CU45,AI$57),""),1),""),IF(MID(IFERROR(INDEX(醫師週班表!$C$5:$T$44,$CU45,AI$57),""),2,1)="(",LEFT(IFERROR(INDEX(醫師週班表!$C$5:$T$44,$CU45,AI$57),""),1),IFERROR(INDEX(醫師週班表!$C$5:$T$44,$CU45,AI$57),"")))))))</f>
        <v/>
      </c>
      <c r="AJ45" s="72">
        <f>IF(AJ$59="X","",IF(AJ$59&lt;&gt;"",AJ$59,IF(IFERROR(INDEX(醫師週班表!$C$5:$T$44,$CU45,AJ$57),"")=0,"",IF(MID(IFERROR(INDEX(醫師週班表!$C$5:$T$44,$CU45,AJ$57),""),2,1)="/",MID(IFERROR(INDEX(醫師週班表!$C$5:$T$44,$CU45,AJ$57),""),1+AJ$58*2,1),IF(MID(IFERROR(INDEX(醫師週班表!$C$5:$T$44,$CU45,AJ$57),""),3,1)="隔",IF(AJ$58=0,LEFT(IFERROR(INDEX(醫師週班表!$C$5:$T$44,$CU45,AJ$57),""),1),""),IF(MID(IFERROR(INDEX(醫師週班表!$C$5:$T$44,$CU45,AJ$57),""),2,1)="(",LEFT(IFERROR(INDEX(醫師週班表!$C$5:$T$44,$CU45,AJ$57),""),1),IFERROR(INDEX(醫師週班表!$C$5:$T$44,$CU45,AJ$57),"")))))))</f>
        <v/>
      </c>
      <c r="AK45" s="72">
        <f>IF(AK$59="X","",IF(AK$59&lt;&gt;"",AK$59,IF(IFERROR(INDEX(醫師週班表!$C$5:$T$44,$CU45,AK$57),"")=0,"",IF(MID(IFERROR(INDEX(醫師週班表!$C$5:$T$44,$CU45,AK$57),""),2,1)="/",MID(IFERROR(INDEX(醫師週班表!$C$5:$T$44,$CU45,AK$57),""),1+AK$58*2,1),IF(MID(IFERROR(INDEX(醫師週班表!$C$5:$T$44,$CU45,AK$57),""),3,1)="隔",IF(AK$58=0,LEFT(IFERROR(INDEX(醫師週班表!$C$5:$T$44,$CU45,AK$57),""),1),""),IF(MID(IFERROR(INDEX(醫師週班表!$C$5:$T$44,$CU45,AK$57),""),2,1)="(",LEFT(IFERROR(INDEX(醫師週班表!$C$5:$T$44,$CU45,AK$57),""),1),IFERROR(INDEX(醫師週班表!$C$5:$T$44,$CU45,AK$57),"")))))))</f>
        <v/>
      </c>
      <c r="AL45" s="71">
        <f>IF(AL$59="X","",IF(AL$59&lt;&gt;"",AL$59,IF(IFERROR(INDEX(醫師週班表!$C$5:$T$44,$CU45,AL$57),"")=0,"",IF(MID(IFERROR(INDEX(醫師週班表!$C$5:$T$44,$CU45,AL$57),""),2,1)="/",MID(IFERROR(INDEX(醫師週班表!$C$5:$T$44,$CU45,AL$57),""),1+AL$58*2,1),IF(MID(IFERROR(INDEX(醫師週班表!$C$5:$T$44,$CU45,AL$57),""),3,1)="隔",IF(AL$58=0,LEFT(IFERROR(INDEX(醫師週班表!$C$5:$T$44,$CU45,AL$57),""),1),""),IF(MID(IFERROR(INDEX(醫師週班表!$C$5:$T$44,$CU45,AL$57),""),2,1)="(",LEFT(IFERROR(INDEX(醫師週班表!$C$5:$T$44,$CU45,AL$57),""),1),IFERROR(INDEX(醫師週班表!$C$5:$T$44,$CU45,AL$57),"")))))))</f>
        <v/>
      </c>
      <c r="AM45" s="72">
        <f>IF(AM$59="X","",IF(AM$59&lt;&gt;"",AM$59,IF(IFERROR(INDEX(醫師週班表!$C$5:$T$44,$CU45,AM$57),"")=0,"",IF(MID(IFERROR(INDEX(醫師週班表!$C$5:$T$44,$CU45,AM$57),""),2,1)="/",MID(IFERROR(INDEX(醫師週班表!$C$5:$T$44,$CU45,AM$57),""),1+AM$58*2,1),IF(MID(IFERROR(INDEX(醫師週班表!$C$5:$T$44,$CU45,AM$57),""),3,1)="隔",IF(AM$58=0,LEFT(IFERROR(INDEX(醫師週班表!$C$5:$T$44,$CU45,AM$57),""),1),""),IF(MID(IFERROR(INDEX(醫師週班表!$C$5:$T$44,$CU45,AM$57),""),2,1)="(",LEFT(IFERROR(INDEX(醫師週班表!$C$5:$T$44,$CU45,AM$57),""),1),IFERROR(INDEX(醫師週班表!$C$5:$T$44,$CU45,AM$57),"")))))))</f>
        <v/>
      </c>
      <c r="AN45" s="72">
        <f>IF(AN$59="X","",IF(AN$59&lt;&gt;"",AN$59,IF(IFERROR(INDEX(醫師週班表!$C$5:$T$44,$CU45,AN$57),"")=0,"",IF(MID(IFERROR(INDEX(醫師週班表!$C$5:$T$44,$CU45,AN$57),""),2,1)="/",MID(IFERROR(INDEX(醫師週班表!$C$5:$T$44,$CU45,AN$57),""),1+AN$58*2,1),IF(MID(IFERROR(INDEX(醫師週班表!$C$5:$T$44,$CU45,AN$57),""),3,1)="隔",IF(AN$58=0,LEFT(IFERROR(INDEX(醫師週班表!$C$5:$T$44,$CU45,AN$57),""),1),""),IF(MID(IFERROR(INDEX(醫師週班表!$C$5:$T$44,$CU45,AN$57),""),2,1)="(",LEFT(IFERROR(INDEX(醫師週班表!$C$5:$T$44,$CU45,AN$57),""),1),IFERROR(INDEX(醫師週班表!$C$5:$T$44,$CU45,AN$57),"")))))))</f>
        <v/>
      </c>
      <c r="AO45" s="71">
        <f>IF(AO$59="X","",IF(AO$59&lt;&gt;"",AO$59,IF(IFERROR(INDEX(醫師週班表!$C$5:$T$44,$CU45,AO$57),"")=0,"",IF(MID(IFERROR(INDEX(醫師週班表!$C$5:$T$44,$CU45,AO$57),""),2,1)="/",MID(IFERROR(INDEX(醫師週班表!$C$5:$T$44,$CU45,AO$57),""),1+AO$58*2,1),IF(MID(IFERROR(INDEX(醫師週班表!$C$5:$T$44,$CU45,AO$57),""),3,1)="隔",IF(AO$58=0,LEFT(IFERROR(INDEX(醫師週班表!$C$5:$T$44,$CU45,AO$57),""),1),""),IF(MID(IFERROR(INDEX(醫師週班表!$C$5:$T$44,$CU45,AO$57),""),2,1)="(",LEFT(IFERROR(INDEX(醫師週班表!$C$5:$T$44,$CU45,AO$57),""),1),IFERROR(INDEX(醫師週班表!$C$5:$T$44,$CU45,AO$57),"")))))))</f>
        <v/>
      </c>
      <c r="AP45" s="72">
        <f>IF(AP$59="X","",IF(AP$59&lt;&gt;"",AP$59,IF(IFERROR(INDEX(醫師週班表!$C$5:$T$44,$CU45,AP$57),"")=0,"",IF(MID(IFERROR(INDEX(醫師週班表!$C$5:$T$44,$CU45,AP$57),""),2,1)="/",MID(IFERROR(INDEX(醫師週班表!$C$5:$T$44,$CU45,AP$57),""),1+AP$58*2,1),IF(MID(IFERROR(INDEX(醫師週班表!$C$5:$T$44,$CU45,AP$57),""),3,1)="隔",IF(AP$58=0,LEFT(IFERROR(INDEX(醫師週班表!$C$5:$T$44,$CU45,AP$57),""),1),""),IF(MID(IFERROR(INDEX(醫師週班表!$C$5:$T$44,$CU45,AP$57),""),2,1)="(",LEFT(IFERROR(INDEX(醫師週班表!$C$5:$T$44,$CU45,AP$57),""),1),IFERROR(INDEX(醫師週班表!$C$5:$T$44,$CU45,AP$57),"")))))))</f>
        <v/>
      </c>
      <c r="AQ45" s="72">
        <f>IF(AQ$59="X","",IF(AQ$59&lt;&gt;"",AQ$59,IF(IFERROR(INDEX(醫師週班表!$C$5:$T$44,$CU45,AQ$57),"")=0,"",IF(MID(IFERROR(INDEX(醫師週班表!$C$5:$T$44,$CU45,AQ$57),""),2,1)="/",MID(IFERROR(INDEX(醫師週班表!$C$5:$T$44,$CU45,AQ$57),""),1+AQ$58*2,1),IF(MID(IFERROR(INDEX(醫師週班表!$C$5:$T$44,$CU45,AQ$57),""),3,1)="隔",IF(AQ$58=0,LEFT(IFERROR(INDEX(醫師週班表!$C$5:$T$44,$CU45,AQ$57),""),1),""),IF(MID(IFERROR(INDEX(醫師週班表!$C$5:$T$44,$CU45,AQ$57),""),2,1)="(",LEFT(IFERROR(INDEX(醫師週班表!$C$5:$T$44,$CU45,AQ$57),""),1),IFERROR(INDEX(醫師週班表!$C$5:$T$44,$CU45,AQ$57),"")))))))</f>
        <v/>
      </c>
      <c r="AR45" s="71">
        <f>IF(AR$59="X","",IF(AR$59&lt;&gt;"",AR$59,IF(IFERROR(INDEX(醫師週班表!$C$5:$T$44,$CU45,AR$57),"")=0,"",IF(MID(IFERROR(INDEX(醫師週班表!$C$5:$T$44,$CU45,AR$57),""),2,1)="/",MID(IFERROR(INDEX(醫師週班表!$C$5:$T$44,$CU45,AR$57),""),1+AR$58*2,1),IF(MID(IFERROR(INDEX(醫師週班表!$C$5:$T$44,$CU45,AR$57),""),3,1)="隔",IF(AR$58=0,LEFT(IFERROR(INDEX(醫師週班表!$C$5:$T$44,$CU45,AR$57),""),1),""),IF(MID(IFERROR(INDEX(醫師週班表!$C$5:$T$44,$CU45,AR$57),""),2,1)="(",LEFT(IFERROR(INDEX(醫師週班表!$C$5:$T$44,$CU45,AR$57),""),1),IFERROR(INDEX(醫師週班表!$C$5:$T$44,$CU45,AR$57),"")))))))</f>
        <v/>
      </c>
      <c r="AS45" s="72">
        <f>IF(AS$59="X","",IF(AS$59&lt;&gt;"",AS$59,IF(IFERROR(INDEX(醫師週班表!$C$5:$T$44,$CU45,AS$57),"")=0,"",IF(MID(IFERROR(INDEX(醫師週班表!$C$5:$T$44,$CU45,AS$57),""),2,1)="/",MID(IFERROR(INDEX(醫師週班表!$C$5:$T$44,$CU45,AS$57),""),1+AS$58*2,1),IF(MID(IFERROR(INDEX(醫師週班表!$C$5:$T$44,$CU45,AS$57),""),3,1)="隔",IF(AS$58=0,LEFT(IFERROR(INDEX(醫師週班表!$C$5:$T$44,$CU45,AS$57),""),1),""),IF(MID(IFERROR(INDEX(醫師週班表!$C$5:$T$44,$CU45,AS$57),""),2,1)="(",LEFT(IFERROR(INDEX(醫師週班表!$C$5:$T$44,$CU45,AS$57),""),1),IFERROR(INDEX(醫師週班表!$C$5:$T$44,$CU45,AS$57),"")))))))</f>
        <v/>
      </c>
      <c r="AT45" s="72">
        <f>IF(AT$59="X","",IF(AT$59&lt;&gt;"",AT$59,IF(IFERROR(INDEX(醫師週班表!$C$5:$T$44,$CU45,AT$57),"")=0,"",IF(MID(IFERROR(INDEX(醫師週班表!$C$5:$T$44,$CU45,AT$57),""),2,1)="/",MID(IFERROR(INDEX(醫師週班表!$C$5:$T$44,$CU45,AT$57),""),1+AT$58*2,1),IF(MID(IFERROR(INDEX(醫師週班表!$C$5:$T$44,$CU45,AT$57),""),3,1)="隔",IF(AT$58=0,LEFT(IFERROR(INDEX(醫師週班表!$C$5:$T$44,$CU45,AT$57),""),1),""),IF(MID(IFERROR(INDEX(醫師週班表!$C$5:$T$44,$CU45,AT$57),""),2,1)="(",LEFT(IFERROR(INDEX(醫師週班表!$C$5:$T$44,$CU45,AT$57),""),1),IFERROR(INDEX(醫師週班表!$C$5:$T$44,$CU45,AT$57),"")))))))</f>
        <v/>
      </c>
      <c r="AU45" s="71">
        <f>IF(AU$59="X","",IF(AU$59&lt;&gt;"",AU$59,IF(IFERROR(INDEX(醫師週班表!$C$5:$T$44,$CU45,AU$57),"")=0,"",IF(MID(IFERROR(INDEX(醫師週班表!$C$5:$T$44,$CU45,AU$57),""),2,1)="/",MID(IFERROR(INDEX(醫師週班表!$C$5:$T$44,$CU45,AU$57),""),1+AU$58*2,1),IF(MID(IFERROR(INDEX(醫師週班表!$C$5:$T$44,$CU45,AU$57),""),3,1)="隔",IF(AU$58=0,LEFT(IFERROR(INDEX(醫師週班表!$C$5:$T$44,$CU45,AU$57),""),1),""),IF(MID(IFERROR(INDEX(醫師週班表!$C$5:$T$44,$CU45,AU$57),""),2,1)="(",LEFT(IFERROR(INDEX(醫師週班表!$C$5:$T$44,$CU45,AU$57),""),1),IFERROR(INDEX(醫師週班表!$C$5:$T$44,$CU45,AU$57),"")))))))</f>
        <v/>
      </c>
      <c r="AV45" s="72">
        <f>IF(AV$59="X","",IF(AV$59&lt;&gt;"",AV$59,IF(IFERROR(INDEX(醫師週班表!$C$5:$T$44,$CU45,AV$57),"")=0,"",IF(MID(IFERROR(INDEX(醫師週班表!$C$5:$T$44,$CU45,AV$57),""),2,1)="/",MID(IFERROR(INDEX(醫師週班表!$C$5:$T$44,$CU45,AV$57),""),1+AV$58*2,1),IF(MID(IFERROR(INDEX(醫師週班表!$C$5:$T$44,$CU45,AV$57),""),3,1)="隔",IF(AV$58=0,LEFT(IFERROR(INDEX(醫師週班表!$C$5:$T$44,$CU45,AV$57),""),1),""),IF(MID(IFERROR(INDEX(醫師週班表!$C$5:$T$44,$CU45,AV$57),""),2,1)="(",LEFT(IFERROR(INDEX(醫師週班表!$C$5:$T$44,$CU45,AV$57),""),1),IFERROR(INDEX(醫師週班表!$C$5:$T$44,$CU45,AV$57),"")))))))</f>
        <v/>
      </c>
      <c r="AW45" s="72">
        <f>IF(AW$59="X","",IF(AW$59&lt;&gt;"",AW$59,IF(IFERROR(INDEX(醫師週班表!$C$5:$T$44,$CU45,AW$57),"")=0,"",IF(MID(IFERROR(INDEX(醫師週班表!$C$5:$T$44,$CU45,AW$57),""),2,1)="/",MID(IFERROR(INDEX(醫師週班表!$C$5:$T$44,$CU45,AW$57),""),1+AW$58*2,1),IF(MID(IFERROR(INDEX(醫師週班表!$C$5:$T$44,$CU45,AW$57),""),3,1)="隔",IF(AW$58=0,LEFT(IFERROR(INDEX(醫師週班表!$C$5:$T$44,$CU45,AW$57),""),1),""),IF(MID(IFERROR(INDEX(醫師週班表!$C$5:$T$44,$CU45,AW$57),""),2,1)="(",LEFT(IFERROR(INDEX(醫師週班表!$C$5:$T$44,$CU45,AW$57),""),1),IFERROR(INDEX(醫師週班表!$C$5:$T$44,$CU45,AW$57),"")))))))</f>
        <v/>
      </c>
      <c r="AX45" s="71">
        <f>IF(AX$59="X","",IF(AX$59&lt;&gt;"",AX$59,IF(IFERROR(INDEX(醫師週班表!$C$5:$T$44,$CU45,AX$57),"")=0,"",IF(MID(IFERROR(INDEX(醫師週班表!$C$5:$T$44,$CU45,AX$57),""),2,1)="/",MID(IFERROR(INDEX(醫師週班表!$C$5:$T$44,$CU45,AX$57),""),1+AX$58*2,1),IF(MID(IFERROR(INDEX(醫師週班表!$C$5:$T$44,$CU45,AX$57),""),3,1)="隔",IF(AX$58=0,LEFT(IFERROR(INDEX(醫師週班表!$C$5:$T$44,$CU45,AX$57),""),1),""),IF(MID(IFERROR(INDEX(醫師週班表!$C$5:$T$44,$CU45,AX$57),""),2,1)="(",LEFT(IFERROR(INDEX(醫師週班表!$C$5:$T$44,$CU45,AX$57),""),1),IFERROR(INDEX(醫師週班表!$C$5:$T$44,$CU45,AX$57),"")))))))</f>
        <v/>
      </c>
      <c r="AY45" s="72">
        <f>IF(AY$59="X","",IF(AY$59&lt;&gt;"",AY$59,IF(IFERROR(INDEX(醫師週班表!$C$5:$T$44,$CU45,AY$57),"")=0,"",IF(MID(IFERROR(INDEX(醫師週班表!$C$5:$T$44,$CU45,AY$57),""),2,1)="/",MID(IFERROR(INDEX(醫師週班表!$C$5:$T$44,$CU45,AY$57),""),1+AY$58*2,1),IF(MID(IFERROR(INDEX(醫師週班表!$C$5:$T$44,$CU45,AY$57),""),3,1)="隔",IF(AY$58=0,LEFT(IFERROR(INDEX(醫師週班表!$C$5:$T$44,$CU45,AY$57),""),1),""),IF(MID(IFERROR(INDEX(醫師週班表!$C$5:$T$44,$CU45,AY$57),""),2,1)="(",LEFT(IFERROR(INDEX(醫師週班表!$C$5:$T$44,$CU45,AY$57),""),1),IFERROR(INDEX(醫師週班表!$C$5:$T$44,$CU45,AY$57),"")))))))</f>
        <v/>
      </c>
      <c r="AZ45" s="72">
        <f>IF(AZ$59="X","",IF(AZ$59&lt;&gt;"",AZ$59,IF(IFERROR(INDEX(醫師週班表!$C$5:$T$44,$CU45,AZ$57),"")=0,"",IF(MID(IFERROR(INDEX(醫師週班表!$C$5:$T$44,$CU45,AZ$57),""),2,1)="/",MID(IFERROR(INDEX(醫師週班表!$C$5:$T$44,$CU45,AZ$57),""),1+AZ$58*2,1),IF(MID(IFERROR(INDEX(醫師週班表!$C$5:$T$44,$CU45,AZ$57),""),3,1)="隔",IF(AZ$58=0,LEFT(IFERROR(INDEX(醫師週班表!$C$5:$T$44,$CU45,AZ$57),""),1),""),IF(MID(IFERROR(INDEX(醫師週班表!$C$5:$T$44,$CU45,AZ$57),""),2,1)="(",LEFT(IFERROR(INDEX(醫師週班表!$C$5:$T$44,$CU45,AZ$57),""),1),IFERROR(INDEX(醫師週班表!$C$5:$T$44,$CU45,AZ$57),"")))))))</f>
        <v/>
      </c>
      <c r="BA45" s="71">
        <f>IF(BA$59="X","",IF(BA$59&lt;&gt;"",BA$59,IF(IFERROR(INDEX(醫師週班表!$C$5:$T$44,$CU45,BA$57),"")=0,"",IF(MID(IFERROR(INDEX(醫師週班表!$C$5:$T$44,$CU45,BA$57),""),2,1)="/",MID(IFERROR(INDEX(醫師週班表!$C$5:$T$44,$CU45,BA$57),""),1+BA$58*2,1),IF(MID(IFERROR(INDEX(醫師週班表!$C$5:$T$44,$CU45,BA$57),""),3,1)="隔",IF(BA$58=0,LEFT(IFERROR(INDEX(醫師週班表!$C$5:$T$44,$CU45,BA$57),""),1),""),IF(MID(IFERROR(INDEX(醫師週班表!$C$5:$T$44,$CU45,BA$57),""),2,1)="(",LEFT(IFERROR(INDEX(醫師週班表!$C$5:$T$44,$CU45,BA$57),""),1),IFERROR(INDEX(醫師週班表!$C$5:$T$44,$CU45,BA$57),"")))))))</f>
        <v/>
      </c>
      <c r="BB45" s="72">
        <f>IF(BB$59="X","",IF(BB$59&lt;&gt;"",BB$59,IF(IFERROR(INDEX(醫師週班表!$C$5:$T$44,$CU45,BB$57),"")=0,"",IF(MID(IFERROR(INDEX(醫師週班表!$C$5:$T$44,$CU45,BB$57),""),2,1)="/",MID(IFERROR(INDEX(醫師週班表!$C$5:$T$44,$CU45,BB$57),""),1+BB$58*2,1),IF(MID(IFERROR(INDEX(醫師週班表!$C$5:$T$44,$CU45,BB$57),""),3,1)="隔",IF(BB$58=0,LEFT(IFERROR(INDEX(醫師週班表!$C$5:$T$44,$CU45,BB$57),""),1),""),IF(MID(IFERROR(INDEX(醫師週班表!$C$5:$T$44,$CU45,BB$57),""),2,1)="(",LEFT(IFERROR(INDEX(醫師週班表!$C$5:$T$44,$CU45,BB$57),""),1),IFERROR(INDEX(醫師週班表!$C$5:$T$44,$CU45,BB$57),"")))))))</f>
        <v/>
      </c>
      <c r="BC45" s="72">
        <f>IF(BC$59="X","",IF(BC$59&lt;&gt;"",BC$59,IF(IFERROR(INDEX(醫師週班表!$C$5:$T$44,$CU45,BC$57),"")=0,"",IF(MID(IFERROR(INDEX(醫師週班表!$C$5:$T$44,$CU45,BC$57),""),2,1)="/",MID(IFERROR(INDEX(醫師週班表!$C$5:$T$44,$CU45,BC$57),""),1+BC$58*2,1),IF(MID(IFERROR(INDEX(醫師週班表!$C$5:$T$44,$CU45,BC$57),""),3,1)="隔",IF(BC$58=0,LEFT(IFERROR(INDEX(醫師週班表!$C$5:$T$44,$CU45,BC$57),""),1),""),IF(MID(IFERROR(INDEX(醫師週班表!$C$5:$T$44,$CU45,BC$57),""),2,1)="(",LEFT(IFERROR(INDEX(醫師週班表!$C$5:$T$44,$CU45,BC$57),""),1),IFERROR(INDEX(醫師週班表!$C$5:$T$44,$CU45,BC$57),"")))))))</f>
        <v/>
      </c>
      <c r="BD45" s="71">
        <f>IF(BD$59="X","",IF(BD$59&lt;&gt;"",BD$59,IF(IFERROR(INDEX(醫師週班表!$C$5:$T$44,$CU45,BD$57),"")=0,"",IF(MID(IFERROR(INDEX(醫師週班表!$C$5:$T$44,$CU45,BD$57),""),2,1)="/",MID(IFERROR(INDEX(醫師週班表!$C$5:$T$44,$CU45,BD$57),""),1+BD$58*2,1),IF(MID(IFERROR(INDEX(醫師週班表!$C$5:$T$44,$CU45,BD$57),""),3,1)="隔",IF(BD$58=0,LEFT(IFERROR(INDEX(醫師週班表!$C$5:$T$44,$CU45,BD$57),""),1),""),IF(MID(IFERROR(INDEX(醫師週班表!$C$5:$T$44,$CU45,BD$57),""),2,1)="(",LEFT(IFERROR(INDEX(醫師週班表!$C$5:$T$44,$CU45,BD$57),""),1),IFERROR(INDEX(醫師週班表!$C$5:$T$44,$CU45,BD$57),"")))))))</f>
        <v/>
      </c>
      <c r="BE45" s="72">
        <f>IF(BE$59="X","",IF(BE$59&lt;&gt;"",BE$59,IF(IFERROR(INDEX(醫師週班表!$C$5:$T$44,$CU45,BE$57),"")=0,"",IF(MID(IFERROR(INDEX(醫師週班表!$C$5:$T$44,$CU45,BE$57),""),2,1)="/",MID(IFERROR(INDEX(醫師週班表!$C$5:$T$44,$CU45,BE$57),""),1+BE$58*2,1),IF(MID(IFERROR(INDEX(醫師週班表!$C$5:$T$44,$CU45,BE$57),""),3,1)="隔",IF(BE$58=0,LEFT(IFERROR(INDEX(醫師週班表!$C$5:$T$44,$CU45,BE$57),""),1),""),IF(MID(IFERROR(INDEX(醫師週班表!$C$5:$T$44,$CU45,BE$57),""),2,1)="(",LEFT(IFERROR(INDEX(醫師週班表!$C$5:$T$44,$CU45,BE$57),""),1),IFERROR(INDEX(醫師週班表!$C$5:$T$44,$CU45,BE$57),"")))))))</f>
        <v/>
      </c>
      <c r="BF45" s="72">
        <f>IF(BF$59="X","",IF(BF$59&lt;&gt;"",BF$59,IF(IFERROR(INDEX(醫師週班表!$C$5:$T$44,$CU45,BF$57),"")=0,"",IF(MID(IFERROR(INDEX(醫師週班表!$C$5:$T$44,$CU45,BF$57),""),2,1)="/",MID(IFERROR(INDEX(醫師週班表!$C$5:$T$44,$CU45,BF$57),""),1+BF$58*2,1),IF(MID(IFERROR(INDEX(醫師週班表!$C$5:$T$44,$CU45,BF$57),""),3,1)="隔",IF(BF$58=0,LEFT(IFERROR(INDEX(醫師週班表!$C$5:$T$44,$CU45,BF$57),""),1),""),IF(MID(IFERROR(INDEX(醫師週班表!$C$5:$T$44,$CU45,BF$57),""),2,1)="(",LEFT(IFERROR(INDEX(醫師週班表!$C$5:$T$44,$CU45,BF$57),""),1),IFERROR(INDEX(醫師週班表!$C$5:$T$44,$CU45,BF$57),"")))))))</f>
        <v/>
      </c>
      <c r="BG45" s="71">
        <f>IF(BG$59="X","",IF(BG$59&lt;&gt;"",BG$59,IF(IFERROR(INDEX(醫師週班表!$C$5:$T$44,$CU45,BG$57),"")=0,"",IF(MID(IFERROR(INDEX(醫師週班表!$C$5:$T$44,$CU45,BG$57),""),2,1)="/",MID(IFERROR(INDEX(醫師週班表!$C$5:$T$44,$CU45,BG$57),""),1+BG$58*2,1),IF(MID(IFERROR(INDEX(醫師週班表!$C$5:$T$44,$CU45,BG$57),""),3,1)="隔",IF(BG$58=0,LEFT(IFERROR(INDEX(醫師週班表!$C$5:$T$44,$CU45,BG$57),""),1),""),IF(MID(IFERROR(INDEX(醫師週班表!$C$5:$T$44,$CU45,BG$57),""),2,1)="(",LEFT(IFERROR(INDEX(醫師週班表!$C$5:$T$44,$CU45,BG$57),""),1),IFERROR(INDEX(醫師週班表!$C$5:$T$44,$CU45,BG$57),"")))))))</f>
        <v/>
      </c>
      <c r="BH45" s="72">
        <f>IF(BH$59="X","",IF(BH$59&lt;&gt;"",BH$59,IF(IFERROR(INDEX(醫師週班表!$C$5:$T$44,$CU45,BH$57),"")=0,"",IF(MID(IFERROR(INDEX(醫師週班表!$C$5:$T$44,$CU45,BH$57),""),2,1)="/",MID(IFERROR(INDEX(醫師週班表!$C$5:$T$44,$CU45,BH$57),""),1+BH$58*2,1),IF(MID(IFERROR(INDEX(醫師週班表!$C$5:$T$44,$CU45,BH$57),""),3,1)="隔",IF(BH$58=0,LEFT(IFERROR(INDEX(醫師週班表!$C$5:$T$44,$CU45,BH$57),""),1),""),IF(MID(IFERROR(INDEX(醫師週班表!$C$5:$T$44,$CU45,BH$57),""),2,1)="(",LEFT(IFERROR(INDEX(醫師週班表!$C$5:$T$44,$CU45,BH$57),""),1),IFERROR(INDEX(醫師週班表!$C$5:$T$44,$CU45,BH$57),"")))))))</f>
        <v/>
      </c>
      <c r="BI45" s="72">
        <f>IF(BI$59="X","",IF(BI$59&lt;&gt;"",BI$59,IF(IFERROR(INDEX(醫師週班表!$C$5:$T$44,$CU45,BI$57),"")=0,"",IF(MID(IFERROR(INDEX(醫師週班表!$C$5:$T$44,$CU45,BI$57),""),2,1)="/",MID(IFERROR(INDEX(醫師週班表!$C$5:$T$44,$CU45,BI$57),""),1+BI$58*2,1),IF(MID(IFERROR(INDEX(醫師週班表!$C$5:$T$44,$CU45,BI$57),""),3,1)="隔",IF(BI$58=0,LEFT(IFERROR(INDEX(醫師週班表!$C$5:$T$44,$CU45,BI$57),""),1),""),IF(MID(IFERROR(INDEX(醫師週班表!$C$5:$T$44,$CU45,BI$57),""),2,1)="(",LEFT(IFERROR(INDEX(醫師週班表!$C$5:$T$44,$CU45,BI$57),""),1),IFERROR(INDEX(醫師週班表!$C$5:$T$44,$CU45,BI$57),"")))))))</f>
        <v/>
      </c>
      <c r="BJ45" s="71">
        <f>IF(BJ$59="X","",IF(BJ$59&lt;&gt;"",BJ$59,IF(IFERROR(INDEX(醫師週班表!$C$5:$T$44,$CU45,BJ$57),"")=0,"",IF(MID(IFERROR(INDEX(醫師週班表!$C$5:$T$44,$CU45,BJ$57),""),2,1)="/",MID(IFERROR(INDEX(醫師週班表!$C$5:$T$44,$CU45,BJ$57),""),1+BJ$58*2,1),IF(MID(IFERROR(INDEX(醫師週班表!$C$5:$T$44,$CU45,BJ$57),""),3,1)="隔",IF(BJ$58=0,LEFT(IFERROR(INDEX(醫師週班表!$C$5:$T$44,$CU45,BJ$57),""),1),""),IF(MID(IFERROR(INDEX(醫師週班表!$C$5:$T$44,$CU45,BJ$57),""),2,1)="(",LEFT(IFERROR(INDEX(醫師週班表!$C$5:$T$44,$CU45,BJ$57),""),1),IFERROR(INDEX(醫師週班表!$C$5:$T$44,$CU45,BJ$57),"")))))))</f>
        <v/>
      </c>
      <c r="BK45" s="72">
        <f>IF(BK$59="X","",IF(BK$59&lt;&gt;"",BK$59,IF(IFERROR(INDEX(醫師週班表!$C$5:$T$44,$CU45,BK$57),"")=0,"",IF(MID(IFERROR(INDEX(醫師週班表!$C$5:$T$44,$CU45,BK$57),""),2,1)="/",MID(IFERROR(INDEX(醫師週班表!$C$5:$T$44,$CU45,BK$57),""),1+BK$58*2,1),IF(MID(IFERROR(INDEX(醫師週班表!$C$5:$T$44,$CU45,BK$57),""),3,1)="隔",IF(BK$58=0,LEFT(IFERROR(INDEX(醫師週班表!$C$5:$T$44,$CU45,BK$57),""),1),""),IF(MID(IFERROR(INDEX(醫師週班表!$C$5:$T$44,$CU45,BK$57),""),2,1)="(",LEFT(IFERROR(INDEX(醫師週班表!$C$5:$T$44,$CU45,BK$57),""),1),IFERROR(INDEX(醫師週班表!$C$5:$T$44,$CU45,BK$57),"")))))))</f>
        <v/>
      </c>
      <c r="BL45" s="72">
        <f>IF(BL$59="X","",IF(BL$59&lt;&gt;"",BL$59,IF(IFERROR(INDEX(醫師週班表!$C$5:$T$44,$CU45,BL$57),"")=0,"",IF(MID(IFERROR(INDEX(醫師週班表!$C$5:$T$44,$CU45,BL$57),""),2,1)="/",MID(IFERROR(INDEX(醫師週班表!$C$5:$T$44,$CU45,BL$57),""),1+BL$58*2,1),IF(MID(IFERROR(INDEX(醫師週班表!$C$5:$T$44,$CU45,BL$57),""),3,1)="隔",IF(BL$58=0,LEFT(IFERROR(INDEX(醫師週班表!$C$5:$T$44,$CU45,BL$57),""),1),""),IF(MID(IFERROR(INDEX(醫師週班表!$C$5:$T$44,$CU45,BL$57),""),2,1)="(",LEFT(IFERROR(INDEX(醫師週班表!$C$5:$T$44,$CU45,BL$57),""),1),IFERROR(INDEX(醫師週班表!$C$5:$T$44,$CU45,BL$57),"")))))))</f>
        <v/>
      </c>
      <c r="BM45" s="71">
        <f>IF(BM$59="X","",IF(BM$59&lt;&gt;"",BM$59,IF(IFERROR(INDEX(醫師週班表!$C$5:$T$44,$CU45,BM$57),"")=0,"",IF(MID(IFERROR(INDEX(醫師週班表!$C$5:$T$44,$CU45,BM$57),""),2,1)="/",MID(IFERROR(INDEX(醫師週班表!$C$5:$T$44,$CU45,BM$57),""),1+BM$58*2,1),IF(MID(IFERROR(INDEX(醫師週班表!$C$5:$T$44,$CU45,BM$57),""),3,1)="隔",IF(BM$58=0,LEFT(IFERROR(INDEX(醫師週班表!$C$5:$T$44,$CU45,BM$57),""),1),""),IF(MID(IFERROR(INDEX(醫師週班表!$C$5:$T$44,$CU45,BM$57),""),2,1)="(",LEFT(IFERROR(INDEX(醫師週班表!$C$5:$T$44,$CU45,BM$57),""),1),IFERROR(INDEX(醫師週班表!$C$5:$T$44,$CU45,BM$57),"")))))))</f>
        <v/>
      </c>
      <c r="BN45" s="72">
        <f>IF(BN$59="X","",IF(BN$59&lt;&gt;"",BN$59,IF(IFERROR(INDEX(醫師週班表!$C$5:$T$44,$CU45,BN$57),"")=0,"",IF(MID(IFERROR(INDEX(醫師週班表!$C$5:$T$44,$CU45,BN$57),""),2,1)="/",MID(IFERROR(INDEX(醫師週班表!$C$5:$T$44,$CU45,BN$57),""),1+BN$58*2,1),IF(MID(IFERROR(INDEX(醫師週班表!$C$5:$T$44,$CU45,BN$57),""),3,1)="隔",IF(BN$58=0,LEFT(IFERROR(INDEX(醫師週班表!$C$5:$T$44,$CU45,BN$57),""),1),""),IF(MID(IFERROR(INDEX(醫師週班表!$C$5:$T$44,$CU45,BN$57),""),2,1)="(",LEFT(IFERROR(INDEX(醫師週班表!$C$5:$T$44,$CU45,BN$57),""),1),IFERROR(INDEX(醫師週班表!$C$5:$T$44,$CU45,BN$57),"")))))))</f>
        <v/>
      </c>
      <c r="BO45" s="72">
        <f>IF(BO$59="X","",IF(BO$59&lt;&gt;"",BO$59,IF(IFERROR(INDEX(醫師週班表!$C$5:$T$44,$CU45,BO$57),"")=0,"",IF(MID(IFERROR(INDEX(醫師週班表!$C$5:$T$44,$CU45,BO$57),""),2,1)="/",MID(IFERROR(INDEX(醫師週班表!$C$5:$T$44,$CU45,BO$57),""),1+BO$58*2,1),IF(MID(IFERROR(INDEX(醫師週班表!$C$5:$T$44,$CU45,BO$57),""),3,1)="隔",IF(BO$58=0,LEFT(IFERROR(INDEX(醫師週班表!$C$5:$T$44,$CU45,BO$57),""),1),""),IF(MID(IFERROR(INDEX(醫師週班表!$C$5:$T$44,$CU45,BO$57),""),2,1)="(",LEFT(IFERROR(INDEX(醫師週班表!$C$5:$T$44,$CU45,BO$57),""),1),IFERROR(INDEX(醫師週班表!$C$5:$T$44,$CU45,BO$57),"")))))))</f>
        <v/>
      </c>
      <c r="BP45" s="71">
        <f>IF(BP$59="X","",IF(BP$59&lt;&gt;"",BP$59,IF(IFERROR(INDEX(醫師週班表!$C$5:$T$44,$CU45,BP$57),"")=0,"",IF(MID(IFERROR(INDEX(醫師週班表!$C$5:$T$44,$CU45,BP$57),""),2,1)="/",MID(IFERROR(INDEX(醫師週班表!$C$5:$T$44,$CU45,BP$57),""),1+BP$58*2,1),IF(MID(IFERROR(INDEX(醫師週班表!$C$5:$T$44,$CU45,BP$57),""),3,1)="隔",IF(BP$58=0,LEFT(IFERROR(INDEX(醫師週班表!$C$5:$T$44,$CU45,BP$57),""),1),""),IF(MID(IFERROR(INDEX(醫師週班表!$C$5:$T$44,$CU45,BP$57),""),2,1)="(",LEFT(IFERROR(INDEX(醫師週班表!$C$5:$T$44,$CU45,BP$57),""),1),IFERROR(INDEX(醫師週班表!$C$5:$T$44,$CU45,BP$57),"")))))))</f>
        <v/>
      </c>
      <c r="BQ45" s="72">
        <f>IF(BQ$59="X","",IF(BQ$59&lt;&gt;"",BQ$59,IF(IFERROR(INDEX(醫師週班表!$C$5:$T$44,$CU45,BQ$57),"")=0,"",IF(MID(IFERROR(INDEX(醫師週班表!$C$5:$T$44,$CU45,BQ$57),""),2,1)="/",MID(IFERROR(INDEX(醫師週班表!$C$5:$T$44,$CU45,BQ$57),""),1+BQ$58*2,1),IF(MID(IFERROR(INDEX(醫師週班表!$C$5:$T$44,$CU45,BQ$57),""),3,1)="隔",IF(BQ$58=0,LEFT(IFERROR(INDEX(醫師週班表!$C$5:$T$44,$CU45,BQ$57),""),1),""),IF(MID(IFERROR(INDEX(醫師週班表!$C$5:$T$44,$CU45,BQ$57),""),2,1)="(",LEFT(IFERROR(INDEX(醫師週班表!$C$5:$T$44,$CU45,BQ$57),""),1),IFERROR(INDEX(醫師週班表!$C$5:$T$44,$CU45,BQ$57),"")))))))</f>
        <v/>
      </c>
      <c r="BR45" s="72">
        <f>IF(BR$59="X","",IF(BR$59&lt;&gt;"",BR$59,IF(IFERROR(INDEX(醫師週班表!$C$5:$T$44,$CU45,BR$57),"")=0,"",IF(MID(IFERROR(INDEX(醫師週班表!$C$5:$T$44,$CU45,BR$57),""),2,1)="/",MID(IFERROR(INDEX(醫師週班表!$C$5:$T$44,$CU45,BR$57),""),1+BR$58*2,1),IF(MID(IFERROR(INDEX(醫師週班表!$C$5:$T$44,$CU45,BR$57),""),3,1)="隔",IF(BR$58=0,LEFT(IFERROR(INDEX(醫師週班表!$C$5:$T$44,$CU45,BR$57),""),1),""),IF(MID(IFERROR(INDEX(醫師週班表!$C$5:$T$44,$CU45,BR$57),""),2,1)="(",LEFT(IFERROR(INDEX(醫師週班表!$C$5:$T$44,$CU45,BR$57),""),1),IFERROR(INDEX(醫師週班表!$C$5:$T$44,$CU45,BR$57),"")))))))</f>
        <v/>
      </c>
      <c r="BS45" s="71">
        <f>IF(BS$59="X","",IF(BS$59&lt;&gt;"",BS$59,IF(IFERROR(INDEX(醫師週班表!$C$5:$T$44,$CU45,BS$57),"")=0,"",IF(MID(IFERROR(INDEX(醫師週班表!$C$5:$T$44,$CU45,BS$57),""),2,1)="/",MID(IFERROR(INDEX(醫師週班表!$C$5:$T$44,$CU45,BS$57),""),1+BS$58*2,1),IF(MID(IFERROR(INDEX(醫師週班表!$C$5:$T$44,$CU45,BS$57),""),3,1)="隔",IF(BS$58=0,LEFT(IFERROR(INDEX(醫師週班表!$C$5:$T$44,$CU45,BS$57),""),1),""),IF(MID(IFERROR(INDEX(醫師週班表!$C$5:$T$44,$CU45,BS$57),""),2,1)="(",LEFT(IFERROR(INDEX(醫師週班表!$C$5:$T$44,$CU45,BS$57),""),1),IFERROR(INDEX(醫師週班表!$C$5:$T$44,$CU45,BS$57),"")))))))</f>
        <v/>
      </c>
      <c r="BT45" s="72">
        <f>IF(BT$59="X","",IF(BT$59&lt;&gt;"",BT$59,IF(IFERROR(INDEX(醫師週班表!$C$5:$T$44,$CU45,BT$57),"")=0,"",IF(MID(IFERROR(INDEX(醫師週班表!$C$5:$T$44,$CU45,BT$57),""),2,1)="/",MID(IFERROR(INDEX(醫師週班表!$C$5:$T$44,$CU45,BT$57),""),1+BT$58*2,1),IF(MID(IFERROR(INDEX(醫師週班表!$C$5:$T$44,$CU45,BT$57),""),3,1)="隔",IF(BT$58=0,LEFT(IFERROR(INDEX(醫師週班表!$C$5:$T$44,$CU45,BT$57),""),1),""),IF(MID(IFERROR(INDEX(醫師週班表!$C$5:$T$44,$CU45,BT$57),""),2,1)="(",LEFT(IFERROR(INDEX(醫師週班表!$C$5:$T$44,$CU45,BT$57),""),1),IFERROR(INDEX(醫師週班表!$C$5:$T$44,$CU45,BT$57),"")))))))</f>
        <v/>
      </c>
      <c r="BU45" s="72">
        <f>IF(BU$59="X","",IF(BU$59&lt;&gt;"",BU$59,IF(IFERROR(INDEX(醫師週班表!$C$5:$T$44,$CU45,BU$57),"")=0,"",IF(MID(IFERROR(INDEX(醫師週班表!$C$5:$T$44,$CU45,BU$57),""),2,1)="/",MID(IFERROR(INDEX(醫師週班表!$C$5:$T$44,$CU45,BU$57),""),1+BU$58*2,1),IF(MID(IFERROR(INDEX(醫師週班表!$C$5:$T$44,$CU45,BU$57),""),3,1)="隔",IF(BU$58=0,LEFT(IFERROR(INDEX(醫師週班表!$C$5:$T$44,$CU45,BU$57),""),1),""),IF(MID(IFERROR(INDEX(醫師週班表!$C$5:$T$44,$CU45,BU$57),""),2,1)="(",LEFT(IFERROR(INDEX(醫師週班表!$C$5:$T$44,$CU45,BU$57),""),1),IFERROR(INDEX(醫師週班表!$C$5:$T$44,$CU45,BU$57),"")))))))</f>
        <v/>
      </c>
      <c r="BV45" s="71">
        <f>IF(BV$59="X","",IF(BV$59&lt;&gt;"",BV$59,IF(IFERROR(INDEX(醫師週班表!$C$5:$T$44,$CU45,BV$57),"")=0,"",IF(MID(IFERROR(INDEX(醫師週班表!$C$5:$T$44,$CU45,BV$57),""),2,1)="/",MID(IFERROR(INDEX(醫師週班表!$C$5:$T$44,$CU45,BV$57),""),1+BV$58*2,1),IF(MID(IFERROR(INDEX(醫師週班表!$C$5:$T$44,$CU45,BV$57),""),3,1)="隔",IF(BV$58=0,LEFT(IFERROR(INDEX(醫師週班表!$C$5:$T$44,$CU45,BV$57),""),1),""),IF(MID(IFERROR(INDEX(醫師週班表!$C$5:$T$44,$CU45,BV$57),""),2,1)="(",LEFT(IFERROR(INDEX(醫師週班表!$C$5:$T$44,$CU45,BV$57),""),1),IFERROR(INDEX(醫師週班表!$C$5:$T$44,$CU45,BV$57),"")))))))</f>
        <v/>
      </c>
      <c r="BW45" s="72">
        <f>IF(BW$59="X","",IF(BW$59&lt;&gt;"",BW$59,IF(IFERROR(INDEX(醫師週班表!$C$5:$T$44,$CU45,BW$57),"")=0,"",IF(MID(IFERROR(INDEX(醫師週班表!$C$5:$T$44,$CU45,BW$57),""),2,1)="/",MID(IFERROR(INDEX(醫師週班表!$C$5:$T$44,$CU45,BW$57),""),1+BW$58*2,1),IF(MID(IFERROR(INDEX(醫師週班表!$C$5:$T$44,$CU45,BW$57),""),3,1)="隔",IF(BW$58=0,LEFT(IFERROR(INDEX(醫師週班表!$C$5:$T$44,$CU45,BW$57),""),1),""),IF(MID(IFERROR(INDEX(醫師週班表!$C$5:$T$44,$CU45,BW$57),""),2,1)="(",LEFT(IFERROR(INDEX(醫師週班表!$C$5:$T$44,$CU45,BW$57),""),1),IFERROR(INDEX(醫師週班表!$C$5:$T$44,$CU45,BW$57),"")))))))</f>
        <v/>
      </c>
      <c r="BX45" s="72">
        <f>IF(BX$59="X","",IF(BX$59&lt;&gt;"",BX$59,IF(IFERROR(INDEX(醫師週班表!$C$5:$T$44,$CU45,BX$57),"")=0,"",IF(MID(IFERROR(INDEX(醫師週班表!$C$5:$T$44,$CU45,BX$57),""),2,1)="/",MID(IFERROR(INDEX(醫師週班表!$C$5:$T$44,$CU45,BX$57),""),1+BX$58*2,1),IF(MID(IFERROR(INDEX(醫師週班表!$C$5:$T$44,$CU45,BX$57),""),3,1)="隔",IF(BX$58=0,LEFT(IFERROR(INDEX(醫師週班表!$C$5:$T$44,$CU45,BX$57),""),1),""),IF(MID(IFERROR(INDEX(醫師週班表!$C$5:$T$44,$CU45,BX$57),""),2,1)="(",LEFT(IFERROR(INDEX(醫師週班表!$C$5:$T$44,$CU45,BX$57),""),1),IFERROR(INDEX(醫師週班表!$C$5:$T$44,$CU45,BX$57),"")))))))</f>
        <v/>
      </c>
      <c r="BY45" s="71">
        <f>IF(BY$59="X","",IF(BY$59&lt;&gt;"",BY$59,IF(IFERROR(INDEX(醫師週班表!$C$5:$T$44,$CU45,BY$57),"")=0,"",IF(MID(IFERROR(INDEX(醫師週班表!$C$5:$T$44,$CU45,BY$57),""),2,1)="/",MID(IFERROR(INDEX(醫師週班表!$C$5:$T$44,$CU45,BY$57),""),1+BY$58*2,1),IF(MID(IFERROR(INDEX(醫師週班表!$C$5:$T$44,$CU45,BY$57),""),3,1)="隔",IF(BY$58=0,LEFT(IFERROR(INDEX(醫師週班表!$C$5:$T$44,$CU45,BY$57),""),1),""),IF(MID(IFERROR(INDEX(醫師週班表!$C$5:$T$44,$CU45,BY$57),""),2,1)="(",LEFT(IFERROR(INDEX(醫師週班表!$C$5:$T$44,$CU45,BY$57),""),1),IFERROR(INDEX(醫師週班表!$C$5:$T$44,$CU45,BY$57),"")))))))</f>
        <v/>
      </c>
      <c r="BZ45" s="72">
        <f>IF(BZ$59="X","",IF(BZ$59&lt;&gt;"",BZ$59,IF(IFERROR(INDEX(醫師週班表!$C$5:$T$44,$CU45,BZ$57),"")=0,"",IF(MID(IFERROR(INDEX(醫師週班表!$C$5:$T$44,$CU45,BZ$57),""),2,1)="/",MID(IFERROR(INDEX(醫師週班表!$C$5:$T$44,$CU45,BZ$57),""),1+BZ$58*2,1),IF(MID(IFERROR(INDEX(醫師週班表!$C$5:$T$44,$CU45,BZ$57),""),3,1)="隔",IF(BZ$58=0,LEFT(IFERROR(INDEX(醫師週班表!$C$5:$T$44,$CU45,BZ$57),""),1),""),IF(MID(IFERROR(INDEX(醫師週班表!$C$5:$T$44,$CU45,BZ$57),""),2,1)="(",LEFT(IFERROR(INDEX(醫師週班表!$C$5:$T$44,$CU45,BZ$57),""),1),IFERROR(INDEX(醫師週班表!$C$5:$T$44,$CU45,BZ$57),"")))))))</f>
        <v/>
      </c>
      <c r="CA45" s="72">
        <f>IF(CA$59="X","",IF(CA$59&lt;&gt;"",CA$59,IF(IFERROR(INDEX(醫師週班表!$C$5:$T$44,$CU45,CA$57),"")=0,"",IF(MID(IFERROR(INDEX(醫師週班表!$C$5:$T$44,$CU45,CA$57),""),2,1)="/",MID(IFERROR(INDEX(醫師週班表!$C$5:$T$44,$CU45,CA$57),""),1+CA$58*2,1),IF(MID(IFERROR(INDEX(醫師週班表!$C$5:$T$44,$CU45,CA$57),""),3,1)="隔",IF(CA$58=0,LEFT(IFERROR(INDEX(醫師週班表!$C$5:$T$44,$CU45,CA$57),""),1),""),IF(MID(IFERROR(INDEX(醫師週班表!$C$5:$T$44,$CU45,CA$57),""),2,1)="(",LEFT(IFERROR(INDEX(醫師週班表!$C$5:$T$44,$CU45,CA$57),""),1),IFERROR(INDEX(醫師週班表!$C$5:$T$44,$CU45,CA$57),"")))))))</f>
        <v/>
      </c>
      <c r="CB45" s="71">
        <f>IF(CB$59="X","",IF(CB$59&lt;&gt;"",CB$59,IF(IFERROR(INDEX(醫師週班表!$C$5:$T$44,$CU45,CB$57),"")=0,"",IF(MID(IFERROR(INDEX(醫師週班表!$C$5:$T$44,$CU45,CB$57),""),2,1)="/",MID(IFERROR(INDEX(醫師週班表!$C$5:$T$44,$CU45,CB$57),""),1+CB$58*2,1),IF(MID(IFERROR(INDEX(醫師週班表!$C$5:$T$44,$CU45,CB$57),""),3,1)="隔",IF(CB$58=0,LEFT(IFERROR(INDEX(醫師週班表!$C$5:$T$44,$CU45,CB$57),""),1),""),IF(MID(IFERROR(INDEX(醫師週班表!$C$5:$T$44,$CU45,CB$57),""),2,1)="(",LEFT(IFERROR(INDEX(醫師週班表!$C$5:$T$44,$CU45,CB$57),""),1),IFERROR(INDEX(醫師週班表!$C$5:$T$44,$CU45,CB$57),"")))))))</f>
        <v/>
      </c>
      <c r="CC45" s="72">
        <f>IF(CC$59="X","",IF(CC$59&lt;&gt;"",CC$59,IF(IFERROR(INDEX(醫師週班表!$C$5:$T$44,$CU45,CC$57),"")=0,"",IF(MID(IFERROR(INDEX(醫師週班表!$C$5:$T$44,$CU45,CC$57),""),2,1)="/",MID(IFERROR(INDEX(醫師週班表!$C$5:$T$44,$CU45,CC$57),""),1+CC$58*2,1),IF(MID(IFERROR(INDEX(醫師週班表!$C$5:$T$44,$CU45,CC$57),""),3,1)="隔",IF(CC$58=0,LEFT(IFERROR(INDEX(醫師週班表!$C$5:$T$44,$CU45,CC$57),""),1),""),IF(MID(IFERROR(INDEX(醫師週班表!$C$5:$T$44,$CU45,CC$57),""),2,1)="(",LEFT(IFERROR(INDEX(醫師週班表!$C$5:$T$44,$CU45,CC$57),""),1),IFERROR(INDEX(醫師週班表!$C$5:$T$44,$CU45,CC$57),"")))))))</f>
        <v/>
      </c>
      <c r="CD45" s="72">
        <f>IF(CD$59="X","",IF(CD$59&lt;&gt;"",CD$59,IF(IFERROR(INDEX(醫師週班表!$C$5:$T$44,$CU45,CD$57),"")=0,"",IF(MID(IFERROR(INDEX(醫師週班表!$C$5:$T$44,$CU45,CD$57),""),2,1)="/",MID(IFERROR(INDEX(醫師週班表!$C$5:$T$44,$CU45,CD$57),""),1+CD$58*2,1),IF(MID(IFERROR(INDEX(醫師週班表!$C$5:$T$44,$CU45,CD$57),""),3,1)="隔",IF(CD$58=0,LEFT(IFERROR(INDEX(醫師週班表!$C$5:$T$44,$CU45,CD$57),""),1),""),IF(MID(IFERROR(INDEX(醫師週班表!$C$5:$T$44,$CU45,CD$57),""),2,1)="(",LEFT(IFERROR(INDEX(醫師週班表!$C$5:$T$44,$CU45,CD$57),""),1),IFERROR(INDEX(醫師週班表!$C$5:$T$44,$CU45,CD$57),"")))))))</f>
        <v/>
      </c>
      <c r="CE45" s="71">
        <f>IF(CE$59="X","",IF(CE$59&lt;&gt;"",CE$59,IF(IFERROR(INDEX(醫師週班表!$C$5:$T$44,$CU45,CE$57),"")=0,"",IF(MID(IFERROR(INDEX(醫師週班表!$C$5:$T$44,$CU45,CE$57),""),2,1)="/",MID(IFERROR(INDEX(醫師週班表!$C$5:$T$44,$CU45,CE$57),""),1+CE$58*2,1),IF(MID(IFERROR(INDEX(醫師週班表!$C$5:$T$44,$CU45,CE$57),""),3,1)="隔",IF(CE$58=0,LEFT(IFERROR(INDEX(醫師週班表!$C$5:$T$44,$CU45,CE$57),""),1),""),IF(MID(IFERROR(INDEX(醫師週班表!$C$5:$T$44,$CU45,CE$57),""),2,1)="(",LEFT(IFERROR(INDEX(醫師週班表!$C$5:$T$44,$CU45,CE$57),""),1),IFERROR(INDEX(醫師週班表!$C$5:$T$44,$CU45,CE$57),"")))))))</f>
        <v/>
      </c>
      <c r="CF45" s="72">
        <f>IF(CF$59="X","",IF(CF$59&lt;&gt;"",CF$59,IF(IFERROR(INDEX(醫師週班表!$C$5:$T$44,$CU45,CF$57),"")=0,"",IF(MID(IFERROR(INDEX(醫師週班表!$C$5:$T$44,$CU45,CF$57),""),2,1)="/",MID(IFERROR(INDEX(醫師週班表!$C$5:$T$44,$CU45,CF$57),""),1+CF$58*2,1),IF(MID(IFERROR(INDEX(醫師週班表!$C$5:$T$44,$CU45,CF$57),""),3,1)="隔",IF(CF$58=0,LEFT(IFERROR(INDEX(醫師週班表!$C$5:$T$44,$CU45,CF$57),""),1),""),IF(MID(IFERROR(INDEX(醫師週班表!$C$5:$T$44,$CU45,CF$57),""),2,1)="(",LEFT(IFERROR(INDEX(醫師週班表!$C$5:$T$44,$CU45,CF$57),""),1),IFERROR(INDEX(醫師週班表!$C$5:$T$44,$CU45,CF$57),"")))))))</f>
        <v/>
      </c>
      <c r="CG45" s="72">
        <f>IF(CG$59="X","",IF(CG$59&lt;&gt;"",CG$59,IF(IFERROR(INDEX(醫師週班表!$C$5:$T$44,$CU45,CG$57),"")=0,"",IF(MID(IFERROR(INDEX(醫師週班表!$C$5:$T$44,$CU45,CG$57),""),2,1)="/",MID(IFERROR(INDEX(醫師週班表!$C$5:$T$44,$CU45,CG$57),""),1+CG$58*2,1),IF(MID(IFERROR(INDEX(醫師週班表!$C$5:$T$44,$CU45,CG$57),""),3,1)="隔",IF(CG$58=0,LEFT(IFERROR(INDEX(醫師週班表!$C$5:$T$44,$CU45,CG$57),""),1),""),IF(MID(IFERROR(INDEX(醫師週班表!$C$5:$T$44,$CU45,CG$57),""),2,1)="(",LEFT(IFERROR(INDEX(醫師週班表!$C$5:$T$44,$CU45,CG$57),""),1),IFERROR(INDEX(醫師週班表!$C$5:$T$44,$CU45,CG$57),"")))))))</f>
        <v/>
      </c>
      <c r="CH45" s="71">
        <f>IF(CH$59="X","",IF(CH$59&lt;&gt;"",CH$59,IF(IFERROR(INDEX(醫師週班表!$C$5:$T$44,$CU45,CH$57),"")=0,"",IF(MID(IFERROR(INDEX(醫師週班表!$C$5:$T$44,$CU45,CH$57),""),2,1)="/",MID(IFERROR(INDEX(醫師週班表!$C$5:$T$44,$CU45,CH$57),""),1+CH$58*2,1),IF(MID(IFERROR(INDEX(醫師週班表!$C$5:$T$44,$CU45,CH$57),""),3,1)="隔",IF(CH$58=0,LEFT(IFERROR(INDEX(醫師週班表!$C$5:$T$44,$CU45,CH$57),""),1),""),IF(MID(IFERROR(INDEX(醫師週班表!$C$5:$T$44,$CU45,CH$57),""),2,1)="(",LEFT(IFERROR(INDEX(醫師週班表!$C$5:$T$44,$CU45,CH$57),""),1),IFERROR(INDEX(醫師週班表!$C$5:$T$44,$CU45,CH$57),"")))))))</f>
        <v/>
      </c>
      <c r="CI45" s="72">
        <f>IF(CI$59="X","",IF(CI$59&lt;&gt;"",CI$59,IF(IFERROR(INDEX(醫師週班表!$C$5:$T$44,$CU45,CI$57),"")=0,"",IF(MID(IFERROR(INDEX(醫師週班表!$C$5:$T$44,$CU45,CI$57),""),2,1)="/",MID(IFERROR(INDEX(醫師週班表!$C$5:$T$44,$CU45,CI$57),""),1+CI$58*2,1),IF(MID(IFERROR(INDEX(醫師週班表!$C$5:$T$44,$CU45,CI$57),""),3,1)="隔",IF(CI$58=0,LEFT(IFERROR(INDEX(醫師週班表!$C$5:$T$44,$CU45,CI$57),""),1),""),IF(MID(IFERROR(INDEX(醫師週班表!$C$5:$T$44,$CU45,CI$57),""),2,1)="(",LEFT(IFERROR(INDEX(醫師週班表!$C$5:$T$44,$CU45,CI$57),""),1),IFERROR(INDEX(醫師週班表!$C$5:$T$44,$CU45,CI$57),"")))))))</f>
        <v/>
      </c>
      <c r="CJ45" s="72">
        <f>IF(CJ$59="X","",IF(CJ$59&lt;&gt;"",CJ$59,IF(IFERROR(INDEX(醫師週班表!$C$5:$T$44,$CU45,CJ$57),"")=0,"",IF(MID(IFERROR(INDEX(醫師週班表!$C$5:$T$44,$CU45,CJ$57),""),2,1)="/",MID(IFERROR(INDEX(醫師週班表!$C$5:$T$44,$CU45,CJ$57),""),1+CJ$58*2,1),IF(MID(IFERROR(INDEX(醫師週班表!$C$5:$T$44,$CU45,CJ$57),""),3,1)="隔",IF(CJ$58=0,LEFT(IFERROR(INDEX(醫師週班表!$C$5:$T$44,$CU45,CJ$57),""),1),""),IF(MID(IFERROR(INDEX(醫師週班表!$C$5:$T$44,$CU45,CJ$57),""),2,1)="(",LEFT(IFERROR(INDEX(醫師週班表!$C$5:$T$44,$CU45,CJ$57),""),1),IFERROR(INDEX(醫師週班表!$C$5:$T$44,$CU45,CJ$57),"")))))))</f>
        <v/>
      </c>
      <c r="CK45" s="71">
        <f>IF(CK$59="X","",IF(CK$59&lt;&gt;"",CK$59,IF(IFERROR(INDEX(醫師週班表!$C$5:$T$44,$CU45,CK$57),"")=0,"",IF(MID(IFERROR(INDEX(醫師週班表!$C$5:$T$44,$CU45,CK$57),""),2,1)="/",MID(IFERROR(INDEX(醫師週班表!$C$5:$T$44,$CU45,CK$57),""),1+CK$58*2,1),IF(MID(IFERROR(INDEX(醫師週班表!$C$5:$T$44,$CU45,CK$57),""),3,1)="隔",IF(CK$58=0,LEFT(IFERROR(INDEX(醫師週班表!$C$5:$T$44,$CU45,CK$57),""),1),""),IF(MID(IFERROR(INDEX(醫師週班表!$C$5:$T$44,$CU45,CK$57),""),2,1)="(",LEFT(IFERROR(INDEX(醫師週班表!$C$5:$T$44,$CU45,CK$57),""),1),IFERROR(INDEX(醫師週班表!$C$5:$T$44,$CU45,CK$57),"")))))))</f>
        <v/>
      </c>
      <c r="CL45" s="72">
        <f>IF(CL$59="X","",IF(CL$59&lt;&gt;"",CL$59,IF(IFERROR(INDEX(醫師週班表!$C$5:$T$44,$CU45,CL$57),"")=0,"",IF(MID(IFERROR(INDEX(醫師週班表!$C$5:$T$44,$CU45,CL$57),""),2,1)="/",MID(IFERROR(INDEX(醫師週班表!$C$5:$T$44,$CU45,CL$57),""),1+CL$58*2,1),IF(MID(IFERROR(INDEX(醫師週班表!$C$5:$T$44,$CU45,CL$57),""),3,1)="隔",IF(CL$58=0,LEFT(IFERROR(INDEX(醫師週班表!$C$5:$T$44,$CU45,CL$57),""),1),""),IF(MID(IFERROR(INDEX(醫師週班表!$C$5:$T$44,$CU45,CL$57),""),2,1)="(",LEFT(IFERROR(INDEX(醫師週班表!$C$5:$T$44,$CU45,CL$57),""),1),IFERROR(INDEX(醫師週班表!$C$5:$T$44,$CU45,CL$57),"")))))))</f>
        <v/>
      </c>
      <c r="CM45" s="72">
        <f>IF(CM$59="X","",IF(CM$59&lt;&gt;"",CM$59,IF(IFERROR(INDEX(醫師週班表!$C$5:$T$44,$CU45,CM$57),"")=0,"",IF(MID(IFERROR(INDEX(醫師週班表!$C$5:$T$44,$CU45,CM$57),""),2,1)="/",MID(IFERROR(INDEX(醫師週班表!$C$5:$T$44,$CU45,CM$57),""),1+CM$58*2,1),IF(MID(IFERROR(INDEX(醫師週班表!$C$5:$T$44,$CU45,CM$57),""),3,1)="隔",IF(CM$58=0,LEFT(IFERROR(INDEX(醫師週班表!$C$5:$T$44,$CU45,CM$57),""),1),""),IF(MID(IFERROR(INDEX(醫師週班表!$C$5:$T$44,$CU45,CM$57),""),2,1)="(",LEFT(IFERROR(INDEX(醫師週班表!$C$5:$T$44,$CU45,CM$57),""),1),IFERROR(INDEX(醫師週班表!$C$5:$T$44,$CU45,CM$57),"")))))))</f>
        <v/>
      </c>
      <c r="CN45" s="71">
        <f>IF(CN$59="X","",IF(CN$59&lt;&gt;"",CN$59,IF(IFERROR(INDEX(醫師週班表!$C$5:$T$44,$CU45,CN$57),"")=0,"",IF(MID(IFERROR(INDEX(醫師週班表!$C$5:$T$44,$CU45,CN$57),""),2,1)="/",MID(IFERROR(INDEX(醫師週班表!$C$5:$T$44,$CU45,CN$57),""),1+CN$58*2,1),IF(MID(IFERROR(INDEX(醫師週班表!$C$5:$T$44,$CU45,CN$57),""),3,1)="隔",IF(CN$58=0,LEFT(IFERROR(INDEX(醫師週班表!$C$5:$T$44,$CU45,CN$57),""),1),""),IF(MID(IFERROR(INDEX(醫師週班表!$C$5:$T$44,$CU45,CN$57),""),2,1)="(",LEFT(IFERROR(INDEX(醫師週班表!$C$5:$T$44,$CU45,CN$57),""),1),IFERROR(INDEX(醫師週班表!$C$5:$T$44,$CU45,CN$57),"")))))))</f>
        <v/>
      </c>
      <c r="CO45" s="72">
        <f>IF(CO$59="X","",IF(CO$59&lt;&gt;"",CO$59,IF(IFERROR(INDEX(醫師週班表!$C$5:$T$44,$CU45,CO$57),"")=0,"",IF(MID(IFERROR(INDEX(醫師週班表!$C$5:$T$44,$CU45,CO$57),""),2,1)="/",MID(IFERROR(INDEX(醫師週班表!$C$5:$T$44,$CU45,CO$57),""),1+CO$58*2,1),IF(MID(IFERROR(INDEX(醫師週班表!$C$5:$T$44,$CU45,CO$57),""),3,1)="隔",IF(CO$58=0,LEFT(IFERROR(INDEX(醫師週班表!$C$5:$T$44,$CU45,CO$57),""),1),""),IF(MID(IFERROR(INDEX(醫師週班表!$C$5:$T$44,$CU45,CO$57),""),2,1)="(",LEFT(IFERROR(INDEX(醫師週班表!$C$5:$T$44,$CU45,CO$57),""),1),IFERROR(INDEX(醫師週班表!$C$5:$T$44,$CU45,CO$57),"")))))))</f>
        <v/>
      </c>
      <c r="CP45" s="72">
        <f>IF(CP$59="X","",IF(CP$59&lt;&gt;"",CP$59,IF(IFERROR(INDEX(醫師週班表!$C$5:$T$44,$CU45,CP$57),"")=0,"",IF(MID(IFERROR(INDEX(醫師週班表!$C$5:$T$44,$CU45,CP$57),""),2,1)="/",MID(IFERROR(INDEX(醫師週班表!$C$5:$T$44,$CU45,CP$57),""),1+CP$58*2,1),IF(MID(IFERROR(INDEX(醫師週班表!$C$5:$T$44,$CU45,CP$57),""),3,1)="隔",IF(CP$58=0,LEFT(IFERROR(INDEX(醫師週班表!$C$5:$T$44,$CU45,CP$57),""),1),""),IF(MID(IFERROR(INDEX(醫師週班表!$C$5:$T$44,$CU45,CP$57),""),2,1)="(",LEFT(IFERROR(INDEX(醫師週班表!$C$5:$T$44,$CU45,CP$57),""),1),IFERROR(INDEX(醫師週班表!$C$5:$T$44,$CU45,CP$57),"")))))))</f>
        <v/>
      </c>
      <c r="CQ45" s="71">
        <f>IF(CQ$59="X","",IF(CQ$59&lt;&gt;"",CQ$59,IF(IFERROR(INDEX(醫師週班表!$C$5:$T$44,$CU45,CQ$57),"")=0,"",IF(MID(IFERROR(INDEX(醫師週班表!$C$5:$T$44,$CU45,CQ$57),""),2,1)="/",MID(IFERROR(INDEX(醫師週班表!$C$5:$T$44,$CU45,CQ$57),""),1+CQ$58*2,1),IF(MID(IFERROR(INDEX(醫師週班表!$C$5:$T$44,$CU45,CQ$57),""),3,1)="隔",IF(CQ$58=0,LEFT(IFERROR(INDEX(醫師週班表!$C$5:$T$44,$CU45,CQ$57),""),1),""),IF(MID(IFERROR(INDEX(醫師週班表!$C$5:$T$44,$CU45,CQ$57),""),2,1)="(",LEFT(IFERROR(INDEX(醫師週班表!$C$5:$T$44,$CU45,CQ$57),""),1),IFERROR(INDEX(醫師週班表!$C$5:$T$44,$CU45,CQ$57),"")))))))</f>
        <v/>
      </c>
      <c r="CR45" s="72">
        <f>IF(CR$59="X","",IF(CR$59&lt;&gt;"",CR$59,IF(IFERROR(INDEX(醫師週班表!$C$5:$T$44,$CU45,CR$57),"")=0,"",IF(MID(IFERROR(INDEX(醫師週班表!$C$5:$T$44,$CU45,CR$57),""),2,1)="/",MID(IFERROR(INDEX(醫師週班表!$C$5:$T$44,$CU45,CR$57),""),1+CR$58*2,1),IF(MID(IFERROR(INDEX(醫師週班表!$C$5:$T$44,$CU45,CR$57),""),3,1)="隔",IF(CR$58=0,LEFT(IFERROR(INDEX(醫師週班表!$C$5:$T$44,$CU45,CR$57),""),1),""),IF(MID(IFERROR(INDEX(醫師週班表!$C$5:$T$44,$CU45,CR$57),""),2,1)="(",LEFT(IFERROR(INDEX(醫師週班表!$C$5:$T$44,$CU45,CR$57),""),1),IFERROR(INDEX(醫師週班表!$C$5:$T$44,$CU45,CR$57),"")))))))</f>
        <v/>
      </c>
      <c r="CS45" s="72">
        <f>IF(CS$59="X","",IF(CS$59&lt;&gt;"",CS$59,IF(IFERROR(INDEX(醫師週班表!$C$5:$T$44,$CU45,CS$57),"")=0,"",IF(MID(IFERROR(INDEX(醫師週班表!$C$5:$T$44,$CU45,CS$57),""),2,1)="/",MID(IFERROR(INDEX(醫師週班表!$C$5:$T$44,$CU45,CS$57),""),1+CS$58*2,1),IF(MID(IFERROR(INDEX(醫師週班表!$C$5:$T$44,$CU45,CS$57),""),3,1)="隔",IF(CS$58=0,LEFT(IFERROR(INDEX(醫師週班表!$C$5:$T$44,$CU45,CS$57),""),1),""),IF(MID(IFERROR(INDEX(醫師週班表!$C$5:$T$44,$CU45,CS$57),""),2,1)="(",LEFT(IFERROR(INDEX(醫師週班表!$C$5:$T$44,$CU45,CS$57),""),1),IFERROR(INDEX(醫師週班表!$C$5:$T$44,$CU45,CS$57),"")))))))</f>
        <v/>
      </c>
      <c r="CU45" s="73">
        <f>IFERROR(MATCH($A45,醫師週班表!$A$5:$A$44,0),0)</f>
        <v/>
      </c>
    </row>
    <row r="46">
      <c r="A46" s="2" t="inlineStr">
        <is>
          <t>各院所每診次醫師數(自動計算,0 表示該診次沒有醫師)</t>
        </is>
      </c>
      <c r="B46" s="8" t="n"/>
      <c r="C46" s="8" t="n"/>
      <c r="D46" s="9" t="n"/>
    </row>
    <row r="47">
      <c r="A47" s="74" t="inlineStr">
        <is>
          <t>悅 晶悅</t>
        </is>
      </c>
      <c r="B47" s="8" t="n"/>
      <c r="C47" s="8" t="n"/>
      <c r="D47" s="9" t="n"/>
      <c r="E47" s="75">
        <f>IF(E$4="","",IF(COUNTIF(設定!$W$6:$W$40,DATE(設定!$C$2,設定!$D$2,1))&gt;0,"假",IF(INDEX(設定!$U$54:$AO$54,(WEEKDAY(DATE(設定!$C$2,設定!$D$2,1),2)-1)*3+1)=0,"休",COUNTIF(E$6:E$45,"悅"))))</f>
        <v/>
      </c>
      <c r="F47" s="76">
        <f>IF(F$4="","",IF(COUNTIF(設定!$W$6:$W$40,DATE(設定!$C$2,設定!$D$2,1))&gt;0,"假",IF(INDEX(設定!$U$54:$AO$54,(WEEKDAY(DATE(設定!$C$2,設定!$D$2,1),2)-1)*3+2)=0,"休",COUNTIF(F$6:F$45,"悅"))))</f>
        <v/>
      </c>
      <c r="G47" s="76">
        <f>IF(G$4="","",IF(COUNTIF(設定!$W$6:$W$40,DATE(設定!$C$2,設定!$D$2,1))&gt;0,"假",IF(INDEX(設定!$U$54:$AO$54,(WEEKDAY(DATE(設定!$C$2,設定!$D$2,1),2)-1)*3+3)=0,"休",COUNTIF(G$6:G$45,"悅"))))</f>
        <v/>
      </c>
      <c r="H47" s="75">
        <f>IF(H$4="","",IF(COUNTIF(設定!$W$6:$W$40,DATE(設定!$C$2,設定!$D$2,2))&gt;0,"假",IF(INDEX(設定!$U$54:$AO$54,(WEEKDAY(DATE(設定!$C$2,設定!$D$2,2),2)-1)*3+1)=0,"休",COUNTIF(H$6:H$45,"悅"))))</f>
        <v/>
      </c>
      <c r="I47" s="76">
        <f>IF(I$4="","",IF(COUNTIF(設定!$W$6:$W$40,DATE(設定!$C$2,設定!$D$2,2))&gt;0,"假",IF(INDEX(設定!$U$54:$AO$54,(WEEKDAY(DATE(設定!$C$2,設定!$D$2,2),2)-1)*3+2)=0,"休",COUNTIF(I$6:I$45,"悅"))))</f>
        <v/>
      </c>
      <c r="J47" s="76">
        <f>IF(J$4="","",IF(COUNTIF(設定!$W$6:$W$40,DATE(設定!$C$2,設定!$D$2,2))&gt;0,"假",IF(INDEX(設定!$U$54:$AO$54,(WEEKDAY(DATE(設定!$C$2,設定!$D$2,2),2)-1)*3+3)=0,"休",COUNTIF(J$6:J$45,"悅"))))</f>
        <v/>
      </c>
      <c r="K47" s="75">
        <f>IF(K$4="","",IF(COUNTIF(設定!$W$6:$W$40,DATE(設定!$C$2,設定!$D$2,3))&gt;0,"假",IF(INDEX(設定!$U$54:$AO$54,(WEEKDAY(DATE(設定!$C$2,設定!$D$2,3),2)-1)*3+1)=0,"休",COUNTIF(K$6:K$45,"悅"))))</f>
        <v/>
      </c>
      <c r="L47" s="76">
        <f>IF(L$4="","",IF(COUNTIF(設定!$W$6:$W$40,DATE(設定!$C$2,設定!$D$2,3))&gt;0,"假",IF(INDEX(設定!$U$54:$AO$54,(WEEKDAY(DATE(設定!$C$2,設定!$D$2,3),2)-1)*3+2)=0,"休",COUNTIF(L$6:L$45,"悅"))))</f>
        <v/>
      </c>
      <c r="M47" s="76">
        <f>IF(M$4="","",IF(COUNTIF(設定!$W$6:$W$40,DATE(設定!$C$2,設定!$D$2,3))&gt;0,"假",IF(INDEX(設定!$U$54:$AO$54,(WEEKDAY(DATE(設定!$C$2,設定!$D$2,3),2)-1)*3+3)=0,"休",COUNTIF(M$6:M$45,"悅"))))</f>
        <v/>
      </c>
      <c r="N47" s="75">
        <f>IF(N$4="","",IF(COUNTIF(設定!$W$6:$W$40,DATE(設定!$C$2,設定!$D$2,4))&gt;0,"假",IF(INDEX(設定!$U$54:$AO$54,(WEEKDAY(DATE(設定!$C$2,設定!$D$2,4),2)-1)*3+1)=0,"休",COUNTIF(N$6:N$45,"悅"))))</f>
        <v/>
      </c>
      <c r="O47" s="76">
        <f>IF(O$4="","",IF(COUNTIF(設定!$W$6:$W$40,DATE(設定!$C$2,設定!$D$2,4))&gt;0,"假",IF(INDEX(設定!$U$54:$AO$54,(WEEKDAY(DATE(設定!$C$2,設定!$D$2,4),2)-1)*3+2)=0,"休",COUNTIF(O$6:O$45,"悅"))))</f>
        <v/>
      </c>
      <c r="P47" s="76">
        <f>IF(P$4="","",IF(COUNTIF(設定!$W$6:$W$40,DATE(設定!$C$2,設定!$D$2,4))&gt;0,"假",IF(INDEX(設定!$U$54:$AO$54,(WEEKDAY(DATE(設定!$C$2,設定!$D$2,4),2)-1)*3+3)=0,"休",COUNTIF(P$6:P$45,"悅"))))</f>
        <v/>
      </c>
      <c r="Q47" s="75">
        <f>IF(Q$4="","",IF(COUNTIF(設定!$W$6:$W$40,DATE(設定!$C$2,設定!$D$2,5))&gt;0,"假",IF(INDEX(設定!$U$54:$AO$54,(WEEKDAY(DATE(設定!$C$2,設定!$D$2,5),2)-1)*3+1)=0,"休",COUNTIF(Q$6:Q$45,"悅"))))</f>
        <v/>
      </c>
      <c r="R47" s="76">
        <f>IF(R$4="","",IF(COUNTIF(設定!$W$6:$W$40,DATE(設定!$C$2,設定!$D$2,5))&gt;0,"假",IF(INDEX(設定!$U$54:$AO$54,(WEEKDAY(DATE(設定!$C$2,設定!$D$2,5),2)-1)*3+2)=0,"休",COUNTIF(R$6:R$45,"悅"))))</f>
        <v/>
      </c>
      <c r="S47" s="76">
        <f>IF(S$4="","",IF(COUNTIF(設定!$W$6:$W$40,DATE(設定!$C$2,設定!$D$2,5))&gt;0,"假",IF(INDEX(設定!$U$54:$AO$54,(WEEKDAY(DATE(設定!$C$2,設定!$D$2,5),2)-1)*3+3)=0,"休",COUNTIF(S$6:S$45,"悅"))))</f>
        <v/>
      </c>
      <c r="T47" s="75">
        <f>IF(T$4="","",IF(COUNTIF(設定!$W$6:$W$40,DATE(設定!$C$2,設定!$D$2,6))&gt;0,"假",IF(INDEX(設定!$U$54:$AO$54,(WEEKDAY(DATE(設定!$C$2,設定!$D$2,6),2)-1)*3+1)=0,"休",COUNTIF(T$6:T$45,"悅"))))</f>
        <v/>
      </c>
      <c r="U47" s="76">
        <f>IF(U$4="","",IF(COUNTIF(設定!$W$6:$W$40,DATE(設定!$C$2,設定!$D$2,6))&gt;0,"假",IF(INDEX(設定!$U$54:$AO$54,(WEEKDAY(DATE(設定!$C$2,設定!$D$2,6),2)-1)*3+2)=0,"休",COUNTIF(U$6:U$45,"悅"))))</f>
        <v/>
      </c>
      <c r="V47" s="76">
        <f>IF(V$4="","",IF(COUNTIF(設定!$W$6:$W$40,DATE(設定!$C$2,設定!$D$2,6))&gt;0,"假",IF(INDEX(設定!$U$54:$AO$54,(WEEKDAY(DATE(設定!$C$2,設定!$D$2,6),2)-1)*3+3)=0,"休",COUNTIF(V$6:V$45,"悅"))))</f>
        <v/>
      </c>
      <c r="W47" s="75">
        <f>IF(W$4="","",IF(COUNTIF(設定!$W$6:$W$40,DATE(設定!$C$2,設定!$D$2,7))&gt;0,"假",IF(INDEX(設定!$U$54:$AO$54,(WEEKDAY(DATE(設定!$C$2,設定!$D$2,7),2)-1)*3+1)=0,"休",COUNTIF(W$6:W$45,"悅"))))</f>
        <v/>
      </c>
      <c r="X47" s="76">
        <f>IF(X$4="","",IF(COUNTIF(設定!$W$6:$W$40,DATE(設定!$C$2,設定!$D$2,7))&gt;0,"假",IF(INDEX(設定!$U$54:$AO$54,(WEEKDAY(DATE(設定!$C$2,設定!$D$2,7),2)-1)*3+2)=0,"休",COUNTIF(X$6:X$45,"悅"))))</f>
        <v/>
      </c>
      <c r="Y47" s="76">
        <f>IF(Y$4="","",IF(COUNTIF(設定!$W$6:$W$40,DATE(設定!$C$2,設定!$D$2,7))&gt;0,"假",IF(INDEX(設定!$U$54:$AO$54,(WEEKDAY(DATE(設定!$C$2,設定!$D$2,7),2)-1)*3+3)=0,"休",COUNTIF(Y$6:Y$45,"悅"))))</f>
        <v/>
      </c>
      <c r="Z47" s="75">
        <f>IF(Z$4="","",IF(COUNTIF(設定!$W$6:$W$40,DATE(設定!$C$2,設定!$D$2,8))&gt;0,"假",IF(INDEX(設定!$U$54:$AO$54,(WEEKDAY(DATE(設定!$C$2,設定!$D$2,8),2)-1)*3+1)=0,"休",COUNTIF(Z$6:Z$45,"悅"))))</f>
        <v/>
      </c>
      <c r="AA47" s="76">
        <f>IF(AA$4="","",IF(COUNTIF(設定!$W$6:$W$40,DATE(設定!$C$2,設定!$D$2,8))&gt;0,"假",IF(INDEX(設定!$U$54:$AO$54,(WEEKDAY(DATE(設定!$C$2,設定!$D$2,8),2)-1)*3+2)=0,"休",COUNTIF(AA$6:AA$45,"悅"))))</f>
        <v/>
      </c>
      <c r="AB47" s="76">
        <f>IF(AB$4="","",IF(COUNTIF(設定!$W$6:$W$40,DATE(設定!$C$2,設定!$D$2,8))&gt;0,"假",IF(INDEX(設定!$U$54:$AO$54,(WEEKDAY(DATE(設定!$C$2,設定!$D$2,8),2)-1)*3+3)=0,"休",COUNTIF(AB$6:AB$45,"悅"))))</f>
        <v/>
      </c>
      <c r="AC47" s="75">
        <f>IF(AC$4="","",IF(COUNTIF(設定!$W$6:$W$40,DATE(設定!$C$2,設定!$D$2,9))&gt;0,"假",IF(INDEX(設定!$U$54:$AO$54,(WEEKDAY(DATE(設定!$C$2,設定!$D$2,9),2)-1)*3+1)=0,"休",COUNTIF(AC$6:AC$45,"悅"))))</f>
        <v/>
      </c>
      <c r="AD47" s="76">
        <f>IF(AD$4="","",IF(COUNTIF(設定!$W$6:$W$40,DATE(設定!$C$2,設定!$D$2,9))&gt;0,"假",IF(INDEX(設定!$U$54:$AO$54,(WEEKDAY(DATE(設定!$C$2,設定!$D$2,9),2)-1)*3+2)=0,"休",COUNTIF(AD$6:AD$45,"悅"))))</f>
        <v/>
      </c>
      <c r="AE47" s="76">
        <f>IF(AE$4="","",IF(COUNTIF(設定!$W$6:$W$40,DATE(設定!$C$2,設定!$D$2,9))&gt;0,"假",IF(INDEX(設定!$U$54:$AO$54,(WEEKDAY(DATE(設定!$C$2,設定!$D$2,9),2)-1)*3+3)=0,"休",COUNTIF(AE$6:AE$45,"悅"))))</f>
        <v/>
      </c>
      <c r="AF47" s="75">
        <f>IF(AF$4="","",IF(COUNTIF(設定!$W$6:$W$40,DATE(設定!$C$2,設定!$D$2,10))&gt;0,"假",IF(INDEX(設定!$U$54:$AO$54,(WEEKDAY(DATE(設定!$C$2,設定!$D$2,10),2)-1)*3+1)=0,"休",COUNTIF(AF$6:AF$45,"悅"))))</f>
        <v/>
      </c>
      <c r="AG47" s="76">
        <f>IF(AG$4="","",IF(COUNTIF(設定!$W$6:$W$40,DATE(設定!$C$2,設定!$D$2,10))&gt;0,"假",IF(INDEX(設定!$U$54:$AO$54,(WEEKDAY(DATE(設定!$C$2,設定!$D$2,10),2)-1)*3+2)=0,"休",COUNTIF(AG$6:AG$45,"悅"))))</f>
        <v/>
      </c>
      <c r="AH47" s="76">
        <f>IF(AH$4="","",IF(COUNTIF(設定!$W$6:$W$40,DATE(設定!$C$2,設定!$D$2,10))&gt;0,"假",IF(INDEX(設定!$U$54:$AO$54,(WEEKDAY(DATE(設定!$C$2,設定!$D$2,10),2)-1)*3+3)=0,"休",COUNTIF(AH$6:AH$45,"悅"))))</f>
        <v/>
      </c>
      <c r="AI47" s="75">
        <f>IF(AI$4="","",IF(COUNTIF(設定!$W$6:$W$40,DATE(設定!$C$2,設定!$D$2,11))&gt;0,"假",IF(INDEX(設定!$U$54:$AO$54,(WEEKDAY(DATE(設定!$C$2,設定!$D$2,11),2)-1)*3+1)=0,"休",COUNTIF(AI$6:AI$45,"悅"))))</f>
        <v/>
      </c>
      <c r="AJ47" s="76">
        <f>IF(AJ$4="","",IF(COUNTIF(設定!$W$6:$W$40,DATE(設定!$C$2,設定!$D$2,11))&gt;0,"假",IF(INDEX(設定!$U$54:$AO$54,(WEEKDAY(DATE(設定!$C$2,設定!$D$2,11),2)-1)*3+2)=0,"休",COUNTIF(AJ$6:AJ$45,"悅"))))</f>
        <v/>
      </c>
      <c r="AK47" s="76">
        <f>IF(AK$4="","",IF(COUNTIF(設定!$W$6:$W$40,DATE(設定!$C$2,設定!$D$2,11))&gt;0,"假",IF(INDEX(設定!$U$54:$AO$54,(WEEKDAY(DATE(設定!$C$2,設定!$D$2,11),2)-1)*3+3)=0,"休",COUNTIF(AK$6:AK$45,"悅"))))</f>
        <v/>
      </c>
      <c r="AL47" s="75">
        <f>IF(AL$4="","",IF(COUNTIF(設定!$W$6:$W$40,DATE(設定!$C$2,設定!$D$2,12))&gt;0,"假",IF(INDEX(設定!$U$54:$AO$54,(WEEKDAY(DATE(設定!$C$2,設定!$D$2,12),2)-1)*3+1)=0,"休",COUNTIF(AL$6:AL$45,"悅"))))</f>
        <v/>
      </c>
      <c r="AM47" s="76">
        <f>IF(AM$4="","",IF(COUNTIF(設定!$W$6:$W$40,DATE(設定!$C$2,設定!$D$2,12))&gt;0,"假",IF(INDEX(設定!$U$54:$AO$54,(WEEKDAY(DATE(設定!$C$2,設定!$D$2,12),2)-1)*3+2)=0,"休",COUNTIF(AM$6:AM$45,"悅"))))</f>
        <v/>
      </c>
      <c r="AN47" s="76">
        <f>IF(AN$4="","",IF(COUNTIF(設定!$W$6:$W$40,DATE(設定!$C$2,設定!$D$2,12))&gt;0,"假",IF(INDEX(設定!$U$54:$AO$54,(WEEKDAY(DATE(設定!$C$2,設定!$D$2,12),2)-1)*3+3)=0,"休",COUNTIF(AN$6:AN$45,"悅"))))</f>
        <v/>
      </c>
      <c r="AO47" s="75">
        <f>IF(AO$4="","",IF(COUNTIF(設定!$W$6:$W$40,DATE(設定!$C$2,設定!$D$2,13))&gt;0,"假",IF(INDEX(設定!$U$54:$AO$54,(WEEKDAY(DATE(設定!$C$2,設定!$D$2,13),2)-1)*3+1)=0,"休",COUNTIF(AO$6:AO$45,"悅"))))</f>
        <v/>
      </c>
      <c r="AP47" s="76">
        <f>IF(AP$4="","",IF(COUNTIF(設定!$W$6:$W$40,DATE(設定!$C$2,設定!$D$2,13))&gt;0,"假",IF(INDEX(設定!$U$54:$AO$54,(WEEKDAY(DATE(設定!$C$2,設定!$D$2,13),2)-1)*3+2)=0,"休",COUNTIF(AP$6:AP$45,"悅"))))</f>
        <v/>
      </c>
      <c r="AQ47" s="76">
        <f>IF(AQ$4="","",IF(COUNTIF(設定!$W$6:$W$40,DATE(設定!$C$2,設定!$D$2,13))&gt;0,"假",IF(INDEX(設定!$U$54:$AO$54,(WEEKDAY(DATE(設定!$C$2,設定!$D$2,13),2)-1)*3+3)=0,"休",COUNTIF(AQ$6:AQ$45,"悅"))))</f>
        <v/>
      </c>
      <c r="AR47" s="75">
        <f>IF(AR$4="","",IF(COUNTIF(設定!$W$6:$W$40,DATE(設定!$C$2,設定!$D$2,14))&gt;0,"假",IF(INDEX(設定!$U$54:$AO$54,(WEEKDAY(DATE(設定!$C$2,設定!$D$2,14),2)-1)*3+1)=0,"休",COUNTIF(AR$6:AR$45,"悅"))))</f>
        <v/>
      </c>
      <c r="AS47" s="76">
        <f>IF(AS$4="","",IF(COUNTIF(設定!$W$6:$W$40,DATE(設定!$C$2,設定!$D$2,14))&gt;0,"假",IF(INDEX(設定!$U$54:$AO$54,(WEEKDAY(DATE(設定!$C$2,設定!$D$2,14),2)-1)*3+2)=0,"休",COUNTIF(AS$6:AS$45,"悅"))))</f>
        <v/>
      </c>
      <c r="AT47" s="76">
        <f>IF(AT$4="","",IF(COUNTIF(設定!$W$6:$W$40,DATE(設定!$C$2,設定!$D$2,14))&gt;0,"假",IF(INDEX(設定!$U$54:$AO$54,(WEEKDAY(DATE(設定!$C$2,設定!$D$2,14),2)-1)*3+3)=0,"休",COUNTIF(AT$6:AT$45,"悅"))))</f>
        <v/>
      </c>
      <c r="AU47" s="75">
        <f>IF(AU$4="","",IF(COUNTIF(設定!$W$6:$W$40,DATE(設定!$C$2,設定!$D$2,15))&gt;0,"假",IF(INDEX(設定!$U$54:$AO$54,(WEEKDAY(DATE(設定!$C$2,設定!$D$2,15),2)-1)*3+1)=0,"休",COUNTIF(AU$6:AU$45,"悅"))))</f>
        <v/>
      </c>
      <c r="AV47" s="76">
        <f>IF(AV$4="","",IF(COUNTIF(設定!$W$6:$W$40,DATE(設定!$C$2,設定!$D$2,15))&gt;0,"假",IF(INDEX(設定!$U$54:$AO$54,(WEEKDAY(DATE(設定!$C$2,設定!$D$2,15),2)-1)*3+2)=0,"休",COUNTIF(AV$6:AV$45,"悅"))))</f>
        <v/>
      </c>
      <c r="AW47" s="76">
        <f>IF(AW$4="","",IF(COUNTIF(設定!$W$6:$W$40,DATE(設定!$C$2,設定!$D$2,15))&gt;0,"假",IF(INDEX(設定!$U$54:$AO$54,(WEEKDAY(DATE(設定!$C$2,設定!$D$2,15),2)-1)*3+3)=0,"休",COUNTIF(AW$6:AW$45,"悅"))))</f>
        <v/>
      </c>
      <c r="AX47" s="75">
        <f>IF(AX$4="","",IF(COUNTIF(設定!$W$6:$W$40,DATE(設定!$C$2,設定!$D$2,16))&gt;0,"假",IF(INDEX(設定!$U$54:$AO$54,(WEEKDAY(DATE(設定!$C$2,設定!$D$2,16),2)-1)*3+1)=0,"休",COUNTIF(AX$6:AX$45,"悅"))))</f>
        <v/>
      </c>
      <c r="AY47" s="76">
        <f>IF(AY$4="","",IF(COUNTIF(設定!$W$6:$W$40,DATE(設定!$C$2,設定!$D$2,16))&gt;0,"假",IF(INDEX(設定!$U$54:$AO$54,(WEEKDAY(DATE(設定!$C$2,設定!$D$2,16),2)-1)*3+2)=0,"休",COUNTIF(AY$6:AY$45,"悅"))))</f>
        <v/>
      </c>
      <c r="AZ47" s="76">
        <f>IF(AZ$4="","",IF(COUNTIF(設定!$W$6:$W$40,DATE(設定!$C$2,設定!$D$2,16))&gt;0,"假",IF(INDEX(設定!$U$54:$AO$54,(WEEKDAY(DATE(設定!$C$2,設定!$D$2,16),2)-1)*3+3)=0,"休",COUNTIF(AZ$6:AZ$45,"悅"))))</f>
        <v/>
      </c>
      <c r="BA47" s="75">
        <f>IF(BA$4="","",IF(COUNTIF(設定!$W$6:$W$40,DATE(設定!$C$2,設定!$D$2,17))&gt;0,"假",IF(INDEX(設定!$U$54:$AO$54,(WEEKDAY(DATE(設定!$C$2,設定!$D$2,17),2)-1)*3+1)=0,"休",COUNTIF(BA$6:BA$45,"悅"))))</f>
        <v/>
      </c>
      <c r="BB47" s="76">
        <f>IF(BB$4="","",IF(COUNTIF(設定!$W$6:$W$40,DATE(設定!$C$2,設定!$D$2,17))&gt;0,"假",IF(INDEX(設定!$U$54:$AO$54,(WEEKDAY(DATE(設定!$C$2,設定!$D$2,17),2)-1)*3+2)=0,"休",COUNTIF(BB$6:BB$45,"悅"))))</f>
        <v/>
      </c>
      <c r="BC47" s="76">
        <f>IF(BC$4="","",IF(COUNTIF(設定!$W$6:$W$40,DATE(設定!$C$2,設定!$D$2,17))&gt;0,"假",IF(INDEX(設定!$U$54:$AO$54,(WEEKDAY(DATE(設定!$C$2,設定!$D$2,17),2)-1)*3+3)=0,"休",COUNTIF(BC$6:BC$45,"悅"))))</f>
        <v/>
      </c>
      <c r="BD47" s="75">
        <f>IF(BD$4="","",IF(COUNTIF(設定!$W$6:$W$40,DATE(設定!$C$2,設定!$D$2,18))&gt;0,"假",IF(INDEX(設定!$U$54:$AO$54,(WEEKDAY(DATE(設定!$C$2,設定!$D$2,18),2)-1)*3+1)=0,"休",COUNTIF(BD$6:BD$45,"悅"))))</f>
        <v/>
      </c>
      <c r="BE47" s="76">
        <f>IF(BE$4="","",IF(COUNTIF(設定!$W$6:$W$40,DATE(設定!$C$2,設定!$D$2,18))&gt;0,"假",IF(INDEX(設定!$U$54:$AO$54,(WEEKDAY(DATE(設定!$C$2,設定!$D$2,18),2)-1)*3+2)=0,"休",COUNTIF(BE$6:BE$45,"悅"))))</f>
        <v/>
      </c>
      <c r="BF47" s="76">
        <f>IF(BF$4="","",IF(COUNTIF(設定!$W$6:$W$40,DATE(設定!$C$2,設定!$D$2,18))&gt;0,"假",IF(INDEX(設定!$U$54:$AO$54,(WEEKDAY(DATE(設定!$C$2,設定!$D$2,18),2)-1)*3+3)=0,"休",COUNTIF(BF$6:BF$45,"悅"))))</f>
        <v/>
      </c>
      <c r="BG47" s="75">
        <f>IF(BG$4="","",IF(COUNTIF(設定!$W$6:$W$40,DATE(設定!$C$2,設定!$D$2,19))&gt;0,"假",IF(INDEX(設定!$U$54:$AO$54,(WEEKDAY(DATE(設定!$C$2,設定!$D$2,19),2)-1)*3+1)=0,"休",COUNTIF(BG$6:BG$45,"悅"))))</f>
        <v/>
      </c>
      <c r="BH47" s="76">
        <f>IF(BH$4="","",IF(COUNTIF(設定!$W$6:$W$40,DATE(設定!$C$2,設定!$D$2,19))&gt;0,"假",IF(INDEX(設定!$U$54:$AO$54,(WEEKDAY(DATE(設定!$C$2,設定!$D$2,19),2)-1)*3+2)=0,"休",COUNTIF(BH$6:BH$45,"悅"))))</f>
        <v/>
      </c>
      <c r="BI47" s="76">
        <f>IF(BI$4="","",IF(COUNTIF(設定!$W$6:$W$40,DATE(設定!$C$2,設定!$D$2,19))&gt;0,"假",IF(INDEX(設定!$U$54:$AO$54,(WEEKDAY(DATE(設定!$C$2,設定!$D$2,19),2)-1)*3+3)=0,"休",COUNTIF(BI$6:BI$45,"悅"))))</f>
        <v/>
      </c>
      <c r="BJ47" s="75">
        <f>IF(BJ$4="","",IF(COUNTIF(設定!$W$6:$W$40,DATE(設定!$C$2,設定!$D$2,20))&gt;0,"假",IF(INDEX(設定!$U$54:$AO$54,(WEEKDAY(DATE(設定!$C$2,設定!$D$2,20),2)-1)*3+1)=0,"休",COUNTIF(BJ$6:BJ$45,"悅"))))</f>
        <v/>
      </c>
      <c r="BK47" s="76">
        <f>IF(BK$4="","",IF(COUNTIF(設定!$W$6:$W$40,DATE(設定!$C$2,設定!$D$2,20))&gt;0,"假",IF(INDEX(設定!$U$54:$AO$54,(WEEKDAY(DATE(設定!$C$2,設定!$D$2,20),2)-1)*3+2)=0,"休",COUNTIF(BK$6:BK$45,"悅"))))</f>
        <v/>
      </c>
      <c r="BL47" s="76">
        <f>IF(BL$4="","",IF(COUNTIF(設定!$W$6:$W$40,DATE(設定!$C$2,設定!$D$2,20))&gt;0,"假",IF(INDEX(設定!$U$54:$AO$54,(WEEKDAY(DATE(設定!$C$2,設定!$D$2,20),2)-1)*3+3)=0,"休",COUNTIF(BL$6:BL$45,"悅"))))</f>
        <v/>
      </c>
      <c r="BM47" s="75">
        <f>IF(BM$4="","",IF(COUNTIF(設定!$W$6:$W$40,DATE(設定!$C$2,設定!$D$2,21))&gt;0,"假",IF(INDEX(設定!$U$54:$AO$54,(WEEKDAY(DATE(設定!$C$2,設定!$D$2,21),2)-1)*3+1)=0,"休",COUNTIF(BM$6:BM$45,"悅"))))</f>
        <v/>
      </c>
      <c r="BN47" s="76">
        <f>IF(BN$4="","",IF(COUNTIF(設定!$W$6:$W$40,DATE(設定!$C$2,設定!$D$2,21))&gt;0,"假",IF(INDEX(設定!$U$54:$AO$54,(WEEKDAY(DATE(設定!$C$2,設定!$D$2,21),2)-1)*3+2)=0,"休",COUNTIF(BN$6:BN$45,"悅"))))</f>
        <v/>
      </c>
      <c r="BO47" s="76">
        <f>IF(BO$4="","",IF(COUNTIF(設定!$W$6:$W$40,DATE(設定!$C$2,設定!$D$2,21))&gt;0,"假",IF(INDEX(設定!$U$54:$AO$54,(WEEKDAY(DATE(設定!$C$2,設定!$D$2,21),2)-1)*3+3)=0,"休",COUNTIF(BO$6:BO$45,"悅"))))</f>
        <v/>
      </c>
      <c r="BP47" s="75">
        <f>IF(BP$4="","",IF(COUNTIF(設定!$W$6:$W$40,DATE(設定!$C$2,設定!$D$2,22))&gt;0,"假",IF(INDEX(設定!$U$54:$AO$54,(WEEKDAY(DATE(設定!$C$2,設定!$D$2,22),2)-1)*3+1)=0,"休",COUNTIF(BP$6:BP$45,"悅"))))</f>
        <v/>
      </c>
      <c r="BQ47" s="76">
        <f>IF(BQ$4="","",IF(COUNTIF(設定!$W$6:$W$40,DATE(設定!$C$2,設定!$D$2,22))&gt;0,"假",IF(INDEX(設定!$U$54:$AO$54,(WEEKDAY(DATE(設定!$C$2,設定!$D$2,22),2)-1)*3+2)=0,"休",COUNTIF(BQ$6:BQ$45,"悅"))))</f>
        <v/>
      </c>
      <c r="BR47" s="76">
        <f>IF(BR$4="","",IF(COUNTIF(設定!$W$6:$W$40,DATE(設定!$C$2,設定!$D$2,22))&gt;0,"假",IF(INDEX(設定!$U$54:$AO$54,(WEEKDAY(DATE(設定!$C$2,設定!$D$2,22),2)-1)*3+3)=0,"休",COUNTIF(BR$6:BR$45,"悅"))))</f>
        <v/>
      </c>
      <c r="BS47" s="75">
        <f>IF(BS$4="","",IF(COUNTIF(設定!$W$6:$W$40,DATE(設定!$C$2,設定!$D$2,23))&gt;0,"假",IF(INDEX(設定!$U$54:$AO$54,(WEEKDAY(DATE(設定!$C$2,設定!$D$2,23),2)-1)*3+1)=0,"休",COUNTIF(BS$6:BS$45,"悅"))))</f>
        <v/>
      </c>
      <c r="BT47" s="76">
        <f>IF(BT$4="","",IF(COUNTIF(設定!$W$6:$W$40,DATE(設定!$C$2,設定!$D$2,23))&gt;0,"假",IF(INDEX(設定!$U$54:$AO$54,(WEEKDAY(DATE(設定!$C$2,設定!$D$2,23),2)-1)*3+2)=0,"休",COUNTIF(BT$6:BT$45,"悅"))))</f>
        <v/>
      </c>
      <c r="BU47" s="76">
        <f>IF(BU$4="","",IF(COUNTIF(設定!$W$6:$W$40,DATE(設定!$C$2,設定!$D$2,23))&gt;0,"假",IF(INDEX(設定!$U$54:$AO$54,(WEEKDAY(DATE(設定!$C$2,設定!$D$2,23),2)-1)*3+3)=0,"休",COUNTIF(BU$6:BU$45,"悅"))))</f>
        <v/>
      </c>
      <c r="BV47" s="75">
        <f>IF(BV$4="","",IF(COUNTIF(設定!$W$6:$W$40,DATE(設定!$C$2,設定!$D$2,24))&gt;0,"假",IF(INDEX(設定!$U$54:$AO$54,(WEEKDAY(DATE(設定!$C$2,設定!$D$2,24),2)-1)*3+1)=0,"休",COUNTIF(BV$6:BV$45,"悅"))))</f>
        <v/>
      </c>
      <c r="BW47" s="76">
        <f>IF(BW$4="","",IF(COUNTIF(設定!$W$6:$W$40,DATE(設定!$C$2,設定!$D$2,24))&gt;0,"假",IF(INDEX(設定!$U$54:$AO$54,(WEEKDAY(DATE(設定!$C$2,設定!$D$2,24),2)-1)*3+2)=0,"休",COUNTIF(BW$6:BW$45,"悅"))))</f>
        <v/>
      </c>
      <c r="BX47" s="76">
        <f>IF(BX$4="","",IF(COUNTIF(設定!$W$6:$W$40,DATE(設定!$C$2,設定!$D$2,24))&gt;0,"假",IF(INDEX(設定!$U$54:$AO$54,(WEEKDAY(DATE(設定!$C$2,設定!$D$2,24),2)-1)*3+3)=0,"休",COUNTIF(BX$6:BX$45,"悅"))))</f>
        <v/>
      </c>
      <c r="BY47" s="75">
        <f>IF(BY$4="","",IF(COUNTIF(設定!$W$6:$W$40,DATE(設定!$C$2,設定!$D$2,25))&gt;0,"假",IF(INDEX(設定!$U$54:$AO$54,(WEEKDAY(DATE(設定!$C$2,設定!$D$2,25),2)-1)*3+1)=0,"休",COUNTIF(BY$6:BY$45,"悅"))))</f>
        <v/>
      </c>
      <c r="BZ47" s="76">
        <f>IF(BZ$4="","",IF(COUNTIF(設定!$W$6:$W$40,DATE(設定!$C$2,設定!$D$2,25))&gt;0,"假",IF(INDEX(設定!$U$54:$AO$54,(WEEKDAY(DATE(設定!$C$2,設定!$D$2,25),2)-1)*3+2)=0,"休",COUNTIF(BZ$6:BZ$45,"悅"))))</f>
        <v/>
      </c>
      <c r="CA47" s="76">
        <f>IF(CA$4="","",IF(COUNTIF(設定!$W$6:$W$40,DATE(設定!$C$2,設定!$D$2,25))&gt;0,"假",IF(INDEX(設定!$U$54:$AO$54,(WEEKDAY(DATE(設定!$C$2,設定!$D$2,25),2)-1)*3+3)=0,"休",COUNTIF(CA$6:CA$45,"悅"))))</f>
        <v/>
      </c>
      <c r="CB47" s="75">
        <f>IF(CB$4="","",IF(COUNTIF(設定!$W$6:$W$40,DATE(設定!$C$2,設定!$D$2,26))&gt;0,"假",IF(INDEX(設定!$U$54:$AO$54,(WEEKDAY(DATE(設定!$C$2,設定!$D$2,26),2)-1)*3+1)=0,"休",COUNTIF(CB$6:CB$45,"悅"))))</f>
        <v/>
      </c>
      <c r="CC47" s="76">
        <f>IF(CC$4="","",IF(COUNTIF(設定!$W$6:$W$40,DATE(設定!$C$2,設定!$D$2,26))&gt;0,"假",IF(INDEX(設定!$U$54:$AO$54,(WEEKDAY(DATE(設定!$C$2,設定!$D$2,26),2)-1)*3+2)=0,"休",COUNTIF(CC$6:CC$45,"悅"))))</f>
        <v/>
      </c>
      <c r="CD47" s="76">
        <f>IF(CD$4="","",IF(COUNTIF(設定!$W$6:$W$40,DATE(設定!$C$2,設定!$D$2,26))&gt;0,"假",IF(INDEX(設定!$U$54:$AO$54,(WEEKDAY(DATE(設定!$C$2,設定!$D$2,26),2)-1)*3+3)=0,"休",COUNTIF(CD$6:CD$45,"悅"))))</f>
        <v/>
      </c>
      <c r="CE47" s="75">
        <f>IF(CE$4="","",IF(COUNTIF(設定!$W$6:$W$40,DATE(設定!$C$2,設定!$D$2,27))&gt;0,"假",IF(INDEX(設定!$U$54:$AO$54,(WEEKDAY(DATE(設定!$C$2,設定!$D$2,27),2)-1)*3+1)=0,"休",COUNTIF(CE$6:CE$45,"悅"))))</f>
        <v/>
      </c>
      <c r="CF47" s="76">
        <f>IF(CF$4="","",IF(COUNTIF(設定!$W$6:$W$40,DATE(設定!$C$2,設定!$D$2,27))&gt;0,"假",IF(INDEX(設定!$U$54:$AO$54,(WEEKDAY(DATE(設定!$C$2,設定!$D$2,27),2)-1)*3+2)=0,"休",COUNTIF(CF$6:CF$45,"悅"))))</f>
        <v/>
      </c>
      <c r="CG47" s="76">
        <f>IF(CG$4="","",IF(COUNTIF(設定!$W$6:$W$40,DATE(設定!$C$2,設定!$D$2,27))&gt;0,"假",IF(INDEX(設定!$U$54:$AO$54,(WEEKDAY(DATE(設定!$C$2,設定!$D$2,27),2)-1)*3+3)=0,"休",COUNTIF(CG$6:CG$45,"悅"))))</f>
        <v/>
      </c>
      <c r="CH47" s="75">
        <f>IF(CH$4="","",IF(COUNTIF(設定!$W$6:$W$40,DATE(設定!$C$2,設定!$D$2,28))&gt;0,"假",IF(INDEX(設定!$U$54:$AO$54,(WEEKDAY(DATE(設定!$C$2,設定!$D$2,28),2)-1)*3+1)=0,"休",COUNTIF(CH$6:CH$45,"悅"))))</f>
        <v/>
      </c>
      <c r="CI47" s="76">
        <f>IF(CI$4="","",IF(COUNTIF(設定!$W$6:$W$40,DATE(設定!$C$2,設定!$D$2,28))&gt;0,"假",IF(INDEX(設定!$U$54:$AO$54,(WEEKDAY(DATE(設定!$C$2,設定!$D$2,28),2)-1)*3+2)=0,"休",COUNTIF(CI$6:CI$45,"悅"))))</f>
        <v/>
      </c>
      <c r="CJ47" s="76">
        <f>IF(CJ$4="","",IF(COUNTIF(設定!$W$6:$W$40,DATE(設定!$C$2,設定!$D$2,28))&gt;0,"假",IF(INDEX(設定!$U$54:$AO$54,(WEEKDAY(DATE(設定!$C$2,設定!$D$2,28),2)-1)*3+3)=0,"休",COUNTIF(CJ$6:CJ$45,"悅"))))</f>
        <v/>
      </c>
      <c r="CK47" s="75">
        <f>IF(CK$4="","",IF(COUNTIF(設定!$W$6:$W$40,DATE(設定!$C$2,設定!$D$2,29))&gt;0,"假",IF(INDEX(設定!$U$54:$AO$54,(WEEKDAY(DATE(設定!$C$2,設定!$D$2,29),2)-1)*3+1)=0,"休",COUNTIF(CK$6:CK$45,"悅"))))</f>
        <v/>
      </c>
      <c r="CL47" s="76">
        <f>IF(CL$4="","",IF(COUNTIF(設定!$W$6:$W$40,DATE(設定!$C$2,設定!$D$2,29))&gt;0,"假",IF(INDEX(設定!$U$54:$AO$54,(WEEKDAY(DATE(設定!$C$2,設定!$D$2,29),2)-1)*3+2)=0,"休",COUNTIF(CL$6:CL$45,"悅"))))</f>
        <v/>
      </c>
      <c r="CM47" s="76">
        <f>IF(CM$4="","",IF(COUNTIF(設定!$W$6:$W$40,DATE(設定!$C$2,設定!$D$2,29))&gt;0,"假",IF(INDEX(設定!$U$54:$AO$54,(WEEKDAY(DATE(設定!$C$2,設定!$D$2,29),2)-1)*3+3)=0,"休",COUNTIF(CM$6:CM$45,"悅"))))</f>
        <v/>
      </c>
      <c r="CN47" s="75">
        <f>IF(CN$4="","",IF(COUNTIF(設定!$W$6:$W$40,DATE(設定!$C$2,設定!$D$2,30))&gt;0,"假",IF(INDEX(設定!$U$54:$AO$54,(WEEKDAY(DATE(設定!$C$2,設定!$D$2,30),2)-1)*3+1)=0,"休",COUNTIF(CN$6:CN$45,"悅"))))</f>
        <v/>
      </c>
      <c r="CO47" s="76">
        <f>IF(CO$4="","",IF(COUNTIF(設定!$W$6:$W$40,DATE(設定!$C$2,設定!$D$2,30))&gt;0,"假",IF(INDEX(設定!$U$54:$AO$54,(WEEKDAY(DATE(設定!$C$2,設定!$D$2,30),2)-1)*3+2)=0,"休",COUNTIF(CO$6:CO$45,"悅"))))</f>
        <v/>
      </c>
      <c r="CP47" s="76">
        <f>IF(CP$4="","",IF(COUNTIF(設定!$W$6:$W$40,DATE(設定!$C$2,設定!$D$2,30))&gt;0,"假",IF(INDEX(設定!$U$54:$AO$54,(WEEKDAY(DATE(設定!$C$2,設定!$D$2,30),2)-1)*3+3)=0,"休",COUNTIF(CP$6:CP$45,"悅"))))</f>
        <v/>
      </c>
      <c r="CQ47" s="75">
        <f>IF(CQ$4="","",IF(COUNTIF(設定!$W$6:$W$40,DATE(設定!$C$2,設定!$D$2,31))&gt;0,"假",IF(INDEX(設定!$U$54:$AO$54,(WEEKDAY(DATE(設定!$C$2,設定!$D$2,31),2)-1)*3+1)=0,"休",COUNTIF(CQ$6:CQ$45,"悅"))))</f>
        <v/>
      </c>
      <c r="CR47" s="76">
        <f>IF(CR$4="","",IF(COUNTIF(設定!$W$6:$W$40,DATE(設定!$C$2,設定!$D$2,31))&gt;0,"假",IF(INDEX(設定!$U$54:$AO$54,(WEEKDAY(DATE(設定!$C$2,設定!$D$2,31),2)-1)*3+2)=0,"休",COUNTIF(CR$6:CR$45,"悅"))))</f>
        <v/>
      </c>
      <c r="CS47" s="76">
        <f>IF(CS$4="","",IF(COUNTIF(設定!$W$6:$W$40,DATE(設定!$C$2,設定!$D$2,31))&gt;0,"假",IF(INDEX(設定!$U$54:$AO$54,(WEEKDAY(DATE(設定!$C$2,設定!$D$2,31),2)-1)*3+3)=0,"休",COUNTIF(CS$6:CS$45,"悅"))))</f>
        <v/>
      </c>
    </row>
    <row r="48">
      <c r="A48" s="77" t="inlineStr">
        <is>
          <t>睿 晶睿</t>
        </is>
      </c>
      <c r="B48" s="8" t="n"/>
      <c r="C48" s="8" t="n"/>
      <c r="D48" s="9" t="n"/>
      <c r="E48" s="75">
        <f>IF(E$4="","",IF(COUNTIF(設定!$W$6:$W$40,DATE(設定!$C$2,設定!$D$2,1))&gt;0,"假",IF(INDEX(設定!$U$55:$AO$55,(WEEKDAY(DATE(設定!$C$2,設定!$D$2,1),2)-1)*3+1)=0,"休",COUNTIF(E$6:E$45,"睿"))))</f>
        <v/>
      </c>
      <c r="F48" s="76">
        <f>IF(F$4="","",IF(COUNTIF(設定!$W$6:$W$40,DATE(設定!$C$2,設定!$D$2,1))&gt;0,"假",IF(INDEX(設定!$U$55:$AO$55,(WEEKDAY(DATE(設定!$C$2,設定!$D$2,1),2)-1)*3+2)=0,"休",COUNTIF(F$6:F$45,"睿"))))</f>
        <v/>
      </c>
      <c r="G48" s="76">
        <f>IF(G$4="","",IF(COUNTIF(設定!$W$6:$W$40,DATE(設定!$C$2,設定!$D$2,1))&gt;0,"假",IF(INDEX(設定!$U$55:$AO$55,(WEEKDAY(DATE(設定!$C$2,設定!$D$2,1),2)-1)*3+3)=0,"休",COUNTIF(G$6:G$45,"睿"))))</f>
        <v/>
      </c>
      <c r="H48" s="75">
        <f>IF(H$4="","",IF(COUNTIF(設定!$W$6:$W$40,DATE(設定!$C$2,設定!$D$2,2))&gt;0,"假",IF(INDEX(設定!$U$55:$AO$55,(WEEKDAY(DATE(設定!$C$2,設定!$D$2,2),2)-1)*3+1)=0,"休",COUNTIF(H$6:H$45,"睿"))))</f>
        <v/>
      </c>
      <c r="I48" s="76">
        <f>IF(I$4="","",IF(COUNTIF(設定!$W$6:$W$40,DATE(設定!$C$2,設定!$D$2,2))&gt;0,"假",IF(INDEX(設定!$U$55:$AO$55,(WEEKDAY(DATE(設定!$C$2,設定!$D$2,2),2)-1)*3+2)=0,"休",COUNTIF(I$6:I$45,"睿"))))</f>
        <v/>
      </c>
      <c r="J48" s="76">
        <f>IF(J$4="","",IF(COUNTIF(設定!$W$6:$W$40,DATE(設定!$C$2,設定!$D$2,2))&gt;0,"假",IF(INDEX(設定!$U$55:$AO$55,(WEEKDAY(DATE(設定!$C$2,設定!$D$2,2),2)-1)*3+3)=0,"休",COUNTIF(J$6:J$45,"睿"))))</f>
        <v/>
      </c>
      <c r="K48" s="75">
        <f>IF(K$4="","",IF(COUNTIF(設定!$W$6:$W$40,DATE(設定!$C$2,設定!$D$2,3))&gt;0,"假",IF(INDEX(設定!$U$55:$AO$55,(WEEKDAY(DATE(設定!$C$2,設定!$D$2,3),2)-1)*3+1)=0,"休",COUNTIF(K$6:K$45,"睿"))))</f>
        <v/>
      </c>
      <c r="L48" s="76">
        <f>IF(L$4="","",IF(COUNTIF(設定!$W$6:$W$40,DATE(設定!$C$2,設定!$D$2,3))&gt;0,"假",IF(INDEX(設定!$U$55:$AO$55,(WEEKDAY(DATE(設定!$C$2,設定!$D$2,3),2)-1)*3+2)=0,"休",COUNTIF(L$6:L$45,"睿"))))</f>
        <v/>
      </c>
      <c r="M48" s="76">
        <f>IF(M$4="","",IF(COUNTIF(設定!$W$6:$W$40,DATE(設定!$C$2,設定!$D$2,3))&gt;0,"假",IF(INDEX(設定!$U$55:$AO$55,(WEEKDAY(DATE(設定!$C$2,設定!$D$2,3),2)-1)*3+3)=0,"休",COUNTIF(M$6:M$45,"睿"))))</f>
        <v/>
      </c>
      <c r="N48" s="75">
        <f>IF(N$4="","",IF(COUNTIF(設定!$W$6:$W$40,DATE(設定!$C$2,設定!$D$2,4))&gt;0,"假",IF(INDEX(設定!$U$55:$AO$55,(WEEKDAY(DATE(設定!$C$2,設定!$D$2,4),2)-1)*3+1)=0,"休",COUNTIF(N$6:N$45,"睿"))))</f>
        <v/>
      </c>
      <c r="O48" s="76">
        <f>IF(O$4="","",IF(COUNTIF(設定!$W$6:$W$40,DATE(設定!$C$2,設定!$D$2,4))&gt;0,"假",IF(INDEX(設定!$U$55:$AO$55,(WEEKDAY(DATE(設定!$C$2,設定!$D$2,4),2)-1)*3+2)=0,"休",COUNTIF(O$6:O$45,"睿"))))</f>
        <v/>
      </c>
      <c r="P48" s="76">
        <f>IF(P$4="","",IF(COUNTIF(設定!$W$6:$W$40,DATE(設定!$C$2,設定!$D$2,4))&gt;0,"假",IF(INDEX(設定!$U$55:$AO$55,(WEEKDAY(DATE(設定!$C$2,設定!$D$2,4),2)-1)*3+3)=0,"休",COUNTIF(P$6:P$45,"睿"))))</f>
        <v/>
      </c>
      <c r="Q48" s="75">
        <f>IF(Q$4="","",IF(COUNTIF(設定!$W$6:$W$40,DATE(設定!$C$2,設定!$D$2,5))&gt;0,"假",IF(INDEX(設定!$U$55:$AO$55,(WEEKDAY(DATE(設定!$C$2,設定!$D$2,5),2)-1)*3+1)=0,"休",COUNTIF(Q$6:Q$45,"睿"))))</f>
        <v/>
      </c>
      <c r="R48" s="76">
        <f>IF(R$4="","",IF(COUNTIF(設定!$W$6:$W$40,DATE(設定!$C$2,設定!$D$2,5))&gt;0,"假",IF(INDEX(設定!$U$55:$AO$55,(WEEKDAY(DATE(設定!$C$2,設定!$D$2,5),2)-1)*3+2)=0,"休",COUNTIF(R$6:R$45,"睿"))))</f>
        <v/>
      </c>
      <c r="S48" s="76">
        <f>IF(S$4="","",IF(COUNTIF(設定!$W$6:$W$40,DATE(設定!$C$2,設定!$D$2,5))&gt;0,"假",IF(INDEX(設定!$U$55:$AO$55,(WEEKDAY(DATE(設定!$C$2,設定!$D$2,5),2)-1)*3+3)=0,"休",COUNTIF(S$6:S$45,"睿"))))</f>
        <v/>
      </c>
      <c r="T48" s="75">
        <f>IF(T$4="","",IF(COUNTIF(設定!$W$6:$W$40,DATE(設定!$C$2,設定!$D$2,6))&gt;0,"假",IF(INDEX(設定!$U$55:$AO$55,(WEEKDAY(DATE(設定!$C$2,設定!$D$2,6),2)-1)*3+1)=0,"休",COUNTIF(T$6:T$45,"睿"))))</f>
        <v/>
      </c>
      <c r="U48" s="76">
        <f>IF(U$4="","",IF(COUNTIF(設定!$W$6:$W$40,DATE(設定!$C$2,設定!$D$2,6))&gt;0,"假",IF(INDEX(設定!$U$55:$AO$55,(WEEKDAY(DATE(設定!$C$2,設定!$D$2,6),2)-1)*3+2)=0,"休",COUNTIF(U$6:U$45,"睿"))))</f>
        <v/>
      </c>
      <c r="V48" s="76">
        <f>IF(V$4="","",IF(COUNTIF(設定!$W$6:$W$40,DATE(設定!$C$2,設定!$D$2,6))&gt;0,"假",IF(INDEX(設定!$U$55:$AO$55,(WEEKDAY(DATE(設定!$C$2,設定!$D$2,6),2)-1)*3+3)=0,"休",COUNTIF(V$6:V$45,"睿"))))</f>
        <v/>
      </c>
      <c r="W48" s="75">
        <f>IF(W$4="","",IF(COUNTIF(設定!$W$6:$W$40,DATE(設定!$C$2,設定!$D$2,7))&gt;0,"假",IF(INDEX(設定!$U$55:$AO$55,(WEEKDAY(DATE(設定!$C$2,設定!$D$2,7),2)-1)*3+1)=0,"休",COUNTIF(W$6:W$45,"睿"))))</f>
        <v/>
      </c>
      <c r="X48" s="76">
        <f>IF(X$4="","",IF(COUNTIF(設定!$W$6:$W$40,DATE(設定!$C$2,設定!$D$2,7))&gt;0,"假",IF(INDEX(設定!$U$55:$AO$55,(WEEKDAY(DATE(設定!$C$2,設定!$D$2,7),2)-1)*3+2)=0,"休",COUNTIF(X$6:X$45,"睿"))))</f>
        <v/>
      </c>
      <c r="Y48" s="76">
        <f>IF(Y$4="","",IF(COUNTIF(設定!$W$6:$W$40,DATE(設定!$C$2,設定!$D$2,7))&gt;0,"假",IF(INDEX(設定!$U$55:$AO$55,(WEEKDAY(DATE(設定!$C$2,設定!$D$2,7),2)-1)*3+3)=0,"休",COUNTIF(Y$6:Y$45,"睿"))))</f>
        <v/>
      </c>
      <c r="Z48" s="75">
        <f>IF(Z$4="","",IF(COUNTIF(設定!$W$6:$W$40,DATE(設定!$C$2,設定!$D$2,8))&gt;0,"假",IF(INDEX(設定!$U$55:$AO$55,(WEEKDAY(DATE(設定!$C$2,設定!$D$2,8),2)-1)*3+1)=0,"休",COUNTIF(Z$6:Z$45,"睿"))))</f>
        <v/>
      </c>
      <c r="AA48" s="76">
        <f>IF(AA$4="","",IF(COUNTIF(設定!$W$6:$W$40,DATE(設定!$C$2,設定!$D$2,8))&gt;0,"假",IF(INDEX(設定!$U$55:$AO$55,(WEEKDAY(DATE(設定!$C$2,設定!$D$2,8),2)-1)*3+2)=0,"休",COUNTIF(AA$6:AA$45,"睿"))))</f>
        <v/>
      </c>
      <c r="AB48" s="76">
        <f>IF(AB$4="","",IF(COUNTIF(設定!$W$6:$W$40,DATE(設定!$C$2,設定!$D$2,8))&gt;0,"假",IF(INDEX(設定!$U$55:$AO$55,(WEEKDAY(DATE(設定!$C$2,設定!$D$2,8),2)-1)*3+3)=0,"休",COUNTIF(AB$6:AB$45,"睿"))))</f>
        <v/>
      </c>
      <c r="AC48" s="75">
        <f>IF(AC$4="","",IF(COUNTIF(設定!$W$6:$W$40,DATE(設定!$C$2,設定!$D$2,9))&gt;0,"假",IF(INDEX(設定!$U$55:$AO$55,(WEEKDAY(DATE(設定!$C$2,設定!$D$2,9),2)-1)*3+1)=0,"休",COUNTIF(AC$6:AC$45,"睿"))))</f>
        <v/>
      </c>
      <c r="AD48" s="76">
        <f>IF(AD$4="","",IF(COUNTIF(設定!$W$6:$W$40,DATE(設定!$C$2,設定!$D$2,9))&gt;0,"假",IF(INDEX(設定!$U$55:$AO$55,(WEEKDAY(DATE(設定!$C$2,設定!$D$2,9),2)-1)*3+2)=0,"休",COUNTIF(AD$6:AD$45,"睿"))))</f>
        <v/>
      </c>
      <c r="AE48" s="76">
        <f>IF(AE$4="","",IF(COUNTIF(設定!$W$6:$W$40,DATE(設定!$C$2,設定!$D$2,9))&gt;0,"假",IF(INDEX(設定!$U$55:$AO$55,(WEEKDAY(DATE(設定!$C$2,設定!$D$2,9),2)-1)*3+3)=0,"休",COUNTIF(AE$6:AE$45,"睿"))))</f>
        <v/>
      </c>
      <c r="AF48" s="75">
        <f>IF(AF$4="","",IF(COUNTIF(設定!$W$6:$W$40,DATE(設定!$C$2,設定!$D$2,10))&gt;0,"假",IF(INDEX(設定!$U$55:$AO$55,(WEEKDAY(DATE(設定!$C$2,設定!$D$2,10),2)-1)*3+1)=0,"休",COUNTIF(AF$6:AF$45,"睿"))))</f>
        <v/>
      </c>
      <c r="AG48" s="76">
        <f>IF(AG$4="","",IF(COUNTIF(設定!$W$6:$W$40,DATE(設定!$C$2,設定!$D$2,10))&gt;0,"假",IF(INDEX(設定!$U$55:$AO$55,(WEEKDAY(DATE(設定!$C$2,設定!$D$2,10),2)-1)*3+2)=0,"休",COUNTIF(AG$6:AG$45,"睿"))))</f>
        <v/>
      </c>
      <c r="AH48" s="76">
        <f>IF(AH$4="","",IF(COUNTIF(設定!$W$6:$W$40,DATE(設定!$C$2,設定!$D$2,10))&gt;0,"假",IF(INDEX(設定!$U$55:$AO$55,(WEEKDAY(DATE(設定!$C$2,設定!$D$2,10),2)-1)*3+3)=0,"休",COUNTIF(AH$6:AH$45,"睿"))))</f>
        <v/>
      </c>
      <c r="AI48" s="75">
        <f>IF(AI$4="","",IF(COUNTIF(設定!$W$6:$W$40,DATE(設定!$C$2,設定!$D$2,11))&gt;0,"假",IF(INDEX(設定!$U$55:$AO$55,(WEEKDAY(DATE(設定!$C$2,設定!$D$2,11),2)-1)*3+1)=0,"休",COUNTIF(AI$6:AI$45,"睿"))))</f>
        <v/>
      </c>
      <c r="AJ48" s="76">
        <f>IF(AJ$4="","",IF(COUNTIF(設定!$W$6:$W$40,DATE(設定!$C$2,設定!$D$2,11))&gt;0,"假",IF(INDEX(設定!$U$55:$AO$55,(WEEKDAY(DATE(設定!$C$2,設定!$D$2,11),2)-1)*3+2)=0,"休",COUNTIF(AJ$6:AJ$45,"睿"))))</f>
        <v/>
      </c>
      <c r="AK48" s="76">
        <f>IF(AK$4="","",IF(COUNTIF(設定!$W$6:$W$40,DATE(設定!$C$2,設定!$D$2,11))&gt;0,"假",IF(INDEX(設定!$U$55:$AO$55,(WEEKDAY(DATE(設定!$C$2,設定!$D$2,11),2)-1)*3+3)=0,"休",COUNTIF(AK$6:AK$45,"睿"))))</f>
        <v/>
      </c>
      <c r="AL48" s="75">
        <f>IF(AL$4="","",IF(COUNTIF(設定!$W$6:$W$40,DATE(設定!$C$2,設定!$D$2,12))&gt;0,"假",IF(INDEX(設定!$U$55:$AO$55,(WEEKDAY(DATE(設定!$C$2,設定!$D$2,12),2)-1)*3+1)=0,"休",COUNTIF(AL$6:AL$45,"睿"))))</f>
        <v/>
      </c>
      <c r="AM48" s="76">
        <f>IF(AM$4="","",IF(COUNTIF(設定!$W$6:$W$40,DATE(設定!$C$2,設定!$D$2,12))&gt;0,"假",IF(INDEX(設定!$U$55:$AO$55,(WEEKDAY(DATE(設定!$C$2,設定!$D$2,12),2)-1)*3+2)=0,"休",COUNTIF(AM$6:AM$45,"睿"))))</f>
        <v/>
      </c>
      <c r="AN48" s="76">
        <f>IF(AN$4="","",IF(COUNTIF(設定!$W$6:$W$40,DATE(設定!$C$2,設定!$D$2,12))&gt;0,"假",IF(INDEX(設定!$U$55:$AO$55,(WEEKDAY(DATE(設定!$C$2,設定!$D$2,12),2)-1)*3+3)=0,"休",COUNTIF(AN$6:AN$45,"睿"))))</f>
        <v/>
      </c>
      <c r="AO48" s="75">
        <f>IF(AO$4="","",IF(COUNTIF(設定!$W$6:$W$40,DATE(設定!$C$2,設定!$D$2,13))&gt;0,"假",IF(INDEX(設定!$U$55:$AO$55,(WEEKDAY(DATE(設定!$C$2,設定!$D$2,13),2)-1)*3+1)=0,"休",COUNTIF(AO$6:AO$45,"睿"))))</f>
        <v/>
      </c>
      <c r="AP48" s="76">
        <f>IF(AP$4="","",IF(COUNTIF(設定!$W$6:$W$40,DATE(設定!$C$2,設定!$D$2,13))&gt;0,"假",IF(INDEX(設定!$U$55:$AO$55,(WEEKDAY(DATE(設定!$C$2,設定!$D$2,13),2)-1)*3+2)=0,"休",COUNTIF(AP$6:AP$45,"睿"))))</f>
        <v/>
      </c>
      <c r="AQ48" s="76">
        <f>IF(AQ$4="","",IF(COUNTIF(設定!$W$6:$W$40,DATE(設定!$C$2,設定!$D$2,13))&gt;0,"假",IF(INDEX(設定!$U$55:$AO$55,(WEEKDAY(DATE(設定!$C$2,設定!$D$2,13),2)-1)*3+3)=0,"休",COUNTIF(AQ$6:AQ$45,"睿"))))</f>
        <v/>
      </c>
      <c r="AR48" s="75">
        <f>IF(AR$4="","",IF(COUNTIF(設定!$W$6:$W$40,DATE(設定!$C$2,設定!$D$2,14))&gt;0,"假",IF(INDEX(設定!$U$55:$AO$55,(WEEKDAY(DATE(設定!$C$2,設定!$D$2,14),2)-1)*3+1)=0,"休",COUNTIF(AR$6:AR$45,"睿"))))</f>
        <v/>
      </c>
      <c r="AS48" s="76">
        <f>IF(AS$4="","",IF(COUNTIF(設定!$W$6:$W$40,DATE(設定!$C$2,設定!$D$2,14))&gt;0,"假",IF(INDEX(設定!$U$55:$AO$55,(WEEKDAY(DATE(設定!$C$2,設定!$D$2,14),2)-1)*3+2)=0,"休",COUNTIF(AS$6:AS$45,"睿"))))</f>
        <v/>
      </c>
      <c r="AT48" s="76">
        <f>IF(AT$4="","",IF(COUNTIF(設定!$W$6:$W$40,DATE(設定!$C$2,設定!$D$2,14))&gt;0,"假",IF(INDEX(設定!$U$55:$AO$55,(WEEKDAY(DATE(設定!$C$2,設定!$D$2,14),2)-1)*3+3)=0,"休",COUNTIF(AT$6:AT$45,"睿"))))</f>
        <v/>
      </c>
      <c r="AU48" s="75">
        <f>IF(AU$4="","",IF(COUNTIF(設定!$W$6:$W$40,DATE(設定!$C$2,設定!$D$2,15))&gt;0,"假",IF(INDEX(設定!$U$55:$AO$55,(WEEKDAY(DATE(設定!$C$2,設定!$D$2,15),2)-1)*3+1)=0,"休",COUNTIF(AU$6:AU$45,"睿"))))</f>
        <v/>
      </c>
      <c r="AV48" s="76">
        <f>IF(AV$4="","",IF(COUNTIF(設定!$W$6:$W$40,DATE(設定!$C$2,設定!$D$2,15))&gt;0,"假",IF(INDEX(設定!$U$55:$AO$55,(WEEKDAY(DATE(設定!$C$2,設定!$D$2,15),2)-1)*3+2)=0,"休",COUNTIF(AV$6:AV$45,"睿"))))</f>
        <v/>
      </c>
      <c r="AW48" s="76">
        <f>IF(AW$4="","",IF(COUNTIF(設定!$W$6:$W$40,DATE(設定!$C$2,設定!$D$2,15))&gt;0,"假",IF(INDEX(設定!$U$55:$AO$55,(WEEKDAY(DATE(設定!$C$2,設定!$D$2,15),2)-1)*3+3)=0,"休",COUNTIF(AW$6:AW$45,"睿"))))</f>
        <v/>
      </c>
      <c r="AX48" s="75">
        <f>IF(AX$4="","",IF(COUNTIF(設定!$W$6:$W$40,DATE(設定!$C$2,設定!$D$2,16))&gt;0,"假",IF(INDEX(設定!$U$55:$AO$55,(WEEKDAY(DATE(設定!$C$2,設定!$D$2,16),2)-1)*3+1)=0,"休",COUNTIF(AX$6:AX$45,"睿"))))</f>
        <v/>
      </c>
      <c r="AY48" s="76">
        <f>IF(AY$4="","",IF(COUNTIF(設定!$W$6:$W$40,DATE(設定!$C$2,設定!$D$2,16))&gt;0,"假",IF(INDEX(設定!$U$55:$AO$55,(WEEKDAY(DATE(設定!$C$2,設定!$D$2,16),2)-1)*3+2)=0,"休",COUNTIF(AY$6:AY$45,"睿"))))</f>
        <v/>
      </c>
      <c r="AZ48" s="76">
        <f>IF(AZ$4="","",IF(COUNTIF(設定!$W$6:$W$40,DATE(設定!$C$2,設定!$D$2,16))&gt;0,"假",IF(INDEX(設定!$U$55:$AO$55,(WEEKDAY(DATE(設定!$C$2,設定!$D$2,16),2)-1)*3+3)=0,"休",COUNTIF(AZ$6:AZ$45,"睿"))))</f>
        <v/>
      </c>
      <c r="BA48" s="75">
        <f>IF(BA$4="","",IF(COUNTIF(設定!$W$6:$W$40,DATE(設定!$C$2,設定!$D$2,17))&gt;0,"假",IF(INDEX(設定!$U$55:$AO$55,(WEEKDAY(DATE(設定!$C$2,設定!$D$2,17),2)-1)*3+1)=0,"休",COUNTIF(BA$6:BA$45,"睿"))))</f>
        <v/>
      </c>
      <c r="BB48" s="76">
        <f>IF(BB$4="","",IF(COUNTIF(設定!$W$6:$W$40,DATE(設定!$C$2,設定!$D$2,17))&gt;0,"假",IF(INDEX(設定!$U$55:$AO$55,(WEEKDAY(DATE(設定!$C$2,設定!$D$2,17),2)-1)*3+2)=0,"休",COUNTIF(BB$6:BB$45,"睿"))))</f>
        <v/>
      </c>
      <c r="BC48" s="76">
        <f>IF(BC$4="","",IF(COUNTIF(設定!$W$6:$W$40,DATE(設定!$C$2,設定!$D$2,17))&gt;0,"假",IF(INDEX(設定!$U$55:$AO$55,(WEEKDAY(DATE(設定!$C$2,設定!$D$2,17),2)-1)*3+3)=0,"休",COUNTIF(BC$6:BC$45,"睿"))))</f>
        <v/>
      </c>
      <c r="BD48" s="75">
        <f>IF(BD$4="","",IF(COUNTIF(設定!$W$6:$W$40,DATE(設定!$C$2,設定!$D$2,18))&gt;0,"假",IF(INDEX(設定!$U$55:$AO$55,(WEEKDAY(DATE(設定!$C$2,設定!$D$2,18),2)-1)*3+1)=0,"休",COUNTIF(BD$6:BD$45,"睿"))))</f>
        <v/>
      </c>
      <c r="BE48" s="76">
        <f>IF(BE$4="","",IF(COUNTIF(設定!$W$6:$W$40,DATE(設定!$C$2,設定!$D$2,18))&gt;0,"假",IF(INDEX(設定!$U$55:$AO$55,(WEEKDAY(DATE(設定!$C$2,設定!$D$2,18),2)-1)*3+2)=0,"休",COUNTIF(BE$6:BE$45,"睿"))))</f>
        <v/>
      </c>
      <c r="BF48" s="76">
        <f>IF(BF$4="","",IF(COUNTIF(設定!$W$6:$W$40,DATE(設定!$C$2,設定!$D$2,18))&gt;0,"假",IF(INDEX(設定!$U$55:$AO$55,(WEEKDAY(DATE(設定!$C$2,設定!$D$2,18),2)-1)*3+3)=0,"休",COUNTIF(BF$6:BF$45,"睿"))))</f>
        <v/>
      </c>
      <c r="BG48" s="75">
        <f>IF(BG$4="","",IF(COUNTIF(設定!$W$6:$W$40,DATE(設定!$C$2,設定!$D$2,19))&gt;0,"假",IF(INDEX(設定!$U$55:$AO$55,(WEEKDAY(DATE(設定!$C$2,設定!$D$2,19),2)-1)*3+1)=0,"休",COUNTIF(BG$6:BG$45,"睿"))))</f>
        <v/>
      </c>
      <c r="BH48" s="76">
        <f>IF(BH$4="","",IF(COUNTIF(設定!$W$6:$W$40,DATE(設定!$C$2,設定!$D$2,19))&gt;0,"假",IF(INDEX(設定!$U$55:$AO$55,(WEEKDAY(DATE(設定!$C$2,設定!$D$2,19),2)-1)*3+2)=0,"休",COUNTIF(BH$6:BH$45,"睿"))))</f>
        <v/>
      </c>
      <c r="BI48" s="76">
        <f>IF(BI$4="","",IF(COUNTIF(設定!$W$6:$W$40,DATE(設定!$C$2,設定!$D$2,19))&gt;0,"假",IF(INDEX(設定!$U$55:$AO$55,(WEEKDAY(DATE(設定!$C$2,設定!$D$2,19),2)-1)*3+3)=0,"休",COUNTIF(BI$6:BI$45,"睿"))))</f>
        <v/>
      </c>
      <c r="BJ48" s="75">
        <f>IF(BJ$4="","",IF(COUNTIF(設定!$W$6:$W$40,DATE(設定!$C$2,設定!$D$2,20))&gt;0,"假",IF(INDEX(設定!$U$55:$AO$55,(WEEKDAY(DATE(設定!$C$2,設定!$D$2,20),2)-1)*3+1)=0,"休",COUNTIF(BJ$6:BJ$45,"睿"))))</f>
        <v/>
      </c>
      <c r="BK48" s="76">
        <f>IF(BK$4="","",IF(COUNTIF(設定!$W$6:$W$40,DATE(設定!$C$2,設定!$D$2,20))&gt;0,"假",IF(INDEX(設定!$U$55:$AO$55,(WEEKDAY(DATE(設定!$C$2,設定!$D$2,20),2)-1)*3+2)=0,"休",COUNTIF(BK$6:BK$45,"睿"))))</f>
        <v/>
      </c>
      <c r="BL48" s="76">
        <f>IF(BL$4="","",IF(COUNTIF(設定!$W$6:$W$40,DATE(設定!$C$2,設定!$D$2,20))&gt;0,"假",IF(INDEX(設定!$U$55:$AO$55,(WEEKDAY(DATE(設定!$C$2,設定!$D$2,20),2)-1)*3+3)=0,"休",COUNTIF(BL$6:BL$45,"睿"))))</f>
        <v/>
      </c>
      <c r="BM48" s="75">
        <f>IF(BM$4="","",IF(COUNTIF(設定!$W$6:$W$40,DATE(設定!$C$2,設定!$D$2,21))&gt;0,"假",IF(INDEX(設定!$U$55:$AO$55,(WEEKDAY(DATE(設定!$C$2,設定!$D$2,21),2)-1)*3+1)=0,"休",COUNTIF(BM$6:BM$45,"睿"))))</f>
        <v/>
      </c>
      <c r="BN48" s="76">
        <f>IF(BN$4="","",IF(COUNTIF(設定!$W$6:$W$40,DATE(設定!$C$2,設定!$D$2,21))&gt;0,"假",IF(INDEX(設定!$U$55:$AO$55,(WEEKDAY(DATE(設定!$C$2,設定!$D$2,21),2)-1)*3+2)=0,"休",COUNTIF(BN$6:BN$45,"睿"))))</f>
        <v/>
      </c>
      <c r="BO48" s="76">
        <f>IF(BO$4="","",IF(COUNTIF(設定!$W$6:$W$40,DATE(設定!$C$2,設定!$D$2,21))&gt;0,"假",IF(INDEX(設定!$U$55:$AO$55,(WEEKDAY(DATE(設定!$C$2,設定!$D$2,21),2)-1)*3+3)=0,"休",COUNTIF(BO$6:BO$45,"睿"))))</f>
        <v/>
      </c>
      <c r="BP48" s="75">
        <f>IF(BP$4="","",IF(COUNTIF(設定!$W$6:$W$40,DATE(設定!$C$2,設定!$D$2,22))&gt;0,"假",IF(INDEX(設定!$U$55:$AO$55,(WEEKDAY(DATE(設定!$C$2,設定!$D$2,22),2)-1)*3+1)=0,"休",COUNTIF(BP$6:BP$45,"睿"))))</f>
        <v/>
      </c>
      <c r="BQ48" s="76">
        <f>IF(BQ$4="","",IF(COUNTIF(設定!$W$6:$W$40,DATE(設定!$C$2,設定!$D$2,22))&gt;0,"假",IF(INDEX(設定!$U$55:$AO$55,(WEEKDAY(DATE(設定!$C$2,設定!$D$2,22),2)-1)*3+2)=0,"休",COUNTIF(BQ$6:BQ$45,"睿"))))</f>
        <v/>
      </c>
      <c r="BR48" s="76">
        <f>IF(BR$4="","",IF(COUNTIF(設定!$W$6:$W$40,DATE(設定!$C$2,設定!$D$2,22))&gt;0,"假",IF(INDEX(設定!$U$55:$AO$55,(WEEKDAY(DATE(設定!$C$2,設定!$D$2,22),2)-1)*3+3)=0,"休",COUNTIF(BR$6:BR$45,"睿"))))</f>
        <v/>
      </c>
      <c r="BS48" s="75">
        <f>IF(BS$4="","",IF(COUNTIF(設定!$W$6:$W$40,DATE(設定!$C$2,設定!$D$2,23))&gt;0,"假",IF(INDEX(設定!$U$55:$AO$55,(WEEKDAY(DATE(設定!$C$2,設定!$D$2,23),2)-1)*3+1)=0,"休",COUNTIF(BS$6:BS$45,"睿"))))</f>
        <v/>
      </c>
      <c r="BT48" s="76">
        <f>IF(BT$4="","",IF(COUNTIF(設定!$W$6:$W$40,DATE(設定!$C$2,設定!$D$2,23))&gt;0,"假",IF(INDEX(設定!$U$55:$AO$55,(WEEKDAY(DATE(設定!$C$2,設定!$D$2,23),2)-1)*3+2)=0,"休",COUNTIF(BT$6:BT$45,"睿"))))</f>
        <v/>
      </c>
      <c r="BU48" s="76">
        <f>IF(BU$4="","",IF(COUNTIF(設定!$W$6:$W$40,DATE(設定!$C$2,設定!$D$2,23))&gt;0,"假",IF(INDEX(設定!$U$55:$AO$55,(WEEKDAY(DATE(設定!$C$2,設定!$D$2,23),2)-1)*3+3)=0,"休",COUNTIF(BU$6:BU$45,"睿"))))</f>
        <v/>
      </c>
      <c r="BV48" s="75">
        <f>IF(BV$4="","",IF(COUNTIF(設定!$W$6:$W$40,DATE(設定!$C$2,設定!$D$2,24))&gt;0,"假",IF(INDEX(設定!$U$55:$AO$55,(WEEKDAY(DATE(設定!$C$2,設定!$D$2,24),2)-1)*3+1)=0,"休",COUNTIF(BV$6:BV$45,"睿"))))</f>
        <v/>
      </c>
      <c r="BW48" s="76">
        <f>IF(BW$4="","",IF(COUNTIF(設定!$W$6:$W$40,DATE(設定!$C$2,設定!$D$2,24))&gt;0,"假",IF(INDEX(設定!$U$55:$AO$55,(WEEKDAY(DATE(設定!$C$2,設定!$D$2,24),2)-1)*3+2)=0,"休",COUNTIF(BW$6:BW$45,"睿"))))</f>
        <v/>
      </c>
      <c r="BX48" s="76">
        <f>IF(BX$4="","",IF(COUNTIF(設定!$W$6:$W$40,DATE(設定!$C$2,設定!$D$2,24))&gt;0,"假",IF(INDEX(設定!$U$55:$AO$55,(WEEKDAY(DATE(設定!$C$2,設定!$D$2,24),2)-1)*3+3)=0,"休",COUNTIF(BX$6:BX$45,"睿"))))</f>
        <v/>
      </c>
      <c r="BY48" s="75">
        <f>IF(BY$4="","",IF(COUNTIF(設定!$W$6:$W$40,DATE(設定!$C$2,設定!$D$2,25))&gt;0,"假",IF(INDEX(設定!$U$55:$AO$55,(WEEKDAY(DATE(設定!$C$2,設定!$D$2,25),2)-1)*3+1)=0,"休",COUNTIF(BY$6:BY$45,"睿"))))</f>
        <v/>
      </c>
      <c r="BZ48" s="76">
        <f>IF(BZ$4="","",IF(COUNTIF(設定!$W$6:$W$40,DATE(設定!$C$2,設定!$D$2,25))&gt;0,"假",IF(INDEX(設定!$U$55:$AO$55,(WEEKDAY(DATE(設定!$C$2,設定!$D$2,25),2)-1)*3+2)=0,"休",COUNTIF(BZ$6:BZ$45,"睿"))))</f>
        <v/>
      </c>
      <c r="CA48" s="76">
        <f>IF(CA$4="","",IF(COUNTIF(設定!$W$6:$W$40,DATE(設定!$C$2,設定!$D$2,25))&gt;0,"假",IF(INDEX(設定!$U$55:$AO$55,(WEEKDAY(DATE(設定!$C$2,設定!$D$2,25),2)-1)*3+3)=0,"休",COUNTIF(CA$6:CA$45,"睿"))))</f>
        <v/>
      </c>
      <c r="CB48" s="75">
        <f>IF(CB$4="","",IF(COUNTIF(設定!$W$6:$W$40,DATE(設定!$C$2,設定!$D$2,26))&gt;0,"假",IF(INDEX(設定!$U$55:$AO$55,(WEEKDAY(DATE(設定!$C$2,設定!$D$2,26),2)-1)*3+1)=0,"休",COUNTIF(CB$6:CB$45,"睿"))))</f>
        <v/>
      </c>
      <c r="CC48" s="76">
        <f>IF(CC$4="","",IF(COUNTIF(設定!$W$6:$W$40,DATE(設定!$C$2,設定!$D$2,26))&gt;0,"假",IF(INDEX(設定!$U$55:$AO$55,(WEEKDAY(DATE(設定!$C$2,設定!$D$2,26),2)-1)*3+2)=0,"休",COUNTIF(CC$6:CC$45,"睿"))))</f>
        <v/>
      </c>
      <c r="CD48" s="76">
        <f>IF(CD$4="","",IF(COUNTIF(設定!$W$6:$W$40,DATE(設定!$C$2,設定!$D$2,26))&gt;0,"假",IF(INDEX(設定!$U$55:$AO$55,(WEEKDAY(DATE(設定!$C$2,設定!$D$2,26),2)-1)*3+3)=0,"休",COUNTIF(CD$6:CD$45,"睿"))))</f>
        <v/>
      </c>
      <c r="CE48" s="75">
        <f>IF(CE$4="","",IF(COUNTIF(設定!$W$6:$W$40,DATE(設定!$C$2,設定!$D$2,27))&gt;0,"假",IF(INDEX(設定!$U$55:$AO$55,(WEEKDAY(DATE(設定!$C$2,設定!$D$2,27),2)-1)*3+1)=0,"休",COUNTIF(CE$6:CE$45,"睿"))))</f>
        <v/>
      </c>
      <c r="CF48" s="76">
        <f>IF(CF$4="","",IF(COUNTIF(設定!$W$6:$W$40,DATE(設定!$C$2,設定!$D$2,27))&gt;0,"假",IF(INDEX(設定!$U$55:$AO$55,(WEEKDAY(DATE(設定!$C$2,設定!$D$2,27),2)-1)*3+2)=0,"休",COUNTIF(CF$6:CF$45,"睿"))))</f>
        <v/>
      </c>
      <c r="CG48" s="76">
        <f>IF(CG$4="","",IF(COUNTIF(設定!$W$6:$W$40,DATE(設定!$C$2,設定!$D$2,27))&gt;0,"假",IF(INDEX(設定!$U$55:$AO$55,(WEEKDAY(DATE(設定!$C$2,設定!$D$2,27),2)-1)*3+3)=0,"休",COUNTIF(CG$6:CG$45,"睿"))))</f>
        <v/>
      </c>
      <c r="CH48" s="75">
        <f>IF(CH$4="","",IF(COUNTIF(設定!$W$6:$W$40,DATE(設定!$C$2,設定!$D$2,28))&gt;0,"假",IF(INDEX(設定!$U$55:$AO$55,(WEEKDAY(DATE(設定!$C$2,設定!$D$2,28),2)-1)*3+1)=0,"休",COUNTIF(CH$6:CH$45,"睿"))))</f>
        <v/>
      </c>
      <c r="CI48" s="76">
        <f>IF(CI$4="","",IF(COUNTIF(設定!$W$6:$W$40,DATE(設定!$C$2,設定!$D$2,28))&gt;0,"假",IF(INDEX(設定!$U$55:$AO$55,(WEEKDAY(DATE(設定!$C$2,設定!$D$2,28),2)-1)*3+2)=0,"休",COUNTIF(CI$6:CI$45,"睿"))))</f>
        <v/>
      </c>
      <c r="CJ48" s="76">
        <f>IF(CJ$4="","",IF(COUNTIF(設定!$W$6:$W$40,DATE(設定!$C$2,設定!$D$2,28))&gt;0,"假",IF(INDEX(設定!$U$55:$AO$55,(WEEKDAY(DATE(設定!$C$2,設定!$D$2,28),2)-1)*3+3)=0,"休",COUNTIF(CJ$6:CJ$45,"睿"))))</f>
        <v/>
      </c>
      <c r="CK48" s="75">
        <f>IF(CK$4="","",IF(COUNTIF(設定!$W$6:$W$40,DATE(設定!$C$2,設定!$D$2,29))&gt;0,"假",IF(INDEX(設定!$U$55:$AO$55,(WEEKDAY(DATE(設定!$C$2,設定!$D$2,29),2)-1)*3+1)=0,"休",COUNTIF(CK$6:CK$45,"睿"))))</f>
        <v/>
      </c>
      <c r="CL48" s="76">
        <f>IF(CL$4="","",IF(COUNTIF(設定!$W$6:$W$40,DATE(設定!$C$2,設定!$D$2,29))&gt;0,"假",IF(INDEX(設定!$U$55:$AO$55,(WEEKDAY(DATE(設定!$C$2,設定!$D$2,29),2)-1)*3+2)=0,"休",COUNTIF(CL$6:CL$45,"睿"))))</f>
        <v/>
      </c>
      <c r="CM48" s="76">
        <f>IF(CM$4="","",IF(COUNTIF(設定!$W$6:$W$40,DATE(設定!$C$2,設定!$D$2,29))&gt;0,"假",IF(INDEX(設定!$U$55:$AO$55,(WEEKDAY(DATE(設定!$C$2,設定!$D$2,29),2)-1)*3+3)=0,"休",COUNTIF(CM$6:CM$45,"睿"))))</f>
        <v/>
      </c>
      <c r="CN48" s="75">
        <f>IF(CN$4="","",IF(COUNTIF(設定!$W$6:$W$40,DATE(設定!$C$2,設定!$D$2,30))&gt;0,"假",IF(INDEX(設定!$U$55:$AO$55,(WEEKDAY(DATE(設定!$C$2,設定!$D$2,30),2)-1)*3+1)=0,"休",COUNTIF(CN$6:CN$45,"睿"))))</f>
        <v/>
      </c>
      <c r="CO48" s="76">
        <f>IF(CO$4="","",IF(COUNTIF(設定!$W$6:$W$40,DATE(設定!$C$2,設定!$D$2,30))&gt;0,"假",IF(INDEX(設定!$U$55:$AO$55,(WEEKDAY(DATE(設定!$C$2,設定!$D$2,30),2)-1)*3+2)=0,"休",COUNTIF(CO$6:CO$45,"睿"))))</f>
        <v/>
      </c>
      <c r="CP48" s="76">
        <f>IF(CP$4="","",IF(COUNTIF(設定!$W$6:$W$40,DATE(設定!$C$2,設定!$D$2,30))&gt;0,"假",IF(INDEX(設定!$U$55:$AO$55,(WEEKDAY(DATE(設定!$C$2,設定!$D$2,30),2)-1)*3+3)=0,"休",COUNTIF(CP$6:CP$45,"睿"))))</f>
        <v/>
      </c>
      <c r="CQ48" s="75">
        <f>IF(CQ$4="","",IF(COUNTIF(設定!$W$6:$W$40,DATE(設定!$C$2,設定!$D$2,31))&gt;0,"假",IF(INDEX(設定!$U$55:$AO$55,(WEEKDAY(DATE(設定!$C$2,設定!$D$2,31),2)-1)*3+1)=0,"休",COUNTIF(CQ$6:CQ$45,"睿"))))</f>
        <v/>
      </c>
      <c r="CR48" s="76">
        <f>IF(CR$4="","",IF(COUNTIF(設定!$W$6:$W$40,DATE(設定!$C$2,設定!$D$2,31))&gt;0,"假",IF(INDEX(設定!$U$55:$AO$55,(WEEKDAY(DATE(設定!$C$2,設定!$D$2,31),2)-1)*3+2)=0,"休",COUNTIF(CR$6:CR$45,"睿"))))</f>
        <v/>
      </c>
      <c r="CS48" s="76">
        <f>IF(CS$4="","",IF(COUNTIF(設定!$W$6:$W$40,DATE(設定!$C$2,設定!$D$2,31))&gt;0,"假",IF(INDEX(設定!$U$55:$AO$55,(WEEKDAY(DATE(設定!$C$2,設定!$D$2,31),2)-1)*3+3)=0,"休",COUNTIF(CS$6:CS$45,"睿"))))</f>
        <v/>
      </c>
    </row>
    <row r="49">
      <c r="A49" s="78" t="inlineStr">
        <is>
          <t>匯 晶匯</t>
        </is>
      </c>
      <c r="B49" s="8" t="n"/>
      <c r="C49" s="8" t="n"/>
      <c r="D49" s="9" t="n"/>
      <c r="E49" s="75">
        <f>IF(E$4="","",IF(COUNTIF(設定!$W$6:$W$40,DATE(設定!$C$2,設定!$D$2,1))&gt;0,"假",IF(INDEX(設定!$U$56:$AO$56,(WEEKDAY(DATE(設定!$C$2,設定!$D$2,1),2)-1)*3+1)=0,"休",COUNTIF(E$6:E$45,"匯"))))</f>
        <v/>
      </c>
      <c r="F49" s="76">
        <f>IF(F$4="","",IF(COUNTIF(設定!$W$6:$W$40,DATE(設定!$C$2,設定!$D$2,1))&gt;0,"假",IF(INDEX(設定!$U$56:$AO$56,(WEEKDAY(DATE(設定!$C$2,設定!$D$2,1),2)-1)*3+2)=0,"休",COUNTIF(F$6:F$45,"匯"))))</f>
        <v/>
      </c>
      <c r="G49" s="76">
        <f>IF(G$4="","",IF(COUNTIF(設定!$W$6:$W$40,DATE(設定!$C$2,設定!$D$2,1))&gt;0,"假",IF(INDEX(設定!$U$56:$AO$56,(WEEKDAY(DATE(設定!$C$2,設定!$D$2,1),2)-1)*3+3)=0,"休",COUNTIF(G$6:G$45,"匯"))))</f>
        <v/>
      </c>
      <c r="H49" s="75">
        <f>IF(H$4="","",IF(COUNTIF(設定!$W$6:$W$40,DATE(設定!$C$2,設定!$D$2,2))&gt;0,"假",IF(INDEX(設定!$U$56:$AO$56,(WEEKDAY(DATE(設定!$C$2,設定!$D$2,2),2)-1)*3+1)=0,"休",COUNTIF(H$6:H$45,"匯"))))</f>
        <v/>
      </c>
      <c r="I49" s="76">
        <f>IF(I$4="","",IF(COUNTIF(設定!$W$6:$W$40,DATE(設定!$C$2,設定!$D$2,2))&gt;0,"假",IF(INDEX(設定!$U$56:$AO$56,(WEEKDAY(DATE(設定!$C$2,設定!$D$2,2),2)-1)*3+2)=0,"休",COUNTIF(I$6:I$45,"匯"))))</f>
        <v/>
      </c>
      <c r="J49" s="76">
        <f>IF(J$4="","",IF(COUNTIF(設定!$W$6:$W$40,DATE(設定!$C$2,設定!$D$2,2))&gt;0,"假",IF(INDEX(設定!$U$56:$AO$56,(WEEKDAY(DATE(設定!$C$2,設定!$D$2,2),2)-1)*3+3)=0,"休",COUNTIF(J$6:J$45,"匯"))))</f>
        <v/>
      </c>
      <c r="K49" s="75">
        <f>IF(K$4="","",IF(COUNTIF(設定!$W$6:$W$40,DATE(設定!$C$2,設定!$D$2,3))&gt;0,"假",IF(INDEX(設定!$U$56:$AO$56,(WEEKDAY(DATE(設定!$C$2,設定!$D$2,3),2)-1)*3+1)=0,"休",COUNTIF(K$6:K$45,"匯"))))</f>
        <v/>
      </c>
      <c r="L49" s="76">
        <f>IF(L$4="","",IF(COUNTIF(設定!$W$6:$W$40,DATE(設定!$C$2,設定!$D$2,3))&gt;0,"假",IF(INDEX(設定!$U$56:$AO$56,(WEEKDAY(DATE(設定!$C$2,設定!$D$2,3),2)-1)*3+2)=0,"休",COUNTIF(L$6:L$45,"匯"))))</f>
        <v/>
      </c>
      <c r="M49" s="76">
        <f>IF(M$4="","",IF(COUNTIF(設定!$W$6:$W$40,DATE(設定!$C$2,設定!$D$2,3))&gt;0,"假",IF(INDEX(設定!$U$56:$AO$56,(WEEKDAY(DATE(設定!$C$2,設定!$D$2,3),2)-1)*3+3)=0,"休",COUNTIF(M$6:M$45,"匯"))))</f>
        <v/>
      </c>
      <c r="N49" s="75">
        <f>IF(N$4="","",IF(COUNTIF(設定!$W$6:$W$40,DATE(設定!$C$2,設定!$D$2,4))&gt;0,"假",IF(INDEX(設定!$U$56:$AO$56,(WEEKDAY(DATE(設定!$C$2,設定!$D$2,4),2)-1)*3+1)=0,"休",COUNTIF(N$6:N$45,"匯"))))</f>
        <v/>
      </c>
      <c r="O49" s="76">
        <f>IF(O$4="","",IF(COUNTIF(設定!$W$6:$W$40,DATE(設定!$C$2,設定!$D$2,4))&gt;0,"假",IF(INDEX(設定!$U$56:$AO$56,(WEEKDAY(DATE(設定!$C$2,設定!$D$2,4),2)-1)*3+2)=0,"休",COUNTIF(O$6:O$45,"匯"))))</f>
        <v/>
      </c>
      <c r="P49" s="76">
        <f>IF(P$4="","",IF(COUNTIF(設定!$W$6:$W$40,DATE(設定!$C$2,設定!$D$2,4))&gt;0,"假",IF(INDEX(設定!$U$56:$AO$56,(WEEKDAY(DATE(設定!$C$2,設定!$D$2,4),2)-1)*3+3)=0,"休",COUNTIF(P$6:P$45,"匯"))))</f>
        <v/>
      </c>
      <c r="Q49" s="75">
        <f>IF(Q$4="","",IF(COUNTIF(設定!$W$6:$W$40,DATE(設定!$C$2,設定!$D$2,5))&gt;0,"假",IF(INDEX(設定!$U$56:$AO$56,(WEEKDAY(DATE(設定!$C$2,設定!$D$2,5),2)-1)*3+1)=0,"休",COUNTIF(Q$6:Q$45,"匯"))))</f>
        <v/>
      </c>
      <c r="R49" s="76">
        <f>IF(R$4="","",IF(COUNTIF(設定!$W$6:$W$40,DATE(設定!$C$2,設定!$D$2,5))&gt;0,"假",IF(INDEX(設定!$U$56:$AO$56,(WEEKDAY(DATE(設定!$C$2,設定!$D$2,5),2)-1)*3+2)=0,"休",COUNTIF(R$6:R$45,"匯"))))</f>
        <v/>
      </c>
      <c r="S49" s="76">
        <f>IF(S$4="","",IF(COUNTIF(設定!$W$6:$W$40,DATE(設定!$C$2,設定!$D$2,5))&gt;0,"假",IF(INDEX(設定!$U$56:$AO$56,(WEEKDAY(DATE(設定!$C$2,設定!$D$2,5),2)-1)*3+3)=0,"休",COUNTIF(S$6:S$45,"匯"))))</f>
        <v/>
      </c>
      <c r="T49" s="75">
        <f>IF(T$4="","",IF(COUNTIF(設定!$W$6:$W$40,DATE(設定!$C$2,設定!$D$2,6))&gt;0,"假",IF(INDEX(設定!$U$56:$AO$56,(WEEKDAY(DATE(設定!$C$2,設定!$D$2,6),2)-1)*3+1)=0,"休",COUNTIF(T$6:T$45,"匯"))))</f>
        <v/>
      </c>
      <c r="U49" s="76">
        <f>IF(U$4="","",IF(COUNTIF(設定!$W$6:$W$40,DATE(設定!$C$2,設定!$D$2,6))&gt;0,"假",IF(INDEX(設定!$U$56:$AO$56,(WEEKDAY(DATE(設定!$C$2,設定!$D$2,6),2)-1)*3+2)=0,"休",COUNTIF(U$6:U$45,"匯"))))</f>
        <v/>
      </c>
      <c r="V49" s="76">
        <f>IF(V$4="","",IF(COUNTIF(設定!$W$6:$W$40,DATE(設定!$C$2,設定!$D$2,6))&gt;0,"假",IF(INDEX(設定!$U$56:$AO$56,(WEEKDAY(DATE(設定!$C$2,設定!$D$2,6),2)-1)*3+3)=0,"休",COUNTIF(V$6:V$45,"匯"))))</f>
        <v/>
      </c>
      <c r="W49" s="75">
        <f>IF(W$4="","",IF(COUNTIF(設定!$W$6:$W$40,DATE(設定!$C$2,設定!$D$2,7))&gt;0,"假",IF(INDEX(設定!$U$56:$AO$56,(WEEKDAY(DATE(設定!$C$2,設定!$D$2,7),2)-1)*3+1)=0,"休",COUNTIF(W$6:W$45,"匯"))))</f>
        <v/>
      </c>
      <c r="X49" s="76">
        <f>IF(X$4="","",IF(COUNTIF(設定!$W$6:$W$40,DATE(設定!$C$2,設定!$D$2,7))&gt;0,"假",IF(INDEX(設定!$U$56:$AO$56,(WEEKDAY(DATE(設定!$C$2,設定!$D$2,7),2)-1)*3+2)=0,"休",COUNTIF(X$6:X$45,"匯"))))</f>
        <v/>
      </c>
      <c r="Y49" s="76">
        <f>IF(Y$4="","",IF(COUNTIF(設定!$W$6:$W$40,DATE(設定!$C$2,設定!$D$2,7))&gt;0,"假",IF(INDEX(設定!$U$56:$AO$56,(WEEKDAY(DATE(設定!$C$2,設定!$D$2,7),2)-1)*3+3)=0,"休",COUNTIF(Y$6:Y$45,"匯"))))</f>
        <v/>
      </c>
      <c r="Z49" s="75">
        <f>IF(Z$4="","",IF(COUNTIF(設定!$W$6:$W$40,DATE(設定!$C$2,設定!$D$2,8))&gt;0,"假",IF(INDEX(設定!$U$56:$AO$56,(WEEKDAY(DATE(設定!$C$2,設定!$D$2,8),2)-1)*3+1)=0,"休",COUNTIF(Z$6:Z$45,"匯"))))</f>
        <v/>
      </c>
      <c r="AA49" s="76">
        <f>IF(AA$4="","",IF(COUNTIF(設定!$W$6:$W$40,DATE(設定!$C$2,設定!$D$2,8))&gt;0,"假",IF(INDEX(設定!$U$56:$AO$56,(WEEKDAY(DATE(設定!$C$2,設定!$D$2,8),2)-1)*3+2)=0,"休",COUNTIF(AA$6:AA$45,"匯"))))</f>
        <v/>
      </c>
      <c r="AB49" s="76">
        <f>IF(AB$4="","",IF(COUNTIF(設定!$W$6:$W$40,DATE(設定!$C$2,設定!$D$2,8))&gt;0,"假",IF(INDEX(設定!$U$56:$AO$56,(WEEKDAY(DATE(設定!$C$2,設定!$D$2,8),2)-1)*3+3)=0,"休",COUNTIF(AB$6:AB$45,"匯"))))</f>
        <v/>
      </c>
      <c r="AC49" s="75">
        <f>IF(AC$4="","",IF(COUNTIF(設定!$W$6:$W$40,DATE(設定!$C$2,設定!$D$2,9))&gt;0,"假",IF(INDEX(設定!$U$56:$AO$56,(WEEKDAY(DATE(設定!$C$2,設定!$D$2,9),2)-1)*3+1)=0,"休",COUNTIF(AC$6:AC$45,"匯"))))</f>
        <v/>
      </c>
      <c r="AD49" s="76">
        <f>IF(AD$4="","",IF(COUNTIF(設定!$W$6:$W$40,DATE(設定!$C$2,設定!$D$2,9))&gt;0,"假",IF(INDEX(設定!$U$56:$AO$56,(WEEKDAY(DATE(設定!$C$2,設定!$D$2,9),2)-1)*3+2)=0,"休",COUNTIF(AD$6:AD$45,"匯"))))</f>
        <v/>
      </c>
      <c r="AE49" s="76">
        <f>IF(AE$4="","",IF(COUNTIF(設定!$W$6:$W$40,DATE(設定!$C$2,設定!$D$2,9))&gt;0,"假",IF(INDEX(設定!$U$56:$AO$56,(WEEKDAY(DATE(設定!$C$2,設定!$D$2,9),2)-1)*3+3)=0,"休",COUNTIF(AE$6:AE$45,"匯"))))</f>
        <v/>
      </c>
      <c r="AF49" s="75">
        <f>IF(AF$4="","",IF(COUNTIF(設定!$W$6:$W$40,DATE(設定!$C$2,設定!$D$2,10))&gt;0,"假",IF(INDEX(設定!$U$56:$AO$56,(WEEKDAY(DATE(設定!$C$2,設定!$D$2,10),2)-1)*3+1)=0,"休",COUNTIF(AF$6:AF$45,"匯"))))</f>
        <v/>
      </c>
      <c r="AG49" s="76">
        <f>IF(AG$4="","",IF(COUNTIF(設定!$W$6:$W$40,DATE(設定!$C$2,設定!$D$2,10))&gt;0,"假",IF(INDEX(設定!$U$56:$AO$56,(WEEKDAY(DATE(設定!$C$2,設定!$D$2,10),2)-1)*3+2)=0,"休",COUNTIF(AG$6:AG$45,"匯"))))</f>
        <v/>
      </c>
      <c r="AH49" s="76">
        <f>IF(AH$4="","",IF(COUNTIF(設定!$W$6:$W$40,DATE(設定!$C$2,設定!$D$2,10))&gt;0,"假",IF(INDEX(設定!$U$56:$AO$56,(WEEKDAY(DATE(設定!$C$2,設定!$D$2,10),2)-1)*3+3)=0,"休",COUNTIF(AH$6:AH$45,"匯"))))</f>
        <v/>
      </c>
      <c r="AI49" s="75">
        <f>IF(AI$4="","",IF(COUNTIF(設定!$W$6:$W$40,DATE(設定!$C$2,設定!$D$2,11))&gt;0,"假",IF(INDEX(設定!$U$56:$AO$56,(WEEKDAY(DATE(設定!$C$2,設定!$D$2,11),2)-1)*3+1)=0,"休",COUNTIF(AI$6:AI$45,"匯"))))</f>
        <v/>
      </c>
      <c r="AJ49" s="76">
        <f>IF(AJ$4="","",IF(COUNTIF(設定!$W$6:$W$40,DATE(設定!$C$2,設定!$D$2,11))&gt;0,"假",IF(INDEX(設定!$U$56:$AO$56,(WEEKDAY(DATE(設定!$C$2,設定!$D$2,11),2)-1)*3+2)=0,"休",COUNTIF(AJ$6:AJ$45,"匯"))))</f>
        <v/>
      </c>
      <c r="AK49" s="76">
        <f>IF(AK$4="","",IF(COUNTIF(設定!$W$6:$W$40,DATE(設定!$C$2,設定!$D$2,11))&gt;0,"假",IF(INDEX(設定!$U$56:$AO$56,(WEEKDAY(DATE(設定!$C$2,設定!$D$2,11),2)-1)*3+3)=0,"休",COUNTIF(AK$6:AK$45,"匯"))))</f>
        <v/>
      </c>
      <c r="AL49" s="75">
        <f>IF(AL$4="","",IF(COUNTIF(設定!$W$6:$W$40,DATE(設定!$C$2,設定!$D$2,12))&gt;0,"假",IF(INDEX(設定!$U$56:$AO$56,(WEEKDAY(DATE(設定!$C$2,設定!$D$2,12),2)-1)*3+1)=0,"休",COUNTIF(AL$6:AL$45,"匯"))))</f>
        <v/>
      </c>
      <c r="AM49" s="76">
        <f>IF(AM$4="","",IF(COUNTIF(設定!$W$6:$W$40,DATE(設定!$C$2,設定!$D$2,12))&gt;0,"假",IF(INDEX(設定!$U$56:$AO$56,(WEEKDAY(DATE(設定!$C$2,設定!$D$2,12),2)-1)*3+2)=0,"休",COUNTIF(AM$6:AM$45,"匯"))))</f>
        <v/>
      </c>
      <c r="AN49" s="76">
        <f>IF(AN$4="","",IF(COUNTIF(設定!$W$6:$W$40,DATE(設定!$C$2,設定!$D$2,12))&gt;0,"假",IF(INDEX(設定!$U$56:$AO$56,(WEEKDAY(DATE(設定!$C$2,設定!$D$2,12),2)-1)*3+3)=0,"休",COUNTIF(AN$6:AN$45,"匯"))))</f>
        <v/>
      </c>
      <c r="AO49" s="75">
        <f>IF(AO$4="","",IF(COUNTIF(設定!$W$6:$W$40,DATE(設定!$C$2,設定!$D$2,13))&gt;0,"假",IF(INDEX(設定!$U$56:$AO$56,(WEEKDAY(DATE(設定!$C$2,設定!$D$2,13),2)-1)*3+1)=0,"休",COUNTIF(AO$6:AO$45,"匯"))))</f>
        <v/>
      </c>
      <c r="AP49" s="76">
        <f>IF(AP$4="","",IF(COUNTIF(設定!$W$6:$W$40,DATE(設定!$C$2,設定!$D$2,13))&gt;0,"假",IF(INDEX(設定!$U$56:$AO$56,(WEEKDAY(DATE(設定!$C$2,設定!$D$2,13),2)-1)*3+2)=0,"休",COUNTIF(AP$6:AP$45,"匯"))))</f>
        <v/>
      </c>
      <c r="AQ49" s="76">
        <f>IF(AQ$4="","",IF(COUNTIF(設定!$W$6:$W$40,DATE(設定!$C$2,設定!$D$2,13))&gt;0,"假",IF(INDEX(設定!$U$56:$AO$56,(WEEKDAY(DATE(設定!$C$2,設定!$D$2,13),2)-1)*3+3)=0,"休",COUNTIF(AQ$6:AQ$45,"匯"))))</f>
        <v/>
      </c>
      <c r="AR49" s="75">
        <f>IF(AR$4="","",IF(COUNTIF(設定!$W$6:$W$40,DATE(設定!$C$2,設定!$D$2,14))&gt;0,"假",IF(INDEX(設定!$U$56:$AO$56,(WEEKDAY(DATE(設定!$C$2,設定!$D$2,14),2)-1)*3+1)=0,"休",COUNTIF(AR$6:AR$45,"匯"))))</f>
        <v/>
      </c>
      <c r="AS49" s="76">
        <f>IF(AS$4="","",IF(COUNTIF(設定!$W$6:$W$40,DATE(設定!$C$2,設定!$D$2,14))&gt;0,"假",IF(INDEX(設定!$U$56:$AO$56,(WEEKDAY(DATE(設定!$C$2,設定!$D$2,14),2)-1)*3+2)=0,"休",COUNTIF(AS$6:AS$45,"匯"))))</f>
        <v/>
      </c>
      <c r="AT49" s="76">
        <f>IF(AT$4="","",IF(COUNTIF(設定!$W$6:$W$40,DATE(設定!$C$2,設定!$D$2,14))&gt;0,"假",IF(INDEX(設定!$U$56:$AO$56,(WEEKDAY(DATE(設定!$C$2,設定!$D$2,14),2)-1)*3+3)=0,"休",COUNTIF(AT$6:AT$45,"匯"))))</f>
        <v/>
      </c>
      <c r="AU49" s="75">
        <f>IF(AU$4="","",IF(COUNTIF(設定!$W$6:$W$40,DATE(設定!$C$2,設定!$D$2,15))&gt;0,"假",IF(INDEX(設定!$U$56:$AO$56,(WEEKDAY(DATE(設定!$C$2,設定!$D$2,15),2)-1)*3+1)=0,"休",COUNTIF(AU$6:AU$45,"匯"))))</f>
        <v/>
      </c>
      <c r="AV49" s="76">
        <f>IF(AV$4="","",IF(COUNTIF(設定!$W$6:$W$40,DATE(設定!$C$2,設定!$D$2,15))&gt;0,"假",IF(INDEX(設定!$U$56:$AO$56,(WEEKDAY(DATE(設定!$C$2,設定!$D$2,15),2)-1)*3+2)=0,"休",COUNTIF(AV$6:AV$45,"匯"))))</f>
        <v/>
      </c>
      <c r="AW49" s="76">
        <f>IF(AW$4="","",IF(COUNTIF(設定!$W$6:$W$40,DATE(設定!$C$2,設定!$D$2,15))&gt;0,"假",IF(INDEX(設定!$U$56:$AO$56,(WEEKDAY(DATE(設定!$C$2,設定!$D$2,15),2)-1)*3+3)=0,"休",COUNTIF(AW$6:AW$45,"匯"))))</f>
        <v/>
      </c>
      <c r="AX49" s="75">
        <f>IF(AX$4="","",IF(COUNTIF(設定!$W$6:$W$40,DATE(設定!$C$2,設定!$D$2,16))&gt;0,"假",IF(INDEX(設定!$U$56:$AO$56,(WEEKDAY(DATE(設定!$C$2,設定!$D$2,16),2)-1)*3+1)=0,"休",COUNTIF(AX$6:AX$45,"匯"))))</f>
        <v/>
      </c>
      <c r="AY49" s="76">
        <f>IF(AY$4="","",IF(COUNTIF(設定!$W$6:$W$40,DATE(設定!$C$2,設定!$D$2,16))&gt;0,"假",IF(INDEX(設定!$U$56:$AO$56,(WEEKDAY(DATE(設定!$C$2,設定!$D$2,16),2)-1)*3+2)=0,"休",COUNTIF(AY$6:AY$45,"匯"))))</f>
        <v/>
      </c>
      <c r="AZ49" s="76">
        <f>IF(AZ$4="","",IF(COUNTIF(設定!$W$6:$W$40,DATE(設定!$C$2,設定!$D$2,16))&gt;0,"假",IF(INDEX(設定!$U$56:$AO$56,(WEEKDAY(DATE(設定!$C$2,設定!$D$2,16),2)-1)*3+3)=0,"休",COUNTIF(AZ$6:AZ$45,"匯"))))</f>
        <v/>
      </c>
      <c r="BA49" s="75">
        <f>IF(BA$4="","",IF(COUNTIF(設定!$W$6:$W$40,DATE(設定!$C$2,設定!$D$2,17))&gt;0,"假",IF(INDEX(設定!$U$56:$AO$56,(WEEKDAY(DATE(設定!$C$2,設定!$D$2,17),2)-1)*3+1)=0,"休",COUNTIF(BA$6:BA$45,"匯"))))</f>
        <v/>
      </c>
      <c r="BB49" s="76">
        <f>IF(BB$4="","",IF(COUNTIF(設定!$W$6:$W$40,DATE(設定!$C$2,設定!$D$2,17))&gt;0,"假",IF(INDEX(設定!$U$56:$AO$56,(WEEKDAY(DATE(設定!$C$2,設定!$D$2,17),2)-1)*3+2)=0,"休",COUNTIF(BB$6:BB$45,"匯"))))</f>
        <v/>
      </c>
      <c r="BC49" s="76">
        <f>IF(BC$4="","",IF(COUNTIF(設定!$W$6:$W$40,DATE(設定!$C$2,設定!$D$2,17))&gt;0,"假",IF(INDEX(設定!$U$56:$AO$56,(WEEKDAY(DATE(設定!$C$2,設定!$D$2,17),2)-1)*3+3)=0,"休",COUNTIF(BC$6:BC$45,"匯"))))</f>
        <v/>
      </c>
      <c r="BD49" s="75">
        <f>IF(BD$4="","",IF(COUNTIF(設定!$W$6:$W$40,DATE(設定!$C$2,設定!$D$2,18))&gt;0,"假",IF(INDEX(設定!$U$56:$AO$56,(WEEKDAY(DATE(設定!$C$2,設定!$D$2,18),2)-1)*3+1)=0,"休",COUNTIF(BD$6:BD$45,"匯"))))</f>
        <v/>
      </c>
      <c r="BE49" s="76">
        <f>IF(BE$4="","",IF(COUNTIF(設定!$W$6:$W$40,DATE(設定!$C$2,設定!$D$2,18))&gt;0,"假",IF(INDEX(設定!$U$56:$AO$56,(WEEKDAY(DATE(設定!$C$2,設定!$D$2,18),2)-1)*3+2)=0,"休",COUNTIF(BE$6:BE$45,"匯"))))</f>
        <v/>
      </c>
      <c r="BF49" s="76">
        <f>IF(BF$4="","",IF(COUNTIF(設定!$W$6:$W$40,DATE(設定!$C$2,設定!$D$2,18))&gt;0,"假",IF(INDEX(設定!$U$56:$AO$56,(WEEKDAY(DATE(設定!$C$2,設定!$D$2,18),2)-1)*3+3)=0,"休",COUNTIF(BF$6:BF$45,"匯"))))</f>
        <v/>
      </c>
      <c r="BG49" s="75">
        <f>IF(BG$4="","",IF(COUNTIF(設定!$W$6:$W$40,DATE(設定!$C$2,設定!$D$2,19))&gt;0,"假",IF(INDEX(設定!$U$56:$AO$56,(WEEKDAY(DATE(設定!$C$2,設定!$D$2,19),2)-1)*3+1)=0,"休",COUNTIF(BG$6:BG$45,"匯"))))</f>
        <v/>
      </c>
      <c r="BH49" s="76">
        <f>IF(BH$4="","",IF(COUNTIF(設定!$W$6:$W$40,DATE(設定!$C$2,設定!$D$2,19))&gt;0,"假",IF(INDEX(設定!$U$56:$AO$56,(WEEKDAY(DATE(設定!$C$2,設定!$D$2,19),2)-1)*3+2)=0,"休",COUNTIF(BH$6:BH$45,"匯"))))</f>
        <v/>
      </c>
      <c r="BI49" s="76">
        <f>IF(BI$4="","",IF(COUNTIF(設定!$W$6:$W$40,DATE(設定!$C$2,設定!$D$2,19))&gt;0,"假",IF(INDEX(設定!$U$56:$AO$56,(WEEKDAY(DATE(設定!$C$2,設定!$D$2,19),2)-1)*3+3)=0,"休",COUNTIF(BI$6:BI$45,"匯"))))</f>
        <v/>
      </c>
      <c r="BJ49" s="75">
        <f>IF(BJ$4="","",IF(COUNTIF(設定!$W$6:$W$40,DATE(設定!$C$2,設定!$D$2,20))&gt;0,"假",IF(INDEX(設定!$U$56:$AO$56,(WEEKDAY(DATE(設定!$C$2,設定!$D$2,20),2)-1)*3+1)=0,"休",COUNTIF(BJ$6:BJ$45,"匯"))))</f>
        <v/>
      </c>
      <c r="BK49" s="76">
        <f>IF(BK$4="","",IF(COUNTIF(設定!$W$6:$W$40,DATE(設定!$C$2,設定!$D$2,20))&gt;0,"假",IF(INDEX(設定!$U$56:$AO$56,(WEEKDAY(DATE(設定!$C$2,設定!$D$2,20),2)-1)*3+2)=0,"休",COUNTIF(BK$6:BK$45,"匯"))))</f>
        <v/>
      </c>
      <c r="BL49" s="76">
        <f>IF(BL$4="","",IF(COUNTIF(設定!$W$6:$W$40,DATE(設定!$C$2,設定!$D$2,20))&gt;0,"假",IF(INDEX(設定!$U$56:$AO$56,(WEEKDAY(DATE(設定!$C$2,設定!$D$2,20),2)-1)*3+3)=0,"休",COUNTIF(BL$6:BL$45,"匯"))))</f>
        <v/>
      </c>
      <c r="BM49" s="75">
        <f>IF(BM$4="","",IF(COUNTIF(設定!$W$6:$W$40,DATE(設定!$C$2,設定!$D$2,21))&gt;0,"假",IF(INDEX(設定!$U$56:$AO$56,(WEEKDAY(DATE(設定!$C$2,設定!$D$2,21),2)-1)*3+1)=0,"休",COUNTIF(BM$6:BM$45,"匯"))))</f>
        <v/>
      </c>
      <c r="BN49" s="76">
        <f>IF(BN$4="","",IF(COUNTIF(設定!$W$6:$W$40,DATE(設定!$C$2,設定!$D$2,21))&gt;0,"假",IF(INDEX(設定!$U$56:$AO$56,(WEEKDAY(DATE(設定!$C$2,設定!$D$2,21),2)-1)*3+2)=0,"休",COUNTIF(BN$6:BN$45,"匯"))))</f>
        <v/>
      </c>
      <c r="BO49" s="76">
        <f>IF(BO$4="","",IF(COUNTIF(設定!$W$6:$W$40,DATE(設定!$C$2,設定!$D$2,21))&gt;0,"假",IF(INDEX(設定!$U$56:$AO$56,(WEEKDAY(DATE(設定!$C$2,設定!$D$2,21),2)-1)*3+3)=0,"休",COUNTIF(BO$6:BO$45,"匯"))))</f>
        <v/>
      </c>
      <c r="BP49" s="75">
        <f>IF(BP$4="","",IF(COUNTIF(設定!$W$6:$W$40,DATE(設定!$C$2,設定!$D$2,22))&gt;0,"假",IF(INDEX(設定!$U$56:$AO$56,(WEEKDAY(DATE(設定!$C$2,設定!$D$2,22),2)-1)*3+1)=0,"休",COUNTIF(BP$6:BP$45,"匯"))))</f>
        <v/>
      </c>
      <c r="BQ49" s="76">
        <f>IF(BQ$4="","",IF(COUNTIF(設定!$W$6:$W$40,DATE(設定!$C$2,設定!$D$2,22))&gt;0,"假",IF(INDEX(設定!$U$56:$AO$56,(WEEKDAY(DATE(設定!$C$2,設定!$D$2,22),2)-1)*3+2)=0,"休",COUNTIF(BQ$6:BQ$45,"匯"))))</f>
        <v/>
      </c>
      <c r="BR49" s="76">
        <f>IF(BR$4="","",IF(COUNTIF(設定!$W$6:$W$40,DATE(設定!$C$2,設定!$D$2,22))&gt;0,"假",IF(INDEX(設定!$U$56:$AO$56,(WEEKDAY(DATE(設定!$C$2,設定!$D$2,22),2)-1)*3+3)=0,"休",COUNTIF(BR$6:BR$45,"匯"))))</f>
        <v/>
      </c>
      <c r="BS49" s="75">
        <f>IF(BS$4="","",IF(COUNTIF(設定!$W$6:$W$40,DATE(設定!$C$2,設定!$D$2,23))&gt;0,"假",IF(INDEX(設定!$U$56:$AO$56,(WEEKDAY(DATE(設定!$C$2,設定!$D$2,23),2)-1)*3+1)=0,"休",COUNTIF(BS$6:BS$45,"匯"))))</f>
        <v/>
      </c>
      <c r="BT49" s="76">
        <f>IF(BT$4="","",IF(COUNTIF(設定!$W$6:$W$40,DATE(設定!$C$2,設定!$D$2,23))&gt;0,"假",IF(INDEX(設定!$U$56:$AO$56,(WEEKDAY(DATE(設定!$C$2,設定!$D$2,23),2)-1)*3+2)=0,"休",COUNTIF(BT$6:BT$45,"匯"))))</f>
        <v/>
      </c>
      <c r="BU49" s="76">
        <f>IF(BU$4="","",IF(COUNTIF(設定!$W$6:$W$40,DATE(設定!$C$2,設定!$D$2,23))&gt;0,"假",IF(INDEX(設定!$U$56:$AO$56,(WEEKDAY(DATE(設定!$C$2,設定!$D$2,23),2)-1)*3+3)=0,"休",COUNTIF(BU$6:BU$45,"匯"))))</f>
        <v/>
      </c>
      <c r="BV49" s="75">
        <f>IF(BV$4="","",IF(COUNTIF(設定!$W$6:$W$40,DATE(設定!$C$2,設定!$D$2,24))&gt;0,"假",IF(INDEX(設定!$U$56:$AO$56,(WEEKDAY(DATE(設定!$C$2,設定!$D$2,24),2)-1)*3+1)=0,"休",COUNTIF(BV$6:BV$45,"匯"))))</f>
        <v/>
      </c>
      <c r="BW49" s="76">
        <f>IF(BW$4="","",IF(COUNTIF(設定!$W$6:$W$40,DATE(設定!$C$2,設定!$D$2,24))&gt;0,"假",IF(INDEX(設定!$U$56:$AO$56,(WEEKDAY(DATE(設定!$C$2,設定!$D$2,24),2)-1)*3+2)=0,"休",COUNTIF(BW$6:BW$45,"匯"))))</f>
        <v/>
      </c>
      <c r="BX49" s="76">
        <f>IF(BX$4="","",IF(COUNTIF(設定!$W$6:$W$40,DATE(設定!$C$2,設定!$D$2,24))&gt;0,"假",IF(INDEX(設定!$U$56:$AO$56,(WEEKDAY(DATE(設定!$C$2,設定!$D$2,24),2)-1)*3+3)=0,"休",COUNTIF(BX$6:BX$45,"匯"))))</f>
        <v/>
      </c>
      <c r="BY49" s="75">
        <f>IF(BY$4="","",IF(COUNTIF(設定!$W$6:$W$40,DATE(設定!$C$2,設定!$D$2,25))&gt;0,"假",IF(INDEX(設定!$U$56:$AO$56,(WEEKDAY(DATE(設定!$C$2,設定!$D$2,25),2)-1)*3+1)=0,"休",COUNTIF(BY$6:BY$45,"匯"))))</f>
        <v/>
      </c>
      <c r="BZ49" s="76">
        <f>IF(BZ$4="","",IF(COUNTIF(設定!$W$6:$W$40,DATE(設定!$C$2,設定!$D$2,25))&gt;0,"假",IF(INDEX(設定!$U$56:$AO$56,(WEEKDAY(DATE(設定!$C$2,設定!$D$2,25),2)-1)*3+2)=0,"休",COUNTIF(BZ$6:BZ$45,"匯"))))</f>
        <v/>
      </c>
      <c r="CA49" s="76">
        <f>IF(CA$4="","",IF(COUNTIF(設定!$W$6:$W$40,DATE(設定!$C$2,設定!$D$2,25))&gt;0,"假",IF(INDEX(設定!$U$56:$AO$56,(WEEKDAY(DATE(設定!$C$2,設定!$D$2,25),2)-1)*3+3)=0,"休",COUNTIF(CA$6:CA$45,"匯"))))</f>
        <v/>
      </c>
      <c r="CB49" s="75">
        <f>IF(CB$4="","",IF(COUNTIF(設定!$W$6:$W$40,DATE(設定!$C$2,設定!$D$2,26))&gt;0,"假",IF(INDEX(設定!$U$56:$AO$56,(WEEKDAY(DATE(設定!$C$2,設定!$D$2,26),2)-1)*3+1)=0,"休",COUNTIF(CB$6:CB$45,"匯"))))</f>
        <v/>
      </c>
      <c r="CC49" s="76">
        <f>IF(CC$4="","",IF(COUNTIF(設定!$W$6:$W$40,DATE(設定!$C$2,設定!$D$2,26))&gt;0,"假",IF(INDEX(設定!$U$56:$AO$56,(WEEKDAY(DATE(設定!$C$2,設定!$D$2,26),2)-1)*3+2)=0,"休",COUNTIF(CC$6:CC$45,"匯"))))</f>
        <v/>
      </c>
      <c r="CD49" s="76">
        <f>IF(CD$4="","",IF(COUNTIF(設定!$W$6:$W$40,DATE(設定!$C$2,設定!$D$2,26))&gt;0,"假",IF(INDEX(設定!$U$56:$AO$56,(WEEKDAY(DATE(設定!$C$2,設定!$D$2,26),2)-1)*3+3)=0,"休",COUNTIF(CD$6:CD$45,"匯"))))</f>
        <v/>
      </c>
      <c r="CE49" s="75">
        <f>IF(CE$4="","",IF(COUNTIF(設定!$W$6:$W$40,DATE(設定!$C$2,設定!$D$2,27))&gt;0,"假",IF(INDEX(設定!$U$56:$AO$56,(WEEKDAY(DATE(設定!$C$2,設定!$D$2,27),2)-1)*3+1)=0,"休",COUNTIF(CE$6:CE$45,"匯"))))</f>
        <v/>
      </c>
      <c r="CF49" s="76">
        <f>IF(CF$4="","",IF(COUNTIF(設定!$W$6:$W$40,DATE(設定!$C$2,設定!$D$2,27))&gt;0,"假",IF(INDEX(設定!$U$56:$AO$56,(WEEKDAY(DATE(設定!$C$2,設定!$D$2,27),2)-1)*3+2)=0,"休",COUNTIF(CF$6:CF$45,"匯"))))</f>
        <v/>
      </c>
      <c r="CG49" s="76">
        <f>IF(CG$4="","",IF(COUNTIF(設定!$W$6:$W$40,DATE(設定!$C$2,設定!$D$2,27))&gt;0,"假",IF(INDEX(設定!$U$56:$AO$56,(WEEKDAY(DATE(設定!$C$2,設定!$D$2,27),2)-1)*3+3)=0,"休",COUNTIF(CG$6:CG$45,"匯"))))</f>
        <v/>
      </c>
      <c r="CH49" s="75">
        <f>IF(CH$4="","",IF(COUNTIF(設定!$W$6:$W$40,DATE(設定!$C$2,設定!$D$2,28))&gt;0,"假",IF(INDEX(設定!$U$56:$AO$56,(WEEKDAY(DATE(設定!$C$2,設定!$D$2,28),2)-1)*3+1)=0,"休",COUNTIF(CH$6:CH$45,"匯"))))</f>
        <v/>
      </c>
      <c r="CI49" s="76">
        <f>IF(CI$4="","",IF(COUNTIF(設定!$W$6:$W$40,DATE(設定!$C$2,設定!$D$2,28))&gt;0,"假",IF(INDEX(設定!$U$56:$AO$56,(WEEKDAY(DATE(設定!$C$2,設定!$D$2,28),2)-1)*3+2)=0,"休",COUNTIF(CI$6:CI$45,"匯"))))</f>
        <v/>
      </c>
      <c r="CJ49" s="76">
        <f>IF(CJ$4="","",IF(COUNTIF(設定!$W$6:$W$40,DATE(設定!$C$2,設定!$D$2,28))&gt;0,"假",IF(INDEX(設定!$U$56:$AO$56,(WEEKDAY(DATE(設定!$C$2,設定!$D$2,28),2)-1)*3+3)=0,"休",COUNTIF(CJ$6:CJ$45,"匯"))))</f>
        <v/>
      </c>
      <c r="CK49" s="75">
        <f>IF(CK$4="","",IF(COUNTIF(設定!$W$6:$W$40,DATE(設定!$C$2,設定!$D$2,29))&gt;0,"假",IF(INDEX(設定!$U$56:$AO$56,(WEEKDAY(DATE(設定!$C$2,設定!$D$2,29),2)-1)*3+1)=0,"休",COUNTIF(CK$6:CK$45,"匯"))))</f>
        <v/>
      </c>
      <c r="CL49" s="76">
        <f>IF(CL$4="","",IF(COUNTIF(設定!$W$6:$W$40,DATE(設定!$C$2,設定!$D$2,29))&gt;0,"假",IF(INDEX(設定!$U$56:$AO$56,(WEEKDAY(DATE(設定!$C$2,設定!$D$2,29),2)-1)*3+2)=0,"休",COUNTIF(CL$6:CL$45,"匯"))))</f>
        <v/>
      </c>
      <c r="CM49" s="76">
        <f>IF(CM$4="","",IF(COUNTIF(設定!$W$6:$W$40,DATE(設定!$C$2,設定!$D$2,29))&gt;0,"假",IF(INDEX(設定!$U$56:$AO$56,(WEEKDAY(DATE(設定!$C$2,設定!$D$2,29),2)-1)*3+3)=0,"休",COUNTIF(CM$6:CM$45,"匯"))))</f>
        <v/>
      </c>
      <c r="CN49" s="75">
        <f>IF(CN$4="","",IF(COUNTIF(設定!$W$6:$W$40,DATE(設定!$C$2,設定!$D$2,30))&gt;0,"假",IF(INDEX(設定!$U$56:$AO$56,(WEEKDAY(DATE(設定!$C$2,設定!$D$2,30),2)-1)*3+1)=0,"休",COUNTIF(CN$6:CN$45,"匯"))))</f>
        <v/>
      </c>
      <c r="CO49" s="76">
        <f>IF(CO$4="","",IF(COUNTIF(設定!$W$6:$W$40,DATE(設定!$C$2,設定!$D$2,30))&gt;0,"假",IF(INDEX(設定!$U$56:$AO$56,(WEEKDAY(DATE(設定!$C$2,設定!$D$2,30),2)-1)*3+2)=0,"休",COUNTIF(CO$6:CO$45,"匯"))))</f>
        <v/>
      </c>
      <c r="CP49" s="76">
        <f>IF(CP$4="","",IF(COUNTIF(設定!$W$6:$W$40,DATE(設定!$C$2,設定!$D$2,30))&gt;0,"假",IF(INDEX(設定!$U$56:$AO$56,(WEEKDAY(DATE(設定!$C$2,設定!$D$2,30),2)-1)*3+3)=0,"休",COUNTIF(CP$6:CP$45,"匯"))))</f>
        <v/>
      </c>
      <c r="CQ49" s="75">
        <f>IF(CQ$4="","",IF(COUNTIF(設定!$W$6:$W$40,DATE(設定!$C$2,設定!$D$2,31))&gt;0,"假",IF(INDEX(設定!$U$56:$AO$56,(WEEKDAY(DATE(設定!$C$2,設定!$D$2,31),2)-1)*3+1)=0,"休",COUNTIF(CQ$6:CQ$45,"匯"))))</f>
        <v/>
      </c>
      <c r="CR49" s="76">
        <f>IF(CR$4="","",IF(COUNTIF(設定!$W$6:$W$40,DATE(設定!$C$2,設定!$D$2,31))&gt;0,"假",IF(INDEX(設定!$U$56:$AO$56,(WEEKDAY(DATE(設定!$C$2,設定!$D$2,31),2)-1)*3+2)=0,"休",COUNTIF(CR$6:CR$45,"匯"))))</f>
        <v/>
      </c>
      <c r="CS49" s="76">
        <f>IF(CS$4="","",IF(COUNTIF(設定!$W$6:$W$40,DATE(設定!$C$2,設定!$D$2,31))&gt;0,"假",IF(INDEX(設定!$U$56:$AO$56,(WEEKDAY(DATE(設定!$C$2,設定!$D$2,31),2)-1)*3+3)=0,"休",COUNTIF(CS$6:CS$45,"匯"))))</f>
        <v/>
      </c>
    </row>
    <row r="50">
      <c r="A50" s="79" t="inlineStr">
        <is>
          <t>曜 晶曜</t>
        </is>
      </c>
      <c r="B50" s="8" t="n"/>
      <c r="C50" s="8" t="n"/>
      <c r="D50" s="9" t="n"/>
      <c r="E50" s="75">
        <f>IF(E$4="","",IF(COUNTIF(設定!$W$6:$W$40,DATE(設定!$C$2,設定!$D$2,1))&gt;0,"假",IF(INDEX(設定!$U$57:$AO$57,(WEEKDAY(DATE(設定!$C$2,設定!$D$2,1),2)-1)*3+1)=0,"休",COUNTIF(E$6:E$45,"曜"))))</f>
        <v/>
      </c>
      <c r="F50" s="76">
        <f>IF(F$4="","",IF(COUNTIF(設定!$W$6:$W$40,DATE(設定!$C$2,設定!$D$2,1))&gt;0,"假",IF(INDEX(設定!$U$57:$AO$57,(WEEKDAY(DATE(設定!$C$2,設定!$D$2,1),2)-1)*3+2)=0,"休",COUNTIF(F$6:F$45,"曜"))))</f>
        <v/>
      </c>
      <c r="G50" s="76">
        <f>IF(G$4="","",IF(COUNTIF(設定!$W$6:$W$40,DATE(設定!$C$2,設定!$D$2,1))&gt;0,"假",IF(INDEX(設定!$U$57:$AO$57,(WEEKDAY(DATE(設定!$C$2,設定!$D$2,1),2)-1)*3+3)=0,"休",COUNTIF(G$6:G$45,"曜"))))</f>
        <v/>
      </c>
      <c r="H50" s="75">
        <f>IF(H$4="","",IF(COUNTIF(設定!$W$6:$W$40,DATE(設定!$C$2,設定!$D$2,2))&gt;0,"假",IF(INDEX(設定!$U$57:$AO$57,(WEEKDAY(DATE(設定!$C$2,設定!$D$2,2),2)-1)*3+1)=0,"休",COUNTIF(H$6:H$45,"曜"))))</f>
        <v/>
      </c>
      <c r="I50" s="76">
        <f>IF(I$4="","",IF(COUNTIF(設定!$W$6:$W$40,DATE(設定!$C$2,設定!$D$2,2))&gt;0,"假",IF(INDEX(設定!$U$57:$AO$57,(WEEKDAY(DATE(設定!$C$2,設定!$D$2,2),2)-1)*3+2)=0,"休",COUNTIF(I$6:I$45,"曜"))))</f>
        <v/>
      </c>
      <c r="J50" s="76">
        <f>IF(J$4="","",IF(COUNTIF(設定!$W$6:$W$40,DATE(設定!$C$2,設定!$D$2,2))&gt;0,"假",IF(INDEX(設定!$U$57:$AO$57,(WEEKDAY(DATE(設定!$C$2,設定!$D$2,2),2)-1)*3+3)=0,"休",COUNTIF(J$6:J$45,"曜"))))</f>
        <v/>
      </c>
      <c r="K50" s="75">
        <f>IF(K$4="","",IF(COUNTIF(設定!$W$6:$W$40,DATE(設定!$C$2,設定!$D$2,3))&gt;0,"假",IF(INDEX(設定!$U$57:$AO$57,(WEEKDAY(DATE(設定!$C$2,設定!$D$2,3),2)-1)*3+1)=0,"休",COUNTIF(K$6:K$45,"曜"))))</f>
        <v/>
      </c>
      <c r="L50" s="76">
        <f>IF(L$4="","",IF(COUNTIF(設定!$W$6:$W$40,DATE(設定!$C$2,設定!$D$2,3))&gt;0,"假",IF(INDEX(設定!$U$57:$AO$57,(WEEKDAY(DATE(設定!$C$2,設定!$D$2,3),2)-1)*3+2)=0,"休",COUNTIF(L$6:L$45,"曜"))))</f>
        <v/>
      </c>
      <c r="M50" s="76">
        <f>IF(M$4="","",IF(COUNTIF(設定!$W$6:$W$40,DATE(設定!$C$2,設定!$D$2,3))&gt;0,"假",IF(INDEX(設定!$U$57:$AO$57,(WEEKDAY(DATE(設定!$C$2,設定!$D$2,3),2)-1)*3+3)=0,"休",COUNTIF(M$6:M$45,"曜"))))</f>
        <v/>
      </c>
      <c r="N50" s="75">
        <f>IF(N$4="","",IF(COUNTIF(設定!$W$6:$W$40,DATE(設定!$C$2,設定!$D$2,4))&gt;0,"假",IF(INDEX(設定!$U$57:$AO$57,(WEEKDAY(DATE(設定!$C$2,設定!$D$2,4),2)-1)*3+1)=0,"休",COUNTIF(N$6:N$45,"曜"))))</f>
        <v/>
      </c>
      <c r="O50" s="76">
        <f>IF(O$4="","",IF(COUNTIF(設定!$W$6:$W$40,DATE(設定!$C$2,設定!$D$2,4))&gt;0,"假",IF(INDEX(設定!$U$57:$AO$57,(WEEKDAY(DATE(設定!$C$2,設定!$D$2,4),2)-1)*3+2)=0,"休",COUNTIF(O$6:O$45,"曜"))))</f>
        <v/>
      </c>
      <c r="P50" s="76">
        <f>IF(P$4="","",IF(COUNTIF(設定!$W$6:$W$40,DATE(設定!$C$2,設定!$D$2,4))&gt;0,"假",IF(INDEX(設定!$U$57:$AO$57,(WEEKDAY(DATE(設定!$C$2,設定!$D$2,4),2)-1)*3+3)=0,"休",COUNTIF(P$6:P$45,"曜"))))</f>
        <v/>
      </c>
      <c r="Q50" s="75">
        <f>IF(Q$4="","",IF(COUNTIF(設定!$W$6:$W$40,DATE(設定!$C$2,設定!$D$2,5))&gt;0,"假",IF(INDEX(設定!$U$57:$AO$57,(WEEKDAY(DATE(設定!$C$2,設定!$D$2,5),2)-1)*3+1)=0,"休",COUNTIF(Q$6:Q$45,"曜"))))</f>
        <v/>
      </c>
      <c r="R50" s="76">
        <f>IF(R$4="","",IF(COUNTIF(設定!$W$6:$W$40,DATE(設定!$C$2,設定!$D$2,5))&gt;0,"假",IF(INDEX(設定!$U$57:$AO$57,(WEEKDAY(DATE(設定!$C$2,設定!$D$2,5),2)-1)*3+2)=0,"休",COUNTIF(R$6:R$45,"曜"))))</f>
        <v/>
      </c>
      <c r="S50" s="76">
        <f>IF(S$4="","",IF(COUNTIF(設定!$W$6:$W$40,DATE(設定!$C$2,設定!$D$2,5))&gt;0,"假",IF(INDEX(設定!$U$57:$AO$57,(WEEKDAY(DATE(設定!$C$2,設定!$D$2,5),2)-1)*3+3)=0,"休",COUNTIF(S$6:S$45,"曜"))))</f>
        <v/>
      </c>
      <c r="T50" s="75">
        <f>IF(T$4="","",IF(COUNTIF(設定!$W$6:$W$40,DATE(設定!$C$2,設定!$D$2,6))&gt;0,"假",IF(INDEX(設定!$U$57:$AO$57,(WEEKDAY(DATE(設定!$C$2,設定!$D$2,6),2)-1)*3+1)=0,"休",COUNTIF(T$6:T$45,"曜"))))</f>
        <v/>
      </c>
      <c r="U50" s="76">
        <f>IF(U$4="","",IF(COUNTIF(設定!$W$6:$W$40,DATE(設定!$C$2,設定!$D$2,6))&gt;0,"假",IF(INDEX(設定!$U$57:$AO$57,(WEEKDAY(DATE(設定!$C$2,設定!$D$2,6),2)-1)*3+2)=0,"休",COUNTIF(U$6:U$45,"曜"))))</f>
        <v/>
      </c>
      <c r="V50" s="76">
        <f>IF(V$4="","",IF(COUNTIF(設定!$W$6:$W$40,DATE(設定!$C$2,設定!$D$2,6))&gt;0,"假",IF(INDEX(設定!$U$57:$AO$57,(WEEKDAY(DATE(設定!$C$2,設定!$D$2,6),2)-1)*3+3)=0,"休",COUNTIF(V$6:V$45,"曜"))))</f>
        <v/>
      </c>
      <c r="W50" s="75">
        <f>IF(W$4="","",IF(COUNTIF(設定!$W$6:$W$40,DATE(設定!$C$2,設定!$D$2,7))&gt;0,"假",IF(INDEX(設定!$U$57:$AO$57,(WEEKDAY(DATE(設定!$C$2,設定!$D$2,7),2)-1)*3+1)=0,"休",COUNTIF(W$6:W$45,"曜"))))</f>
        <v/>
      </c>
      <c r="X50" s="76">
        <f>IF(X$4="","",IF(COUNTIF(設定!$W$6:$W$40,DATE(設定!$C$2,設定!$D$2,7))&gt;0,"假",IF(INDEX(設定!$U$57:$AO$57,(WEEKDAY(DATE(設定!$C$2,設定!$D$2,7),2)-1)*3+2)=0,"休",COUNTIF(X$6:X$45,"曜"))))</f>
        <v/>
      </c>
      <c r="Y50" s="76">
        <f>IF(Y$4="","",IF(COUNTIF(設定!$W$6:$W$40,DATE(設定!$C$2,設定!$D$2,7))&gt;0,"假",IF(INDEX(設定!$U$57:$AO$57,(WEEKDAY(DATE(設定!$C$2,設定!$D$2,7),2)-1)*3+3)=0,"休",COUNTIF(Y$6:Y$45,"曜"))))</f>
        <v/>
      </c>
      <c r="Z50" s="75">
        <f>IF(Z$4="","",IF(COUNTIF(設定!$W$6:$W$40,DATE(設定!$C$2,設定!$D$2,8))&gt;0,"假",IF(INDEX(設定!$U$57:$AO$57,(WEEKDAY(DATE(設定!$C$2,設定!$D$2,8),2)-1)*3+1)=0,"休",COUNTIF(Z$6:Z$45,"曜"))))</f>
        <v/>
      </c>
      <c r="AA50" s="76">
        <f>IF(AA$4="","",IF(COUNTIF(設定!$W$6:$W$40,DATE(設定!$C$2,設定!$D$2,8))&gt;0,"假",IF(INDEX(設定!$U$57:$AO$57,(WEEKDAY(DATE(設定!$C$2,設定!$D$2,8),2)-1)*3+2)=0,"休",COUNTIF(AA$6:AA$45,"曜"))))</f>
        <v/>
      </c>
      <c r="AB50" s="76">
        <f>IF(AB$4="","",IF(COUNTIF(設定!$W$6:$W$40,DATE(設定!$C$2,設定!$D$2,8))&gt;0,"假",IF(INDEX(設定!$U$57:$AO$57,(WEEKDAY(DATE(設定!$C$2,設定!$D$2,8),2)-1)*3+3)=0,"休",COUNTIF(AB$6:AB$45,"曜"))))</f>
        <v/>
      </c>
      <c r="AC50" s="75">
        <f>IF(AC$4="","",IF(COUNTIF(設定!$W$6:$W$40,DATE(設定!$C$2,設定!$D$2,9))&gt;0,"假",IF(INDEX(設定!$U$57:$AO$57,(WEEKDAY(DATE(設定!$C$2,設定!$D$2,9),2)-1)*3+1)=0,"休",COUNTIF(AC$6:AC$45,"曜"))))</f>
        <v/>
      </c>
      <c r="AD50" s="76">
        <f>IF(AD$4="","",IF(COUNTIF(設定!$W$6:$W$40,DATE(設定!$C$2,設定!$D$2,9))&gt;0,"假",IF(INDEX(設定!$U$57:$AO$57,(WEEKDAY(DATE(設定!$C$2,設定!$D$2,9),2)-1)*3+2)=0,"休",COUNTIF(AD$6:AD$45,"曜"))))</f>
        <v/>
      </c>
      <c r="AE50" s="76">
        <f>IF(AE$4="","",IF(COUNTIF(設定!$W$6:$W$40,DATE(設定!$C$2,設定!$D$2,9))&gt;0,"假",IF(INDEX(設定!$U$57:$AO$57,(WEEKDAY(DATE(設定!$C$2,設定!$D$2,9),2)-1)*3+3)=0,"休",COUNTIF(AE$6:AE$45,"曜"))))</f>
        <v/>
      </c>
      <c r="AF50" s="75">
        <f>IF(AF$4="","",IF(COUNTIF(設定!$W$6:$W$40,DATE(設定!$C$2,設定!$D$2,10))&gt;0,"假",IF(INDEX(設定!$U$57:$AO$57,(WEEKDAY(DATE(設定!$C$2,設定!$D$2,10),2)-1)*3+1)=0,"休",COUNTIF(AF$6:AF$45,"曜"))))</f>
        <v/>
      </c>
      <c r="AG50" s="76">
        <f>IF(AG$4="","",IF(COUNTIF(設定!$W$6:$W$40,DATE(設定!$C$2,設定!$D$2,10))&gt;0,"假",IF(INDEX(設定!$U$57:$AO$57,(WEEKDAY(DATE(設定!$C$2,設定!$D$2,10),2)-1)*3+2)=0,"休",COUNTIF(AG$6:AG$45,"曜"))))</f>
        <v/>
      </c>
      <c r="AH50" s="76">
        <f>IF(AH$4="","",IF(COUNTIF(設定!$W$6:$W$40,DATE(設定!$C$2,設定!$D$2,10))&gt;0,"假",IF(INDEX(設定!$U$57:$AO$57,(WEEKDAY(DATE(設定!$C$2,設定!$D$2,10),2)-1)*3+3)=0,"休",COUNTIF(AH$6:AH$45,"曜"))))</f>
        <v/>
      </c>
      <c r="AI50" s="75">
        <f>IF(AI$4="","",IF(COUNTIF(設定!$W$6:$W$40,DATE(設定!$C$2,設定!$D$2,11))&gt;0,"假",IF(INDEX(設定!$U$57:$AO$57,(WEEKDAY(DATE(設定!$C$2,設定!$D$2,11),2)-1)*3+1)=0,"休",COUNTIF(AI$6:AI$45,"曜"))))</f>
        <v/>
      </c>
      <c r="AJ50" s="76">
        <f>IF(AJ$4="","",IF(COUNTIF(設定!$W$6:$W$40,DATE(設定!$C$2,設定!$D$2,11))&gt;0,"假",IF(INDEX(設定!$U$57:$AO$57,(WEEKDAY(DATE(設定!$C$2,設定!$D$2,11),2)-1)*3+2)=0,"休",COUNTIF(AJ$6:AJ$45,"曜"))))</f>
        <v/>
      </c>
      <c r="AK50" s="76">
        <f>IF(AK$4="","",IF(COUNTIF(設定!$W$6:$W$40,DATE(設定!$C$2,設定!$D$2,11))&gt;0,"假",IF(INDEX(設定!$U$57:$AO$57,(WEEKDAY(DATE(設定!$C$2,設定!$D$2,11),2)-1)*3+3)=0,"休",COUNTIF(AK$6:AK$45,"曜"))))</f>
        <v/>
      </c>
      <c r="AL50" s="75">
        <f>IF(AL$4="","",IF(COUNTIF(設定!$W$6:$W$40,DATE(設定!$C$2,設定!$D$2,12))&gt;0,"假",IF(INDEX(設定!$U$57:$AO$57,(WEEKDAY(DATE(設定!$C$2,設定!$D$2,12),2)-1)*3+1)=0,"休",COUNTIF(AL$6:AL$45,"曜"))))</f>
        <v/>
      </c>
      <c r="AM50" s="76">
        <f>IF(AM$4="","",IF(COUNTIF(設定!$W$6:$W$40,DATE(設定!$C$2,設定!$D$2,12))&gt;0,"假",IF(INDEX(設定!$U$57:$AO$57,(WEEKDAY(DATE(設定!$C$2,設定!$D$2,12),2)-1)*3+2)=0,"休",COUNTIF(AM$6:AM$45,"曜"))))</f>
        <v/>
      </c>
      <c r="AN50" s="76">
        <f>IF(AN$4="","",IF(COUNTIF(設定!$W$6:$W$40,DATE(設定!$C$2,設定!$D$2,12))&gt;0,"假",IF(INDEX(設定!$U$57:$AO$57,(WEEKDAY(DATE(設定!$C$2,設定!$D$2,12),2)-1)*3+3)=0,"休",COUNTIF(AN$6:AN$45,"曜"))))</f>
        <v/>
      </c>
      <c r="AO50" s="75">
        <f>IF(AO$4="","",IF(COUNTIF(設定!$W$6:$W$40,DATE(設定!$C$2,設定!$D$2,13))&gt;0,"假",IF(INDEX(設定!$U$57:$AO$57,(WEEKDAY(DATE(設定!$C$2,設定!$D$2,13),2)-1)*3+1)=0,"休",COUNTIF(AO$6:AO$45,"曜"))))</f>
        <v/>
      </c>
      <c r="AP50" s="76">
        <f>IF(AP$4="","",IF(COUNTIF(設定!$W$6:$W$40,DATE(設定!$C$2,設定!$D$2,13))&gt;0,"假",IF(INDEX(設定!$U$57:$AO$57,(WEEKDAY(DATE(設定!$C$2,設定!$D$2,13),2)-1)*3+2)=0,"休",COUNTIF(AP$6:AP$45,"曜"))))</f>
        <v/>
      </c>
      <c r="AQ50" s="76">
        <f>IF(AQ$4="","",IF(COUNTIF(設定!$W$6:$W$40,DATE(設定!$C$2,設定!$D$2,13))&gt;0,"假",IF(INDEX(設定!$U$57:$AO$57,(WEEKDAY(DATE(設定!$C$2,設定!$D$2,13),2)-1)*3+3)=0,"休",COUNTIF(AQ$6:AQ$45,"曜"))))</f>
        <v/>
      </c>
      <c r="AR50" s="75">
        <f>IF(AR$4="","",IF(COUNTIF(設定!$W$6:$W$40,DATE(設定!$C$2,設定!$D$2,14))&gt;0,"假",IF(INDEX(設定!$U$57:$AO$57,(WEEKDAY(DATE(設定!$C$2,設定!$D$2,14),2)-1)*3+1)=0,"休",COUNTIF(AR$6:AR$45,"曜"))))</f>
        <v/>
      </c>
      <c r="AS50" s="76">
        <f>IF(AS$4="","",IF(COUNTIF(設定!$W$6:$W$40,DATE(設定!$C$2,設定!$D$2,14))&gt;0,"假",IF(INDEX(設定!$U$57:$AO$57,(WEEKDAY(DATE(設定!$C$2,設定!$D$2,14),2)-1)*3+2)=0,"休",COUNTIF(AS$6:AS$45,"曜"))))</f>
        <v/>
      </c>
      <c r="AT50" s="76">
        <f>IF(AT$4="","",IF(COUNTIF(設定!$W$6:$W$40,DATE(設定!$C$2,設定!$D$2,14))&gt;0,"假",IF(INDEX(設定!$U$57:$AO$57,(WEEKDAY(DATE(設定!$C$2,設定!$D$2,14),2)-1)*3+3)=0,"休",COUNTIF(AT$6:AT$45,"曜"))))</f>
        <v/>
      </c>
      <c r="AU50" s="75">
        <f>IF(AU$4="","",IF(COUNTIF(設定!$W$6:$W$40,DATE(設定!$C$2,設定!$D$2,15))&gt;0,"假",IF(INDEX(設定!$U$57:$AO$57,(WEEKDAY(DATE(設定!$C$2,設定!$D$2,15),2)-1)*3+1)=0,"休",COUNTIF(AU$6:AU$45,"曜"))))</f>
        <v/>
      </c>
      <c r="AV50" s="76">
        <f>IF(AV$4="","",IF(COUNTIF(設定!$W$6:$W$40,DATE(設定!$C$2,設定!$D$2,15))&gt;0,"假",IF(INDEX(設定!$U$57:$AO$57,(WEEKDAY(DATE(設定!$C$2,設定!$D$2,15),2)-1)*3+2)=0,"休",COUNTIF(AV$6:AV$45,"曜"))))</f>
        <v/>
      </c>
      <c r="AW50" s="76">
        <f>IF(AW$4="","",IF(COUNTIF(設定!$W$6:$W$40,DATE(設定!$C$2,設定!$D$2,15))&gt;0,"假",IF(INDEX(設定!$U$57:$AO$57,(WEEKDAY(DATE(設定!$C$2,設定!$D$2,15),2)-1)*3+3)=0,"休",COUNTIF(AW$6:AW$45,"曜"))))</f>
        <v/>
      </c>
      <c r="AX50" s="75">
        <f>IF(AX$4="","",IF(COUNTIF(設定!$W$6:$W$40,DATE(設定!$C$2,設定!$D$2,16))&gt;0,"假",IF(INDEX(設定!$U$57:$AO$57,(WEEKDAY(DATE(設定!$C$2,設定!$D$2,16),2)-1)*3+1)=0,"休",COUNTIF(AX$6:AX$45,"曜"))))</f>
        <v/>
      </c>
      <c r="AY50" s="76">
        <f>IF(AY$4="","",IF(COUNTIF(設定!$W$6:$W$40,DATE(設定!$C$2,設定!$D$2,16))&gt;0,"假",IF(INDEX(設定!$U$57:$AO$57,(WEEKDAY(DATE(設定!$C$2,設定!$D$2,16),2)-1)*3+2)=0,"休",COUNTIF(AY$6:AY$45,"曜"))))</f>
        <v/>
      </c>
      <c r="AZ50" s="76">
        <f>IF(AZ$4="","",IF(COUNTIF(設定!$W$6:$W$40,DATE(設定!$C$2,設定!$D$2,16))&gt;0,"假",IF(INDEX(設定!$U$57:$AO$57,(WEEKDAY(DATE(設定!$C$2,設定!$D$2,16),2)-1)*3+3)=0,"休",COUNTIF(AZ$6:AZ$45,"曜"))))</f>
        <v/>
      </c>
      <c r="BA50" s="75">
        <f>IF(BA$4="","",IF(COUNTIF(設定!$W$6:$W$40,DATE(設定!$C$2,設定!$D$2,17))&gt;0,"假",IF(INDEX(設定!$U$57:$AO$57,(WEEKDAY(DATE(設定!$C$2,設定!$D$2,17),2)-1)*3+1)=0,"休",COUNTIF(BA$6:BA$45,"曜"))))</f>
        <v/>
      </c>
      <c r="BB50" s="76">
        <f>IF(BB$4="","",IF(COUNTIF(設定!$W$6:$W$40,DATE(設定!$C$2,設定!$D$2,17))&gt;0,"假",IF(INDEX(設定!$U$57:$AO$57,(WEEKDAY(DATE(設定!$C$2,設定!$D$2,17),2)-1)*3+2)=0,"休",COUNTIF(BB$6:BB$45,"曜"))))</f>
        <v/>
      </c>
      <c r="BC50" s="76">
        <f>IF(BC$4="","",IF(COUNTIF(設定!$W$6:$W$40,DATE(設定!$C$2,設定!$D$2,17))&gt;0,"假",IF(INDEX(設定!$U$57:$AO$57,(WEEKDAY(DATE(設定!$C$2,設定!$D$2,17),2)-1)*3+3)=0,"休",COUNTIF(BC$6:BC$45,"曜"))))</f>
        <v/>
      </c>
      <c r="BD50" s="75">
        <f>IF(BD$4="","",IF(COUNTIF(設定!$W$6:$W$40,DATE(設定!$C$2,設定!$D$2,18))&gt;0,"假",IF(INDEX(設定!$U$57:$AO$57,(WEEKDAY(DATE(設定!$C$2,設定!$D$2,18),2)-1)*3+1)=0,"休",COUNTIF(BD$6:BD$45,"曜"))))</f>
        <v/>
      </c>
      <c r="BE50" s="76">
        <f>IF(BE$4="","",IF(COUNTIF(設定!$W$6:$W$40,DATE(設定!$C$2,設定!$D$2,18))&gt;0,"假",IF(INDEX(設定!$U$57:$AO$57,(WEEKDAY(DATE(設定!$C$2,設定!$D$2,18),2)-1)*3+2)=0,"休",COUNTIF(BE$6:BE$45,"曜"))))</f>
        <v/>
      </c>
      <c r="BF50" s="76">
        <f>IF(BF$4="","",IF(COUNTIF(設定!$W$6:$W$40,DATE(設定!$C$2,設定!$D$2,18))&gt;0,"假",IF(INDEX(設定!$U$57:$AO$57,(WEEKDAY(DATE(設定!$C$2,設定!$D$2,18),2)-1)*3+3)=0,"休",COUNTIF(BF$6:BF$45,"曜"))))</f>
        <v/>
      </c>
      <c r="BG50" s="75">
        <f>IF(BG$4="","",IF(COUNTIF(設定!$W$6:$W$40,DATE(設定!$C$2,設定!$D$2,19))&gt;0,"假",IF(INDEX(設定!$U$57:$AO$57,(WEEKDAY(DATE(設定!$C$2,設定!$D$2,19),2)-1)*3+1)=0,"休",COUNTIF(BG$6:BG$45,"曜"))))</f>
        <v/>
      </c>
      <c r="BH50" s="76">
        <f>IF(BH$4="","",IF(COUNTIF(設定!$W$6:$W$40,DATE(設定!$C$2,設定!$D$2,19))&gt;0,"假",IF(INDEX(設定!$U$57:$AO$57,(WEEKDAY(DATE(設定!$C$2,設定!$D$2,19),2)-1)*3+2)=0,"休",COUNTIF(BH$6:BH$45,"曜"))))</f>
        <v/>
      </c>
      <c r="BI50" s="76">
        <f>IF(BI$4="","",IF(COUNTIF(設定!$W$6:$W$40,DATE(設定!$C$2,設定!$D$2,19))&gt;0,"假",IF(INDEX(設定!$U$57:$AO$57,(WEEKDAY(DATE(設定!$C$2,設定!$D$2,19),2)-1)*3+3)=0,"休",COUNTIF(BI$6:BI$45,"曜"))))</f>
        <v/>
      </c>
      <c r="BJ50" s="75">
        <f>IF(BJ$4="","",IF(COUNTIF(設定!$W$6:$W$40,DATE(設定!$C$2,設定!$D$2,20))&gt;0,"假",IF(INDEX(設定!$U$57:$AO$57,(WEEKDAY(DATE(設定!$C$2,設定!$D$2,20),2)-1)*3+1)=0,"休",COUNTIF(BJ$6:BJ$45,"曜"))))</f>
        <v/>
      </c>
      <c r="BK50" s="76">
        <f>IF(BK$4="","",IF(COUNTIF(設定!$W$6:$W$40,DATE(設定!$C$2,設定!$D$2,20))&gt;0,"假",IF(INDEX(設定!$U$57:$AO$57,(WEEKDAY(DATE(設定!$C$2,設定!$D$2,20),2)-1)*3+2)=0,"休",COUNTIF(BK$6:BK$45,"曜"))))</f>
        <v/>
      </c>
      <c r="BL50" s="76">
        <f>IF(BL$4="","",IF(COUNTIF(設定!$W$6:$W$40,DATE(設定!$C$2,設定!$D$2,20))&gt;0,"假",IF(INDEX(設定!$U$57:$AO$57,(WEEKDAY(DATE(設定!$C$2,設定!$D$2,20),2)-1)*3+3)=0,"休",COUNTIF(BL$6:BL$45,"曜"))))</f>
        <v/>
      </c>
      <c r="BM50" s="75">
        <f>IF(BM$4="","",IF(COUNTIF(設定!$W$6:$W$40,DATE(設定!$C$2,設定!$D$2,21))&gt;0,"假",IF(INDEX(設定!$U$57:$AO$57,(WEEKDAY(DATE(設定!$C$2,設定!$D$2,21),2)-1)*3+1)=0,"休",COUNTIF(BM$6:BM$45,"曜"))))</f>
        <v/>
      </c>
      <c r="BN50" s="76">
        <f>IF(BN$4="","",IF(COUNTIF(設定!$W$6:$W$40,DATE(設定!$C$2,設定!$D$2,21))&gt;0,"假",IF(INDEX(設定!$U$57:$AO$57,(WEEKDAY(DATE(設定!$C$2,設定!$D$2,21),2)-1)*3+2)=0,"休",COUNTIF(BN$6:BN$45,"曜"))))</f>
        <v/>
      </c>
      <c r="BO50" s="76">
        <f>IF(BO$4="","",IF(COUNTIF(設定!$W$6:$W$40,DATE(設定!$C$2,設定!$D$2,21))&gt;0,"假",IF(INDEX(設定!$U$57:$AO$57,(WEEKDAY(DATE(設定!$C$2,設定!$D$2,21),2)-1)*3+3)=0,"休",COUNTIF(BO$6:BO$45,"曜"))))</f>
        <v/>
      </c>
      <c r="BP50" s="75">
        <f>IF(BP$4="","",IF(COUNTIF(設定!$W$6:$W$40,DATE(設定!$C$2,設定!$D$2,22))&gt;0,"假",IF(INDEX(設定!$U$57:$AO$57,(WEEKDAY(DATE(設定!$C$2,設定!$D$2,22),2)-1)*3+1)=0,"休",COUNTIF(BP$6:BP$45,"曜"))))</f>
        <v/>
      </c>
      <c r="BQ50" s="76">
        <f>IF(BQ$4="","",IF(COUNTIF(設定!$W$6:$W$40,DATE(設定!$C$2,設定!$D$2,22))&gt;0,"假",IF(INDEX(設定!$U$57:$AO$57,(WEEKDAY(DATE(設定!$C$2,設定!$D$2,22),2)-1)*3+2)=0,"休",COUNTIF(BQ$6:BQ$45,"曜"))))</f>
        <v/>
      </c>
      <c r="BR50" s="76">
        <f>IF(BR$4="","",IF(COUNTIF(設定!$W$6:$W$40,DATE(設定!$C$2,設定!$D$2,22))&gt;0,"假",IF(INDEX(設定!$U$57:$AO$57,(WEEKDAY(DATE(設定!$C$2,設定!$D$2,22),2)-1)*3+3)=0,"休",COUNTIF(BR$6:BR$45,"曜"))))</f>
        <v/>
      </c>
      <c r="BS50" s="75">
        <f>IF(BS$4="","",IF(COUNTIF(設定!$W$6:$W$40,DATE(設定!$C$2,設定!$D$2,23))&gt;0,"假",IF(INDEX(設定!$U$57:$AO$57,(WEEKDAY(DATE(設定!$C$2,設定!$D$2,23),2)-1)*3+1)=0,"休",COUNTIF(BS$6:BS$45,"曜"))))</f>
        <v/>
      </c>
      <c r="BT50" s="76">
        <f>IF(BT$4="","",IF(COUNTIF(設定!$W$6:$W$40,DATE(設定!$C$2,設定!$D$2,23))&gt;0,"假",IF(INDEX(設定!$U$57:$AO$57,(WEEKDAY(DATE(設定!$C$2,設定!$D$2,23),2)-1)*3+2)=0,"休",COUNTIF(BT$6:BT$45,"曜"))))</f>
        <v/>
      </c>
      <c r="BU50" s="76">
        <f>IF(BU$4="","",IF(COUNTIF(設定!$W$6:$W$40,DATE(設定!$C$2,設定!$D$2,23))&gt;0,"假",IF(INDEX(設定!$U$57:$AO$57,(WEEKDAY(DATE(設定!$C$2,設定!$D$2,23),2)-1)*3+3)=0,"休",COUNTIF(BU$6:BU$45,"曜"))))</f>
        <v/>
      </c>
      <c r="BV50" s="75">
        <f>IF(BV$4="","",IF(COUNTIF(設定!$W$6:$W$40,DATE(設定!$C$2,設定!$D$2,24))&gt;0,"假",IF(INDEX(設定!$U$57:$AO$57,(WEEKDAY(DATE(設定!$C$2,設定!$D$2,24),2)-1)*3+1)=0,"休",COUNTIF(BV$6:BV$45,"曜"))))</f>
        <v/>
      </c>
      <c r="BW50" s="76">
        <f>IF(BW$4="","",IF(COUNTIF(設定!$W$6:$W$40,DATE(設定!$C$2,設定!$D$2,24))&gt;0,"假",IF(INDEX(設定!$U$57:$AO$57,(WEEKDAY(DATE(設定!$C$2,設定!$D$2,24),2)-1)*3+2)=0,"休",COUNTIF(BW$6:BW$45,"曜"))))</f>
        <v/>
      </c>
      <c r="BX50" s="76">
        <f>IF(BX$4="","",IF(COUNTIF(設定!$W$6:$W$40,DATE(設定!$C$2,設定!$D$2,24))&gt;0,"假",IF(INDEX(設定!$U$57:$AO$57,(WEEKDAY(DATE(設定!$C$2,設定!$D$2,24),2)-1)*3+3)=0,"休",COUNTIF(BX$6:BX$45,"曜"))))</f>
        <v/>
      </c>
      <c r="BY50" s="75">
        <f>IF(BY$4="","",IF(COUNTIF(設定!$W$6:$W$40,DATE(設定!$C$2,設定!$D$2,25))&gt;0,"假",IF(INDEX(設定!$U$57:$AO$57,(WEEKDAY(DATE(設定!$C$2,設定!$D$2,25),2)-1)*3+1)=0,"休",COUNTIF(BY$6:BY$45,"曜"))))</f>
        <v/>
      </c>
      <c r="BZ50" s="76">
        <f>IF(BZ$4="","",IF(COUNTIF(設定!$W$6:$W$40,DATE(設定!$C$2,設定!$D$2,25))&gt;0,"假",IF(INDEX(設定!$U$57:$AO$57,(WEEKDAY(DATE(設定!$C$2,設定!$D$2,25),2)-1)*3+2)=0,"休",COUNTIF(BZ$6:BZ$45,"曜"))))</f>
        <v/>
      </c>
      <c r="CA50" s="76">
        <f>IF(CA$4="","",IF(COUNTIF(設定!$W$6:$W$40,DATE(設定!$C$2,設定!$D$2,25))&gt;0,"假",IF(INDEX(設定!$U$57:$AO$57,(WEEKDAY(DATE(設定!$C$2,設定!$D$2,25),2)-1)*3+3)=0,"休",COUNTIF(CA$6:CA$45,"曜"))))</f>
        <v/>
      </c>
      <c r="CB50" s="75">
        <f>IF(CB$4="","",IF(COUNTIF(設定!$W$6:$W$40,DATE(設定!$C$2,設定!$D$2,26))&gt;0,"假",IF(INDEX(設定!$U$57:$AO$57,(WEEKDAY(DATE(設定!$C$2,設定!$D$2,26),2)-1)*3+1)=0,"休",COUNTIF(CB$6:CB$45,"曜"))))</f>
        <v/>
      </c>
      <c r="CC50" s="76">
        <f>IF(CC$4="","",IF(COUNTIF(設定!$W$6:$W$40,DATE(設定!$C$2,設定!$D$2,26))&gt;0,"假",IF(INDEX(設定!$U$57:$AO$57,(WEEKDAY(DATE(設定!$C$2,設定!$D$2,26),2)-1)*3+2)=0,"休",COUNTIF(CC$6:CC$45,"曜"))))</f>
        <v/>
      </c>
      <c r="CD50" s="76">
        <f>IF(CD$4="","",IF(COUNTIF(設定!$W$6:$W$40,DATE(設定!$C$2,設定!$D$2,26))&gt;0,"假",IF(INDEX(設定!$U$57:$AO$57,(WEEKDAY(DATE(設定!$C$2,設定!$D$2,26),2)-1)*3+3)=0,"休",COUNTIF(CD$6:CD$45,"曜"))))</f>
        <v/>
      </c>
      <c r="CE50" s="75">
        <f>IF(CE$4="","",IF(COUNTIF(設定!$W$6:$W$40,DATE(設定!$C$2,設定!$D$2,27))&gt;0,"假",IF(INDEX(設定!$U$57:$AO$57,(WEEKDAY(DATE(設定!$C$2,設定!$D$2,27),2)-1)*3+1)=0,"休",COUNTIF(CE$6:CE$45,"曜"))))</f>
        <v/>
      </c>
      <c r="CF50" s="76">
        <f>IF(CF$4="","",IF(COUNTIF(設定!$W$6:$W$40,DATE(設定!$C$2,設定!$D$2,27))&gt;0,"假",IF(INDEX(設定!$U$57:$AO$57,(WEEKDAY(DATE(設定!$C$2,設定!$D$2,27),2)-1)*3+2)=0,"休",COUNTIF(CF$6:CF$45,"曜"))))</f>
        <v/>
      </c>
      <c r="CG50" s="76">
        <f>IF(CG$4="","",IF(COUNTIF(設定!$W$6:$W$40,DATE(設定!$C$2,設定!$D$2,27))&gt;0,"假",IF(INDEX(設定!$U$57:$AO$57,(WEEKDAY(DATE(設定!$C$2,設定!$D$2,27),2)-1)*3+3)=0,"休",COUNTIF(CG$6:CG$45,"曜"))))</f>
        <v/>
      </c>
      <c r="CH50" s="75">
        <f>IF(CH$4="","",IF(COUNTIF(設定!$W$6:$W$40,DATE(設定!$C$2,設定!$D$2,28))&gt;0,"假",IF(INDEX(設定!$U$57:$AO$57,(WEEKDAY(DATE(設定!$C$2,設定!$D$2,28),2)-1)*3+1)=0,"休",COUNTIF(CH$6:CH$45,"曜"))))</f>
        <v/>
      </c>
      <c r="CI50" s="76">
        <f>IF(CI$4="","",IF(COUNTIF(設定!$W$6:$W$40,DATE(設定!$C$2,設定!$D$2,28))&gt;0,"假",IF(INDEX(設定!$U$57:$AO$57,(WEEKDAY(DATE(設定!$C$2,設定!$D$2,28),2)-1)*3+2)=0,"休",COUNTIF(CI$6:CI$45,"曜"))))</f>
        <v/>
      </c>
      <c r="CJ50" s="76">
        <f>IF(CJ$4="","",IF(COUNTIF(設定!$W$6:$W$40,DATE(設定!$C$2,設定!$D$2,28))&gt;0,"假",IF(INDEX(設定!$U$57:$AO$57,(WEEKDAY(DATE(設定!$C$2,設定!$D$2,28),2)-1)*3+3)=0,"休",COUNTIF(CJ$6:CJ$45,"曜"))))</f>
        <v/>
      </c>
      <c r="CK50" s="75">
        <f>IF(CK$4="","",IF(COUNTIF(設定!$W$6:$W$40,DATE(設定!$C$2,設定!$D$2,29))&gt;0,"假",IF(INDEX(設定!$U$57:$AO$57,(WEEKDAY(DATE(設定!$C$2,設定!$D$2,29),2)-1)*3+1)=0,"休",COUNTIF(CK$6:CK$45,"曜"))))</f>
        <v/>
      </c>
      <c r="CL50" s="76">
        <f>IF(CL$4="","",IF(COUNTIF(設定!$W$6:$W$40,DATE(設定!$C$2,設定!$D$2,29))&gt;0,"假",IF(INDEX(設定!$U$57:$AO$57,(WEEKDAY(DATE(設定!$C$2,設定!$D$2,29),2)-1)*3+2)=0,"休",COUNTIF(CL$6:CL$45,"曜"))))</f>
        <v/>
      </c>
      <c r="CM50" s="76">
        <f>IF(CM$4="","",IF(COUNTIF(設定!$W$6:$W$40,DATE(設定!$C$2,設定!$D$2,29))&gt;0,"假",IF(INDEX(設定!$U$57:$AO$57,(WEEKDAY(DATE(設定!$C$2,設定!$D$2,29),2)-1)*3+3)=0,"休",COUNTIF(CM$6:CM$45,"曜"))))</f>
        <v/>
      </c>
      <c r="CN50" s="75">
        <f>IF(CN$4="","",IF(COUNTIF(設定!$W$6:$W$40,DATE(設定!$C$2,設定!$D$2,30))&gt;0,"假",IF(INDEX(設定!$U$57:$AO$57,(WEEKDAY(DATE(設定!$C$2,設定!$D$2,30),2)-1)*3+1)=0,"休",COUNTIF(CN$6:CN$45,"曜"))))</f>
        <v/>
      </c>
      <c r="CO50" s="76">
        <f>IF(CO$4="","",IF(COUNTIF(設定!$W$6:$W$40,DATE(設定!$C$2,設定!$D$2,30))&gt;0,"假",IF(INDEX(設定!$U$57:$AO$57,(WEEKDAY(DATE(設定!$C$2,設定!$D$2,30),2)-1)*3+2)=0,"休",COUNTIF(CO$6:CO$45,"曜"))))</f>
        <v/>
      </c>
      <c r="CP50" s="76">
        <f>IF(CP$4="","",IF(COUNTIF(設定!$W$6:$W$40,DATE(設定!$C$2,設定!$D$2,30))&gt;0,"假",IF(INDEX(設定!$U$57:$AO$57,(WEEKDAY(DATE(設定!$C$2,設定!$D$2,30),2)-1)*3+3)=0,"休",COUNTIF(CP$6:CP$45,"曜"))))</f>
        <v/>
      </c>
      <c r="CQ50" s="75">
        <f>IF(CQ$4="","",IF(COUNTIF(設定!$W$6:$W$40,DATE(設定!$C$2,設定!$D$2,31))&gt;0,"假",IF(INDEX(設定!$U$57:$AO$57,(WEEKDAY(DATE(設定!$C$2,設定!$D$2,31),2)-1)*3+1)=0,"休",COUNTIF(CQ$6:CQ$45,"曜"))))</f>
        <v/>
      </c>
      <c r="CR50" s="76">
        <f>IF(CR$4="","",IF(COUNTIF(設定!$W$6:$W$40,DATE(設定!$C$2,設定!$D$2,31))&gt;0,"假",IF(INDEX(設定!$U$57:$AO$57,(WEEKDAY(DATE(設定!$C$2,設定!$D$2,31),2)-1)*3+2)=0,"休",COUNTIF(CR$6:CR$45,"曜"))))</f>
        <v/>
      </c>
      <c r="CS50" s="76">
        <f>IF(CS$4="","",IF(COUNTIF(設定!$W$6:$W$40,DATE(設定!$C$2,設定!$D$2,31))&gt;0,"假",IF(INDEX(設定!$U$57:$AO$57,(WEEKDAY(DATE(設定!$C$2,設定!$D$2,31),2)-1)*3+3)=0,"休",COUNTIF(CS$6:CS$45,"曜"))))</f>
        <v/>
      </c>
    </row>
    <row r="51">
      <c r="A51" s="80" t="inlineStr">
        <is>
          <t>寶 寶貝牙</t>
        </is>
      </c>
      <c r="B51" s="8" t="n"/>
      <c r="C51" s="8" t="n"/>
      <c r="D51" s="9" t="n"/>
      <c r="E51" s="75">
        <f>IF(E$4="","",IF(COUNTIF(設定!$W$6:$W$40,DATE(設定!$C$2,設定!$D$2,1))&gt;0,"假",IF(INDEX(設定!$U$58:$AO$58,(WEEKDAY(DATE(設定!$C$2,設定!$D$2,1),2)-1)*3+1)=0,"休",COUNTIF(E$6:E$45,"寶"))))</f>
        <v/>
      </c>
      <c r="F51" s="76">
        <f>IF(F$4="","",IF(COUNTIF(設定!$W$6:$W$40,DATE(設定!$C$2,設定!$D$2,1))&gt;0,"假",IF(INDEX(設定!$U$58:$AO$58,(WEEKDAY(DATE(設定!$C$2,設定!$D$2,1),2)-1)*3+2)=0,"休",COUNTIF(F$6:F$45,"寶"))))</f>
        <v/>
      </c>
      <c r="G51" s="76">
        <f>IF(G$4="","",IF(COUNTIF(設定!$W$6:$W$40,DATE(設定!$C$2,設定!$D$2,1))&gt;0,"假",IF(INDEX(設定!$U$58:$AO$58,(WEEKDAY(DATE(設定!$C$2,設定!$D$2,1),2)-1)*3+3)=0,"休",COUNTIF(G$6:G$45,"寶"))))</f>
        <v/>
      </c>
      <c r="H51" s="75">
        <f>IF(H$4="","",IF(COUNTIF(設定!$W$6:$W$40,DATE(設定!$C$2,設定!$D$2,2))&gt;0,"假",IF(INDEX(設定!$U$58:$AO$58,(WEEKDAY(DATE(設定!$C$2,設定!$D$2,2),2)-1)*3+1)=0,"休",COUNTIF(H$6:H$45,"寶"))))</f>
        <v/>
      </c>
      <c r="I51" s="76">
        <f>IF(I$4="","",IF(COUNTIF(設定!$W$6:$W$40,DATE(設定!$C$2,設定!$D$2,2))&gt;0,"假",IF(INDEX(設定!$U$58:$AO$58,(WEEKDAY(DATE(設定!$C$2,設定!$D$2,2),2)-1)*3+2)=0,"休",COUNTIF(I$6:I$45,"寶"))))</f>
        <v/>
      </c>
      <c r="J51" s="76">
        <f>IF(J$4="","",IF(COUNTIF(設定!$W$6:$W$40,DATE(設定!$C$2,設定!$D$2,2))&gt;0,"假",IF(INDEX(設定!$U$58:$AO$58,(WEEKDAY(DATE(設定!$C$2,設定!$D$2,2),2)-1)*3+3)=0,"休",COUNTIF(J$6:J$45,"寶"))))</f>
        <v/>
      </c>
      <c r="K51" s="75">
        <f>IF(K$4="","",IF(COUNTIF(設定!$W$6:$W$40,DATE(設定!$C$2,設定!$D$2,3))&gt;0,"假",IF(INDEX(設定!$U$58:$AO$58,(WEEKDAY(DATE(設定!$C$2,設定!$D$2,3),2)-1)*3+1)=0,"休",COUNTIF(K$6:K$45,"寶"))))</f>
        <v/>
      </c>
      <c r="L51" s="76">
        <f>IF(L$4="","",IF(COUNTIF(設定!$W$6:$W$40,DATE(設定!$C$2,設定!$D$2,3))&gt;0,"假",IF(INDEX(設定!$U$58:$AO$58,(WEEKDAY(DATE(設定!$C$2,設定!$D$2,3),2)-1)*3+2)=0,"休",COUNTIF(L$6:L$45,"寶"))))</f>
        <v/>
      </c>
      <c r="M51" s="76">
        <f>IF(M$4="","",IF(COUNTIF(設定!$W$6:$W$40,DATE(設定!$C$2,設定!$D$2,3))&gt;0,"假",IF(INDEX(設定!$U$58:$AO$58,(WEEKDAY(DATE(設定!$C$2,設定!$D$2,3),2)-1)*3+3)=0,"休",COUNTIF(M$6:M$45,"寶"))))</f>
        <v/>
      </c>
      <c r="N51" s="75">
        <f>IF(N$4="","",IF(COUNTIF(設定!$W$6:$W$40,DATE(設定!$C$2,設定!$D$2,4))&gt;0,"假",IF(INDEX(設定!$U$58:$AO$58,(WEEKDAY(DATE(設定!$C$2,設定!$D$2,4),2)-1)*3+1)=0,"休",COUNTIF(N$6:N$45,"寶"))))</f>
        <v/>
      </c>
      <c r="O51" s="76">
        <f>IF(O$4="","",IF(COUNTIF(設定!$W$6:$W$40,DATE(設定!$C$2,設定!$D$2,4))&gt;0,"假",IF(INDEX(設定!$U$58:$AO$58,(WEEKDAY(DATE(設定!$C$2,設定!$D$2,4),2)-1)*3+2)=0,"休",COUNTIF(O$6:O$45,"寶"))))</f>
        <v/>
      </c>
      <c r="P51" s="76">
        <f>IF(P$4="","",IF(COUNTIF(設定!$W$6:$W$40,DATE(設定!$C$2,設定!$D$2,4))&gt;0,"假",IF(INDEX(設定!$U$58:$AO$58,(WEEKDAY(DATE(設定!$C$2,設定!$D$2,4),2)-1)*3+3)=0,"休",COUNTIF(P$6:P$45,"寶"))))</f>
        <v/>
      </c>
      <c r="Q51" s="75">
        <f>IF(Q$4="","",IF(COUNTIF(設定!$W$6:$W$40,DATE(設定!$C$2,設定!$D$2,5))&gt;0,"假",IF(INDEX(設定!$U$58:$AO$58,(WEEKDAY(DATE(設定!$C$2,設定!$D$2,5),2)-1)*3+1)=0,"休",COUNTIF(Q$6:Q$45,"寶"))))</f>
        <v/>
      </c>
      <c r="R51" s="76">
        <f>IF(R$4="","",IF(COUNTIF(設定!$W$6:$W$40,DATE(設定!$C$2,設定!$D$2,5))&gt;0,"假",IF(INDEX(設定!$U$58:$AO$58,(WEEKDAY(DATE(設定!$C$2,設定!$D$2,5),2)-1)*3+2)=0,"休",COUNTIF(R$6:R$45,"寶"))))</f>
        <v/>
      </c>
      <c r="S51" s="76">
        <f>IF(S$4="","",IF(COUNTIF(設定!$W$6:$W$40,DATE(設定!$C$2,設定!$D$2,5))&gt;0,"假",IF(INDEX(設定!$U$58:$AO$58,(WEEKDAY(DATE(設定!$C$2,設定!$D$2,5),2)-1)*3+3)=0,"休",COUNTIF(S$6:S$45,"寶"))))</f>
        <v/>
      </c>
      <c r="T51" s="75">
        <f>IF(T$4="","",IF(COUNTIF(設定!$W$6:$W$40,DATE(設定!$C$2,設定!$D$2,6))&gt;0,"假",IF(INDEX(設定!$U$58:$AO$58,(WEEKDAY(DATE(設定!$C$2,設定!$D$2,6),2)-1)*3+1)=0,"休",COUNTIF(T$6:T$45,"寶"))))</f>
        <v/>
      </c>
      <c r="U51" s="76">
        <f>IF(U$4="","",IF(COUNTIF(設定!$W$6:$W$40,DATE(設定!$C$2,設定!$D$2,6))&gt;0,"假",IF(INDEX(設定!$U$58:$AO$58,(WEEKDAY(DATE(設定!$C$2,設定!$D$2,6),2)-1)*3+2)=0,"休",COUNTIF(U$6:U$45,"寶"))))</f>
        <v/>
      </c>
      <c r="V51" s="76">
        <f>IF(V$4="","",IF(COUNTIF(設定!$W$6:$W$40,DATE(設定!$C$2,設定!$D$2,6))&gt;0,"假",IF(INDEX(設定!$U$58:$AO$58,(WEEKDAY(DATE(設定!$C$2,設定!$D$2,6),2)-1)*3+3)=0,"休",COUNTIF(V$6:V$45,"寶"))))</f>
        <v/>
      </c>
      <c r="W51" s="75">
        <f>IF(W$4="","",IF(COUNTIF(設定!$W$6:$W$40,DATE(設定!$C$2,設定!$D$2,7))&gt;0,"假",IF(INDEX(設定!$U$58:$AO$58,(WEEKDAY(DATE(設定!$C$2,設定!$D$2,7),2)-1)*3+1)=0,"休",COUNTIF(W$6:W$45,"寶"))))</f>
        <v/>
      </c>
      <c r="X51" s="76">
        <f>IF(X$4="","",IF(COUNTIF(設定!$W$6:$W$40,DATE(設定!$C$2,設定!$D$2,7))&gt;0,"假",IF(INDEX(設定!$U$58:$AO$58,(WEEKDAY(DATE(設定!$C$2,設定!$D$2,7),2)-1)*3+2)=0,"休",COUNTIF(X$6:X$45,"寶"))))</f>
        <v/>
      </c>
      <c r="Y51" s="76">
        <f>IF(Y$4="","",IF(COUNTIF(設定!$W$6:$W$40,DATE(設定!$C$2,設定!$D$2,7))&gt;0,"假",IF(INDEX(設定!$U$58:$AO$58,(WEEKDAY(DATE(設定!$C$2,設定!$D$2,7),2)-1)*3+3)=0,"休",COUNTIF(Y$6:Y$45,"寶"))))</f>
        <v/>
      </c>
      <c r="Z51" s="75">
        <f>IF(Z$4="","",IF(COUNTIF(設定!$W$6:$W$40,DATE(設定!$C$2,設定!$D$2,8))&gt;0,"假",IF(INDEX(設定!$U$58:$AO$58,(WEEKDAY(DATE(設定!$C$2,設定!$D$2,8),2)-1)*3+1)=0,"休",COUNTIF(Z$6:Z$45,"寶"))))</f>
        <v/>
      </c>
      <c r="AA51" s="76">
        <f>IF(AA$4="","",IF(COUNTIF(設定!$W$6:$W$40,DATE(設定!$C$2,設定!$D$2,8))&gt;0,"假",IF(INDEX(設定!$U$58:$AO$58,(WEEKDAY(DATE(設定!$C$2,設定!$D$2,8),2)-1)*3+2)=0,"休",COUNTIF(AA$6:AA$45,"寶"))))</f>
        <v/>
      </c>
      <c r="AB51" s="76">
        <f>IF(AB$4="","",IF(COUNTIF(設定!$W$6:$W$40,DATE(設定!$C$2,設定!$D$2,8))&gt;0,"假",IF(INDEX(設定!$U$58:$AO$58,(WEEKDAY(DATE(設定!$C$2,設定!$D$2,8),2)-1)*3+3)=0,"休",COUNTIF(AB$6:AB$45,"寶"))))</f>
        <v/>
      </c>
      <c r="AC51" s="75">
        <f>IF(AC$4="","",IF(COUNTIF(設定!$W$6:$W$40,DATE(設定!$C$2,設定!$D$2,9))&gt;0,"假",IF(INDEX(設定!$U$58:$AO$58,(WEEKDAY(DATE(設定!$C$2,設定!$D$2,9),2)-1)*3+1)=0,"休",COUNTIF(AC$6:AC$45,"寶"))))</f>
        <v/>
      </c>
      <c r="AD51" s="76">
        <f>IF(AD$4="","",IF(COUNTIF(設定!$W$6:$W$40,DATE(設定!$C$2,設定!$D$2,9))&gt;0,"假",IF(INDEX(設定!$U$58:$AO$58,(WEEKDAY(DATE(設定!$C$2,設定!$D$2,9),2)-1)*3+2)=0,"休",COUNTIF(AD$6:AD$45,"寶"))))</f>
        <v/>
      </c>
      <c r="AE51" s="76">
        <f>IF(AE$4="","",IF(COUNTIF(設定!$W$6:$W$40,DATE(設定!$C$2,設定!$D$2,9))&gt;0,"假",IF(INDEX(設定!$U$58:$AO$58,(WEEKDAY(DATE(設定!$C$2,設定!$D$2,9),2)-1)*3+3)=0,"休",COUNTIF(AE$6:AE$45,"寶"))))</f>
        <v/>
      </c>
      <c r="AF51" s="75">
        <f>IF(AF$4="","",IF(COUNTIF(設定!$W$6:$W$40,DATE(設定!$C$2,設定!$D$2,10))&gt;0,"假",IF(INDEX(設定!$U$58:$AO$58,(WEEKDAY(DATE(設定!$C$2,設定!$D$2,10),2)-1)*3+1)=0,"休",COUNTIF(AF$6:AF$45,"寶"))))</f>
        <v/>
      </c>
      <c r="AG51" s="76">
        <f>IF(AG$4="","",IF(COUNTIF(設定!$W$6:$W$40,DATE(設定!$C$2,設定!$D$2,10))&gt;0,"假",IF(INDEX(設定!$U$58:$AO$58,(WEEKDAY(DATE(設定!$C$2,設定!$D$2,10),2)-1)*3+2)=0,"休",COUNTIF(AG$6:AG$45,"寶"))))</f>
        <v/>
      </c>
      <c r="AH51" s="76">
        <f>IF(AH$4="","",IF(COUNTIF(設定!$W$6:$W$40,DATE(設定!$C$2,設定!$D$2,10))&gt;0,"假",IF(INDEX(設定!$U$58:$AO$58,(WEEKDAY(DATE(設定!$C$2,設定!$D$2,10),2)-1)*3+3)=0,"休",COUNTIF(AH$6:AH$45,"寶"))))</f>
        <v/>
      </c>
      <c r="AI51" s="75">
        <f>IF(AI$4="","",IF(COUNTIF(設定!$W$6:$W$40,DATE(設定!$C$2,設定!$D$2,11))&gt;0,"假",IF(INDEX(設定!$U$58:$AO$58,(WEEKDAY(DATE(設定!$C$2,設定!$D$2,11),2)-1)*3+1)=0,"休",COUNTIF(AI$6:AI$45,"寶"))))</f>
        <v/>
      </c>
      <c r="AJ51" s="76">
        <f>IF(AJ$4="","",IF(COUNTIF(設定!$W$6:$W$40,DATE(設定!$C$2,設定!$D$2,11))&gt;0,"假",IF(INDEX(設定!$U$58:$AO$58,(WEEKDAY(DATE(設定!$C$2,設定!$D$2,11),2)-1)*3+2)=0,"休",COUNTIF(AJ$6:AJ$45,"寶"))))</f>
        <v/>
      </c>
      <c r="AK51" s="76">
        <f>IF(AK$4="","",IF(COUNTIF(設定!$W$6:$W$40,DATE(設定!$C$2,設定!$D$2,11))&gt;0,"假",IF(INDEX(設定!$U$58:$AO$58,(WEEKDAY(DATE(設定!$C$2,設定!$D$2,11),2)-1)*3+3)=0,"休",COUNTIF(AK$6:AK$45,"寶"))))</f>
        <v/>
      </c>
      <c r="AL51" s="75">
        <f>IF(AL$4="","",IF(COUNTIF(設定!$W$6:$W$40,DATE(設定!$C$2,設定!$D$2,12))&gt;0,"假",IF(INDEX(設定!$U$58:$AO$58,(WEEKDAY(DATE(設定!$C$2,設定!$D$2,12),2)-1)*3+1)=0,"休",COUNTIF(AL$6:AL$45,"寶"))))</f>
        <v/>
      </c>
      <c r="AM51" s="76">
        <f>IF(AM$4="","",IF(COUNTIF(設定!$W$6:$W$40,DATE(設定!$C$2,設定!$D$2,12))&gt;0,"假",IF(INDEX(設定!$U$58:$AO$58,(WEEKDAY(DATE(設定!$C$2,設定!$D$2,12),2)-1)*3+2)=0,"休",COUNTIF(AM$6:AM$45,"寶"))))</f>
        <v/>
      </c>
      <c r="AN51" s="76">
        <f>IF(AN$4="","",IF(COUNTIF(設定!$W$6:$W$40,DATE(設定!$C$2,設定!$D$2,12))&gt;0,"假",IF(INDEX(設定!$U$58:$AO$58,(WEEKDAY(DATE(設定!$C$2,設定!$D$2,12),2)-1)*3+3)=0,"休",COUNTIF(AN$6:AN$45,"寶"))))</f>
        <v/>
      </c>
      <c r="AO51" s="75">
        <f>IF(AO$4="","",IF(COUNTIF(設定!$W$6:$W$40,DATE(設定!$C$2,設定!$D$2,13))&gt;0,"假",IF(INDEX(設定!$U$58:$AO$58,(WEEKDAY(DATE(設定!$C$2,設定!$D$2,13),2)-1)*3+1)=0,"休",COUNTIF(AO$6:AO$45,"寶"))))</f>
        <v/>
      </c>
      <c r="AP51" s="76">
        <f>IF(AP$4="","",IF(COUNTIF(設定!$W$6:$W$40,DATE(設定!$C$2,設定!$D$2,13))&gt;0,"假",IF(INDEX(設定!$U$58:$AO$58,(WEEKDAY(DATE(設定!$C$2,設定!$D$2,13),2)-1)*3+2)=0,"休",COUNTIF(AP$6:AP$45,"寶"))))</f>
        <v/>
      </c>
      <c r="AQ51" s="76">
        <f>IF(AQ$4="","",IF(COUNTIF(設定!$W$6:$W$40,DATE(設定!$C$2,設定!$D$2,13))&gt;0,"假",IF(INDEX(設定!$U$58:$AO$58,(WEEKDAY(DATE(設定!$C$2,設定!$D$2,13),2)-1)*3+3)=0,"休",COUNTIF(AQ$6:AQ$45,"寶"))))</f>
        <v/>
      </c>
      <c r="AR51" s="75">
        <f>IF(AR$4="","",IF(COUNTIF(設定!$W$6:$W$40,DATE(設定!$C$2,設定!$D$2,14))&gt;0,"假",IF(INDEX(設定!$U$58:$AO$58,(WEEKDAY(DATE(設定!$C$2,設定!$D$2,14),2)-1)*3+1)=0,"休",COUNTIF(AR$6:AR$45,"寶"))))</f>
        <v/>
      </c>
      <c r="AS51" s="76">
        <f>IF(AS$4="","",IF(COUNTIF(設定!$W$6:$W$40,DATE(設定!$C$2,設定!$D$2,14))&gt;0,"假",IF(INDEX(設定!$U$58:$AO$58,(WEEKDAY(DATE(設定!$C$2,設定!$D$2,14),2)-1)*3+2)=0,"休",COUNTIF(AS$6:AS$45,"寶"))))</f>
        <v/>
      </c>
      <c r="AT51" s="76">
        <f>IF(AT$4="","",IF(COUNTIF(設定!$W$6:$W$40,DATE(設定!$C$2,設定!$D$2,14))&gt;0,"假",IF(INDEX(設定!$U$58:$AO$58,(WEEKDAY(DATE(設定!$C$2,設定!$D$2,14),2)-1)*3+3)=0,"休",COUNTIF(AT$6:AT$45,"寶"))))</f>
        <v/>
      </c>
      <c r="AU51" s="75">
        <f>IF(AU$4="","",IF(COUNTIF(設定!$W$6:$W$40,DATE(設定!$C$2,設定!$D$2,15))&gt;0,"假",IF(INDEX(設定!$U$58:$AO$58,(WEEKDAY(DATE(設定!$C$2,設定!$D$2,15),2)-1)*3+1)=0,"休",COUNTIF(AU$6:AU$45,"寶"))))</f>
        <v/>
      </c>
      <c r="AV51" s="76">
        <f>IF(AV$4="","",IF(COUNTIF(設定!$W$6:$W$40,DATE(設定!$C$2,設定!$D$2,15))&gt;0,"假",IF(INDEX(設定!$U$58:$AO$58,(WEEKDAY(DATE(設定!$C$2,設定!$D$2,15),2)-1)*3+2)=0,"休",COUNTIF(AV$6:AV$45,"寶"))))</f>
        <v/>
      </c>
      <c r="AW51" s="76">
        <f>IF(AW$4="","",IF(COUNTIF(設定!$W$6:$W$40,DATE(設定!$C$2,設定!$D$2,15))&gt;0,"假",IF(INDEX(設定!$U$58:$AO$58,(WEEKDAY(DATE(設定!$C$2,設定!$D$2,15),2)-1)*3+3)=0,"休",COUNTIF(AW$6:AW$45,"寶"))))</f>
        <v/>
      </c>
      <c r="AX51" s="75">
        <f>IF(AX$4="","",IF(COUNTIF(設定!$W$6:$W$40,DATE(設定!$C$2,設定!$D$2,16))&gt;0,"假",IF(INDEX(設定!$U$58:$AO$58,(WEEKDAY(DATE(設定!$C$2,設定!$D$2,16),2)-1)*3+1)=0,"休",COUNTIF(AX$6:AX$45,"寶"))))</f>
        <v/>
      </c>
      <c r="AY51" s="76">
        <f>IF(AY$4="","",IF(COUNTIF(設定!$W$6:$W$40,DATE(設定!$C$2,設定!$D$2,16))&gt;0,"假",IF(INDEX(設定!$U$58:$AO$58,(WEEKDAY(DATE(設定!$C$2,設定!$D$2,16),2)-1)*3+2)=0,"休",COUNTIF(AY$6:AY$45,"寶"))))</f>
        <v/>
      </c>
      <c r="AZ51" s="76">
        <f>IF(AZ$4="","",IF(COUNTIF(設定!$W$6:$W$40,DATE(設定!$C$2,設定!$D$2,16))&gt;0,"假",IF(INDEX(設定!$U$58:$AO$58,(WEEKDAY(DATE(設定!$C$2,設定!$D$2,16),2)-1)*3+3)=0,"休",COUNTIF(AZ$6:AZ$45,"寶"))))</f>
        <v/>
      </c>
      <c r="BA51" s="75">
        <f>IF(BA$4="","",IF(COUNTIF(設定!$W$6:$W$40,DATE(設定!$C$2,設定!$D$2,17))&gt;0,"假",IF(INDEX(設定!$U$58:$AO$58,(WEEKDAY(DATE(設定!$C$2,設定!$D$2,17),2)-1)*3+1)=0,"休",COUNTIF(BA$6:BA$45,"寶"))))</f>
        <v/>
      </c>
      <c r="BB51" s="76">
        <f>IF(BB$4="","",IF(COUNTIF(設定!$W$6:$W$40,DATE(設定!$C$2,設定!$D$2,17))&gt;0,"假",IF(INDEX(設定!$U$58:$AO$58,(WEEKDAY(DATE(設定!$C$2,設定!$D$2,17),2)-1)*3+2)=0,"休",COUNTIF(BB$6:BB$45,"寶"))))</f>
        <v/>
      </c>
      <c r="BC51" s="76">
        <f>IF(BC$4="","",IF(COUNTIF(設定!$W$6:$W$40,DATE(設定!$C$2,設定!$D$2,17))&gt;0,"假",IF(INDEX(設定!$U$58:$AO$58,(WEEKDAY(DATE(設定!$C$2,設定!$D$2,17),2)-1)*3+3)=0,"休",COUNTIF(BC$6:BC$45,"寶"))))</f>
        <v/>
      </c>
      <c r="BD51" s="75">
        <f>IF(BD$4="","",IF(COUNTIF(設定!$W$6:$W$40,DATE(設定!$C$2,設定!$D$2,18))&gt;0,"假",IF(INDEX(設定!$U$58:$AO$58,(WEEKDAY(DATE(設定!$C$2,設定!$D$2,18),2)-1)*3+1)=0,"休",COUNTIF(BD$6:BD$45,"寶"))))</f>
        <v/>
      </c>
      <c r="BE51" s="76">
        <f>IF(BE$4="","",IF(COUNTIF(設定!$W$6:$W$40,DATE(設定!$C$2,設定!$D$2,18))&gt;0,"假",IF(INDEX(設定!$U$58:$AO$58,(WEEKDAY(DATE(設定!$C$2,設定!$D$2,18),2)-1)*3+2)=0,"休",COUNTIF(BE$6:BE$45,"寶"))))</f>
        <v/>
      </c>
      <c r="BF51" s="76">
        <f>IF(BF$4="","",IF(COUNTIF(設定!$W$6:$W$40,DATE(設定!$C$2,設定!$D$2,18))&gt;0,"假",IF(INDEX(設定!$U$58:$AO$58,(WEEKDAY(DATE(設定!$C$2,設定!$D$2,18),2)-1)*3+3)=0,"休",COUNTIF(BF$6:BF$45,"寶"))))</f>
        <v/>
      </c>
      <c r="BG51" s="75">
        <f>IF(BG$4="","",IF(COUNTIF(設定!$W$6:$W$40,DATE(設定!$C$2,設定!$D$2,19))&gt;0,"假",IF(INDEX(設定!$U$58:$AO$58,(WEEKDAY(DATE(設定!$C$2,設定!$D$2,19),2)-1)*3+1)=0,"休",COUNTIF(BG$6:BG$45,"寶"))))</f>
        <v/>
      </c>
      <c r="BH51" s="76">
        <f>IF(BH$4="","",IF(COUNTIF(設定!$W$6:$W$40,DATE(設定!$C$2,設定!$D$2,19))&gt;0,"假",IF(INDEX(設定!$U$58:$AO$58,(WEEKDAY(DATE(設定!$C$2,設定!$D$2,19),2)-1)*3+2)=0,"休",COUNTIF(BH$6:BH$45,"寶"))))</f>
        <v/>
      </c>
      <c r="BI51" s="76">
        <f>IF(BI$4="","",IF(COUNTIF(設定!$W$6:$W$40,DATE(設定!$C$2,設定!$D$2,19))&gt;0,"假",IF(INDEX(設定!$U$58:$AO$58,(WEEKDAY(DATE(設定!$C$2,設定!$D$2,19),2)-1)*3+3)=0,"休",COUNTIF(BI$6:BI$45,"寶"))))</f>
        <v/>
      </c>
      <c r="BJ51" s="75">
        <f>IF(BJ$4="","",IF(COUNTIF(設定!$W$6:$W$40,DATE(設定!$C$2,設定!$D$2,20))&gt;0,"假",IF(INDEX(設定!$U$58:$AO$58,(WEEKDAY(DATE(設定!$C$2,設定!$D$2,20),2)-1)*3+1)=0,"休",COUNTIF(BJ$6:BJ$45,"寶"))))</f>
        <v/>
      </c>
      <c r="BK51" s="76">
        <f>IF(BK$4="","",IF(COUNTIF(設定!$W$6:$W$40,DATE(設定!$C$2,設定!$D$2,20))&gt;0,"假",IF(INDEX(設定!$U$58:$AO$58,(WEEKDAY(DATE(設定!$C$2,設定!$D$2,20),2)-1)*3+2)=0,"休",COUNTIF(BK$6:BK$45,"寶"))))</f>
        <v/>
      </c>
      <c r="BL51" s="76">
        <f>IF(BL$4="","",IF(COUNTIF(設定!$W$6:$W$40,DATE(設定!$C$2,設定!$D$2,20))&gt;0,"假",IF(INDEX(設定!$U$58:$AO$58,(WEEKDAY(DATE(設定!$C$2,設定!$D$2,20),2)-1)*3+3)=0,"休",COUNTIF(BL$6:BL$45,"寶"))))</f>
        <v/>
      </c>
      <c r="BM51" s="75">
        <f>IF(BM$4="","",IF(COUNTIF(設定!$W$6:$W$40,DATE(設定!$C$2,設定!$D$2,21))&gt;0,"假",IF(INDEX(設定!$U$58:$AO$58,(WEEKDAY(DATE(設定!$C$2,設定!$D$2,21),2)-1)*3+1)=0,"休",COUNTIF(BM$6:BM$45,"寶"))))</f>
        <v/>
      </c>
      <c r="BN51" s="76">
        <f>IF(BN$4="","",IF(COUNTIF(設定!$W$6:$W$40,DATE(設定!$C$2,設定!$D$2,21))&gt;0,"假",IF(INDEX(設定!$U$58:$AO$58,(WEEKDAY(DATE(設定!$C$2,設定!$D$2,21),2)-1)*3+2)=0,"休",COUNTIF(BN$6:BN$45,"寶"))))</f>
        <v/>
      </c>
      <c r="BO51" s="76">
        <f>IF(BO$4="","",IF(COUNTIF(設定!$W$6:$W$40,DATE(設定!$C$2,設定!$D$2,21))&gt;0,"假",IF(INDEX(設定!$U$58:$AO$58,(WEEKDAY(DATE(設定!$C$2,設定!$D$2,21),2)-1)*3+3)=0,"休",COUNTIF(BO$6:BO$45,"寶"))))</f>
        <v/>
      </c>
      <c r="BP51" s="75">
        <f>IF(BP$4="","",IF(COUNTIF(設定!$W$6:$W$40,DATE(設定!$C$2,設定!$D$2,22))&gt;0,"假",IF(INDEX(設定!$U$58:$AO$58,(WEEKDAY(DATE(設定!$C$2,設定!$D$2,22),2)-1)*3+1)=0,"休",COUNTIF(BP$6:BP$45,"寶"))))</f>
        <v/>
      </c>
      <c r="BQ51" s="76">
        <f>IF(BQ$4="","",IF(COUNTIF(設定!$W$6:$W$40,DATE(設定!$C$2,設定!$D$2,22))&gt;0,"假",IF(INDEX(設定!$U$58:$AO$58,(WEEKDAY(DATE(設定!$C$2,設定!$D$2,22),2)-1)*3+2)=0,"休",COUNTIF(BQ$6:BQ$45,"寶"))))</f>
        <v/>
      </c>
      <c r="BR51" s="76">
        <f>IF(BR$4="","",IF(COUNTIF(設定!$W$6:$W$40,DATE(設定!$C$2,設定!$D$2,22))&gt;0,"假",IF(INDEX(設定!$U$58:$AO$58,(WEEKDAY(DATE(設定!$C$2,設定!$D$2,22),2)-1)*3+3)=0,"休",COUNTIF(BR$6:BR$45,"寶"))))</f>
        <v/>
      </c>
      <c r="BS51" s="75">
        <f>IF(BS$4="","",IF(COUNTIF(設定!$W$6:$W$40,DATE(設定!$C$2,設定!$D$2,23))&gt;0,"假",IF(INDEX(設定!$U$58:$AO$58,(WEEKDAY(DATE(設定!$C$2,設定!$D$2,23),2)-1)*3+1)=0,"休",COUNTIF(BS$6:BS$45,"寶"))))</f>
        <v/>
      </c>
      <c r="BT51" s="76">
        <f>IF(BT$4="","",IF(COUNTIF(設定!$W$6:$W$40,DATE(設定!$C$2,設定!$D$2,23))&gt;0,"假",IF(INDEX(設定!$U$58:$AO$58,(WEEKDAY(DATE(設定!$C$2,設定!$D$2,23),2)-1)*3+2)=0,"休",COUNTIF(BT$6:BT$45,"寶"))))</f>
        <v/>
      </c>
      <c r="BU51" s="76">
        <f>IF(BU$4="","",IF(COUNTIF(設定!$W$6:$W$40,DATE(設定!$C$2,設定!$D$2,23))&gt;0,"假",IF(INDEX(設定!$U$58:$AO$58,(WEEKDAY(DATE(設定!$C$2,設定!$D$2,23),2)-1)*3+3)=0,"休",COUNTIF(BU$6:BU$45,"寶"))))</f>
        <v/>
      </c>
      <c r="BV51" s="75">
        <f>IF(BV$4="","",IF(COUNTIF(設定!$W$6:$W$40,DATE(設定!$C$2,設定!$D$2,24))&gt;0,"假",IF(INDEX(設定!$U$58:$AO$58,(WEEKDAY(DATE(設定!$C$2,設定!$D$2,24),2)-1)*3+1)=0,"休",COUNTIF(BV$6:BV$45,"寶"))))</f>
        <v/>
      </c>
      <c r="BW51" s="76">
        <f>IF(BW$4="","",IF(COUNTIF(設定!$W$6:$W$40,DATE(設定!$C$2,設定!$D$2,24))&gt;0,"假",IF(INDEX(設定!$U$58:$AO$58,(WEEKDAY(DATE(設定!$C$2,設定!$D$2,24),2)-1)*3+2)=0,"休",COUNTIF(BW$6:BW$45,"寶"))))</f>
        <v/>
      </c>
      <c r="BX51" s="76">
        <f>IF(BX$4="","",IF(COUNTIF(設定!$W$6:$W$40,DATE(設定!$C$2,設定!$D$2,24))&gt;0,"假",IF(INDEX(設定!$U$58:$AO$58,(WEEKDAY(DATE(設定!$C$2,設定!$D$2,24),2)-1)*3+3)=0,"休",COUNTIF(BX$6:BX$45,"寶"))))</f>
        <v/>
      </c>
      <c r="BY51" s="75">
        <f>IF(BY$4="","",IF(COUNTIF(設定!$W$6:$W$40,DATE(設定!$C$2,設定!$D$2,25))&gt;0,"假",IF(INDEX(設定!$U$58:$AO$58,(WEEKDAY(DATE(設定!$C$2,設定!$D$2,25),2)-1)*3+1)=0,"休",COUNTIF(BY$6:BY$45,"寶"))))</f>
        <v/>
      </c>
      <c r="BZ51" s="76">
        <f>IF(BZ$4="","",IF(COUNTIF(設定!$W$6:$W$40,DATE(設定!$C$2,設定!$D$2,25))&gt;0,"假",IF(INDEX(設定!$U$58:$AO$58,(WEEKDAY(DATE(設定!$C$2,設定!$D$2,25),2)-1)*3+2)=0,"休",COUNTIF(BZ$6:BZ$45,"寶"))))</f>
        <v/>
      </c>
      <c r="CA51" s="76">
        <f>IF(CA$4="","",IF(COUNTIF(設定!$W$6:$W$40,DATE(設定!$C$2,設定!$D$2,25))&gt;0,"假",IF(INDEX(設定!$U$58:$AO$58,(WEEKDAY(DATE(設定!$C$2,設定!$D$2,25),2)-1)*3+3)=0,"休",COUNTIF(CA$6:CA$45,"寶"))))</f>
        <v/>
      </c>
      <c r="CB51" s="75">
        <f>IF(CB$4="","",IF(COUNTIF(設定!$W$6:$W$40,DATE(設定!$C$2,設定!$D$2,26))&gt;0,"假",IF(INDEX(設定!$U$58:$AO$58,(WEEKDAY(DATE(設定!$C$2,設定!$D$2,26),2)-1)*3+1)=0,"休",COUNTIF(CB$6:CB$45,"寶"))))</f>
        <v/>
      </c>
      <c r="CC51" s="76">
        <f>IF(CC$4="","",IF(COUNTIF(設定!$W$6:$W$40,DATE(設定!$C$2,設定!$D$2,26))&gt;0,"假",IF(INDEX(設定!$U$58:$AO$58,(WEEKDAY(DATE(設定!$C$2,設定!$D$2,26),2)-1)*3+2)=0,"休",COUNTIF(CC$6:CC$45,"寶"))))</f>
        <v/>
      </c>
      <c r="CD51" s="76">
        <f>IF(CD$4="","",IF(COUNTIF(設定!$W$6:$W$40,DATE(設定!$C$2,設定!$D$2,26))&gt;0,"假",IF(INDEX(設定!$U$58:$AO$58,(WEEKDAY(DATE(設定!$C$2,設定!$D$2,26),2)-1)*3+3)=0,"休",COUNTIF(CD$6:CD$45,"寶"))))</f>
        <v/>
      </c>
      <c r="CE51" s="75">
        <f>IF(CE$4="","",IF(COUNTIF(設定!$W$6:$W$40,DATE(設定!$C$2,設定!$D$2,27))&gt;0,"假",IF(INDEX(設定!$U$58:$AO$58,(WEEKDAY(DATE(設定!$C$2,設定!$D$2,27),2)-1)*3+1)=0,"休",COUNTIF(CE$6:CE$45,"寶"))))</f>
        <v/>
      </c>
      <c r="CF51" s="76">
        <f>IF(CF$4="","",IF(COUNTIF(設定!$W$6:$W$40,DATE(設定!$C$2,設定!$D$2,27))&gt;0,"假",IF(INDEX(設定!$U$58:$AO$58,(WEEKDAY(DATE(設定!$C$2,設定!$D$2,27),2)-1)*3+2)=0,"休",COUNTIF(CF$6:CF$45,"寶"))))</f>
        <v/>
      </c>
      <c r="CG51" s="76">
        <f>IF(CG$4="","",IF(COUNTIF(設定!$W$6:$W$40,DATE(設定!$C$2,設定!$D$2,27))&gt;0,"假",IF(INDEX(設定!$U$58:$AO$58,(WEEKDAY(DATE(設定!$C$2,設定!$D$2,27),2)-1)*3+3)=0,"休",COUNTIF(CG$6:CG$45,"寶"))))</f>
        <v/>
      </c>
      <c r="CH51" s="75">
        <f>IF(CH$4="","",IF(COUNTIF(設定!$W$6:$W$40,DATE(設定!$C$2,設定!$D$2,28))&gt;0,"假",IF(INDEX(設定!$U$58:$AO$58,(WEEKDAY(DATE(設定!$C$2,設定!$D$2,28),2)-1)*3+1)=0,"休",COUNTIF(CH$6:CH$45,"寶"))))</f>
        <v/>
      </c>
      <c r="CI51" s="76">
        <f>IF(CI$4="","",IF(COUNTIF(設定!$W$6:$W$40,DATE(設定!$C$2,設定!$D$2,28))&gt;0,"假",IF(INDEX(設定!$U$58:$AO$58,(WEEKDAY(DATE(設定!$C$2,設定!$D$2,28),2)-1)*3+2)=0,"休",COUNTIF(CI$6:CI$45,"寶"))))</f>
        <v/>
      </c>
      <c r="CJ51" s="76">
        <f>IF(CJ$4="","",IF(COUNTIF(設定!$W$6:$W$40,DATE(設定!$C$2,設定!$D$2,28))&gt;0,"假",IF(INDEX(設定!$U$58:$AO$58,(WEEKDAY(DATE(設定!$C$2,設定!$D$2,28),2)-1)*3+3)=0,"休",COUNTIF(CJ$6:CJ$45,"寶"))))</f>
        <v/>
      </c>
      <c r="CK51" s="75">
        <f>IF(CK$4="","",IF(COUNTIF(設定!$W$6:$W$40,DATE(設定!$C$2,設定!$D$2,29))&gt;0,"假",IF(INDEX(設定!$U$58:$AO$58,(WEEKDAY(DATE(設定!$C$2,設定!$D$2,29),2)-1)*3+1)=0,"休",COUNTIF(CK$6:CK$45,"寶"))))</f>
        <v/>
      </c>
      <c r="CL51" s="76">
        <f>IF(CL$4="","",IF(COUNTIF(設定!$W$6:$W$40,DATE(設定!$C$2,設定!$D$2,29))&gt;0,"假",IF(INDEX(設定!$U$58:$AO$58,(WEEKDAY(DATE(設定!$C$2,設定!$D$2,29),2)-1)*3+2)=0,"休",COUNTIF(CL$6:CL$45,"寶"))))</f>
        <v/>
      </c>
      <c r="CM51" s="76">
        <f>IF(CM$4="","",IF(COUNTIF(設定!$W$6:$W$40,DATE(設定!$C$2,設定!$D$2,29))&gt;0,"假",IF(INDEX(設定!$U$58:$AO$58,(WEEKDAY(DATE(設定!$C$2,設定!$D$2,29),2)-1)*3+3)=0,"休",COUNTIF(CM$6:CM$45,"寶"))))</f>
        <v/>
      </c>
      <c r="CN51" s="75">
        <f>IF(CN$4="","",IF(COUNTIF(設定!$W$6:$W$40,DATE(設定!$C$2,設定!$D$2,30))&gt;0,"假",IF(INDEX(設定!$U$58:$AO$58,(WEEKDAY(DATE(設定!$C$2,設定!$D$2,30),2)-1)*3+1)=0,"休",COUNTIF(CN$6:CN$45,"寶"))))</f>
        <v/>
      </c>
      <c r="CO51" s="76">
        <f>IF(CO$4="","",IF(COUNTIF(設定!$W$6:$W$40,DATE(設定!$C$2,設定!$D$2,30))&gt;0,"假",IF(INDEX(設定!$U$58:$AO$58,(WEEKDAY(DATE(設定!$C$2,設定!$D$2,30),2)-1)*3+2)=0,"休",COUNTIF(CO$6:CO$45,"寶"))))</f>
        <v/>
      </c>
      <c r="CP51" s="76">
        <f>IF(CP$4="","",IF(COUNTIF(設定!$W$6:$W$40,DATE(設定!$C$2,設定!$D$2,30))&gt;0,"假",IF(INDEX(設定!$U$58:$AO$58,(WEEKDAY(DATE(設定!$C$2,設定!$D$2,30),2)-1)*3+3)=0,"休",COUNTIF(CP$6:CP$45,"寶"))))</f>
        <v/>
      </c>
      <c r="CQ51" s="75">
        <f>IF(CQ$4="","",IF(COUNTIF(設定!$W$6:$W$40,DATE(設定!$C$2,設定!$D$2,31))&gt;0,"假",IF(INDEX(設定!$U$58:$AO$58,(WEEKDAY(DATE(設定!$C$2,設定!$D$2,31),2)-1)*3+1)=0,"休",COUNTIF(CQ$6:CQ$45,"寶"))))</f>
        <v/>
      </c>
      <c r="CR51" s="76">
        <f>IF(CR$4="","",IF(COUNTIF(設定!$W$6:$W$40,DATE(設定!$C$2,設定!$D$2,31))&gt;0,"假",IF(INDEX(設定!$U$58:$AO$58,(WEEKDAY(DATE(設定!$C$2,設定!$D$2,31),2)-1)*3+2)=0,"休",COUNTIF(CR$6:CR$45,"寶"))))</f>
        <v/>
      </c>
      <c r="CS51" s="76">
        <f>IF(CS$4="","",IF(COUNTIF(設定!$W$6:$W$40,DATE(設定!$C$2,設定!$D$2,31))&gt;0,"假",IF(INDEX(設定!$U$58:$AO$58,(WEEKDAY(DATE(設定!$C$2,設定!$D$2,31),2)-1)*3+3)=0,"休",COUNTIF(CS$6:CS$45,"寶"))))</f>
        <v/>
      </c>
    </row>
    <row r="53">
      <c r="A53" s="6" t="inlineStr">
        <is>
          <t>※ 一格只容得下一間院所,所以同一位醫師同一診次被排到兩間院所在結構上不可能發生。上面五列是反向檢查:某間院所某個診次掛 0,表示那個時段沒有醫師。</t>
        </is>
      </c>
    </row>
    <row r="54">
      <c r="A54" s="6" t="inlineStr">
        <is>
          <t>※ 本表已依「醫師週班表」把固定門診展開成本月的值,可以直接改。請假就把該格改成假別代碼。</t>
        </is>
      </c>
    </row>
    <row r="55">
      <c r="A55" s="6" t="inlineStr">
        <is>
          <t>※ 姓名、專科、日期、星期都是實際文字不是公式,任何檢視器都看得到;底下的人力檢核列是公式,不重算的檢視器會空白。</t>
        </is>
      </c>
    </row>
    <row r="56">
      <c r="A56" s="6" t="inlineStr">
        <is>
          <t>※ 格子是公式,從「醫師週班表」自動展開。改週班表、改設定的本期年月,這裡都會立刻跟著變。</t>
        </is>
      </c>
    </row>
    <row r="57" hidden="1">
      <c r="A57" s="6" t="inlineStr">
        <is>
          <t>※ 要改單次例外(請假、臨時調班)直接在格子上打字即可,月結一樣立刻反映——但那一格的公式會被蓋掉、不再跟著週班表走,所以會自動加上紅色外框提醒。要恢復連動,從旁邊沒被改過的格子複製一格貼回來。</t>
        </is>
      </c>
      <c r="E57">
        <f>IF(1&gt;DAY(EOMONTH(DATE(設定!$C$2,設定!$D$2,1),0)),1,(WEEKDAY(DATE(設定!$C$2,設定!$D$2,1),2)-1)*3+1)</f>
        <v/>
      </c>
      <c r="F57">
        <f>IF(1&gt;DAY(EOMONTH(DATE(設定!$C$2,設定!$D$2,1),0)),1,(WEEKDAY(DATE(設定!$C$2,設定!$D$2,1),2)-1)*3+2)</f>
        <v/>
      </c>
      <c r="G57">
        <f>IF(1&gt;DAY(EOMONTH(DATE(設定!$C$2,設定!$D$2,1),0)),1,(WEEKDAY(DATE(設定!$C$2,設定!$D$2,1),2)-1)*3+3)</f>
        <v/>
      </c>
      <c r="H57">
        <f>IF(2&gt;DAY(EOMONTH(DATE(設定!$C$2,設定!$D$2,1),0)),1,(WEEKDAY(DATE(設定!$C$2,設定!$D$2,2),2)-1)*3+1)</f>
        <v/>
      </c>
      <c r="I57">
        <f>IF(2&gt;DAY(EOMONTH(DATE(設定!$C$2,設定!$D$2,1),0)),1,(WEEKDAY(DATE(設定!$C$2,設定!$D$2,2),2)-1)*3+2)</f>
        <v/>
      </c>
      <c r="J57">
        <f>IF(2&gt;DAY(EOMONTH(DATE(設定!$C$2,設定!$D$2,1),0)),1,(WEEKDAY(DATE(設定!$C$2,設定!$D$2,2),2)-1)*3+3)</f>
        <v/>
      </c>
      <c r="K57">
        <f>IF(3&gt;DAY(EOMONTH(DATE(設定!$C$2,設定!$D$2,1),0)),1,(WEEKDAY(DATE(設定!$C$2,設定!$D$2,3),2)-1)*3+1)</f>
        <v/>
      </c>
      <c r="L57">
        <f>IF(3&gt;DAY(EOMONTH(DATE(設定!$C$2,設定!$D$2,1),0)),1,(WEEKDAY(DATE(設定!$C$2,設定!$D$2,3),2)-1)*3+2)</f>
        <v/>
      </c>
      <c r="M57">
        <f>IF(3&gt;DAY(EOMONTH(DATE(設定!$C$2,設定!$D$2,1),0)),1,(WEEKDAY(DATE(設定!$C$2,設定!$D$2,3),2)-1)*3+3)</f>
        <v/>
      </c>
      <c r="N57">
        <f>IF(4&gt;DAY(EOMONTH(DATE(設定!$C$2,設定!$D$2,1),0)),1,(WEEKDAY(DATE(設定!$C$2,設定!$D$2,4),2)-1)*3+1)</f>
        <v/>
      </c>
      <c r="O57">
        <f>IF(4&gt;DAY(EOMONTH(DATE(設定!$C$2,設定!$D$2,1),0)),1,(WEEKDAY(DATE(設定!$C$2,設定!$D$2,4),2)-1)*3+2)</f>
        <v/>
      </c>
      <c r="P57">
        <f>IF(4&gt;DAY(EOMONTH(DATE(設定!$C$2,設定!$D$2,1),0)),1,(WEEKDAY(DATE(設定!$C$2,設定!$D$2,4),2)-1)*3+3)</f>
        <v/>
      </c>
      <c r="Q57">
        <f>IF(5&gt;DAY(EOMONTH(DATE(設定!$C$2,設定!$D$2,1),0)),1,(WEEKDAY(DATE(設定!$C$2,設定!$D$2,5),2)-1)*3+1)</f>
        <v/>
      </c>
      <c r="R57">
        <f>IF(5&gt;DAY(EOMONTH(DATE(設定!$C$2,設定!$D$2,1),0)),1,(WEEKDAY(DATE(設定!$C$2,設定!$D$2,5),2)-1)*3+2)</f>
        <v/>
      </c>
      <c r="S57">
        <f>IF(5&gt;DAY(EOMONTH(DATE(設定!$C$2,設定!$D$2,1),0)),1,(WEEKDAY(DATE(設定!$C$2,設定!$D$2,5),2)-1)*3+3)</f>
        <v/>
      </c>
      <c r="T57">
        <f>IF(6&gt;DAY(EOMONTH(DATE(設定!$C$2,設定!$D$2,1),0)),1,(WEEKDAY(DATE(設定!$C$2,設定!$D$2,6),2)-1)*3+1)</f>
        <v/>
      </c>
      <c r="U57">
        <f>IF(6&gt;DAY(EOMONTH(DATE(設定!$C$2,設定!$D$2,1),0)),1,(WEEKDAY(DATE(設定!$C$2,設定!$D$2,6),2)-1)*3+2)</f>
        <v/>
      </c>
      <c r="V57">
        <f>IF(6&gt;DAY(EOMONTH(DATE(設定!$C$2,設定!$D$2,1),0)),1,(WEEKDAY(DATE(設定!$C$2,設定!$D$2,6),2)-1)*3+3)</f>
        <v/>
      </c>
      <c r="W57">
        <f>IF(7&gt;DAY(EOMONTH(DATE(設定!$C$2,設定!$D$2,1),0)),1,(WEEKDAY(DATE(設定!$C$2,設定!$D$2,7),2)-1)*3+1)</f>
        <v/>
      </c>
      <c r="X57">
        <f>IF(7&gt;DAY(EOMONTH(DATE(設定!$C$2,設定!$D$2,1),0)),1,(WEEKDAY(DATE(設定!$C$2,設定!$D$2,7),2)-1)*3+2)</f>
        <v/>
      </c>
      <c r="Y57">
        <f>IF(7&gt;DAY(EOMONTH(DATE(設定!$C$2,設定!$D$2,1),0)),1,(WEEKDAY(DATE(設定!$C$2,設定!$D$2,7),2)-1)*3+3)</f>
        <v/>
      </c>
      <c r="Z57">
        <f>IF(8&gt;DAY(EOMONTH(DATE(設定!$C$2,設定!$D$2,1),0)),1,(WEEKDAY(DATE(設定!$C$2,設定!$D$2,8),2)-1)*3+1)</f>
        <v/>
      </c>
      <c r="AA57">
        <f>IF(8&gt;DAY(EOMONTH(DATE(設定!$C$2,設定!$D$2,1),0)),1,(WEEKDAY(DATE(設定!$C$2,設定!$D$2,8),2)-1)*3+2)</f>
        <v/>
      </c>
      <c r="AB57">
        <f>IF(8&gt;DAY(EOMONTH(DATE(設定!$C$2,設定!$D$2,1),0)),1,(WEEKDAY(DATE(設定!$C$2,設定!$D$2,8),2)-1)*3+3)</f>
        <v/>
      </c>
      <c r="AC57">
        <f>IF(9&gt;DAY(EOMONTH(DATE(設定!$C$2,設定!$D$2,1),0)),1,(WEEKDAY(DATE(設定!$C$2,設定!$D$2,9),2)-1)*3+1)</f>
        <v/>
      </c>
      <c r="AD57">
        <f>IF(9&gt;DAY(EOMONTH(DATE(設定!$C$2,設定!$D$2,1),0)),1,(WEEKDAY(DATE(設定!$C$2,設定!$D$2,9),2)-1)*3+2)</f>
        <v/>
      </c>
      <c r="AE57">
        <f>IF(9&gt;DAY(EOMONTH(DATE(設定!$C$2,設定!$D$2,1),0)),1,(WEEKDAY(DATE(設定!$C$2,設定!$D$2,9),2)-1)*3+3)</f>
        <v/>
      </c>
      <c r="AF57">
        <f>IF(10&gt;DAY(EOMONTH(DATE(設定!$C$2,設定!$D$2,1),0)),1,(WEEKDAY(DATE(設定!$C$2,設定!$D$2,10),2)-1)*3+1)</f>
        <v/>
      </c>
      <c r="AG57">
        <f>IF(10&gt;DAY(EOMONTH(DATE(設定!$C$2,設定!$D$2,1),0)),1,(WEEKDAY(DATE(設定!$C$2,設定!$D$2,10),2)-1)*3+2)</f>
        <v/>
      </c>
      <c r="AH57">
        <f>IF(10&gt;DAY(EOMONTH(DATE(設定!$C$2,設定!$D$2,1),0)),1,(WEEKDAY(DATE(設定!$C$2,設定!$D$2,10),2)-1)*3+3)</f>
        <v/>
      </c>
      <c r="AI57">
        <f>IF(11&gt;DAY(EOMONTH(DATE(設定!$C$2,設定!$D$2,1),0)),1,(WEEKDAY(DATE(設定!$C$2,設定!$D$2,11),2)-1)*3+1)</f>
        <v/>
      </c>
      <c r="AJ57">
        <f>IF(11&gt;DAY(EOMONTH(DATE(設定!$C$2,設定!$D$2,1),0)),1,(WEEKDAY(DATE(設定!$C$2,設定!$D$2,11),2)-1)*3+2)</f>
        <v/>
      </c>
      <c r="AK57">
        <f>IF(11&gt;DAY(EOMONTH(DATE(設定!$C$2,設定!$D$2,1),0)),1,(WEEKDAY(DATE(設定!$C$2,設定!$D$2,11),2)-1)*3+3)</f>
        <v/>
      </c>
      <c r="AL57">
        <f>IF(12&gt;DAY(EOMONTH(DATE(設定!$C$2,設定!$D$2,1),0)),1,(WEEKDAY(DATE(設定!$C$2,設定!$D$2,12),2)-1)*3+1)</f>
        <v/>
      </c>
      <c r="AM57">
        <f>IF(12&gt;DAY(EOMONTH(DATE(設定!$C$2,設定!$D$2,1),0)),1,(WEEKDAY(DATE(設定!$C$2,設定!$D$2,12),2)-1)*3+2)</f>
        <v/>
      </c>
      <c r="AN57">
        <f>IF(12&gt;DAY(EOMONTH(DATE(設定!$C$2,設定!$D$2,1),0)),1,(WEEKDAY(DATE(設定!$C$2,設定!$D$2,12),2)-1)*3+3)</f>
        <v/>
      </c>
      <c r="AO57">
        <f>IF(13&gt;DAY(EOMONTH(DATE(設定!$C$2,設定!$D$2,1),0)),1,(WEEKDAY(DATE(設定!$C$2,設定!$D$2,13),2)-1)*3+1)</f>
        <v/>
      </c>
      <c r="AP57">
        <f>IF(13&gt;DAY(EOMONTH(DATE(設定!$C$2,設定!$D$2,1),0)),1,(WEEKDAY(DATE(設定!$C$2,設定!$D$2,13),2)-1)*3+2)</f>
        <v/>
      </c>
      <c r="AQ57">
        <f>IF(13&gt;DAY(EOMONTH(DATE(設定!$C$2,設定!$D$2,1),0)),1,(WEEKDAY(DATE(設定!$C$2,設定!$D$2,13),2)-1)*3+3)</f>
        <v/>
      </c>
      <c r="AR57">
        <f>IF(14&gt;DAY(EOMONTH(DATE(設定!$C$2,設定!$D$2,1),0)),1,(WEEKDAY(DATE(設定!$C$2,設定!$D$2,14),2)-1)*3+1)</f>
        <v/>
      </c>
      <c r="AS57">
        <f>IF(14&gt;DAY(EOMONTH(DATE(設定!$C$2,設定!$D$2,1),0)),1,(WEEKDAY(DATE(設定!$C$2,設定!$D$2,14),2)-1)*3+2)</f>
        <v/>
      </c>
      <c r="AT57">
        <f>IF(14&gt;DAY(EOMONTH(DATE(設定!$C$2,設定!$D$2,1),0)),1,(WEEKDAY(DATE(設定!$C$2,設定!$D$2,14),2)-1)*3+3)</f>
        <v/>
      </c>
      <c r="AU57">
        <f>IF(15&gt;DAY(EOMONTH(DATE(設定!$C$2,設定!$D$2,1),0)),1,(WEEKDAY(DATE(設定!$C$2,設定!$D$2,15),2)-1)*3+1)</f>
        <v/>
      </c>
      <c r="AV57">
        <f>IF(15&gt;DAY(EOMONTH(DATE(設定!$C$2,設定!$D$2,1),0)),1,(WEEKDAY(DATE(設定!$C$2,設定!$D$2,15),2)-1)*3+2)</f>
        <v/>
      </c>
      <c r="AW57">
        <f>IF(15&gt;DAY(EOMONTH(DATE(設定!$C$2,設定!$D$2,1),0)),1,(WEEKDAY(DATE(設定!$C$2,設定!$D$2,15),2)-1)*3+3)</f>
        <v/>
      </c>
      <c r="AX57">
        <f>IF(16&gt;DAY(EOMONTH(DATE(設定!$C$2,設定!$D$2,1),0)),1,(WEEKDAY(DATE(設定!$C$2,設定!$D$2,16),2)-1)*3+1)</f>
        <v/>
      </c>
      <c r="AY57">
        <f>IF(16&gt;DAY(EOMONTH(DATE(設定!$C$2,設定!$D$2,1),0)),1,(WEEKDAY(DATE(設定!$C$2,設定!$D$2,16),2)-1)*3+2)</f>
        <v/>
      </c>
      <c r="AZ57">
        <f>IF(16&gt;DAY(EOMONTH(DATE(設定!$C$2,設定!$D$2,1),0)),1,(WEEKDAY(DATE(設定!$C$2,設定!$D$2,16),2)-1)*3+3)</f>
        <v/>
      </c>
      <c r="BA57">
        <f>IF(17&gt;DAY(EOMONTH(DATE(設定!$C$2,設定!$D$2,1),0)),1,(WEEKDAY(DATE(設定!$C$2,設定!$D$2,17),2)-1)*3+1)</f>
        <v/>
      </c>
      <c r="BB57">
        <f>IF(17&gt;DAY(EOMONTH(DATE(設定!$C$2,設定!$D$2,1),0)),1,(WEEKDAY(DATE(設定!$C$2,設定!$D$2,17),2)-1)*3+2)</f>
        <v/>
      </c>
      <c r="BC57">
        <f>IF(17&gt;DAY(EOMONTH(DATE(設定!$C$2,設定!$D$2,1),0)),1,(WEEKDAY(DATE(設定!$C$2,設定!$D$2,17),2)-1)*3+3)</f>
        <v/>
      </c>
      <c r="BD57">
        <f>IF(18&gt;DAY(EOMONTH(DATE(設定!$C$2,設定!$D$2,1),0)),1,(WEEKDAY(DATE(設定!$C$2,設定!$D$2,18),2)-1)*3+1)</f>
        <v/>
      </c>
      <c r="BE57">
        <f>IF(18&gt;DAY(EOMONTH(DATE(設定!$C$2,設定!$D$2,1),0)),1,(WEEKDAY(DATE(設定!$C$2,設定!$D$2,18),2)-1)*3+2)</f>
        <v/>
      </c>
      <c r="BF57">
        <f>IF(18&gt;DAY(EOMONTH(DATE(設定!$C$2,設定!$D$2,1),0)),1,(WEEKDAY(DATE(設定!$C$2,設定!$D$2,18),2)-1)*3+3)</f>
        <v/>
      </c>
      <c r="BG57">
        <f>IF(19&gt;DAY(EOMONTH(DATE(設定!$C$2,設定!$D$2,1),0)),1,(WEEKDAY(DATE(設定!$C$2,設定!$D$2,19),2)-1)*3+1)</f>
        <v/>
      </c>
      <c r="BH57">
        <f>IF(19&gt;DAY(EOMONTH(DATE(設定!$C$2,設定!$D$2,1),0)),1,(WEEKDAY(DATE(設定!$C$2,設定!$D$2,19),2)-1)*3+2)</f>
        <v/>
      </c>
      <c r="BI57">
        <f>IF(19&gt;DAY(EOMONTH(DATE(設定!$C$2,設定!$D$2,1),0)),1,(WEEKDAY(DATE(設定!$C$2,設定!$D$2,19),2)-1)*3+3)</f>
        <v/>
      </c>
      <c r="BJ57">
        <f>IF(20&gt;DAY(EOMONTH(DATE(設定!$C$2,設定!$D$2,1),0)),1,(WEEKDAY(DATE(設定!$C$2,設定!$D$2,20),2)-1)*3+1)</f>
        <v/>
      </c>
      <c r="BK57">
        <f>IF(20&gt;DAY(EOMONTH(DATE(設定!$C$2,設定!$D$2,1),0)),1,(WEEKDAY(DATE(設定!$C$2,設定!$D$2,20),2)-1)*3+2)</f>
        <v/>
      </c>
      <c r="BL57">
        <f>IF(20&gt;DAY(EOMONTH(DATE(設定!$C$2,設定!$D$2,1),0)),1,(WEEKDAY(DATE(設定!$C$2,設定!$D$2,20),2)-1)*3+3)</f>
        <v/>
      </c>
      <c r="BM57">
        <f>IF(21&gt;DAY(EOMONTH(DATE(設定!$C$2,設定!$D$2,1),0)),1,(WEEKDAY(DATE(設定!$C$2,設定!$D$2,21),2)-1)*3+1)</f>
        <v/>
      </c>
      <c r="BN57">
        <f>IF(21&gt;DAY(EOMONTH(DATE(設定!$C$2,設定!$D$2,1),0)),1,(WEEKDAY(DATE(設定!$C$2,設定!$D$2,21),2)-1)*3+2)</f>
        <v/>
      </c>
      <c r="BO57">
        <f>IF(21&gt;DAY(EOMONTH(DATE(設定!$C$2,設定!$D$2,1),0)),1,(WEEKDAY(DATE(設定!$C$2,設定!$D$2,21),2)-1)*3+3)</f>
        <v/>
      </c>
      <c r="BP57">
        <f>IF(22&gt;DAY(EOMONTH(DATE(設定!$C$2,設定!$D$2,1),0)),1,(WEEKDAY(DATE(設定!$C$2,設定!$D$2,22),2)-1)*3+1)</f>
        <v/>
      </c>
      <c r="BQ57">
        <f>IF(22&gt;DAY(EOMONTH(DATE(設定!$C$2,設定!$D$2,1),0)),1,(WEEKDAY(DATE(設定!$C$2,設定!$D$2,22),2)-1)*3+2)</f>
        <v/>
      </c>
      <c r="BR57">
        <f>IF(22&gt;DAY(EOMONTH(DATE(設定!$C$2,設定!$D$2,1),0)),1,(WEEKDAY(DATE(設定!$C$2,設定!$D$2,22),2)-1)*3+3)</f>
        <v/>
      </c>
      <c r="BS57">
        <f>IF(23&gt;DAY(EOMONTH(DATE(設定!$C$2,設定!$D$2,1),0)),1,(WEEKDAY(DATE(設定!$C$2,設定!$D$2,23),2)-1)*3+1)</f>
        <v/>
      </c>
      <c r="BT57">
        <f>IF(23&gt;DAY(EOMONTH(DATE(設定!$C$2,設定!$D$2,1),0)),1,(WEEKDAY(DATE(設定!$C$2,設定!$D$2,23),2)-1)*3+2)</f>
        <v/>
      </c>
      <c r="BU57">
        <f>IF(23&gt;DAY(EOMONTH(DATE(設定!$C$2,設定!$D$2,1),0)),1,(WEEKDAY(DATE(設定!$C$2,設定!$D$2,23),2)-1)*3+3)</f>
        <v/>
      </c>
      <c r="BV57">
        <f>IF(24&gt;DAY(EOMONTH(DATE(設定!$C$2,設定!$D$2,1),0)),1,(WEEKDAY(DATE(設定!$C$2,設定!$D$2,24),2)-1)*3+1)</f>
        <v/>
      </c>
      <c r="BW57">
        <f>IF(24&gt;DAY(EOMONTH(DATE(設定!$C$2,設定!$D$2,1),0)),1,(WEEKDAY(DATE(設定!$C$2,設定!$D$2,24),2)-1)*3+2)</f>
        <v/>
      </c>
      <c r="BX57">
        <f>IF(24&gt;DAY(EOMONTH(DATE(設定!$C$2,設定!$D$2,1),0)),1,(WEEKDAY(DATE(設定!$C$2,設定!$D$2,24),2)-1)*3+3)</f>
        <v/>
      </c>
      <c r="BY57">
        <f>IF(25&gt;DAY(EOMONTH(DATE(設定!$C$2,設定!$D$2,1),0)),1,(WEEKDAY(DATE(設定!$C$2,設定!$D$2,25),2)-1)*3+1)</f>
        <v/>
      </c>
      <c r="BZ57">
        <f>IF(25&gt;DAY(EOMONTH(DATE(設定!$C$2,設定!$D$2,1),0)),1,(WEEKDAY(DATE(設定!$C$2,設定!$D$2,25),2)-1)*3+2)</f>
        <v/>
      </c>
      <c r="CA57">
        <f>IF(25&gt;DAY(EOMONTH(DATE(設定!$C$2,設定!$D$2,1),0)),1,(WEEKDAY(DATE(設定!$C$2,設定!$D$2,25),2)-1)*3+3)</f>
        <v/>
      </c>
      <c r="CB57">
        <f>IF(26&gt;DAY(EOMONTH(DATE(設定!$C$2,設定!$D$2,1),0)),1,(WEEKDAY(DATE(設定!$C$2,設定!$D$2,26),2)-1)*3+1)</f>
        <v/>
      </c>
      <c r="CC57">
        <f>IF(26&gt;DAY(EOMONTH(DATE(設定!$C$2,設定!$D$2,1),0)),1,(WEEKDAY(DATE(設定!$C$2,設定!$D$2,26),2)-1)*3+2)</f>
        <v/>
      </c>
      <c r="CD57">
        <f>IF(26&gt;DAY(EOMONTH(DATE(設定!$C$2,設定!$D$2,1),0)),1,(WEEKDAY(DATE(設定!$C$2,設定!$D$2,26),2)-1)*3+3)</f>
        <v/>
      </c>
      <c r="CE57">
        <f>IF(27&gt;DAY(EOMONTH(DATE(設定!$C$2,設定!$D$2,1),0)),1,(WEEKDAY(DATE(設定!$C$2,設定!$D$2,27),2)-1)*3+1)</f>
        <v/>
      </c>
      <c r="CF57">
        <f>IF(27&gt;DAY(EOMONTH(DATE(設定!$C$2,設定!$D$2,1),0)),1,(WEEKDAY(DATE(設定!$C$2,設定!$D$2,27),2)-1)*3+2)</f>
        <v/>
      </c>
      <c r="CG57">
        <f>IF(27&gt;DAY(EOMONTH(DATE(設定!$C$2,設定!$D$2,1),0)),1,(WEEKDAY(DATE(設定!$C$2,設定!$D$2,27),2)-1)*3+3)</f>
        <v/>
      </c>
      <c r="CH57">
        <f>IF(28&gt;DAY(EOMONTH(DATE(設定!$C$2,設定!$D$2,1),0)),1,(WEEKDAY(DATE(設定!$C$2,設定!$D$2,28),2)-1)*3+1)</f>
        <v/>
      </c>
      <c r="CI57">
        <f>IF(28&gt;DAY(EOMONTH(DATE(設定!$C$2,設定!$D$2,1),0)),1,(WEEKDAY(DATE(設定!$C$2,設定!$D$2,28),2)-1)*3+2)</f>
        <v/>
      </c>
      <c r="CJ57">
        <f>IF(28&gt;DAY(EOMONTH(DATE(設定!$C$2,設定!$D$2,1),0)),1,(WEEKDAY(DATE(設定!$C$2,設定!$D$2,28),2)-1)*3+3)</f>
        <v/>
      </c>
      <c r="CK57">
        <f>IF(29&gt;DAY(EOMONTH(DATE(設定!$C$2,設定!$D$2,1),0)),1,(WEEKDAY(DATE(設定!$C$2,設定!$D$2,29),2)-1)*3+1)</f>
        <v/>
      </c>
      <c r="CL57">
        <f>IF(29&gt;DAY(EOMONTH(DATE(設定!$C$2,設定!$D$2,1),0)),1,(WEEKDAY(DATE(設定!$C$2,設定!$D$2,29),2)-1)*3+2)</f>
        <v/>
      </c>
      <c r="CM57">
        <f>IF(29&gt;DAY(EOMONTH(DATE(設定!$C$2,設定!$D$2,1),0)),1,(WEEKDAY(DATE(設定!$C$2,設定!$D$2,29),2)-1)*3+3)</f>
        <v/>
      </c>
      <c r="CN57">
        <f>IF(30&gt;DAY(EOMONTH(DATE(設定!$C$2,設定!$D$2,1),0)),1,(WEEKDAY(DATE(設定!$C$2,設定!$D$2,30),2)-1)*3+1)</f>
        <v/>
      </c>
      <c r="CO57">
        <f>IF(30&gt;DAY(EOMONTH(DATE(設定!$C$2,設定!$D$2,1),0)),1,(WEEKDAY(DATE(設定!$C$2,設定!$D$2,30),2)-1)*3+2)</f>
        <v/>
      </c>
      <c r="CP57">
        <f>IF(30&gt;DAY(EOMONTH(DATE(設定!$C$2,設定!$D$2,1),0)),1,(WEEKDAY(DATE(設定!$C$2,設定!$D$2,30),2)-1)*3+3)</f>
        <v/>
      </c>
      <c r="CQ57">
        <f>IF(31&gt;DAY(EOMONTH(DATE(設定!$C$2,設定!$D$2,1),0)),1,(WEEKDAY(DATE(設定!$C$2,設定!$D$2,31),2)-1)*3+1)</f>
        <v/>
      </c>
      <c r="CR57">
        <f>IF(31&gt;DAY(EOMONTH(DATE(設定!$C$2,設定!$D$2,1),0)),1,(WEEKDAY(DATE(設定!$C$2,設定!$D$2,31),2)-1)*3+2)</f>
        <v/>
      </c>
      <c r="CS57">
        <f>IF(31&gt;DAY(EOMONTH(DATE(設定!$C$2,設定!$D$2,1),0)),1,(WEEKDAY(DATE(設定!$C$2,設定!$D$2,31),2)-1)*3+3)</f>
        <v/>
      </c>
    </row>
    <row r="58" hidden="1">
      <c r="A58" s="81" t="inlineStr">
        <is>
          <t>↓運算用,請勿刪</t>
        </is>
      </c>
      <c r="E58">
        <f>IF(1&gt;DAY(EOMONTH(DATE(設定!$C$2,設定!$D$2,1),0)),0,MOD(INT((DATE(設定!$C$2,設定!$D$2,1)-設定!$C$49)/7),2))</f>
        <v/>
      </c>
      <c r="F58">
        <f>IF(1&gt;DAY(EOMONTH(DATE(設定!$C$2,設定!$D$2,1),0)),0,MOD(INT((DATE(設定!$C$2,設定!$D$2,1)-設定!$C$49)/7),2))</f>
        <v/>
      </c>
      <c r="G58">
        <f>IF(1&gt;DAY(EOMONTH(DATE(設定!$C$2,設定!$D$2,1),0)),0,MOD(INT((DATE(設定!$C$2,設定!$D$2,1)-設定!$C$49)/7),2))</f>
        <v/>
      </c>
      <c r="H58">
        <f>IF(2&gt;DAY(EOMONTH(DATE(設定!$C$2,設定!$D$2,1),0)),0,MOD(INT((DATE(設定!$C$2,設定!$D$2,2)-設定!$C$49)/7),2))</f>
        <v/>
      </c>
      <c r="I58">
        <f>IF(2&gt;DAY(EOMONTH(DATE(設定!$C$2,設定!$D$2,1),0)),0,MOD(INT((DATE(設定!$C$2,設定!$D$2,2)-設定!$C$49)/7),2))</f>
        <v/>
      </c>
      <c r="J58">
        <f>IF(2&gt;DAY(EOMONTH(DATE(設定!$C$2,設定!$D$2,1),0)),0,MOD(INT((DATE(設定!$C$2,設定!$D$2,2)-設定!$C$49)/7),2))</f>
        <v/>
      </c>
      <c r="K58">
        <f>IF(3&gt;DAY(EOMONTH(DATE(設定!$C$2,設定!$D$2,1),0)),0,MOD(INT((DATE(設定!$C$2,設定!$D$2,3)-設定!$C$49)/7),2))</f>
        <v/>
      </c>
      <c r="L58">
        <f>IF(3&gt;DAY(EOMONTH(DATE(設定!$C$2,設定!$D$2,1),0)),0,MOD(INT((DATE(設定!$C$2,設定!$D$2,3)-設定!$C$49)/7),2))</f>
        <v/>
      </c>
      <c r="M58">
        <f>IF(3&gt;DAY(EOMONTH(DATE(設定!$C$2,設定!$D$2,1),0)),0,MOD(INT((DATE(設定!$C$2,設定!$D$2,3)-設定!$C$49)/7),2))</f>
        <v/>
      </c>
      <c r="N58">
        <f>IF(4&gt;DAY(EOMONTH(DATE(設定!$C$2,設定!$D$2,1),0)),0,MOD(INT((DATE(設定!$C$2,設定!$D$2,4)-設定!$C$49)/7),2))</f>
        <v/>
      </c>
      <c r="O58">
        <f>IF(4&gt;DAY(EOMONTH(DATE(設定!$C$2,設定!$D$2,1),0)),0,MOD(INT((DATE(設定!$C$2,設定!$D$2,4)-設定!$C$49)/7),2))</f>
        <v/>
      </c>
      <c r="P58">
        <f>IF(4&gt;DAY(EOMONTH(DATE(設定!$C$2,設定!$D$2,1),0)),0,MOD(INT((DATE(設定!$C$2,設定!$D$2,4)-設定!$C$49)/7),2))</f>
        <v/>
      </c>
      <c r="Q58">
        <f>IF(5&gt;DAY(EOMONTH(DATE(設定!$C$2,設定!$D$2,1),0)),0,MOD(INT((DATE(設定!$C$2,設定!$D$2,5)-設定!$C$49)/7),2))</f>
        <v/>
      </c>
      <c r="R58">
        <f>IF(5&gt;DAY(EOMONTH(DATE(設定!$C$2,設定!$D$2,1),0)),0,MOD(INT((DATE(設定!$C$2,設定!$D$2,5)-設定!$C$49)/7),2))</f>
        <v/>
      </c>
      <c r="S58">
        <f>IF(5&gt;DAY(EOMONTH(DATE(設定!$C$2,設定!$D$2,1),0)),0,MOD(INT((DATE(設定!$C$2,設定!$D$2,5)-設定!$C$49)/7),2))</f>
        <v/>
      </c>
      <c r="T58">
        <f>IF(6&gt;DAY(EOMONTH(DATE(設定!$C$2,設定!$D$2,1),0)),0,MOD(INT((DATE(設定!$C$2,設定!$D$2,6)-設定!$C$49)/7),2))</f>
        <v/>
      </c>
      <c r="U58">
        <f>IF(6&gt;DAY(EOMONTH(DATE(設定!$C$2,設定!$D$2,1),0)),0,MOD(INT((DATE(設定!$C$2,設定!$D$2,6)-設定!$C$49)/7),2))</f>
        <v/>
      </c>
      <c r="V58">
        <f>IF(6&gt;DAY(EOMONTH(DATE(設定!$C$2,設定!$D$2,1),0)),0,MOD(INT((DATE(設定!$C$2,設定!$D$2,6)-設定!$C$49)/7),2))</f>
        <v/>
      </c>
      <c r="W58">
        <f>IF(7&gt;DAY(EOMONTH(DATE(設定!$C$2,設定!$D$2,1),0)),0,MOD(INT((DATE(設定!$C$2,設定!$D$2,7)-設定!$C$49)/7),2))</f>
        <v/>
      </c>
      <c r="X58">
        <f>IF(7&gt;DAY(EOMONTH(DATE(設定!$C$2,設定!$D$2,1),0)),0,MOD(INT((DATE(設定!$C$2,設定!$D$2,7)-設定!$C$49)/7),2))</f>
        <v/>
      </c>
      <c r="Y58">
        <f>IF(7&gt;DAY(EOMONTH(DATE(設定!$C$2,設定!$D$2,1),0)),0,MOD(INT((DATE(設定!$C$2,設定!$D$2,7)-設定!$C$49)/7),2))</f>
        <v/>
      </c>
      <c r="Z58">
        <f>IF(8&gt;DAY(EOMONTH(DATE(設定!$C$2,設定!$D$2,1),0)),0,MOD(INT((DATE(設定!$C$2,設定!$D$2,8)-設定!$C$49)/7),2))</f>
        <v/>
      </c>
      <c r="AA58">
        <f>IF(8&gt;DAY(EOMONTH(DATE(設定!$C$2,設定!$D$2,1),0)),0,MOD(INT((DATE(設定!$C$2,設定!$D$2,8)-設定!$C$49)/7),2))</f>
        <v/>
      </c>
      <c r="AB58">
        <f>IF(8&gt;DAY(EOMONTH(DATE(設定!$C$2,設定!$D$2,1),0)),0,MOD(INT((DATE(設定!$C$2,設定!$D$2,8)-設定!$C$49)/7),2))</f>
        <v/>
      </c>
      <c r="AC58">
        <f>IF(9&gt;DAY(EOMONTH(DATE(設定!$C$2,設定!$D$2,1),0)),0,MOD(INT((DATE(設定!$C$2,設定!$D$2,9)-設定!$C$49)/7),2))</f>
        <v/>
      </c>
      <c r="AD58">
        <f>IF(9&gt;DAY(EOMONTH(DATE(設定!$C$2,設定!$D$2,1),0)),0,MOD(INT((DATE(設定!$C$2,設定!$D$2,9)-設定!$C$49)/7),2))</f>
        <v/>
      </c>
      <c r="AE58">
        <f>IF(9&gt;DAY(EOMONTH(DATE(設定!$C$2,設定!$D$2,1),0)),0,MOD(INT((DATE(設定!$C$2,設定!$D$2,9)-設定!$C$49)/7),2))</f>
        <v/>
      </c>
      <c r="AF58">
        <f>IF(10&gt;DAY(EOMONTH(DATE(設定!$C$2,設定!$D$2,1),0)),0,MOD(INT((DATE(設定!$C$2,設定!$D$2,10)-設定!$C$49)/7),2))</f>
        <v/>
      </c>
      <c r="AG58">
        <f>IF(10&gt;DAY(EOMONTH(DATE(設定!$C$2,設定!$D$2,1),0)),0,MOD(INT((DATE(設定!$C$2,設定!$D$2,10)-設定!$C$49)/7),2))</f>
        <v/>
      </c>
      <c r="AH58">
        <f>IF(10&gt;DAY(EOMONTH(DATE(設定!$C$2,設定!$D$2,1),0)),0,MOD(INT((DATE(設定!$C$2,設定!$D$2,10)-設定!$C$49)/7),2))</f>
        <v/>
      </c>
      <c r="AI58">
        <f>IF(11&gt;DAY(EOMONTH(DATE(設定!$C$2,設定!$D$2,1),0)),0,MOD(INT((DATE(設定!$C$2,設定!$D$2,11)-設定!$C$49)/7),2))</f>
        <v/>
      </c>
      <c r="AJ58">
        <f>IF(11&gt;DAY(EOMONTH(DATE(設定!$C$2,設定!$D$2,1),0)),0,MOD(INT((DATE(設定!$C$2,設定!$D$2,11)-設定!$C$49)/7),2))</f>
        <v/>
      </c>
      <c r="AK58">
        <f>IF(11&gt;DAY(EOMONTH(DATE(設定!$C$2,設定!$D$2,1),0)),0,MOD(INT((DATE(設定!$C$2,設定!$D$2,11)-設定!$C$49)/7),2))</f>
        <v/>
      </c>
      <c r="AL58">
        <f>IF(12&gt;DAY(EOMONTH(DATE(設定!$C$2,設定!$D$2,1),0)),0,MOD(INT((DATE(設定!$C$2,設定!$D$2,12)-設定!$C$49)/7),2))</f>
        <v/>
      </c>
      <c r="AM58">
        <f>IF(12&gt;DAY(EOMONTH(DATE(設定!$C$2,設定!$D$2,1),0)),0,MOD(INT((DATE(設定!$C$2,設定!$D$2,12)-設定!$C$49)/7),2))</f>
        <v/>
      </c>
      <c r="AN58">
        <f>IF(12&gt;DAY(EOMONTH(DATE(設定!$C$2,設定!$D$2,1),0)),0,MOD(INT((DATE(設定!$C$2,設定!$D$2,12)-設定!$C$49)/7),2))</f>
        <v/>
      </c>
      <c r="AO58">
        <f>IF(13&gt;DAY(EOMONTH(DATE(設定!$C$2,設定!$D$2,1),0)),0,MOD(INT((DATE(設定!$C$2,設定!$D$2,13)-設定!$C$49)/7),2))</f>
        <v/>
      </c>
      <c r="AP58">
        <f>IF(13&gt;DAY(EOMONTH(DATE(設定!$C$2,設定!$D$2,1),0)),0,MOD(INT((DATE(設定!$C$2,設定!$D$2,13)-設定!$C$49)/7),2))</f>
        <v/>
      </c>
      <c r="AQ58">
        <f>IF(13&gt;DAY(EOMONTH(DATE(設定!$C$2,設定!$D$2,1),0)),0,MOD(INT((DATE(設定!$C$2,設定!$D$2,13)-設定!$C$49)/7),2))</f>
        <v/>
      </c>
      <c r="AR58">
        <f>IF(14&gt;DAY(EOMONTH(DATE(設定!$C$2,設定!$D$2,1),0)),0,MOD(INT((DATE(設定!$C$2,設定!$D$2,14)-設定!$C$49)/7),2))</f>
        <v/>
      </c>
      <c r="AS58">
        <f>IF(14&gt;DAY(EOMONTH(DATE(設定!$C$2,設定!$D$2,1),0)),0,MOD(INT((DATE(設定!$C$2,設定!$D$2,14)-設定!$C$49)/7),2))</f>
        <v/>
      </c>
      <c r="AT58">
        <f>IF(14&gt;DAY(EOMONTH(DATE(設定!$C$2,設定!$D$2,1),0)),0,MOD(INT((DATE(設定!$C$2,設定!$D$2,14)-設定!$C$49)/7),2))</f>
        <v/>
      </c>
      <c r="AU58">
        <f>IF(15&gt;DAY(EOMONTH(DATE(設定!$C$2,設定!$D$2,1),0)),0,MOD(INT((DATE(設定!$C$2,設定!$D$2,15)-設定!$C$49)/7),2))</f>
        <v/>
      </c>
      <c r="AV58">
        <f>IF(15&gt;DAY(EOMONTH(DATE(設定!$C$2,設定!$D$2,1),0)),0,MOD(INT((DATE(設定!$C$2,設定!$D$2,15)-設定!$C$49)/7),2))</f>
        <v/>
      </c>
      <c r="AW58">
        <f>IF(15&gt;DAY(EOMONTH(DATE(設定!$C$2,設定!$D$2,1),0)),0,MOD(INT((DATE(設定!$C$2,設定!$D$2,15)-設定!$C$49)/7),2))</f>
        <v/>
      </c>
      <c r="AX58">
        <f>IF(16&gt;DAY(EOMONTH(DATE(設定!$C$2,設定!$D$2,1),0)),0,MOD(INT((DATE(設定!$C$2,設定!$D$2,16)-設定!$C$49)/7),2))</f>
        <v/>
      </c>
      <c r="AY58">
        <f>IF(16&gt;DAY(EOMONTH(DATE(設定!$C$2,設定!$D$2,1),0)),0,MOD(INT((DATE(設定!$C$2,設定!$D$2,16)-設定!$C$49)/7),2))</f>
        <v/>
      </c>
      <c r="AZ58">
        <f>IF(16&gt;DAY(EOMONTH(DATE(設定!$C$2,設定!$D$2,1),0)),0,MOD(INT((DATE(設定!$C$2,設定!$D$2,16)-設定!$C$49)/7),2))</f>
        <v/>
      </c>
      <c r="BA58">
        <f>IF(17&gt;DAY(EOMONTH(DATE(設定!$C$2,設定!$D$2,1),0)),0,MOD(INT((DATE(設定!$C$2,設定!$D$2,17)-設定!$C$49)/7),2))</f>
        <v/>
      </c>
      <c r="BB58">
        <f>IF(17&gt;DAY(EOMONTH(DATE(設定!$C$2,設定!$D$2,1),0)),0,MOD(INT((DATE(設定!$C$2,設定!$D$2,17)-設定!$C$49)/7),2))</f>
        <v/>
      </c>
      <c r="BC58">
        <f>IF(17&gt;DAY(EOMONTH(DATE(設定!$C$2,設定!$D$2,1),0)),0,MOD(INT((DATE(設定!$C$2,設定!$D$2,17)-設定!$C$49)/7),2))</f>
        <v/>
      </c>
      <c r="BD58">
        <f>IF(18&gt;DAY(EOMONTH(DATE(設定!$C$2,設定!$D$2,1),0)),0,MOD(INT((DATE(設定!$C$2,設定!$D$2,18)-設定!$C$49)/7),2))</f>
        <v/>
      </c>
      <c r="BE58">
        <f>IF(18&gt;DAY(EOMONTH(DATE(設定!$C$2,設定!$D$2,1),0)),0,MOD(INT((DATE(設定!$C$2,設定!$D$2,18)-設定!$C$49)/7),2))</f>
        <v/>
      </c>
      <c r="BF58">
        <f>IF(18&gt;DAY(EOMONTH(DATE(設定!$C$2,設定!$D$2,1),0)),0,MOD(INT((DATE(設定!$C$2,設定!$D$2,18)-設定!$C$49)/7),2))</f>
        <v/>
      </c>
      <c r="BG58">
        <f>IF(19&gt;DAY(EOMONTH(DATE(設定!$C$2,設定!$D$2,1),0)),0,MOD(INT((DATE(設定!$C$2,設定!$D$2,19)-設定!$C$49)/7),2))</f>
        <v/>
      </c>
      <c r="BH58">
        <f>IF(19&gt;DAY(EOMONTH(DATE(設定!$C$2,設定!$D$2,1),0)),0,MOD(INT((DATE(設定!$C$2,設定!$D$2,19)-設定!$C$49)/7),2))</f>
        <v/>
      </c>
      <c r="BI58">
        <f>IF(19&gt;DAY(EOMONTH(DATE(設定!$C$2,設定!$D$2,1),0)),0,MOD(INT((DATE(設定!$C$2,設定!$D$2,19)-設定!$C$49)/7),2))</f>
        <v/>
      </c>
      <c r="BJ58">
        <f>IF(20&gt;DAY(EOMONTH(DATE(設定!$C$2,設定!$D$2,1),0)),0,MOD(INT((DATE(設定!$C$2,設定!$D$2,20)-設定!$C$49)/7),2))</f>
        <v/>
      </c>
      <c r="BK58">
        <f>IF(20&gt;DAY(EOMONTH(DATE(設定!$C$2,設定!$D$2,1),0)),0,MOD(INT((DATE(設定!$C$2,設定!$D$2,20)-設定!$C$49)/7),2))</f>
        <v/>
      </c>
      <c r="BL58">
        <f>IF(20&gt;DAY(EOMONTH(DATE(設定!$C$2,設定!$D$2,1),0)),0,MOD(INT((DATE(設定!$C$2,設定!$D$2,20)-設定!$C$49)/7),2))</f>
        <v/>
      </c>
      <c r="BM58">
        <f>IF(21&gt;DAY(EOMONTH(DATE(設定!$C$2,設定!$D$2,1),0)),0,MOD(INT((DATE(設定!$C$2,設定!$D$2,21)-設定!$C$49)/7),2))</f>
        <v/>
      </c>
      <c r="BN58">
        <f>IF(21&gt;DAY(EOMONTH(DATE(設定!$C$2,設定!$D$2,1),0)),0,MOD(INT((DATE(設定!$C$2,設定!$D$2,21)-設定!$C$49)/7),2))</f>
        <v/>
      </c>
      <c r="BO58">
        <f>IF(21&gt;DAY(EOMONTH(DATE(設定!$C$2,設定!$D$2,1),0)),0,MOD(INT((DATE(設定!$C$2,設定!$D$2,21)-設定!$C$49)/7),2))</f>
        <v/>
      </c>
      <c r="BP58">
        <f>IF(22&gt;DAY(EOMONTH(DATE(設定!$C$2,設定!$D$2,1),0)),0,MOD(INT((DATE(設定!$C$2,設定!$D$2,22)-設定!$C$49)/7),2))</f>
        <v/>
      </c>
      <c r="BQ58">
        <f>IF(22&gt;DAY(EOMONTH(DATE(設定!$C$2,設定!$D$2,1),0)),0,MOD(INT((DATE(設定!$C$2,設定!$D$2,22)-設定!$C$49)/7),2))</f>
        <v/>
      </c>
      <c r="BR58">
        <f>IF(22&gt;DAY(EOMONTH(DATE(設定!$C$2,設定!$D$2,1),0)),0,MOD(INT((DATE(設定!$C$2,設定!$D$2,22)-設定!$C$49)/7),2))</f>
        <v/>
      </c>
      <c r="BS58">
        <f>IF(23&gt;DAY(EOMONTH(DATE(設定!$C$2,設定!$D$2,1),0)),0,MOD(INT((DATE(設定!$C$2,設定!$D$2,23)-設定!$C$49)/7),2))</f>
        <v/>
      </c>
      <c r="BT58">
        <f>IF(23&gt;DAY(EOMONTH(DATE(設定!$C$2,設定!$D$2,1),0)),0,MOD(INT((DATE(設定!$C$2,設定!$D$2,23)-設定!$C$49)/7),2))</f>
        <v/>
      </c>
      <c r="BU58">
        <f>IF(23&gt;DAY(EOMONTH(DATE(設定!$C$2,設定!$D$2,1),0)),0,MOD(INT((DATE(設定!$C$2,設定!$D$2,23)-設定!$C$49)/7),2))</f>
        <v/>
      </c>
      <c r="BV58">
        <f>IF(24&gt;DAY(EOMONTH(DATE(設定!$C$2,設定!$D$2,1),0)),0,MOD(INT((DATE(設定!$C$2,設定!$D$2,24)-設定!$C$49)/7),2))</f>
        <v/>
      </c>
      <c r="BW58">
        <f>IF(24&gt;DAY(EOMONTH(DATE(設定!$C$2,設定!$D$2,1),0)),0,MOD(INT((DATE(設定!$C$2,設定!$D$2,24)-設定!$C$49)/7),2))</f>
        <v/>
      </c>
      <c r="BX58">
        <f>IF(24&gt;DAY(EOMONTH(DATE(設定!$C$2,設定!$D$2,1),0)),0,MOD(INT((DATE(設定!$C$2,設定!$D$2,24)-設定!$C$49)/7),2))</f>
        <v/>
      </c>
      <c r="BY58">
        <f>IF(25&gt;DAY(EOMONTH(DATE(設定!$C$2,設定!$D$2,1),0)),0,MOD(INT((DATE(設定!$C$2,設定!$D$2,25)-設定!$C$49)/7),2))</f>
        <v/>
      </c>
      <c r="BZ58">
        <f>IF(25&gt;DAY(EOMONTH(DATE(設定!$C$2,設定!$D$2,1),0)),0,MOD(INT((DATE(設定!$C$2,設定!$D$2,25)-設定!$C$49)/7),2))</f>
        <v/>
      </c>
      <c r="CA58">
        <f>IF(25&gt;DAY(EOMONTH(DATE(設定!$C$2,設定!$D$2,1),0)),0,MOD(INT((DATE(設定!$C$2,設定!$D$2,25)-設定!$C$49)/7),2))</f>
        <v/>
      </c>
      <c r="CB58">
        <f>IF(26&gt;DAY(EOMONTH(DATE(設定!$C$2,設定!$D$2,1),0)),0,MOD(INT((DATE(設定!$C$2,設定!$D$2,26)-設定!$C$49)/7),2))</f>
        <v/>
      </c>
      <c r="CC58">
        <f>IF(26&gt;DAY(EOMONTH(DATE(設定!$C$2,設定!$D$2,1),0)),0,MOD(INT((DATE(設定!$C$2,設定!$D$2,26)-設定!$C$49)/7),2))</f>
        <v/>
      </c>
      <c r="CD58">
        <f>IF(26&gt;DAY(EOMONTH(DATE(設定!$C$2,設定!$D$2,1),0)),0,MOD(INT((DATE(設定!$C$2,設定!$D$2,26)-設定!$C$49)/7),2))</f>
        <v/>
      </c>
      <c r="CE58">
        <f>IF(27&gt;DAY(EOMONTH(DATE(設定!$C$2,設定!$D$2,1),0)),0,MOD(INT((DATE(設定!$C$2,設定!$D$2,27)-設定!$C$49)/7),2))</f>
        <v/>
      </c>
      <c r="CF58">
        <f>IF(27&gt;DAY(EOMONTH(DATE(設定!$C$2,設定!$D$2,1),0)),0,MOD(INT((DATE(設定!$C$2,設定!$D$2,27)-設定!$C$49)/7),2))</f>
        <v/>
      </c>
      <c r="CG58">
        <f>IF(27&gt;DAY(EOMONTH(DATE(設定!$C$2,設定!$D$2,1),0)),0,MOD(INT((DATE(設定!$C$2,設定!$D$2,27)-設定!$C$49)/7),2))</f>
        <v/>
      </c>
      <c r="CH58">
        <f>IF(28&gt;DAY(EOMONTH(DATE(設定!$C$2,設定!$D$2,1),0)),0,MOD(INT((DATE(設定!$C$2,設定!$D$2,28)-設定!$C$49)/7),2))</f>
        <v/>
      </c>
      <c r="CI58">
        <f>IF(28&gt;DAY(EOMONTH(DATE(設定!$C$2,設定!$D$2,1),0)),0,MOD(INT((DATE(設定!$C$2,設定!$D$2,28)-設定!$C$49)/7),2))</f>
        <v/>
      </c>
      <c r="CJ58">
        <f>IF(28&gt;DAY(EOMONTH(DATE(設定!$C$2,設定!$D$2,1),0)),0,MOD(INT((DATE(設定!$C$2,設定!$D$2,28)-設定!$C$49)/7),2))</f>
        <v/>
      </c>
      <c r="CK58">
        <f>IF(29&gt;DAY(EOMONTH(DATE(設定!$C$2,設定!$D$2,1),0)),0,MOD(INT((DATE(設定!$C$2,設定!$D$2,29)-設定!$C$49)/7),2))</f>
        <v/>
      </c>
      <c r="CL58">
        <f>IF(29&gt;DAY(EOMONTH(DATE(設定!$C$2,設定!$D$2,1),0)),0,MOD(INT((DATE(設定!$C$2,設定!$D$2,29)-設定!$C$49)/7),2))</f>
        <v/>
      </c>
      <c r="CM58">
        <f>IF(29&gt;DAY(EOMONTH(DATE(設定!$C$2,設定!$D$2,1),0)),0,MOD(INT((DATE(設定!$C$2,設定!$D$2,29)-設定!$C$49)/7),2))</f>
        <v/>
      </c>
      <c r="CN58">
        <f>IF(30&gt;DAY(EOMONTH(DATE(設定!$C$2,設定!$D$2,1),0)),0,MOD(INT((DATE(設定!$C$2,設定!$D$2,30)-設定!$C$49)/7),2))</f>
        <v/>
      </c>
      <c r="CO58">
        <f>IF(30&gt;DAY(EOMONTH(DATE(設定!$C$2,設定!$D$2,1),0)),0,MOD(INT((DATE(設定!$C$2,設定!$D$2,30)-設定!$C$49)/7),2))</f>
        <v/>
      </c>
      <c r="CP58">
        <f>IF(30&gt;DAY(EOMONTH(DATE(設定!$C$2,設定!$D$2,1),0)),0,MOD(INT((DATE(設定!$C$2,設定!$D$2,30)-設定!$C$49)/7),2))</f>
        <v/>
      </c>
      <c r="CQ58">
        <f>IF(31&gt;DAY(EOMONTH(DATE(設定!$C$2,設定!$D$2,1),0)),0,MOD(INT((DATE(設定!$C$2,設定!$D$2,31)-設定!$C$49)/7),2))</f>
        <v/>
      </c>
      <c r="CR58">
        <f>IF(31&gt;DAY(EOMONTH(DATE(設定!$C$2,設定!$D$2,1),0)),0,MOD(INT((DATE(設定!$C$2,設定!$D$2,31)-設定!$C$49)/7),2))</f>
        <v/>
      </c>
      <c r="CS58">
        <f>IF(31&gt;DAY(EOMONTH(DATE(設定!$C$2,設定!$D$2,1),0)),0,MOD(INT((DATE(設定!$C$2,設定!$D$2,31)-設定!$C$49)/7),2))</f>
        <v/>
      </c>
    </row>
    <row r="59" hidden="1">
      <c r="A59" s="81" t="inlineStr">
        <is>
          <t>↓運算用,請勿刪</t>
        </is>
      </c>
      <c r="E59">
        <f>IF(1&gt;DAY(EOMONTH(DATE(設定!$C$2,設定!$D$2,1),0)),"X",IF(COUNTIF(設定!$W$6:$W$40,DATE(設定!$C$2,設定!$D$2,1))&gt;0,"國",IF(SUMPRODUCT(INDEX(設定!$U$54:$AO$58,0,E$57))=0,"休","")))</f>
        <v/>
      </c>
      <c r="F59">
        <f>IF(1&gt;DAY(EOMONTH(DATE(設定!$C$2,設定!$D$2,1),0)),"X",IF(COUNTIF(設定!$W$6:$W$40,DATE(設定!$C$2,設定!$D$2,1))&gt;0,"國",IF(SUMPRODUCT(INDEX(設定!$U$54:$AO$58,0,F$57))=0,"休","")))</f>
        <v/>
      </c>
      <c r="G59">
        <f>IF(1&gt;DAY(EOMONTH(DATE(設定!$C$2,設定!$D$2,1),0)),"X",IF(COUNTIF(設定!$W$6:$W$40,DATE(設定!$C$2,設定!$D$2,1))&gt;0,"國",IF(SUMPRODUCT(INDEX(設定!$U$54:$AO$58,0,G$57))=0,"休","")))</f>
        <v/>
      </c>
      <c r="H59">
        <f>IF(2&gt;DAY(EOMONTH(DATE(設定!$C$2,設定!$D$2,1),0)),"X",IF(COUNTIF(設定!$W$6:$W$40,DATE(設定!$C$2,設定!$D$2,2))&gt;0,"國",IF(SUMPRODUCT(INDEX(設定!$U$54:$AO$58,0,H$57))=0,"休","")))</f>
        <v/>
      </c>
      <c r="I59">
        <f>IF(2&gt;DAY(EOMONTH(DATE(設定!$C$2,設定!$D$2,1),0)),"X",IF(COUNTIF(設定!$W$6:$W$40,DATE(設定!$C$2,設定!$D$2,2))&gt;0,"國",IF(SUMPRODUCT(INDEX(設定!$U$54:$AO$58,0,I$57))=0,"休","")))</f>
        <v/>
      </c>
      <c r="J59">
        <f>IF(2&gt;DAY(EOMONTH(DATE(設定!$C$2,設定!$D$2,1),0)),"X",IF(COUNTIF(設定!$W$6:$W$40,DATE(設定!$C$2,設定!$D$2,2))&gt;0,"國",IF(SUMPRODUCT(INDEX(設定!$U$54:$AO$58,0,J$57))=0,"休","")))</f>
        <v/>
      </c>
      <c r="K59">
        <f>IF(3&gt;DAY(EOMONTH(DATE(設定!$C$2,設定!$D$2,1),0)),"X",IF(COUNTIF(設定!$W$6:$W$40,DATE(設定!$C$2,設定!$D$2,3))&gt;0,"國",IF(SUMPRODUCT(INDEX(設定!$U$54:$AO$58,0,K$57))=0,"休","")))</f>
        <v/>
      </c>
      <c r="L59">
        <f>IF(3&gt;DAY(EOMONTH(DATE(設定!$C$2,設定!$D$2,1),0)),"X",IF(COUNTIF(設定!$W$6:$W$40,DATE(設定!$C$2,設定!$D$2,3))&gt;0,"國",IF(SUMPRODUCT(INDEX(設定!$U$54:$AO$58,0,L$57))=0,"休","")))</f>
        <v/>
      </c>
      <c r="M59">
        <f>IF(3&gt;DAY(EOMONTH(DATE(設定!$C$2,設定!$D$2,1),0)),"X",IF(COUNTIF(設定!$W$6:$W$40,DATE(設定!$C$2,設定!$D$2,3))&gt;0,"國",IF(SUMPRODUCT(INDEX(設定!$U$54:$AO$58,0,M$57))=0,"休","")))</f>
        <v/>
      </c>
      <c r="N59">
        <f>IF(4&gt;DAY(EOMONTH(DATE(設定!$C$2,設定!$D$2,1),0)),"X",IF(COUNTIF(設定!$W$6:$W$40,DATE(設定!$C$2,設定!$D$2,4))&gt;0,"國",IF(SUMPRODUCT(INDEX(設定!$U$54:$AO$58,0,N$57))=0,"休","")))</f>
        <v/>
      </c>
      <c r="O59">
        <f>IF(4&gt;DAY(EOMONTH(DATE(設定!$C$2,設定!$D$2,1),0)),"X",IF(COUNTIF(設定!$W$6:$W$40,DATE(設定!$C$2,設定!$D$2,4))&gt;0,"國",IF(SUMPRODUCT(INDEX(設定!$U$54:$AO$58,0,O$57))=0,"休","")))</f>
        <v/>
      </c>
      <c r="P59">
        <f>IF(4&gt;DAY(EOMONTH(DATE(設定!$C$2,設定!$D$2,1),0)),"X",IF(COUNTIF(設定!$W$6:$W$40,DATE(設定!$C$2,設定!$D$2,4))&gt;0,"國",IF(SUMPRODUCT(INDEX(設定!$U$54:$AO$58,0,P$57))=0,"休","")))</f>
        <v/>
      </c>
      <c r="Q59">
        <f>IF(5&gt;DAY(EOMONTH(DATE(設定!$C$2,設定!$D$2,1),0)),"X",IF(COUNTIF(設定!$W$6:$W$40,DATE(設定!$C$2,設定!$D$2,5))&gt;0,"國",IF(SUMPRODUCT(INDEX(設定!$U$54:$AO$58,0,Q$57))=0,"休","")))</f>
        <v/>
      </c>
      <c r="R59">
        <f>IF(5&gt;DAY(EOMONTH(DATE(設定!$C$2,設定!$D$2,1),0)),"X",IF(COUNTIF(設定!$W$6:$W$40,DATE(設定!$C$2,設定!$D$2,5))&gt;0,"國",IF(SUMPRODUCT(INDEX(設定!$U$54:$AO$58,0,R$57))=0,"休","")))</f>
        <v/>
      </c>
      <c r="S59">
        <f>IF(5&gt;DAY(EOMONTH(DATE(設定!$C$2,設定!$D$2,1),0)),"X",IF(COUNTIF(設定!$W$6:$W$40,DATE(設定!$C$2,設定!$D$2,5))&gt;0,"國",IF(SUMPRODUCT(INDEX(設定!$U$54:$AO$58,0,S$57))=0,"休","")))</f>
        <v/>
      </c>
      <c r="T59">
        <f>IF(6&gt;DAY(EOMONTH(DATE(設定!$C$2,設定!$D$2,1),0)),"X",IF(COUNTIF(設定!$W$6:$W$40,DATE(設定!$C$2,設定!$D$2,6))&gt;0,"國",IF(SUMPRODUCT(INDEX(設定!$U$54:$AO$58,0,T$57))=0,"休","")))</f>
        <v/>
      </c>
      <c r="U59">
        <f>IF(6&gt;DAY(EOMONTH(DATE(設定!$C$2,設定!$D$2,1),0)),"X",IF(COUNTIF(設定!$W$6:$W$40,DATE(設定!$C$2,設定!$D$2,6))&gt;0,"國",IF(SUMPRODUCT(INDEX(設定!$U$54:$AO$58,0,U$57))=0,"休","")))</f>
        <v/>
      </c>
      <c r="V59">
        <f>IF(6&gt;DAY(EOMONTH(DATE(設定!$C$2,設定!$D$2,1),0)),"X",IF(COUNTIF(設定!$W$6:$W$40,DATE(設定!$C$2,設定!$D$2,6))&gt;0,"國",IF(SUMPRODUCT(INDEX(設定!$U$54:$AO$58,0,V$57))=0,"休","")))</f>
        <v/>
      </c>
      <c r="W59">
        <f>IF(7&gt;DAY(EOMONTH(DATE(設定!$C$2,設定!$D$2,1),0)),"X",IF(COUNTIF(設定!$W$6:$W$40,DATE(設定!$C$2,設定!$D$2,7))&gt;0,"國",IF(SUMPRODUCT(INDEX(設定!$U$54:$AO$58,0,W$57))=0,"休","")))</f>
        <v/>
      </c>
      <c r="X59">
        <f>IF(7&gt;DAY(EOMONTH(DATE(設定!$C$2,設定!$D$2,1),0)),"X",IF(COUNTIF(設定!$W$6:$W$40,DATE(設定!$C$2,設定!$D$2,7))&gt;0,"國",IF(SUMPRODUCT(INDEX(設定!$U$54:$AO$58,0,X$57))=0,"休","")))</f>
        <v/>
      </c>
      <c r="Y59">
        <f>IF(7&gt;DAY(EOMONTH(DATE(設定!$C$2,設定!$D$2,1),0)),"X",IF(COUNTIF(設定!$W$6:$W$40,DATE(設定!$C$2,設定!$D$2,7))&gt;0,"國",IF(SUMPRODUCT(INDEX(設定!$U$54:$AO$58,0,Y$57))=0,"休","")))</f>
        <v/>
      </c>
      <c r="Z59">
        <f>IF(8&gt;DAY(EOMONTH(DATE(設定!$C$2,設定!$D$2,1),0)),"X",IF(COUNTIF(設定!$W$6:$W$40,DATE(設定!$C$2,設定!$D$2,8))&gt;0,"國",IF(SUMPRODUCT(INDEX(設定!$U$54:$AO$58,0,Z$57))=0,"休","")))</f>
        <v/>
      </c>
      <c r="AA59">
        <f>IF(8&gt;DAY(EOMONTH(DATE(設定!$C$2,設定!$D$2,1),0)),"X",IF(COUNTIF(設定!$W$6:$W$40,DATE(設定!$C$2,設定!$D$2,8))&gt;0,"國",IF(SUMPRODUCT(INDEX(設定!$U$54:$AO$58,0,AA$57))=0,"休","")))</f>
        <v/>
      </c>
      <c r="AB59">
        <f>IF(8&gt;DAY(EOMONTH(DATE(設定!$C$2,設定!$D$2,1),0)),"X",IF(COUNTIF(設定!$W$6:$W$40,DATE(設定!$C$2,設定!$D$2,8))&gt;0,"國",IF(SUMPRODUCT(INDEX(設定!$U$54:$AO$58,0,AB$57))=0,"休","")))</f>
        <v/>
      </c>
      <c r="AC59">
        <f>IF(9&gt;DAY(EOMONTH(DATE(設定!$C$2,設定!$D$2,1),0)),"X",IF(COUNTIF(設定!$W$6:$W$40,DATE(設定!$C$2,設定!$D$2,9))&gt;0,"國",IF(SUMPRODUCT(INDEX(設定!$U$54:$AO$58,0,AC$57))=0,"休","")))</f>
        <v/>
      </c>
      <c r="AD59">
        <f>IF(9&gt;DAY(EOMONTH(DATE(設定!$C$2,設定!$D$2,1),0)),"X",IF(COUNTIF(設定!$W$6:$W$40,DATE(設定!$C$2,設定!$D$2,9))&gt;0,"國",IF(SUMPRODUCT(INDEX(設定!$U$54:$AO$58,0,AD$57))=0,"休","")))</f>
        <v/>
      </c>
      <c r="AE59">
        <f>IF(9&gt;DAY(EOMONTH(DATE(設定!$C$2,設定!$D$2,1),0)),"X",IF(COUNTIF(設定!$W$6:$W$40,DATE(設定!$C$2,設定!$D$2,9))&gt;0,"國",IF(SUMPRODUCT(INDEX(設定!$U$54:$AO$58,0,AE$57))=0,"休","")))</f>
        <v/>
      </c>
      <c r="AF59">
        <f>IF(10&gt;DAY(EOMONTH(DATE(設定!$C$2,設定!$D$2,1),0)),"X",IF(COUNTIF(設定!$W$6:$W$40,DATE(設定!$C$2,設定!$D$2,10))&gt;0,"國",IF(SUMPRODUCT(INDEX(設定!$U$54:$AO$58,0,AF$57))=0,"休","")))</f>
        <v/>
      </c>
      <c r="AG59">
        <f>IF(10&gt;DAY(EOMONTH(DATE(設定!$C$2,設定!$D$2,1),0)),"X",IF(COUNTIF(設定!$W$6:$W$40,DATE(設定!$C$2,設定!$D$2,10))&gt;0,"國",IF(SUMPRODUCT(INDEX(設定!$U$54:$AO$58,0,AG$57))=0,"休","")))</f>
        <v/>
      </c>
      <c r="AH59">
        <f>IF(10&gt;DAY(EOMONTH(DATE(設定!$C$2,設定!$D$2,1),0)),"X",IF(COUNTIF(設定!$W$6:$W$40,DATE(設定!$C$2,設定!$D$2,10))&gt;0,"國",IF(SUMPRODUCT(INDEX(設定!$U$54:$AO$58,0,AH$57))=0,"休","")))</f>
        <v/>
      </c>
      <c r="AI59">
        <f>IF(11&gt;DAY(EOMONTH(DATE(設定!$C$2,設定!$D$2,1),0)),"X",IF(COUNTIF(設定!$W$6:$W$40,DATE(設定!$C$2,設定!$D$2,11))&gt;0,"國",IF(SUMPRODUCT(INDEX(設定!$U$54:$AO$58,0,AI$57))=0,"休","")))</f>
        <v/>
      </c>
      <c r="AJ59">
        <f>IF(11&gt;DAY(EOMONTH(DATE(設定!$C$2,設定!$D$2,1),0)),"X",IF(COUNTIF(設定!$W$6:$W$40,DATE(設定!$C$2,設定!$D$2,11))&gt;0,"國",IF(SUMPRODUCT(INDEX(設定!$U$54:$AO$58,0,AJ$57))=0,"休","")))</f>
        <v/>
      </c>
      <c r="AK59">
        <f>IF(11&gt;DAY(EOMONTH(DATE(設定!$C$2,設定!$D$2,1),0)),"X",IF(COUNTIF(設定!$W$6:$W$40,DATE(設定!$C$2,設定!$D$2,11))&gt;0,"國",IF(SUMPRODUCT(INDEX(設定!$U$54:$AO$58,0,AK$57))=0,"休","")))</f>
        <v/>
      </c>
      <c r="AL59">
        <f>IF(12&gt;DAY(EOMONTH(DATE(設定!$C$2,設定!$D$2,1),0)),"X",IF(COUNTIF(設定!$W$6:$W$40,DATE(設定!$C$2,設定!$D$2,12))&gt;0,"國",IF(SUMPRODUCT(INDEX(設定!$U$54:$AO$58,0,AL$57))=0,"休","")))</f>
        <v/>
      </c>
      <c r="AM59">
        <f>IF(12&gt;DAY(EOMONTH(DATE(設定!$C$2,設定!$D$2,1),0)),"X",IF(COUNTIF(設定!$W$6:$W$40,DATE(設定!$C$2,設定!$D$2,12))&gt;0,"國",IF(SUMPRODUCT(INDEX(設定!$U$54:$AO$58,0,AM$57))=0,"休","")))</f>
        <v/>
      </c>
      <c r="AN59">
        <f>IF(12&gt;DAY(EOMONTH(DATE(設定!$C$2,設定!$D$2,1),0)),"X",IF(COUNTIF(設定!$W$6:$W$40,DATE(設定!$C$2,設定!$D$2,12))&gt;0,"國",IF(SUMPRODUCT(INDEX(設定!$U$54:$AO$58,0,AN$57))=0,"休","")))</f>
        <v/>
      </c>
      <c r="AO59">
        <f>IF(13&gt;DAY(EOMONTH(DATE(設定!$C$2,設定!$D$2,1),0)),"X",IF(COUNTIF(設定!$W$6:$W$40,DATE(設定!$C$2,設定!$D$2,13))&gt;0,"國",IF(SUMPRODUCT(INDEX(設定!$U$54:$AO$58,0,AO$57))=0,"休","")))</f>
        <v/>
      </c>
      <c r="AP59">
        <f>IF(13&gt;DAY(EOMONTH(DATE(設定!$C$2,設定!$D$2,1),0)),"X",IF(COUNTIF(設定!$W$6:$W$40,DATE(設定!$C$2,設定!$D$2,13))&gt;0,"國",IF(SUMPRODUCT(INDEX(設定!$U$54:$AO$58,0,AP$57))=0,"休","")))</f>
        <v/>
      </c>
      <c r="AQ59">
        <f>IF(13&gt;DAY(EOMONTH(DATE(設定!$C$2,設定!$D$2,1),0)),"X",IF(COUNTIF(設定!$W$6:$W$40,DATE(設定!$C$2,設定!$D$2,13))&gt;0,"國",IF(SUMPRODUCT(INDEX(設定!$U$54:$AO$58,0,AQ$57))=0,"休","")))</f>
        <v/>
      </c>
      <c r="AR59">
        <f>IF(14&gt;DAY(EOMONTH(DATE(設定!$C$2,設定!$D$2,1),0)),"X",IF(COUNTIF(設定!$W$6:$W$40,DATE(設定!$C$2,設定!$D$2,14))&gt;0,"國",IF(SUMPRODUCT(INDEX(設定!$U$54:$AO$58,0,AR$57))=0,"休","")))</f>
        <v/>
      </c>
      <c r="AS59">
        <f>IF(14&gt;DAY(EOMONTH(DATE(設定!$C$2,設定!$D$2,1),0)),"X",IF(COUNTIF(設定!$W$6:$W$40,DATE(設定!$C$2,設定!$D$2,14))&gt;0,"國",IF(SUMPRODUCT(INDEX(設定!$U$54:$AO$58,0,AS$57))=0,"休","")))</f>
        <v/>
      </c>
      <c r="AT59">
        <f>IF(14&gt;DAY(EOMONTH(DATE(設定!$C$2,設定!$D$2,1),0)),"X",IF(COUNTIF(設定!$W$6:$W$40,DATE(設定!$C$2,設定!$D$2,14))&gt;0,"國",IF(SUMPRODUCT(INDEX(設定!$U$54:$AO$58,0,AT$57))=0,"休","")))</f>
        <v/>
      </c>
      <c r="AU59">
        <f>IF(15&gt;DAY(EOMONTH(DATE(設定!$C$2,設定!$D$2,1),0)),"X",IF(COUNTIF(設定!$W$6:$W$40,DATE(設定!$C$2,設定!$D$2,15))&gt;0,"國",IF(SUMPRODUCT(INDEX(設定!$U$54:$AO$58,0,AU$57))=0,"休","")))</f>
        <v/>
      </c>
      <c r="AV59">
        <f>IF(15&gt;DAY(EOMONTH(DATE(設定!$C$2,設定!$D$2,1),0)),"X",IF(COUNTIF(設定!$W$6:$W$40,DATE(設定!$C$2,設定!$D$2,15))&gt;0,"國",IF(SUMPRODUCT(INDEX(設定!$U$54:$AO$58,0,AV$57))=0,"休","")))</f>
        <v/>
      </c>
      <c r="AW59">
        <f>IF(15&gt;DAY(EOMONTH(DATE(設定!$C$2,設定!$D$2,1),0)),"X",IF(COUNTIF(設定!$W$6:$W$40,DATE(設定!$C$2,設定!$D$2,15))&gt;0,"國",IF(SUMPRODUCT(INDEX(設定!$U$54:$AO$58,0,AW$57))=0,"休","")))</f>
        <v/>
      </c>
      <c r="AX59">
        <f>IF(16&gt;DAY(EOMONTH(DATE(設定!$C$2,設定!$D$2,1),0)),"X",IF(COUNTIF(設定!$W$6:$W$40,DATE(設定!$C$2,設定!$D$2,16))&gt;0,"國",IF(SUMPRODUCT(INDEX(設定!$U$54:$AO$58,0,AX$57))=0,"休","")))</f>
        <v/>
      </c>
      <c r="AY59">
        <f>IF(16&gt;DAY(EOMONTH(DATE(設定!$C$2,設定!$D$2,1),0)),"X",IF(COUNTIF(設定!$W$6:$W$40,DATE(設定!$C$2,設定!$D$2,16))&gt;0,"國",IF(SUMPRODUCT(INDEX(設定!$U$54:$AO$58,0,AY$57))=0,"休","")))</f>
        <v/>
      </c>
      <c r="AZ59">
        <f>IF(16&gt;DAY(EOMONTH(DATE(設定!$C$2,設定!$D$2,1),0)),"X",IF(COUNTIF(設定!$W$6:$W$40,DATE(設定!$C$2,設定!$D$2,16))&gt;0,"國",IF(SUMPRODUCT(INDEX(設定!$U$54:$AO$58,0,AZ$57))=0,"休","")))</f>
        <v/>
      </c>
      <c r="BA59">
        <f>IF(17&gt;DAY(EOMONTH(DATE(設定!$C$2,設定!$D$2,1),0)),"X",IF(COUNTIF(設定!$W$6:$W$40,DATE(設定!$C$2,設定!$D$2,17))&gt;0,"國",IF(SUMPRODUCT(INDEX(設定!$U$54:$AO$58,0,BA$57))=0,"休","")))</f>
        <v/>
      </c>
      <c r="BB59">
        <f>IF(17&gt;DAY(EOMONTH(DATE(設定!$C$2,設定!$D$2,1),0)),"X",IF(COUNTIF(設定!$W$6:$W$40,DATE(設定!$C$2,設定!$D$2,17))&gt;0,"國",IF(SUMPRODUCT(INDEX(設定!$U$54:$AO$58,0,BB$57))=0,"休","")))</f>
        <v/>
      </c>
      <c r="BC59">
        <f>IF(17&gt;DAY(EOMONTH(DATE(設定!$C$2,設定!$D$2,1),0)),"X",IF(COUNTIF(設定!$W$6:$W$40,DATE(設定!$C$2,設定!$D$2,17))&gt;0,"國",IF(SUMPRODUCT(INDEX(設定!$U$54:$AO$58,0,BC$57))=0,"休","")))</f>
        <v/>
      </c>
      <c r="BD59">
        <f>IF(18&gt;DAY(EOMONTH(DATE(設定!$C$2,設定!$D$2,1),0)),"X",IF(COUNTIF(設定!$W$6:$W$40,DATE(設定!$C$2,設定!$D$2,18))&gt;0,"國",IF(SUMPRODUCT(INDEX(設定!$U$54:$AO$58,0,BD$57))=0,"休","")))</f>
        <v/>
      </c>
      <c r="BE59">
        <f>IF(18&gt;DAY(EOMONTH(DATE(設定!$C$2,設定!$D$2,1),0)),"X",IF(COUNTIF(設定!$W$6:$W$40,DATE(設定!$C$2,設定!$D$2,18))&gt;0,"國",IF(SUMPRODUCT(INDEX(設定!$U$54:$AO$58,0,BE$57))=0,"休","")))</f>
        <v/>
      </c>
      <c r="BF59">
        <f>IF(18&gt;DAY(EOMONTH(DATE(設定!$C$2,設定!$D$2,1),0)),"X",IF(COUNTIF(設定!$W$6:$W$40,DATE(設定!$C$2,設定!$D$2,18))&gt;0,"國",IF(SUMPRODUCT(INDEX(設定!$U$54:$AO$58,0,BF$57))=0,"休","")))</f>
        <v/>
      </c>
      <c r="BG59">
        <f>IF(19&gt;DAY(EOMONTH(DATE(設定!$C$2,設定!$D$2,1),0)),"X",IF(COUNTIF(設定!$W$6:$W$40,DATE(設定!$C$2,設定!$D$2,19))&gt;0,"國",IF(SUMPRODUCT(INDEX(設定!$U$54:$AO$58,0,BG$57))=0,"休","")))</f>
        <v/>
      </c>
      <c r="BH59">
        <f>IF(19&gt;DAY(EOMONTH(DATE(設定!$C$2,設定!$D$2,1),0)),"X",IF(COUNTIF(設定!$W$6:$W$40,DATE(設定!$C$2,設定!$D$2,19))&gt;0,"國",IF(SUMPRODUCT(INDEX(設定!$U$54:$AO$58,0,BH$57))=0,"休","")))</f>
        <v/>
      </c>
      <c r="BI59">
        <f>IF(19&gt;DAY(EOMONTH(DATE(設定!$C$2,設定!$D$2,1),0)),"X",IF(COUNTIF(設定!$W$6:$W$40,DATE(設定!$C$2,設定!$D$2,19))&gt;0,"國",IF(SUMPRODUCT(INDEX(設定!$U$54:$AO$58,0,BI$57))=0,"休","")))</f>
        <v/>
      </c>
      <c r="BJ59">
        <f>IF(20&gt;DAY(EOMONTH(DATE(設定!$C$2,設定!$D$2,1),0)),"X",IF(COUNTIF(設定!$W$6:$W$40,DATE(設定!$C$2,設定!$D$2,20))&gt;0,"國",IF(SUMPRODUCT(INDEX(設定!$U$54:$AO$58,0,BJ$57))=0,"休","")))</f>
        <v/>
      </c>
      <c r="BK59">
        <f>IF(20&gt;DAY(EOMONTH(DATE(設定!$C$2,設定!$D$2,1),0)),"X",IF(COUNTIF(設定!$W$6:$W$40,DATE(設定!$C$2,設定!$D$2,20))&gt;0,"國",IF(SUMPRODUCT(INDEX(設定!$U$54:$AO$58,0,BK$57))=0,"休","")))</f>
        <v/>
      </c>
      <c r="BL59">
        <f>IF(20&gt;DAY(EOMONTH(DATE(設定!$C$2,設定!$D$2,1),0)),"X",IF(COUNTIF(設定!$W$6:$W$40,DATE(設定!$C$2,設定!$D$2,20))&gt;0,"國",IF(SUMPRODUCT(INDEX(設定!$U$54:$AO$58,0,BL$57))=0,"休","")))</f>
        <v/>
      </c>
      <c r="BM59">
        <f>IF(21&gt;DAY(EOMONTH(DATE(設定!$C$2,設定!$D$2,1),0)),"X",IF(COUNTIF(設定!$W$6:$W$40,DATE(設定!$C$2,設定!$D$2,21))&gt;0,"國",IF(SUMPRODUCT(INDEX(設定!$U$54:$AO$58,0,BM$57))=0,"休","")))</f>
        <v/>
      </c>
      <c r="BN59">
        <f>IF(21&gt;DAY(EOMONTH(DATE(設定!$C$2,設定!$D$2,1),0)),"X",IF(COUNTIF(設定!$W$6:$W$40,DATE(設定!$C$2,設定!$D$2,21))&gt;0,"國",IF(SUMPRODUCT(INDEX(設定!$U$54:$AO$58,0,BN$57))=0,"休","")))</f>
        <v/>
      </c>
      <c r="BO59">
        <f>IF(21&gt;DAY(EOMONTH(DATE(設定!$C$2,設定!$D$2,1),0)),"X",IF(COUNTIF(設定!$W$6:$W$40,DATE(設定!$C$2,設定!$D$2,21))&gt;0,"國",IF(SUMPRODUCT(INDEX(設定!$U$54:$AO$58,0,BO$57))=0,"休","")))</f>
        <v/>
      </c>
      <c r="BP59">
        <f>IF(22&gt;DAY(EOMONTH(DATE(設定!$C$2,設定!$D$2,1),0)),"X",IF(COUNTIF(設定!$W$6:$W$40,DATE(設定!$C$2,設定!$D$2,22))&gt;0,"國",IF(SUMPRODUCT(INDEX(設定!$U$54:$AO$58,0,BP$57))=0,"休","")))</f>
        <v/>
      </c>
      <c r="BQ59">
        <f>IF(22&gt;DAY(EOMONTH(DATE(設定!$C$2,設定!$D$2,1),0)),"X",IF(COUNTIF(設定!$W$6:$W$40,DATE(設定!$C$2,設定!$D$2,22))&gt;0,"國",IF(SUMPRODUCT(INDEX(設定!$U$54:$AO$58,0,BQ$57))=0,"休","")))</f>
        <v/>
      </c>
      <c r="BR59">
        <f>IF(22&gt;DAY(EOMONTH(DATE(設定!$C$2,設定!$D$2,1),0)),"X",IF(COUNTIF(設定!$W$6:$W$40,DATE(設定!$C$2,設定!$D$2,22))&gt;0,"國",IF(SUMPRODUCT(INDEX(設定!$U$54:$AO$58,0,BR$57))=0,"休","")))</f>
        <v/>
      </c>
      <c r="BS59">
        <f>IF(23&gt;DAY(EOMONTH(DATE(設定!$C$2,設定!$D$2,1),0)),"X",IF(COUNTIF(設定!$W$6:$W$40,DATE(設定!$C$2,設定!$D$2,23))&gt;0,"國",IF(SUMPRODUCT(INDEX(設定!$U$54:$AO$58,0,BS$57))=0,"休","")))</f>
        <v/>
      </c>
      <c r="BT59">
        <f>IF(23&gt;DAY(EOMONTH(DATE(設定!$C$2,設定!$D$2,1),0)),"X",IF(COUNTIF(設定!$W$6:$W$40,DATE(設定!$C$2,設定!$D$2,23))&gt;0,"國",IF(SUMPRODUCT(INDEX(設定!$U$54:$AO$58,0,BT$57))=0,"休","")))</f>
        <v/>
      </c>
      <c r="BU59">
        <f>IF(23&gt;DAY(EOMONTH(DATE(設定!$C$2,設定!$D$2,1),0)),"X",IF(COUNTIF(設定!$W$6:$W$40,DATE(設定!$C$2,設定!$D$2,23))&gt;0,"國",IF(SUMPRODUCT(INDEX(設定!$U$54:$AO$58,0,BU$57))=0,"休","")))</f>
        <v/>
      </c>
      <c r="BV59">
        <f>IF(24&gt;DAY(EOMONTH(DATE(設定!$C$2,設定!$D$2,1),0)),"X",IF(COUNTIF(設定!$W$6:$W$40,DATE(設定!$C$2,設定!$D$2,24))&gt;0,"國",IF(SUMPRODUCT(INDEX(設定!$U$54:$AO$58,0,BV$57))=0,"休","")))</f>
        <v/>
      </c>
      <c r="BW59">
        <f>IF(24&gt;DAY(EOMONTH(DATE(設定!$C$2,設定!$D$2,1),0)),"X",IF(COUNTIF(設定!$W$6:$W$40,DATE(設定!$C$2,設定!$D$2,24))&gt;0,"國",IF(SUMPRODUCT(INDEX(設定!$U$54:$AO$58,0,BW$57))=0,"休","")))</f>
        <v/>
      </c>
      <c r="BX59">
        <f>IF(24&gt;DAY(EOMONTH(DATE(設定!$C$2,設定!$D$2,1),0)),"X",IF(COUNTIF(設定!$W$6:$W$40,DATE(設定!$C$2,設定!$D$2,24))&gt;0,"國",IF(SUMPRODUCT(INDEX(設定!$U$54:$AO$58,0,BX$57))=0,"休","")))</f>
        <v/>
      </c>
      <c r="BY59">
        <f>IF(25&gt;DAY(EOMONTH(DATE(設定!$C$2,設定!$D$2,1),0)),"X",IF(COUNTIF(設定!$W$6:$W$40,DATE(設定!$C$2,設定!$D$2,25))&gt;0,"國",IF(SUMPRODUCT(INDEX(設定!$U$54:$AO$58,0,BY$57))=0,"休","")))</f>
        <v/>
      </c>
      <c r="BZ59">
        <f>IF(25&gt;DAY(EOMONTH(DATE(設定!$C$2,設定!$D$2,1),0)),"X",IF(COUNTIF(設定!$W$6:$W$40,DATE(設定!$C$2,設定!$D$2,25))&gt;0,"國",IF(SUMPRODUCT(INDEX(設定!$U$54:$AO$58,0,BZ$57))=0,"休","")))</f>
        <v/>
      </c>
      <c r="CA59">
        <f>IF(25&gt;DAY(EOMONTH(DATE(設定!$C$2,設定!$D$2,1),0)),"X",IF(COUNTIF(設定!$W$6:$W$40,DATE(設定!$C$2,設定!$D$2,25))&gt;0,"國",IF(SUMPRODUCT(INDEX(設定!$U$54:$AO$58,0,CA$57))=0,"休","")))</f>
        <v/>
      </c>
      <c r="CB59">
        <f>IF(26&gt;DAY(EOMONTH(DATE(設定!$C$2,設定!$D$2,1),0)),"X",IF(COUNTIF(設定!$W$6:$W$40,DATE(設定!$C$2,設定!$D$2,26))&gt;0,"國",IF(SUMPRODUCT(INDEX(設定!$U$54:$AO$58,0,CB$57))=0,"休","")))</f>
        <v/>
      </c>
      <c r="CC59">
        <f>IF(26&gt;DAY(EOMONTH(DATE(設定!$C$2,設定!$D$2,1),0)),"X",IF(COUNTIF(設定!$W$6:$W$40,DATE(設定!$C$2,設定!$D$2,26))&gt;0,"國",IF(SUMPRODUCT(INDEX(設定!$U$54:$AO$58,0,CC$57))=0,"休","")))</f>
        <v/>
      </c>
      <c r="CD59">
        <f>IF(26&gt;DAY(EOMONTH(DATE(設定!$C$2,設定!$D$2,1),0)),"X",IF(COUNTIF(設定!$W$6:$W$40,DATE(設定!$C$2,設定!$D$2,26))&gt;0,"國",IF(SUMPRODUCT(INDEX(設定!$U$54:$AO$58,0,CD$57))=0,"休","")))</f>
        <v/>
      </c>
      <c r="CE59">
        <f>IF(27&gt;DAY(EOMONTH(DATE(設定!$C$2,設定!$D$2,1),0)),"X",IF(COUNTIF(設定!$W$6:$W$40,DATE(設定!$C$2,設定!$D$2,27))&gt;0,"國",IF(SUMPRODUCT(INDEX(設定!$U$54:$AO$58,0,CE$57))=0,"休","")))</f>
        <v/>
      </c>
      <c r="CF59">
        <f>IF(27&gt;DAY(EOMONTH(DATE(設定!$C$2,設定!$D$2,1),0)),"X",IF(COUNTIF(設定!$W$6:$W$40,DATE(設定!$C$2,設定!$D$2,27))&gt;0,"國",IF(SUMPRODUCT(INDEX(設定!$U$54:$AO$58,0,CF$57))=0,"休","")))</f>
        <v/>
      </c>
      <c r="CG59">
        <f>IF(27&gt;DAY(EOMONTH(DATE(設定!$C$2,設定!$D$2,1),0)),"X",IF(COUNTIF(設定!$W$6:$W$40,DATE(設定!$C$2,設定!$D$2,27))&gt;0,"國",IF(SUMPRODUCT(INDEX(設定!$U$54:$AO$58,0,CG$57))=0,"休","")))</f>
        <v/>
      </c>
      <c r="CH59">
        <f>IF(28&gt;DAY(EOMONTH(DATE(設定!$C$2,設定!$D$2,1),0)),"X",IF(COUNTIF(設定!$W$6:$W$40,DATE(設定!$C$2,設定!$D$2,28))&gt;0,"國",IF(SUMPRODUCT(INDEX(設定!$U$54:$AO$58,0,CH$57))=0,"休","")))</f>
        <v/>
      </c>
      <c r="CI59">
        <f>IF(28&gt;DAY(EOMONTH(DATE(設定!$C$2,設定!$D$2,1),0)),"X",IF(COUNTIF(設定!$W$6:$W$40,DATE(設定!$C$2,設定!$D$2,28))&gt;0,"國",IF(SUMPRODUCT(INDEX(設定!$U$54:$AO$58,0,CI$57))=0,"休","")))</f>
        <v/>
      </c>
      <c r="CJ59">
        <f>IF(28&gt;DAY(EOMONTH(DATE(設定!$C$2,設定!$D$2,1),0)),"X",IF(COUNTIF(設定!$W$6:$W$40,DATE(設定!$C$2,設定!$D$2,28))&gt;0,"國",IF(SUMPRODUCT(INDEX(設定!$U$54:$AO$58,0,CJ$57))=0,"休","")))</f>
        <v/>
      </c>
      <c r="CK59">
        <f>IF(29&gt;DAY(EOMONTH(DATE(設定!$C$2,設定!$D$2,1),0)),"X",IF(COUNTIF(設定!$W$6:$W$40,DATE(設定!$C$2,設定!$D$2,29))&gt;0,"國",IF(SUMPRODUCT(INDEX(設定!$U$54:$AO$58,0,CK$57))=0,"休","")))</f>
        <v/>
      </c>
      <c r="CL59">
        <f>IF(29&gt;DAY(EOMONTH(DATE(設定!$C$2,設定!$D$2,1),0)),"X",IF(COUNTIF(設定!$W$6:$W$40,DATE(設定!$C$2,設定!$D$2,29))&gt;0,"國",IF(SUMPRODUCT(INDEX(設定!$U$54:$AO$58,0,CL$57))=0,"休","")))</f>
        <v/>
      </c>
      <c r="CM59">
        <f>IF(29&gt;DAY(EOMONTH(DATE(設定!$C$2,設定!$D$2,1),0)),"X",IF(COUNTIF(設定!$W$6:$W$40,DATE(設定!$C$2,設定!$D$2,29))&gt;0,"國",IF(SUMPRODUCT(INDEX(設定!$U$54:$AO$58,0,CM$57))=0,"休","")))</f>
        <v/>
      </c>
      <c r="CN59">
        <f>IF(30&gt;DAY(EOMONTH(DATE(設定!$C$2,設定!$D$2,1),0)),"X",IF(COUNTIF(設定!$W$6:$W$40,DATE(設定!$C$2,設定!$D$2,30))&gt;0,"國",IF(SUMPRODUCT(INDEX(設定!$U$54:$AO$58,0,CN$57))=0,"休","")))</f>
        <v/>
      </c>
      <c r="CO59">
        <f>IF(30&gt;DAY(EOMONTH(DATE(設定!$C$2,設定!$D$2,1),0)),"X",IF(COUNTIF(設定!$W$6:$W$40,DATE(設定!$C$2,設定!$D$2,30))&gt;0,"國",IF(SUMPRODUCT(INDEX(設定!$U$54:$AO$58,0,CO$57))=0,"休","")))</f>
        <v/>
      </c>
      <c r="CP59">
        <f>IF(30&gt;DAY(EOMONTH(DATE(設定!$C$2,設定!$D$2,1),0)),"X",IF(COUNTIF(設定!$W$6:$W$40,DATE(設定!$C$2,設定!$D$2,30))&gt;0,"國",IF(SUMPRODUCT(INDEX(設定!$U$54:$AO$58,0,CP$57))=0,"休","")))</f>
        <v/>
      </c>
      <c r="CQ59">
        <f>IF(31&gt;DAY(EOMONTH(DATE(設定!$C$2,設定!$D$2,1),0)),"X",IF(COUNTIF(設定!$W$6:$W$40,DATE(設定!$C$2,設定!$D$2,31))&gt;0,"國",IF(SUMPRODUCT(INDEX(設定!$U$54:$AO$58,0,CQ$57))=0,"休","")))</f>
        <v/>
      </c>
      <c r="CR59">
        <f>IF(31&gt;DAY(EOMONTH(DATE(設定!$C$2,設定!$D$2,1),0)),"X",IF(COUNTIF(設定!$W$6:$W$40,DATE(設定!$C$2,設定!$D$2,31))&gt;0,"國",IF(SUMPRODUCT(INDEX(設定!$U$54:$AO$58,0,CR$57))=0,"休","")))</f>
        <v/>
      </c>
      <c r="CS59">
        <f>IF(31&gt;DAY(EOMONTH(DATE(設定!$C$2,設定!$D$2,1),0)),"X",IF(COUNTIF(設定!$W$6:$W$40,DATE(設定!$C$2,設定!$D$2,31))&gt;0,"國",IF(SUMPRODUCT(INDEX(設定!$U$54:$AO$58,0,CS$57))=0,"休","")))</f>
        <v/>
      </c>
    </row>
  </sheetData>
  <mergeCells count="47">
    <mergeCell ref="CE3:CG3"/>
    <mergeCell ref="CQ3:CS3"/>
    <mergeCell ref="BP3:BR3"/>
    <mergeCell ref="CB3:CD3"/>
    <mergeCell ref="W3:Y3"/>
    <mergeCell ref="Q2:T2"/>
    <mergeCell ref="Z3:AB3"/>
    <mergeCell ref="BA3:BC3"/>
    <mergeCell ref="AL3:AN3"/>
    <mergeCell ref="CN3:CP3"/>
    <mergeCell ref="A48:D48"/>
    <mergeCell ref="C3:C5"/>
    <mergeCell ref="AX3:AZ3"/>
    <mergeCell ref="B3:B5"/>
    <mergeCell ref="I2:L2"/>
    <mergeCell ref="H3:J3"/>
    <mergeCell ref="AI3:AK3"/>
    <mergeCell ref="A49:D49"/>
    <mergeCell ref="A51:D51"/>
    <mergeCell ref="BJ3:BL3"/>
    <mergeCell ref="CK3:CM3"/>
    <mergeCell ref="AU3:AW3"/>
    <mergeCell ref="BV3:BX3"/>
    <mergeCell ref="AR3:AT3"/>
    <mergeCell ref="U2:X2"/>
    <mergeCell ref="T3:V3"/>
    <mergeCell ref="M2:P2"/>
    <mergeCell ref="E3:G3"/>
    <mergeCell ref="K3:M3"/>
    <mergeCell ref="AF3:AH3"/>
    <mergeCell ref="A46:D46"/>
    <mergeCell ref="A1:AN1"/>
    <mergeCell ref="BG3:BI3"/>
    <mergeCell ref="Q3:S3"/>
    <mergeCell ref="CH3:CJ3"/>
    <mergeCell ref="BM3:BO3"/>
    <mergeCell ref="BS3:BU3"/>
    <mergeCell ref="A50:D50"/>
    <mergeCell ref="AO3:AQ3"/>
    <mergeCell ref="A3:A5"/>
    <mergeCell ref="AC3:AE3"/>
    <mergeCell ref="D3:D5"/>
    <mergeCell ref="A47:D47"/>
    <mergeCell ref="BD3:BF3"/>
    <mergeCell ref="E2:H2"/>
    <mergeCell ref="N3:P3"/>
    <mergeCell ref="BY3:CA3"/>
  </mergeCells>
  <conditionalFormatting sqref="E6:CS45">
    <cfRule type="expression" priority="1" dxfId="0" stopIfTrue="1">
      <formula>E6="悅"</formula>
    </cfRule>
    <cfRule type="expression" priority="2" dxfId="1" stopIfTrue="1">
      <formula>E6="睿"</formula>
    </cfRule>
    <cfRule type="expression" priority="3" dxfId="2" stopIfTrue="1">
      <formula>E6="匯"</formula>
    </cfRule>
    <cfRule type="expression" priority="4" dxfId="3" stopIfTrue="1">
      <formula>E6="曜"</formula>
    </cfRule>
    <cfRule type="expression" priority="5" dxfId="4" stopIfTrue="1">
      <formula>E6="寶"</formula>
    </cfRule>
    <cfRule type="expression" priority="6" dxfId="5" stopIfTrue="1">
      <formula>COUNTIF(設定!$B$28:$B$40,E6)&gt;0</formula>
    </cfRule>
    <cfRule type="expression" priority="7" dxfId="6">
      <formula>OR(E$4="六",E$4="日")</formula>
    </cfRule>
    <cfRule type="expression" priority="9" dxfId="7">
      <formula>AND(E$4&lt;&gt;"",NOT(_xlfn.ISFORMULA(E6)))</formula>
    </cfRule>
  </conditionalFormatting>
  <conditionalFormatting sqref="E4:CS5">
    <cfRule type="expression" priority="8" dxfId="6">
      <formula>OR(E$4="六",E$4="日")</formula>
    </cfRule>
  </conditionalFormatting>
  <conditionalFormatting sqref="E47:CS47">
    <cfRule type="expression" priority="10" dxfId="8">
      <formula>AND(E$4&lt;&gt;"",ISNUMBER(E47),E47=0)</formula>
    </cfRule>
  </conditionalFormatting>
  <conditionalFormatting sqref="E48:CS48">
    <cfRule type="expression" priority="11" dxfId="8">
      <formula>AND(E$4&lt;&gt;"",ISNUMBER(E48),E48=0)</formula>
    </cfRule>
  </conditionalFormatting>
  <conditionalFormatting sqref="E49:CS49">
    <cfRule type="expression" priority="12" dxfId="8">
      <formula>AND(E$4&lt;&gt;"",ISNUMBER(E49),E49=0)</formula>
    </cfRule>
  </conditionalFormatting>
  <conditionalFormatting sqref="E50:CS50">
    <cfRule type="expression" priority="13" dxfId="8">
      <formula>AND(E$4&lt;&gt;"",ISNUMBER(E50),E50=0)</formula>
    </cfRule>
  </conditionalFormatting>
  <conditionalFormatting sqref="E51:CS51">
    <cfRule type="expression" priority="14" dxfId="8">
      <formula>AND(E$4&lt;&gt;"",ISNUMBER(E51),E51=0)</formula>
    </cfRule>
  </conditionalFormatting>
  <dataValidations count="2">
    <dataValidation sqref="E6:CS45" showDropDown="0" showInputMessage="0" showErrorMessage="1" allowBlank="1" errorTitle="診次代碼無效" error="請填院所代碼(悅睿匯曜寶)或休假代碼。" type="list">
      <formula1>設定!$B$28:$B$40</formula1>
    </dataValidation>
    <dataValidation sqref="A6:A45" showDropDown="0" showInputMessage="0" showErrorMessage="1" allowBlank="1" errorTitle="不在醫師名冊中" error="這個編號不在醫師名冊裡。確定要用請按「是」,但建議先到「設定」分頁把人加進名冊。" type="list" errorStyle="warning">
      <formula1>設定!$Q$6:$Q$45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11" customWidth="1" min="11" max="11"/>
    <col width="9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  <col width="7" customWidth="1" min="19" max="19"/>
    <col width="12" customWidth="1" min="20" max="20"/>
    <col width="10" customWidth="1" min="21" max="21"/>
  </cols>
  <sheetData>
    <row r="1">
      <c r="A1" s="1" t="inlineStr">
        <is>
          <t>醫師月結(全自動 · 以診次為單位)</t>
        </is>
      </c>
    </row>
    <row r="2">
      <c r="A2" s="4" t="inlineStr">
        <is>
          <t>期間</t>
        </is>
      </c>
      <c r="B2" s="27" t="inlineStr">
        <is>
          <t>2026 年 10 月</t>
        </is>
      </c>
    </row>
    <row r="4" ht="30" customHeight="1">
      <c r="A4" s="10" t="inlineStr">
        <is>
          <t>員工編號</t>
        </is>
      </c>
      <c r="B4" s="10" t="inlineStr">
        <is>
          <t>姓名</t>
        </is>
      </c>
      <c r="C4" s="10" t="inlineStr">
        <is>
          <t>專科</t>
        </is>
      </c>
      <c r="D4" s="10" t="inlineStr">
        <is>
          <t>職務</t>
        </is>
      </c>
      <c r="E4" s="10" t="inlineStr">
        <is>
          <t>晶悅診次</t>
        </is>
      </c>
      <c r="F4" s="10" t="inlineStr">
        <is>
          <t>晶睿診次</t>
        </is>
      </c>
      <c r="G4" s="10" t="inlineStr">
        <is>
          <t>晶匯診次</t>
        </is>
      </c>
      <c r="H4" s="10" t="inlineStr">
        <is>
          <t>晶曜診次</t>
        </is>
      </c>
      <c r="I4" s="10" t="inlineStr">
        <is>
          <t>寶貝牙診次</t>
        </is>
      </c>
      <c r="J4" s="10" t="inlineStr">
        <is>
          <t>總診次</t>
        </is>
      </c>
      <c r="K4" s="10" t="inlineStr">
        <is>
          <t>服務院所數</t>
        </is>
      </c>
      <c r="L4" s="10" t="inlineStr">
        <is>
          <t>教育訓練</t>
        </is>
      </c>
      <c r="M4" s="10" t="inlineStr">
        <is>
          <t>排休</t>
        </is>
      </c>
      <c r="N4" s="10" t="inlineStr">
        <is>
          <t>特休</t>
        </is>
      </c>
      <c r="O4" s="10" t="inlineStr">
        <is>
          <t>病假</t>
        </is>
      </c>
      <c r="P4" s="10" t="inlineStr">
        <is>
          <t>事假</t>
        </is>
      </c>
      <c r="Q4" s="10" t="inlineStr">
        <is>
          <t>公假</t>
        </is>
      </c>
      <c r="R4" s="10" t="inlineStr">
        <is>
          <t>國定假日</t>
        </is>
      </c>
      <c r="S4" s="10" t="inlineStr">
        <is>
          <t>休診</t>
        </is>
      </c>
      <c r="T4" s="10" t="inlineStr">
        <is>
          <t>休假/休診合計</t>
        </is>
      </c>
      <c r="U4" s="10" t="inlineStr">
        <is>
          <t>未排診次</t>
        </is>
      </c>
    </row>
    <row r="5">
      <c r="A5" s="16" t="inlineStr">
        <is>
          <t>D001</t>
        </is>
      </c>
      <c r="B5" s="16" t="inlineStr">
        <is>
          <t>林智俊</t>
        </is>
      </c>
      <c r="C5" s="70" t="inlineStr">
        <is>
          <t>牙周植牙專科</t>
        </is>
      </c>
      <c r="D5" s="16" t="inlineStr">
        <is>
          <t>晶悅院長</t>
        </is>
      </c>
      <c r="E5" s="62">
        <f>IF($A5="","",COUNTIF(醫師班表!$E6:$CS6,"悅"))</f>
        <v/>
      </c>
      <c r="F5" s="63">
        <f>IF($A5="","",COUNTIF(醫師班表!$E6:$CS6,"睿"))</f>
        <v/>
      </c>
      <c r="G5" s="64">
        <f>IF($A5="","",COUNTIF(醫師班表!$E6:$CS6,"匯"))</f>
        <v/>
      </c>
      <c r="H5" s="65">
        <f>IF($A5="","",COUNTIF(醫師班表!$E6:$CS6,"曜"))</f>
        <v/>
      </c>
      <c r="I5" s="66">
        <f>IF($A5="","",COUNTIF(醫師班表!$E6:$CS6,"寶"))</f>
        <v/>
      </c>
      <c r="J5" s="16">
        <f>IF($A5="","",SUM($E5:$I5))</f>
        <v/>
      </c>
      <c r="K5" s="16">
        <f>IF($A5="","",SUMPRODUCT(($E5:$I5&gt;0)*1))</f>
        <v/>
      </c>
      <c r="L5" s="16">
        <f>IF($A5="","",COUNTIF(醫師班表!$E6:$CS6,"訓"))</f>
        <v/>
      </c>
      <c r="M5" s="16">
        <f>IF($A5="","",COUNTIF(醫師班表!$E6:$CS6,"OFF"))</f>
        <v/>
      </c>
      <c r="N5" s="16">
        <f>IF($A5="","",COUNTIF(醫師班表!$E6:$CS6,"特"))</f>
        <v/>
      </c>
      <c r="O5" s="16">
        <f>IF($A5="","",COUNTIF(醫師班表!$E6:$CS6,"病"))</f>
        <v/>
      </c>
      <c r="P5" s="16">
        <f>IF($A5="","",COUNTIF(醫師班表!$E6:$CS6,"事"))</f>
        <v/>
      </c>
      <c r="Q5" s="16">
        <f>IF($A5="","",COUNTIF(醫師班表!$E6:$CS6,"公"))</f>
        <v/>
      </c>
      <c r="R5" s="16">
        <f>IF($A5="","",COUNTIF(醫師班表!$E6:$CS6,"國"))</f>
        <v/>
      </c>
      <c r="S5" s="16">
        <f>IF($A5="","",COUNTIF(醫師班表!$E6:$CS6,"休"))</f>
        <v/>
      </c>
      <c r="T5" s="16">
        <f>IF($A5="","",SUM($M5:$S5))</f>
        <v/>
      </c>
      <c r="U5" s="16">
        <f>IF($A5="","",DAY(EOMONTH(DATE(設定!$C$2,設定!$D$2,1),0))*3-COUNTIF(醫師班表!$E6:$CS6,"?*"))</f>
        <v/>
      </c>
    </row>
    <row r="6">
      <c r="A6" s="16" t="inlineStr">
        <is>
          <t>D002</t>
        </is>
      </c>
      <c r="B6" s="16" t="inlineStr">
        <is>
          <t>劉立德</t>
        </is>
      </c>
      <c r="C6" s="70" t="inlineStr">
        <is>
          <t>植牙專科 家庭牙醫專科</t>
        </is>
      </c>
      <c r="D6" s="16" t="inlineStr">
        <is>
          <t>晶曜院長</t>
        </is>
      </c>
      <c r="E6" s="62">
        <f>IF($A6="","",COUNTIF(醫師班表!$E7:$CS7,"悅"))</f>
        <v/>
      </c>
      <c r="F6" s="63">
        <f>IF($A6="","",COUNTIF(醫師班表!$E7:$CS7,"睿"))</f>
        <v/>
      </c>
      <c r="G6" s="64">
        <f>IF($A6="","",COUNTIF(醫師班表!$E7:$CS7,"匯"))</f>
        <v/>
      </c>
      <c r="H6" s="65">
        <f>IF($A6="","",COUNTIF(醫師班表!$E7:$CS7,"曜"))</f>
        <v/>
      </c>
      <c r="I6" s="66">
        <f>IF($A6="","",COUNTIF(醫師班表!$E7:$CS7,"寶"))</f>
        <v/>
      </c>
      <c r="J6" s="16">
        <f>IF($A6="","",SUM($E6:$I6))</f>
        <v/>
      </c>
      <c r="K6" s="16">
        <f>IF($A6="","",SUMPRODUCT(($E6:$I6&gt;0)*1))</f>
        <v/>
      </c>
      <c r="L6" s="16">
        <f>IF($A6="","",COUNTIF(醫師班表!$E7:$CS7,"訓"))</f>
        <v/>
      </c>
      <c r="M6" s="16">
        <f>IF($A6="","",COUNTIF(醫師班表!$E7:$CS7,"OFF"))</f>
        <v/>
      </c>
      <c r="N6" s="16">
        <f>IF($A6="","",COUNTIF(醫師班表!$E7:$CS7,"特"))</f>
        <v/>
      </c>
      <c r="O6" s="16">
        <f>IF($A6="","",COUNTIF(醫師班表!$E7:$CS7,"病"))</f>
        <v/>
      </c>
      <c r="P6" s="16">
        <f>IF($A6="","",COUNTIF(醫師班表!$E7:$CS7,"事"))</f>
        <v/>
      </c>
      <c r="Q6" s="16">
        <f>IF($A6="","",COUNTIF(醫師班表!$E7:$CS7,"公"))</f>
        <v/>
      </c>
      <c r="R6" s="16">
        <f>IF($A6="","",COUNTIF(醫師班表!$E7:$CS7,"國"))</f>
        <v/>
      </c>
      <c r="S6" s="16">
        <f>IF($A6="","",COUNTIF(醫師班表!$E7:$CS7,"休"))</f>
        <v/>
      </c>
      <c r="T6" s="16">
        <f>IF($A6="","",SUM($M6:$S6))</f>
        <v/>
      </c>
      <c r="U6" s="16">
        <f>IF($A6="","",DAY(EOMONTH(DATE(設定!$C$2,設定!$D$2,1),0))*3-COUNTIF(醫師班表!$E7:$CS7,"?*"))</f>
        <v/>
      </c>
    </row>
    <row r="7">
      <c r="A7" s="16" t="inlineStr">
        <is>
          <t>D003</t>
        </is>
      </c>
      <c r="B7" s="16" t="inlineStr">
        <is>
          <t>王泳泉</t>
        </is>
      </c>
      <c r="C7" s="70" t="inlineStr">
        <is>
          <t>矯正專科</t>
        </is>
      </c>
      <c r="D7" s="16" t="inlineStr"/>
      <c r="E7" s="62">
        <f>IF($A7="","",COUNTIF(醫師班表!$E8:$CS8,"悅"))</f>
        <v/>
      </c>
      <c r="F7" s="63">
        <f>IF($A7="","",COUNTIF(醫師班表!$E8:$CS8,"睿"))</f>
        <v/>
      </c>
      <c r="G7" s="64">
        <f>IF($A7="","",COUNTIF(醫師班表!$E8:$CS8,"匯"))</f>
        <v/>
      </c>
      <c r="H7" s="65">
        <f>IF($A7="","",COUNTIF(醫師班表!$E8:$CS8,"曜"))</f>
        <v/>
      </c>
      <c r="I7" s="66">
        <f>IF($A7="","",COUNTIF(醫師班表!$E8:$CS8,"寶"))</f>
        <v/>
      </c>
      <c r="J7" s="16">
        <f>IF($A7="","",SUM($E7:$I7))</f>
        <v/>
      </c>
      <c r="K7" s="16">
        <f>IF($A7="","",SUMPRODUCT(($E7:$I7&gt;0)*1))</f>
        <v/>
      </c>
      <c r="L7" s="16">
        <f>IF($A7="","",COUNTIF(醫師班表!$E8:$CS8,"訓"))</f>
        <v/>
      </c>
      <c r="M7" s="16">
        <f>IF($A7="","",COUNTIF(醫師班表!$E8:$CS8,"OFF"))</f>
        <v/>
      </c>
      <c r="N7" s="16">
        <f>IF($A7="","",COUNTIF(醫師班表!$E8:$CS8,"特"))</f>
        <v/>
      </c>
      <c r="O7" s="16">
        <f>IF($A7="","",COUNTIF(醫師班表!$E8:$CS8,"病"))</f>
        <v/>
      </c>
      <c r="P7" s="16">
        <f>IF($A7="","",COUNTIF(醫師班表!$E8:$CS8,"事"))</f>
        <v/>
      </c>
      <c r="Q7" s="16">
        <f>IF($A7="","",COUNTIF(醫師班表!$E8:$CS8,"公"))</f>
        <v/>
      </c>
      <c r="R7" s="16">
        <f>IF($A7="","",COUNTIF(醫師班表!$E8:$CS8,"國"))</f>
        <v/>
      </c>
      <c r="S7" s="16">
        <f>IF($A7="","",COUNTIF(醫師班表!$E8:$CS8,"休"))</f>
        <v/>
      </c>
      <c r="T7" s="16">
        <f>IF($A7="","",SUM($M7:$S7))</f>
        <v/>
      </c>
      <c r="U7" s="16">
        <f>IF($A7="","",DAY(EOMONTH(DATE(設定!$C$2,設定!$D$2,1),0))*3-COUNTIF(醫師班表!$E8:$CS8,"?*"))</f>
        <v/>
      </c>
    </row>
    <row r="8">
      <c r="A8" s="16" t="inlineStr">
        <is>
          <t>D004</t>
        </is>
      </c>
      <c r="B8" s="16" t="inlineStr">
        <is>
          <t>劉玠旻</t>
        </is>
      </c>
      <c r="C8" s="70" t="inlineStr">
        <is>
          <t>兒童專科</t>
        </is>
      </c>
      <c r="D8" s="16" t="inlineStr"/>
      <c r="E8" s="62">
        <f>IF($A8="","",COUNTIF(醫師班表!$E9:$CS9,"悅"))</f>
        <v/>
      </c>
      <c r="F8" s="63">
        <f>IF($A8="","",COUNTIF(醫師班表!$E9:$CS9,"睿"))</f>
        <v/>
      </c>
      <c r="G8" s="64">
        <f>IF($A8="","",COUNTIF(醫師班表!$E9:$CS9,"匯"))</f>
        <v/>
      </c>
      <c r="H8" s="65">
        <f>IF($A8="","",COUNTIF(醫師班表!$E9:$CS9,"曜"))</f>
        <v/>
      </c>
      <c r="I8" s="66">
        <f>IF($A8="","",COUNTIF(醫師班表!$E9:$CS9,"寶"))</f>
        <v/>
      </c>
      <c r="J8" s="16">
        <f>IF($A8="","",SUM($E8:$I8))</f>
        <v/>
      </c>
      <c r="K8" s="16">
        <f>IF($A8="","",SUMPRODUCT(($E8:$I8&gt;0)*1))</f>
        <v/>
      </c>
      <c r="L8" s="16">
        <f>IF($A8="","",COUNTIF(醫師班表!$E9:$CS9,"訓"))</f>
        <v/>
      </c>
      <c r="M8" s="16">
        <f>IF($A8="","",COUNTIF(醫師班表!$E9:$CS9,"OFF"))</f>
        <v/>
      </c>
      <c r="N8" s="16">
        <f>IF($A8="","",COUNTIF(醫師班表!$E9:$CS9,"特"))</f>
        <v/>
      </c>
      <c r="O8" s="16">
        <f>IF($A8="","",COUNTIF(醫師班表!$E9:$CS9,"病"))</f>
        <v/>
      </c>
      <c r="P8" s="16">
        <f>IF($A8="","",COUNTIF(醫師班表!$E9:$CS9,"事"))</f>
        <v/>
      </c>
      <c r="Q8" s="16">
        <f>IF($A8="","",COUNTIF(醫師班表!$E9:$CS9,"公"))</f>
        <v/>
      </c>
      <c r="R8" s="16">
        <f>IF($A8="","",COUNTIF(醫師班表!$E9:$CS9,"國"))</f>
        <v/>
      </c>
      <c r="S8" s="16">
        <f>IF($A8="","",COUNTIF(醫師班表!$E9:$CS9,"休"))</f>
        <v/>
      </c>
      <c r="T8" s="16">
        <f>IF($A8="","",SUM($M8:$S8))</f>
        <v/>
      </c>
      <c r="U8" s="16">
        <f>IF($A8="","",DAY(EOMONTH(DATE(設定!$C$2,設定!$D$2,1),0))*3-COUNTIF(醫師班表!$E9:$CS9,"?*"))</f>
        <v/>
      </c>
    </row>
    <row r="9">
      <c r="A9" s="16" t="inlineStr">
        <is>
          <t>D005</t>
        </is>
      </c>
      <c r="B9" s="16" t="inlineStr">
        <is>
          <t>陳志僑</t>
        </is>
      </c>
      <c r="C9" s="70" t="inlineStr">
        <is>
          <t>口外專科</t>
        </is>
      </c>
      <c r="D9" s="16" t="inlineStr"/>
      <c r="E9" s="62">
        <f>IF($A9="","",COUNTIF(醫師班表!$E10:$CS10,"悅"))</f>
        <v/>
      </c>
      <c r="F9" s="63">
        <f>IF($A9="","",COUNTIF(醫師班表!$E10:$CS10,"睿"))</f>
        <v/>
      </c>
      <c r="G9" s="64">
        <f>IF($A9="","",COUNTIF(醫師班表!$E10:$CS10,"匯"))</f>
        <v/>
      </c>
      <c r="H9" s="65">
        <f>IF($A9="","",COUNTIF(醫師班表!$E10:$CS10,"曜"))</f>
        <v/>
      </c>
      <c r="I9" s="66">
        <f>IF($A9="","",COUNTIF(醫師班表!$E10:$CS10,"寶"))</f>
        <v/>
      </c>
      <c r="J9" s="16">
        <f>IF($A9="","",SUM($E9:$I9))</f>
        <v/>
      </c>
      <c r="K9" s="16">
        <f>IF($A9="","",SUMPRODUCT(($E9:$I9&gt;0)*1))</f>
        <v/>
      </c>
      <c r="L9" s="16">
        <f>IF($A9="","",COUNTIF(醫師班表!$E10:$CS10,"訓"))</f>
        <v/>
      </c>
      <c r="M9" s="16">
        <f>IF($A9="","",COUNTIF(醫師班表!$E10:$CS10,"OFF"))</f>
        <v/>
      </c>
      <c r="N9" s="16">
        <f>IF($A9="","",COUNTIF(醫師班表!$E10:$CS10,"特"))</f>
        <v/>
      </c>
      <c r="O9" s="16">
        <f>IF($A9="","",COUNTIF(醫師班表!$E10:$CS10,"病"))</f>
        <v/>
      </c>
      <c r="P9" s="16">
        <f>IF($A9="","",COUNTIF(醫師班表!$E10:$CS10,"事"))</f>
        <v/>
      </c>
      <c r="Q9" s="16">
        <f>IF($A9="","",COUNTIF(醫師班表!$E10:$CS10,"公"))</f>
        <v/>
      </c>
      <c r="R9" s="16">
        <f>IF($A9="","",COUNTIF(醫師班表!$E10:$CS10,"國"))</f>
        <v/>
      </c>
      <c r="S9" s="16">
        <f>IF($A9="","",COUNTIF(醫師班表!$E10:$CS10,"休"))</f>
        <v/>
      </c>
      <c r="T9" s="16">
        <f>IF($A9="","",SUM($M9:$S9))</f>
        <v/>
      </c>
      <c r="U9" s="16">
        <f>IF($A9="","",DAY(EOMONTH(DATE(設定!$C$2,設定!$D$2,1),0))*3-COUNTIF(醫師班表!$E10:$CS10,"?*"))</f>
        <v/>
      </c>
    </row>
    <row r="10">
      <c r="A10" s="16" t="inlineStr">
        <is>
          <t>D006</t>
        </is>
      </c>
      <c r="B10" s="16" t="inlineStr">
        <is>
          <t>黃榆鈞</t>
        </is>
      </c>
      <c r="C10" s="70" t="inlineStr">
        <is>
          <t>矯正專科</t>
        </is>
      </c>
      <c r="D10" s="16" t="inlineStr"/>
      <c r="E10" s="62">
        <f>IF($A10="","",COUNTIF(醫師班表!$E11:$CS11,"悅"))</f>
        <v/>
      </c>
      <c r="F10" s="63">
        <f>IF($A10="","",COUNTIF(醫師班表!$E11:$CS11,"睿"))</f>
        <v/>
      </c>
      <c r="G10" s="64">
        <f>IF($A10="","",COUNTIF(醫師班表!$E11:$CS11,"匯"))</f>
        <v/>
      </c>
      <c r="H10" s="65">
        <f>IF($A10="","",COUNTIF(醫師班表!$E11:$CS11,"曜"))</f>
        <v/>
      </c>
      <c r="I10" s="66">
        <f>IF($A10="","",COUNTIF(醫師班表!$E11:$CS11,"寶"))</f>
        <v/>
      </c>
      <c r="J10" s="16">
        <f>IF($A10="","",SUM($E10:$I10))</f>
        <v/>
      </c>
      <c r="K10" s="16">
        <f>IF($A10="","",SUMPRODUCT(($E10:$I10&gt;0)*1))</f>
        <v/>
      </c>
      <c r="L10" s="16">
        <f>IF($A10="","",COUNTIF(醫師班表!$E11:$CS11,"訓"))</f>
        <v/>
      </c>
      <c r="M10" s="16">
        <f>IF($A10="","",COUNTIF(醫師班表!$E11:$CS11,"OFF"))</f>
        <v/>
      </c>
      <c r="N10" s="16">
        <f>IF($A10="","",COUNTIF(醫師班表!$E11:$CS11,"特"))</f>
        <v/>
      </c>
      <c r="O10" s="16">
        <f>IF($A10="","",COUNTIF(醫師班表!$E11:$CS11,"病"))</f>
        <v/>
      </c>
      <c r="P10" s="16">
        <f>IF($A10="","",COUNTIF(醫師班表!$E11:$CS11,"事"))</f>
        <v/>
      </c>
      <c r="Q10" s="16">
        <f>IF($A10="","",COUNTIF(醫師班表!$E11:$CS11,"公"))</f>
        <v/>
      </c>
      <c r="R10" s="16">
        <f>IF($A10="","",COUNTIF(醫師班表!$E11:$CS11,"國"))</f>
        <v/>
      </c>
      <c r="S10" s="16">
        <f>IF($A10="","",COUNTIF(醫師班表!$E11:$CS11,"休"))</f>
        <v/>
      </c>
      <c r="T10" s="16">
        <f>IF($A10="","",SUM($M10:$S10))</f>
        <v/>
      </c>
      <c r="U10" s="16">
        <f>IF($A10="","",DAY(EOMONTH(DATE(設定!$C$2,設定!$D$2,1),0))*3-COUNTIF(醫師班表!$E11:$CS11,"?*"))</f>
        <v/>
      </c>
    </row>
    <row r="11">
      <c r="A11" s="16" t="inlineStr">
        <is>
          <t>D007</t>
        </is>
      </c>
      <c r="B11" s="16" t="inlineStr">
        <is>
          <t>温翊君</t>
        </is>
      </c>
      <c r="C11" s="70" t="inlineStr">
        <is>
          <t>根管治療專科</t>
        </is>
      </c>
      <c r="D11" s="16" t="inlineStr"/>
      <c r="E11" s="62">
        <f>IF($A11="","",COUNTIF(醫師班表!$E12:$CS12,"悅"))</f>
        <v/>
      </c>
      <c r="F11" s="63">
        <f>IF($A11="","",COUNTIF(醫師班表!$E12:$CS12,"睿"))</f>
        <v/>
      </c>
      <c r="G11" s="64">
        <f>IF($A11="","",COUNTIF(醫師班表!$E12:$CS12,"匯"))</f>
        <v/>
      </c>
      <c r="H11" s="65">
        <f>IF($A11="","",COUNTIF(醫師班表!$E12:$CS12,"曜"))</f>
        <v/>
      </c>
      <c r="I11" s="66">
        <f>IF($A11="","",COUNTIF(醫師班表!$E12:$CS12,"寶"))</f>
        <v/>
      </c>
      <c r="J11" s="16">
        <f>IF($A11="","",SUM($E11:$I11))</f>
        <v/>
      </c>
      <c r="K11" s="16">
        <f>IF($A11="","",SUMPRODUCT(($E11:$I11&gt;0)*1))</f>
        <v/>
      </c>
      <c r="L11" s="16">
        <f>IF($A11="","",COUNTIF(醫師班表!$E12:$CS12,"訓"))</f>
        <v/>
      </c>
      <c r="M11" s="16">
        <f>IF($A11="","",COUNTIF(醫師班表!$E12:$CS12,"OFF"))</f>
        <v/>
      </c>
      <c r="N11" s="16">
        <f>IF($A11="","",COUNTIF(醫師班表!$E12:$CS12,"特"))</f>
        <v/>
      </c>
      <c r="O11" s="16">
        <f>IF($A11="","",COUNTIF(醫師班表!$E12:$CS12,"病"))</f>
        <v/>
      </c>
      <c r="P11" s="16">
        <f>IF($A11="","",COUNTIF(醫師班表!$E12:$CS12,"事"))</f>
        <v/>
      </c>
      <c r="Q11" s="16">
        <f>IF($A11="","",COUNTIF(醫師班表!$E12:$CS12,"公"))</f>
        <v/>
      </c>
      <c r="R11" s="16">
        <f>IF($A11="","",COUNTIF(醫師班表!$E12:$CS12,"國"))</f>
        <v/>
      </c>
      <c r="S11" s="16">
        <f>IF($A11="","",COUNTIF(醫師班表!$E12:$CS12,"休"))</f>
        <v/>
      </c>
      <c r="T11" s="16">
        <f>IF($A11="","",SUM($M11:$S11))</f>
        <v/>
      </c>
      <c r="U11" s="16">
        <f>IF($A11="","",DAY(EOMONTH(DATE(設定!$C$2,設定!$D$2,1),0))*3-COUNTIF(醫師班表!$E12:$CS12,"?*"))</f>
        <v/>
      </c>
    </row>
    <row r="12">
      <c r="A12" s="16" t="inlineStr">
        <is>
          <t>D008</t>
        </is>
      </c>
      <c r="B12" s="16" t="inlineStr">
        <is>
          <t>林紫亭</t>
        </is>
      </c>
      <c r="C12" s="70" t="inlineStr"/>
      <c r="D12" s="16" t="inlineStr"/>
      <c r="E12" s="62">
        <f>IF($A12="","",COUNTIF(醫師班表!$E13:$CS13,"悅"))</f>
        <v/>
      </c>
      <c r="F12" s="63">
        <f>IF($A12="","",COUNTIF(醫師班表!$E13:$CS13,"睿"))</f>
        <v/>
      </c>
      <c r="G12" s="64">
        <f>IF($A12="","",COUNTIF(醫師班表!$E13:$CS13,"匯"))</f>
        <v/>
      </c>
      <c r="H12" s="65">
        <f>IF($A12="","",COUNTIF(醫師班表!$E13:$CS13,"曜"))</f>
        <v/>
      </c>
      <c r="I12" s="66">
        <f>IF($A12="","",COUNTIF(醫師班表!$E13:$CS13,"寶"))</f>
        <v/>
      </c>
      <c r="J12" s="16">
        <f>IF($A12="","",SUM($E12:$I12))</f>
        <v/>
      </c>
      <c r="K12" s="16">
        <f>IF($A12="","",SUMPRODUCT(($E12:$I12&gt;0)*1))</f>
        <v/>
      </c>
      <c r="L12" s="16">
        <f>IF($A12="","",COUNTIF(醫師班表!$E13:$CS13,"訓"))</f>
        <v/>
      </c>
      <c r="M12" s="16">
        <f>IF($A12="","",COUNTIF(醫師班表!$E13:$CS13,"OFF"))</f>
        <v/>
      </c>
      <c r="N12" s="16">
        <f>IF($A12="","",COUNTIF(醫師班表!$E13:$CS13,"特"))</f>
        <v/>
      </c>
      <c r="O12" s="16">
        <f>IF($A12="","",COUNTIF(醫師班表!$E13:$CS13,"病"))</f>
        <v/>
      </c>
      <c r="P12" s="16">
        <f>IF($A12="","",COUNTIF(醫師班表!$E13:$CS13,"事"))</f>
        <v/>
      </c>
      <c r="Q12" s="16">
        <f>IF($A12="","",COUNTIF(醫師班表!$E13:$CS13,"公"))</f>
        <v/>
      </c>
      <c r="R12" s="16">
        <f>IF($A12="","",COUNTIF(醫師班表!$E13:$CS13,"國"))</f>
        <v/>
      </c>
      <c r="S12" s="16">
        <f>IF($A12="","",COUNTIF(醫師班表!$E13:$CS13,"休"))</f>
        <v/>
      </c>
      <c r="T12" s="16">
        <f>IF($A12="","",SUM($M12:$S12))</f>
        <v/>
      </c>
      <c r="U12" s="16">
        <f>IF($A12="","",DAY(EOMONTH(DATE(設定!$C$2,設定!$D$2,1),0))*3-COUNTIF(醫師班表!$E13:$CS13,"?*"))</f>
        <v/>
      </c>
    </row>
    <row r="13">
      <c r="A13" s="16" t="inlineStr">
        <is>
          <t>D009</t>
        </is>
      </c>
      <c r="B13" s="16" t="inlineStr">
        <is>
          <t>陳昺元</t>
        </is>
      </c>
      <c r="C13" s="70" t="inlineStr">
        <is>
          <t>美學植牙專科</t>
        </is>
      </c>
      <c r="D13" s="16" t="inlineStr">
        <is>
          <t>晶匯院長</t>
        </is>
      </c>
      <c r="E13" s="62">
        <f>IF($A13="","",COUNTIF(醫師班表!$E14:$CS14,"悅"))</f>
        <v/>
      </c>
      <c r="F13" s="63">
        <f>IF($A13="","",COUNTIF(醫師班表!$E14:$CS14,"睿"))</f>
        <v/>
      </c>
      <c r="G13" s="64">
        <f>IF($A13="","",COUNTIF(醫師班表!$E14:$CS14,"匯"))</f>
        <v/>
      </c>
      <c r="H13" s="65">
        <f>IF($A13="","",COUNTIF(醫師班表!$E14:$CS14,"曜"))</f>
        <v/>
      </c>
      <c r="I13" s="66">
        <f>IF($A13="","",COUNTIF(醫師班表!$E14:$CS14,"寶"))</f>
        <v/>
      </c>
      <c r="J13" s="16">
        <f>IF($A13="","",SUM($E13:$I13))</f>
        <v/>
      </c>
      <c r="K13" s="16">
        <f>IF($A13="","",SUMPRODUCT(($E13:$I13&gt;0)*1))</f>
        <v/>
      </c>
      <c r="L13" s="16">
        <f>IF($A13="","",COUNTIF(醫師班表!$E14:$CS14,"訓"))</f>
        <v/>
      </c>
      <c r="M13" s="16">
        <f>IF($A13="","",COUNTIF(醫師班表!$E14:$CS14,"OFF"))</f>
        <v/>
      </c>
      <c r="N13" s="16">
        <f>IF($A13="","",COUNTIF(醫師班表!$E14:$CS14,"特"))</f>
        <v/>
      </c>
      <c r="O13" s="16">
        <f>IF($A13="","",COUNTIF(醫師班表!$E14:$CS14,"病"))</f>
        <v/>
      </c>
      <c r="P13" s="16">
        <f>IF($A13="","",COUNTIF(醫師班表!$E14:$CS14,"事"))</f>
        <v/>
      </c>
      <c r="Q13" s="16">
        <f>IF($A13="","",COUNTIF(醫師班表!$E14:$CS14,"公"))</f>
        <v/>
      </c>
      <c r="R13" s="16">
        <f>IF($A13="","",COUNTIF(醫師班表!$E14:$CS14,"國"))</f>
        <v/>
      </c>
      <c r="S13" s="16">
        <f>IF($A13="","",COUNTIF(醫師班表!$E14:$CS14,"休"))</f>
        <v/>
      </c>
      <c r="T13" s="16">
        <f>IF($A13="","",SUM($M13:$S13))</f>
        <v/>
      </c>
      <c r="U13" s="16">
        <f>IF($A13="","",DAY(EOMONTH(DATE(設定!$C$2,設定!$D$2,1),0))*3-COUNTIF(醫師班表!$E14:$CS14,"?*"))</f>
        <v/>
      </c>
    </row>
    <row r="14">
      <c r="A14" s="16" t="inlineStr">
        <is>
          <t>D010</t>
        </is>
      </c>
      <c r="B14" s="16" t="inlineStr">
        <is>
          <t>蔡季軒</t>
        </is>
      </c>
      <c r="C14" s="70" t="inlineStr"/>
      <c r="D14" s="16" t="inlineStr"/>
      <c r="E14" s="62">
        <f>IF($A14="","",COUNTIF(醫師班表!$E15:$CS15,"悅"))</f>
        <v/>
      </c>
      <c r="F14" s="63">
        <f>IF($A14="","",COUNTIF(醫師班表!$E15:$CS15,"睿"))</f>
        <v/>
      </c>
      <c r="G14" s="64">
        <f>IF($A14="","",COUNTIF(醫師班表!$E15:$CS15,"匯"))</f>
        <v/>
      </c>
      <c r="H14" s="65">
        <f>IF($A14="","",COUNTIF(醫師班表!$E15:$CS15,"曜"))</f>
        <v/>
      </c>
      <c r="I14" s="66">
        <f>IF($A14="","",COUNTIF(醫師班表!$E15:$CS15,"寶"))</f>
        <v/>
      </c>
      <c r="J14" s="16">
        <f>IF($A14="","",SUM($E14:$I14))</f>
        <v/>
      </c>
      <c r="K14" s="16">
        <f>IF($A14="","",SUMPRODUCT(($E14:$I14&gt;0)*1))</f>
        <v/>
      </c>
      <c r="L14" s="16">
        <f>IF($A14="","",COUNTIF(醫師班表!$E15:$CS15,"訓"))</f>
        <v/>
      </c>
      <c r="M14" s="16">
        <f>IF($A14="","",COUNTIF(醫師班表!$E15:$CS15,"OFF"))</f>
        <v/>
      </c>
      <c r="N14" s="16">
        <f>IF($A14="","",COUNTIF(醫師班表!$E15:$CS15,"特"))</f>
        <v/>
      </c>
      <c r="O14" s="16">
        <f>IF($A14="","",COUNTIF(醫師班表!$E15:$CS15,"病"))</f>
        <v/>
      </c>
      <c r="P14" s="16">
        <f>IF($A14="","",COUNTIF(醫師班表!$E15:$CS15,"事"))</f>
        <v/>
      </c>
      <c r="Q14" s="16">
        <f>IF($A14="","",COUNTIF(醫師班表!$E15:$CS15,"公"))</f>
        <v/>
      </c>
      <c r="R14" s="16">
        <f>IF($A14="","",COUNTIF(醫師班表!$E15:$CS15,"國"))</f>
        <v/>
      </c>
      <c r="S14" s="16">
        <f>IF($A14="","",COUNTIF(醫師班表!$E15:$CS15,"休"))</f>
        <v/>
      </c>
      <c r="T14" s="16">
        <f>IF($A14="","",SUM($M14:$S14))</f>
        <v/>
      </c>
      <c r="U14" s="16">
        <f>IF($A14="","",DAY(EOMONTH(DATE(設定!$C$2,設定!$D$2,1),0))*3-COUNTIF(醫師班表!$E15:$CS15,"?*"))</f>
        <v/>
      </c>
    </row>
    <row r="15">
      <c r="A15" s="16" t="inlineStr">
        <is>
          <t>D011</t>
        </is>
      </c>
      <c r="B15" s="16" t="inlineStr">
        <is>
          <t>温健成</t>
        </is>
      </c>
      <c r="C15" s="70" t="inlineStr"/>
      <c r="D15" s="16" t="inlineStr">
        <is>
          <t>晶睿院長</t>
        </is>
      </c>
      <c r="E15" s="62">
        <f>IF($A15="","",COUNTIF(醫師班表!$E16:$CS16,"悅"))</f>
        <v/>
      </c>
      <c r="F15" s="63">
        <f>IF($A15="","",COUNTIF(醫師班表!$E16:$CS16,"睿"))</f>
        <v/>
      </c>
      <c r="G15" s="64">
        <f>IF($A15="","",COUNTIF(醫師班表!$E16:$CS16,"匯"))</f>
        <v/>
      </c>
      <c r="H15" s="65">
        <f>IF($A15="","",COUNTIF(醫師班表!$E16:$CS16,"曜"))</f>
        <v/>
      </c>
      <c r="I15" s="66">
        <f>IF($A15="","",COUNTIF(醫師班表!$E16:$CS16,"寶"))</f>
        <v/>
      </c>
      <c r="J15" s="16">
        <f>IF($A15="","",SUM($E15:$I15))</f>
        <v/>
      </c>
      <c r="K15" s="16">
        <f>IF($A15="","",SUMPRODUCT(($E15:$I15&gt;0)*1))</f>
        <v/>
      </c>
      <c r="L15" s="16">
        <f>IF($A15="","",COUNTIF(醫師班表!$E16:$CS16,"訓"))</f>
        <v/>
      </c>
      <c r="M15" s="16">
        <f>IF($A15="","",COUNTIF(醫師班表!$E16:$CS16,"OFF"))</f>
        <v/>
      </c>
      <c r="N15" s="16">
        <f>IF($A15="","",COUNTIF(醫師班表!$E16:$CS16,"特"))</f>
        <v/>
      </c>
      <c r="O15" s="16">
        <f>IF($A15="","",COUNTIF(醫師班表!$E16:$CS16,"病"))</f>
        <v/>
      </c>
      <c r="P15" s="16">
        <f>IF($A15="","",COUNTIF(醫師班表!$E16:$CS16,"事"))</f>
        <v/>
      </c>
      <c r="Q15" s="16">
        <f>IF($A15="","",COUNTIF(醫師班表!$E16:$CS16,"公"))</f>
        <v/>
      </c>
      <c r="R15" s="16">
        <f>IF($A15="","",COUNTIF(醫師班表!$E16:$CS16,"國"))</f>
        <v/>
      </c>
      <c r="S15" s="16">
        <f>IF($A15="","",COUNTIF(醫師班表!$E16:$CS16,"休"))</f>
        <v/>
      </c>
      <c r="T15" s="16">
        <f>IF($A15="","",SUM($M15:$S15))</f>
        <v/>
      </c>
      <c r="U15" s="16">
        <f>IF($A15="","",DAY(EOMONTH(DATE(設定!$C$2,設定!$D$2,1),0))*3-COUNTIF(醫師班表!$E16:$CS16,"?*"))</f>
        <v/>
      </c>
    </row>
    <row r="16">
      <c r="A16" s="16" t="inlineStr">
        <is>
          <t>D012</t>
        </is>
      </c>
      <c r="B16" s="16" t="inlineStr">
        <is>
          <t>陳立軒</t>
        </is>
      </c>
      <c r="C16" s="70" t="inlineStr"/>
      <c r="D16" s="16" t="inlineStr"/>
      <c r="E16" s="62">
        <f>IF($A16="","",COUNTIF(醫師班表!$E17:$CS17,"悅"))</f>
        <v/>
      </c>
      <c r="F16" s="63">
        <f>IF($A16="","",COUNTIF(醫師班表!$E17:$CS17,"睿"))</f>
        <v/>
      </c>
      <c r="G16" s="64">
        <f>IF($A16="","",COUNTIF(醫師班表!$E17:$CS17,"匯"))</f>
        <v/>
      </c>
      <c r="H16" s="65">
        <f>IF($A16="","",COUNTIF(醫師班表!$E17:$CS17,"曜"))</f>
        <v/>
      </c>
      <c r="I16" s="66">
        <f>IF($A16="","",COUNTIF(醫師班表!$E17:$CS17,"寶"))</f>
        <v/>
      </c>
      <c r="J16" s="16">
        <f>IF($A16="","",SUM($E16:$I16))</f>
        <v/>
      </c>
      <c r="K16" s="16">
        <f>IF($A16="","",SUMPRODUCT(($E16:$I16&gt;0)*1))</f>
        <v/>
      </c>
      <c r="L16" s="16">
        <f>IF($A16="","",COUNTIF(醫師班表!$E17:$CS17,"訓"))</f>
        <v/>
      </c>
      <c r="M16" s="16">
        <f>IF($A16="","",COUNTIF(醫師班表!$E17:$CS17,"OFF"))</f>
        <v/>
      </c>
      <c r="N16" s="16">
        <f>IF($A16="","",COUNTIF(醫師班表!$E17:$CS17,"特"))</f>
        <v/>
      </c>
      <c r="O16" s="16">
        <f>IF($A16="","",COUNTIF(醫師班表!$E17:$CS17,"病"))</f>
        <v/>
      </c>
      <c r="P16" s="16">
        <f>IF($A16="","",COUNTIF(醫師班表!$E17:$CS17,"事"))</f>
        <v/>
      </c>
      <c r="Q16" s="16">
        <f>IF($A16="","",COUNTIF(醫師班表!$E17:$CS17,"公"))</f>
        <v/>
      </c>
      <c r="R16" s="16">
        <f>IF($A16="","",COUNTIF(醫師班表!$E17:$CS17,"國"))</f>
        <v/>
      </c>
      <c r="S16" s="16">
        <f>IF($A16="","",COUNTIF(醫師班表!$E17:$CS17,"休"))</f>
        <v/>
      </c>
      <c r="T16" s="16">
        <f>IF($A16="","",SUM($M16:$S16))</f>
        <v/>
      </c>
      <c r="U16" s="16">
        <f>IF($A16="","",DAY(EOMONTH(DATE(設定!$C$2,設定!$D$2,1),0))*3-COUNTIF(醫師班表!$E17:$CS17,"?*"))</f>
        <v/>
      </c>
    </row>
    <row r="17">
      <c r="A17" s="16" t="inlineStr">
        <is>
          <t>D013</t>
        </is>
      </c>
      <c r="B17" s="16" t="inlineStr">
        <is>
          <t>朱柏非</t>
        </is>
      </c>
      <c r="C17" s="70" t="inlineStr"/>
      <c r="D17" s="16" t="inlineStr"/>
      <c r="E17" s="62">
        <f>IF($A17="","",COUNTIF(醫師班表!$E18:$CS18,"悅"))</f>
        <v/>
      </c>
      <c r="F17" s="63">
        <f>IF($A17="","",COUNTIF(醫師班表!$E18:$CS18,"睿"))</f>
        <v/>
      </c>
      <c r="G17" s="64">
        <f>IF($A17="","",COUNTIF(醫師班表!$E18:$CS18,"匯"))</f>
        <v/>
      </c>
      <c r="H17" s="65">
        <f>IF($A17="","",COUNTIF(醫師班表!$E18:$CS18,"曜"))</f>
        <v/>
      </c>
      <c r="I17" s="66">
        <f>IF($A17="","",COUNTIF(醫師班表!$E18:$CS18,"寶"))</f>
        <v/>
      </c>
      <c r="J17" s="16">
        <f>IF($A17="","",SUM($E17:$I17))</f>
        <v/>
      </c>
      <c r="K17" s="16">
        <f>IF($A17="","",SUMPRODUCT(($E17:$I17&gt;0)*1))</f>
        <v/>
      </c>
      <c r="L17" s="16">
        <f>IF($A17="","",COUNTIF(醫師班表!$E18:$CS18,"訓"))</f>
        <v/>
      </c>
      <c r="M17" s="16">
        <f>IF($A17="","",COUNTIF(醫師班表!$E18:$CS18,"OFF"))</f>
        <v/>
      </c>
      <c r="N17" s="16">
        <f>IF($A17="","",COUNTIF(醫師班表!$E18:$CS18,"特"))</f>
        <v/>
      </c>
      <c r="O17" s="16">
        <f>IF($A17="","",COUNTIF(醫師班表!$E18:$CS18,"病"))</f>
        <v/>
      </c>
      <c r="P17" s="16">
        <f>IF($A17="","",COUNTIF(醫師班表!$E18:$CS18,"事"))</f>
        <v/>
      </c>
      <c r="Q17" s="16">
        <f>IF($A17="","",COUNTIF(醫師班表!$E18:$CS18,"公"))</f>
        <v/>
      </c>
      <c r="R17" s="16">
        <f>IF($A17="","",COUNTIF(醫師班表!$E18:$CS18,"國"))</f>
        <v/>
      </c>
      <c r="S17" s="16">
        <f>IF($A17="","",COUNTIF(醫師班表!$E18:$CS18,"休"))</f>
        <v/>
      </c>
      <c r="T17" s="16">
        <f>IF($A17="","",SUM($M17:$S17))</f>
        <v/>
      </c>
      <c r="U17" s="16">
        <f>IF($A17="","",DAY(EOMONTH(DATE(設定!$C$2,設定!$D$2,1),0))*3-COUNTIF(醫師班表!$E18:$CS18,"?*"))</f>
        <v/>
      </c>
    </row>
    <row r="18">
      <c r="A18" s="16" t="inlineStr">
        <is>
          <t>D014</t>
        </is>
      </c>
      <c r="B18" s="16" t="inlineStr">
        <is>
          <t>鄭漢賢</t>
        </is>
      </c>
      <c r="C18" s="70" t="inlineStr"/>
      <c r="D18" s="16" t="inlineStr"/>
      <c r="E18" s="62">
        <f>IF($A18="","",COUNTIF(醫師班表!$E19:$CS19,"悅"))</f>
        <v/>
      </c>
      <c r="F18" s="63">
        <f>IF($A18="","",COUNTIF(醫師班表!$E19:$CS19,"睿"))</f>
        <v/>
      </c>
      <c r="G18" s="64">
        <f>IF($A18="","",COUNTIF(醫師班表!$E19:$CS19,"匯"))</f>
        <v/>
      </c>
      <c r="H18" s="65">
        <f>IF($A18="","",COUNTIF(醫師班表!$E19:$CS19,"曜"))</f>
        <v/>
      </c>
      <c r="I18" s="66">
        <f>IF($A18="","",COUNTIF(醫師班表!$E19:$CS19,"寶"))</f>
        <v/>
      </c>
      <c r="J18" s="16">
        <f>IF($A18="","",SUM($E18:$I18))</f>
        <v/>
      </c>
      <c r="K18" s="16">
        <f>IF($A18="","",SUMPRODUCT(($E18:$I18&gt;0)*1))</f>
        <v/>
      </c>
      <c r="L18" s="16">
        <f>IF($A18="","",COUNTIF(醫師班表!$E19:$CS19,"訓"))</f>
        <v/>
      </c>
      <c r="M18" s="16">
        <f>IF($A18="","",COUNTIF(醫師班表!$E19:$CS19,"OFF"))</f>
        <v/>
      </c>
      <c r="N18" s="16">
        <f>IF($A18="","",COUNTIF(醫師班表!$E19:$CS19,"特"))</f>
        <v/>
      </c>
      <c r="O18" s="16">
        <f>IF($A18="","",COUNTIF(醫師班表!$E19:$CS19,"病"))</f>
        <v/>
      </c>
      <c r="P18" s="16">
        <f>IF($A18="","",COUNTIF(醫師班表!$E19:$CS19,"事"))</f>
        <v/>
      </c>
      <c r="Q18" s="16">
        <f>IF($A18="","",COUNTIF(醫師班表!$E19:$CS19,"公"))</f>
        <v/>
      </c>
      <c r="R18" s="16">
        <f>IF($A18="","",COUNTIF(醫師班表!$E19:$CS19,"國"))</f>
        <v/>
      </c>
      <c r="S18" s="16">
        <f>IF($A18="","",COUNTIF(醫師班表!$E19:$CS19,"休"))</f>
        <v/>
      </c>
      <c r="T18" s="16">
        <f>IF($A18="","",SUM($M18:$S18))</f>
        <v/>
      </c>
      <c r="U18" s="16">
        <f>IF($A18="","",DAY(EOMONTH(DATE(設定!$C$2,設定!$D$2,1),0))*3-COUNTIF(醫師班表!$E19:$CS19,"?*"))</f>
        <v/>
      </c>
    </row>
    <row r="19">
      <c r="A19" s="16" t="inlineStr">
        <is>
          <t>D015</t>
        </is>
      </c>
      <c r="B19" s="16" t="inlineStr">
        <is>
          <t>徐平</t>
        </is>
      </c>
      <c r="C19" s="70" t="inlineStr"/>
      <c r="D19" s="16" t="inlineStr"/>
      <c r="E19" s="62">
        <f>IF($A19="","",COUNTIF(醫師班表!$E20:$CS20,"悅"))</f>
        <v/>
      </c>
      <c r="F19" s="63">
        <f>IF($A19="","",COUNTIF(醫師班表!$E20:$CS20,"睿"))</f>
        <v/>
      </c>
      <c r="G19" s="64">
        <f>IF($A19="","",COUNTIF(醫師班表!$E20:$CS20,"匯"))</f>
        <v/>
      </c>
      <c r="H19" s="65">
        <f>IF($A19="","",COUNTIF(醫師班表!$E20:$CS20,"曜"))</f>
        <v/>
      </c>
      <c r="I19" s="66">
        <f>IF($A19="","",COUNTIF(醫師班表!$E20:$CS20,"寶"))</f>
        <v/>
      </c>
      <c r="J19" s="16">
        <f>IF($A19="","",SUM($E19:$I19))</f>
        <v/>
      </c>
      <c r="K19" s="16">
        <f>IF($A19="","",SUMPRODUCT(($E19:$I19&gt;0)*1))</f>
        <v/>
      </c>
      <c r="L19" s="16">
        <f>IF($A19="","",COUNTIF(醫師班表!$E20:$CS20,"訓"))</f>
        <v/>
      </c>
      <c r="M19" s="16">
        <f>IF($A19="","",COUNTIF(醫師班表!$E20:$CS20,"OFF"))</f>
        <v/>
      </c>
      <c r="N19" s="16">
        <f>IF($A19="","",COUNTIF(醫師班表!$E20:$CS20,"特"))</f>
        <v/>
      </c>
      <c r="O19" s="16">
        <f>IF($A19="","",COUNTIF(醫師班表!$E20:$CS20,"病"))</f>
        <v/>
      </c>
      <c r="P19" s="16">
        <f>IF($A19="","",COUNTIF(醫師班表!$E20:$CS20,"事"))</f>
        <v/>
      </c>
      <c r="Q19" s="16">
        <f>IF($A19="","",COUNTIF(醫師班表!$E20:$CS20,"公"))</f>
        <v/>
      </c>
      <c r="R19" s="16">
        <f>IF($A19="","",COUNTIF(醫師班表!$E20:$CS20,"國"))</f>
        <v/>
      </c>
      <c r="S19" s="16">
        <f>IF($A19="","",COUNTIF(醫師班表!$E20:$CS20,"休"))</f>
        <v/>
      </c>
      <c r="T19" s="16">
        <f>IF($A19="","",SUM($M19:$S19))</f>
        <v/>
      </c>
      <c r="U19" s="16">
        <f>IF($A19="","",DAY(EOMONTH(DATE(設定!$C$2,設定!$D$2,1),0))*3-COUNTIF(醫師班表!$E20:$CS20,"?*"))</f>
        <v/>
      </c>
    </row>
    <row r="20">
      <c r="A20" s="16" t="inlineStr">
        <is>
          <t>D016</t>
        </is>
      </c>
      <c r="B20" s="16" t="inlineStr">
        <is>
          <t>賴敏傑</t>
        </is>
      </c>
      <c r="C20" s="70" t="inlineStr"/>
      <c r="D20" s="16" t="inlineStr"/>
      <c r="E20" s="62">
        <f>IF($A20="","",COUNTIF(醫師班表!$E21:$CS21,"悅"))</f>
        <v/>
      </c>
      <c r="F20" s="63">
        <f>IF($A20="","",COUNTIF(醫師班表!$E21:$CS21,"睿"))</f>
        <v/>
      </c>
      <c r="G20" s="64">
        <f>IF($A20="","",COUNTIF(醫師班表!$E21:$CS21,"匯"))</f>
        <v/>
      </c>
      <c r="H20" s="65">
        <f>IF($A20="","",COUNTIF(醫師班表!$E21:$CS21,"曜"))</f>
        <v/>
      </c>
      <c r="I20" s="66">
        <f>IF($A20="","",COUNTIF(醫師班表!$E21:$CS21,"寶"))</f>
        <v/>
      </c>
      <c r="J20" s="16">
        <f>IF($A20="","",SUM($E20:$I20))</f>
        <v/>
      </c>
      <c r="K20" s="16">
        <f>IF($A20="","",SUMPRODUCT(($E20:$I20&gt;0)*1))</f>
        <v/>
      </c>
      <c r="L20" s="16">
        <f>IF($A20="","",COUNTIF(醫師班表!$E21:$CS21,"訓"))</f>
        <v/>
      </c>
      <c r="M20" s="16">
        <f>IF($A20="","",COUNTIF(醫師班表!$E21:$CS21,"OFF"))</f>
        <v/>
      </c>
      <c r="N20" s="16">
        <f>IF($A20="","",COUNTIF(醫師班表!$E21:$CS21,"特"))</f>
        <v/>
      </c>
      <c r="O20" s="16">
        <f>IF($A20="","",COUNTIF(醫師班表!$E21:$CS21,"病"))</f>
        <v/>
      </c>
      <c r="P20" s="16">
        <f>IF($A20="","",COUNTIF(醫師班表!$E21:$CS21,"事"))</f>
        <v/>
      </c>
      <c r="Q20" s="16">
        <f>IF($A20="","",COUNTIF(醫師班表!$E21:$CS21,"公"))</f>
        <v/>
      </c>
      <c r="R20" s="16">
        <f>IF($A20="","",COUNTIF(醫師班表!$E21:$CS21,"國"))</f>
        <v/>
      </c>
      <c r="S20" s="16">
        <f>IF($A20="","",COUNTIF(醫師班表!$E21:$CS21,"休"))</f>
        <v/>
      </c>
      <c r="T20" s="16">
        <f>IF($A20="","",SUM($M20:$S20))</f>
        <v/>
      </c>
      <c r="U20" s="16">
        <f>IF($A20="","",DAY(EOMONTH(DATE(設定!$C$2,設定!$D$2,1),0))*3-COUNTIF(醫師班表!$E21:$CS21,"?*"))</f>
        <v/>
      </c>
    </row>
    <row r="21">
      <c r="A21" s="16" t="inlineStr">
        <is>
          <t>D017</t>
        </is>
      </c>
      <c r="B21" s="16" t="inlineStr">
        <is>
          <t>吳柏賢</t>
        </is>
      </c>
      <c r="C21" s="70" t="inlineStr"/>
      <c r="D21" s="16" t="inlineStr"/>
      <c r="E21" s="62">
        <f>IF($A21="","",COUNTIF(醫師班表!$E22:$CS22,"悅"))</f>
        <v/>
      </c>
      <c r="F21" s="63">
        <f>IF($A21="","",COUNTIF(醫師班表!$E22:$CS22,"睿"))</f>
        <v/>
      </c>
      <c r="G21" s="64">
        <f>IF($A21="","",COUNTIF(醫師班表!$E22:$CS22,"匯"))</f>
        <v/>
      </c>
      <c r="H21" s="65">
        <f>IF($A21="","",COUNTIF(醫師班表!$E22:$CS22,"曜"))</f>
        <v/>
      </c>
      <c r="I21" s="66">
        <f>IF($A21="","",COUNTIF(醫師班表!$E22:$CS22,"寶"))</f>
        <v/>
      </c>
      <c r="J21" s="16">
        <f>IF($A21="","",SUM($E21:$I21))</f>
        <v/>
      </c>
      <c r="K21" s="16">
        <f>IF($A21="","",SUMPRODUCT(($E21:$I21&gt;0)*1))</f>
        <v/>
      </c>
      <c r="L21" s="16">
        <f>IF($A21="","",COUNTIF(醫師班表!$E22:$CS22,"訓"))</f>
        <v/>
      </c>
      <c r="M21" s="16">
        <f>IF($A21="","",COUNTIF(醫師班表!$E22:$CS22,"OFF"))</f>
        <v/>
      </c>
      <c r="N21" s="16">
        <f>IF($A21="","",COUNTIF(醫師班表!$E22:$CS22,"特"))</f>
        <v/>
      </c>
      <c r="O21" s="16">
        <f>IF($A21="","",COUNTIF(醫師班表!$E22:$CS22,"病"))</f>
        <v/>
      </c>
      <c r="P21" s="16">
        <f>IF($A21="","",COUNTIF(醫師班表!$E22:$CS22,"事"))</f>
        <v/>
      </c>
      <c r="Q21" s="16">
        <f>IF($A21="","",COUNTIF(醫師班表!$E22:$CS22,"公"))</f>
        <v/>
      </c>
      <c r="R21" s="16">
        <f>IF($A21="","",COUNTIF(醫師班表!$E22:$CS22,"國"))</f>
        <v/>
      </c>
      <c r="S21" s="16">
        <f>IF($A21="","",COUNTIF(醫師班表!$E22:$CS22,"休"))</f>
        <v/>
      </c>
      <c r="T21" s="16">
        <f>IF($A21="","",SUM($M21:$S21))</f>
        <v/>
      </c>
      <c r="U21" s="16">
        <f>IF($A21="","",DAY(EOMONTH(DATE(設定!$C$2,設定!$D$2,1),0))*3-COUNTIF(醫師班表!$E22:$CS22,"?*"))</f>
        <v/>
      </c>
    </row>
    <row r="22">
      <c r="A22" s="16" t="inlineStr">
        <is>
          <t>D018</t>
        </is>
      </c>
      <c r="B22" s="16" t="inlineStr">
        <is>
          <t>許博諺</t>
        </is>
      </c>
      <c r="C22" s="70" t="inlineStr"/>
      <c r="D22" s="16" t="inlineStr"/>
      <c r="E22" s="62">
        <f>IF($A22="","",COUNTIF(醫師班表!$E23:$CS23,"悅"))</f>
        <v/>
      </c>
      <c r="F22" s="63">
        <f>IF($A22="","",COUNTIF(醫師班表!$E23:$CS23,"睿"))</f>
        <v/>
      </c>
      <c r="G22" s="64">
        <f>IF($A22="","",COUNTIF(醫師班表!$E23:$CS23,"匯"))</f>
        <v/>
      </c>
      <c r="H22" s="65">
        <f>IF($A22="","",COUNTIF(醫師班表!$E23:$CS23,"曜"))</f>
        <v/>
      </c>
      <c r="I22" s="66">
        <f>IF($A22="","",COUNTIF(醫師班表!$E23:$CS23,"寶"))</f>
        <v/>
      </c>
      <c r="J22" s="16">
        <f>IF($A22="","",SUM($E22:$I22))</f>
        <v/>
      </c>
      <c r="K22" s="16">
        <f>IF($A22="","",SUMPRODUCT(($E22:$I22&gt;0)*1))</f>
        <v/>
      </c>
      <c r="L22" s="16">
        <f>IF($A22="","",COUNTIF(醫師班表!$E23:$CS23,"訓"))</f>
        <v/>
      </c>
      <c r="M22" s="16">
        <f>IF($A22="","",COUNTIF(醫師班表!$E23:$CS23,"OFF"))</f>
        <v/>
      </c>
      <c r="N22" s="16">
        <f>IF($A22="","",COUNTIF(醫師班表!$E23:$CS23,"特"))</f>
        <v/>
      </c>
      <c r="O22" s="16">
        <f>IF($A22="","",COUNTIF(醫師班表!$E23:$CS23,"病"))</f>
        <v/>
      </c>
      <c r="P22" s="16">
        <f>IF($A22="","",COUNTIF(醫師班表!$E23:$CS23,"事"))</f>
        <v/>
      </c>
      <c r="Q22" s="16">
        <f>IF($A22="","",COUNTIF(醫師班表!$E23:$CS23,"公"))</f>
        <v/>
      </c>
      <c r="R22" s="16">
        <f>IF($A22="","",COUNTIF(醫師班表!$E23:$CS23,"國"))</f>
        <v/>
      </c>
      <c r="S22" s="16">
        <f>IF($A22="","",COUNTIF(醫師班表!$E23:$CS23,"休"))</f>
        <v/>
      </c>
      <c r="T22" s="16">
        <f>IF($A22="","",SUM($M22:$S22))</f>
        <v/>
      </c>
      <c r="U22" s="16">
        <f>IF($A22="","",DAY(EOMONTH(DATE(設定!$C$2,設定!$D$2,1),0))*3-COUNTIF(醫師班表!$E23:$CS23,"?*"))</f>
        <v/>
      </c>
    </row>
    <row r="23">
      <c r="A23" s="16" t="inlineStr">
        <is>
          <t>D019</t>
        </is>
      </c>
      <c r="B23" s="16" t="inlineStr">
        <is>
          <t>翁崎紘</t>
        </is>
      </c>
      <c r="C23" s="70" t="inlineStr"/>
      <c r="D23" s="16" t="inlineStr"/>
      <c r="E23" s="62">
        <f>IF($A23="","",COUNTIF(醫師班表!$E24:$CS24,"悅"))</f>
        <v/>
      </c>
      <c r="F23" s="63">
        <f>IF($A23="","",COUNTIF(醫師班表!$E24:$CS24,"睿"))</f>
        <v/>
      </c>
      <c r="G23" s="64">
        <f>IF($A23="","",COUNTIF(醫師班表!$E24:$CS24,"匯"))</f>
        <v/>
      </c>
      <c r="H23" s="65">
        <f>IF($A23="","",COUNTIF(醫師班表!$E24:$CS24,"曜"))</f>
        <v/>
      </c>
      <c r="I23" s="66">
        <f>IF($A23="","",COUNTIF(醫師班表!$E24:$CS24,"寶"))</f>
        <v/>
      </c>
      <c r="J23" s="16">
        <f>IF($A23="","",SUM($E23:$I23))</f>
        <v/>
      </c>
      <c r="K23" s="16">
        <f>IF($A23="","",SUMPRODUCT(($E23:$I23&gt;0)*1))</f>
        <v/>
      </c>
      <c r="L23" s="16">
        <f>IF($A23="","",COUNTIF(醫師班表!$E24:$CS24,"訓"))</f>
        <v/>
      </c>
      <c r="M23" s="16">
        <f>IF($A23="","",COUNTIF(醫師班表!$E24:$CS24,"OFF"))</f>
        <v/>
      </c>
      <c r="N23" s="16">
        <f>IF($A23="","",COUNTIF(醫師班表!$E24:$CS24,"特"))</f>
        <v/>
      </c>
      <c r="O23" s="16">
        <f>IF($A23="","",COUNTIF(醫師班表!$E24:$CS24,"病"))</f>
        <v/>
      </c>
      <c r="P23" s="16">
        <f>IF($A23="","",COUNTIF(醫師班表!$E24:$CS24,"事"))</f>
        <v/>
      </c>
      <c r="Q23" s="16">
        <f>IF($A23="","",COUNTIF(醫師班表!$E24:$CS24,"公"))</f>
        <v/>
      </c>
      <c r="R23" s="16">
        <f>IF($A23="","",COUNTIF(醫師班表!$E24:$CS24,"國"))</f>
        <v/>
      </c>
      <c r="S23" s="16">
        <f>IF($A23="","",COUNTIF(醫師班表!$E24:$CS24,"休"))</f>
        <v/>
      </c>
      <c r="T23" s="16">
        <f>IF($A23="","",SUM($M23:$S23))</f>
        <v/>
      </c>
      <c r="U23" s="16">
        <f>IF($A23="","",DAY(EOMONTH(DATE(設定!$C$2,設定!$D$2,1),0))*3-COUNTIF(醫師班表!$E24:$CS24,"?*"))</f>
        <v/>
      </c>
    </row>
    <row r="24">
      <c r="A24" s="16" t="inlineStr">
        <is>
          <t>D020</t>
        </is>
      </c>
      <c r="B24" s="16" t="inlineStr">
        <is>
          <t>余柏萱</t>
        </is>
      </c>
      <c r="C24" s="70" t="inlineStr"/>
      <c r="D24" s="16" t="inlineStr"/>
      <c r="E24" s="62">
        <f>IF($A24="","",COUNTIF(醫師班表!$E25:$CS25,"悅"))</f>
        <v/>
      </c>
      <c r="F24" s="63">
        <f>IF($A24="","",COUNTIF(醫師班表!$E25:$CS25,"睿"))</f>
        <v/>
      </c>
      <c r="G24" s="64">
        <f>IF($A24="","",COUNTIF(醫師班表!$E25:$CS25,"匯"))</f>
        <v/>
      </c>
      <c r="H24" s="65">
        <f>IF($A24="","",COUNTIF(醫師班表!$E25:$CS25,"曜"))</f>
        <v/>
      </c>
      <c r="I24" s="66">
        <f>IF($A24="","",COUNTIF(醫師班表!$E25:$CS25,"寶"))</f>
        <v/>
      </c>
      <c r="J24" s="16">
        <f>IF($A24="","",SUM($E24:$I24))</f>
        <v/>
      </c>
      <c r="K24" s="16">
        <f>IF($A24="","",SUMPRODUCT(($E24:$I24&gt;0)*1))</f>
        <v/>
      </c>
      <c r="L24" s="16">
        <f>IF($A24="","",COUNTIF(醫師班表!$E25:$CS25,"訓"))</f>
        <v/>
      </c>
      <c r="M24" s="16">
        <f>IF($A24="","",COUNTIF(醫師班表!$E25:$CS25,"OFF"))</f>
        <v/>
      </c>
      <c r="N24" s="16">
        <f>IF($A24="","",COUNTIF(醫師班表!$E25:$CS25,"特"))</f>
        <v/>
      </c>
      <c r="O24" s="16">
        <f>IF($A24="","",COUNTIF(醫師班表!$E25:$CS25,"病"))</f>
        <v/>
      </c>
      <c r="P24" s="16">
        <f>IF($A24="","",COUNTIF(醫師班表!$E25:$CS25,"事"))</f>
        <v/>
      </c>
      <c r="Q24" s="16">
        <f>IF($A24="","",COUNTIF(醫師班表!$E25:$CS25,"公"))</f>
        <v/>
      </c>
      <c r="R24" s="16">
        <f>IF($A24="","",COUNTIF(醫師班表!$E25:$CS25,"國"))</f>
        <v/>
      </c>
      <c r="S24" s="16">
        <f>IF($A24="","",COUNTIF(醫師班表!$E25:$CS25,"休"))</f>
        <v/>
      </c>
      <c r="T24" s="16">
        <f>IF($A24="","",SUM($M24:$S24))</f>
        <v/>
      </c>
      <c r="U24" s="16">
        <f>IF($A24="","",DAY(EOMONTH(DATE(設定!$C$2,設定!$D$2,1),0))*3-COUNTIF(醫師班表!$E25:$CS25,"?*"))</f>
        <v/>
      </c>
    </row>
    <row r="25">
      <c r="A25" s="16" t="inlineStr">
        <is>
          <t>D021</t>
        </is>
      </c>
      <c r="B25" s="16" t="inlineStr">
        <is>
          <t>鄭博文</t>
        </is>
      </c>
      <c r="C25" s="70" t="inlineStr"/>
      <c r="D25" s="16" t="inlineStr"/>
      <c r="E25" s="62">
        <f>IF($A25="","",COUNTIF(醫師班表!$E26:$CS26,"悅"))</f>
        <v/>
      </c>
      <c r="F25" s="63">
        <f>IF($A25="","",COUNTIF(醫師班表!$E26:$CS26,"睿"))</f>
        <v/>
      </c>
      <c r="G25" s="64">
        <f>IF($A25="","",COUNTIF(醫師班表!$E26:$CS26,"匯"))</f>
        <v/>
      </c>
      <c r="H25" s="65">
        <f>IF($A25="","",COUNTIF(醫師班表!$E26:$CS26,"曜"))</f>
        <v/>
      </c>
      <c r="I25" s="66">
        <f>IF($A25="","",COUNTIF(醫師班表!$E26:$CS26,"寶"))</f>
        <v/>
      </c>
      <c r="J25" s="16">
        <f>IF($A25="","",SUM($E25:$I25))</f>
        <v/>
      </c>
      <c r="K25" s="16">
        <f>IF($A25="","",SUMPRODUCT(($E25:$I25&gt;0)*1))</f>
        <v/>
      </c>
      <c r="L25" s="16">
        <f>IF($A25="","",COUNTIF(醫師班表!$E26:$CS26,"訓"))</f>
        <v/>
      </c>
      <c r="M25" s="16">
        <f>IF($A25="","",COUNTIF(醫師班表!$E26:$CS26,"OFF"))</f>
        <v/>
      </c>
      <c r="N25" s="16">
        <f>IF($A25="","",COUNTIF(醫師班表!$E26:$CS26,"特"))</f>
        <v/>
      </c>
      <c r="O25" s="16">
        <f>IF($A25="","",COUNTIF(醫師班表!$E26:$CS26,"病"))</f>
        <v/>
      </c>
      <c r="P25" s="16">
        <f>IF($A25="","",COUNTIF(醫師班表!$E26:$CS26,"事"))</f>
        <v/>
      </c>
      <c r="Q25" s="16">
        <f>IF($A25="","",COUNTIF(醫師班表!$E26:$CS26,"公"))</f>
        <v/>
      </c>
      <c r="R25" s="16">
        <f>IF($A25="","",COUNTIF(醫師班表!$E26:$CS26,"國"))</f>
        <v/>
      </c>
      <c r="S25" s="16">
        <f>IF($A25="","",COUNTIF(醫師班表!$E26:$CS26,"休"))</f>
        <v/>
      </c>
      <c r="T25" s="16">
        <f>IF($A25="","",SUM($M25:$S25))</f>
        <v/>
      </c>
      <c r="U25" s="16">
        <f>IF($A25="","",DAY(EOMONTH(DATE(設定!$C$2,設定!$D$2,1),0))*3-COUNTIF(醫師班表!$E26:$CS26,"?*"))</f>
        <v/>
      </c>
    </row>
    <row r="26">
      <c r="A26" s="16" t="inlineStr">
        <is>
          <t>D022</t>
        </is>
      </c>
      <c r="B26" s="16" t="inlineStr">
        <is>
          <t>黃育亭</t>
        </is>
      </c>
      <c r="C26" s="70" t="inlineStr">
        <is>
          <t>兒童</t>
        </is>
      </c>
      <c r="D26" s="16" t="inlineStr">
        <is>
          <t>寶貝牙院長</t>
        </is>
      </c>
      <c r="E26" s="62">
        <f>IF($A26="","",COUNTIF(醫師班表!$E27:$CS27,"悅"))</f>
        <v/>
      </c>
      <c r="F26" s="63">
        <f>IF($A26="","",COUNTIF(醫師班表!$E27:$CS27,"睿"))</f>
        <v/>
      </c>
      <c r="G26" s="64">
        <f>IF($A26="","",COUNTIF(醫師班表!$E27:$CS27,"匯"))</f>
        <v/>
      </c>
      <c r="H26" s="65">
        <f>IF($A26="","",COUNTIF(醫師班表!$E27:$CS27,"曜"))</f>
        <v/>
      </c>
      <c r="I26" s="66">
        <f>IF($A26="","",COUNTIF(醫師班表!$E27:$CS27,"寶"))</f>
        <v/>
      </c>
      <c r="J26" s="16">
        <f>IF($A26="","",SUM($E26:$I26))</f>
        <v/>
      </c>
      <c r="K26" s="16">
        <f>IF($A26="","",SUMPRODUCT(($E26:$I26&gt;0)*1))</f>
        <v/>
      </c>
      <c r="L26" s="16">
        <f>IF($A26="","",COUNTIF(醫師班表!$E27:$CS27,"訓"))</f>
        <v/>
      </c>
      <c r="M26" s="16">
        <f>IF($A26="","",COUNTIF(醫師班表!$E27:$CS27,"OFF"))</f>
        <v/>
      </c>
      <c r="N26" s="16">
        <f>IF($A26="","",COUNTIF(醫師班表!$E27:$CS27,"特"))</f>
        <v/>
      </c>
      <c r="O26" s="16">
        <f>IF($A26="","",COUNTIF(醫師班表!$E27:$CS27,"病"))</f>
        <v/>
      </c>
      <c r="P26" s="16">
        <f>IF($A26="","",COUNTIF(醫師班表!$E27:$CS27,"事"))</f>
        <v/>
      </c>
      <c r="Q26" s="16">
        <f>IF($A26="","",COUNTIF(醫師班表!$E27:$CS27,"公"))</f>
        <v/>
      </c>
      <c r="R26" s="16">
        <f>IF($A26="","",COUNTIF(醫師班表!$E27:$CS27,"國"))</f>
        <v/>
      </c>
      <c r="S26" s="16">
        <f>IF($A26="","",COUNTIF(醫師班表!$E27:$CS27,"休"))</f>
        <v/>
      </c>
      <c r="T26" s="16">
        <f>IF($A26="","",SUM($M26:$S26))</f>
        <v/>
      </c>
      <c r="U26" s="16">
        <f>IF($A26="","",DAY(EOMONTH(DATE(設定!$C$2,設定!$D$2,1),0))*3-COUNTIF(醫師班表!$E27:$CS27,"?*"))</f>
        <v/>
      </c>
    </row>
    <row r="27">
      <c r="A27" s="16" t="inlineStr">
        <is>
          <t>D023</t>
        </is>
      </c>
      <c r="B27" s="16" t="inlineStr">
        <is>
          <t>黃婷愉</t>
        </is>
      </c>
      <c r="C27" s="70" t="inlineStr">
        <is>
          <t>口外</t>
        </is>
      </c>
      <c r="D27" s="16" t="inlineStr"/>
      <c r="E27" s="62">
        <f>IF($A27="","",COUNTIF(醫師班表!$E28:$CS28,"悅"))</f>
        <v/>
      </c>
      <c r="F27" s="63">
        <f>IF($A27="","",COUNTIF(醫師班表!$E28:$CS28,"睿"))</f>
        <v/>
      </c>
      <c r="G27" s="64">
        <f>IF($A27="","",COUNTIF(醫師班表!$E28:$CS28,"匯"))</f>
        <v/>
      </c>
      <c r="H27" s="65">
        <f>IF($A27="","",COUNTIF(醫師班表!$E28:$CS28,"曜"))</f>
        <v/>
      </c>
      <c r="I27" s="66">
        <f>IF($A27="","",COUNTIF(醫師班表!$E28:$CS28,"寶"))</f>
        <v/>
      </c>
      <c r="J27" s="16">
        <f>IF($A27="","",SUM($E27:$I27))</f>
        <v/>
      </c>
      <c r="K27" s="16">
        <f>IF($A27="","",SUMPRODUCT(($E27:$I27&gt;0)*1))</f>
        <v/>
      </c>
      <c r="L27" s="16">
        <f>IF($A27="","",COUNTIF(醫師班表!$E28:$CS28,"訓"))</f>
        <v/>
      </c>
      <c r="M27" s="16">
        <f>IF($A27="","",COUNTIF(醫師班表!$E28:$CS28,"OFF"))</f>
        <v/>
      </c>
      <c r="N27" s="16">
        <f>IF($A27="","",COUNTIF(醫師班表!$E28:$CS28,"特"))</f>
        <v/>
      </c>
      <c r="O27" s="16">
        <f>IF($A27="","",COUNTIF(醫師班表!$E28:$CS28,"病"))</f>
        <v/>
      </c>
      <c r="P27" s="16">
        <f>IF($A27="","",COUNTIF(醫師班表!$E28:$CS28,"事"))</f>
        <v/>
      </c>
      <c r="Q27" s="16">
        <f>IF($A27="","",COUNTIF(醫師班表!$E28:$CS28,"公"))</f>
        <v/>
      </c>
      <c r="R27" s="16">
        <f>IF($A27="","",COUNTIF(醫師班表!$E28:$CS28,"國"))</f>
        <v/>
      </c>
      <c r="S27" s="16">
        <f>IF($A27="","",COUNTIF(醫師班表!$E28:$CS28,"休"))</f>
        <v/>
      </c>
      <c r="T27" s="16">
        <f>IF($A27="","",SUM($M27:$S27))</f>
        <v/>
      </c>
      <c r="U27" s="16">
        <f>IF($A27="","",DAY(EOMONTH(DATE(設定!$C$2,設定!$D$2,1),0))*3-COUNTIF(醫師班表!$E28:$CS28,"?*"))</f>
        <v/>
      </c>
    </row>
    <row r="28">
      <c r="A28" s="16" t="inlineStr">
        <is>
          <t>D024</t>
        </is>
      </c>
      <c r="B28" s="16" t="inlineStr">
        <is>
          <t>林紓安</t>
        </is>
      </c>
      <c r="C28" s="70" t="inlineStr">
        <is>
          <t>兒童</t>
        </is>
      </c>
      <c r="D28" s="16" t="inlineStr"/>
      <c r="E28" s="62">
        <f>IF($A28="","",COUNTIF(醫師班表!$E29:$CS29,"悅"))</f>
        <v/>
      </c>
      <c r="F28" s="63">
        <f>IF($A28="","",COUNTIF(醫師班表!$E29:$CS29,"睿"))</f>
        <v/>
      </c>
      <c r="G28" s="64">
        <f>IF($A28="","",COUNTIF(醫師班表!$E29:$CS29,"匯"))</f>
        <v/>
      </c>
      <c r="H28" s="65">
        <f>IF($A28="","",COUNTIF(醫師班表!$E29:$CS29,"曜"))</f>
        <v/>
      </c>
      <c r="I28" s="66">
        <f>IF($A28="","",COUNTIF(醫師班表!$E29:$CS29,"寶"))</f>
        <v/>
      </c>
      <c r="J28" s="16">
        <f>IF($A28="","",SUM($E28:$I28))</f>
        <v/>
      </c>
      <c r="K28" s="16">
        <f>IF($A28="","",SUMPRODUCT(($E28:$I28&gt;0)*1))</f>
        <v/>
      </c>
      <c r="L28" s="16">
        <f>IF($A28="","",COUNTIF(醫師班表!$E29:$CS29,"訓"))</f>
        <v/>
      </c>
      <c r="M28" s="16">
        <f>IF($A28="","",COUNTIF(醫師班表!$E29:$CS29,"OFF"))</f>
        <v/>
      </c>
      <c r="N28" s="16">
        <f>IF($A28="","",COUNTIF(醫師班表!$E29:$CS29,"特"))</f>
        <v/>
      </c>
      <c r="O28" s="16">
        <f>IF($A28="","",COUNTIF(醫師班表!$E29:$CS29,"病"))</f>
        <v/>
      </c>
      <c r="P28" s="16">
        <f>IF($A28="","",COUNTIF(醫師班表!$E29:$CS29,"事"))</f>
        <v/>
      </c>
      <c r="Q28" s="16">
        <f>IF($A28="","",COUNTIF(醫師班表!$E29:$CS29,"公"))</f>
        <v/>
      </c>
      <c r="R28" s="16">
        <f>IF($A28="","",COUNTIF(醫師班表!$E29:$CS29,"國"))</f>
        <v/>
      </c>
      <c r="S28" s="16">
        <f>IF($A28="","",COUNTIF(醫師班表!$E29:$CS29,"休"))</f>
        <v/>
      </c>
      <c r="T28" s="16">
        <f>IF($A28="","",SUM($M28:$S28))</f>
        <v/>
      </c>
      <c r="U28" s="16">
        <f>IF($A28="","",DAY(EOMONTH(DATE(設定!$C$2,設定!$D$2,1),0))*3-COUNTIF(醫師班表!$E29:$CS29,"?*"))</f>
        <v/>
      </c>
    </row>
    <row r="29">
      <c r="A29" s="16" t="inlineStr">
        <is>
          <t>D025</t>
        </is>
      </c>
      <c r="B29" s="16" t="inlineStr">
        <is>
          <t>陳爵安</t>
        </is>
      </c>
      <c r="C29" s="70" t="inlineStr"/>
      <c r="D29" s="16" t="inlineStr"/>
      <c r="E29" s="62">
        <f>IF($A29="","",COUNTIF(醫師班表!$E30:$CS30,"悅"))</f>
        <v/>
      </c>
      <c r="F29" s="63">
        <f>IF($A29="","",COUNTIF(醫師班表!$E30:$CS30,"睿"))</f>
        <v/>
      </c>
      <c r="G29" s="64">
        <f>IF($A29="","",COUNTIF(醫師班表!$E30:$CS30,"匯"))</f>
        <v/>
      </c>
      <c r="H29" s="65">
        <f>IF($A29="","",COUNTIF(醫師班表!$E30:$CS30,"曜"))</f>
        <v/>
      </c>
      <c r="I29" s="66">
        <f>IF($A29="","",COUNTIF(醫師班表!$E30:$CS30,"寶"))</f>
        <v/>
      </c>
      <c r="J29" s="16">
        <f>IF($A29="","",SUM($E29:$I29))</f>
        <v/>
      </c>
      <c r="K29" s="16">
        <f>IF($A29="","",SUMPRODUCT(($E29:$I29&gt;0)*1))</f>
        <v/>
      </c>
      <c r="L29" s="16">
        <f>IF($A29="","",COUNTIF(醫師班表!$E30:$CS30,"訓"))</f>
        <v/>
      </c>
      <c r="M29" s="16">
        <f>IF($A29="","",COUNTIF(醫師班表!$E30:$CS30,"OFF"))</f>
        <v/>
      </c>
      <c r="N29" s="16">
        <f>IF($A29="","",COUNTIF(醫師班表!$E30:$CS30,"特"))</f>
        <v/>
      </c>
      <c r="O29" s="16">
        <f>IF($A29="","",COUNTIF(醫師班表!$E30:$CS30,"病"))</f>
        <v/>
      </c>
      <c r="P29" s="16">
        <f>IF($A29="","",COUNTIF(醫師班表!$E30:$CS30,"事"))</f>
        <v/>
      </c>
      <c r="Q29" s="16">
        <f>IF($A29="","",COUNTIF(醫師班表!$E30:$CS30,"公"))</f>
        <v/>
      </c>
      <c r="R29" s="16">
        <f>IF($A29="","",COUNTIF(醫師班表!$E30:$CS30,"國"))</f>
        <v/>
      </c>
      <c r="S29" s="16">
        <f>IF($A29="","",COUNTIF(醫師班表!$E30:$CS30,"休"))</f>
        <v/>
      </c>
      <c r="T29" s="16">
        <f>IF($A29="","",SUM($M29:$S29))</f>
        <v/>
      </c>
      <c r="U29" s="16">
        <f>IF($A29="","",DAY(EOMONTH(DATE(設定!$C$2,設定!$D$2,1),0))*3-COUNTIF(醫師班表!$E30:$CS30,"?*"))</f>
        <v/>
      </c>
    </row>
    <row r="30">
      <c r="A30" s="16" t="inlineStr">
        <is>
          <t>D026</t>
        </is>
      </c>
      <c r="B30" s="16" t="inlineStr">
        <is>
          <t>吳冠廷</t>
        </is>
      </c>
      <c r="C30" s="70" t="inlineStr"/>
      <c r="D30" s="16" t="inlineStr"/>
      <c r="E30" s="62">
        <f>IF($A30="","",COUNTIF(醫師班表!$E31:$CS31,"悅"))</f>
        <v/>
      </c>
      <c r="F30" s="63">
        <f>IF($A30="","",COUNTIF(醫師班表!$E31:$CS31,"睿"))</f>
        <v/>
      </c>
      <c r="G30" s="64">
        <f>IF($A30="","",COUNTIF(醫師班表!$E31:$CS31,"匯"))</f>
        <v/>
      </c>
      <c r="H30" s="65">
        <f>IF($A30="","",COUNTIF(醫師班表!$E31:$CS31,"曜"))</f>
        <v/>
      </c>
      <c r="I30" s="66">
        <f>IF($A30="","",COUNTIF(醫師班表!$E31:$CS31,"寶"))</f>
        <v/>
      </c>
      <c r="J30" s="16">
        <f>IF($A30="","",SUM($E30:$I30))</f>
        <v/>
      </c>
      <c r="K30" s="16">
        <f>IF($A30="","",SUMPRODUCT(($E30:$I30&gt;0)*1))</f>
        <v/>
      </c>
      <c r="L30" s="16">
        <f>IF($A30="","",COUNTIF(醫師班表!$E31:$CS31,"訓"))</f>
        <v/>
      </c>
      <c r="M30" s="16">
        <f>IF($A30="","",COUNTIF(醫師班表!$E31:$CS31,"OFF"))</f>
        <v/>
      </c>
      <c r="N30" s="16">
        <f>IF($A30="","",COUNTIF(醫師班表!$E31:$CS31,"特"))</f>
        <v/>
      </c>
      <c r="O30" s="16">
        <f>IF($A30="","",COUNTIF(醫師班表!$E31:$CS31,"病"))</f>
        <v/>
      </c>
      <c r="P30" s="16">
        <f>IF($A30="","",COUNTIF(醫師班表!$E31:$CS31,"事"))</f>
        <v/>
      </c>
      <c r="Q30" s="16">
        <f>IF($A30="","",COUNTIF(醫師班表!$E31:$CS31,"公"))</f>
        <v/>
      </c>
      <c r="R30" s="16">
        <f>IF($A30="","",COUNTIF(醫師班表!$E31:$CS31,"國"))</f>
        <v/>
      </c>
      <c r="S30" s="16">
        <f>IF($A30="","",COUNTIF(醫師班表!$E31:$CS31,"休"))</f>
        <v/>
      </c>
      <c r="T30" s="16">
        <f>IF($A30="","",SUM($M30:$S30))</f>
        <v/>
      </c>
      <c r="U30" s="16">
        <f>IF($A30="","",DAY(EOMONTH(DATE(設定!$C$2,設定!$D$2,1),0))*3-COUNTIF(醫師班表!$E31:$CS31,"?*"))</f>
        <v/>
      </c>
    </row>
    <row r="31">
      <c r="A31" s="16" t="inlineStr">
        <is>
          <t>D027</t>
        </is>
      </c>
      <c r="B31" s="16" t="inlineStr">
        <is>
          <t>楊孟庭</t>
        </is>
      </c>
      <c r="C31" s="70" t="inlineStr"/>
      <c r="D31" s="16" t="inlineStr"/>
      <c r="E31" s="62">
        <f>IF($A31="","",COUNTIF(醫師班表!$E32:$CS32,"悅"))</f>
        <v/>
      </c>
      <c r="F31" s="63">
        <f>IF($A31="","",COUNTIF(醫師班表!$E32:$CS32,"睿"))</f>
        <v/>
      </c>
      <c r="G31" s="64">
        <f>IF($A31="","",COUNTIF(醫師班表!$E32:$CS32,"匯"))</f>
        <v/>
      </c>
      <c r="H31" s="65">
        <f>IF($A31="","",COUNTIF(醫師班表!$E32:$CS32,"曜"))</f>
        <v/>
      </c>
      <c r="I31" s="66">
        <f>IF($A31="","",COUNTIF(醫師班表!$E32:$CS32,"寶"))</f>
        <v/>
      </c>
      <c r="J31" s="16">
        <f>IF($A31="","",SUM($E31:$I31))</f>
        <v/>
      </c>
      <c r="K31" s="16">
        <f>IF($A31="","",SUMPRODUCT(($E31:$I31&gt;0)*1))</f>
        <v/>
      </c>
      <c r="L31" s="16">
        <f>IF($A31="","",COUNTIF(醫師班表!$E32:$CS32,"訓"))</f>
        <v/>
      </c>
      <c r="M31" s="16">
        <f>IF($A31="","",COUNTIF(醫師班表!$E32:$CS32,"OFF"))</f>
        <v/>
      </c>
      <c r="N31" s="16">
        <f>IF($A31="","",COUNTIF(醫師班表!$E32:$CS32,"特"))</f>
        <v/>
      </c>
      <c r="O31" s="16">
        <f>IF($A31="","",COUNTIF(醫師班表!$E32:$CS32,"病"))</f>
        <v/>
      </c>
      <c r="P31" s="16">
        <f>IF($A31="","",COUNTIF(醫師班表!$E32:$CS32,"事"))</f>
        <v/>
      </c>
      <c r="Q31" s="16">
        <f>IF($A31="","",COUNTIF(醫師班表!$E32:$CS32,"公"))</f>
        <v/>
      </c>
      <c r="R31" s="16">
        <f>IF($A31="","",COUNTIF(醫師班表!$E32:$CS32,"國"))</f>
        <v/>
      </c>
      <c r="S31" s="16">
        <f>IF($A31="","",COUNTIF(醫師班表!$E32:$CS32,"休"))</f>
        <v/>
      </c>
      <c r="T31" s="16">
        <f>IF($A31="","",SUM($M31:$S31))</f>
        <v/>
      </c>
      <c r="U31" s="16">
        <f>IF($A31="","",DAY(EOMONTH(DATE(設定!$C$2,設定!$D$2,1),0))*3-COUNTIF(醫師班表!$E32:$CS32,"?*"))</f>
        <v/>
      </c>
    </row>
    <row r="32">
      <c r="A32" s="16">
        <f>IF(醫師班表!$A33="","",醫師班表!$A33)</f>
        <v/>
      </c>
      <c r="B32" s="16">
        <f>IF($A32="","",醫師班表!$B33)</f>
        <v/>
      </c>
      <c r="C32" s="70">
        <f>IF($A32="","",醫師班表!$C33)</f>
        <v/>
      </c>
      <c r="D32" s="16">
        <f>IF($A32="","",醫師班表!$D33)</f>
        <v/>
      </c>
      <c r="E32" s="62">
        <f>IF($A32="","",COUNTIF(醫師班表!$E33:$CS33,"悅"))</f>
        <v/>
      </c>
      <c r="F32" s="63">
        <f>IF($A32="","",COUNTIF(醫師班表!$E33:$CS33,"睿"))</f>
        <v/>
      </c>
      <c r="G32" s="64">
        <f>IF($A32="","",COUNTIF(醫師班表!$E33:$CS33,"匯"))</f>
        <v/>
      </c>
      <c r="H32" s="65">
        <f>IF($A32="","",COUNTIF(醫師班表!$E33:$CS33,"曜"))</f>
        <v/>
      </c>
      <c r="I32" s="66">
        <f>IF($A32="","",COUNTIF(醫師班表!$E33:$CS33,"寶"))</f>
        <v/>
      </c>
      <c r="J32" s="16">
        <f>IF($A32="","",SUM($E32:$I32))</f>
        <v/>
      </c>
      <c r="K32" s="16">
        <f>IF($A32="","",SUMPRODUCT(($E32:$I32&gt;0)*1))</f>
        <v/>
      </c>
      <c r="L32" s="16">
        <f>IF($A32="","",COUNTIF(醫師班表!$E33:$CS33,"訓"))</f>
        <v/>
      </c>
      <c r="M32" s="16">
        <f>IF($A32="","",COUNTIF(醫師班表!$E33:$CS33,"OFF"))</f>
        <v/>
      </c>
      <c r="N32" s="16">
        <f>IF($A32="","",COUNTIF(醫師班表!$E33:$CS33,"特"))</f>
        <v/>
      </c>
      <c r="O32" s="16">
        <f>IF($A32="","",COUNTIF(醫師班表!$E33:$CS33,"病"))</f>
        <v/>
      </c>
      <c r="P32" s="16">
        <f>IF($A32="","",COUNTIF(醫師班表!$E33:$CS33,"事"))</f>
        <v/>
      </c>
      <c r="Q32" s="16">
        <f>IF($A32="","",COUNTIF(醫師班表!$E33:$CS33,"公"))</f>
        <v/>
      </c>
      <c r="R32" s="16">
        <f>IF($A32="","",COUNTIF(醫師班表!$E33:$CS33,"國"))</f>
        <v/>
      </c>
      <c r="S32" s="16">
        <f>IF($A32="","",COUNTIF(醫師班表!$E33:$CS33,"休"))</f>
        <v/>
      </c>
      <c r="T32" s="16">
        <f>IF($A32="","",SUM($M32:$S32))</f>
        <v/>
      </c>
      <c r="U32" s="16">
        <f>IF($A32="","",DAY(EOMONTH(DATE(設定!$C$2,設定!$D$2,1),0))*3-COUNTIF(醫師班表!$E33:$CS33,"?*"))</f>
        <v/>
      </c>
    </row>
    <row r="33">
      <c r="A33" s="16">
        <f>IF(醫師班表!$A34="","",醫師班表!$A34)</f>
        <v/>
      </c>
      <c r="B33" s="16">
        <f>IF($A33="","",醫師班表!$B34)</f>
        <v/>
      </c>
      <c r="C33" s="70">
        <f>IF($A33="","",醫師班表!$C34)</f>
        <v/>
      </c>
      <c r="D33" s="16">
        <f>IF($A33="","",醫師班表!$D34)</f>
        <v/>
      </c>
      <c r="E33" s="62">
        <f>IF($A33="","",COUNTIF(醫師班表!$E34:$CS34,"悅"))</f>
        <v/>
      </c>
      <c r="F33" s="63">
        <f>IF($A33="","",COUNTIF(醫師班表!$E34:$CS34,"睿"))</f>
        <v/>
      </c>
      <c r="G33" s="64">
        <f>IF($A33="","",COUNTIF(醫師班表!$E34:$CS34,"匯"))</f>
        <v/>
      </c>
      <c r="H33" s="65">
        <f>IF($A33="","",COUNTIF(醫師班表!$E34:$CS34,"曜"))</f>
        <v/>
      </c>
      <c r="I33" s="66">
        <f>IF($A33="","",COUNTIF(醫師班表!$E34:$CS34,"寶"))</f>
        <v/>
      </c>
      <c r="J33" s="16">
        <f>IF($A33="","",SUM($E33:$I33))</f>
        <v/>
      </c>
      <c r="K33" s="16">
        <f>IF($A33="","",SUMPRODUCT(($E33:$I33&gt;0)*1))</f>
        <v/>
      </c>
      <c r="L33" s="16">
        <f>IF($A33="","",COUNTIF(醫師班表!$E34:$CS34,"訓"))</f>
        <v/>
      </c>
      <c r="M33" s="16">
        <f>IF($A33="","",COUNTIF(醫師班表!$E34:$CS34,"OFF"))</f>
        <v/>
      </c>
      <c r="N33" s="16">
        <f>IF($A33="","",COUNTIF(醫師班表!$E34:$CS34,"特"))</f>
        <v/>
      </c>
      <c r="O33" s="16">
        <f>IF($A33="","",COUNTIF(醫師班表!$E34:$CS34,"病"))</f>
        <v/>
      </c>
      <c r="P33" s="16">
        <f>IF($A33="","",COUNTIF(醫師班表!$E34:$CS34,"事"))</f>
        <v/>
      </c>
      <c r="Q33" s="16">
        <f>IF($A33="","",COUNTIF(醫師班表!$E34:$CS34,"公"))</f>
        <v/>
      </c>
      <c r="R33" s="16">
        <f>IF($A33="","",COUNTIF(醫師班表!$E34:$CS34,"國"))</f>
        <v/>
      </c>
      <c r="S33" s="16">
        <f>IF($A33="","",COUNTIF(醫師班表!$E34:$CS34,"休"))</f>
        <v/>
      </c>
      <c r="T33" s="16">
        <f>IF($A33="","",SUM($M33:$S33))</f>
        <v/>
      </c>
      <c r="U33" s="16">
        <f>IF($A33="","",DAY(EOMONTH(DATE(設定!$C$2,設定!$D$2,1),0))*3-COUNTIF(醫師班表!$E34:$CS34,"?*"))</f>
        <v/>
      </c>
    </row>
    <row r="34">
      <c r="A34" s="16">
        <f>IF(醫師班表!$A35="","",醫師班表!$A35)</f>
        <v/>
      </c>
      <c r="B34" s="16">
        <f>IF($A34="","",醫師班表!$B35)</f>
        <v/>
      </c>
      <c r="C34" s="70">
        <f>IF($A34="","",醫師班表!$C35)</f>
        <v/>
      </c>
      <c r="D34" s="16">
        <f>IF($A34="","",醫師班表!$D35)</f>
        <v/>
      </c>
      <c r="E34" s="62">
        <f>IF($A34="","",COUNTIF(醫師班表!$E35:$CS35,"悅"))</f>
        <v/>
      </c>
      <c r="F34" s="63">
        <f>IF($A34="","",COUNTIF(醫師班表!$E35:$CS35,"睿"))</f>
        <v/>
      </c>
      <c r="G34" s="64">
        <f>IF($A34="","",COUNTIF(醫師班表!$E35:$CS35,"匯"))</f>
        <v/>
      </c>
      <c r="H34" s="65">
        <f>IF($A34="","",COUNTIF(醫師班表!$E35:$CS35,"曜"))</f>
        <v/>
      </c>
      <c r="I34" s="66">
        <f>IF($A34="","",COUNTIF(醫師班表!$E35:$CS35,"寶"))</f>
        <v/>
      </c>
      <c r="J34" s="16">
        <f>IF($A34="","",SUM($E34:$I34))</f>
        <v/>
      </c>
      <c r="K34" s="16">
        <f>IF($A34="","",SUMPRODUCT(($E34:$I34&gt;0)*1))</f>
        <v/>
      </c>
      <c r="L34" s="16">
        <f>IF($A34="","",COUNTIF(醫師班表!$E35:$CS35,"訓"))</f>
        <v/>
      </c>
      <c r="M34" s="16">
        <f>IF($A34="","",COUNTIF(醫師班表!$E35:$CS35,"OFF"))</f>
        <v/>
      </c>
      <c r="N34" s="16">
        <f>IF($A34="","",COUNTIF(醫師班表!$E35:$CS35,"特"))</f>
        <v/>
      </c>
      <c r="O34" s="16">
        <f>IF($A34="","",COUNTIF(醫師班表!$E35:$CS35,"病"))</f>
        <v/>
      </c>
      <c r="P34" s="16">
        <f>IF($A34="","",COUNTIF(醫師班表!$E35:$CS35,"事"))</f>
        <v/>
      </c>
      <c r="Q34" s="16">
        <f>IF($A34="","",COUNTIF(醫師班表!$E35:$CS35,"公"))</f>
        <v/>
      </c>
      <c r="R34" s="16">
        <f>IF($A34="","",COUNTIF(醫師班表!$E35:$CS35,"國"))</f>
        <v/>
      </c>
      <c r="S34" s="16">
        <f>IF($A34="","",COUNTIF(醫師班表!$E35:$CS35,"休"))</f>
        <v/>
      </c>
      <c r="T34" s="16">
        <f>IF($A34="","",SUM($M34:$S34))</f>
        <v/>
      </c>
      <c r="U34" s="16">
        <f>IF($A34="","",DAY(EOMONTH(DATE(設定!$C$2,設定!$D$2,1),0))*3-COUNTIF(醫師班表!$E35:$CS35,"?*"))</f>
        <v/>
      </c>
    </row>
    <row r="35">
      <c r="A35" s="16">
        <f>IF(醫師班表!$A36="","",醫師班表!$A36)</f>
        <v/>
      </c>
      <c r="B35" s="16">
        <f>IF($A35="","",醫師班表!$B36)</f>
        <v/>
      </c>
      <c r="C35" s="70">
        <f>IF($A35="","",醫師班表!$C36)</f>
        <v/>
      </c>
      <c r="D35" s="16">
        <f>IF($A35="","",醫師班表!$D36)</f>
        <v/>
      </c>
      <c r="E35" s="62">
        <f>IF($A35="","",COUNTIF(醫師班表!$E36:$CS36,"悅"))</f>
        <v/>
      </c>
      <c r="F35" s="63">
        <f>IF($A35="","",COUNTIF(醫師班表!$E36:$CS36,"睿"))</f>
        <v/>
      </c>
      <c r="G35" s="64">
        <f>IF($A35="","",COUNTIF(醫師班表!$E36:$CS36,"匯"))</f>
        <v/>
      </c>
      <c r="H35" s="65">
        <f>IF($A35="","",COUNTIF(醫師班表!$E36:$CS36,"曜"))</f>
        <v/>
      </c>
      <c r="I35" s="66">
        <f>IF($A35="","",COUNTIF(醫師班表!$E36:$CS36,"寶"))</f>
        <v/>
      </c>
      <c r="J35" s="16">
        <f>IF($A35="","",SUM($E35:$I35))</f>
        <v/>
      </c>
      <c r="K35" s="16">
        <f>IF($A35="","",SUMPRODUCT(($E35:$I35&gt;0)*1))</f>
        <v/>
      </c>
      <c r="L35" s="16">
        <f>IF($A35="","",COUNTIF(醫師班表!$E36:$CS36,"訓"))</f>
        <v/>
      </c>
      <c r="M35" s="16">
        <f>IF($A35="","",COUNTIF(醫師班表!$E36:$CS36,"OFF"))</f>
        <v/>
      </c>
      <c r="N35" s="16">
        <f>IF($A35="","",COUNTIF(醫師班表!$E36:$CS36,"特"))</f>
        <v/>
      </c>
      <c r="O35" s="16">
        <f>IF($A35="","",COUNTIF(醫師班表!$E36:$CS36,"病"))</f>
        <v/>
      </c>
      <c r="P35" s="16">
        <f>IF($A35="","",COUNTIF(醫師班表!$E36:$CS36,"事"))</f>
        <v/>
      </c>
      <c r="Q35" s="16">
        <f>IF($A35="","",COUNTIF(醫師班表!$E36:$CS36,"公"))</f>
        <v/>
      </c>
      <c r="R35" s="16">
        <f>IF($A35="","",COUNTIF(醫師班表!$E36:$CS36,"國"))</f>
        <v/>
      </c>
      <c r="S35" s="16">
        <f>IF($A35="","",COUNTIF(醫師班表!$E36:$CS36,"休"))</f>
        <v/>
      </c>
      <c r="T35" s="16">
        <f>IF($A35="","",SUM($M35:$S35))</f>
        <v/>
      </c>
      <c r="U35" s="16">
        <f>IF($A35="","",DAY(EOMONTH(DATE(設定!$C$2,設定!$D$2,1),0))*3-COUNTIF(醫師班表!$E36:$CS36,"?*"))</f>
        <v/>
      </c>
    </row>
    <row r="36">
      <c r="A36" s="16">
        <f>IF(醫師班表!$A37="","",醫師班表!$A37)</f>
        <v/>
      </c>
      <c r="B36" s="16">
        <f>IF($A36="","",醫師班表!$B37)</f>
        <v/>
      </c>
      <c r="C36" s="70">
        <f>IF($A36="","",醫師班表!$C37)</f>
        <v/>
      </c>
      <c r="D36" s="16">
        <f>IF($A36="","",醫師班表!$D37)</f>
        <v/>
      </c>
      <c r="E36" s="62">
        <f>IF($A36="","",COUNTIF(醫師班表!$E37:$CS37,"悅"))</f>
        <v/>
      </c>
      <c r="F36" s="63">
        <f>IF($A36="","",COUNTIF(醫師班表!$E37:$CS37,"睿"))</f>
        <v/>
      </c>
      <c r="G36" s="64">
        <f>IF($A36="","",COUNTIF(醫師班表!$E37:$CS37,"匯"))</f>
        <v/>
      </c>
      <c r="H36" s="65">
        <f>IF($A36="","",COUNTIF(醫師班表!$E37:$CS37,"曜"))</f>
        <v/>
      </c>
      <c r="I36" s="66">
        <f>IF($A36="","",COUNTIF(醫師班表!$E37:$CS37,"寶"))</f>
        <v/>
      </c>
      <c r="J36" s="16">
        <f>IF($A36="","",SUM($E36:$I36))</f>
        <v/>
      </c>
      <c r="K36" s="16">
        <f>IF($A36="","",SUMPRODUCT(($E36:$I36&gt;0)*1))</f>
        <v/>
      </c>
      <c r="L36" s="16">
        <f>IF($A36="","",COUNTIF(醫師班表!$E37:$CS37,"訓"))</f>
        <v/>
      </c>
      <c r="M36" s="16">
        <f>IF($A36="","",COUNTIF(醫師班表!$E37:$CS37,"OFF"))</f>
        <v/>
      </c>
      <c r="N36" s="16">
        <f>IF($A36="","",COUNTIF(醫師班表!$E37:$CS37,"特"))</f>
        <v/>
      </c>
      <c r="O36" s="16">
        <f>IF($A36="","",COUNTIF(醫師班表!$E37:$CS37,"病"))</f>
        <v/>
      </c>
      <c r="P36" s="16">
        <f>IF($A36="","",COUNTIF(醫師班表!$E37:$CS37,"事"))</f>
        <v/>
      </c>
      <c r="Q36" s="16">
        <f>IF($A36="","",COUNTIF(醫師班表!$E37:$CS37,"公"))</f>
        <v/>
      </c>
      <c r="R36" s="16">
        <f>IF($A36="","",COUNTIF(醫師班表!$E37:$CS37,"國"))</f>
        <v/>
      </c>
      <c r="S36" s="16">
        <f>IF($A36="","",COUNTIF(醫師班表!$E37:$CS37,"休"))</f>
        <v/>
      </c>
      <c r="T36" s="16">
        <f>IF($A36="","",SUM($M36:$S36))</f>
        <v/>
      </c>
      <c r="U36" s="16">
        <f>IF($A36="","",DAY(EOMONTH(DATE(設定!$C$2,設定!$D$2,1),0))*3-COUNTIF(醫師班表!$E37:$CS37,"?*"))</f>
        <v/>
      </c>
    </row>
    <row r="37">
      <c r="A37" s="16">
        <f>IF(醫師班表!$A38="","",醫師班表!$A38)</f>
        <v/>
      </c>
      <c r="B37" s="16">
        <f>IF($A37="","",醫師班表!$B38)</f>
        <v/>
      </c>
      <c r="C37" s="70">
        <f>IF($A37="","",醫師班表!$C38)</f>
        <v/>
      </c>
      <c r="D37" s="16">
        <f>IF($A37="","",醫師班表!$D38)</f>
        <v/>
      </c>
      <c r="E37" s="62">
        <f>IF($A37="","",COUNTIF(醫師班表!$E38:$CS38,"悅"))</f>
        <v/>
      </c>
      <c r="F37" s="63">
        <f>IF($A37="","",COUNTIF(醫師班表!$E38:$CS38,"睿"))</f>
        <v/>
      </c>
      <c r="G37" s="64">
        <f>IF($A37="","",COUNTIF(醫師班表!$E38:$CS38,"匯"))</f>
        <v/>
      </c>
      <c r="H37" s="65">
        <f>IF($A37="","",COUNTIF(醫師班表!$E38:$CS38,"曜"))</f>
        <v/>
      </c>
      <c r="I37" s="66">
        <f>IF($A37="","",COUNTIF(醫師班表!$E38:$CS38,"寶"))</f>
        <v/>
      </c>
      <c r="J37" s="16">
        <f>IF($A37="","",SUM($E37:$I37))</f>
        <v/>
      </c>
      <c r="K37" s="16">
        <f>IF($A37="","",SUMPRODUCT(($E37:$I37&gt;0)*1))</f>
        <v/>
      </c>
      <c r="L37" s="16">
        <f>IF($A37="","",COUNTIF(醫師班表!$E38:$CS38,"訓"))</f>
        <v/>
      </c>
      <c r="M37" s="16">
        <f>IF($A37="","",COUNTIF(醫師班表!$E38:$CS38,"OFF"))</f>
        <v/>
      </c>
      <c r="N37" s="16">
        <f>IF($A37="","",COUNTIF(醫師班表!$E38:$CS38,"特"))</f>
        <v/>
      </c>
      <c r="O37" s="16">
        <f>IF($A37="","",COUNTIF(醫師班表!$E38:$CS38,"病"))</f>
        <v/>
      </c>
      <c r="P37" s="16">
        <f>IF($A37="","",COUNTIF(醫師班表!$E38:$CS38,"事"))</f>
        <v/>
      </c>
      <c r="Q37" s="16">
        <f>IF($A37="","",COUNTIF(醫師班表!$E38:$CS38,"公"))</f>
        <v/>
      </c>
      <c r="R37" s="16">
        <f>IF($A37="","",COUNTIF(醫師班表!$E38:$CS38,"國"))</f>
        <v/>
      </c>
      <c r="S37" s="16">
        <f>IF($A37="","",COUNTIF(醫師班表!$E38:$CS38,"休"))</f>
        <v/>
      </c>
      <c r="T37" s="16">
        <f>IF($A37="","",SUM($M37:$S37))</f>
        <v/>
      </c>
      <c r="U37" s="16">
        <f>IF($A37="","",DAY(EOMONTH(DATE(設定!$C$2,設定!$D$2,1),0))*3-COUNTIF(醫師班表!$E38:$CS38,"?*"))</f>
        <v/>
      </c>
    </row>
    <row r="38">
      <c r="A38" s="16">
        <f>IF(醫師班表!$A39="","",醫師班表!$A39)</f>
        <v/>
      </c>
      <c r="B38" s="16">
        <f>IF($A38="","",醫師班表!$B39)</f>
        <v/>
      </c>
      <c r="C38" s="70">
        <f>IF($A38="","",醫師班表!$C39)</f>
        <v/>
      </c>
      <c r="D38" s="16">
        <f>IF($A38="","",醫師班表!$D39)</f>
        <v/>
      </c>
      <c r="E38" s="62">
        <f>IF($A38="","",COUNTIF(醫師班表!$E39:$CS39,"悅"))</f>
        <v/>
      </c>
      <c r="F38" s="63">
        <f>IF($A38="","",COUNTIF(醫師班表!$E39:$CS39,"睿"))</f>
        <v/>
      </c>
      <c r="G38" s="64">
        <f>IF($A38="","",COUNTIF(醫師班表!$E39:$CS39,"匯"))</f>
        <v/>
      </c>
      <c r="H38" s="65">
        <f>IF($A38="","",COUNTIF(醫師班表!$E39:$CS39,"曜"))</f>
        <v/>
      </c>
      <c r="I38" s="66">
        <f>IF($A38="","",COUNTIF(醫師班表!$E39:$CS39,"寶"))</f>
        <v/>
      </c>
      <c r="J38" s="16">
        <f>IF($A38="","",SUM($E38:$I38))</f>
        <v/>
      </c>
      <c r="K38" s="16">
        <f>IF($A38="","",SUMPRODUCT(($E38:$I38&gt;0)*1))</f>
        <v/>
      </c>
      <c r="L38" s="16">
        <f>IF($A38="","",COUNTIF(醫師班表!$E39:$CS39,"訓"))</f>
        <v/>
      </c>
      <c r="M38" s="16">
        <f>IF($A38="","",COUNTIF(醫師班表!$E39:$CS39,"OFF"))</f>
        <v/>
      </c>
      <c r="N38" s="16">
        <f>IF($A38="","",COUNTIF(醫師班表!$E39:$CS39,"特"))</f>
        <v/>
      </c>
      <c r="O38" s="16">
        <f>IF($A38="","",COUNTIF(醫師班表!$E39:$CS39,"病"))</f>
        <v/>
      </c>
      <c r="P38" s="16">
        <f>IF($A38="","",COUNTIF(醫師班表!$E39:$CS39,"事"))</f>
        <v/>
      </c>
      <c r="Q38" s="16">
        <f>IF($A38="","",COUNTIF(醫師班表!$E39:$CS39,"公"))</f>
        <v/>
      </c>
      <c r="R38" s="16">
        <f>IF($A38="","",COUNTIF(醫師班表!$E39:$CS39,"國"))</f>
        <v/>
      </c>
      <c r="S38" s="16">
        <f>IF($A38="","",COUNTIF(醫師班表!$E39:$CS39,"休"))</f>
        <v/>
      </c>
      <c r="T38" s="16">
        <f>IF($A38="","",SUM($M38:$S38))</f>
        <v/>
      </c>
      <c r="U38" s="16">
        <f>IF($A38="","",DAY(EOMONTH(DATE(設定!$C$2,設定!$D$2,1),0))*3-COUNTIF(醫師班表!$E39:$CS39,"?*"))</f>
        <v/>
      </c>
    </row>
    <row r="39">
      <c r="A39" s="16">
        <f>IF(醫師班表!$A40="","",醫師班表!$A40)</f>
        <v/>
      </c>
      <c r="B39" s="16">
        <f>IF($A39="","",醫師班表!$B40)</f>
        <v/>
      </c>
      <c r="C39" s="70">
        <f>IF($A39="","",醫師班表!$C40)</f>
        <v/>
      </c>
      <c r="D39" s="16">
        <f>IF($A39="","",醫師班表!$D40)</f>
        <v/>
      </c>
      <c r="E39" s="62">
        <f>IF($A39="","",COUNTIF(醫師班表!$E40:$CS40,"悅"))</f>
        <v/>
      </c>
      <c r="F39" s="63">
        <f>IF($A39="","",COUNTIF(醫師班表!$E40:$CS40,"睿"))</f>
        <v/>
      </c>
      <c r="G39" s="64">
        <f>IF($A39="","",COUNTIF(醫師班表!$E40:$CS40,"匯"))</f>
        <v/>
      </c>
      <c r="H39" s="65">
        <f>IF($A39="","",COUNTIF(醫師班表!$E40:$CS40,"曜"))</f>
        <v/>
      </c>
      <c r="I39" s="66">
        <f>IF($A39="","",COUNTIF(醫師班表!$E40:$CS40,"寶"))</f>
        <v/>
      </c>
      <c r="J39" s="16">
        <f>IF($A39="","",SUM($E39:$I39))</f>
        <v/>
      </c>
      <c r="K39" s="16">
        <f>IF($A39="","",SUMPRODUCT(($E39:$I39&gt;0)*1))</f>
        <v/>
      </c>
      <c r="L39" s="16">
        <f>IF($A39="","",COUNTIF(醫師班表!$E40:$CS40,"訓"))</f>
        <v/>
      </c>
      <c r="M39" s="16">
        <f>IF($A39="","",COUNTIF(醫師班表!$E40:$CS40,"OFF"))</f>
        <v/>
      </c>
      <c r="N39" s="16">
        <f>IF($A39="","",COUNTIF(醫師班表!$E40:$CS40,"特"))</f>
        <v/>
      </c>
      <c r="O39" s="16">
        <f>IF($A39="","",COUNTIF(醫師班表!$E40:$CS40,"病"))</f>
        <v/>
      </c>
      <c r="P39" s="16">
        <f>IF($A39="","",COUNTIF(醫師班表!$E40:$CS40,"事"))</f>
        <v/>
      </c>
      <c r="Q39" s="16">
        <f>IF($A39="","",COUNTIF(醫師班表!$E40:$CS40,"公"))</f>
        <v/>
      </c>
      <c r="R39" s="16">
        <f>IF($A39="","",COUNTIF(醫師班表!$E40:$CS40,"國"))</f>
        <v/>
      </c>
      <c r="S39" s="16">
        <f>IF($A39="","",COUNTIF(醫師班表!$E40:$CS40,"休"))</f>
        <v/>
      </c>
      <c r="T39" s="16">
        <f>IF($A39="","",SUM($M39:$S39))</f>
        <v/>
      </c>
      <c r="U39" s="16">
        <f>IF($A39="","",DAY(EOMONTH(DATE(設定!$C$2,設定!$D$2,1),0))*3-COUNTIF(醫師班表!$E40:$CS40,"?*"))</f>
        <v/>
      </c>
    </row>
    <row r="40">
      <c r="A40" s="16">
        <f>IF(醫師班表!$A41="","",醫師班表!$A41)</f>
        <v/>
      </c>
      <c r="B40" s="16">
        <f>IF($A40="","",醫師班表!$B41)</f>
        <v/>
      </c>
      <c r="C40" s="70">
        <f>IF($A40="","",醫師班表!$C41)</f>
        <v/>
      </c>
      <c r="D40" s="16">
        <f>IF($A40="","",醫師班表!$D41)</f>
        <v/>
      </c>
      <c r="E40" s="62">
        <f>IF($A40="","",COUNTIF(醫師班表!$E41:$CS41,"悅"))</f>
        <v/>
      </c>
      <c r="F40" s="63">
        <f>IF($A40="","",COUNTIF(醫師班表!$E41:$CS41,"睿"))</f>
        <v/>
      </c>
      <c r="G40" s="64">
        <f>IF($A40="","",COUNTIF(醫師班表!$E41:$CS41,"匯"))</f>
        <v/>
      </c>
      <c r="H40" s="65">
        <f>IF($A40="","",COUNTIF(醫師班表!$E41:$CS41,"曜"))</f>
        <v/>
      </c>
      <c r="I40" s="66">
        <f>IF($A40="","",COUNTIF(醫師班表!$E41:$CS41,"寶"))</f>
        <v/>
      </c>
      <c r="J40" s="16">
        <f>IF($A40="","",SUM($E40:$I40))</f>
        <v/>
      </c>
      <c r="K40" s="16">
        <f>IF($A40="","",SUMPRODUCT(($E40:$I40&gt;0)*1))</f>
        <v/>
      </c>
      <c r="L40" s="16">
        <f>IF($A40="","",COUNTIF(醫師班表!$E41:$CS41,"訓"))</f>
        <v/>
      </c>
      <c r="M40" s="16">
        <f>IF($A40="","",COUNTIF(醫師班表!$E41:$CS41,"OFF"))</f>
        <v/>
      </c>
      <c r="N40" s="16">
        <f>IF($A40="","",COUNTIF(醫師班表!$E41:$CS41,"特"))</f>
        <v/>
      </c>
      <c r="O40" s="16">
        <f>IF($A40="","",COUNTIF(醫師班表!$E41:$CS41,"病"))</f>
        <v/>
      </c>
      <c r="P40" s="16">
        <f>IF($A40="","",COUNTIF(醫師班表!$E41:$CS41,"事"))</f>
        <v/>
      </c>
      <c r="Q40" s="16">
        <f>IF($A40="","",COUNTIF(醫師班表!$E41:$CS41,"公"))</f>
        <v/>
      </c>
      <c r="R40" s="16">
        <f>IF($A40="","",COUNTIF(醫師班表!$E41:$CS41,"國"))</f>
        <v/>
      </c>
      <c r="S40" s="16">
        <f>IF($A40="","",COUNTIF(醫師班表!$E41:$CS41,"休"))</f>
        <v/>
      </c>
      <c r="T40" s="16">
        <f>IF($A40="","",SUM($M40:$S40))</f>
        <v/>
      </c>
      <c r="U40" s="16">
        <f>IF($A40="","",DAY(EOMONTH(DATE(設定!$C$2,設定!$D$2,1),0))*3-COUNTIF(醫師班表!$E41:$CS41,"?*"))</f>
        <v/>
      </c>
    </row>
    <row r="41">
      <c r="A41" s="16">
        <f>IF(醫師班表!$A42="","",醫師班表!$A42)</f>
        <v/>
      </c>
      <c r="B41" s="16">
        <f>IF($A41="","",醫師班表!$B42)</f>
        <v/>
      </c>
      <c r="C41" s="70">
        <f>IF($A41="","",醫師班表!$C42)</f>
        <v/>
      </c>
      <c r="D41" s="16">
        <f>IF($A41="","",醫師班表!$D42)</f>
        <v/>
      </c>
      <c r="E41" s="62">
        <f>IF($A41="","",COUNTIF(醫師班表!$E42:$CS42,"悅"))</f>
        <v/>
      </c>
      <c r="F41" s="63">
        <f>IF($A41="","",COUNTIF(醫師班表!$E42:$CS42,"睿"))</f>
        <v/>
      </c>
      <c r="G41" s="64">
        <f>IF($A41="","",COUNTIF(醫師班表!$E42:$CS42,"匯"))</f>
        <v/>
      </c>
      <c r="H41" s="65">
        <f>IF($A41="","",COUNTIF(醫師班表!$E42:$CS42,"曜"))</f>
        <v/>
      </c>
      <c r="I41" s="66">
        <f>IF($A41="","",COUNTIF(醫師班表!$E42:$CS42,"寶"))</f>
        <v/>
      </c>
      <c r="J41" s="16">
        <f>IF($A41="","",SUM($E41:$I41))</f>
        <v/>
      </c>
      <c r="K41" s="16">
        <f>IF($A41="","",SUMPRODUCT(($E41:$I41&gt;0)*1))</f>
        <v/>
      </c>
      <c r="L41" s="16">
        <f>IF($A41="","",COUNTIF(醫師班表!$E42:$CS42,"訓"))</f>
        <v/>
      </c>
      <c r="M41" s="16">
        <f>IF($A41="","",COUNTIF(醫師班表!$E42:$CS42,"OFF"))</f>
        <v/>
      </c>
      <c r="N41" s="16">
        <f>IF($A41="","",COUNTIF(醫師班表!$E42:$CS42,"特"))</f>
        <v/>
      </c>
      <c r="O41" s="16">
        <f>IF($A41="","",COUNTIF(醫師班表!$E42:$CS42,"病"))</f>
        <v/>
      </c>
      <c r="P41" s="16">
        <f>IF($A41="","",COUNTIF(醫師班表!$E42:$CS42,"事"))</f>
        <v/>
      </c>
      <c r="Q41" s="16">
        <f>IF($A41="","",COUNTIF(醫師班表!$E42:$CS42,"公"))</f>
        <v/>
      </c>
      <c r="R41" s="16">
        <f>IF($A41="","",COUNTIF(醫師班表!$E42:$CS42,"國"))</f>
        <v/>
      </c>
      <c r="S41" s="16">
        <f>IF($A41="","",COUNTIF(醫師班表!$E42:$CS42,"休"))</f>
        <v/>
      </c>
      <c r="T41" s="16">
        <f>IF($A41="","",SUM($M41:$S41))</f>
        <v/>
      </c>
      <c r="U41" s="16">
        <f>IF($A41="","",DAY(EOMONTH(DATE(設定!$C$2,設定!$D$2,1),0))*3-COUNTIF(醫師班表!$E42:$CS42,"?*"))</f>
        <v/>
      </c>
    </row>
    <row r="42">
      <c r="A42" s="16">
        <f>IF(醫師班表!$A43="","",醫師班表!$A43)</f>
        <v/>
      </c>
      <c r="B42" s="16">
        <f>IF($A42="","",醫師班表!$B43)</f>
        <v/>
      </c>
      <c r="C42" s="70">
        <f>IF($A42="","",醫師班表!$C43)</f>
        <v/>
      </c>
      <c r="D42" s="16">
        <f>IF($A42="","",醫師班表!$D43)</f>
        <v/>
      </c>
      <c r="E42" s="62">
        <f>IF($A42="","",COUNTIF(醫師班表!$E43:$CS43,"悅"))</f>
        <v/>
      </c>
      <c r="F42" s="63">
        <f>IF($A42="","",COUNTIF(醫師班表!$E43:$CS43,"睿"))</f>
        <v/>
      </c>
      <c r="G42" s="64">
        <f>IF($A42="","",COUNTIF(醫師班表!$E43:$CS43,"匯"))</f>
        <v/>
      </c>
      <c r="H42" s="65">
        <f>IF($A42="","",COUNTIF(醫師班表!$E43:$CS43,"曜"))</f>
        <v/>
      </c>
      <c r="I42" s="66">
        <f>IF($A42="","",COUNTIF(醫師班表!$E43:$CS43,"寶"))</f>
        <v/>
      </c>
      <c r="J42" s="16">
        <f>IF($A42="","",SUM($E42:$I42))</f>
        <v/>
      </c>
      <c r="K42" s="16">
        <f>IF($A42="","",SUMPRODUCT(($E42:$I42&gt;0)*1))</f>
        <v/>
      </c>
      <c r="L42" s="16">
        <f>IF($A42="","",COUNTIF(醫師班表!$E43:$CS43,"訓"))</f>
        <v/>
      </c>
      <c r="M42" s="16">
        <f>IF($A42="","",COUNTIF(醫師班表!$E43:$CS43,"OFF"))</f>
        <v/>
      </c>
      <c r="N42" s="16">
        <f>IF($A42="","",COUNTIF(醫師班表!$E43:$CS43,"特"))</f>
        <v/>
      </c>
      <c r="O42" s="16">
        <f>IF($A42="","",COUNTIF(醫師班表!$E43:$CS43,"病"))</f>
        <v/>
      </c>
      <c r="P42" s="16">
        <f>IF($A42="","",COUNTIF(醫師班表!$E43:$CS43,"事"))</f>
        <v/>
      </c>
      <c r="Q42" s="16">
        <f>IF($A42="","",COUNTIF(醫師班表!$E43:$CS43,"公"))</f>
        <v/>
      </c>
      <c r="R42" s="16">
        <f>IF($A42="","",COUNTIF(醫師班表!$E43:$CS43,"國"))</f>
        <v/>
      </c>
      <c r="S42" s="16">
        <f>IF($A42="","",COUNTIF(醫師班表!$E43:$CS43,"休"))</f>
        <v/>
      </c>
      <c r="T42" s="16">
        <f>IF($A42="","",SUM($M42:$S42))</f>
        <v/>
      </c>
      <c r="U42" s="16">
        <f>IF($A42="","",DAY(EOMONTH(DATE(設定!$C$2,設定!$D$2,1),0))*3-COUNTIF(醫師班表!$E43:$CS43,"?*"))</f>
        <v/>
      </c>
    </row>
    <row r="43">
      <c r="A43" s="16">
        <f>IF(醫師班表!$A44="","",醫師班表!$A44)</f>
        <v/>
      </c>
      <c r="B43" s="16">
        <f>IF($A43="","",醫師班表!$B44)</f>
        <v/>
      </c>
      <c r="C43" s="70">
        <f>IF($A43="","",醫師班表!$C44)</f>
        <v/>
      </c>
      <c r="D43" s="16">
        <f>IF($A43="","",醫師班表!$D44)</f>
        <v/>
      </c>
      <c r="E43" s="62">
        <f>IF($A43="","",COUNTIF(醫師班表!$E44:$CS44,"悅"))</f>
        <v/>
      </c>
      <c r="F43" s="63">
        <f>IF($A43="","",COUNTIF(醫師班表!$E44:$CS44,"睿"))</f>
        <v/>
      </c>
      <c r="G43" s="64">
        <f>IF($A43="","",COUNTIF(醫師班表!$E44:$CS44,"匯"))</f>
        <v/>
      </c>
      <c r="H43" s="65">
        <f>IF($A43="","",COUNTIF(醫師班表!$E44:$CS44,"曜"))</f>
        <v/>
      </c>
      <c r="I43" s="66">
        <f>IF($A43="","",COUNTIF(醫師班表!$E44:$CS44,"寶"))</f>
        <v/>
      </c>
      <c r="J43" s="16">
        <f>IF($A43="","",SUM($E43:$I43))</f>
        <v/>
      </c>
      <c r="K43" s="16">
        <f>IF($A43="","",SUMPRODUCT(($E43:$I43&gt;0)*1))</f>
        <v/>
      </c>
      <c r="L43" s="16">
        <f>IF($A43="","",COUNTIF(醫師班表!$E44:$CS44,"訓"))</f>
        <v/>
      </c>
      <c r="M43" s="16">
        <f>IF($A43="","",COUNTIF(醫師班表!$E44:$CS44,"OFF"))</f>
        <v/>
      </c>
      <c r="N43" s="16">
        <f>IF($A43="","",COUNTIF(醫師班表!$E44:$CS44,"特"))</f>
        <v/>
      </c>
      <c r="O43" s="16">
        <f>IF($A43="","",COUNTIF(醫師班表!$E44:$CS44,"病"))</f>
        <v/>
      </c>
      <c r="P43" s="16">
        <f>IF($A43="","",COUNTIF(醫師班表!$E44:$CS44,"事"))</f>
        <v/>
      </c>
      <c r="Q43" s="16">
        <f>IF($A43="","",COUNTIF(醫師班表!$E44:$CS44,"公"))</f>
        <v/>
      </c>
      <c r="R43" s="16">
        <f>IF($A43="","",COUNTIF(醫師班表!$E44:$CS44,"國"))</f>
        <v/>
      </c>
      <c r="S43" s="16">
        <f>IF($A43="","",COUNTIF(醫師班表!$E44:$CS44,"休"))</f>
        <v/>
      </c>
      <c r="T43" s="16">
        <f>IF($A43="","",SUM($M43:$S43))</f>
        <v/>
      </c>
      <c r="U43" s="16">
        <f>IF($A43="","",DAY(EOMONTH(DATE(設定!$C$2,設定!$D$2,1),0))*3-COUNTIF(醫師班表!$E44:$CS44,"?*"))</f>
        <v/>
      </c>
    </row>
    <row r="44">
      <c r="A44" s="16">
        <f>IF(醫師班表!$A45="","",醫師班表!$A45)</f>
        <v/>
      </c>
      <c r="B44" s="16">
        <f>IF($A44="","",醫師班表!$B45)</f>
        <v/>
      </c>
      <c r="C44" s="70">
        <f>IF($A44="","",醫師班表!$C45)</f>
        <v/>
      </c>
      <c r="D44" s="16">
        <f>IF($A44="","",醫師班表!$D45)</f>
        <v/>
      </c>
      <c r="E44" s="62">
        <f>IF($A44="","",COUNTIF(醫師班表!$E45:$CS45,"悅"))</f>
        <v/>
      </c>
      <c r="F44" s="63">
        <f>IF($A44="","",COUNTIF(醫師班表!$E45:$CS45,"睿"))</f>
        <v/>
      </c>
      <c r="G44" s="64">
        <f>IF($A44="","",COUNTIF(醫師班表!$E45:$CS45,"匯"))</f>
        <v/>
      </c>
      <c r="H44" s="65">
        <f>IF($A44="","",COUNTIF(醫師班表!$E45:$CS45,"曜"))</f>
        <v/>
      </c>
      <c r="I44" s="66">
        <f>IF($A44="","",COUNTIF(醫師班表!$E45:$CS45,"寶"))</f>
        <v/>
      </c>
      <c r="J44" s="16">
        <f>IF($A44="","",SUM($E44:$I44))</f>
        <v/>
      </c>
      <c r="K44" s="16">
        <f>IF($A44="","",SUMPRODUCT(($E44:$I44&gt;0)*1))</f>
        <v/>
      </c>
      <c r="L44" s="16">
        <f>IF($A44="","",COUNTIF(醫師班表!$E45:$CS45,"訓"))</f>
        <v/>
      </c>
      <c r="M44" s="16">
        <f>IF($A44="","",COUNTIF(醫師班表!$E45:$CS45,"OFF"))</f>
        <v/>
      </c>
      <c r="N44" s="16">
        <f>IF($A44="","",COUNTIF(醫師班表!$E45:$CS45,"特"))</f>
        <v/>
      </c>
      <c r="O44" s="16">
        <f>IF($A44="","",COUNTIF(醫師班表!$E45:$CS45,"病"))</f>
        <v/>
      </c>
      <c r="P44" s="16">
        <f>IF($A44="","",COUNTIF(醫師班表!$E45:$CS45,"事"))</f>
        <v/>
      </c>
      <c r="Q44" s="16">
        <f>IF($A44="","",COUNTIF(醫師班表!$E45:$CS45,"公"))</f>
        <v/>
      </c>
      <c r="R44" s="16">
        <f>IF($A44="","",COUNTIF(醫師班表!$E45:$CS45,"國"))</f>
        <v/>
      </c>
      <c r="S44" s="16">
        <f>IF($A44="","",COUNTIF(醫師班表!$E45:$CS45,"休"))</f>
        <v/>
      </c>
      <c r="T44" s="16">
        <f>IF($A44="","",SUM($M44:$S44))</f>
        <v/>
      </c>
      <c r="U44" s="16">
        <f>IF($A44="","",DAY(EOMONTH(DATE(設定!$C$2,設定!$D$2,1),0))*3-COUNTIF(醫師班表!$E45:$CS45,"?*"))</f>
        <v/>
      </c>
    </row>
    <row r="45">
      <c r="A45" s="4" t="inlineStr">
        <is>
          <t>合計</t>
        </is>
      </c>
      <c r="B45" s="8" t="n"/>
      <c r="C45" s="8" t="n"/>
      <c r="D45" s="9" t="n"/>
      <c r="E45" s="4">
        <f>SUM(E5:E44)</f>
        <v/>
      </c>
      <c r="F45" s="4">
        <f>SUM(F5:F44)</f>
        <v/>
      </c>
      <c r="G45" s="4">
        <f>SUM(G5:G44)</f>
        <v/>
      </c>
      <c r="H45" s="4">
        <f>SUM(H5:H44)</f>
        <v/>
      </c>
      <c r="I45" s="4">
        <f>SUM(I5:I44)</f>
        <v/>
      </c>
      <c r="J45" s="4">
        <f>SUM(J5:J44)</f>
        <v/>
      </c>
      <c r="K45" s="4">
        <f>SUM(K5:K44)</f>
        <v/>
      </c>
      <c r="L45" s="4">
        <f>SUM(L5:L44)</f>
        <v/>
      </c>
      <c r="M45" s="4">
        <f>SUM(M5:M44)</f>
        <v/>
      </c>
      <c r="N45" s="4">
        <f>SUM(N5:N44)</f>
        <v/>
      </c>
      <c r="O45" s="4">
        <f>SUM(O5:O44)</f>
        <v/>
      </c>
      <c r="P45" s="4">
        <f>SUM(P5:P44)</f>
        <v/>
      </c>
      <c r="Q45" s="4">
        <f>SUM(Q5:Q44)</f>
        <v/>
      </c>
      <c r="R45" s="4">
        <f>SUM(R5:R44)</f>
        <v/>
      </c>
      <c r="S45" s="4">
        <f>SUM(S5:S44)</f>
        <v/>
      </c>
      <c r="T45" s="4">
        <f>SUM(T5:T44)</f>
        <v/>
      </c>
      <c r="U45" s="4">
        <f>SUM(U5:U44)</f>
        <v/>
      </c>
    </row>
    <row r="47">
      <c r="A47" s="6" t="inlineStr">
        <is>
          <t>※ 醫師以「診次」為單位,不是天數。請假 3 個診次等於請一天。</t>
        </is>
      </c>
    </row>
    <row r="48">
      <c r="A48" s="6" t="inlineStr">
        <is>
          <t>※ 本頁全部由「醫師班表」計算而來。改週班表或改醫師班表,這裡都會立刻跟著變。</t>
        </is>
      </c>
    </row>
    <row r="49">
      <c r="A49" s="6" t="inlineStr">
        <is>
          <t>※ 服務院所數 = 本月實際有排診的院所家數,可用來看跨院負荷。</t>
        </is>
      </c>
    </row>
    <row r="50">
      <c r="A50" s="6" t="inlineStr">
        <is>
          <t>※ 未排診次 = 當月總診次格數(天數 × 3)扣掉已填格數,不代表應該排滿。</t>
        </is>
      </c>
    </row>
  </sheetData>
  <mergeCells count="2">
    <mergeCell ref="A45:D45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2026-09-16T00:57:13Z</dcterms:created>
  <dcterms:modified xsi:type="dcterms:W3CDTF">2026-09-16T00:57:14Z</dcterms:modified>
</cp:coreProperties>
</file>