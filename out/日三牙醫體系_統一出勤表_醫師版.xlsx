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5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0A0A0"/>
      <sz val="8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F2F2F2"/>
      </patternFill>
    </fill>
    <fill>
      <patternFill patternType="solid">
        <fgColor rgb="00D9D9D9"/>
      </patternFill>
    </fill>
    <fill>
      <patternFill patternType="solid">
        <fgColor rgb="00FBE3EC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E8DFF2"/>
      </patternFill>
    </fill>
    <fill>
      <patternFill patternType="solid">
        <fgColor rgb="00FAE8A0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7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164" fontId="3" fillId="6" borderId="1" applyAlignment="1" pivotButton="0" quotePrefix="0" xfId="0">
      <alignment horizontal="center" vertical="center"/>
    </xf>
    <xf numFmtId="165" fontId="3" fillId="6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1" fillId="2" borderId="9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3" fillId="10" borderId="9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7" borderId="9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3" fillId="8" borderId="1" applyAlignment="1" pivotButton="0" quotePrefix="0" xfId="0">
      <alignment horizontal="center" vertical="center"/>
    </xf>
    <xf numFmtId="0" fontId="13" fillId="8" borderId="9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13" fillId="11" borderId="9" applyAlignment="1" pivotButton="0" quotePrefix="0" xfId="0">
      <alignment horizontal="center" vertical="center"/>
    </xf>
    <xf numFmtId="0" fontId="13" fillId="9" borderId="9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0" fillId="0" borderId="7" pivotButton="0" quotePrefix="0" xfId="0"/>
    <xf numFmtId="0" fontId="13" fillId="2" borderId="9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10" fillId="0" borderId="9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4" fillId="0" borderId="0" pivotButton="0" quotePrefix="0" xfId="0"/>
    <xf numFmtId="0" fontId="10" fillId="7" borderId="1" applyAlignment="1" pivotButton="0" quotePrefix="0" xfId="0">
      <alignment horizontal="center" vertical="center"/>
    </xf>
    <xf numFmtId="168" fontId="13" fillId="5" borderId="9" applyAlignment="1" pivotButton="0" quotePrefix="0" xfId="0">
      <alignment horizontal="center" vertical="center"/>
    </xf>
    <xf numFmtId="168" fontId="13" fillId="5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ill>
        <patternFill patternType="solid">
          <fgColor rgb="00FBE3EC"/>
        </patternFill>
      </fill>
    </dxf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AE8A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統一出勤表(醫師版)使用說明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這一版只有醫師</t>
        </is>
      </c>
      <c r="C5" s="3" t="inlineStr">
        <is>
          <t>這是醫師版,工時制的四個分頁(醫護長與管理部班表、打卡匯入、出勤紀錄、月結統計)
已經拿掉,需要時用完整版。那四頁彼此相依——出勤紀錄要讀醫護長與管理部班表與
打卡匯入、月結統計要讀出勤紀錄——所以是整組拿掉,不是只拔一頁。
「設定」分頁裡的班別時段表保留不動,完整版會用到。</t>
        </is>
      </c>
    </row>
    <row r="6" ht="53" customHeight="1">
      <c r="B6" s="2" t="inlineStr">
        <is>
          <t>五個分頁怎麼分工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上月底:排醫師班表 → 看底下五列「各院所每診次醫師數」有沒有 0 → 發給各院所。
要改固定門診就改「醫師週班表」,整個月會立刻跟著變;
只是這個月的例外(請假、調班)就直接改「醫師班表」的格子。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38" customHeight="1">
      <c r="B13" s="2" t="inlineStr">
        <is>
          <t>兩種下拉箭頭不一樣</t>
        </is>
      </c>
      <c r="C13" s="3" t="inlineStr">
        <is>
          <t>標題列上的箭頭是「篩選鈕」,用來隱藏或顯示列,不是拿來選資料的。
要選員工編號或診次代碼,請點「資料列」的格子——游標移上去右邊才會出現選單箭頭。</t>
        </is>
      </c>
    </row>
    <row r="14" ht="68" customHeight="1">
      <c r="B14" s="2" t="inlineStr">
        <is>
          <t>如果有些格子是空白的</t>
        </is>
      </c>
      <c r="C14" s="3" t="inlineStr">
        <is>
          <t>姓名、專科、日期、星期都是實際文字,任何檢視器都看得到。
但班別格與統計格(醫師月結的診次數、班表底下的人力檢核)是公式,
在不會重算公式的檢視器裡會顯示空白——手機預覽、雲端硬碟預覽都是這樣。
用 Excel 或 Google 試算表正式開啟就會算出來;若仍空白,按 Ctrl+Alt+F9 強制重算。</t>
        </is>
      </c>
    </row>
    <row r="15" ht="68" customHeight="1">
      <c r="B15" s="2" t="inlineStr">
        <is>
          <t>顏色代表什麼</t>
        </is>
      </c>
      <c r="C15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6" ht="83" customHeight="1">
      <c r="B16" s="2" t="inlineStr">
        <is>
          <t>⚠ 法規提醒</t>
        </is>
      </c>
      <c r="C16" s="3" t="inlineStr">
        <is>
          <t>依勞動基準法第 30 條,雇主應置備勞工出勤紀錄,逐日記載至分鐘為止,保存 5 年。
這一版只有醫師的診次統計,沒有法定出勤紀錄——那在完整版的「出勤紀錄」分頁,
涵蓋醫護長與管理部。這一版不能單獨拿來因應勞檢。
受僱醫師是否適用勞基法、工時如何認定,依僱傭契約與主管機關認定,
建議請人資確認後再決定醫師要不要納入工時管理。</t>
        </is>
      </c>
    </row>
    <row r="17" ht="113" customHeight="1">
      <c r="B17" s="2" t="inlineStr">
        <is>
          <t>⚠ 需要核對的三件事</t>
        </is>
      </c>
      <c r="C17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8" ht="68" customHeight="1">
      <c r="B18" s="2" t="inlineStr">
        <is>
          <t>目前待補的資料</t>
        </is>
      </c>
      <c r="C18" s="3" t="inlineStr">
        <is>
          <t>一、醫護長與管理部的出勤在完整版,那邊有醫護長與管理部班表、打卡匯入、出勤紀錄、
   月結統計四個分頁。本表目前不含助理。
二、員工編號目前為暫編 D001~D027,若人事或打卡系統另有編號應以那套為準。
三、官網門診表有星號註記者(並非每週固定)需逐一向院所確認。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一、班別時段表(工時制:醫護長、管理部)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職類</t>
        </is>
      </c>
      <c r="C5" s="10" t="inlineStr">
        <is>
          <t>代碼</t>
        </is>
      </c>
      <c r="D5" s="10" t="inlineStr">
        <is>
          <t>名稱</t>
        </is>
      </c>
      <c r="E5" s="10" t="inlineStr">
        <is>
          <t>應到</t>
        </is>
      </c>
      <c r="F5" s="10" t="inlineStr">
        <is>
          <t>應退</t>
        </is>
      </c>
      <c r="G5" s="10" t="inlineStr">
        <is>
          <t>休息(分)</t>
        </is>
      </c>
      <c r="H5" s="10" t="inlineStr">
        <is>
          <t>排班工時</t>
        </is>
      </c>
      <c r="I5" s="10" t="inlineStr">
        <is>
          <t>計出勤</t>
        </is>
      </c>
      <c r="J5" s="10" t="inlineStr">
        <is>
          <t>類別</t>
        </is>
      </c>
      <c r="K5" s="10" t="inlineStr">
        <is>
          <t>比對鍵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醫護長</t>
        </is>
      </c>
      <c r="C6" s="13" t="inlineStr">
        <is>
          <t>早</t>
        </is>
      </c>
      <c r="D6" s="14" t="inlineStr">
        <is>
          <t>早班</t>
        </is>
      </c>
      <c r="E6" s="15" t="n">
        <v>0.375</v>
      </c>
      <c r="F6" s="15" t="n">
        <v>0.5</v>
      </c>
      <c r="G6" s="13" t="n">
        <v>0</v>
      </c>
      <c r="H6" s="16" t="n">
        <v>3</v>
      </c>
      <c r="I6" s="13" t="n">
        <v>1</v>
      </c>
      <c r="J6" s="13" t="inlineStr">
        <is>
          <t>上班</t>
        </is>
      </c>
      <c r="K6" s="17" t="inlineStr">
        <is>
          <t>醫護長|早</t>
        </is>
      </c>
      <c r="N6" s="18" t="n">
        <v>1</v>
      </c>
      <c r="O6" s="18" t="inlineStr">
        <is>
          <t>日</t>
        </is>
      </c>
      <c r="Q6" s="18" t="inlineStr">
        <is>
          <t>D001</t>
        </is>
      </c>
      <c r="S6" s="18" t="inlineStr">
        <is>
          <t>N001</t>
        </is>
      </c>
      <c r="W6" s="19" t="n">
        <v>46023</v>
      </c>
      <c r="X6" s="20" t="inlineStr">
        <is>
          <t>中華民國開國紀念日(週四)</t>
        </is>
      </c>
      <c r="Y6" s="21" t="inlineStr"/>
      <c r="AP6" s="18" t="inlineStr">
        <is>
          <t>悅</t>
        </is>
      </c>
    </row>
    <row r="7">
      <c r="B7" s="12" t="inlineStr">
        <is>
          <t>管理部</t>
        </is>
      </c>
      <c r="C7" s="13" t="inlineStr">
        <is>
          <t>早</t>
        </is>
      </c>
      <c r="D7" s="14" t="inlineStr">
        <is>
          <t>早班</t>
        </is>
      </c>
      <c r="E7" s="15" t="n">
        <v>0.3541666666666667</v>
      </c>
      <c r="F7" s="15" t="n">
        <v>0.5</v>
      </c>
      <c r="G7" s="13" t="n">
        <v>0</v>
      </c>
      <c r="H7" s="16" t="n">
        <v>3.5</v>
      </c>
      <c r="I7" s="13" t="n">
        <v>1</v>
      </c>
      <c r="J7" s="13" t="inlineStr">
        <is>
          <t>上班</t>
        </is>
      </c>
      <c r="K7" s="17" t="inlineStr">
        <is>
          <t>管理部|早</t>
        </is>
      </c>
      <c r="N7" s="18" t="n">
        <v>2</v>
      </c>
      <c r="O7" s="18" t="inlineStr">
        <is>
          <t>一</t>
        </is>
      </c>
      <c r="Q7" s="18" t="inlineStr">
        <is>
          <t>D002</t>
        </is>
      </c>
      <c r="S7" s="18" t="inlineStr">
        <is>
          <t>N002</t>
        </is>
      </c>
      <c r="W7" s="19" t="n">
        <v>46068</v>
      </c>
      <c r="X7" s="20" t="inlineStr">
        <is>
          <t>小年夜(週日)</t>
        </is>
      </c>
      <c r="Y7" s="21" t="inlineStr"/>
      <c r="AP7" s="18" t="inlineStr">
        <is>
          <t>睿</t>
        </is>
      </c>
    </row>
    <row r="8">
      <c r="B8" s="12" t="inlineStr">
        <is>
          <t>醫護長</t>
        </is>
      </c>
      <c r="C8" s="13" t="inlineStr">
        <is>
          <t>午</t>
        </is>
      </c>
      <c r="D8" s="14" t="inlineStr">
        <is>
          <t>午班</t>
        </is>
      </c>
      <c r="E8" s="15" t="n">
        <v>0.5833333333333334</v>
      </c>
      <c r="F8" s="15" t="n">
        <v>0.7083333333333334</v>
      </c>
      <c r="G8" s="13" t="n">
        <v>0</v>
      </c>
      <c r="H8" s="16" t="n">
        <v>3</v>
      </c>
      <c r="I8" s="13" t="n">
        <v>1</v>
      </c>
      <c r="J8" s="13" t="inlineStr">
        <is>
          <t>上班</t>
        </is>
      </c>
      <c r="K8" s="17" t="inlineStr">
        <is>
          <t>醫護長|午</t>
        </is>
      </c>
      <c r="N8" s="18" t="n">
        <v>3</v>
      </c>
      <c r="O8" s="18" t="inlineStr">
        <is>
          <t>二</t>
        </is>
      </c>
      <c r="Q8" s="18" t="inlineStr">
        <is>
          <t>D003</t>
        </is>
      </c>
      <c r="S8" s="18" t="inlineStr">
        <is>
          <t>N003</t>
        </is>
      </c>
      <c r="W8" s="19" t="n">
        <v>46069</v>
      </c>
      <c r="X8" s="20" t="inlineStr">
        <is>
          <t>除夕(週一)</t>
        </is>
      </c>
      <c r="Y8" s="21" t="inlineStr"/>
      <c r="AP8" s="18" t="inlineStr">
        <is>
          <t>匯</t>
        </is>
      </c>
    </row>
    <row r="9">
      <c r="B9" s="12" t="inlineStr">
        <is>
          <t>管理部</t>
        </is>
      </c>
      <c r="C9" s="13" t="inlineStr">
        <is>
          <t>午</t>
        </is>
      </c>
      <c r="D9" s="14" t="inlineStr">
        <is>
          <t>午班</t>
        </is>
      </c>
      <c r="E9" s="15" t="n">
        <v>0.5625</v>
      </c>
      <c r="F9" s="15" t="n">
        <v>0.7083333333333334</v>
      </c>
      <c r="G9" s="13" t="n">
        <v>0</v>
      </c>
      <c r="H9" s="16" t="n">
        <v>3.5</v>
      </c>
      <c r="I9" s="13" t="n">
        <v>1</v>
      </c>
      <c r="J9" s="13" t="inlineStr">
        <is>
          <t>上班</t>
        </is>
      </c>
      <c r="K9" s="17" t="inlineStr">
        <is>
          <t>管理部|午</t>
        </is>
      </c>
      <c r="N9" s="18" t="n">
        <v>4</v>
      </c>
      <c r="O9" s="18" t="inlineStr">
        <is>
          <t>三</t>
        </is>
      </c>
      <c r="Q9" s="18" t="inlineStr">
        <is>
          <t>D004</t>
        </is>
      </c>
      <c r="S9" s="18" t="inlineStr">
        <is>
          <t>N004</t>
        </is>
      </c>
      <c r="W9" s="19" t="n">
        <v>46070</v>
      </c>
      <c r="X9" s="20" t="inlineStr">
        <is>
          <t>春節 初一(週二)</t>
        </is>
      </c>
      <c r="Y9" s="21" t="inlineStr"/>
      <c r="AP9" s="18" t="inlineStr">
        <is>
          <t>曜</t>
        </is>
      </c>
    </row>
    <row r="10">
      <c r="B10" s="12" t="inlineStr">
        <is>
          <t>醫護長</t>
        </is>
      </c>
      <c r="C10" s="13" t="inlineStr">
        <is>
          <t>晚</t>
        </is>
      </c>
      <c r="D10" s="14" t="inlineStr">
        <is>
          <t>晚班</t>
        </is>
      </c>
      <c r="E10" s="15" t="n">
        <v>0.75</v>
      </c>
      <c r="F10" s="15" t="n">
        <v>0.875</v>
      </c>
      <c r="G10" s="13" t="n">
        <v>0</v>
      </c>
      <c r="H10" s="16" t="n">
        <v>3</v>
      </c>
      <c r="I10" s="13" t="n">
        <v>1</v>
      </c>
      <c r="J10" s="13" t="inlineStr">
        <is>
          <t>上班</t>
        </is>
      </c>
      <c r="K10" s="17" t="inlineStr">
        <is>
          <t>醫護長|晚</t>
        </is>
      </c>
      <c r="N10" s="18" t="n">
        <v>5</v>
      </c>
      <c r="O10" s="18" t="inlineStr">
        <is>
          <t>四</t>
        </is>
      </c>
      <c r="Q10" s="18" t="inlineStr">
        <is>
          <t>D005</t>
        </is>
      </c>
      <c r="S10" s="18" t="inlineStr">
        <is>
          <t>M001</t>
        </is>
      </c>
      <c r="W10" s="19" t="n">
        <v>46071</v>
      </c>
      <c r="X10" s="20" t="inlineStr">
        <is>
          <t>春節 初二(週三)</t>
        </is>
      </c>
      <c r="Y10" s="21" t="inlineStr"/>
      <c r="AP10" s="18" t="inlineStr">
        <is>
          <t>寶</t>
        </is>
      </c>
    </row>
    <row r="11">
      <c r="B11" s="12" t="inlineStr">
        <is>
          <t>管理部</t>
        </is>
      </c>
      <c r="C11" s="13" t="inlineStr">
        <is>
          <t>晚</t>
        </is>
      </c>
      <c r="D11" s="14" t="inlineStr">
        <is>
          <t>晚班</t>
        </is>
      </c>
      <c r="E11" s="15" t="n">
        <v>0.7291666666666666</v>
      </c>
      <c r="F11" s="15" t="n">
        <v>0.875</v>
      </c>
      <c r="G11" s="13" t="n">
        <v>0</v>
      </c>
      <c r="H11" s="16" t="n">
        <v>3.5</v>
      </c>
      <c r="I11" s="13" t="n">
        <v>1</v>
      </c>
      <c r="J11" s="13" t="inlineStr">
        <is>
          <t>上班</t>
        </is>
      </c>
      <c r="K11" s="17" t="inlineStr">
        <is>
          <t>管理部|晚</t>
        </is>
      </c>
      <c r="N11" s="18" t="n">
        <v>6</v>
      </c>
      <c r="O11" s="18" t="inlineStr">
        <is>
          <t>五</t>
        </is>
      </c>
      <c r="Q11" s="18" t="inlineStr">
        <is>
          <t>D006</t>
        </is>
      </c>
      <c r="S11" s="18" t="inlineStr">
        <is>
          <t>M002</t>
        </is>
      </c>
      <c r="W11" s="19" t="n">
        <v>46072</v>
      </c>
      <c r="X11" s="20" t="inlineStr">
        <is>
          <t>春節 初三(週四)</t>
        </is>
      </c>
      <c r="Y11" s="21" t="inlineStr"/>
      <c r="AP11" s="18" t="inlineStr">
        <is>
          <t>悅(隔)</t>
        </is>
      </c>
    </row>
    <row r="12">
      <c r="B12" s="12" t="inlineStr">
        <is>
          <t>醫護長</t>
        </is>
      </c>
      <c r="C12" s="13" t="inlineStr">
        <is>
          <t>早午</t>
        </is>
      </c>
      <c r="D12" s="14" t="inlineStr">
        <is>
          <t>早班+午班</t>
        </is>
      </c>
      <c r="E12" s="15" t="n">
        <v>0.375</v>
      </c>
      <c r="F12" s="15" t="n">
        <v>0.7083333333333334</v>
      </c>
      <c r="G12" s="13" t="n">
        <v>120</v>
      </c>
      <c r="H12" s="16" t="n">
        <v>6</v>
      </c>
      <c r="I12" s="13" t="n">
        <v>1</v>
      </c>
      <c r="J12" s="13" t="inlineStr">
        <is>
          <t>上班</t>
        </is>
      </c>
      <c r="K12" s="17" t="inlineStr">
        <is>
          <t>醫護長|早午</t>
        </is>
      </c>
      <c r="N12" s="18" t="n">
        <v>7</v>
      </c>
      <c r="O12" s="18" t="inlineStr">
        <is>
          <t>六</t>
        </is>
      </c>
      <c r="Q12" s="18" t="inlineStr">
        <is>
          <t>D007</t>
        </is>
      </c>
      <c r="S12" s="18" t="inlineStr">
        <is>
          <t>M003</t>
        </is>
      </c>
      <c r="W12" s="19" t="n">
        <v>46080</v>
      </c>
      <c r="X12" s="20" t="inlineStr">
        <is>
          <t>和平紀念日 補假(週五)</t>
        </is>
      </c>
      <c r="Y12" s="21" t="inlineStr">
        <is>
          <t>補假</t>
        </is>
      </c>
      <c r="AP12" s="18" t="inlineStr">
        <is>
          <t>睿(隔)</t>
        </is>
      </c>
    </row>
    <row r="13">
      <c r="B13" s="12" t="inlineStr">
        <is>
          <t>管理部</t>
        </is>
      </c>
      <c r="C13" s="13" t="inlineStr">
        <is>
          <t>早午</t>
        </is>
      </c>
      <c r="D13" s="14" t="inlineStr">
        <is>
          <t>早班+午班</t>
        </is>
      </c>
      <c r="E13" s="15" t="n">
        <v>0.3541666666666667</v>
      </c>
      <c r="F13" s="15" t="n">
        <v>0.7083333333333334</v>
      </c>
      <c r="G13" s="13" t="n">
        <v>90</v>
      </c>
      <c r="H13" s="16" t="n">
        <v>7</v>
      </c>
      <c r="I13" s="13" t="n">
        <v>1</v>
      </c>
      <c r="J13" s="13" t="inlineStr">
        <is>
          <t>上班</t>
        </is>
      </c>
      <c r="K13" s="17" t="inlineStr">
        <is>
          <t>管理部|早午</t>
        </is>
      </c>
      <c r="Q13" s="18" t="inlineStr">
        <is>
          <t>D008</t>
        </is>
      </c>
      <c r="S13" s="22" t="inlineStr"/>
      <c r="W13" s="19" t="n">
        <v>46081</v>
      </c>
      <c r="X13" s="20" t="inlineStr">
        <is>
          <t>和平紀念日(週六)</t>
        </is>
      </c>
      <c r="Y13" s="21" t="inlineStr"/>
      <c r="AP13" s="18" t="inlineStr">
        <is>
          <t>匯(隔)</t>
        </is>
      </c>
    </row>
    <row r="14">
      <c r="B14" s="12" t="inlineStr">
        <is>
          <t>醫護長</t>
        </is>
      </c>
      <c r="C14" s="13" t="inlineStr">
        <is>
          <t>午晚</t>
        </is>
      </c>
      <c r="D14" s="14" t="inlineStr">
        <is>
          <t>午班+晚班</t>
        </is>
      </c>
      <c r="E14" s="15" t="n">
        <v>0.5833333333333334</v>
      </c>
      <c r="F14" s="15" t="n">
        <v>0.875</v>
      </c>
      <c r="G14" s="13" t="n">
        <v>60</v>
      </c>
      <c r="H14" s="16" t="n">
        <v>6</v>
      </c>
      <c r="I14" s="13" t="n">
        <v>1</v>
      </c>
      <c r="J14" s="13" t="inlineStr">
        <is>
          <t>上班</t>
        </is>
      </c>
      <c r="K14" s="17" t="inlineStr">
        <is>
          <t>醫護長|午晚</t>
        </is>
      </c>
      <c r="Q14" s="18" t="inlineStr">
        <is>
          <t>D009</t>
        </is>
      </c>
      <c r="S14" s="22" t="inlineStr"/>
      <c r="W14" s="19" t="n">
        <v>46115</v>
      </c>
      <c r="X14" s="20" t="inlineStr">
        <is>
          <t>兒童節 補假(週五)</t>
        </is>
      </c>
      <c r="Y14" s="21" t="inlineStr">
        <is>
          <t>補假</t>
        </is>
      </c>
      <c r="AP14" s="18" t="inlineStr">
        <is>
          <t>曜(隔)</t>
        </is>
      </c>
    </row>
    <row r="15">
      <c r="B15" s="12" t="inlineStr">
        <is>
          <t>管理部</t>
        </is>
      </c>
      <c r="C15" s="13" t="inlineStr">
        <is>
          <t>午晚</t>
        </is>
      </c>
      <c r="D15" s="14" t="inlineStr">
        <is>
          <t>午班+晚班</t>
        </is>
      </c>
      <c r="E15" s="15" t="n">
        <v>0.5625</v>
      </c>
      <c r="F15" s="15" t="n">
        <v>0.875</v>
      </c>
      <c r="G15" s="13" t="n">
        <v>30</v>
      </c>
      <c r="H15" s="16" t="n">
        <v>7</v>
      </c>
      <c r="I15" s="13" t="n">
        <v>1</v>
      </c>
      <c r="J15" s="13" t="inlineStr">
        <is>
          <t>上班</t>
        </is>
      </c>
      <c r="K15" s="17" t="inlineStr">
        <is>
          <t>管理部|午晚</t>
        </is>
      </c>
      <c r="Q15" s="18" t="inlineStr">
        <is>
          <t>D010</t>
        </is>
      </c>
      <c r="S15" s="22" t="inlineStr"/>
      <c r="W15" s="19" t="n">
        <v>46116</v>
      </c>
      <c r="X15" s="20" t="inlineStr">
        <is>
          <t>兒童節(週六)</t>
        </is>
      </c>
      <c r="Y15" s="21" t="inlineStr"/>
      <c r="AP15" s="18" t="inlineStr">
        <is>
          <t>寶(隔)</t>
        </is>
      </c>
    </row>
    <row r="16">
      <c r="B16" s="12" t="inlineStr">
        <is>
          <t>醫護長</t>
        </is>
      </c>
      <c r="C16" s="13" t="inlineStr">
        <is>
          <t>早晚</t>
        </is>
      </c>
      <c r="D16" s="14" t="inlineStr">
        <is>
          <t>早班+晚班</t>
        </is>
      </c>
      <c r="E16" s="15" t="n">
        <v>0.375</v>
      </c>
      <c r="F16" s="15" t="n">
        <v>0.875</v>
      </c>
      <c r="G16" s="13" t="n">
        <v>360</v>
      </c>
      <c r="H16" s="16" t="n">
        <v>6</v>
      </c>
      <c r="I16" s="13" t="n">
        <v>1</v>
      </c>
      <c r="J16" s="13" t="inlineStr">
        <is>
          <t>上班</t>
        </is>
      </c>
      <c r="K16" s="17" t="inlineStr">
        <is>
          <t>醫護長|早晚</t>
        </is>
      </c>
      <c r="Q16" s="18" t="inlineStr">
        <is>
          <t>D011</t>
        </is>
      </c>
      <c r="S16" s="22" t="inlineStr"/>
      <c r="W16" s="19" t="n">
        <v>46117</v>
      </c>
      <c r="X16" s="20" t="inlineStr">
        <is>
          <t>清明節(週日)</t>
        </is>
      </c>
      <c r="Y16" s="21" t="inlineStr"/>
      <c r="AP16" s="18" t="inlineStr">
        <is>
          <t>寶(不定)</t>
        </is>
      </c>
    </row>
    <row r="17">
      <c r="B17" s="12" t="inlineStr">
        <is>
          <t>管理部</t>
        </is>
      </c>
      <c r="C17" s="13" t="inlineStr">
        <is>
          <t>早晚</t>
        </is>
      </c>
      <c r="D17" s="14" t="inlineStr">
        <is>
          <t>早班+晚班</t>
        </is>
      </c>
      <c r="E17" s="15" t="n">
        <v>0.3541666666666667</v>
      </c>
      <c r="F17" s="15" t="n">
        <v>0.875</v>
      </c>
      <c r="G17" s="13" t="n">
        <v>330</v>
      </c>
      <c r="H17" s="16" t="n">
        <v>7</v>
      </c>
      <c r="I17" s="13" t="n">
        <v>1</v>
      </c>
      <c r="J17" s="13" t="inlineStr">
        <is>
          <t>上班</t>
        </is>
      </c>
      <c r="K17" s="17" t="inlineStr">
        <is>
          <t>管理部|早晚</t>
        </is>
      </c>
      <c r="Q17" s="18" t="inlineStr">
        <is>
          <t>D012</t>
        </is>
      </c>
      <c r="S17" s="22" t="inlineStr"/>
      <c r="W17" s="19" t="n">
        <v>46118</v>
      </c>
      <c r="X17" s="20" t="inlineStr">
        <is>
          <t>清明節 補假(週一)</t>
        </is>
      </c>
      <c r="Y17" s="21" t="inlineStr">
        <is>
          <t>補假</t>
        </is>
      </c>
      <c r="AP17" s="18" t="inlineStr">
        <is>
          <t>悅(不定)</t>
        </is>
      </c>
    </row>
    <row r="18">
      <c r="B18" s="12" t="inlineStr">
        <is>
          <t>醫護長</t>
        </is>
      </c>
      <c r="C18" s="13" t="inlineStr">
        <is>
          <t>全日</t>
        </is>
      </c>
      <c r="D18" s="14" t="inlineStr">
        <is>
          <t>早+午+晚</t>
        </is>
      </c>
      <c r="E18" s="15" t="n">
        <v>0.375</v>
      </c>
      <c r="F18" s="15" t="n">
        <v>0.875</v>
      </c>
      <c r="G18" s="13" t="n">
        <v>180</v>
      </c>
      <c r="H18" s="16" t="n">
        <v>9</v>
      </c>
      <c r="I18" s="13" t="n">
        <v>1</v>
      </c>
      <c r="J18" s="13" t="inlineStr">
        <is>
          <t>上班</t>
        </is>
      </c>
      <c r="K18" s="17" t="inlineStr">
        <is>
          <t>醫護長|全日</t>
        </is>
      </c>
      <c r="Q18" s="18" t="inlineStr">
        <is>
          <t>D013</t>
        </is>
      </c>
      <c r="W18" s="19" t="n">
        <v>46143</v>
      </c>
      <c r="X18" s="20" t="inlineStr">
        <is>
          <t>勞動節(週五)</t>
        </is>
      </c>
      <c r="Y18" s="21" t="inlineStr"/>
      <c r="AP18" s="18" t="inlineStr">
        <is>
          <t>悅(註)</t>
        </is>
      </c>
    </row>
    <row r="19">
      <c r="B19" s="12" t="inlineStr">
        <is>
          <t>管理部</t>
        </is>
      </c>
      <c r="C19" s="13" t="inlineStr">
        <is>
          <t>全日</t>
        </is>
      </c>
      <c r="D19" s="14" t="inlineStr">
        <is>
          <t>早+午+晚</t>
        </is>
      </c>
      <c r="E19" s="15" t="n">
        <v>0.3541666666666667</v>
      </c>
      <c r="F19" s="15" t="n">
        <v>0.875</v>
      </c>
      <c r="G19" s="13" t="n">
        <v>120</v>
      </c>
      <c r="H19" s="16" t="n">
        <v>10.5</v>
      </c>
      <c r="I19" s="13" t="n">
        <v>1</v>
      </c>
      <c r="J19" s="13" t="inlineStr">
        <is>
          <t>上班</t>
        </is>
      </c>
      <c r="K19" s="17" t="inlineStr">
        <is>
          <t>管理部|全日</t>
        </is>
      </c>
      <c r="Q19" s="18" t="inlineStr">
        <is>
          <t>D014</t>
        </is>
      </c>
      <c r="W19" s="19" t="n">
        <v>46192</v>
      </c>
      <c r="X19" s="20" t="inlineStr">
        <is>
          <t>端午節(週五)</t>
        </is>
      </c>
      <c r="Y19" s="21" t="inlineStr"/>
      <c r="AP19" s="18" t="inlineStr">
        <is>
          <t>悅/匯</t>
        </is>
      </c>
    </row>
    <row r="20">
      <c r="B20" s="12" t="inlineStr">
        <is>
          <t>醫護長</t>
        </is>
      </c>
      <c r="C20" s="13" t="inlineStr">
        <is>
          <t>支</t>
        </is>
      </c>
      <c r="D20" s="14" t="inlineStr">
        <is>
          <t>支援他院</t>
        </is>
      </c>
      <c r="E20" s="15" t="n"/>
      <c r="F20" s="15" t="n"/>
      <c r="G20" s="13" t="n">
        <v>0</v>
      </c>
      <c r="H20" s="16" t="n">
        <v>6</v>
      </c>
      <c r="I20" s="13" t="n">
        <v>1</v>
      </c>
      <c r="J20" s="13" t="inlineStr">
        <is>
          <t>上班</t>
        </is>
      </c>
      <c r="K20" s="17" t="inlineStr">
        <is>
          <t>醫護長|支</t>
        </is>
      </c>
      <c r="Q20" s="18" t="inlineStr">
        <is>
          <t>D015</t>
        </is>
      </c>
      <c r="W20" s="19" t="n">
        <v>46290</v>
      </c>
      <c r="X20" s="20" t="inlineStr">
        <is>
          <t>中秋節(週五)</t>
        </is>
      </c>
      <c r="Y20" s="21" t="inlineStr"/>
      <c r="AP20" s="18" t="inlineStr">
        <is>
          <t>悅/睿</t>
        </is>
      </c>
    </row>
    <row r="21">
      <c r="B21" s="12" t="inlineStr">
        <is>
          <t>管理部</t>
        </is>
      </c>
      <c r="C21" s="13" t="inlineStr">
        <is>
          <t>支</t>
        </is>
      </c>
      <c r="D21" s="14" t="inlineStr">
        <is>
          <t>支援他院</t>
        </is>
      </c>
      <c r="E21" s="15" t="n"/>
      <c r="F21" s="15" t="n"/>
      <c r="G21" s="13" t="n">
        <v>0</v>
      </c>
      <c r="H21" s="16" t="n">
        <v>7</v>
      </c>
      <c r="I21" s="13" t="n">
        <v>1</v>
      </c>
      <c r="J21" s="13" t="inlineStr">
        <is>
          <t>上班</t>
        </is>
      </c>
      <c r="K21" s="17" t="inlineStr">
        <is>
          <t>管理部|支</t>
        </is>
      </c>
      <c r="Q21" s="18" t="inlineStr">
        <is>
          <t>D016</t>
        </is>
      </c>
      <c r="W21" s="19" t="n">
        <v>46293</v>
      </c>
      <c r="X21" s="20" t="inlineStr">
        <is>
          <t>教師節(週一)</t>
        </is>
      </c>
      <c r="Y21" s="21" t="inlineStr"/>
      <c r="AP21" s="18" t="inlineStr">
        <is>
          <t>睿/曜</t>
        </is>
      </c>
    </row>
    <row r="22">
      <c r="B22" s="12" t="inlineStr">
        <is>
          <t>醫護長</t>
        </is>
      </c>
      <c r="C22" s="13" t="inlineStr">
        <is>
          <t>訓</t>
        </is>
      </c>
      <c r="D22" s="14" t="inlineStr">
        <is>
          <t>教育訓練/會議</t>
        </is>
      </c>
      <c r="E22" s="15" t="n"/>
      <c r="F22" s="15" t="n"/>
      <c r="G22" s="13" t="n">
        <v>0</v>
      </c>
      <c r="H22" s="16" t="n">
        <v>6</v>
      </c>
      <c r="I22" s="13" t="n">
        <v>1</v>
      </c>
      <c r="J22" s="13" t="inlineStr">
        <is>
          <t>上班</t>
        </is>
      </c>
      <c r="K22" s="17" t="inlineStr">
        <is>
          <t>醫護長|訓</t>
        </is>
      </c>
      <c r="Q22" s="18" t="inlineStr">
        <is>
          <t>D017</t>
        </is>
      </c>
      <c r="W22" s="19" t="n">
        <v>46304</v>
      </c>
      <c r="X22" s="20" t="inlineStr">
        <is>
          <t>國慶日 補假(週五)</t>
        </is>
      </c>
      <c r="Y22" s="21" t="inlineStr">
        <is>
          <t>補假</t>
        </is>
      </c>
      <c r="AP22" s="18" t="inlineStr">
        <is>
          <t>訓</t>
        </is>
      </c>
    </row>
    <row r="23">
      <c r="B23" s="12" t="inlineStr">
        <is>
          <t>管理部</t>
        </is>
      </c>
      <c r="C23" s="13" t="inlineStr">
        <is>
          <t>訓</t>
        </is>
      </c>
      <c r="D23" s="14" t="inlineStr">
        <is>
          <t>教育訓練/會議</t>
        </is>
      </c>
      <c r="E23" s="15" t="n"/>
      <c r="F23" s="15" t="n"/>
      <c r="G23" s="13" t="n">
        <v>0</v>
      </c>
      <c r="H23" s="16" t="n">
        <v>7</v>
      </c>
      <c r="I23" s="13" t="n">
        <v>1</v>
      </c>
      <c r="J23" s="13" t="inlineStr">
        <is>
          <t>上班</t>
        </is>
      </c>
      <c r="K23" s="17" t="inlineStr">
        <is>
          <t>管理部|訓</t>
        </is>
      </c>
      <c r="Q23" s="18" t="inlineStr">
        <is>
          <t>D018</t>
        </is>
      </c>
      <c r="W23" s="19" t="n">
        <v>46305</v>
      </c>
      <c r="X23" s="20" t="inlineStr">
        <is>
          <t>國慶日(週六)</t>
        </is>
      </c>
      <c r="Y23" s="21" t="inlineStr"/>
      <c r="AP23" s="18" t="inlineStr">
        <is>
          <t>OFF</t>
        </is>
      </c>
    </row>
    <row r="24">
      <c r="B24" s="12" t="inlineStr">
        <is>
          <t>醫護長</t>
        </is>
      </c>
      <c r="C24" s="23" t="inlineStr">
        <is>
          <t>OFF</t>
        </is>
      </c>
      <c r="D24" s="24" t="inlineStr">
        <is>
          <t>排休</t>
        </is>
      </c>
      <c r="E24" s="25" t="n"/>
      <c r="F24" s="25" t="n"/>
      <c r="G24" s="23" t="n">
        <v>0</v>
      </c>
      <c r="H24" s="26" t="n">
        <v>0</v>
      </c>
      <c r="I24" s="23" t="n">
        <v>0</v>
      </c>
      <c r="J24" s="23" t="inlineStr">
        <is>
          <t>休假</t>
        </is>
      </c>
      <c r="K24" s="17" t="inlineStr">
        <is>
          <t>醫護長|OFF</t>
        </is>
      </c>
      <c r="Q24" s="18" t="inlineStr">
        <is>
          <t>D019</t>
        </is>
      </c>
      <c r="W24" s="19" t="n">
        <v>46320</v>
      </c>
      <c r="X24" s="20" t="inlineStr">
        <is>
          <t>台灣光復節(週日)</t>
        </is>
      </c>
      <c r="Y24" s="21" t="inlineStr"/>
      <c r="AP24" s="18" t="inlineStr">
        <is>
          <t>特</t>
        </is>
      </c>
    </row>
    <row r="25">
      <c r="B25" s="12" t="inlineStr">
        <is>
          <t>管理部</t>
        </is>
      </c>
      <c r="C25" s="23" t="inlineStr">
        <is>
          <t>OFF</t>
        </is>
      </c>
      <c r="D25" s="24" t="inlineStr">
        <is>
          <t>排休</t>
        </is>
      </c>
      <c r="E25" s="25" t="n"/>
      <c r="F25" s="25" t="n"/>
      <c r="G25" s="23" t="n">
        <v>0</v>
      </c>
      <c r="H25" s="26" t="n">
        <v>0</v>
      </c>
      <c r="I25" s="23" t="n">
        <v>0</v>
      </c>
      <c r="J25" s="23" t="inlineStr">
        <is>
          <t>休假</t>
        </is>
      </c>
      <c r="K25" s="17" t="inlineStr">
        <is>
          <t>管理部|OFF</t>
        </is>
      </c>
      <c r="Q25" s="18" t="inlineStr">
        <is>
          <t>D020</t>
        </is>
      </c>
      <c r="W25" s="19" t="n">
        <v>46321</v>
      </c>
      <c r="X25" s="20" t="inlineStr">
        <is>
          <t>台灣光復節 補假(週一)</t>
        </is>
      </c>
      <c r="Y25" s="21" t="inlineStr">
        <is>
          <t>補假</t>
        </is>
      </c>
      <c r="AP25" s="18" t="inlineStr">
        <is>
          <t>病</t>
        </is>
      </c>
    </row>
    <row r="26">
      <c r="B26" s="12" t="inlineStr">
        <is>
          <t>醫護長</t>
        </is>
      </c>
      <c r="C26" s="23" t="inlineStr">
        <is>
          <t>特</t>
        </is>
      </c>
      <c r="D26" s="24" t="inlineStr">
        <is>
          <t>特休</t>
        </is>
      </c>
      <c r="E26" s="25" t="n"/>
      <c r="F26" s="25" t="n"/>
      <c r="G26" s="23" t="n">
        <v>0</v>
      </c>
      <c r="H26" s="26" t="n">
        <v>0</v>
      </c>
      <c r="I26" s="23" t="n">
        <v>0</v>
      </c>
      <c r="J26" s="23" t="inlineStr">
        <is>
          <t>休假</t>
        </is>
      </c>
      <c r="K26" s="17" t="inlineStr">
        <is>
          <t>醫護長|特</t>
        </is>
      </c>
      <c r="Q26" s="18" t="inlineStr">
        <is>
          <t>D021</t>
        </is>
      </c>
      <c r="W26" s="19" t="n">
        <v>46381</v>
      </c>
      <c r="X26" s="20" t="inlineStr">
        <is>
          <t>行憲紀念日(週五)</t>
        </is>
      </c>
      <c r="Y26" s="21" t="inlineStr"/>
      <c r="AP26" s="18" t="inlineStr">
        <is>
          <t>事</t>
        </is>
      </c>
    </row>
    <row r="27">
      <c r="B27" s="12" t="inlineStr">
        <is>
          <t>管理部</t>
        </is>
      </c>
      <c r="C27" s="23" t="inlineStr">
        <is>
          <t>特</t>
        </is>
      </c>
      <c r="D27" s="24" t="inlineStr">
        <is>
          <t>特休</t>
        </is>
      </c>
      <c r="E27" s="25" t="n"/>
      <c r="F27" s="25" t="n"/>
      <c r="G27" s="23" t="n">
        <v>0</v>
      </c>
      <c r="H27" s="26" t="n">
        <v>0</v>
      </c>
      <c r="I27" s="23" t="n">
        <v>0</v>
      </c>
      <c r="J27" s="23" t="inlineStr">
        <is>
          <t>休假</t>
        </is>
      </c>
      <c r="K27" s="17" t="inlineStr">
        <is>
          <t>管理部|特</t>
        </is>
      </c>
      <c r="Q27" s="18" t="inlineStr">
        <is>
          <t>D022</t>
        </is>
      </c>
      <c r="W27" s="22" t="n"/>
      <c r="X27" s="22" t="n"/>
      <c r="Y27" s="22" t="n"/>
      <c r="AP27" s="18" t="inlineStr">
        <is>
          <t>公</t>
        </is>
      </c>
    </row>
    <row r="28">
      <c r="B28" s="12" t="inlineStr">
        <is>
          <t>醫護長</t>
        </is>
      </c>
      <c r="C28" s="23" t="inlineStr">
        <is>
          <t>病</t>
        </is>
      </c>
      <c r="D28" s="24" t="inlineStr">
        <is>
          <t>病假</t>
        </is>
      </c>
      <c r="E28" s="25" t="n"/>
      <c r="F28" s="25" t="n"/>
      <c r="G28" s="23" t="n">
        <v>0</v>
      </c>
      <c r="H28" s="26" t="n">
        <v>0</v>
      </c>
      <c r="I28" s="23" t="n">
        <v>0</v>
      </c>
      <c r="J28" s="23" t="inlineStr">
        <is>
          <t>休假</t>
        </is>
      </c>
      <c r="K28" s="17" t="inlineStr">
        <is>
          <t>醫護長|病</t>
        </is>
      </c>
      <c r="Q28" s="18" t="inlineStr">
        <is>
          <t>D023</t>
        </is>
      </c>
      <c r="W28" s="22" t="n"/>
      <c r="X28" s="22" t="n"/>
      <c r="Y28" s="22" t="n"/>
      <c r="AP28" s="18" t="inlineStr">
        <is>
          <t>國</t>
        </is>
      </c>
    </row>
    <row r="29">
      <c r="B29" s="12" t="inlineStr">
        <is>
          <t>管理部</t>
        </is>
      </c>
      <c r="C29" s="23" t="inlineStr">
        <is>
          <t>病</t>
        </is>
      </c>
      <c r="D29" s="24" t="inlineStr">
        <is>
          <t>病假</t>
        </is>
      </c>
      <c r="E29" s="25" t="n"/>
      <c r="F29" s="25" t="n"/>
      <c r="G29" s="23" t="n">
        <v>0</v>
      </c>
      <c r="H29" s="26" t="n">
        <v>0</v>
      </c>
      <c r="I29" s="23" t="n">
        <v>0</v>
      </c>
      <c r="J29" s="23" t="inlineStr">
        <is>
          <t>休假</t>
        </is>
      </c>
      <c r="K29" s="17" t="inlineStr">
        <is>
          <t>管理部|病</t>
        </is>
      </c>
      <c r="Q29" s="18" t="inlineStr">
        <is>
          <t>D024</t>
        </is>
      </c>
      <c r="W29" s="22" t="n"/>
      <c r="X29" s="22" t="n"/>
      <c r="Y29" s="22" t="n"/>
      <c r="AP29" s="18" t="inlineStr">
        <is>
          <t>休</t>
        </is>
      </c>
    </row>
    <row r="30">
      <c r="B30" s="12" t="inlineStr">
        <is>
          <t>醫護長</t>
        </is>
      </c>
      <c r="C30" s="23" t="inlineStr">
        <is>
          <t>事</t>
        </is>
      </c>
      <c r="D30" s="24" t="inlineStr">
        <is>
          <t>事假</t>
        </is>
      </c>
      <c r="E30" s="25" t="n"/>
      <c r="F30" s="25" t="n"/>
      <c r="G30" s="23" t="n">
        <v>0</v>
      </c>
      <c r="H30" s="26" t="n">
        <v>0</v>
      </c>
      <c r="I30" s="23" t="n">
        <v>0</v>
      </c>
      <c r="J30" s="23" t="inlineStr">
        <is>
          <t>休假</t>
        </is>
      </c>
      <c r="K30" s="17" t="inlineStr">
        <is>
          <t>醫護長|事</t>
        </is>
      </c>
      <c r="Q30" s="18" t="inlineStr">
        <is>
          <t>D025</t>
        </is>
      </c>
      <c r="W30" s="22" t="n"/>
      <c r="X30" s="22" t="n"/>
      <c r="Y30" s="22" t="n"/>
    </row>
    <row r="31">
      <c r="B31" s="12" t="inlineStr">
        <is>
          <t>管理部</t>
        </is>
      </c>
      <c r="C31" s="23" t="inlineStr">
        <is>
          <t>事</t>
        </is>
      </c>
      <c r="D31" s="24" t="inlineStr">
        <is>
          <t>事假</t>
        </is>
      </c>
      <c r="E31" s="25" t="n"/>
      <c r="F31" s="25" t="n"/>
      <c r="G31" s="23" t="n">
        <v>0</v>
      </c>
      <c r="H31" s="26" t="n">
        <v>0</v>
      </c>
      <c r="I31" s="23" t="n">
        <v>0</v>
      </c>
      <c r="J31" s="23" t="inlineStr">
        <is>
          <t>休假</t>
        </is>
      </c>
      <c r="K31" s="17" t="inlineStr">
        <is>
          <t>管理部|事</t>
        </is>
      </c>
      <c r="Q31" s="18" t="inlineStr">
        <is>
          <t>D026</t>
        </is>
      </c>
      <c r="W31" s="22" t="n"/>
      <c r="X31" s="22" t="n"/>
      <c r="Y31" s="22" t="n"/>
    </row>
    <row r="32">
      <c r="B32" s="12" t="inlineStr">
        <is>
          <t>醫護長</t>
        </is>
      </c>
      <c r="C32" s="23" t="inlineStr">
        <is>
          <t>公</t>
        </is>
      </c>
      <c r="D32" s="24" t="inlineStr">
        <is>
          <t>公假</t>
        </is>
      </c>
      <c r="E32" s="25" t="n"/>
      <c r="F32" s="25" t="n"/>
      <c r="G32" s="23" t="n">
        <v>0</v>
      </c>
      <c r="H32" s="26" t="n">
        <v>0</v>
      </c>
      <c r="I32" s="23" t="n">
        <v>0</v>
      </c>
      <c r="J32" s="23" t="inlineStr">
        <is>
          <t>休假</t>
        </is>
      </c>
      <c r="K32" s="17" t="inlineStr">
        <is>
          <t>醫護長|公</t>
        </is>
      </c>
      <c r="Q32" s="18" t="inlineStr">
        <is>
          <t>D027</t>
        </is>
      </c>
      <c r="W32" s="22" t="n"/>
      <c r="X32" s="22" t="n"/>
      <c r="Y32" s="22" t="n"/>
    </row>
    <row r="33">
      <c r="B33" s="12" t="inlineStr">
        <is>
          <t>管理部</t>
        </is>
      </c>
      <c r="C33" s="23" t="inlineStr">
        <is>
          <t>公</t>
        </is>
      </c>
      <c r="D33" s="24" t="inlineStr">
        <is>
          <t>公假</t>
        </is>
      </c>
      <c r="E33" s="25" t="n"/>
      <c r="F33" s="25" t="n"/>
      <c r="G33" s="23" t="n">
        <v>0</v>
      </c>
      <c r="H33" s="26" t="n">
        <v>0</v>
      </c>
      <c r="I33" s="23" t="n">
        <v>0</v>
      </c>
      <c r="J33" s="23" t="inlineStr">
        <is>
          <t>休假</t>
        </is>
      </c>
      <c r="K33" s="17" t="inlineStr">
        <is>
          <t>管理部|公</t>
        </is>
      </c>
      <c r="Q33" s="22" t="inlineStr"/>
      <c r="W33" s="22" t="n"/>
      <c r="X33" s="22" t="n"/>
      <c r="Y33" s="22" t="n"/>
    </row>
    <row r="34">
      <c r="B34" s="12" t="inlineStr">
        <is>
          <t>醫護長</t>
        </is>
      </c>
      <c r="C34" s="23" t="inlineStr">
        <is>
          <t>國</t>
        </is>
      </c>
      <c r="D34" s="24" t="inlineStr">
        <is>
          <t>國定假日</t>
        </is>
      </c>
      <c r="E34" s="25" t="n"/>
      <c r="F34" s="25" t="n"/>
      <c r="G34" s="23" t="n">
        <v>0</v>
      </c>
      <c r="H34" s="26" t="n">
        <v>0</v>
      </c>
      <c r="I34" s="23" t="n">
        <v>0</v>
      </c>
      <c r="J34" s="23" t="inlineStr">
        <is>
          <t>休假</t>
        </is>
      </c>
      <c r="K34" s="17" t="inlineStr">
        <is>
          <t>醫護長|國</t>
        </is>
      </c>
      <c r="Q34" s="22" t="inlineStr"/>
      <c r="W34" s="22" t="n"/>
      <c r="X34" s="22" t="n"/>
      <c r="Y34" s="22" t="n"/>
    </row>
    <row r="35">
      <c r="B35" s="12" t="inlineStr">
        <is>
          <t>管理部</t>
        </is>
      </c>
      <c r="C35" s="23" t="inlineStr">
        <is>
          <t>國</t>
        </is>
      </c>
      <c r="D35" s="24" t="inlineStr">
        <is>
          <t>國定假日</t>
        </is>
      </c>
      <c r="E35" s="25" t="n"/>
      <c r="F35" s="25" t="n"/>
      <c r="G35" s="23" t="n">
        <v>0</v>
      </c>
      <c r="H35" s="26" t="n">
        <v>0</v>
      </c>
      <c r="I35" s="23" t="n">
        <v>0</v>
      </c>
      <c r="J35" s="23" t="inlineStr">
        <is>
          <t>休假</t>
        </is>
      </c>
      <c r="K35" s="17" t="inlineStr">
        <is>
          <t>管理部|國</t>
        </is>
      </c>
      <c r="Q35" s="22" t="inlineStr"/>
      <c r="W35" s="22" t="n"/>
      <c r="X35" s="22" t="n"/>
      <c r="Y35" s="22" t="n"/>
    </row>
    <row r="36">
      <c r="B36" s="12" t="inlineStr">
        <is>
          <t>醫護長</t>
        </is>
      </c>
      <c r="C36" s="23" t="inlineStr">
        <is>
          <t>休</t>
        </is>
      </c>
      <c r="D36" s="24" t="inlineStr">
        <is>
          <t>休診</t>
        </is>
      </c>
      <c r="E36" s="25" t="n"/>
      <c r="F36" s="25" t="n"/>
      <c r="G36" s="23" t="n">
        <v>0</v>
      </c>
      <c r="H36" s="26" t="n">
        <v>0</v>
      </c>
      <c r="I36" s="23" t="n">
        <v>0</v>
      </c>
      <c r="J36" s="23" t="inlineStr">
        <is>
          <t>休假</t>
        </is>
      </c>
      <c r="K36" s="17" t="inlineStr">
        <is>
          <t>醫護長|休</t>
        </is>
      </c>
      <c r="Q36" s="22" t="inlineStr"/>
      <c r="W36" s="22" t="n"/>
      <c r="X36" s="22" t="n"/>
      <c r="Y36" s="22" t="n"/>
    </row>
    <row r="37">
      <c r="B37" s="12" t="inlineStr">
        <is>
          <t>管理部</t>
        </is>
      </c>
      <c r="C37" s="23" t="inlineStr">
        <is>
          <t>休</t>
        </is>
      </c>
      <c r="D37" s="24" t="inlineStr">
        <is>
          <t>休診</t>
        </is>
      </c>
      <c r="E37" s="25" t="n"/>
      <c r="F37" s="25" t="n"/>
      <c r="G37" s="23" t="n">
        <v>0</v>
      </c>
      <c r="H37" s="26" t="n">
        <v>0</v>
      </c>
      <c r="I37" s="23" t="n">
        <v>0</v>
      </c>
      <c r="J37" s="23" t="inlineStr">
        <is>
          <t>休假</t>
        </is>
      </c>
      <c r="K37" s="17" t="inlineStr">
        <is>
          <t>管理部|休</t>
        </is>
      </c>
      <c r="Q37" s="22" t="inlineStr"/>
      <c r="W37" s="22" t="n"/>
      <c r="X37" s="22" t="n"/>
      <c r="Y37" s="22" t="n"/>
    </row>
    <row r="38">
      <c r="B38" s="6" t="inlineStr">
        <is>
          <t>※ 同一個代碼、兩種職類,時段不同:醫護長跟診(早 09:00–12:00、午 14:00–17:00、晚 18:00–21:00);管理部是辦公室班,提早到開門、留到打烊(早 08:30–12:00、午 13:30–17:00、晚 17:30–21:00)。出勤紀錄靠最右邊的「比對鍵」查這張表,那一欄請勿更動。</t>
        </is>
      </c>
      <c r="Q38" s="22" t="inlineStr"/>
      <c r="W38" s="22" t="n"/>
      <c r="X38" s="22" t="n"/>
      <c r="Y38" s="22" t="n"/>
    </row>
    <row r="39">
      <c r="B39" s="6" t="inlineStr">
        <is>
          <t>※ 有固定時段的代碼必須滿足「應退 − 應到 − 休息 = 排班工時」,否則出勤紀錄會算出不存在的加班。建置腳本會自動檢查。</t>
        </is>
      </c>
      <c r="Q39" s="22" t="inlineStr"/>
      <c r="W39" s="22" t="n"/>
      <c r="X39" s="22" t="n"/>
      <c r="Y39" s="22" t="n"/>
    </row>
    <row r="40">
      <c r="B40" s="27" t="inlineStr">
        <is>
          <t>※ 注意:勞基法第 30 條的正常工時是每日 8 小時。醫護長「全日」排 9 小時、管理部「全日」排 10.5 小時,超出的部分本質上就是延長工時,但本表的加班是用「實際 − 排班」算的,排進去就不會被抓出來。要按法規認定,請不要把「全日」當成常態班別。</t>
        </is>
      </c>
      <c r="Q40" s="22" t="inlineStr"/>
      <c r="W40" s="22" t="n"/>
      <c r="X40" s="22" t="n"/>
      <c r="Y40" s="22" t="n"/>
    </row>
    <row r="41">
      <c r="Q41" s="22" t="inlineStr"/>
    </row>
    <row r="42">
      <c r="B42" s="7" t="inlineStr">
        <is>
          <t>二、醫師診次代碼(醫師班表用:一格填一個代碼)</t>
        </is>
      </c>
      <c r="E42" s="7" t="inlineStr">
        <is>
          <t>二之二、醫師週班表的標記(母表專用)</t>
        </is>
      </c>
      <c r="Q42" s="22" t="inlineStr"/>
      <c r="W42" s="27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10" t="inlineStr">
        <is>
          <t>代碼</t>
        </is>
      </c>
      <c r="C43" s="10" t="inlineStr">
        <is>
          <t>意義</t>
        </is>
      </c>
      <c r="E43" s="10" t="inlineStr">
        <is>
          <t>寫法</t>
        </is>
      </c>
      <c r="F43" s="10" t="inlineStr">
        <is>
          <t>意思</t>
        </is>
      </c>
      <c r="G43" s="10" t="inlineStr">
        <is>
          <t>舉例說明</t>
        </is>
      </c>
      <c r="Q43" s="22" t="inlineStr"/>
      <c r="W43" s="6" t="inlineStr">
        <is>
          <t>※ 改這裡不會自動改醫師班表——月班表是產生出來的固定值,改完要重新產生。</t>
        </is>
      </c>
    </row>
    <row r="44">
      <c r="B44" s="28" t="inlineStr">
        <is>
          <t>悅</t>
        </is>
      </c>
      <c r="C44" s="14" t="inlineStr">
        <is>
          <t>晶悅牙醫</t>
        </is>
      </c>
      <c r="E44" s="29" t="inlineStr">
        <is>
          <t>悅</t>
        </is>
      </c>
      <c r="F44" s="22" t="inlineStr">
        <is>
          <t>每週固定</t>
        </is>
      </c>
      <c r="G44" s="30" t="inlineStr">
        <is>
          <t>每一週的這個診次都在晶悅</t>
        </is>
      </c>
      <c r="H44" s="8" t="n"/>
      <c r="I44" s="8" t="n"/>
      <c r="J44" s="9" t="n"/>
      <c r="Q44" s="22" t="inlineStr"/>
    </row>
    <row r="45">
      <c r="B45" s="31" t="inlineStr">
        <is>
          <t>睿</t>
        </is>
      </c>
      <c r="C45" s="14" t="inlineStr">
        <is>
          <t>晶睿牙醫</t>
        </is>
      </c>
      <c r="E45" s="29" t="inlineStr">
        <is>
          <t>悅(隔)</t>
        </is>
      </c>
      <c r="F45" s="22" t="inlineStr">
        <is>
          <t>隔週看診</t>
        </is>
      </c>
      <c r="G45" s="30" t="inlineStr">
        <is>
          <t>單數週在晶悅,雙數週這個診次不排</t>
        </is>
      </c>
      <c r="H45" s="8" t="n"/>
      <c r="I45" s="8" t="n"/>
      <c r="J45" s="9" t="n"/>
      <c r="Q45" s="22" t="inlineStr"/>
    </row>
    <row r="46">
      <c r="B46" s="32" t="inlineStr">
        <is>
          <t>匯</t>
        </is>
      </c>
      <c r="C46" s="14" t="inlineStr">
        <is>
          <t>晶匯牙醫</t>
        </is>
      </c>
      <c r="E46" s="29" t="inlineStr">
        <is>
          <t>悅/睿</t>
        </is>
      </c>
      <c r="F46" s="22" t="inlineStr">
        <is>
          <t>兩間院所輪替</t>
        </is>
      </c>
      <c r="G46" s="30" t="inlineStr">
        <is>
          <t>斜線前 = 單數週、斜線後 = 雙數週(全表共四組)</t>
        </is>
      </c>
      <c r="H46" s="8" t="n"/>
      <c r="I46" s="8" t="n"/>
      <c r="J46" s="9" t="n"/>
    </row>
    <row r="47">
      <c r="B47" s="33" t="inlineStr">
        <is>
          <t>曜</t>
        </is>
      </c>
      <c r="C47" s="14" t="inlineStr">
        <is>
          <t>晶曜牙醫</t>
        </is>
      </c>
      <c r="E47" s="29" t="inlineStr">
        <is>
          <t>寶(不定)</t>
        </is>
      </c>
      <c r="F47" s="22" t="inlineStr">
        <is>
          <t>非每週固定</t>
        </is>
      </c>
      <c r="G47" s="30" t="inlineStr">
        <is>
          <t>官網註明「詳情請聯繫院所」,需逐一向院所確認</t>
        </is>
      </c>
      <c r="H47" s="8" t="n"/>
      <c r="I47" s="8" t="n"/>
      <c r="J47" s="9" t="n"/>
    </row>
    <row r="48">
      <c r="B48" s="34" t="inlineStr">
        <is>
          <t>寶</t>
        </is>
      </c>
      <c r="C48" s="14" t="inlineStr">
        <is>
          <t>寶貝牙牙醫</t>
        </is>
      </c>
      <c r="E48" s="29" t="inlineStr">
        <is>
          <t>悅(註)</t>
        </is>
      </c>
      <c r="F48" s="22" t="inlineStr">
        <is>
          <t>有附加條件</t>
        </is>
      </c>
      <c r="G48" s="30" t="inlineStr">
        <is>
          <t>條件寫在該列最右邊的附註欄</t>
        </is>
      </c>
      <c r="H48" s="8" t="n"/>
      <c r="I48" s="8" t="n"/>
      <c r="J48" s="9" t="n"/>
    </row>
    <row r="49">
      <c r="B49" s="29" t="inlineStr">
        <is>
          <t>訓</t>
        </is>
      </c>
      <c r="C49" s="14" t="inlineStr">
        <is>
          <t>教育訓練 / 學會</t>
        </is>
      </c>
      <c r="E49" s="29" t="inlineStr">
        <is>
          <t>OFF 特 病</t>
        </is>
      </c>
      <c r="F49" s="22" t="inlineStr">
        <is>
          <t>休假類</t>
        </is>
      </c>
      <c r="G49" s="30" t="inlineStr">
        <is>
          <t>整個診次請假,寫法與醫師班表相同</t>
        </is>
      </c>
      <c r="H49" s="8" t="n"/>
      <c r="I49" s="8" t="n"/>
      <c r="J49" s="9" t="n"/>
    </row>
    <row r="50">
      <c r="B50" s="29" t="inlineStr">
        <is>
          <t>OFF</t>
        </is>
      </c>
      <c r="C50" s="14" t="inlineStr">
        <is>
          <t>排休</t>
        </is>
      </c>
      <c r="E50" s="6" t="inlineStr">
        <is>
          <t>※ 單數/雙數週以計算參數區的「隔週基準日」起算,跨月跨年連續不會斷。</t>
        </is>
      </c>
    </row>
    <row r="51">
      <c r="B51" s="29" t="inlineStr">
        <is>
          <t>特</t>
        </is>
      </c>
      <c r="C51" s="14" t="inlineStr">
        <is>
          <t>特休</t>
        </is>
      </c>
      <c r="E51" s="6" t="inlineStr">
        <is>
          <t>※ 週班表的資料格有下拉選單,但不強制——輸入清單外的寫法只會跳提醒,按「是」照樣存入。</t>
        </is>
      </c>
    </row>
    <row r="52">
      <c r="B52" s="29" t="inlineStr">
        <is>
          <t>病</t>
        </is>
      </c>
      <c r="C52" s="14" t="inlineStr">
        <is>
          <t>病假</t>
        </is>
      </c>
    </row>
    <row r="53">
      <c r="B53" s="29" t="inlineStr">
        <is>
          <t>事</t>
        </is>
      </c>
      <c r="C53" s="14" t="inlineStr">
        <is>
          <t>事假</t>
        </is>
      </c>
    </row>
    <row r="54">
      <c r="B54" s="29" t="inlineStr">
        <is>
          <t>公</t>
        </is>
      </c>
      <c r="C54" s="14" t="inlineStr">
        <is>
          <t>公假</t>
        </is>
      </c>
    </row>
    <row r="55">
      <c r="B55" s="29" t="inlineStr">
        <is>
          <t>國</t>
        </is>
      </c>
      <c r="C55" s="14" t="inlineStr">
        <is>
          <t>國定假日</t>
        </is>
      </c>
    </row>
    <row r="56">
      <c r="B56" s="29" t="inlineStr">
        <is>
          <t>休</t>
        </is>
      </c>
      <c r="C56" s="14" t="inlineStr">
        <is>
          <t>休診</t>
        </is>
      </c>
    </row>
    <row r="57">
      <c r="B57" s="6" t="inlineStr">
        <is>
          <t>※ 醫師班表一格 = 一個診次。填院所代碼表示該診次在哪間看診,填休假代碼表示該診次請假。</t>
        </is>
      </c>
    </row>
    <row r="58">
      <c r="B58" s="6" t="inlineStr">
        <is>
          <t>※ 「醫師週班表」除了上面這些代碼,還會用到右邊那幾種標記——那是母表,要表示隔週與輪替,所以下拉選項比較多。</t>
        </is>
      </c>
    </row>
    <row r="60">
      <c r="B60" s="7" t="inlineStr">
        <is>
          <t>三、計算參數(全體系一致)</t>
        </is>
      </c>
    </row>
    <row r="61">
      <c r="B61" s="10" t="inlineStr">
        <is>
          <t>參數</t>
        </is>
      </c>
      <c r="C61" s="10" t="inlineStr">
        <is>
          <t>值</t>
        </is>
      </c>
      <c r="D61" s="10" t="inlineStr">
        <is>
          <t>說明</t>
        </is>
      </c>
    </row>
    <row r="62">
      <c r="B62" s="35" t="inlineStr">
        <is>
          <t>加班認定門檻(分)</t>
        </is>
      </c>
      <c r="C62" s="5" t="n">
        <v>30</v>
      </c>
      <c r="D62" s="30" t="inlineStr">
        <is>
          <t>超過排班工時多少分鐘才認定為加班。低於門檻視為正常收尾。</t>
        </is>
      </c>
      <c r="E62" s="8" t="n"/>
      <c r="F62" s="8" t="n"/>
      <c r="G62" s="8" t="n"/>
      <c r="H62" s="8" t="n"/>
      <c r="I62" s="8" t="n"/>
      <c r="J62" s="9" t="n"/>
    </row>
    <row r="63">
      <c r="B63" s="35" t="inlineStr">
        <is>
          <t>加班計算單位(分)</t>
        </is>
      </c>
      <c r="C63" s="5" t="n">
        <v>30</v>
      </c>
      <c r="D63" s="30" t="inlineStr">
        <is>
          <t>認定為加班後,無條件捨去到此單位。填 1 表示逐分鐘計。</t>
        </is>
      </c>
      <c r="E63" s="8" t="n"/>
      <c r="F63" s="8" t="n"/>
      <c r="G63" s="8" t="n"/>
      <c r="H63" s="8" t="n"/>
      <c r="I63" s="8" t="n"/>
      <c r="J63" s="9" t="n"/>
    </row>
    <row r="64">
      <c r="B64" s="35" t="inlineStr">
        <is>
          <t>遲到早退寬限(分)</t>
        </is>
      </c>
      <c r="C64" s="5" t="n">
        <v>5</v>
      </c>
      <c r="D64" s="30" t="inlineStr">
        <is>
          <t>打卡與應到/應退時間差在此範圍內不判定為遲到或早退。</t>
        </is>
      </c>
      <c r="E64" s="8" t="n"/>
      <c r="F64" s="8" t="n"/>
      <c r="G64" s="8" t="n"/>
      <c r="H64" s="8" t="n"/>
      <c r="I64" s="8" t="n"/>
      <c r="J64" s="9" t="n"/>
    </row>
    <row r="65">
      <c r="B65" s="35" t="inlineStr">
        <is>
          <t>隔週基準日</t>
        </is>
      </c>
      <c r="C65" s="36" t="n">
        <v>46293</v>
      </c>
      <c r="D65" s="30" t="inlineStr">
        <is>
          <t>從這個星期一起連續數週。單數週 = 週班表前面那個代碼,雙數週 = 後面那個。若實際輪替對調了,把這個日期往前或往後挪 7 天即可整體對齊。</t>
        </is>
      </c>
      <c r="E65" s="8" t="n"/>
      <c r="F65" s="8" t="n"/>
      <c r="G65" s="8" t="n"/>
      <c r="H65" s="8" t="n"/>
      <c r="I65" s="8" t="n"/>
      <c r="J65" s="9" t="n"/>
    </row>
    <row r="66">
      <c r="B66" s="6" t="inlineStr">
        <is>
          <t>※ 前三個是勞資雙方的認定慣例,不是法律規定的數字。上線前請與人資或勞務顧問確認,並讓同仁事先知道規則。</t>
        </is>
      </c>
    </row>
    <row r="68">
      <c r="B68" s="7" t="inlineStr">
        <is>
          <t>四、院所清單</t>
        </is>
      </c>
      <c r="U68" s="37" t="inlineStr">
        <is>
          <t>一早</t>
        </is>
      </c>
      <c r="V68" s="37" t="inlineStr">
        <is>
          <t>一午</t>
        </is>
      </c>
      <c r="W68" s="37" t="inlineStr">
        <is>
          <t>一晚</t>
        </is>
      </c>
      <c r="X68" s="37" t="inlineStr">
        <is>
          <t>二早</t>
        </is>
      </c>
      <c r="Y68" s="37" t="inlineStr">
        <is>
          <t>二午</t>
        </is>
      </c>
      <c r="Z68" s="37" t="inlineStr">
        <is>
          <t>二晚</t>
        </is>
      </c>
      <c r="AA68" s="37" t="inlineStr">
        <is>
          <t>三早</t>
        </is>
      </c>
      <c r="AB68" s="37" t="inlineStr">
        <is>
          <t>三午</t>
        </is>
      </c>
      <c r="AC68" s="37" t="inlineStr">
        <is>
          <t>三晚</t>
        </is>
      </c>
      <c r="AD68" s="37" t="inlineStr">
        <is>
          <t>四早</t>
        </is>
      </c>
      <c r="AE68" s="37" t="inlineStr">
        <is>
          <t>四午</t>
        </is>
      </c>
      <c r="AF68" s="37" t="inlineStr">
        <is>
          <t>四晚</t>
        </is>
      </c>
      <c r="AG68" s="37" t="inlineStr">
        <is>
          <t>五早</t>
        </is>
      </c>
      <c r="AH68" s="37" t="inlineStr">
        <is>
          <t>五午</t>
        </is>
      </c>
      <c r="AI68" s="37" t="inlineStr">
        <is>
          <t>五晚</t>
        </is>
      </c>
      <c r="AJ68" s="37" t="inlineStr">
        <is>
          <t>六早</t>
        </is>
      </c>
      <c r="AK68" s="37" t="inlineStr">
        <is>
          <t>六午</t>
        </is>
      </c>
      <c r="AL68" s="37" t="inlineStr">
        <is>
          <t>六晚</t>
        </is>
      </c>
      <c r="AM68" s="37" t="inlineStr">
        <is>
          <t>日早</t>
        </is>
      </c>
      <c r="AN68" s="37" t="inlineStr">
        <is>
          <t>日午</t>
        </is>
      </c>
      <c r="AO68" s="37" t="inlineStr">
        <is>
          <t>日晚</t>
        </is>
      </c>
    </row>
    <row r="69">
      <c r="B69" s="10" t="inlineStr">
        <is>
          <t>代碼</t>
        </is>
      </c>
      <c r="C69" s="10" t="inlineStr">
        <is>
          <t>簡稱</t>
        </is>
      </c>
      <c r="D69" s="10" t="inlineStr">
        <is>
          <t>全名</t>
        </is>
      </c>
      <c r="E69" s="10" t="inlineStr">
        <is>
          <t>院長</t>
        </is>
      </c>
      <c r="F69" s="10" t="inlineStr">
        <is>
          <t>電話</t>
        </is>
      </c>
      <c r="G69" s="10" t="inlineStr">
        <is>
          <t>地址</t>
        </is>
      </c>
      <c r="H69" s="10" t="inlineStr">
        <is>
          <t>早診起</t>
        </is>
      </c>
      <c r="I69" s="10" t="inlineStr">
        <is>
          <t>早診訖</t>
        </is>
      </c>
      <c r="J69" s="10" t="inlineStr">
        <is>
          <t>午診起</t>
        </is>
      </c>
      <c r="K69" s="10" t="inlineStr">
        <is>
          <t>午診訖</t>
        </is>
      </c>
      <c r="L69" s="10" t="inlineStr">
        <is>
          <t>晚診起</t>
        </is>
      </c>
      <c r="M69" s="10" t="inlineStr">
        <is>
          <t>晚診訖</t>
        </is>
      </c>
      <c r="U69" s="38" t="inlineStr">
        <is>
          <t>開診時段(1 = 有開診,0 = 休診;順序為週一早…週日晚)</t>
        </is>
      </c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9" t="n"/>
    </row>
    <row r="70">
      <c r="B70" s="39" t="inlineStr">
        <is>
          <t>悅</t>
        </is>
      </c>
      <c r="C70" s="13" t="inlineStr">
        <is>
          <t>晶悅</t>
        </is>
      </c>
      <c r="D70" s="14" t="inlineStr">
        <is>
          <t>晶悅牙醫診所</t>
        </is>
      </c>
      <c r="E70" s="13" t="inlineStr">
        <is>
          <t>林智俊</t>
        </is>
      </c>
      <c r="F70" s="13" t="inlineStr">
        <is>
          <t>03-4257710</t>
        </is>
      </c>
      <c r="G70" s="14" t="inlineStr">
        <is>
          <t>320桃園市中壢區新生路251號</t>
        </is>
      </c>
      <c r="H70" s="22" t="inlineStr">
        <is>
          <t>09:00</t>
        </is>
      </c>
      <c r="I70" s="22" t="inlineStr">
        <is>
          <t>11:30</t>
        </is>
      </c>
      <c r="J70" s="22" t="inlineStr">
        <is>
          <t>14:00</t>
        </is>
      </c>
      <c r="K70" s="22" t="inlineStr">
        <is>
          <t>16:30</t>
        </is>
      </c>
      <c r="L70" s="22" t="inlineStr">
        <is>
          <t>18:00</t>
        </is>
      </c>
      <c r="M70" s="22" t="inlineStr">
        <is>
          <t>20:30</t>
        </is>
      </c>
      <c r="U70" s="40" t="n">
        <v>1</v>
      </c>
      <c r="V70" s="40" t="n">
        <v>1</v>
      </c>
      <c r="W70" s="40" t="n">
        <v>1</v>
      </c>
      <c r="X70" s="40" t="n">
        <v>1</v>
      </c>
      <c r="Y70" s="40" t="n">
        <v>1</v>
      </c>
      <c r="Z70" s="40" t="n">
        <v>1</v>
      </c>
      <c r="AA70" s="40" t="n">
        <v>1</v>
      </c>
      <c r="AB70" s="40" t="n">
        <v>1</v>
      </c>
      <c r="AC70" s="40" t="n">
        <v>1</v>
      </c>
      <c r="AD70" s="40" t="n">
        <v>1</v>
      </c>
      <c r="AE70" s="40" t="n">
        <v>1</v>
      </c>
      <c r="AF70" s="40" t="n">
        <v>1</v>
      </c>
      <c r="AG70" s="40" t="n">
        <v>1</v>
      </c>
      <c r="AH70" s="40" t="n">
        <v>1</v>
      </c>
      <c r="AI70" s="40" t="n">
        <v>1</v>
      </c>
      <c r="AJ70" s="40" t="n">
        <v>1</v>
      </c>
      <c r="AK70" s="40" t="n">
        <v>1</v>
      </c>
      <c r="AL70" s="41" t="n">
        <v>0</v>
      </c>
      <c r="AM70" s="41" t="n">
        <v>0</v>
      </c>
      <c r="AN70" s="41" t="n">
        <v>0</v>
      </c>
      <c r="AO70" s="41" t="n">
        <v>0</v>
      </c>
    </row>
    <row r="71">
      <c r="B71" s="42" t="inlineStr">
        <is>
          <t>睿</t>
        </is>
      </c>
      <c r="C71" s="13" t="inlineStr">
        <is>
          <t>晶睿</t>
        </is>
      </c>
      <c r="D71" s="14" t="inlineStr">
        <is>
          <t>晶睿牙醫診所</t>
        </is>
      </c>
      <c r="E71" s="13" t="inlineStr">
        <is>
          <t>温健成</t>
        </is>
      </c>
      <c r="F71" s="13" t="inlineStr">
        <is>
          <t>03-4522360</t>
        </is>
      </c>
      <c r="G71" s="14" t="inlineStr">
        <is>
          <t>桃園市中壢區福州二街502號</t>
        </is>
      </c>
      <c r="H71" s="22" t="inlineStr">
        <is>
          <t>09:00</t>
        </is>
      </c>
      <c r="I71" s="22" t="inlineStr">
        <is>
          <t>11:30</t>
        </is>
      </c>
      <c r="J71" s="22" t="inlineStr">
        <is>
          <t>14:00</t>
        </is>
      </c>
      <c r="K71" s="22" t="inlineStr">
        <is>
          <t>16:30</t>
        </is>
      </c>
      <c r="L71" s="22" t="inlineStr">
        <is>
          <t>18:00</t>
        </is>
      </c>
      <c r="M71" s="22" t="inlineStr">
        <is>
          <t>20:30</t>
        </is>
      </c>
      <c r="U71" s="40" t="n">
        <v>1</v>
      </c>
      <c r="V71" s="40" t="n">
        <v>1</v>
      </c>
      <c r="W71" s="40" t="n">
        <v>1</v>
      </c>
      <c r="X71" s="40" t="n">
        <v>1</v>
      </c>
      <c r="Y71" s="40" t="n">
        <v>1</v>
      </c>
      <c r="Z71" s="40" t="n">
        <v>1</v>
      </c>
      <c r="AA71" s="40" t="n">
        <v>1</v>
      </c>
      <c r="AB71" s="40" t="n">
        <v>1</v>
      </c>
      <c r="AC71" s="40" t="n">
        <v>1</v>
      </c>
      <c r="AD71" s="40" t="n">
        <v>1</v>
      </c>
      <c r="AE71" s="40" t="n">
        <v>1</v>
      </c>
      <c r="AF71" s="40" t="n">
        <v>1</v>
      </c>
      <c r="AG71" s="40" t="n">
        <v>1</v>
      </c>
      <c r="AH71" s="40" t="n">
        <v>1</v>
      </c>
      <c r="AI71" s="40" t="n">
        <v>1</v>
      </c>
      <c r="AJ71" s="40" t="n">
        <v>1</v>
      </c>
      <c r="AK71" s="40" t="n">
        <v>1</v>
      </c>
      <c r="AL71" s="41" t="n">
        <v>0</v>
      </c>
      <c r="AM71" s="41" t="n">
        <v>0</v>
      </c>
      <c r="AN71" s="41" t="n">
        <v>0</v>
      </c>
      <c r="AO71" s="41" t="n">
        <v>0</v>
      </c>
    </row>
    <row r="72">
      <c r="B72" s="43" t="inlineStr">
        <is>
          <t>匯</t>
        </is>
      </c>
      <c r="C72" s="13" t="inlineStr">
        <is>
          <t>晶匯</t>
        </is>
      </c>
      <c r="D72" s="14" t="inlineStr">
        <is>
          <t>晶匯牙醫診所</t>
        </is>
      </c>
      <c r="E72" s="13" t="inlineStr">
        <is>
          <t>陳昺元</t>
        </is>
      </c>
      <c r="F72" s="13" t="inlineStr">
        <is>
          <t>03-4550719</t>
        </is>
      </c>
      <c r="G72" s="14" t="inlineStr">
        <is>
          <t>桃園市中壢區成章一街172號</t>
        </is>
      </c>
      <c r="H72" s="22" t="inlineStr">
        <is>
          <t>09:00</t>
        </is>
      </c>
      <c r="I72" s="22" t="inlineStr">
        <is>
          <t>11:30</t>
        </is>
      </c>
      <c r="J72" s="22" t="inlineStr">
        <is>
          <t>14:00</t>
        </is>
      </c>
      <c r="K72" s="22" t="inlineStr">
        <is>
          <t>16:30</t>
        </is>
      </c>
      <c r="L72" s="22" t="inlineStr">
        <is>
          <t>18:00</t>
        </is>
      </c>
      <c r="M72" s="22" t="inlineStr">
        <is>
          <t>20:30</t>
        </is>
      </c>
      <c r="U72" s="40" t="n">
        <v>1</v>
      </c>
      <c r="V72" s="40" t="n">
        <v>1</v>
      </c>
      <c r="W72" s="40" t="n">
        <v>1</v>
      </c>
      <c r="X72" s="40" t="n">
        <v>1</v>
      </c>
      <c r="Y72" s="40" t="n">
        <v>1</v>
      </c>
      <c r="Z72" s="40" t="n">
        <v>1</v>
      </c>
      <c r="AA72" s="40" t="n">
        <v>1</v>
      </c>
      <c r="AB72" s="40" t="n">
        <v>1</v>
      </c>
      <c r="AC72" s="40" t="n">
        <v>1</v>
      </c>
      <c r="AD72" s="40" t="n">
        <v>1</v>
      </c>
      <c r="AE72" s="40" t="n">
        <v>1</v>
      </c>
      <c r="AF72" s="40" t="n">
        <v>1</v>
      </c>
      <c r="AG72" s="40" t="n">
        <v>1</v>
      </c>
      <c r="AH72" s="40" t="n">
        <v>1</v>
      </c>
      <c r="AI72" s="40" t="n">
        <v>1</v>
      </c>
      <c r="AJ72" s="40" t="n">
        <v>1</v>
      </c>
      <c r="AK72" s="40" t="n">
        <v>1</v>
      </c>
      <c r="AL72" s="41" t="n">
        <v>0</v>
      </c>
      <c r="AM72" s="41" t="n">
        <v>0</v>
      </c>
      <c r="AN72" s="41" t="n">
        <v>0</v>
      </c>
      <c r="AO72" s="41" t="n">
        <v>0</v>
      </c>
    </row>
    <row r="73">
      <c r="B73" s="44" t="inlineStr">
        <is>
          <t>曜</t>
        </is>
      </c>
      <c r="C73" s="13" t="inlineStr">
        <is>
          <t>晶曜</t>
        </is>
      </c>
      <c r="D73" s="14" t="inlineStr">
        <is>
          <t>晶曜牙醫診所</t>
        </is>
      </c>
      <c r="E73" s="13" t="inlineStr">
        <is>
          <t>劉立德</t>
        </is>
      </c>
      <c r="F73" s="13" t="inlineStr">
        <is>
          <t>03-3150666</t>
        </is>
      </c>
      <c r="G73" s="14" t="inlineStr">
        <is>
          <t>桃園市桃園區中正路1398-1號</t>
        </is>
      </c>
      <c r="H73" s="22" t="inlineStr">
        <is>
          <t>09:00</t>
        </is>
      </c>
      <c r="I73" s="22" t="inlineStr">
        <is>
          <t>11:30</t>
        </is>
      </c>
      <c r="J73" s="22" t="inlineStr">
        <is>
          <t>14:00</t>
        </is>
      </c>
      <c r="K73" s="22" t="inlineStr">
        <is>
          <t>16:30</t>
        </is>
      </c>
      <c r="L73" s="22" t="inlineStr">
        <is>
          <t>18:00</t>
        </is>
      </c>
      <c r="M73" s="22" t="inlineStr">
        <is>
          <t>20:30</t>
        </is>
      </c>
      <c r="U73" s="40" t="n">
        <v>1</v>
      </c>
      <c r="V73" s="40" t="n">
        <v>1</v>
      </c>
      <c r="W73" s="40" t="n">
        <v>1</v>
      </c>
      <c r="X73" s="40" t="n">
        <v>1</v>
      </c>
      <c r="Y73" s="40" t="n">
        <v>1</v>
      </c>
      <c r="Z73" s="40" t="n">
        <v>1</v>
      </c>
      <c r="AA73" s="40" t="n">
        <v>1</v>
      </c>
      <c r="AB73" s="40" t="n">
        <v>1</v>
      </c>
      <c r="AC73" s="40" t="n">
        <v>1</v>
      </c>
      <c r="AD73" s="40" t="n">
        <v>1</v>
      </c>
      <c r="AE73" s="40" t="n">
        <v>1</v>
      </c>
      <c r="AF73" s="40" t="n">
        <v>1</v>
      </c>
      <c r="AG73" s="40" t="n">
        <v>1</v>
      </c>
      <c r="AH73" s="40" t="n">
        <v>1</v>
      </c>
      <c r="AI73" s="40" t="n">
        <v>1</v>
      </c>
      <c r="AJ73" s="40" t="n">
        <v>1</v>
      </c>
      <c r="AK73" s="40" t="n">
        <v>1</v>
      </c>
      <c r="AL73" s="41" t="n">
        <v>0</v>
      </c>
      <c r="AM73" s="41" t="n">
        <v>0</v>
      </c>
      <c r="AN73" s="41" t="n">
        <v>0</v>
      </c>
      <c r="AO73" s="41" t="n">
        <v>0</v>
      </c>
    </row>
    <row r="74">
      <c r="B74" s="45" t="inlineStr">
        <is>
          <t>寶</t>
        </is>
      </c>
      <c r="C74" s="13" t="inlineStr">
        <is>
          <t>寶貝牙</t>
        </is>
      </c>
      <c r="D74" s="14" t="inlineStr">
        <is>
          <t>寶貝牙牙醫診所</t>
        </is>
      </c>
      <c r="E74" s="13" t="inlineStr">
        <is>
          <t>黃育亭</t>
        </is>
      </c>
      <c r="F74" s="13" t="inlineStr">
        <is>
          <t>03-2871688</t>
        </is>
      </c>
      <c r="G74" s="14" t="inlineStr">
        <is>
          <t>桃園市大園區新生路四段273號2樓</t>
        </is>
      </c>
      <c r="H74" s="22" t="inlineStr">
        <is>
          <t>09:00</t>
        </is>
      </c>
      <c r="I74" s="22" t="inlineStr">
        <is>
          <t>14:00</t>
        </is>
      </c>
      <c r="J74" s="22" t="inlineStr">
        <is>
          <t>14:00</t>
        </is>
      </c>
      <c r="K74" s="22" t="inlineStr">
        <is>
          <t>17:00</t>
        </is>
      </c>
      <c r="L74" s="22" t="inlineStr">
        <is>
          <t>17:30</t>
        </is>
      </c>
      <c r="M74" s="22" t="inlineStr">
        <is>
          <t>21:00</t>
        </is>
      </c>
      <c r="U74" s="41" t="n">
        <v>0</v>
      </c>
      <c r="V74" s="40" t="n">
        <v>1</v>
      </c>
      <c r="W74" s="40" t="n">
        <v>1</v>
      </c>
      <c r="X74" s="41" t="n">
        <v>0</v>
      </c>
      <c r="Y74" s="40" t="n">
        <v>1</v>
      </c>
      <c r="Z74" s="40" t="n">
        <v>1</v>
      </c>
      <c r="AA74" s="41" t="n">
        <v>0</v>
      </c>
      <c r="AB74" s="40" t="n">
        <v>1</v>
      </c>
      <c r="AC74" s="40" t="n">
        <v>1</v>
      </c>
      <c r="AD74" s="41" t="n">
        <v>0</v>
      </c>
      <c r="AE74" s="40" t="n">
        <v>1</v>
      </c>
      <c r="AF74" s="40" t="n">
        <v>1</v>
      </c>
      <c r="AG74" s="41" t="n">
        <v>0</v>
      </c>
      <c r="AH74" s="40" t="n">
        <v>1</v>
      </c>
      <c r="AI74" s="40" t="n">
        <v>1</v>
      </c>
      <c r="AJ74" s="40" t="n">
        <v>1</v>
      </c>
      <c r="AK74" s="40" t="n">
        <v>1</v>
      </c>
      <c r="AL74" s="41" t="n">
        <v>0</v>
      </c>
      <c r="AM74" s="41" t="n">
        <v>0</v>
      </c>
      <c r="AN74" s="41" t="n">
        <v>0</v>
      </c>
      <c r="AO74" s="41" t="n">
        <v>0</v>
      </c>
    </row>
    <row r="75">
      <c r="B75" s="13" t="inlineStr"/>
      <c r="C75" s="13" t="inlineStr"/>
      <c r="D75" s="14" t="inlineStr"/>
      <c r="E75" s="13" t="inlineStr"/>
      <c r="F75" s="13" t="inlineStr"/>
      <c r="G75" s="14" t="inlineStr"/>
      <c r="H75" s="22" t="inlineStr"/>
      <c r="I75" s="22" t="inlineStr"/>
      <c r="J75" s="22" t="inlineStr"/>
      <c r="K75" s="22" t="inlineStr"/>
      <c r="L75" s="22" t="inlineStr"/>
      <c r="M75" s="22" t="inlineStr"/>
      <c r="U75" s="40" t="n"/>
      <c r="V75" s="40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  <c r="AO75" s="40" t="n"/>
    </row>
    <row r="76">
      <c r="B76" s="13" t="inlineStr"/>
      <c r="C76" s="13" t="inlineStr"/>
      <c r="D76" s="14" t="inlineStr"/>
      <c r="E76" s="13" t="inlineStr"/>
      <c r="F76" s="13" t="inlineStr"/>
      <c r="G76" s="14" t="inlineStr"/>
      <c r="H76" s="22" t="inlineStr"/>
      <c r="I76" s="22" t="inlineStr"/>
      <c r="J76" s="22" t="inlineStr"/>
      <c r="K76" s="22" t="inlineStr"/>
      <c r="L76" s="22" t="inlineStr"/>
      <c r="M76" s="22" t="inlineStr"/>
      <c r="U76" s="40" t="n"/>
      <c r="V76" s="40" t="n"/>
      <c r="W76" s="40" t="n"/>
      <c r="X76" s="40" t="n"/>
      <c r="Y76" s="40" t="n"/>
      <c r="Z76" s="40" t="n"/>
      <c r="AA76" s="40" t="n"/>
      <c r="AB76" s="40" t="n"/>
      <c r="AC76" s="40" t="n"/>
      <c r="AD76" s="40" t="n"/>
      <c r="AE76" s="40" t="n"/>
      <c r="AF76" s="40" t="n"/>
      <c r="AG76" s="40" t="n"/>
      <c r="AH76" s="40" t="n"/>
      <c r="AI76" s="40" t="n"/>
      <c r="AJ76" s="40" t="n"/>
      <c r="AK76" s="40" t="n"/>
      <c r="AL76" s="40" t="n"/>
      <c r="AM76" s="40" t="n"/>
      <c r="AN76" s="40" t="n"/>
      <c r="AO76" s="40" t="n"/>
    </row>
    <row r="78">
      <c r="B78" s="46" t="inlineStr">
        <is>
          <t>五、人員名冊</t>
        </is>
      </c>
    </row>
    <row r="79">
      <c r="B79" s="10" t="inlineStr">
        <is>
          <t>員工編號</t>
        </is>
      </c>
      <c r="C79" s="10" t="inlineStr">
        <is>
          <t>姓名</t>
        </is>
      </c>
      <c r="D79" s="10" t="inlineStr">
        <is>
          <t>職類</t>
        </is>
      </c>
      <c r="E79" s="10" t="inlineStr">
        <is>
          <t>專科</t>
        </is>
      </c>
      <c r="F79" s="10" t="inlineStr">
        <is>
          <t>職務</t>
        </is>
      </c>
      <c r="G79" s="10" t="inlineStr">
        <is>
          <t>主要院所</t>
        </is>
      </c>
      <c r="H79" s="10" t="inlineStr">
        <is>
          <t>服務院所(醫師)</t>
        </is>
      </c>
      <c r="I79" s="10" t="inlineStr">
        <is>
          <t>英文名</t>
        </is>
      </c>
      <c r="J79" s="10" t="inlineStr">
        <is>
          <t>到職日</t>
        </is>
      </c>
      <c r="K79" s="10" t="inlineStr">
        <is>
          <t>備註</t>
        </is>
      </c>
    </row>
    <row r="80">
      <c r="B80" s="21" t="inlineStr">
        <is>
          <t>D001</t>
        </is>
      </c>
      <c r="C80" s="21" t="inlineStr">
        <is>
          <t>林智俊</t>
        </is>
      </c>
      <c r="D80" s="21" t="inlineStr">
        <is>
          <t>醫師</t>
        </is>
      </c>
      <c r="E80" s="20" t="inlineStr">
        <is>
          <t>牙周植牙專科</t>
        </is>
      </c>
      <c r="F80" s="21" t="inlineStr">
        <is>
          <t>晶悅院長</t>
        </is>
      </c>
      <c r="G80" s="21" t="inlineStr">
        <is>
          <t>晶悅</t>
        </is>
      </c>
      <c r="H80" s="20" t="inlineStr">
        <is>
          <t>晶悅 · 晶睿 · 晶匯 · 晶曜</t>
        </is>
      </c>
      <c r="I80" s="21" t="inlineStr">
        <is>
          <t>JASON LIN</t>
        </is>
      </c>
      <c r="J80" s="21" t="inlineStr"/>
      <c r="K80" s="20" t="inlineStr"/>
    </row>
    <row r="81">
      <c r="B81" s="21" t="inlineStr">
        <is>
          <t>D002</t>
        </is>
      </c>
      <c r="C81" s="21" t="inlineStr">
        <is>
          <t>劉立德</t>
        </is>
      </c>
      <c r="D81" s="21" t="inlineStr">
        <is>
          <t>醫師</t>
        </is>
      </c>
      <c r="E81" s="20" t="inlineStr">
        <is>
          <t>植牙專科 家庭牙醫專科</t>
        </is>
      </c>
      <c r="F81" s="21" t="inlineStr">
        <is>
          <t>晶曜院長</t>
        </is>
      </c>
      <c r="G81" s="21" t="inlineStr">
        <is>
          <t>晶曜</t>
        </is>
      </c>
      <c r="H81" s="20" t="inlineStr">
        <is>
          <t>晶睿 · 晶曜</t>
        </is>
      </c>
      <c r="I81" s="21" t="inlineStr">
        <is>
          <t>LEADER LIU</t>
        </is>
      </c>
      <c r="J81" s="21" t="inlineStr"/>
      <c r="K81" s="20" t="inlineStr"/>
    </row>
    <row r="82">
      <c r="B82" s="21" t="inlineStr">
        <is>
          <t>D003</t>
        </is>
      </c>
      <c r="C82" s="21" t="inlineStr">
        <is>
          <t>王泳泉</t>
        </is>
      </c>
      <c r="D82" s="21" t="inlineStr">
        <is>
          <t>醫師</t>
        </is>
      </c>
      <c r="E82" s="20" t="inlineStr">
        <is>
          <t>矯正專科</t>
        </is>
      </c>
      <c r="F82" s="21" t="inlineStr"/>
      <c r="G82" s="21" t="inlineStr">
        <is>
          <t>晶悅</t>
        </is>
      </c>
      <c r="H82" s="20" t="inlineStr">
        <is>
          <t>晶悅 · 晶睿</t>
        </is>
      </c>
      <c r="I82" s="21" t="inlineStr">
        <is>
          <t>RYAN WANG</t>
        </is>
      </c>
      <c r="J82" s="21" t="inlineStr"/>
      <c r="K82" s="20" t="inlineStr"/>
    </row>
    <row r="83">
      <c r="B83" s="21" t="inlineStr">
        <is>
          <t>D004</t>
        </is>
      </c>
      <c r="C83" s="21" t="inlineStr">
        <is>
          <t>劉玠旻</t>
        </is>
      </c>
      <c r="D83" s="21" t="inlineStr">
        <is>
          <t>醫師</t>
        </is>
      </c>
      <c r="E83" s="20" t="inlineStr">
        <is>
          <t>兒童專科</t>
        </is>
      </c>
      <c r="F83" s="21" t="inlineStr"/>
      <c r="G83" s="21" t="inlineStr">
        <is>
          <t>晶悅</t>
        </is>
      </c>
      <c r="H83" s="20" t="inlineStr">
        <is>
          <t>晶悅 · 晶睿 · 晶曜</t>
        </is>
      </c>
      <c r="I83" s="21" t="inlineStr">
        <is>
          <t>CHIEH-MIN LIU</t>
        </is>
      </c>
      <c r="J83" s="21" t="inlineStr"/>
      <c r="K83" s="20" t="inlineStr"/>
    </row>
    <row r="84">
      <c r="B84" s="21" t="inlineStr">
        <is>
          <t>D005</t>
        </is>
      </c>
      <c r="C84" s="21" t="inlineStr">
        <is>
          <t>陳志僑</t>
        </is>
      </c>
      <c r="D84" s="21" t="inlineStr">
        <is>
          <t>醫師</t>
        </is>
      </c>
      <c r="E84" s="20" t="inlineStr">
        <is>
          <t>口外專科</t>
        </is>
      </c>
      <c r="F84" s="21" t="inlineStr"/>
      <c r="G84" s="21" t="inlineStr">
        <is>
          <t>晶悅</t>
        </is>
      </c>
      <c r="H84" s="20" t="inlineStr">
        <is>
          <t>晶悅 · 晶睿</t>
        </is>
      </c>
      <c r="I84" s="21" t="inlineStr">
        <is>
          <t>CHIH-CHIAO CHEN</t>
        </is>
      </c>
      <c r="J84" s="21" t="inlineStr"/>
      <c r="K84" s="20" t="inlineStr"/>
    </row>
    <row r="85">
      <c r="B85" s="21" t="inlineStr">
        <is>
          <t>D006</t>
        </is>
      </c>
      <c r="C85" s="21" t="inlineStr">
        <is>
          <t>黃榆鈞</t>
        </is>
      </c>
      <c r="D85" s="21" t="inlineStr">
        <is>
          <t>醫師</t>
        </is>
      </c>
      <c r="E85" s="20" t="inlineStr">
        <is>
          <t>矯正專科</t>
        </is>
      </c>
      <c r="F85" s="21" t="inlineStr"/>
      <c r="G85" s="21" t="inlineStr">
        <is>
          <t>晶悅</t>
        </is>
      </c>
      <c r="H85" s="20" t="inlineStr">
        <is>
          <t>晶悅 · 寶貝牙</t>
        </is>
      </c>
      <c r="I85" s="21" t="inlineStr">
        <is>
          <t>YU-CHUN HUANG</t>
        </is>
      </c>
      <c r="J85" s="21" t="inlineStr"/>
      <c r="K85" s="20" t="inlineStr"/>
    </row>
    <row r="86">
      <c r="B86" s="21" t="inlineStr">
        <is>
          <t>D007</t>
        </is>
      </c>
      <c r="C86" s="21" t="inlineStr">
        <is>
          <t>温翊君</t>
        </is>
      </c>
      <c r="D86" s="21" t="inlineStr">
        <is>
          <t>醫師</t>
        </is>
      </c>
      <c r="E86" s="20" t="inlineStr">
        <is>
          <t>根管治療專科</t>
        </is>
      </c>
      <c r="F86" s="21" t="inlineStr"/>
      <c r="G86" s="21" t="inlineStr">
        <is>
          <t>晶悅</t>
        </is>
      </c>
      <c r="H86" s="20" t="inlineStr">
        <is>
          <t>晶悅</t>
        </is>
      </c>
      <c r="I86" s="21" t="inlineStr">
        <is>
          <t>YI-CHUN WEN</t>
        </is>
      </c>
      <c r="J86" s="21" t="inlineStr"/>
      <c r="K86" s="20" t="inlineStr"/>
    </row>
    <row r="87">
      <c r="B87" s="21" t="inlineStr">
        <is>
          <t>D008</t>
        </is>
      </c>
      <c r="C87" s="21" t="inlineStr">
        <is>
          <t>林紫亭</t>
        </is>
      </c>
      <c r="D87" s="21" t="inlineStr">
        <is>
          <t>醫師</t>
        </is>
      </c>
      <c r="E87" s="20" t="inlineStr"/>
      <c r="F87" s="21" t="inlineStr"/>
      <c r="G87" s="21" t="inlineStr">
        <is>
          <t>晶悅</t>
        </is>
      </c>
      <c r="H87" s="20" t="inlineStr">
        <is>
          <t>晶悅</t>
        </is>
      </c>
      <c r="I87" s="21" t="inlineStr">
        <is>
          <t>TZU-TING LIN</t>
        </is>
      </c>
      <c r="J87" s="21" t="inlineStr"/>
      <c r="K87" s="20" t="inlineStr"/>
    </row>
    <row r="88">
      <c r="B88" s="21" t="inlineStr">
        <is>
          <t>D009</t>
        </is>
      </c>
      <c r="C88" s="21" t="inlineStr">
        <is>
          <t>陳昺元</t>
        </is>
      </c>
      <c r="D88" s="21" t="inlineStr">
        <is>
          <t>醫師</t>
        </is>
      </c>
      <c r="E88" s="20" t="inlineStr">
        <is>
          <t>美學植牙專科</t>
        </is>
      </c>
      <c r="F88" s="21" t="inlineStr">
        <is>
          <t>晶匯院長</t>
        </is>
      </c>
      <c r="G88" s="21" t="inlineStr">
        <is>
          <t>晶匯</t>
        </is>
      </c>
      <c r="H88" s="20" t="inlineStr">
        <is>
          <t>晶悅 · 晶匯 · 寶貝牙</t>
        </is>
      </c>
      <c r="I88" s="21" t="inlineStr">
        <is>
          <t>PING-YUAN CHEN</t>
        </is>
      </c>
      <c r="J88" s="21" t="inlineStr"/>
      <c r="K88" s="20" t="inlineStr"/>
    </row>
    <row r="89">
      <c r="B89" s="21" t="inlineStr">
        <is>
          <t>D010</t>
        </is>
      </c>
      <c r="C89" s="21" t="inlineStr">
        <is>
          <t>蔡季軒</t>
        </is>
      </c>
      <c r="D89" s="21" t="inlineStr">
        <is>
          <t>醫師</t>
        </is>
      </c>
      <c r="E89" s="20" t="inlineStr"/>
      <c r="F89" s="21" t="inlineStr"/>
      <c r="G89" s="21" t="inlineStr">
        <is>
          <t>晶悅</t>
        </is>
      </c>
      <c r="H89" s="20" t="inlineStr">
        <is>
          <t>晶悅</t>
        </is>
      </c>
      <c r="I89" s="21" t="inlineStr">
        <is>
          <t>CHI-HSUAN TSAI</t>
        </is>
      </c>
      <c r="J89" s="21" t="inlineStr"/>
      <c r="K89" s="20" t="inlineStr"/>
    </row>
    <row r="90">
      <c r="B90" s="21" t="inlineStr">
        <is>
          <t>D011</t>
        </is>
      </c>
      <c r="C90" s="21" t="inlineStr">
        <is>
          <t>温健成</t>
        </is>
      </c>
      <c r="D90" s="21" t="inlineStr">
        <is>
          <t>醫師</t>
        </is>
      </c>
      <c r="E90" s="20" t="inlineStr"/>
      <c r="F90" s="21" t="inlineStr">
        <is>
          <t>晶睿院長</t>
        </is>
      </c>
      <c r="G90" s="21" t="inlineStr">
        <is>
          <t>晶睿</t>
        </is>
      </c>
      <c r="H90" s="20" t="inlineStr">
        <is>
          <t>晶睿 · 晶匯</t>
        </is>
      </c>
      <c r="I90" s="21" t="inlineStr">
        <is>
          <t>JIAN-CHENG WEN</t>
        </is>
      </c>
      <c r="J90" s="21" t="inlineStr"/>
      <c r="K90" s="20" t="inlineStr"/>
    </row>
    <row r="91">
      <c r="B91" s="21" t="inlineStr">
        <is>
          <t>D012</t>
        </is>
      </c>
      <c r="C91" s="21" t="inlineStr">
        <is>
          <t>陳立軒</t>
        </is>
      </c>
      <c r="D91" s="21" t="inlineStr">
        <is>
          <t>醫師</t>
        </is>
      </c>
      <c r="E91" s="20" t="inlineStr"/>
      <c r="F91" s="21" t="inlineStr"/>
      <c r="G91" s="21" t="inlineStr">
        <is>
          <t>晶睿</t>
        </is>
      </c>
      <c r="H91" s="20" t="inlineStr">
        <is>
          <t>晶睿 · 晶匯 · 晶曜</t>
        </is>
      </c>
      <c r="I91" s="21" t="inlineStr">
        <is>
          <t>LI-HSUAN CHEN</t>
        </is>
      </c>
      <c r="J91" s="21" t="inlineStr"/>
      <c r="K91" s="20" t="inlineStr"/>
    </row>
    <row r="92">
      <c r="B92" s="21" t="inlineStr">
        <is>
          <t>D013</t>
        </is>
      </c>
      <c r="C92" s="21" t="inlineStr">
        <is>
          <t>朱柏非</t>
        </is>
      </c>
      <c r="D92" s="21" t="inlineStr">
        <is>
          <t>醫師</t>
        </is>
      </c>
      <c r="E92" s="20" t="inlineStr"/>
      <c r="F92" s="21" t="inlineStr"/>
      <c r="G92" s="21" t="inlineStr">
        <is>
          <t>晶悅</t>
        </is>
      </c>
      <c r="H92" s="20" t="inlineStr">
        <is>
          <t>晶悅 · 晶匯 · 寶貝牙</t>
        </is>
      </c>
      <c r="I92" s="21" t="inlineStr">
        <is>
          <t>PO-FEI CHU</t>
        </is>
      </c>
      <c r="J92" s="21" t="inlineStr"/>
      <c r="K92" s="20" t="inlineStr"/>
    </row>
    <row r="93">
      <c r="B93" s="21" t="inlineStr">
        <is>
          <t>D014</t>
        </is>
      </c>
      <c r="C93" s="21" t="inlineStr">
        <is>
          <t>鄭漢賢</t>
        </is>
      </c>
      <c r="D93" s="21" t="inlineStr">
        <is>
          <t>醫師</t>
        </is>
      </c>
      <c r="E93" s="20" t="inlineStr"/>
      <c r="F93" s="21" t="inlineStr"/>
      <c r="G93" s="21" t="inlineStr">
        <is>
          <t>晶悅</t>
        </is>
      </c>
      <c r="H93" s="20" t="inlineStr">
        <is>
          <t>晶悅 · 晶匯</t>
        </is>
      </c>
      <c r="I93" s="21" t="inlineStr">
        <is>
          <t>HON-YIN CHENG</t>
        </is>
      </c>
      <c r="J93" s="21" t="inlineStr"/>
      <c r="K93" s="20" t="inlineStr"/>
    </row>
    <row r="94">
      <c r="B94" s="21" t="inlineStr">
        <is>
          <t>D015</t>
        </is>
      </c>
      <c r="C94" s="21" t="inlineStr">
        <is>
          <t>徐平</t>
        </is>
      </c>
      <c r="D94" s="21" t="inlineStr">
        <is>
          <t>醫師</t>
        </is>
      </c>
      <c r="E94" s="20" t="inlineStr"/>
      <c r="F94" s="21" t="inlineStr"/>
      <c r="G94" s="21" t="inlineStr">
        <is>
          <t>晶悅</t>
        </is>
      </c>
      <c r="H94" s="20" t="inlineStr">
        <is>
          <t>晶悅 · 晶曜</t>
        </is>
      </c>
      <c r="I94" s="21" t="inlineStr">
        <is>
          <t>PING HSU</t>
        </is>
      </c>
      <c r="J94" s="21" t="inlineStr"/>
      <c r="K94" s="20" t="inlineStr"/>
    </row>
    <row r="95">
      <c r="B95" s="21" t="inlineStr">
        <is>
          <t>D016</t>
        </is>
      </c>
      <c r="C95" s="21" t="inlineStr">
        <is>
          <t>賴敏傑</t>
        </is>
      </c>
      <c r="D95" s="21" t="inlineStr">
        <is>
          <t>醫師</t>
        </is>
      </c>
      <c r="E95" s="20" t="inlineStr"/>
      <c r="F95" s="21" t="inlineStr"/>
      <c r="G95" s="21" t="inlineStr">
        <is>
          <t>晶睿</t>
        </is>
      </c>
      <c r="H95" s="20" t="inlineStr">
        <is>
          <t>晶睿</t>
        </is>
      </c>
      <c r="I95" s="21" t="inlineStr">
        <is>
          <t>MIN-CHIEH LAI</t>
        </is>
      </c>
      <c r="J95" s="21" t="inlineStr"/>
      <c r="K95" s="20" t="inlineStr"/>
    </row>
    <row r="96">
      <c r="B96" s="21" t="inlineStr">
        <is>
          <t>D017</t>
        </is>
      </c>
      <c r="C96" s="21" t="inlineStr">
        <is>
          <t>吳柏賢</t>
        </is>
      </c>
      <c r="D96" s="21" t="inlineStr">
        <is>
          <t>醫師</t>
        </is>
      </c>
      <c r="E96" s="20" t="inlineStr"/>
      <c r="F96" s="21" t="inlineStr"/>
      <c r="G96" s="21" t="inlineStr">
        <is>
          <t>晶睿</t>
        </is>
      </c>
      <c r="H96" s="20" t="inlineStr">
        <is>
          <t>晶睿 · 晶曜</t>
        </is>
      </c>
      <c r="I96" s="21" t="inlineStr">
        <is>
          <t>BO-XIAN WU</t>
        </is>
      </c>
      <c r="J96" s="21" t="inlineStr"/>
      <c r="K96" s="20" t="inlineStr"/>
    </row>
    <row r="97">
      <c r="B97" s="21" t="inlineStr">
        <is>
          <t>D018</t>
        </is>
      </c>
      <c r="C97" s="21" t="inlineStr">
        <is>
          <t>許博諺</t>
        </is>
      </c>
      <c r="D97" s="21" t="inlineStr">
        <is>
          <t>醫師</t>
        </is>
      </c>
      <c r="E97" s="20" t="inlineStr"/>
      <c r="F97" s="21" t="inlineStr"/>
      <c r="G97" s="21" t="inlineStr">
        <is>
          <t>晶睿</t>
        </is>
      </c>
      <c r="H97" s="20" t="inlineStr">
        <is>
          <t>晶睿 · 晶曜</t>
        </is>
      </c>
      <c r="I97" s="21" t="inlineStr">
        <is>
          <t>PO-YEN HSU</t>
        </is>
      </c>
      <c r="J97" s="21" t="inlineStr"/>
      <c r="K97" s="20" t="inlineStr"/>
    </row>
    <row r="98">
      <c r="B98" s="21" t="inlineStr">
        <is>
          <t>D019</t>
        </is>
      </c>
      <c r="C98" s="21" t="inlineStr">
        <is>
          <t>翁崎紘</t>
        </is>
      </c>
      <c r="D98" s="21" t="inlineStr">
        <is>
          <t>醫師</t>
        </is>
      </c>
      <c r="E98" s="20" t="inlineStr"/>
      <c r="F98" s="21" t="inlineStr"/>
      <c r="G98" s="21" t="inlineStr">
        <is>
          <t>晶悅</t>
        </is>
      </c>
      <c r="H98" s="20" t="inlineStr">
        <is>
          <t>晶悅</t>
        </is>
      </c>
      <c r="I98" s="21" t="inlineStr">
        <is>
          <t>CHI-HONG WENG</t>
        </is>
      </c>
      <c r="J98" s="21" t="inlineStr"/>
      <c r="K98" s="20" t="inlineStr"/>
    </row>
    <row r="99">
      <c r="B99" s="21" t="inlineStr">
        <is>
          <t>D020</t>
        </is>
      </c>
      <c r="C99" s="21" t="inlineStr">
        <is>
          <t>余柏萱</t>
        </is>
      </c>
      <c r="D99" s="21" t="inlineStr">
        <is>
          <t>醫師</t>
        </is>
      </c>
      <c r="E99" s="20" t="inlineStr"/>
      <c r="F99" s="21" t="inlineStr"/>
      <c r="G99" s="21" t="inlineStr">
        <is>
          <t>晶睿</t>
        </is>
      </c>
      <c r="H99" s="20" t="inlineStr">
        <is>
          <t>晶睿 · 寶貝牙</t>
        </is>
      </c>
      <c r="I99" s="21" t="inlineStr">
        <is>
          <t>PO-HSUAN YU</t>
        </is>
      </c>
      <c r="J99" s="21" t="inlineStr"/>
      <c r="K99" s="20" t="inlineStr"/>
    </row>
    <row r="100">
      <c r="B100" s="21" t="inlineStr">
        <is>
          <t>D021</t>
        </is>
      </c>
      <c r="C100" s="21" t="inlineStr">
        <is>
          <t>鄭博文</t>
        </is>
      </c>
      <c r="D100" s="21" t="inlineStr">
        <is>
          <t>醫師</t>
        </is>
      </c>
      <c r="E100" s="20" t="inlineStr"/>
      <c r="F100" s="21" t="inlineStr"/>
      <c r="G100" s="21" t="inlineStr">
        <is>
          <t>晶悅</t>
        </is>
      </c>
      <c r="H100" s="20" t="inlineStr">
        <is>
          <t>晶悅</t>
        </is>
      </c>
      <c r="I100" s="21" t="inlineStr">
        <is>
          <t>PO-WEN CHENG</t>
        </is>
      </c>
      <c r="J100" s="21" t="inlineStr"/>
      <c r="K100" s="20" t="inlineStr"/>
    </row>
    <row r="101">
      <c r="B101" s="21" t="inlineStr">
        <is>
          <t>D022</t>
        </is>
      </c>
      <c r="C101" s="21" t="inlineStr">
        <is>
          <t>黃育亭</t>
        </is>
      </c>
      <c r="D101" s="21" t="inlineStr">
        <is>
          <t>醫師</t>
        </is>
      </c>
      <c r="E101" s="20" t="inlineStr">
        <is>
          <t>兒童</t>
        </is>
      </c>
      <c r="F101" s="21" t="inlineStr">
        <is>
          <t>寶貝牙院長</t>
        </is>
      </c>
      <c r="G101" s="21" t="inlineStr">
        <is>
          <t>寶貝牙</t>
        </is>
      </c>
      <c r="H101" s="20" t="inlineStr">
        <is>
          <t>寶貝牙</t>
        </is>
      </c>
      <c r="I101" s="21" t="inlineStr">
        <is>
          <t>YU-TING HUANG</t>
        </is>
      </c>
      <c r="J101" s="21" t="inlineStr"/>
      <c r="K101" s="20" t="inlineStr"/>
    </row>
    <row r="102">
      <c r="B102" s="21" t="inlineStr">
        <is>
          <t>D023</t>
        </is>
      </c>
      <c r="C102" s="21" t="inlineStr">
        <is>
          <t>黃婷愉</t>
        </is>
      </c>
      <c r="D102" s="21" t="inlineStr">
        <is>
          <t>醫師</t>
        </is>
      </c>
      <c r="E102" s="20" t="inlineStr">
        <is>
          <t>口外</t>
        </is>
      </c>
      <c r="F102" s="21" t="inlineStr"/>
      <c r="G102" s="21" t="inlineStr">
        <is>
          <t>寶貝牙</t>
        </is>
      </c>
      <c r="H102" s="20" t="inlineStr">
        <is>
          <t>寶貝牙</t>
        </is>
      </c>
      <c r="I102" s="21" t="inlineStr">
        <is>
          <t>TING-YU HUANG</t>
        </is>
      </c>
      <c r="J102" s="21" t="inlineStr"/>
      <c r="K102" s="20" t="inlineStr"/>
    </row>
    <row r="103">
      <c r="B103" s="21" t="inlineStr">
        <is>
          <t>D024</t>
        </is>
      </c>
      <c r="C103" s="21" t="inlineStr">
        <is>
          <t>林紓安</t>
        </is>
      </c>
      <c r="D103" s="21" t="inlineStr">
        <is>
          <t>醫師</t>
        </is>
      </c>
      <c r="E103" s="20" t="inlineStr">
        <is>
          <t>兒童</t>
        </is>
      </c>
      <c r="F103" s="21" t="inlineStr"/>
      <c r="G103" s="21" t="inlineStr">
        <is>
          <t>晶匯</t>
        </is>
      </c>
      <c r="H103" s="20" t="inlineStr">
        <is>
          <t>晶匯 · 寶貝牙</t>
        </is>
      </c>
      <c r="I103" s="21" t="inlineStr">
        <is>
          <t>SHU-AN LIN</t>
        </is>
      </c>
      <c r="J103" s="21" t="inlineStr"/>
      <c r="K103" s="20" t="inlineStr"/>
    </row>
    <row r="104">
      <c r="B104" s="21" t="inlineStr">
        <is>
          <t>D025</t>
        </is>
      </c>
      <c r="C104" s="21" t="inlineStr">
        <is>
          <t>陳爵安</t>
        </is>
      </c>
      <c r="D104" s="21" t="inlineStr">
        <is>
          <t>醫師</t>
        </is>
      </c>
      <c r="E104" s="20" t="inlineStr"/>
      <c r="F104" s="21" t="inlineStr"/>
      <c r="G104" s="21" t="inlineStr">
        <is>
          <t>晶睿</t>
        </is>
      </c>
      <c r="H104" s="20" t="inlineStr">
        <is>
          <t>晶睿</t>
        </is>
      </c>
      <c r="I104" s="21" t="inlineStr"/>
      <c r="J104" s="21" t="inlineStr"/>
      <c r="K104" s="20" t="inlineStr"/>
    </row>
    <row r="105">
      <c r="B105" s="21" t="inlineStr">
        <is>
          <t>D026</t>
        </is>
      </c>
      <c r="C105" s="21" t="inlineStr">
        <is>
          <t>吳冠廷</t>
        </is>
      </c>
      <c r="D105" s="21" t="inlineStr">
        <is>
          <t>醫師</t>
        </is>
      </c>
      <c r="E105" s="20" t="inlineStr"/>
      <c r="F105" s="21" t="inlineStr"/>
      <c r="G105" s="21" t="inlineStr">
        <is>
          <t>晶匯</t>
        </is>
      </c>
      <c r="H105" s="20" t="inlineStr">
        <is>
          <t>晶匯</t>
        </is>
      </c>
      <c r="I105" s="21" t="inlineStr"/>
      <c r="J105" s="21" t="inlineStr"/>
      <c r="K105" s="20" t="inlineStr"/>
    </row>
    <row r="106">
      <c r="B106" s="21" t="inlineStr">
        <is>
          <t>D027</t>
        </is>
      </c>
      <c r="C106" s="21" t="inlineStr">
        <is>
          <t>楊孟庭</t>
        </is>
      </c>
      <c r="D106" s="21" t="inlineStr">
        <is>
          <t>醫師</t>
        </is>
      </c>
      <c r="E106" s="20" t="inlineStr"/>
      <c r="F106" s="21" t="inlineStr"/>
      <c r="G106" s="21" t="inlineStr">
        <is>
          <t>晶匯</t>
        </is>
      </c>
      <c r="H106" s="20" t="inlineStr">
        <is>
          <t>晶匯</t>
        </is>
      </c>
      <c r="I106" s="21" t="inlineStr"/>
      <c r="J106" s="21" t="inlineStr"/>
      <c r="K106" s="20" t="inlineStr"/>
    </row>
    <row r="107">
      <c r="B107" s="22" t="inlineStr"/>
      <c r="C107" s="22" t="inlineStr"/>
      <c r="D107" s="22" t="inlineStr"/>
      <c r="E107" s="30" t="inlineStr"/>
      <c r="F107" s="22" t="inlineStr"/>
      <c r="G107" s="22" t="inlineStr"/>
      <c r="H107" s="30" t="inlineStr"/>
      <c r="I107" s="22" t="inlineStr"/>
      <c r="J107" s="22" t="inlineStr"/>
      <c r="K107" s="30" t="inlineStr"/>
    </row>
    <row r="108">
      <c r="B108" s="22" t="inlineStr"/>
      <c r="C108" s="22" t="inlineStr"/>
      <c r="D108" s="22" t="inlineStr"/>
      <c r="E108" s="30" t="inlineStr"/>
      <c r="F108" s="22" t="inlineStr"/>
      <c r="G108" s="22" t="inlineStr"/>
      <c r="H108" s="30" t="inlineStr"/>
      <c r="I108" s="22" t="inlineStr"/>
      <c r="J108" s="22" t="inlineStr"/>
      <c r="K108" s="30" t="inlineStr"/>
    </row>
    <row r="109">
      <c r="B109" s="22" t="inlineStr"/>
      <c r="C109" s="22" t="inlineStr"/>
      <c r="D109" s="22" t="inlineStr"/>
      <c r="E109" s="30" t="inlineStr"/>
      <c r="F109" s="22" t="inlineStr"/>
      <c r="G109" s="22" t="inlineStr"/>
      <c r="H109" s="30" t="inlineStr"/>
      <c r="I109" s="22" t="inlineStr"/>
      <c r="J109" s="22" t="inlineStr"/>
      <c r="K109" s="30" t="inlineStr"/>
    </row>
    <row r="110">
      <c r="B110" s="22" t="inlineStr"/>
      <c r="C110" s="22" t="inlineStr"/>
      <c r="D110" s="22" t="inlineStr"/>
      <c r="E110" s="30" t="inlineStr"/>
      <c r="F110" s="22" t="inlineStr"/>
      <c r="G110" s="22" t="inlineStr"/>
      <c r="H110" s="30" t="inlineStr"/>
      <c r="I110" s="22" t="inlineStr"/>
      <c r="J110" s="22" t="inlineStr"/>
      <c r="K110" s="30" t="inlineStr"/>
    </row>
    <row r="111">
      <c r="B111" s="22" t="inlineStr"/>
      <c r="C111" s="22" t="inlineStr"/>
      <c r="D111" s="22" t="inlineStr"/>
      <c r="E111" s="30" t="inlineStr"/>
      <c r="F111" s="22" t="inlineStr"/>
      <c r="G111" s="22" t="inlineStr"/>
      <c r="H111" s="30" t="inlineStr"/>
      <c r="I111" s="22" t="inlineStr"/>
      <c r="J111" s="22" t="inlineStr"/>
      <c r="K111" s="30" t="inlineStr"/>
    </row>
    <row r="112">
      <c r="B112" s="22" t="inlineStr"/>
      <c r="C112" s="22" t="inlineStr"/>
      <c r="D112" s="22" t="inlineStr"/>
      <c r="E112" s="30" t="inlineStr"/>
      <c r="F112" s="22" t="inlineStr"/>
      <c r="G112" s="22" t="inlineStr"/>
      <c r="H112" s="30" t="inlineStr"/>
      <c r="I112" s="22" t="inlineStr"/>
      <c r="J112" s="22" t="inlineStr"/>
      <c r="K112" s="30" t="inlineStr"/>
    </row>
    <row r="113">
      <c r="B113" s="22" t="inlineStr"/>
      <c r="C113" s="22" t="inlineStr"/>
      <c r="D113" s="22" t="inlineStr"/>
      <c r="E113" s="30" t="inlineStr"/>
      <c r="F113" s="22" t="inlineStr"/>
      <c r="G113" s="22" t="inlineStr"/>
      <c r="H113" s="30" t="inlineStr"/>
      <c r="I113" s="22" t="inlineStr"/>
      <c r="J113" s="22" t="inlineStr"/>
      <c r="K113" s="30" t="inlineStr"/>
    </row>
    <row r="114">
      <c r="B114" s="22" t="inlineStr"/>
      <c r="C114" s="22" t="inlineStr"/>
      <c r="D114" s="22" t="inlineStr"/>
      <c r="E114" s="30" t="inlineStr"/>
      <c r="F114" s="22" t="inlineStr"/>
      <c r="G114" s="22" t="inlineStr"/>
      <c r="H114" s="30" t="inlineStr"/>
      <c r="I114" s="22" t="inlineStr"/>
      <c r="J114" s="22" t="inlineStr"/>
      <c r="K114" s="30" t="inlineStr"/>
    </row>
    <row r="115">
      <c r="B115" s="22" t="inlineStr"/>
      <c r="C115" s="22" t="inlineStr"/>
      <c r="D115" s="22" t="inlineStr"/>
      <c r="E115" s="30" t="inlineStr"/>
      <c r="F115" s="22" t="inlineStr"/>
      <c r="G115" s="22" t="inlineStr"/>
      <c r="H115" s="30" t="inlineStr"/>
      <c r="I115" s="22" t="inlineStr"/>
      <c r="J115" s="22" t="inlineStr"/>
      <c r="K115" s="30" t="inlineStr"/>
    </row>
    <row r="116">
      <c r="B116" s="22" t="inlineStr"/>
      <c r="C116" s="22" t="inlineStr"/>
      <c r="D116" s="22" t="inlineStr"/>
      <c r="E116" s="30" t="inlineStr"/>
      <c r="F116" s="22" t="inlineStr"/>
      <c r="G116" s="22" t="inlineStr"/>
      <c r="H116" s="30" t="inlineStr"/>
      <c r="I116" s="22" t="inlineStr"/>
      <c r="J116" s="22" t="inlineStr"/>
      <c r="K116" s="30" t="inlineStr"/>
    </row>
    <row r="117">
      <c r="B117" s="22" t="inlineStr"/>
      <c r="C117" s="22" t="inlineStr"/>
      <c r="D117" s="22" t="inlineStr"/>
      <c r="E117" s="30" t="inlineStr"/>
      <c r="F117" s="22" t="inlineStr"/>
      <c r="G117" s="22" t="inlineStr"/>
      <c r="H117" s="30" t="inlineStr"/>
      <c r="I117" s="22" t="inlineStr"/>
      <c r="J117" s="22" t="inlineStr"/>
      <c r="K117" s="30" t="inlineStr"/>
    </row>
    <row r="118">
      <c r="B118" s="22" t="inlineStr"/>
      <c r="C118" s="22" t="inlineStr"/>
      <c r="D118" s="22" t="inlineStr"/>
      <c r="E118" s="30" t="inlineStr"/>
      <c r="F118" s="22" t="inlineStr"/>
      <c r="G118" s="22" t="inlineStr"/>
      <c r="H118" s="30" t="inlineStr"/>
      <c r="I118" s="22" t="inlineStr"/>
      <c r="J118" s="22" t="inlineStr"/>
      <c r="K118" s="30" t="inlineStr"/>
    </row>
    <row r="119">
      <c r="B119" s="22" t="inlineStr"/>
      <c r="C119" s="22" t="inlineStr"/>
      <c r="D119" s="22" t="inlineStr"/>
      <c r="E119" s="30" t="inlineStr"/>
      <c r="F119" s="22" t="inlineStr"/>
      <c r="G119" s="22" t="inlineStr"/>
      <c r="H119" s="30" t="inlineStr"/>
      <c r="I119" s="22" t="inlineStr"/>
      <c r="J119" s="22" t="inlineStr"/>
      <c r="K119" s="30" t="inlineStr"/>
    </row>
    <row r="120">
      <c r="B120" s="22" t="inlineStr"/>
      <c r="C120" s="22" t="inlineStr"/>
      <c r="D120" s="22" t="inlineStr"/>
      <c r="E120" s="30" t="inlineStr"/>
      <c r="F120" s="22" t="inlineStr"/>
      <c r="G120" s="22" t="inlineStr"/>
      <c r="H120" s="30" t="inlineStr"/>
      <c r="I120" s="22" t="inlineStr"/>
      <c r="J120" s="22" t="inlineStr"/>
      <c r="K120" s="30" t="inlineStr"/>
    </row>
    <row r="121">
      <c r="B121" s="22" t="inlineStr"/>
      <c r="C121" s="22" t="inlineStr"/>
      <c r="D121" s="22" t="inlineStr"/>
      <c r="E121" s="30" t="inlineStr"/>
      <c r="F121" s="22" t="inlineStr"/>
      <c r="G121" s="22" t="inlineStr"/>
      <c r="H121" s="30" t="inlineStr"/>
      <c r="I121" s="22" t="inlineStr"/>
      <c r="J121" s="22" t="inlineStr"/>
      <c r="K121" s="30" t="inlineStr"/>
    </row>
    <row r="122">
      <c r="B122" s="22" t="inlineStr"/>
      <c r="C122" s="22" t="inlineStr"/>
      <c r="D122" s="22" t="inlineStr"/>
      <c r="E122" s="30" t="inlineStr"/>
      <c r="F122" s="22" t="inlineStr"/>
      <c r="G122" s="22" t="inlineStr"/>
      <c r="H122" s="30" t="inlineStr"/>
      <c r="I122" s="22" t="inlineStr"/>
      <c r="J122" s="22" t="inlineStr"/>
      <c r="K122" s="30" t="inlineStr"/>
    </row>
    <row r="123">
      <c r="B123" s="22" t="inlineStr"/>
      <c r="C123" s="22" t="inlineStr"/>
      <c r="D123" s="22" t="inlineStr"/>
      <c r="E123" s="30" t="inlineStr"/>
      <c r="F123" s="22" t="inlineStr"/>
      <c r="G123" s="22" t="inlineStr"/>
      <c r="H123" s="30" t="inlineStr"/>
      <c r="I123" s="22" t="inlineStr"/>
      <c r="J123" s="22" t="inlineStr"/>
      <c r="K123" s="30" t="inlineStr"/>
    </row>
    <row r="124">
      <c r="B124" s="22" t="inlineStr"/>
      <c r="C124" s="22" t="inlineStr"/>
      <c r="D124" s="22" t="inlineStr"/>
      <c r="E124" s="30" t="inlineStr"/>
      <c r="F124" s="22" t="inlineStr"/>
      <c r="G124" s="22" t="inlineStr"/>
      <c r="H124" s="30" t="inlineStr"/>
      <c r="I124" s="22" t="inlineStr"/>
      <c r="J124" s="22" t="inlineStr"/>
      <c r="K124" s="30" t="inlineStr"/>
    </row>
    <row r="125">
      <c r="B125" s="22" t="inlineStr"/>
      <c r="C125" s="22" t="inlineStr"/>
      <c r="D125" s="22" t="inlineStr"/>
      <c r="E125" s="30" t="inlineStr"/>
      <c r="F125" s="22" t="inlineStr"/>
      <c r="G125" s="22" t="inlineStr"/>
      <c r="H125" s="30" t="inlineStr"/>
      <c r="I125" s="22" t="inlineStr"/>
      <c r="J125" s="22" t="inlineStr"/>
      <c r="K125" s="30" t="inlineStr"/>
    </row>
    <row r="126">
      <c r="B126" s="22" t="inlineStr"/>
      <c r="C126" s="22" t="inlineStr"/>
      <c r="D126" s="22" t="inlineStr"/>
      <c r="E126" s="30" t="inlineStr"/>
      <c r="F126" s="22" t="inlineStr"/>
      <c r="G126" s="22" t="inlineStr"/>
      <c r="H126" s="30" t="inlineStr"/>
      <c r="I126" s="22" t="inlineStr"/>
      <c r="J126" s="22" t="inlineStr"/>
      <c r="K126" s="30" t="inlineStr"/>
    </row>
    <row r="127">
      <c r="B127" s="22" t="inlineStr"/>
      <c r="C127" s="22" t="inlineStr"/>
      <c r="D127" s="22" t="inlineStr"/>
      <c r="E127" s="30" t="inlineStr"/>
      <c r="F127" s="22" t="inlineStr"/>
      <c r="G127" s="22" t="inlineStr"/>
      <c r="H127" s="30" t="inlineStr"/>
      <c r="I127" s="22" t="inlineStr"/>
      <c r="J127" s="22" t="inlineStr"/>
      <c r="K127" s="30" t="inlineStr"/>
    </row>
    <row r="128">
      <c r="B128" s="22" t="inlineStr"/>
      <c r="C128" s="22" t="inlineStr"/>
      <c r="D128" s="22" t="inlineStr"/>
      <c r="E128" s="30" t="inlineStr"/>
      <c r="F128" s="22" t="inlineStr"/>
      <c r="G128" s="22" t="inlineStr"/>
      <c r="H128" s="30" t="inlineStr"/>
      <c r="I128" s="22" t="inlineStr"/>
      <c r="J128" s="22" t="inlineStr"/>
      <c r="K128" s="30" t="inlineStr"/>
    </row>
    <row r="129">
      <c r="B129" s="22" t="inlineStr"/>
      <c r="C129" s="22" t="inlineStr"/>
      <c r="D129" s="22" t="inlineStr"/>
      <c r="E129" s="30" t="inlineStr"/>
      <c r="F129" s="22" t="inlineStr"/>
      <c r="G129" s="22" t="inlineStr"/>
      <c r="H129" s="30" t="inlineStr"/>
      <c r="I129" s="22" t="inlineStr"/>
      <c r="J129" s="22" t="inlineStr"/>
      <c r="K129" s="30" t="inlineStr"/>
    </row>
    <row r="130">
      <c r="B130" s="22" t="inlineStr"/>
      <c r="C130" s="22" t="inlineStr"/>
      <c r="D130" s="22" t="inlineStr"/>
      <c r="E130" s="30" t="inlineStr"/>
      <c r="F130" s="22" t="inlineStr"/>
      <c r="G130" s="22" t="inlineStr"/>
      <c r="H130" s="30" t="inlineStr"/>
      <c r="I130" s="22" t="inlineStr"/>
      <c r="J130" s="22" t="inlineStr"/>
      <c r="K130" s="30" t="inlineStr"/>
    </row>
    <row r="131">
      <c r="B131" s="22" t="inlineStr"/>
      <c r="C131" s="22" t="inlineStr"/>
      <c r="D131" s="22" t="inlineStr"/>
      <c r="E131" s="30" t="inlineStr"/>
      <c r="F131" s="22" t="inlineStr"/>
      <c r="G131" s="22" t="inlineStr"/>
      <c r="H131" s="30" t="inlineStr"/>
      <c r="I131" s="22" t="inlineStr"/>
      <c r="J131" s="22" t="inlineStr"/>
      <c r="K131" s="30" t="inlineStr"/>
    </row>
    <row r="132">
      <c r="B132" s="22" t="inlineStr"/>
      <c r="C132" s="22" t="inlineStr"/>
      <c r="D132" s="22" t="inlineStr"/>
      <c r="E132" s="30" t="inlineStr"/>
      <c r="F132" s="22" t="inlineStr"/>
      <c r="G132" s="22" t="inlineStr"/>
      <c r="H132" s="30" t="inlineStr"/>
      <c r="I132" s="22" t="inlineStr"/>
      <c r="J132" s="22" t="inlineStr"/>
      <c r="K132" s="30" t="inlineStr"/>
    </row>
    <row r="133">
      <c r="B133" s="22" t="inlineStr"/>
      <c r="C133" s="22" t="inlineStr"/>
      <c r="D133" s="22" t="inlineStr"/>
      <c r="E133" s="30" t="inlineStr"/>
      <c r="F133" s="22" t="inlineStr"/>
      <c r="G133" s="22" t="inlineStr"/>
      <c r="H133" s="30" t="inlineStr"/>
      <c r="I133" s="22" t="inlineStr"/>
      <c r="J133" s="22" t="inlineStr"/>
      <c r="K133" s="30" t="inlineStr"/>
    </row>
    <row r="134">
      <c r="B134" s="22" t="inlineStr"/>
      <c r="C134" s="22" t="inlineStr"/>
      <c r="D134" s="22" t="inlineStr"/>
      <c r="E134" s="30" t="inlineStr"/>
      <c r="F134" s="22" t="inlineStr"/>
      <c r="G134" s="22" t="inlineStr"/>
      <c r="H134" s="30" t="inlineStr"/>
      <c r="I134" s="22" t="inlineStr"/>
      <c r="J134" s="22" t="inlineStr"/>
      <c r="K134" s="30" t="inlineStr"/>
    </row>
    <row r="135">
      <c r="B135" s="22" t="inlineStr"/>
      <c r="C135" s="22" t="inlineStr"/>
      <c r="D135" s="22" t="inlineStr"/>
      <c r="E135" s="30" t="inlineStr"/>
      <c r="F135" s="22" t="inlineStr"/>
      <c r="G135" s="22" t="inlineStr"/>
      <c r="H135" s="30" t="inlineStr"/>
      <c r="I135" s="22" t="inlineStr"/>
      <c r="J135" s="22" t="inlineStr"/>
      <c r="K135" s="30" t="inlineStr"/>
    </row>
    <row r="136">
      <c r="B136" s="22" t="inlineStr"/>
      <c r="C136" s="22" t="inlineStr"/>
      <c r="D136" s="22" t="inlineStr"/>
      <c r="E136" s="30" t="inlineStr"/>
      <c r="F136" s="22" t="inlineStr"/>
      <c r="G136" s="22" t="inlineStr"/>
      <c r="H136" s="30" t="inlineStr"/>
      <c r="I136" s="22" t="inlineStr"/>
      <c r="J136" s="22" t="inlineStr"/>
      <c r="K136" s="30" t="inlineStr"/>
    </row>
    <row r="137">
      <c r="B137" s="22" t="inlineStr"/>
      <c r="C137" s="22" t="inlineStr"/>
      <c r="D137" s="22" t="inlineStr"/>
      <c r="E137" s="30" t="inlineStr"/>
      <c r="F137" s="22" t="inlineStr"/>
      <c r="G137" s="22" t="inlineStr"/>
      <c r="H137" s="30" t="inlineStr"/>
      <c r="I137" s="22" t="inlineStr"/>
      <c r="J137" s="22" t="inlineStr"/>
      <c r="K137" s="30" t="inlineStr"/>
    </row>
    <row r="138">
      <c r="B138" s="22" t="inlineStr"/>
      <c r="C138" s="22" t="inlineStr"/>
      <c r="D138" s="22" t="inlineStr"/>
      <c r="E138" s="30" t="inlineStr"/>
      <c r="F138" s="22" t="inlineStr"/>
      <c r="G138" s="22" t="inlineStr"/>
      <c r="H138" s="30" t="inlineStr"/>
      <c r="I138" s="22" t="inlineStr"/>
      <c r="J138" s="22" t="inlineStr"/>
      <c r="K138" s="30" t="inlineStr"/>
    </row>
    <row r="139">
      <c r="B139" s="22" t="inlineStr"/>
      <c r="C139" s="22" t="inlineStr"/>
      <c r="D139" s="22" t="inlineStr"/>
      <c r="E139" s="30" t="inlineStr"/>
      <c r="F139" s="22" t="inlineStr"/>
      <c r="G139" s="22" t="inlineStr"/>
      <c r="H139" s="30" t="inlineStr"/>
      <c r="I139" s="22" t="inlineStr"/>
      <c r="J139" s="22" t="inlineStr"/>
      <c r="K139" s="30" t="inlineStr"/>
    </row>
    <row r="140">
      <c r="B140" s="22" t="inlineStr"/>
      <c r="C140" s="22" t="inlineStr"/>
      <c r="D140" s="22" t="inlineStr"/>
      <c r="E140" s="30" t="inlineStr"/>
      <c r="F140" s="22" t="inlineStr"/>
      <c r="G140" s="22" t="inlineStr"/>
      <c r="H140" s="30" t="inlineStr"/>
      <c r="I140" s="22" t="inlineStr"/>
      <c r="J140" s="22" t="inlineStr"/>
      <c r="K140" s="30" t="inlineStr"/>
    </row>
    <row r="141">
      <c r="B141" s="22" t="inlineStr"/>
      <c r="C141" s="22" t="inlineStr"/>
      <c r="D141" s="22" t="inlineStr"/>
      <c r="E141" s="30" t="inlineStr"/>
      <c r="F141" s="22" t="inlineStr"/>
      <c r="G141" s="22" t="inlineStr"/>
      <c r="H141" s="30" t="inlineStr"/>
      <c r="I141" s="22" t="inlineStr"/>
      <c r="J141" s="22" t="inlineStr"/>
      <c r="K141" s="30" t="inlineStr"/>
    </row>
    <row r="142">
      <c r="B142" s="22" t="inlineStr"/>
      <c r="C142" s="22" t="inlineStr"/>
      <c r="D142" s="22" t="inlineStr"/>
      <c r="E142" s="30" t="inlineStr"/>
      <c r="F142" s="22" t="inlineStr"/>
      <c r="G142" s="22" t="inlineStr"/>
      <c r="H142" s="30" t="inlineStr"/>
      <c r="I142" s="22" t="inlineStr"/>
      <c r="J142" s="22" t="inlineStr"/>
      <c r="K142" s="30" t="inlineStr"/>
    </row>
    <row r="143">
      <c r="B143" s="22" t="inlineStr"/>
      <c r="C143" s="22" t="inlineStr"/>
      <c r="D143" s="22" t="inlineStr"/>
      <c r="E143" s="30" t="inlineStr"/>
      <c r="F143" s="22" t="inlineStr"/>
      <c r="G143" s="22" t="inlineStr"/>
      <c r="H143" s="30" t="inlineStr"/>
      <c r="I143" s="22" t="inlineStr"/>
      <c r="J143" s="22" t="inlineStr"/>
      <c r="K143" s="30" t="inlineStr"/>
    </row>
    <row r="144">
      <c r="B144" s="22" t="inlineStr"/>
      <c r="C144" s="22" t="inlineStr"/>
      <c r="D144" s="22" t="inlineStr"/>
      <c r="E144" s="30" t="inlineStr"/>
      <c r="F144" s="22" t="inlineStr"/>
      <c r="G144" s="22" t="inlineStr"/>
      <c r="H144" s="30" t="inlineStr"/>
      <c r="I144" s="22" t="inlineStr"/>
      <c r="J144" s="22" t="inlineStr"/>
      <c r="K144" s="30" t="inlineStr"/>
    </row>
    <row r="145">
      <c r="B145" s="22" t="inlineStr"/>
      <c r="C145" s="22" t="inlineStr"/>
      <c r="D145" s="22" t="inlineStr"/>
      <c r="E145" s="30" t="inlineStr"/>
      <c r="F145" s="22" t="inlineStr"/>
      <c r="G145" s="22" t="inlineStr"/>
      <c r="H145" s="30" t="inlineStr"/>
      <c r="I145" s="22" t="inlineStr"/>
      <c r="J145" s="22" t="inlineStr"/>
      <c r="K145" s="30" t="inlineStr"/>
    </row>
    <row r="146">
      <c r="B146" s="22" t="inlineStr"/>
      <c r="C146" s="22" t="inlineStr"/>
      <c r="D146" s="22" t="inlineStr"/>
      <c r="E146" s="30" t="inlineStr"/>
      <c r="F146" s="22" t="inlineStr"/>
      <c r="G146" s="22" t="inlineStr"/>
      <c r="H146" s="30" t="inlineStr"/>
      <c r="I146" s="22" t="inlineStr"/>
      <c r="J146" s="22" t="inlineStr"/>
      <c r="K146" s="30" t="inlineStr"/>
    </row>
    <row r="147">
      <c r="B147" s="22" t="inlineStr"/>
      <c r="C147" s="22" t="inlineStr"/>
      <c r="D147" s="22" t="inlineStr"/>
      <c r="E147" s="30" t="inlineStr"/>
      <c r="F147" s="22" t="inlineStr"/>
      <c r="G147" s="22" t="inlineStr"/>
      <c r="H147" s="30" t="inlineStr"/>
      <c r="I147" s="22" t="inlineStr"/>
      <c r="J147" s="22" t="inlineStr"/>
      <c r="K147" s="30" t="inlineStr"/>
    </row>
    <row r="148">
      <c r="B148" s="22" t="inlineStr"/>
      <c r="C148" s="22" t="inlineStr"/>
      <c r="D148" s="22" t="inlineStr"/>
      <c r="E148" s="30" t="inlineStr"/>
      <c r="F148" s="22" t="inlineStr"/>
      <c r="G148" s="22" t="inlineStr"/>
      <c r="H148" s="30" t="inlineStr"/>
      <c r="I148" s="22" t="inlineStr"/>
      <c r="J148" s="22" t="inlineStr"/>
      <c r="K148" s="30" t="inlineStr"/>
    </row>
    <row r="149">
      <c r="B149" s="22" t="inlineStr"/>
      <c r="C149" s="22" t="inlineStr"/>
      <c r="D149" s="22" t="inlineStr"/>
      <c r="E149" s="30" t="inlineStr"/>
      <c r="F149" s="22" t="inlineStr"/>
      <c r="G149" s="22" t="inlineStr"/>
      <c r="H149" s="30" t="inlineStr"/>
      <c r="I149" s="22" t="inlineStr"/>
      <c r="J149" s="22" t="inlineStr"/>
      <c r="K149" s="30" t="inlineStr"/>
    </row>
    <row r="150">
      <c r="B150" s="22" t="inlineStr"/>
      <c r="C150" s="22" t="inlineStr"/>
      <c r="D150" s="22" t="inlineStr"/>
      <c r="E150" s="30" t="inlineStr"/>
      <c r="F150" s="22" t="inlineStr"/>
      <c r="G150" s="22" t="inlineStr"/>
      <c r="H150" s="30" t="inlineStr"/>
      <c r="I150" s="22" t="inlineStr"/>
      <c r="J150" s="22" t="inlineStr"/>
      <c r="K150" s="30" t="inlineStr"/>
    </row>
    <row r="151">
      <c r="B151" s="22" t="inlineStr"/>
      <c r="C151" s="22" t="inlineStr"/>
      <c r="D151" s="22" t="inlineStr"/>
      <c r="E151" s="30" t="inlineStr"/>
      <c r="F151" s="22" t="inlineStr"/>
      <c r="G151" s="22" t="inlineStr"/>
      <c r="H151" s="30" t="inlineStr"/>
      <c r="I151" s="22" t="inlineStr"/>
      <c r="J151" s="22" t="inlineStr"/>
      <c r="K151" s="30" t="inlineStr"/>
    </row>
    <row r="152">
      <c r="B152" s="22" t="inlineStr"/>
      <c r="C152" s="22" t="inlineStr"/>
      <c r="D152" s="22" t="inlineStr"/>
      <c r="E152" s="30" t="inlineStr"/>
      <c r="F152" s="22" t="inlineStr"/>
      <c r="G152" s="22" t="inlineStr"/>
      <c r="H152" s="30" t="inlineStr"/>
      <c r="I152" s="22" t="inlineStr"/>
      <c r="J152" s="22" t="inlineStr"/>
      <c r="K152" s="30" t="inlineStr"/>
    </row>
    <row r="153">
      <c r="B153" s="22" t="inlineStr"/>
      <c r="C153" s="22" t="inlineStr"/>
      <c r="D153" s="22" t="inlineStr"/>
      <c r="E153" s="30" t="inlineStr"/>
      <c r="F153" s="22" t="inlineStr"/>
      <c r="G153" s="22" t="inlineStr"/>
      <c r="H153" s="30" t="inlineStr"/>
      <c r="I153" s="22" t="inlineStr"/>
      <c r="J153" s="22" t="inlineStr"/>
      <c r="K153" s="30" t="inlineStr"/>
    </row>
    <row r="154">
      <c r="B154" s="22" t="inlineStr"/>
      <c r="C154" s="22" t="inlineStr"/>
      <c r="D154" s="22" t="inlineStr"/>
      <c r="E154" s="30" t="inlineStr"/>
      <c r="F154" s="22" t="inlineStr"/>
      <c r="G154" s="22" t="inlineStr"/>
      <c r="H154" s="30" t="inlineStr"/>
      <c r="I154" s="22" t="inlineStr"/>
      <c r="J154" s="22" t="inlineStr"/>
      <c r="K154" s="30" t="inlineStr"/>
    </row>
    <row r="155">
      <c r="B155" s="22" t="inlineStr"/>
      <c r="C155" s="22" t="inlineStr"/>
      <c r="D155" s="22" t="inlineStr"/>
      <c r="E155" s="30" t="inlineStr"/>
      <c r="F155" s="22" t="inlineStr"/>
      <c r="G155" s="22" t="inlineStr"/>
      <c r="H155" s="30" t="inlineStr"/>
      <c r="I155" s="22" t="inlineStr"/>
      <c r="J155" s="22" t="inlineStr"/>
      <c r="K155" s="30" t="inlineStr"/>
    </row>
    <row r="156">
      <c r="B156" s="22" t="inlineStr"/>
      <c r="C156" s="22" t="inlineStr"/>
      <c r="D156" s="22" t="inlineStr"/>
      <c r="E156" s="30" t="inlineStr"/>
      <c r="F156" s="22" t="inlineStr"/>
      <c r="G156" s="22" t="inlineStr"/>
      <c r="H156" s="30" t="inlineStr"/>
      <c r="I156" s="22" t="inlineStr"/>
      <c r="J156" s="22" t="inlineStr"/>
      <c r="K156" s="30" t="inlineStr"/>
    </row>
    <row r="157">
      <c r="B157" s="22" t="inlineStr"/>
      <c r="C157" s="22" t="inlineStr"/>
      <c r="D157" s="22" t="inlineStr"/>
      <c r="E157" s="30" t="inlineStr"/>
      <c r="F157" s="22" t="inlineStr"/>
      <c r="G157" s="22" t="inlineStr"/>
      <c r="H157" s="30" t="inlineStr"/>
      <c r="I157" s="22" t="inlineStr"/>
      <c r="J157" s="22" t="inlineStr"/>
      <c r="K157" s="30" t="inlineStr"/>
    </row>
    <row r="158">
      <c r="B158" s="22" t="inlineStr"/>
      <c r="C158" s="22" t="inlineStr"/>
      <c r="D158" s="22" t="inlineStr"/>
      <c r="E158" s="30" t="inlineStr"/>
      <c r="F158" s="22" t="inlineStr"/>
      <c r="G158" s="22" t="inlineStr"/>
      <c r="H158" s="30" t="inlineStr"/>
      <c r="I158" s="22" t="inlineStr"/>
      <c r="J158" s="22" t="inlineStr"/>
      <c r="K158" s="30" t="inlineStr"/>
    </row>
    <row r="159">
      <c r="B159" s="22" t="inlineStr"/>
      <c r="C159" s="22" t="inlineStr"/>
      <c r="D159" s="22" t="inlineStr"/>
      <c r="E159" s="30" t="inlineStr"/>
      <c r="F159" s="22" t="inlineStr"/>
      <c r="G159" s="22" t="inlineStr"/>
      <c r="H159" s="30" t="inlineStr"/>
      <c r="I159" s="22" t="inlineStr"/>
      <c r="J159" s="22" t="inlineStr"/>
      <c r="K159" s="30" t="inlineStr"/>
    </row>
    <row r="160">
      <c r="B160" s="22" t="inlineStr"/>
      <c r="C160" s="22" t="inlineStr"/>
      <c r="D160" s="22" t="inlineStr"/>
      <c r="E160" s="30" t="inlineStr"/>
      <c r="F160" s="22" t="inlineStr"/>
      <c r="G160" s="22" t="inlineStr"/>
      <c r="H160" s="30" t="inlineStr"/>
      <c r="I160" s="22" t="inlineStr"/>
      <c r="J160" s="22" t="inlineStr"/>
      <c r="K160" s="30" t="inlineStr"/>
    </row>
    <row r="161">
      <c r="B161" s="22" t="inlineStr"/>
      <c r="C161" s="22" t="inlineStr"/>
      <c r="D161" s="22" t="inlineStr"/>
      <c r="E161" s="30" t="inlineStr"/>
      <c r="F161" s="22" t="inlineStr"/>
      <c r="G161" s="22" t="inlineStr"/>
      <c r="H161" s="30" t="inlineStr"/>
      <c r="I161" s="22" t="inlineStr"/>
      <c r="J161" s="22" t="inlineStr"/>
      <c r="K161" s="30" t="inlineStr"/>
    </row>
    <row r="162">
      <c r="B162" s="22" t="inlineStr"/>
      <c r="C162" s="22" t="inlineStr"/>
      <c r="D162" s="22" t="inlineStr"/>
      <c r="E162" s="30" t="inlineStr"/>
      <c r="F162" s="22" t="inlineStr"/>
      <c r="G162" s="22" t="inlineStr"/>
      <c r="H162" s="30" t="inlineStr"/>
      <c r="I162" s="22" t="inlineStr"/>
      <c r="J162" s="22" t="inlineStr"/>
      <c r="K162" s="30" t="inlineStr"/>
    </row>
    <row r="163">
      <c r="B163" s="22" t="inlineStr"/>
      <c r="C163" s="22" t="inlineStr"/>
      <c r="D163" s="22" t="inlineStr"/>
      <c r="E163" s="30" t="inlineStr"/>
      <c r="F163" s="22" t="inlineStr"/>
      <c r="G163" s="22" t="inlineStr"/>
      <c r="H163" s="30" t="inlineStr"/>
      <c r="I163" s="22" t="inlineStr"/>
      <c r="J163" s="22" t="inlineStr"/>
      <c r="K163" s="30" t="inlineStr"/>
    </row>
    <row r="164">
      <c r="B164" s="22" t="inlineStr"/>
      <c r="C164" s="22" t="inlineStr"/>
      <c r="D164" s="22" t="inlineStr"/>
      <c r="E164" s="30" t="inlineStr"/>
      <c r="F164" s="22" t="inlineStr"/>
      <c r="G164" s="22" t="inlineStr"/>
      <c r="H164" s="30" t="inlineStr"/>
      <c r="I164" s="22" t="inlineStr"/>
      <c r="J164" s="22" t="inlineStr"/>
      <c r="K164" s="30" t="inlineStr"/>
    </row>
    <row r="165">
      <c r="B165" s="22" t="inlineStr"/>
      <c r="C165" s="22" t="inlineStr"/>
      <c r="D165" s="22" t="inlineStr"/>
      <c r="E165" s="30" t="inlineStr"/>
      <c r="F165" s="22" t="inlineStr"/>
      <c r="G165" s="22" t="inlineStr"/>
      <c r="H165" s="30" t="inlineStr"/>
      <c r="I165" s="22" t="inlineStr"/>
      <c r="J165" s="22" t="inlineStr"/>
      <c r="K165" s="30" t="inlineStr"/>
    </row>
    <row r="166">
      <c r="B166" s="22" t="inlineStr"/>
      <c r="C166" s="22" t="inlineStr"/>
      <c r="D166" s="22" t="inlineStr"/>
      <c r="E166" s="30" t="inlineStr"/>
      <c r="F166" s="22" t="inlineStr"/>
      <c r="G166" s="22" t="inlineStr"/>
      <c r="H166" s="30" t="inlineStr"/>
      <c r="I166" s="22" t="inlineStr"/>
      <c r="J166" s="22" t="inlineStr"/>
      <c r="K166" s="30" t="inlineStr"/>
    </row>
    <row r="167">
      <c r="B167" s="22" t="inlineStr"/>
      <c r="C167" s="22" t="inlineStr"/>
      <c r="D167" s="22" t="inlineStr"/>
      <c r="E167" s="30" t="inlineStr"/>
      <c r="F167" s="22" t="inlineStr"/>
      <c r="G167" s="22" t="inlineStr"/>
      <c r="H167" s="30" t="inlineStr"/>
      <c r="I167" s="22" t="inlineStr"/>
      <c r="J167" s="22" t="inlineStr"/>
      <c r="K167" s="30" t="inlineStr"/>
    </row>
    <row r="168">
      <c r="B168" s="22" t="inlineStr"/>
      <c r="C168" s="22" t="inlineStr"/>
      <c r="D168" s="22" t="inlineStr"/>
      <c r="E168" s="30" t="inlineStr"/>
      <c r="F168" s="22" t="inlineStr"/>
      <c r="G168" s="22" t="inlineStr"/>
      <c r="H168" s="30" t="inlineStr"/>
      <c r="I168" s="22" t="inlineStr"/>
      <c r="J168" s="22" t="inlineStr"/>
      <c r="K168" s="30" t="inlineStr"/>
    </row>
    <row r="169">
      <c r="B169" s="22" t="inlineStr"/>
      <c r="C169" s="22" t="inlineStr"/>
      <c r="D169" s="22" t="inlineStr"/>
      <c r="E169" s="30" t="inlineStr"/>
      <c r="F169" s="22" t="inlineStr"/>
      <c r="G169" s="22" t="inlineStr"/>
      <c r="H169" s="30" t="inlineStr"/>
      <c r="I169" s="22" t="inlineStr"/>
      <c r="J169" s="22" t="inlineStr"/>
      <c r="K169" s="30" t="inlineStr"/>
    </row>
    <row r="170">
      <c r="B170" s="22" t="inlineStr"/>
      <c r="C170" s="22" t="inlineStr"/>
      <c r="D170" s="22" t="inlineStr"/>
      <c r="E170" s="30" t="inlineStr"/>
      <c r="F170" s="22" t="inlineStr"/>
      <c r="G170" s="22" t="inlineStr"/>
      <c r="H170" s="30" t="inlineStr"/>
      <c r="I170" s="22" t="inlineStr"/>
      <c r="J170" s="22" t="inlineStr"/>
      <c r="K170" s="30" t="inlineStr"/>
    </row>
    <row r="171">
      <c r="B171" s="22" t="inlineStr"/>
      <c r="C171" s="22" t="inlineStr"/>
      <c r="D171" s="22" t="inlineStr"/>
      <c r="E171" s="30" t="inlineStr"/>
      <c r="F171" s="22" t="inlineStr"/>
      <c r="G171" s="22" t="inlineStr"/>
      <c r="H171" s="30" t="inlineStr"/>
      <c r="I171" s="22" t="inlineStr"/>
      <c r="J171" s="22" t="inlineStr"/>
      <c r="K171" s="30" t="inlineStr"/>
    </row>
    <row r="172">
      <c r="B172" s="22" t="inlineStr"/>
      <c r="C172" s="22" t="inlineStr"/>
      <c r="D172" s="22" t="inlineStr"/>
      <c r="E172" s="30" t="inlineStr"/>
      <c r="F172" s="22" t="inlineStr"/>
      <c r="G172" s="22" t="inlineStr"/>
      <c r="H172" s="30" t="inlineStr"/>
      <c r="I172" s="22" t="inlineStr"/>
      <c r="J172" s="22" t="inlineStr"/>
      <c r="K172" s="30" t="inlineStr"/>
    </row>
    <row r="173">
      <c r="B173" s="22" t="inlineStr"/>
      <c r="C173" s="22" t="inlineStr"/>
      <c r="D173" s="22" t="inlineStr"/>
      <c r="E173" s="30" t="inlineStr"/>
      <c r="F173" s="22" t="inlineStr"/>
      <c r="G173" s="22" t="inlineStr"/>
      <c r="H173" s="30" t="inlineStr"/>
      <c r="I173" s="22" t="inlineStr"/>
      <c r="J173" s="22" t="inlineStr"/>
      <c r="K173" s="30" t="inlineStr"/>
    </row>
    <row r="174">
      <c r="B174" s="22" t="inlineStr"/>
      <c r="C174" s="22" t="inlineStr"/>
      <c r="D174" s="22" t="inlineStr"/>
      <c r="E174" s="30" t="inlineStr"/>
      <c r="F174" s="22" t="inlineStr"/>
      <c r="G174" s="22" t="inlineStr"/>
      <c r="H174" s="30" t="inlineStr"/>
      <c r="I174" s="22" t="inlineStr"/>
      <c r="J174" s="22" t="inlineStr"/>
      <c r="K174" s="30" t="inlineStr"/>
    </row>
    <row r="175">
      <c r="B175" s="22" t="inlineStr"/>
      <c r="C175" s="22" t="inlineStr"/>
      <c r="D175" s="22" t="inlineStr"/>
      <c r="E175" s="30" t="inlineStr"/>
      <c r="F175" s="22" t="inlineStr"/>
      <c r="G175" s="22" t="inlineStr"/>
      <c r="H175" s="30" t="inlineStr"/>
      <c r="I175" s="22" t="inlineStr"/>
      <c r="J175" s="22" t="inlineStr"/>
      <c r="K175" s="30" t="inlineStr"/>
    </row>
    <row r="176">
      <c r="B176" s="22" t="inlineStr"/>
      <c r="C176" s="22" t="inlineStr"/>
      <c r="D176" s="22" t="inlineStr"/>
      <c r="E176" s="30" t="inlineStr"/>
      <c r="F176" s="22" t="inlineStr"/>
      <c r="G176" s="22" t="inlineStr"/>
      <c r="H176" s="30" t="inlineStr"/>
      <c r="I176" s="22" t="inlineStr"/>
      <c r="J176" s="22" t="inlineStr"/>
      <c r="K176" s="30" t="inlineStr"/>
    </row>
    <row r="177">
      <c r="B177" s="22" t="inlineStr"/>
      <c r="C177" s="22" t="inlineStr"/>
      <c r="D177" s="22" t="inlineStr"/>
      <c r="E177" s="30" t="inlineStr"/>
      <c r="F177" s="22" t="inlineStr"/>
      <c r="G177" s="22" t="inlineStr"/>
      <c r="H177" s="30" t="inlineStr"/>
      <c r="I177" s="22" t="inlineStr"/>
      <c r="J177" s="22" t="inlineStr"/>
      <c r="K177" s="30" t="inlineStr"/>
    </row>
    <row r="178">
      <c r="B178" s="22" t="inlineStr"/>
      <c r="C178" s="22" t="inlineStr"/>
      <c r="D178" s="22" t="inlineStr"/>
      <c r="E178" s="30" t="inlineStr"/>
      <c r="F178" s="22" t="inlineStr"/>
      <c r="G178" s="22" t="inlineStr"/>
      <c r="H178" s="30" t="inlineStr"/>
      <c r="I178" s="22" t="inlineStr"/>
      <c r="J178" s="22" t="inlineStr"/>
      <c r="K178" s="30" t="inlineStr"/>
    </row>
    <row r="179">
      <c r="B179" s="22" t="inlineStr"/>
      <c r="C179" s="22" t="inlineStr"/>
      <c r="D179" s="22" t="inlineStr"/>
      <c r="E179" s="30" t="inlineStr"/>
      <c r="F179" s="22" t="inlineStr"/>
      <c r="G179" s="22" t="inlineStr"/>
      <c r="H179" s="30" t="inlineStr"/>
      <c r="I179" s="22" t="inlineStr"/>
      <c r="J179" s="22" t="inlineStr"/>
      <c r="K179" s="30" t="inlineStr"/>
    </row>
    <row r="180">
      <c r="B180" s="22" t="inlineStr"/>
      <c r="C180" s="22" t="inlineStr"/>
      <c r="D180" s="22" t="inlineStr"/>
      <c r="E180" s="30" t="inlineStr"/>
      <c r="F180" s="22" t="inlineStr"/>
      <c r="G180" s="22" t="inlineStr"/>
      <c r="H180" s="30" t="inlineStr"/>
      <c r="I180" s="22" t="inlineStr"/>
      <c r="J180" s="22" t="inlineStr"/>
      <c r="K180" s="30" t="inlineStr"/>
    </row>
    <row r="181">
      <c r="B181" s="22" t="inlineStr"/>
      <c r="C181" s="22" t="inlineStr"/>
      <c r="D181" s="22" t="inlineStr"/>
      <c r="E181" s="30" t="inlineStr"/>
      <c r="F181" s="22" t="inlineStr"/>
      <c r="G181" s="22" t="inlineStr"/>
      <c r="H181" s="30" t="inlineStr"/>
      <c r="I181" s="22" t="inlineStr"/>
      <c r="J181" s="22" t="inlineStr"/>
      <c r="K181" s="30" t="inlineStr"/>
    </row>
    <row r="182">
      <c r="B182" s="22" t="inlineStr"/>
      <c r="C182" s="22" t="inlineStr"/>
      <c r="D182" s="22" t="inlineStr"/>
      <c r="E182" s="30" t="inlineStr"/>
      <c r="F182" s="22" t="inlineStr"/>
      <c r="G182" s="22" t="inlineStr"/>
      <c r="H182" s="30" t="inlineStr"/>
      <c r="I182" s="22" t="inlineStr"/>
      <c r="J182" s="22" t="inlineStr"/>
      <c r="K182" s="30" t="inlineStr"/>
    </row>
    <row r="183">
      <c r="B183" s="22" t="inlineStr"/>
      <c r="C183" s="22" t="inlineStr"/>
      <c r="D183" s="22" t="inlineStr"/>
      <c r="E183" s="30" t="inlineStr"/>
      <c r="F183" s="22" t="inlineStr"/>
      <c r="G183" s="22" t="inlineStr"/>
      <c r="H183" s="30" t="inlineStr"/>
      <c r="I183" s="22" t="inlineStr"/>
      <c r="J183" s="22" t="inlineStr"/>
      <c r="K183" s="30" t="inlineStr"/>
    </row>
    <row r="184">
      <c r="B184" s="22" t="inlineStr"/>
      <c r="C184" s="22" t="inlineStr"/>
      <c r="D184" s="22" t="inlineStr"/>
      <c r="E184" s="30" t="inlineStr"/>
      <c r="F184" s="22" t="inlineStr"/>
      <c r="G184" s="22" t="inlineStr"/>
      <c r="H184" s="30" t="inlineStr"/>
      <c r="I184" s="22" t="inlineStr"/>
      <c r="J184" s="22" t="inlineStr"/>
      <c r="K184" s="30" t="inlineStr"/>
    </row>
    <row r="185">
      <c r="B185" s="22" t="inlineStr"/>
      <c r="C185" s="22" t="inlineStr"/>
      <c r="D185" s="22" t="inlineStr"/>
      <c r="E185" s="30" t="inlineStr"/>
      <c r="F185" s="22" t="inlineStr"/>
      <c r="G185" s="22" t="inlineStr"/>
      <c r="H185" s="30" t="inlineStr"/>
      <c r="I185" s="22" t="inlineStr"/>
      <c r="J185" s="22" t="inlineStr"/>
      <c r="K185" s="30" t="inlineStr"/>
    </row>
    <row r="186">
      <c r="B186" s="22" t="inlineStr"/>
      <c r="C186" s="22" t="inlineStr"/>
      <c r="D186" s="22" t="inlineStr"/>
      <c r="E186" s="30" t="inlineStr"/>
      <c r="F186" s="22" t="inlineStr"/>
      <c r="G186" s="22" t="inlineStr"/>
      <c r="H186" s="30" t="inlineStr"/>
      <c r="I186" s="22" t="inlineStr"/>
      <c r="J186" s="22" t="inlineStr"/>
      <c r="K186" s="30" t="inlineStr"/>
    </row>
    <row r="187">
      <c r="B187" s="22" t="inlineStr"/>
      <c r="C187" s="22" t="inlineStr"/>
      <c r="D187" s="22" t="inlineStr"/>
      <c r="E187" s="30" t="inlineStr"/>
      <c r="F187" s="22" t="inlineStr"/>
      <c r="G187" s="22" t="inlineStr"/>
      <c r="H187" s="30" t="inlineStr"/>
      <c r="I187" s="22" t="inlineStr"/>
      <c r="J187" s="22" t="inlineStr"/>
      <c r="K187" s="30" t="inlineStr"/>
    </row>
    <row r="188">
      <c r="B188" s="22" t="inlineStr"/>
      <c r="C188" s="22" t="inlineStr"/>
      <c r="D188" s="22" t="inlineStr"/>
      <c r="E188" s="30" t="inlineStr"/>
      <c r="F188" s="22" t="inlineStr"/>
      <c r="G188" s="22" t="inlineStr"/>
      <c r="H188" s="30" t="inlineStr"/>
      <c r="I188" s="22" t="inlineStr"/>
      <c r="J188" s="22" t="inlineStr"/>
      <c r="K188" s="30" t="inlineStr"/>
    </row>
    <row r="189">
      <c r="B189" s="22" t="inlineStr"/>
      <c r="C189" s="22" t="inlineStr"/>
      <c r="D189" s="22" t="inlineStr"/>
      <c r="E189" s="30" t="inlineStr"/>
      <c r="F189" s="22" t="inlineStr"/>
      <c r="G189" s="22" t="inlineStr"/>
      <c r="H189" s="30" t="inlineStr"/>
      <c r="I189" s="22" t="inlineStr"/>
      <c r="J189" s="22" t="inlineStr"/>
      <c r="K189" s="30" t="inlineStr"/>
    </row>
    <row r="190">
      <c r="B190" s="22" t="inlineStr"/>
      <c r="C190" s="22" t="inlineStr"/>
      <c r="D190" s="22" t="inlineStr"/>
      <c r="E190" s="30" t="inlineStr"/>
      <c r="F190" s="22" t="inlineStr"/>
      <c r="G190" s="22" t="inlineStr"/>
      <c r="H190" s="30" t="inlineStr"/>
      <c r="I190" s="22" t="inlineStr"/>
      <c r="J190" s="22" t="inlineStr"/>
      <c r="K190" s="30" t="inlineStr"/>
    </row>
    <row r="191">
      <c r="B191" s="22" t="inlineStr"/>
      <c r="C191" s="22" t="inlineStr"/>
      <c r="D191" s="22" t="inlineStr"/>
      <c r="E191" s="30" t="inlineStr"/>
      <c r="F191" s="22" t="inlineStr"/>
      <c r="G191" s="22" t="inlineStr"/>
      <c r="H191" s="30" t="inlineStr"/>
      <c r="I191" s="22" t="inlineStr"/>
      <c r="J191" s="22" t="inlineStr"/>
      <c r="K191" s="30" t="inlineStr"/>
    </row>
    <row r="192">
      <c r="B192" s="22" t="inlineStr"/>
      <c r="C192" s="22" t="inlineStr"/>
      <c r="D192" s="22" t="inlineStr"/>
      <c r="E192" s="30" t="inlineStr"/>
      <c r="F192" s="22" t="inlineStr"/>
      <c r="G192" s="22" t="inlineStr"/>
      <c r="H192" s="30" t="inlineStr"/>
      <c r="I192" s="22" t="inlineStr"/>
      <c r="J192" s="22" t="inlineStr"/>
      <c r="K192" s="30" t="inlineStr"/>
    </row>
    <row r="193">
      <c r="B193" s="22" t="inlineStr"/>
      <c r="C193" s="22" t="inlineStr"/>
      <c r="D193" s="22" t="inlineStr"/>
      <c r="E193" s="30" t="inlineStr"/>
      <c r="F193" s="22" t="inlineStr"/>
      <c r="G193" s="22" t="inlineStr"/>
      <c r="H193" s="30" t="inlineStr"/>
      <c r="I193" s="22" t="inlineStr"/>
      <c r="J193" s="22" t="inlineStr"/>
      <c r="K193" s="30" t="inlineStr"/>
    </row>
    <row r="194">
      <c r="B194" s="22" t="inlineStr"/>
      <c r="C194" s="22" t="inlineStr"/>
      <c r="D194" s="22" t="inlineStr"/>
      <c r="E194" s="30" t="inlineStr"/>
      <c r="F194" s="22" t="inlineStr"/>
      <c r="G194" s="22" t="inlineStr"/>
      <c r="H194" s="30" t="inlineStr"/>
      <c r="I194" s="22" t="inlineStr"/>
      <c r="J194" s="22" t="inlineStr"/>
      <c r="K194" s="30" t="inlineStr"/>
    </row>
    <row r="195">
      <c r="B195" s="22" t="inlineStr"/>
      <c r="C195" s="22" t="inlineStr"/>
      <c r="D195" s="22" t="inlineStr"/>
      <c r="E195" s="30" t="inlineStr"/>
      <c r="F195" s="22" t="inlineStr"/>
      <c r="G195" s="22" t="inlineStr"/>
      <c r="H195" s="30" t="inlineStr"/>
      <c r="I195" s="22" t="inlineStr"/>
      <c r="J195" s="22" t="inlineStr"/>
      <c r="K195" s="30" t="inlineStr"/>
    </row>
    <row r="196">
      <c r="B196" s="22" t="inlineStr"/>
      <c r="C196" s="22" t="inlineStr"/>
      <c r="D196" s="22" t="inlineStr"/>
      <c r="E196" s="30" t="inlineStr"/>
      <c r="F196" s="22" t="inlineStr"/>
      <c r="G196" s="22" t="inlineStr"/>
      <c r="H196" s="30" t="inlineStr"/>
      <c r="I196" s="22" t="inlineStr"/>
      <c r="J196" s="22" t="inlineStr"/>
      <c r="K196" s="30" t="inlineStr"/>
    </row>
    <row r="197">
      <c r="B197" s="22" t="inlineStr"/>
      <c r="C197" s="22" t="inlineStr"/>
      <c r="D197" s="22" t="inlineStr"/>
      <c r="E197" s="30" t="inlineStr"/>
      <c r="F197" s="22" t="inlineStr"/>
      <c r="G197" s="22" t="inlineStr"/>
      <c r="H197" s="30" t="inlineStr"/>
      <c r="I197" s="22" t="inlineStr"/>
      <c r="J197" s="22" t="inlineStr"/>
      <c r="K197" s="30" t="inlineStr"/>
    </row>
    <row r="198">
      <c r="B198" s="22" t="inlineStr"/>
      <c r="C198" s="22" t="inlineStr"/>
      <c r="D198" s="22" t="inlineStr"/>
      <c r="E198" s="30" t="inlineStr"/>
      <c r="F198" s="22" t="inlineStr"/>
      <c r="G198" s="22" t="inlineStr"/>
      <c r="H198" s="30" t="inlineStr"/>
      <c r="I198" s="22" t="inlineStr"/>
      <c r="J198" s="22" t="inlineStr"/>
      <c r="K198" s="30" t="inlineStr"/>
    </row>
    <row r="199">
      <c r="B199" s="22" t="inlineStr"/>
      <c r="C199" s="22" t="inlineStr"/>
      <c r="D199" s="22" t="inlineStr"/>
      <c r="E199" s="30" t="inlineStr"/>
      <c r="F199" s="22" t="inlineStr"/>
      <c r="G199" s="22" t="inlineStr"/>
      <c r="H199" s="30" t="inlineStr"/>
      <c r="I199" s="22" t="inlineStr"/>
      <c r="J199" s="22" t="inlineStr"/>
      <c r="K199" s="30" t="inlineStr"/>
    </row>
    <row r="200">
      <c r="B200" s="22" t="inlineStr"/>
      <c r="C200" s="22" t="inlineStr"/>
      <c r="D200" s="22" t="inlineStr"/>
      <c r="E200" s="30" t="inlineStr"/>
      <c r="F200" s="22" t="inlineStr"/>
      <c r="G200" s="22" t="inlineStr"/>
      <c r="H200" s="30" t="inlineStr"/>
      <c r="I200" s="22" t="inlineStr"/>
      <c r="J200" s="22" t="inlineStr"/>
      <c r="K200" s="30" t="inlineStr"/>
    </row>
    <row r="201">
      <c r="B201" s="22" t="inlineStr"/>
      <c r="C201" s="22" t="inlineStr"/>
      <c r="D201" s="22" t="inlineStr"/>
      <c r="E201" s="30" t="inlineStr"/>
      <c r="F201" s="22" t="inlineStr"/>
      <c r="G201" s="22" t="inlineStr"/>
      <c r="H201" s="30" t="inlineStr"/>
      <c r="I201" s="22" t="inlineStr"/>
      <c r="J201" s="22" t="inlineStr"/>
      <c r="K201" s="30" t="inlineStr"/>
    </row>
    <row r="202">
      <c r="B202" s="22" t="inlineStr"/>
      <c r="C202" s="22" t="inlineStr"/>
      <c r="D202" s="22" t="inlineStr"/>
      <c r="E202" s="30" t="inlineStr"/>
      <c r="F202" s="22" t="inlineStr"/>
      <c r="G202" s="22" t="inlineStr"/>
      <c r="H202" s="30" t="inlineStr"/>
      <c r="I202" s="22" t="inlineStr"/>
      <c r="J202" s="22" t="inlineStr"/>
      <c r="K202" s="30" t="inlineStr"/>
    </row>
    <row r="203">
      <c r="B203" s="22" t="inlineStr"/>
      <c r="C203" s="22" t="inlineStr"/>
      <c r="D203" s="22" t="inlineStr"/>
      <c r="E203" s="30" t="inlineStr"/>
      <c r="F203" s="22" t="inlineStr"/>
      <c r="G203" s="22" t="inlineStr"/>
      <c r="H203" s="30" t="inlineStr"/>
      <c r="I203" s="22" t="inlineStr"/>
      <c r="J203" s="22" t="inlineStr"/>
      <c r="K203" s="30" t="inlineStr"/>
    </row>
    <row r="204">
      <c r="B204" s="22" t="inlineStr"/>
      <c r="C204" s="22" t="inlineStr"/>
      <c r="D204" s="22" t="inlineStr"/>
      <c r="E204" s="30" t="inlineStr"/>
      <c r="F204" s="22" t="inlineStr"/>
      <c r="G204" s="22" t="inlineStr"/>
      <c r="H204" s="30" t="inlineStr"/>
      <c r="I204" s="22" t="inlineStr"/>
      <c r="J204" s="22" t="inlineStr"/>
      <c r="K204" s="30" t="inlineStr"/>
    </row>
    <row r="205">
      <c r="B205" s="22" t="inlineStr"/>
      <c r="C205" s="22" t="inlineStr"/>
      <c r="D205" s="22" t="inlineStr"/>
      <c r="E205" s="30" t="inlineStr"/>
      <c r="F205" s="22" t="inlineStr"/>
      <c r="G205" s="22" t="inlineStr"/>
      <c r="H205" s="30" t="inlineStr"/>
      <c r="I205" s="22" t="inlineStr"/>
      <c r="J205" s="22" t="inlineStr"/>
      <c r="K205" s="30" t="inlineStr"/>
    </row>
    <row r="206">
      <c r="B206" s="22" t="inlineStr"/>
      <c r="C206" s="22" t="inlineStr"/>
      <c r="D206" s="22" t="inlineStr"/>
      <c r="E206" s="30" t="inlineStr"/>
      <c r="F206" s="22" t="inlineStr"/>
      <c r="G206" s="22" t="inlineStr"/>
      <c r="H206" s="30" t="inlineStr"/>
      <c r="I206" s="22" t="inlineStr"/>
      <c r="J206" s="22" t="inlineStr"/>
      <c r="K206" s="30" t="inlineStr"/>
    </row>
    <row r="207">
      <c r="B207" s="22" t="inlineStr"/>
      <c r="C207" s="22" t="inlineStr"/>
      <c r="D207" s="22" t="inlineStr"/>
      <c r="E207" s="30" t="inlineStr"/>
      <c r="F207" s="22" t="inlineStr"/>
      <c r="G207" s="22" t="inlineStr"/>
      <c r="H207" s="30" t="inlineStr"/>
      <c r="I207" s="22" t="inlineStr"/>
      <c r="J207" s="22" t="inlineStr"/>
      <c r="K207" s="30" t="inlineStr"/>
    </row>
    <row r="208">
      <c r="B208" s="22" t="inlineStr"/>
      <c r="C208" s="22" t="inlineStr"/>
      <c r="D208" s="22" t="inlineStr"/>
      <c r="E208" s="30" t="inlineStr"/>
      <c r="F208" s="22" t="inlineStr"/>
      <c r="G208" s="22" t="inlineStr"/>
      <c r="H208" s="30" t="inlineStr"/>
      <c r="I208" s="22" t="inlineStr"/>
      <c r="J208" s="22" t="inlineStr"/>
      <c r="K208" s="30" t="inlineStr"/>
    </row>
    <row r="209">
      <c r="B209" s="22" t="inlineStr"/>
      <c r="C209" s="22" t="inlineStr"/>
      <c r="D209" s="22" t="inlineStr"/>
      <c r="E209" s="30" t="inlineStr"/>
      <c r="F209" s="22" t="inlineStr"/>
      <c r="G209" s="22" t="inlineStr"/>
      <c r="H209" s="30" t="inlineStr"/>
      <c r="I209" s="22" t="inlineStr"/>
      <c r="J209" s="22" t="inlineStr"/>
      <c r="K209" s="30" t="inlineStr"/>
    </row>
    <row r="210">
      <c r="B210" s="22" t="inlineStr"/>
      <c r="C210" s="22" t="inlineStr"/>
      <c r="D210" s="22" t="inlineStr"/>
      <c r="E210" s="30" t="inlineStr"/>
      <c r="F210" s="22" t="inlineStr"/>
      <c r="G210" s="22" t="inlineStr"/>
      <c r="H210" s="30" t="inlineStr"/>
      <c r="I210" s="22" t="inlineStr"/>
      <c r="J210" s="22" t="inlineStr"/>
      <c r="K210" s="30" t="inlineStr"/>
    </row>
    <row r="211">
      <c r="B211" s="22" t="inlineStr"/>
      <c r="C211" s="22" t="inlineStr"/>
      <c r="D211" s="22" t="inlineStr"/>
      <c r="E211" s="30" t="inlineStr"/>
      <c r="F211" s="22" t="inlineStr"/>
      <c r="G211" s="22" t="inlineStr"/>
      <c r="H211" s="30" t="inlineStr"/>
      <c r="I211" s="22" t="inlineStr"/>
      <c r="J211" s="22" t="inlineStr"/>
      <c r="K211" s="30" t="inlineStr"/>
    </row>
    <row r="212">
      <c r="B212" s="22" t="inlineStr"/>
      <c r="C212" s="22" t="inlineStr"/>
      <c r="D212" s="22" t="inlineStr"/>
      <c r="E212" s="30" t="inlineStr"/>
      <c r="F212" s="22" t="inlineStr"/>
      <c r="G212" s="22" t="inlineStr"/>
      <c r="H212" s="30" t="inlineStr"/>
      <c r="I212" s="22" t="inlineStr"/>
      <c r="J212" s="22" t="inlineStr"/>
      <c r="K212" s="30" t="inlineStr"/>
    </row>
    <row r="213">
      <c r="B213" s="22" t="inlineStr"/>
      <c r="C213" s="22" t="inlineStr"/>
      <c r="D213" s="22" t="inlineStr"/>
      <c r="E213" s="30" t="inlineStr"/>
      <c r="F213" s="22" t="inlineStr"/>
      <c r="G213" s="22" t="inlineStr"/>
      <c r="H213" s="30" t="inlineStr"/>
      <c r="I213" s="22" t="inlineStr"/>
      <c r="J213" s="22" t="inlineStr"/>
      <c r="K213" s="30" t="inlineStr"/>
    </row>
    <row r="214">
      <c r="B214" s="22" t="inlineStr"/>
      <c r="C214" s="22" t="inlineStr"/>
      <c r="D214" s="22" t="inlineStr"/>
      <c r="E214" s="30" t="inlineStr"/>
      <c r="F214" s="22" t="inlineStr"/>
      <c r="G214" s="22" t="inlineStr"/>
      <c r="H214" s="30" t="inlineStr"/>
      <c r="I214" s="22" t="inlineStr"/>
      <c r="J214" s="22" t="inlineStr"/>
      <c r="K214" s="30" t="inlineStr"/>
    </row>
    <row r="215">
      <c r="B215" s="22" t="inlineStr"/>
      <c r="C215" s="22" t="inlineStr"/>
      <c r="D215" s="22" t="inlineStr"/>
      <c r="E215" s="30" t="inlineStr"/>
      <c r="F215" s="22" t="inlineStr"/>
      <c r="G215" s="22" t="inlineStr"/>
      <c r="H215" s="30" t="inlineStr"/>
      <c r="I215" s="22" t="inlineStr"/>
      <c r="J215" s="22" t="inlineStr"/>
      <c r="K215" s="30" t="inlineStr"/>
    </row>
    <row r="216">
      <c r="B216" s="22" t="inlineStr"/>
      <c r="C216" s="22" t="inlineStr"/>
      <c r="D216" s="22" t="inlineStr"/>
      <c r="E216" s="30" t="inlineStr"/>
      <c r="F216" s="22" t="inlineStr"/>
      <c r="G216" s="22" t="inlineStr"/>
      <c r="H216" s="30" t="inlineStr"/>
      <c r="I216" s="22" t="inlineStr"/>
      <c r="J216" s="22" t="inlineStr"/>
      <c r="K216" s="30" t="inlineStr"/>
    </row>
    <row r="217">
      <c r="B217" s="22" t="inlineStr"/>
      <c r="C217" s="22" t="inlineStr"/>
      <c r="D217" s="22" t="inlineStr"/>
      <c r="E217" s="30" t="inlineStr"/>
      <c r="F217" s="22" t="inlineStr"/>
      <c r="G217" s="22" t="inlineStr"/>
      <c r="H217" s="30" t="inlineStr"/>
      <c r="I217" s="22" t="inlineStr"/>
      <c r="J217" s="22" t="inlineStr"/>
      <c r="K217" s="30" t="inlineStr"/>
    </row>
    <row r="218">
      <c r="B218" s="22" t="inlineStr"/>
      <c r="C218" s="22" t="inlineStr"/>
      <c r="D218" s="22" t="inlineStr"/>
      <c r="E218" s="30" t="inlineStr"/>
      <c r="F218" s="22" t="inlineStr"/>
      <c r="G218" s="22" t="inlineStr"/>
      <c r="H218" s="30" t="inlineStr"/>
      <c r="I218" s="22" t="inlineStr"/>
      <c r="J218" s="22" t="inlineStr"/>
      <c r="K218" s="30" t="inlineStr"/>
    </row>
    <row r="219">
      <c r="B219" s="22" t="inlineStr"/>
      <c r="C219" s="22" t="inlineStr"/>
      <c r="D219" s="22" t="inlineStr"/>
      <c r="E219" s="30" t="inlineStr"/>
      <c r="F219" s="22" t="inlineStr"/>
      <c r="G219" s="22" t="inlineStr"/>
      <c r="H219" s="30" t="inlineStr"/>
      <c r="I219" s="22" t="inlineStr"/>
      <c r="J219" s="22" t="inlineStr"/>
      <c r="K219" s="30" t="inlineStr"/>
    </row>
  </sheetData>
  <mergeCells count="13">
    <mergeCell ref="G44:J44"/>
    <mergeCell ref="G46:J46"/>
    <mergeCell ref="D62:J62"/>
    <mergeCell ref="U69:AO69"/>
    <mergeCell ref="G48:J48"/>
    <mergeCell ref="D65:J65"/>
    <mergeCell ref="G49:J49"/>
    <mergeCell ref="AP5:AR5"/>
    <mergeCell ref="G47:J47"/>
    <mergeCell ref="W4:Y4"/>
    <mergeCell ref="D64:J64"/>
    <mergeCell ref="D63:J63"/>
    <mergeCell ref="G45:J4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7" t="n"/>
      <c r="B4" s="47" t="n"/>
      <c r="C4" s="48" t="inlineStr">
        <is>
          <t>早</t>
        </is>
      </c>
      <c r="D4" s="49" t="inlineStr">
        <is>
          <t>午</t>
        </is>
      </c>
      <c r="E4" s="49" t="inlineStr">
        <is>
          <t>晚</t>
        </is>
      </c>
      <c r="F4" s="48" t="inlineStr">
        <is>
          <t>早</t>
        </is>
      </c>
      <c r="G4" s="49" t="inlineStr">
        <is>
          <t>午</t>
        </is>
      </c>
      <c r="H4" s="49" t="inlineStr">
        <is>
          <t>晚</t>
        </is>
      </c>
      <c r="I4" s="48" t="inlineStr">
        <is>
          <t>早</t>
        </is>
      </c>
      <c r="J4" s="49" t="inlineStr">
        <is>
          <t>午</t>
        </is>
      </c>
      <c r="K4" s="49" t="inlineStr">
        <is>
          <t>晚</t>
        </is>
      </c>
      <c r="L4" s="48" t="inlineStr">
        <is>
          <t>早</t>
        </is>
      </c>
      <c r="M4" s="49" t="inlineStr">
        <is>
          <t>午</t>
        </is>
      </c>
      <c r="N4" s="49" t="inlineStr">
        <is>
          <t>晚</t>
        </is>
      </c>
      <c r="O4" s="48" t="inlineStr">
        <is>
          <t>早</t>
        </is>
      </c>
      <c r="P4" s="49" t="inlineStr">
        <is>
          <t>午</t>
        </is>
      </c>
      <c r="Q4" s="49" t="inlineStr">
        <is>
          <t>晚</t>
        </is>
      </c>
      <c r="R4" s="48" t="inlineStr">
        <is>
          <t>早</t>
        </is>
      </c>
      <c r="S4" s="49" t="inlineStr">
        <is>
          <t>午</t>
        </is>
      </c>
      <c r="T4" s="49" t="inlineStr">
        <is>
          <t>晚</t>
        </is>
      </c>
      <c r="V4" s="47" t="n"/>
    </row>
    <row r="5" ht="17" customHeight="1">
      <c r="A5" s="21" t="inlineStr">
        <is>
          <t>D001</t>
        </is>
      </c>
      <c r="B5" s="18" t="inlineStr">
        <is>
          <t>林智俊</t>
        </is>
      </c>
      <c r="C5" s="50" t="n"/>
      <c r="D5" s="51" t="inlineStr">
        <is>
          <t>悅</t>
        </is>
      </c>
      <c r="E5" s="51" t="inlineStr">
        <is>
          <t>悅</t>
        </is>
      </c>
      <c r="F5" s="52" t="inlineStr">
        <is>
          <t>曜</t>
        </is>
      </c>
      <c r="G5" s="53" t="inlineStr">
        <is>
          <t>曜</t>
        </is>
      </c>
      <c r="H5" s="54" t="n"/>
      <c r="I5" s="55" t="inlineStr">
        <is>
          <t>悅</t>
        </is>
      </c>
      <c r="J5" s="51" t="inlineStr">
        <is>
          <t>悅</t>
        </is>
      </c>
      <c r="K5" s="51" t="inlineStr">
        <is>
          <t>悅</t>
        </is>
      </c>
      <c r="L5" s="50" t="n"/>
      <c r="M5" s="56" t="inlineStr">
        <is>
          <t>匯</t>
        </is>
      </c>
      <c r="N5" s="56" t="inlineStr">
        <is>
          <t>匯</t>
        </is>
      </c>
      <c r="O5" s="50" t="n"/>
      <c r="P5" s="51" t="inlineStr">
        <is>
          <t>悅</t>
        </is>
      </c>
      <c r="Q5" s="51" t="inlineStr">
        <is>
          <t>悅</t>
        </is>
      </c>
      <c r="R5" s="55" t="inlineStr">
        <is>
          <t>悅(隔)</t>
        </is>
      </c>
      <c r="S5" s="54" t="n"/>
      <c r="T5" s="54" t="n"/>
      <c r="V5" s="57" t="inlineStr"/>
    </row>
    <row r="6" ht="17" customHeight="1">
      <c r="A6" s="21" t="inlineStr">
        <is>
          <t>D002</t>
        </is>
      </c>
      <c r="B6" s="18" t="inlineStr">
        <is>
          <t>劉立德</t>
        </is>
      </c>
      <c r="C6" s="52" t="inlineStr">
        <is>
          <t>曜</t>
        </is>
      </c>
      <c r="D6" s="53" t="inlineStr">
        <is>
          <t>曜</t>
        </is>
      </c>
      <c r="E6" s="53" t="inlineStr">
        <is>
          <t>曜</t>
        </is>
      </c>
      <c r="F6" s="50" t="n"/>
      <c r="G6" s="58" t="inlineStr">
        <is>
          <t>睿</t>
        </is>
      </c>
      <c r="H6" s="58" t="inlineStr">
        <is>
          <t>睿</t>
        </is>
      </c>
      <c r="I6" s="59" t="inlineStr">
        <is>
          <t>睿/曜</t>
        </is>
      </c>
      <c r="J6" s="58" t="inlineStr">
        <is>
          <t>睿/曜</t>
        </is>
      </c>
      <c r="K6" s="54" t="n"/>
      <c r="L6" s="52" t="inlineStr">
        <is>
          <t>曜</t>
        </is>
      </c>
      <c r="M6" s="53" t="inlineStr">
        <is>
          <t>曜</t>
        </is>
      </c>
      <c r="N6" s="53" t="inlineStr">
        <is>
          <t>曜</t>
        </is>
      </c>
      <c r="O6" s="50" t="n"/>
      <c r="P6" s="58" t="inlineStr">
        <is>
          <t>睿</t>
        </is>
      </c>
      <c r="Q6" s="58" t="inlineStr">
        <is>
          <t>睿</t>
        </is>
      </c>
      <c r="R6" s="50" t="n"/>
      <c r="S6" s="54" t="n"/>
      <c r="T6" s="54" t="n"/>
      <c r="V6" s="57" t="inlineStr"/>
    </row>
    <row r="7" ht="17" customHeight="1">
      <c r="A7" s="21" t="inlineStr">
        <is>
          <t>D003</t>
        </is>
      </c>
      <c r="B7" s="18" t="inlineStr">
        <is>
          <t>王泳泉</t>
        </is>
      </c>
      <c r="C7" s="50" t="n"/>
      <c r="D7" s="51" t="inlineStr">
        <is>
          <t>悅/睿</t>
        </is>
      </c>
      <c r="E7" s="51" t="inlineStr">
        <is>
          <t>悅/睿</t>
        </is>
      </c>
      <c r="F7" s="50" t="n"/>
      <c r="G7" s="54" t="n"/>
      <c r="H7" s="54" t="n"/>
      <c r="I7" s="50" t="n"/>
      <c r="J7" s="51" t="inlineStr">
        <is>
          <t>悅</t>
        </is>
      </c>
      <c r="K7" s="51" t="inlineStr">
        <is>
          <t>悅</t>
        </is>
      </c>
      <c r="L7" s="50" t="n"/>
      <c r="M7" s="54" t="n"/>
      <c r="N7" s="54" t="n"/>
      <c r="O7" s="50" t="n"/>
      <c r="P7" s="54" t="n"/>
      <c r="Q7" s="54" t="n"/>
      <c r="R7" s="55" t="inlineStr">
        <is>
          <t>悅</t>
        </is>
      </c>
      <c r="S7" s="54" t="n"/>
      <c r="T7" s="54" t="n"/>
      <c r="V7" s="57" t="inlineStr"/>
    </row>
    <row r="8" ht="17" customHeight="1">
      <c r="A8" s="21" t="inlineStr">
        <is>
          <t>D004</t>
        </is>
      </c>
      <c r="B8" s="18" t="inlineStr">
        <is>
          <t>劉玠旻</t>
        </is>
      </c>
      <c r="C8" s="50" t="n"/>
      <c r="D8" s="51" t="inlineStr">
        <is>
          <t>悅(隔)</t>
        </is>
      </c>
      <c r="E8" s="54" t="n"/>
      <c r="F8" s="55" t="inlineStr">
        <is>
          <t>悅</t>
        </is>
      </c>
      <c r="G8" s="51" t="inlineStr">
        <is>
          <t>悅</t>
        </is>
      </c>
      <c r="H8" s="54" t="n"/>
      <c r="I8" s="50" t="n"/>
      <c r="J8" s="53" t="inlineStr">
        <is>
          <t>曜</t>
        </is>
      </c>
      <c r="K8" s="54" t="n"/>
      <c r="L8" s="59" t="inlineStr">
        <is>
          <t>睿</t>
        </is>
      </c>
      <c r="M8" s="58" t="inlineStr">
        <is>
          <t>睿</t>
        </is>
      </c>
      <c r="N8" s="54" t="n"/>
      <c r="O8" s="50" t="n"/>
      <c r="P8" s="54" t="n"/>
      <c r="Q8" s="54" t="n"/>
      <c r="R8" s="50" t="n"/>
      <c r="S8" s="54" t="n"/>
      <c r="T8" s="54" t="n"/>
      <c r="V8" s="57" t="inlineStr"/>
    </row>
    <row r="9" ht="17" customHeight="1">
      <c r="A9" s="21" t="inlineStr">
        <is>
          <t>D005</t>
        </is>
      </c>
      <c r="B9" s="18" t="inlineStr">
        <is>
          <t>陳志僑</t>
        </is>
      </c>
      <c r="C9" s="50" t="n"/>
      <c r="D9" s="54" t="n"/>
      <c r="E9" s="54" t="n"/>
      <c r="F9" s="55" t="inlineStr">
        <is>
          <t>悅</t>
        </is>
      </c>
      <c r="G9" s="51" t="inlineStr">
        <is>
          <t>悅</t>
        </is>
      </c>
      <c r="H9" s="58" t="inlineStr">
        <is>
          <t>睿</t>
        </is>
      </c>
      <c r="I9" s="50" t="n"/>
      <c r="J9" s="54" t="n"/>
      <c r="K9" s="54" t="n"/>
      <c r="L9" s="50" t="n"/>
      <c r="M9" s="54" t="n"/>
      <c r="N9" s="54" t="n"/>
      <c r="O9" s="50" t="n"/>
      <c r="P9" s="54" t="n"/>
      <c r="Q9" s="54" t="n"/>
      <c r="R9" s="50" t="n"/>
      <c r="S9" s="54" t="n"/>
      <c r="T9" s="54" t="n"/>
      <c r="V9" s="57" t="inlineStr"/>
    </row>
    <row r="10" ht="17" customHeight="1">
      <c r="A10" s="21" t="inlineStr">
        <is>
          <t>D006</t>
        </is>
      </c>
      <c r="B10" s="18" t="inlineStr">
        <is>
          <t>黃榆鈞</t>
        </is>
      </c>
      <c r="C10" s="50" t="n"/>
      <c r="D10" s="54" t="n"/>
      <c r="E10" s="54" t="n"/>
      <c r="F10" s="50" t="n"/>
      <c r="G10" s="60" t="inlineStr">
        <is>
          <t>寶(不定)</t>
        </is>
      </c>
      <c r="H10" s="60" t="inlineStr">
        <is>
          <t>寶</t>
        </is>
      </c>
      <c r="I10" s="50" t="n"/>
      <c r="J10" s="54" t="n"/>
      <c r="K10" s="54" t="n"/>
      <c r="L10" s="50" t="n"/>
      <c r="M10" s="51" t="inlineStr">
        <is>
          <t>悅(註)</t>
        </is>
      </c>
      <c r="N10" s="51" t="inlineStr">
        <is>
          <t>悅(註)</t>
        </is>
      </c>
      <c r="O10" s="50" t="n"/>
      <c r="P10" s="54" t="n"/>
      <c r="Q10" s="54" t="n"/>
      <c r="R10" s="61" t="inlineStr">
        <is>
          <t>寶(不定)</t>
        </is>
      </c>
      <c r="S10" s="60" t="inlineStr">
        <is>
          <t>寶(不定)</t>
        </is>
      </c>
      <c r="T10" s="54" t="n"/>
      <c r="V10" s="57" t="inlineStr">
        <is>
          <t>黃榆鈞:每月1日15:30後 / 黃榆鈞:每月1日</t>
        </is>
      </c>
    </row>
    <row r="11" ht="17" customHeight="1">
      <c r="A11" s="21" t="inlineStr">
        <is>
          <t>D007</t>
        </is>
      </c>
      <c r="B11" s="18" t="inlineStr">
        <is>
          <t>温翊君</t>
        </is>
      </c>
      <c r="C11" s="50" t="n"/>
      <c r="D11" s="54" t="n"/>
      <c r="E11" s="54" t="n"/>
      <c r="F11" s="50" t="n"/>
      <c r="G11" s="51" t="inlineStr">
        <is>
          <t>悅</t>
        </is>
      </c>
      <c r="H11" s="51" t="inlineStr">
        <is>
          <t>悅</t>
        </is>
      </c>
      <c r="I11" s="50" t="n"/>
      <c r="J11" s="54" t="n"/>
      <c r="K11" s="54" t="n"/>
      <c r="L11" s="50" t="n"/>
      <c r="M11" s="54" t="n"/>
      <c r="N11" s="54" t="n"/>
      <c r="O11" s="50" t="n"/>
      <c r="P11" s="54" t="n"/>
      <c r="Q11" s="54" t="n"/>
      <c r="R11" s="55" t="inlineStr">
        <is>
          <t>悅</t>
        </is>
      </c>
      <c r="S11" s="51" t="inlineStr">
        <is>
          <t>悅</t>
        </is>
      </c>
      <c r="T11" s="54" t="n"/>
      <c r="V11" s="57" t="inlineStr"/>
    </row>
    <row r="12" ht="17" customHeight="1">
      <c r="A12" s="21" t="inlineStr">
        <is>
          <t>D008</t>
        </is>
      </c>
      <c r="B12" s="18" t="inlineStr">
        <is>
          <t>林紫亭</t>
        </is>
      </c>
      <c r="C12" s="50" t="n"/>
      <c r="D12" s="54" t="n"/>
      <c r="E12" s="54" t="n"/>
      <c r="F12" s="55" t="inlineStr">
        <is>
          <t>悅</t>
        </is>
      </c>
      <c r="G12" s="51" t="inlineStr">
        <is>
          <t>悅</t>
        </is>
      </c>
      <c r="H12" s="51" t="inlineStr">
        <is>
          <t>悅</t>
        </is>
      </c>
      <c r="I12" s="50" t="n"/>
      <c r="J12" s="54" t="n"/>
      <c r="K12" s="54" t="n"/>
      <c r="L12" s="50" t="n"/>
      <c r="M12" s="54" t="n"/>
      <c r="N12" s="54" t="n"/>
      <c r="O12" s="50" t="n"/>
      <c r="P12" s="54" t="n"/>
      <c r="Q12" s="54" t="n"/>
      <c r="R12" s="55" t="inlineStr">
        <is>
          <t>悅</t>
        </is>
      </c>
      <c r="S12" s="51" t="inlineStr">
        <is>
          <t>悅</t>
        </is>
      </c>
      <c r="T12" s="54" t="n"/>
      <c r="V12" s="57" t="inlineStr"/>
    </row>
    <row r="13" ht="17" customHeight="1">
      <c r="A13" s="21" t="inlineStr">
        <is>
          <t>D009</t>
        </is>
      </c>
      <c r="B13" s="18" t="inlineStr">
        <is>
          <t>陳昺元</t>
        </is>
      </c>
      <c r="C13" s="50" t="n"/>
      <c r="D13" s="54" t="n"/>
      <c r="E13" s="54" t="n"/>
      <c r="F13" s="50" t="n"/>
      <c r="G13" s="54" t="n"/>
      <c r="H13" s="54" t="n"/>
      <c r="I13" s="55" t="inlineStr">
        <is>
          <t>悅</t>
        </is>
      </c>
      <c r="J13" s="51" t="inlineStr">
        <is>
          <t>悅</t>
        </is>
      </c>
      <c r="K13" s="51" t="inlineStr">
        <is>
          <t>悅</t>
        </is>
      </c>
      <c r="L13" s="50" t="n"/>
      <c r="M13" s="60" t="inlineStr">
        <is>
          <t>寶</t>
        </is>
      </c>
      <c r="N13" s="60" t="inlineStr">
        <is>
          <t>寶</t>
        </is>
      </c>
      <c r="O13" s="62" t="inlineStr">
        <is>
          <t>匯</t>
        </is>
      </c>
      <c r="P13" s="56" t="inlineStr">
        <is>
          <t>匯</t>
        </is>
      </c>
      <c r="Q13" s="56" t="inlineStr">
        <is>
          <t>匯</t>
        </is>
      </c>
      <c r="R13" s="55" t="inlineStr">
        <is>
          <t>悅/匯</t>
        </is>
      </c>
      <c r="S13" s="51" t="inlineStr">
        <is>
          <t>悅/匯</t>
        </is>
      </c>
      <c r="T13" s="54" t="n"/>
      <c r="V13" s="57" t="inlineStr"/>
    </row>
    <row r="14" ht="17" customHeight="1">
      <c r="A14" s="21" t="inlineStr">
        <is>
          <t>D010</t>
        </is>
      </c>
      <c r="B14" s="18" t="inlineStr">
        <is>
          <t>蔡季軒</t>
        </is>
      </c>
      <c r="C14" s="55" t="inlineStr">
        <is>
          <t>悅</t>
        </is>
      </c>
      <c r="D14" s="51" t="inlineStr">
        <is>
          <t>悅</t>
        </is>
      </c>
      <c r="E14" s="51" t="inlineStr">
        <is>
          <t>悅</t>
        </is>
      </c>
      <c r="F14" s="50" t="n"/>
      <c r="G14" s="51" t="inlineStr">
        <is>
          <t>悅</t>
        </is>
      </c>
      <c r="H14" s="51" t="inlineStr">
        <is>
          <t>悅</t>
        </is>
      </c>
      <c r="I14" s="55" t="inlineStr">
        <is>
          <t>悅</t>
        </is>
      </c>
      <c r="J14" s="51" t="inlineStr">
        <is>
          <t>悅</t>
        </is>
      </c>
      <c r="K14" s="54" t="n"/>
      <c r="L14" s="50" t="n"/>
      <c r="M14" s="54" t="n"/>
      <c r="N14" s="54" t="n"/>
      <c r="O14" s="55" t="inlineStr">
        <is>
          <t>悅</t>
        </is>
      </c>
      <c r="P14" s="51" t="inlineStr">
        <is>
          <t>悅</t>
        </is>
      </c>
      <c r="Q14" s="51" t="inlineStr">
        <is>
          <t>悅</t>
        </is>
      </c>
      <c r="R14" s="50" t="n"/>
      <c r="S14" s="54" t="n"/>
      <c r="T14" s="54" t="n"/>
      <c r="V14" s="57" t="inlineStr"/>
    </row>
    <row r="15" ht="17" customHeight="1">
      <c r="A15" s="21" t="inlineStr">
        <is>
          <t>D011</t>
        </is>
      </c>
      <c r="B15" s="18" t="inlineStr">
        <is>
          <t>温健成</t>
        </is>
      </c>
      <c r="C15" s="50" t="n"/>
      <c r="D15" s="56" t="inlineStr">
        <is>
          <t>匯</t>
        </is>
      </c>
      <c r="E15" s="56" t="inlineStr">
        <is>
          <t>匯</t>
        </is>
      </c>
      <c r="F15" s="59" t="inlineStr">
        <is>
          <t>睿</t>
        </is>
      </c>
      <c r="G15" s="58" t="inlineStr">
        <is>
          <t>睿</t>
        </is>
      </c>
      <c r="H15" s="58" t="inlineStr">
        <is>
          <t>睿</t>
        </is>
      </c>
      <c r="I15" s="50" t="n"/>
      <c r="J15" s="56" t="inlineStr">
        <is>
          <t>匯</t>
        </is>
      </c>
      <c r="K15" s="56" t="inlineStr">
        <is>
          <t>匯</t>
        </is>
      </c>
      <c r="L15" s="59" t="inlineStr">
        <is>
          <t>睿</t>
        </is>
      </c>
      <c r="M15" s="58" t="inlineStr">
        <is>
          <t>睿</t>
        </is>
      </c>
      <c r="N15" s="58" t="inlineStr">
        <is>
          <t>睿</t>
        </is>
      </c>
      <c r="O15" s="50" t="n"/>
      <c r="P15" s="54" t="n"/>
      <c r="Q15" s="54" t="n"/>
      <c r="R15" s="59" t="inlineStr">
        <is>
          <t>睿(隔)</t>
        </is>
      </c>
      <c r="S15" s="58" t="inlineStr">
        <is>
          <t>睿(隔)</t>
        </is>
      </c>
      <c r="T15" s="54" t="n"/>
      <c r="V15" s="57" t="inlineStr"/>
    </row>
    <row r="16" ht="17" customHeight="1">
      <c r="A16" s="21" t="inlineStr">
        <is>
          <t>D012</t>
        </is>
      </c>
      <c r="B16" s="18" t="inlineStr">
        <is>
          <t>陳立軒</t>
        </is>
      </c>
      <c r="C16" s="50" t="n"/>
      <c r="D16" s="58" t="inlineStr">
        <is>
          <t>睿</t>
        </is>
      </c>
      <c r="E16" s="58" t="inlineStr">
        <is>
          <t>睿</t>
        </is>
      </c>
      <c r="F16" s="62" t="inlineStr">
        <is>
          <t>匯</t>
        </is>
      </c>
      <c r="G16" s="53" t="inlineStr">
        <is>
          <t>曜</t>
        </is>
      </c>
      <c r="H16" s="53" t="inlineStr">
        <is>
          <t>曜</t>
        </is>
      </c>
      <c r="I16" s="50" t="n"/>
      <c r="J16" s="58" t="inlineStr">
        <is>
          <t>睿</t>
        </is>
      </c>
      <c r="K16" s="58" t="inlineStr">
        <is>
          <t>睿</t>
        </is>
      </c>
      <c r="L16" s="62" t="inlineStr">
        <is>
          <t>匯</t>
        </is>
      </c>
      <c r="M16" s="56" t="inlineStr">
        <is>
          <t>匯</t>
        </is>
      </c>
      <c r="N16" s="56" t="inlineStr">
        <is>
          <t>匯</t>
        </is>
      </c>
      <c r="O16" s="52" t="inlineStr">
        <is>
          <t>曜</t>
        </is>
      </c>
      <c r="P16" s="53" t="inlineStr">
        <is>
          <t>曜</t>
        </is>
      </c>
      <c r="Q16" s="53" t="inlineStr">
        <is>
          <t>曜</t>
        </is>
      </c>
      <c r="R16" s="52" t="inlineStr">
        <is>
          <t>曜(隔)</t>
        </is>
      </c>
      <c r="S16" s="53" t="inlineStr">
        <is>
          <t>曜(隔)</t>
        </is>
      </c>
      <c r="T16" s="54" t="n"/>
      <c r="V16" s="57" t="inlineStr"/>
    </row>
    <row r="17" ht="17" customHeight="1">
      <c r="A17" s="21" t="inlineStr">
        <is>
          <t>D013</t>
        </is>
      </c>
      <c r="B17" s="18" t="inlineStr">
        <is>
          <t>朱柏非</t>
        </is>
      </c>
      <c r="C17" s="55" t="inlineStr">
        <is>
          <t>悅</t>
        </is>
      </c>
      <c r="D17" s="51" t="inlineStr">
        <is>
          <t>悅</t>
        </is>
      </c>
      <c r="E17" s="51" t="inlineStr">
        <is>
          <t>悅</t>
        </is>
      </c>
      <c r="F17" s="50" t="n"/>
      <c r="G17" s="54" t="n"/>
      <c r="H17" s="54" t="n"/>
      <c r="I17" s="62" t="inlineStr">
        <is>
          <t>匯</t>
        </is>
      </c>
      <c r="J17" s="56" t="inlineStr">
        <is>
          <t>匯</t>
        </is>
      </c>
      <c r="K17" s="56" t="inlineStr">
        <is>
          <t>匯</t>
        </is>
      </c>
      <c r="L17" s="50" t="n"/>
      <c r="M17" s="60" t="inlineStr">
        <is>
          <t>寶</t>
        </is>
      </c>
      <c r="N17" s="60" t="inlineStr">
        <is>
          <t>寶</t>
        </is>
      </c>
      <c r="O17" s="55" t="inlineStr">
        <is>
          <t>悅</t>
        </is>
      </c>
      <c r="P17" s="51" t="inlineStr">
        <is>
          <t>悅</t>
        </is>
      </c>
      <c r="Q17" s="51" t="inlineStr">
        <is>
          <t>悅</t>
        </is>
      </c>
      <c r="R17" s="55" t="inlineStr">
        <is>
          <t>悅/匯</t>
        </is>
      </c>
      <c r="S17" s="51" t="inlineStr">
        <is>
          <t>悅/匯</t>
        </is>
      </c>
      <c r="T17" s="54" t="n"/>
      <c r="V17" s="57" t="inlineStr"/>
    </row>
    <row r="18" ht="17" customHeight="1">
      <c r="A18" s="21" t="inlineStr">
        <is>
          <t>D014</t>
        </is>
      </c>
      <c r="B18" s="18" t="inlineStr">
        <is>
          <t>鄭漢賢</t>
        </is>
      </c>
      <c r="C18" s="55" t="inlineStr">
        <is>
          <t>悅</t>
        </is>
      </c>
      <c r="D18" s="51" t="inlineStr">
        <is>
          <t>悅</t>
        </is>
      </c>
      <c r="E18" s="51" t="inlineStr">
        <is>
          <t>悅</t>
        </is>
      </c>
      <c r="F18" s="62" t="inlineStr">
        <is>
          <t>匯</t>
        </is>
      </c>
      <c r="G18" s="56" t="inlineStr">
        <is>
          <t>匯</t>
        </is>
      </c>
      <c r="H18" s="56" t="inlineStr">
        <is>
          <t>匯</t>
        </is>
      </c>
      <c r="I18" s="50" t="n"/>
      <c r="J18" s="54" t="n"/>
      <c r="K18" s="54" t="n"/>
      <c r="L18" s="55" t="inlineStr">
        <is>
          <t>悅</t>
        </is>
      </c>
      <c r="M18" s="51" t="inlineStr">
        <is>
          <t>悅</t>
        </is>
      </c>
      <c r="N18" s="54" t="n"/>
      <c r="O18" s="62" t="inlineStr">
        <is>
          <t>匯</t>
        </is>
      </c>
      <c r="P18" s="56" t="inlineStr">
        <is>
          <t>匯</t>
        </is>
      </c>
      <c r="Q18" s="56" t="inlineStr">
        <is>
          <t>匯</t>
        </is>
      </c>
      <c r="R18" s="55" t="inlineStr">
        <is>
          <t>悅</t>
        </is>
      </c>
      <c r="S18" s="51" t="inlineStr">
        <is>
          <t>悅</t>
        </is>
      </c>
      <c r="T18" s="54" t="n"/>
      <c r="V18" s="57" t="inlineStr"/>
    </row>
    <row r="19" ht="17" customHeight="1">
      <c r="A19" s="21" t="inlineStr">
        <is>
          <t>D015</t>
        </is>
      </c>
      <c r="B19" s="18" t="inlineStr">
        <is>
          <t>徐平</t>
        </is>
      </c>
      <c r="C19" s="50" t="n"/>
      <c r="D19" s="53" t="inlineStr">
        <is>
          <t>曜</t>
        </is>
      </c>
      <c r="E19" s="53" t="inlineStr">
        <is>
          <t>曜</t>
        </is>
      </c>
      <c r="F19" s="50" t="n"/>
      <c r="G19" s="51" t="inlineStr">
        <is>
          <t>悅</t>
        </is>
      </c>
      <c r="H19" s="51" t="inlineStr">
        <is>
          <t>悅</t>
        </is>
      </c>
      <c r="I19" s="50" t="n"/>
      <c r="J19" s="53" t="inlineStr">
        <is>
          <t>曜</t>
        </is>
      </c>
      <c r="K19" s="53" t="inlineStr">
        <is>
          <t>曜</t>
        </is>
      </c>
      <c r="L19" s="50" t="n"/>
      <c r="M19" s="51" t="inlineStr">
        <is>
          <t>悅</t>
        </is>
      </c>
      <c r="N19" s="51" t="inlineStr">
        <is>
          <t>悅</t>
        </is>
      </c>
      <c r="O19" s="50" t="n"/>
      <c r="P19" s="53" t="inlineStr">
        <is>
          <t>曜</t>
        </is>
      </c>
      <c r="Q19" s="53" t="inlineStr">
        <is>
          <t>曜</t>
        </is>
      </c>
      <c r="R19" s="52" t="inlineStr">
        <is>
          <t>曜(隔)</t>
        </is>
      </c>
      <c r="S19" s="53" t="inlineStr">
        <is>
          <t>曜(隔)</t>
        </is>
      </c>
      <c r="T19" s="54" t="n"/>
      <c r="V19" s="57" t="inlineStr"/>
    </row>
    <row r="20" ht="17" customHeight="1">
      <c r="A20" s="21" t="inlineStr">
        <is>
          <t>D016</t>
        </is>
      </c>
      <c r="B20" s="18" t="inlineStr">
        <is>
          <t>賴敏傑</t>
        </is>
      </c>
      <c r="C20" s="59" t="inlineStr">
        <is>
          <t>睿</t>
        </is>
      </c>
      <c r="D20" s="58" t="inlineStr">
        <is>
          <t>睿</t>
        </is>
      </c>
      <c r="E20" s="58" t="inlineStr">
        <is>
          <t>睿</t>
        </is>
      </c>
      <c r="F20" s="50" t="n"/>
      <c r="G20" s="54" t="n"/>
      <c r="H20" s="54" t="n"/>
      <c r="I20" s="50" t="n"/>
      <c r="J20" s="54" t="n"/>
      <c r="K20" s="54" t="n"/>
      <c r="L20" s="59" t="inlineStr">
        <is>
          <t>睿</t>
        </is>
      </c>
      <c r="M20" s="54" t="n"/>
      <c r="N20" s="54" t="n"/>
      <c r="O20" s="50" t="n"/>
      <c r="P20" s="54" t="n"/>
      <c r="Q20" s="54" t="n"/>
      <c r="R20" s="50" t="n"/>
      <c r="S20" s="54" t="n"/>
      <c r="T20" s="54" t="n"/>
      <c r="V20" s="57" t="inlineStr"/>
    </row>
    <row r="21" ht="17" customHeight="1">
      <c r="A21" s="21" t="inlineStr">
        <is>
          <t>D017</t>
        </is>
      </c>
      <c r="B21" s="18" t="inlineStr">
        <is>
          <t>吳柏賢</t>
        </is>
      </c>
      <c r="C21" s="52" t="inlineStr">
        <is>
          <t>曜</t>
        </is>
      </c>
      <c r="D21" s="53" t="inlineStr">
        <is>
          <t>曜</t>
        </is>
      </c>
      <c r="E21" s="53" t="inlineStr">
        <is>
          <t>曜</t>
        </is>
      </c>
      <c r="F21" s="50" t="n"/>
      <c r="G21" s="54" t="n"/>
      <c r="H21" s="54" t="n"/>
      <c r="I21" s="52" t="inlineStr">
        <is>
          <t>曜</t>
        </is>
      </c>
      <c r="J21" s="53" t="inlineStr">
        <is>
          <t>曜</t>
        </is>
      </c>
      <c r="K21" s="53" t="inlineStr">
        <is>
          <t>曜</t>
        </is>
      </c>
      <c r="L21" s="59" t="inlineStr">
        <is>
          <t>睿</t>
        </is>
      </c>
      <c r="M21" s="58" t="inlineStr">
        <is>
          <t>睿</t>
        </is>
      </c>
      <c r="N21" s="58" t="inlineStr">
        <is>
          <t>睿</t>
        </is>
      </c>
      <c r="O21" s="50" t="n"/>
      <c r="P21" s="53" t="inlineStr">
        <is>
          <t>曜</t>
        </is>
      </c>
      <c r="Q21" s="53" t="inlineStr">
        <is>
          <t>曜</t>
        </is>
      </c>
      <c r="R21" s="59" t="inlineStr">
        <is>
          <t>睿</t>
        </is>
      </c>
      <c r="S21" s="58" t="inlineStr">
        <is>
          <t>睿</t>
        </is>
      </c>
      <c r="T21" s="54" t="n"/>
      <c r="V21" s="57" t="inlineStr"/>
    </row>
    <row r="22" ht="17" customHeight="1">
      <c r="A22" s="21" t="inlineStr">
        <is>
          <t>D018</t>
        </is>
      </c>
      <c r="B22" s="18" t="inlineStr">
        <is>
          <t>許博諺</t>
        </is>
      </c>
      <c r="C22" s="59" t="inlineStr">
        <is>
          <t>睿</t>
        </is>
      </c>
      <c r="D22" s="58" t="inlineStr">
        <is>
          <t>睿</t>
        </is>
      </c>
      <c r="E22" s="58" t="inlineStr">
        <is>
          <t>睿</t>
        </is>
      </c>
      <c r="F22" s="52" t="inlineStr">
        <is>
          <t>曜</t>
        </is>
      </c>
      <c r="G22" s="53" t="inlineStr">
        <is>
          <t>曜</t>
        </is>
      </c>
      <c r="H22" s="53" t="inlineStr">
        <is>
          <t>曜</t>
        </is>
      </c>
      <c r="I22" s="50" t="n"/>
      <c r="J22" s="54" t="n"/>
      <c r="K22" s="54" t="n"/>
      <c r="L22" s="52" t="inlineStr">
        <is>
          <t>曜</t>
        </is>
      </c>
      <c r="M22" s="53" t="inlineStr">
        <is>
          <t>曜</t>
        </is>
      </c>
      <c r="N22" s="53" t="inlineStr">
        <is>
          <t>曜</t>
        </is>
      </c>
      <c r="O22" s="50" t="n"/>
      <c r="P22" s="58" t="inlineStr">
        <is>
          <t>睿</t>
        </is>
      </c>
      <c r="Q22" s="58" t="inlineStr">
        <is>
          <t>睿</t>
        </is>
      </c>
      <c r="R22" s="52" t="inlineStr">
        <is>
          <t>曜</t>
        </is>
      </c>
      <c r="S22" s="53" t="inlineStr">
        <is>
          <t>曜</t>
        </is>
      </c>
      <c r="T22" s="54" t="n"/>
      <c r="V22" s="57" t="inlineStr"/>
    </row>
    <row r="23" ht="17" customHeight="1">
      <c r="A23" s="21" t="inlineStr">
        <is>
          <t>D019</t>
        </is>
      </c>
      <c r="B23" s="18" t="inlineStr">
        <is>
          <t>翁崎紘</t>
        </is>
      </c>
      <c r="C23" s="50" t="n"/>
      <c r="D23" s="54" t="n"/>
      <c r="E23" s="54" t="n"/>
      <c r="F23" s="50" t="n"/>
      <c r="G23" s="54" t="n"/>
      <c r="H23" s="54" t="n"/>
      <c r="I23" s="50" t="n"/>
      <c r="J23" s="54" t="n"/>
      <c r="K23" s="54" t="n"/>
      <c r="L23" s="50" t="n"/>
      <c r="M23" s="54" t="n"/>
      <c r="N23" s="54" t="n"/>
      <c r="O23" s="50" t="n"/>
      <c r="P23" s="51" t="inlineStr">
        <is>
          <t>悅(不定)</t>
        </is>
      </c>
      <c r="Q23" s="51" t="inlineStr">
        <is>
          <t>悅(不定)</t>
        </is>
      </c>
      <c r="R23" s="50" t="n"/>
      <c r="S23" s="54" t="n"/>
      <c r="T23" s="54" t="n"/>
      <c r="V23" s="57" t="inlineStr"/>
    </row>
    <row r="24" ht="17" customHeight="1">
      <c r="A24" s="21" t="inlineStr">
        <is>
          <t>D020</t>
        </is>
      </c>
      <c r="B24" s="18" t="inlineStr">
        <is>
          <t>余柏萱</t>
        </is>
      </c>
      <c r="C24" s="50" t="n"/>
      <c r="D24" s="54" t="n"/>
      <c r="E24" s="54" t="n"/>
      <c r="F24" s="59" t="inlineStr">
        <is>
          <t>睿</t>
        </is>
      </c>
      <c r="G24" s="58" t="inlineStr">
        <is>
          <t>睿</t>
        </is>
      </c>
      <c r="H24" s="58" t="inlineStr">
        <is>
          <t>睿</t>
        </is>
      </c>
      <c r="I24" s="59" t="inlineStr">
        <is>
          <t>睿</t>
        </is>
      </c>
      <c r="J24" s="58" t="inlineStr">
        <is>
          <t>睿</t>
        </is>
      </c>
      <c r="K24" s="58" t="inlineStr">
        <is>
          <t>睿</t>
        </is>
      </c>
      <c r="L24" s="50" t="n"/>
      <c r="M24" s="54" t="n"/>
      <c r="N24" s="54" t="n"/>
      <c r="O24" s="59" t="inlineStr">
        <is>
          <t>睿</t>
        </is>
      </c>
      <c r="P24" s="60" t="inlineStr">
        <is>
          <t>寶</t>
        </is>
      </c>
      <c r="Q24" s="60" t="inlineStr">
        <is>
          <t>寶</t>
        </is>
      </c>
      <c r="R24" s="59" t="inlineStr">
        <is>
          <t>睿</t>
        </is>
      </c>
      <c r="S24" s="58" t="inlineStr">
        <is>
          <t>睿</t>
        </is>
      </c>
      <c r="T24" s="54" t="n"/>
      <c r="V24" s="57" t="inlineStr"/>
    </row>
    <row r="25" ht="17" customHeight="1">
      <c r="A25" s="21" t="inlineStr">
        <is>
          <t>D021</t>
        </is>
      </c>
      <c r="B25" s="18" t="inlineStr">
        <is>
          <t>鄭博文</t>
        </is>
      </c>
      <c r="C25" s="50" t="n"/>
      <c r="D25" s="54" t="n"/>
      <c r="E25" s="54" t="n"/>
      <c r="F25" s="50" t="n"/>
      <c r="G25" s="51" t="inlineStr">
        <is>
          <t>悅</t>
        </is>
      </c>
      <c r="H25" s="51" t="inlineStr">
        <is>
          <t>悅</t>
        </is>
      </c>
      <c r="I25" s="55" t="inlineStr">
        <is>
          <t>悅</t>
        </is>
      </c>
      <c r="J25" s="51" t="inlineStr">
        <is>
          <t>悅</t>
        </is>
      </c>
      <c r="K25" s="51" t="inlineStr">
        <is>
          <t>悅</t>
        </is>
      </c>
      <c r="L25" s="55" t="inlineStr">
        <is>
          <t>悅</t>
        </is>
      </c>
      <c r="M25" s="51" t="inlineStr">
        <is>
          <t>悅</t>
        </is>
      </c>
      <c r="N25" s="51" t="inlineStr">
        <is>
          <t>悅</t>
        </is>
      </c>
      <c r="O25" s="50" t="n"/>
      <c r="P25" s="51" t="inlineStr">
        <is>
          <t>悅</t>
        </is>
      </c>
      <c r="Q25" s="51" t="inlineStr">
        <is>
          <t>悅</t>
        </is>
      </c>
      <c r="R25" s="55" t="inlineStr">
        <is>
          <t>悅</t>
        </is>
      </c>
      <c r="S25" s="51" t="inlineStr">
        <is>
          <t>悅</t>
        </is>
      </c>
      <c r="T25" s="54" t="n"/>
      <c r="V25" s="57" t="inlineStr"/>
    </row>
    <row r="26" ht="17" customHeight="1">
      <c r="A26" s="21" t="inlineStr">
        <is>
          <t>D022</t>
        </is>
      </c>
      <c r="B26" s="18" t="inlineStr">
        <is>
          <t>黃育亭</t>
        </is>
      </c>
      <c r="C26" s="50" t="n"/>
      <c r="D26" s="54" t="n"/>
      <c r="E26" s="54" t="n"/>
      <c r="F26" s="50" t="n"/>
      <c r="G26" s="54" t="n"/>
      <c r="H26" s="54" t="n"/>
      <c r="I26" s="50" t="n"/>
      <c r="J26" s="60" t="inlineStr">
        <is>
          <t>寶</t>
        </is>
      </c>
      <c r="K26" s="60" t="inlineStr">
        <is>
          <t>寶</t>
        </is>
      </c>
      <c r="L26" s="50" t="n"/>
      <c r="M26" s="54" t="n"/>
      <c r="N26" s="54" t="n"/>
      <c r="O26" s="50" t="n"/>
      <c r="P26" s="54" t="n"/>
      <c r="Q26" s="54" t="n"/>
      <c r="R26" s="61" t="inlineStr">
        <is>
          <t>寶(不定)</t>
        </is>
      </c>
      <c r="S26" s="60" t="inlineStr">
        <is>
          <t>寶(不定)</t>
        </is>
      </c>
      <c r="T26" s="54" t="n"/>
      <c r="V26" s="57" t="inlineStr"/>
    </row>
    <row r="27" ht="17" customHeight="1">
      <c r="A27" s="21" t="inlineStr">
        <is>
          <t>D023</t>
        </is>
      </c>
      <c r="B27" s="18" t="inlineStr">
        <is>
          <t>黃婷愉</t>
        </is>
      </c>
      <c r="C27" s="50" t="n"/>
      <c r="D27" s="54" t="n"/>
      <c r="E27" s="54" t="n"/>
      <c r="F27" s="50" t="n"/>
      <c r="G27" s="54" t="n"/>
      <c r="H27" s="54" t="n"/>
      <c r="I27" s="50" t="n"/>
      <c r="J27" s="54" t="n"/>
      <c r="K27" s="54" t="n"/>
      <c r="L27" s="50" t="n"/>
      <c r="M27" s="54" t="n"/>
      <c r="N27" s="54" t="n"/>
      <c r="O27" s="50" t="n"/>
      <c r="P27" s="54" t="n"/>
      <c r="Q27" s="54" t="n"/>
      <c r="R27" s="61" t="inlineStr">
        <is>
          <t>寶(不定)</t>
        </is>
      </c>
      <c r="S27" s="60" t="inlineStr">
        <is>
          <t>寶(不定)</t>
        </is>
      </c>
      <c r="T27" s="54" t="n"/>
      <c r="V27" s="57" t="inlineStr"/>
    </row>
    <row r="28" ht="17" customHeight="1">
      <c r="A28" s="21" t="inlineStr">
        <is>
          <t>D024</t>
        </is>
      </c>
      <c r="B28" s="18" t="inlineStr">
        <is>
          <t>林紓安</t>
        </is>
      </c>
      <c r="C28" s="50" t="n"/>
      <c r="D28" s="60" t="inlineStr">
        <is>
          <t>寶</t>
        </is>
      </c>
      <c r="E28" s="60" t="inlineStr">
        <is>
          <t>寶</t>
        </is>
      </c>
      <c r="F28" s="50" t="n"/>
      <c r="G28" s="54" t="n"/>
      <c r="H28" s="54" t="n"/>
      <c r="I28" s="50" t="n"/>
      <c r="J28" s="56" t="inlineStr">
        <is>
          <t>匯(隔)</t>
        </is>
      </c>
      <c r="K28" s="56" t="inlineStr">
        <is>
          <t>匯(隔)</t>
        </is>
      </c>
      <c r="L28" s="50" t="n"/>
      <c r="M28" s="54" t="n"/>
      <c r="N28" s="54" t="n"/>
      <c r="O28" s="50" t="n"/>
      <c r="P28" s="60" t="inlineStr">
        <is>
          <t>寶</t>
        </is>
      </c>
      <c r="Q28" s="60" t="inlineStr">
        <is>
          <t>寶</t>
        </is>
      </c>
      <c r="R28" s="50" t="n"/>
      <c r="S28" s="54" t="n"/>
      <c r="T28" s="54" t="n"/>
      <c r="V28" s="57" t="inlineStr"/>
    </row>
    <row r="29" ht="17" customHeight="1">
      <c r="A29" s="21" t="inlineStr">
        <is>
          <t>D025</t>
        </is>
      </c>
      <c r="B29" s="18" t="inlineStr">
        <is>
          <t>陳爵安</t>
        </is>
      </c>
      <c r="C29" s="59" t="inlineStr">
        <is>
          <t>睿</t>
        </is>
      </c>
      <c r="D29" s="54" t="n"/>
      <c r="E29" s="54" t="n"/>
      <c r="F29" s="50" t="n"/>
      <c r="G29" s="54" t="n"/>
      <c r="H29" s="54" t="n"/>
      <c r="I29" s="59" t="inlineStr">
        <is>
          <t>睿</t>
        </is>
      </c>
      <c r="J29" s="54" t="n"/>
      <c r="K29" s="58" t="inlineStr">
        <is>
          <t>睿</t>
        </is>
      </c>
      <c r="L29" s="50" t="n"/>
      <c r="M29" s="54" t="n"/>
      <c r="N29" s="54" t="n"/>
      <c r="O29" s="59" t="inlineStr">
        <is>
          <t>睿</t>
        </is>
      </c>
      <c r="P29" s="58" t="inlineStr">
        <is>
          <t>睿</t>
        </is>
      </c>
      <c r="Q29" s="58" t="inlineStr">
        <is>
          <t>睿</t>
        </is>
      </c>
      <c r="R29" s="59" t="inlineStr">
        <is>
          <t>睿</t>
        </is>
      </c>
      <c r="S29" s="58" t="inlineStr">
        <is>
          <t>睿</t>
        </is>
      </c>
      <c r="T29" s="54" t="n"/>
      <c r="V29" s="57" t="inlineStr"/>
    </row>
    <row r="30" ht="17" customHeight="1">
      <c r="A30" s="21" t="inlineStr">
        <is>
          <t>D026</t>
        </is>
      </c>
      <c r="B30" s="18" t="inlineStr">
        <is>
          <t>吳冠廷</t>
        </is>
      </c>
      <c r="C30" s="62" t="inlineStr">
        <is>
          <t>匯</t>
        </is>
      </c>
      <c r="D30" s="56" t="inlineStr">
        <is>
          <t>匯</t>
        </is>
      </c>
      <c r="E30" s="56" t="inlineStr">
        <is>
          <t>匯</t>
        </is>
      </c>
      <c r="F30" s="50" t="n"/>
      <c r="G30" s="54" t="n"/>
      <c r="H30" s="54" t="n"/>
      <c r="I30" s="50" t="n"/>
      <c r="J30" s="54" t="n"/>
      <c r="K30" s="54" t="n"/>
      <c r="L30" s="62" t="inlineStr">
        <is>
          <t>匯</t>
        </is>
      </c>
      <c r="M30" s="56" t="inlineStr">
        <is>
          <t>匯</t>
        </is>
      </c>
      <c r="N30" s="56" t="inlineStr">
        <is>
          <t>匯</t>
        </is>
      </c>
      <c r="O30" s="50" t="n"/>
      <c r="P30" s="54" t="n"/>
      <c r="Q30" s="54" t="n"/>
      <c r="R30" s="50" t="n"/>
      <c r="S30" s="54" t="n"/>
      <c r="T30" s="54" t="n"/>
      <c r="V30" s="57" t="inlineStr"/>
    </row>
    <row r="31" ht="17" customHeight="1">
      <c r="A31" s="21" t="inlineStr">
        <is>
          <t>D027</t>
        </is>
      </c>
      <c r="B31" s="18" t="inlineStr">
        <is>
          <t>楊孟庭</t>
        </is>
      </c>
      <c r="C31" s="50" t="n"/>
      <c r="D31" s="56" t="inlineStr">
        <is>
          <t>匯(隔)</t>
        </is>
      </c>
      <c r="E31" s="56" t="inlineStr">
        <is>
          <t>匯(隔)</t>
        </is>
      </c>
      <c r="F31" s="50" t="n"/>
      <c r="G31" s="54" t="n"/>
      <c r="H31" s="54" t="n"/>
      <c r="I31" s="50" t="n"/>
      <c r="J31" s="54" t="n"/>
      <c r="K31" s="54" t="n"/>
      <c r="L31" s="50" t="n"/>
      <c r="M31" s="54" t="n"/>
      <c r="N31" s="54" t="n"/>
      <c r="O31" s="50" t="n"/>
      <c r="P31" s="54" t="n"/>
      <c r="Q31" s="54" t="n"/>
      <c r="R31" s="62" t="inlineStr">
        <is>
          <t>匯(隔)</t>
        </is>
      </c>
      <c r="S31" s="56" t="inlineStr">
        <is>
          <t>匯(隔)</t>
        </is>
      </c>
      <c r="T31" s="54" t="n"/>
      <c r="V31" s="57" t="inlineStr"/>
    </row>
    <row r="32" ht="17" customHeight="1">
      <c r="A32" s="21" t="n"/>
      <c r="B32" s="18">
        <f>IFERROR(INDEX(設定!$C$80:$C$219,MATCH($A32,設定!$B$80:$B$219,0)),"")</f>
        <v/>
      </c>
      <c r="C32" s="50" t="n"/>
      <c r="D32" s="54" t="n"/>
      <c r="E32" s="54" t="n"/>
      <c r="F32" s="50" t="n"/>
      <c r="G32" s="54" t="n"/>
      <c r="H32" s="54" t="n"/>
      <c r="I32" s="50" t="n"/>
      <c r="J32" s="54" t="n"/>
      <c r="K32" s="54" t="n"/>
      <c r="L32" s="50" t="n"/>
      <c r="M32" s="54" t="n"/>
      <c r="N32" s="54" t="n"/>
      <c r="O32" s="50" t="n"/>
      <c r="P32" s="54" t="n"/>
      <c r="Q32" s="54" t="n"/>
      <c r="R32" s="50" t="n"/>
      <c r="S32" s="54" t="n"/>
      <c r="T32" s="54" t="n"/>
      <c r="V32" s="57" t="inlineStr"/>
    </row>
    <row r="33" ht="17" customHeight="1">
      <c r="A33" s="21" t="n"/>
      <c r="B33" s="18">
        <f>IFERROR(INDEX(設定!$C$80:$C$219,MATCH($A33,設定!$B$80:$B$219,0)),"")</f>
        <v/>
      </c>
      <c r="C33" s="50" t="n"/>
      <c r="D33" s="54" t="n"/>
      <c r="E33" s="54" t="n"/>
      <c r="F33" s="50" t="n"/>
      <c r="G33" s="54" t="n"/>
      <c r="H33" s="54" t="n"/>
      <c r="I33" s="50" t="n"/>
      <c r="J33" s="54" t="n"/>
      <c r="K33" s="54" t="n"/>
      <c r="L33" s="50" t="n"/>
      <c r="M33" s="54" t="n"/>
      <c r="N33" s="54" t="n"/>
      <c r="O33" s="50" t="n"/>
      <c r="P33" s="54" t="n"/>
      <c r="Q33" s="54" t="n"/>
      <c r="R33" s="50" t="n"/>
      <c r="S33" s="54" t="n"/>
      <c r="T33" s="54" t="n"/>
      <c r="V33" s="57" t="inlineStr"/>
    </row>
    <row r="34" ht="17" customHeight="1">
      <c r="A34" s="21" t="n"/>
      <c r="B34" s="18">
        <f>IFERROR(INDEX(設定!$C$80:$C$219,MATCH($A34,設定!$B$80:$B$219,0)),"")</f>
        <v/>
      </c>
      <c r="C34" s="50" t="n"/>
      <c r="D34" s="54" t="n"/>
      <c r="E34" s="54" t="n"/>
      <c r="F34" s="50" t="n"/>
      <c r="G34" s="54" t="n"/>
      <c r="H34" s="54" t="n"/>
      <c r="I34" s="50" t="n"/>
      <c r="J34" s="54" t="n"/>
      <c r="K34" s="54" t="n"/>
      <c r="L34" s="50" t="n"/>
      <c r="M34" s="54" t="n"/>
      <c r="N34" s="54" t="n"/>
      <c r="O34" s="50" t="n"/>
      <c r="P34" s="54" t="n"/>
      <c r="Q34" s="54" t="n"/>
      <c r="R34" s="50" t="n"/>
      <c r="S34" s="54" t="n"/>
      <c r="T34" s="54" t="n"/>
      <c r="V34" s="57" t="inlineStr"/>
    </row>
    <row r="35" ht="17" customHeight="1">
      <c r="A35" s="21" t="n"/>
      <c r="B35" s="18">
        <f>IFERROR(INDEX(設定!$C$80:$C$219,MATCH($A35,設定!$B$80:$B$219,0)),"")</f>
        <v/>
      </c>
      <c r="C35" s="50" t="n"/>
      <c r="D35" s="54" t="n"/>
      <c r="E35" s="54" t="n"/>
      <c r="F35" s="50" t="n"/>
      <c r="G35" s="54" t="n"/>
      <c r="H35" s="54" t="n"/>
      <c r="I35" s="50" t="n"/>
      <c r="J35" s="54" t="n"/>
      <c r="K35" s="54" t="n"/>
      <c r="L35" s="50" t="n"/>
      <c r="M35" s="54" t="n"/>
      <c r="N35" s="54" t="n"/>
      <c r="O35" s="50" t="n"/>
      <c r="P35" s="54" t="n"/>
      <c r="Q35" s="54" t="n"/>
      <c r="R35" s="50" t="n"/>
      <c r="S35" s="54" t="n"/>
      <c r="T35" s="54" t="n"/>
      <c r="V35" s="57" t="inlineStr"/>
    </row>
    <row r="36" ht="17" customHeight="1">
      <c r="A36" s="21" t="n"/>
      <c r="B36" s="18">
        <f>IFERROR(INDEX(設定!$C$80:$C$219,MATCH($A36,設定!$B$80:$B$219,0)),"")</f>
        <v/>
      </c>
      <c r="C36" s="50" t="n"/>
      <c r="D36" s="54" t="n"/>
      <c r="E36" s="54" t="n"/>
      <c r="F36" s="50" t="n"/>
      <c r="G36" s="54" t="n"/>
      <c r="H36" s="54" t="n"/>
      <c r="I36" s="50" t="n"/>
      <c r="J36" s="54" t="n"/>
      <c r="K36" s="54" t="n"/>
      <c r="L36" s="50" t="n"/>
      <c r="M36" s="54" t="n"/>
      <c r="N36" s="54" t="n"/>
      <c r="O36" s="50" t="n"/>
      <c r="P36" s="54" t="n"/>
      <c r="Q36" s="54" t="n"/>
      <c r="R36" s="50" t="n"/>
      <c r="S36" s="54" t="n"/>
      <c r="T36" s="54" t="n"/>
      <c r="V36" s="57" t="inlineStr"/>
    </row>
    <row r="37" ht="17" customHeight="1">
      <c r="A37" s="21" t="n"/>
      <c r="B37" s="18">
        <f>IFERROR(INDEX(設定!$C$80:$C$219,MATCH($A37,設定!$B$80:$B$219,0)),"")</f>
        <v/>
      </c>
      <c r="C37" s="50" t="n"/>
      <c r="D37" s="54" t="n"/>
      <c r="E37" s="54" t="n"/>
      <c r="F37" s="50" t="n"/>
      <c r="G37" s="54" t="n"/>
      <c r="H37" s="54" t="n"/>
      <c r="I37" s="50" t="n"/>
      <c r="J37" s="54" t="n"/>
      <c r="K37" s="54" t="n"/>
      <c r="L37" s="50" t="n"/>
      <c r="M37" s="54" t="n"/>
      <c r="N37" s="54" t="n"/>
      <c r="O37" s="50" t="n"/>
      <c r="P37" s="54" t="n"/>
      <c r="Q37" s="54" t="n"/>
      <c r="R37" s="50" t="n"/>
      <c r="S37" s="54" t="n"/>
      <c r="T37" s="54" t="n"/>
      <c r="V37" s="57" t="inlineStr"/>
    </row>
    <row r="38" ht="17" customHeight="1">
      <c r="A38" s="21" t="n"/>
      <c r="B38" s="18">
        <f>IFERROR(INDEX(設定!$C$80:$C$219,MATCH($A38,設定!$B$80:$B$219,0)),"")</f>
        <v/>
      </c>
      <c r="C38" s="50" t="n"/>
      <c r="D38" s="54" t="n"/>
      <c r="E38" s="54" t="n"/>
      <c r="F38" s="50" t="n"/>
      <c r="G38" s="54" t="n"/>
      <c r="H38" s="54" t="n"/>
      <c r="I38" s="50" t="n"/>
      <c r="J38" s="54" t="n"/>
      <c r="K38" s="54" t="n"/>
      <c r="L38" s="50" t="n"/>
      <c r="M38" s="54" t="n"/>
      <c r="N38" s="54" t="n"/>
      <c r="O38" s="50" t="n"/>
      <c r="P38" s="54" t="n"/>
      <c r="Q38" s="54" t="n"/>
      <c r="R38" s="50" t="n"/>
      <c r="S38" s="54" t="n"/>
      <c r="T38" s="54" t="n"/>
      <c r="V38" s="57" t="inlineStr"/>
    </row>
    <row r="39" ht="17" customHeight="1">
      <c r="A39" s="21" t="n"/>
      <c r="B39" s="18">
        <f>IFERROR(INDEX(設定!$C$80:$C$219,MATCH($A39,設定!$B$80:$B$219,0)),"")</f>
        <v/>
      </c>
      <c r="C39" s="50" t="n"/>
      <c r="D39" s="54" t="n"/>
      <c r="E39" s="54" t="n"/>
      <c r="F39" s="50" t="n"/>
      <c r="G39" s="54" t="n"/>
      <c r="H39" s="54" t="n"/>
      <c r="I39" s="50" t="n"/>
      <c r="J39" s="54" t="n"/>
      <c r="K39" s="54" t="n"/>
      <c r="L39" s="50" t="n"/>
      <c r="M39" s="54" t="n"/>
      <c r="N39" s="54" t="n"/>
      <c r="O39" s="50" t="n"/>
      <c r="P39" s="54" t="n"/>
      <c r="Q39" s="54" t="n"/>
      <c r="R39" s="50" t="n"/>
      <c r="S39" s="54" t="n"/>
      <c r="T39" s="54" t="n"/>
      <c r="V39" s="57" t="inlineStr"/>
    </row>
    <row r="40" ht="17" customHeight="1">
      <c r="A40" s="21" t="n"/>
      <c r="B40" s="18">
        <f>IFERROR(INDEX(設定!$C$80:$C$219,MATCH($A40,設定!$B$80:$B$219,0)),"")</f>
        <v/>
      </c>
      <c r="C40" s="50" t="n"/>
      <c r="D40" s="54" t="n"/>
      <c r="E40" s="54" t="n"/>
      <c r="F40" s="50" t="n"/>
      <c r="G40" s="54" t="n"/>
      <c r="H40" s="54" t="n"/>
      <c r="I40" s="50" t="n"/>
      <c r="J40" s="54" t="n"/>
      <c r="K40" s="54" t="n"/>
      <c r="L40" s="50" t="n"/>
      <c r="M40" s="54" t="n"/>
      <c r="N40" s="54" t="n"/>
      <c r="O40" s="50" t="n"/>
      <c r="P40" s="54" t="n"/>
      <c r="Q40" s="54" t="n"/>
      <c r="R40" s="50" t="n"/>
      <c r="S40" s="54" t="n"/>
      <c r="T40" s="54" t="n"/>
      <c r="V40" s="57" t="inlineStr"/>
    </row>
    <row r="41" ht="17" customHeight="1">
      <c r="A41" s="21" t="n"/>
      <c r="B41" s="18">
        <f>IFERROR(INDEX(設定!$C$80:$C$219,MATCH($A41,設定!$B$80:$B$219,0)),"")</f>
        <v/>
      </c>
      <c r="C41" s="50" t="n"/>
      <c r="D41" s="54" t="n"/>
      <c r="E41" s="54" t="n"/>
      <c r="F41" s="50" t="n"/>
      <c r="G41" s="54" t="n"/>
      <c r="H41" s="54" t="n"/>
      <c r="I41" s="50" t="n"/>
      <c r="J41" s="54" t="n"/>
      <c r="K41" s="54" t="n"/>
      <c r="L41" s="50" t="n"/>
      <c r="M41" s="54" t="n"/>
      <c r="N41" s="54" t="n"/>
      <c r="O41" s="50" t="n"/>
      <c r="P41" s="54" t="n"/>
      <c r="Q41" s="54" t="n"/>
      <c r="R41" s="50" t="n"/>
      <c r="S41" s="54" t="n"/>
      <c r="T41" s="54" t="n"/>
      <c r="V41" s="57" t="inlineStr"/>
    </row>
    <row r="42" ht="17" customHeight="1">
      <c r="A42" s="21" t="n"/>
      <c r="B42" s="18">
        <f>IFERROR(INDEX(設定!$C$80:$C$219,MATCH($A42,設定!$B$80:$B$219,0)),"")</f>
        <v/>
      </c>
      <c r="C42" s="50" t="n"/>
      <c r="D42" s="54" t="n"/>
      <c r="E42" s="54" t="n"/>
      <c r="F42" s="50" t="n"/>
      <c r="G42" s="54" t="n"/>
      <c r="H42" s="54" t="n"/>
      <c r="I42" s="50" t="n"/>
      <c r="J42" s="54" t="n"/>
      <c r="K42" s="54" t="n"/>
      <c r="L42" s="50" t="n"/>
      <c r="M42" s="54" t="n"/>
      <c r="N42" s="54" t="n"/>
      <c r="O42" s="50" t="n"/>
      <c r="P42" s="54" t="n"/>
      <c r="Q42" s="54" t="n"/>
      <c r="R42" s="50" t="n"/>
      <c r="S42" s="54" t="n"/>
      <c r="T42" s="54" t="n"/>
      <c r="V42" s="57" t="inlineStr"/>
    </row>
    <row r="43" ht="17" customHeight="1">
      <c r="A43" s="21" t="n"/>
      <c r="B43" s="18">
        <f>IFERROR(INDEX(設定!$C$80:$C$219,MATCH($A43,設定!$B$80:$B$219,0)),"")</f>
        <v/>
      </c>
      <c r="C43" s="50" t="n"/>
      <c r="D43" s="54" t="n"/>
      <c r="E43" s="54" t="n"/>
      <c r="F43" s="50" t="n"/>
      <c r="G43" s="54" t="n"/>
      <c r="H43" s="54" t="n"/>
      <c r="I43" s="50" t="n"/>
      <c r="J43" s="54" t="n"/>
      <c r="K43" s="54" t="n"/>
      <c r="L43" s="50" t="n"/>
      <c r="M43" s="54" t="n"/>
      <c r="N43" s="54" t="n"/>
      <c r="O43" s="50" t="n"/>
      <c r="P43" s="54" t="n"/>
      <c r="Q43" s="54" t="n"/>
      <c r="R43" s="50" t="n"/>
      <c r="S43" s="54" t="n"/>
      <c r="T43" s="54" t="n"/>
      <c r="V43" s="57" t="inlineStr"/>
    </row>
    <row r="44" ht="17" customHeight="1">
      <c r="A44" s="21" t="n"/>
      <c r="B44" s="18">
        <f>IFERROR(INDEX(設定!$C$80:$C$219,MATCH($A44,設定!$B$80:$B$219,0)),"")</f>
        <v/>
      </c>
      <c r="C44" s="50" t="n"/>
      <c r="D44" s="54" t="n"/>
      <c r="E44" s="54" t="n"/>
      <c r="F44" s="50" t="n"/>
      <c r="G44" s="54" t="n"/>
      <c r="H44" s="54" t="n"/>
      <c r="I44" s="50" t="n"/>
      <c r="J44" s="54" t="n"/>
      <c r="K44" s="54" t="n"/>
      <c r="L44" s="50" t="n"/>
      <c r="M44" s="54" t="n"/>
      <c r="N44" s="54" t="n"/>
      <c r="O44" s="50" t="n"/>
      <c r="P44" s="54" t="n"/>
      <c r="Q44" s="54" t="n"/>
      <c r="R44" s="50" t="n"/>
      <c r="S44" s="54" t="n"/>
      <c r="T44" s="54" t="n"/>
      <c r="V44" s="57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9" t="inlineStr">
        <is>
          <t>2026 年 10 月</t>
        </is>
      </c>
      <c r="D2" s="63" t="inlineStr">
        <is>
          <t>圖例:</t>
        </is>
      </c>
      <c r="E2" s="64" t="inlineStr">
        <is>
          <t>悅 晶悅</t>
        </is>
      </c>
      <c r="F2" s="8" t="n"/>
      <c r="G2" s="8" t="n"/>
      <c r="H2" s="9" t="n"/>
      <c r="I2" s="65" t="inlineStr">
        <is>
          <t>睿 晶睿</t>
        </is>
      </c>
      <c r="J2" s="8" t="n"/>
      <c r="K2" s="8" t="n"/>
      <c r="L2" s="9" t="n"/>
      <c r="M2" s="66" t="inlineStr">
        <is>
          <t>匯 晶匯</t>
        </is>
      </c>
      <c r="N2" s="8" t="n"/>
      <c r="O2" s="8" t="n"/>
      <c r="P2" s="9" t="n"/>
      <c r="Q2" s="67" t="inlineStr">
        <is>
          <t>曜 晶曜</t>
        </is>
      </c>
      <c r="R2" s="8" t="n"/>
      <c r="S2" s="8" t="n"/>
      <c r="T2" s="9" t="n"/>
      <c r="U2" s="68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9" t="n"/>
      <c r="B4" s="69" t="n"/>
      <c r="C4" s="69" t="n"/>
      <c r="D4" s="69" t="n"/>
      <c r="E4" s="70" t="inlineStr">
        <is>
          <t>四</t>
        </is>
      </c>
      <c r="F4" s="71" t="inlineStr">
        <is>
          <t>四</t>
        </is>
      </c>
      <c r="G4" s="71" t="inlineStr">
        <is>
          <t>四</t>
        </is>
      </c>
      <c r="H4" s="70" t="inlineStr">
        <is>
          <t>五</t>
        </is>
      </c>
      <c r="I4" s="71" t="inlineStr">
        <is>
          <t>五</t>
        </is>
      </c>
      <c r="J4" s="71" t="inlineStr">
        <is>
          <t>五</t>
        </is>
      </c>
      <c r="K4" s="70" t="inlineStr">
        <is>
          <t>六</t>
        </is>
      </c>
      <c r="L4" s="71" t="inlineStr">
        <is>
          <t>六</t>
        </is>
      </c>
      <c r="M4" s="71" t="inlineStr">
        <is>
          <t>六</t>
        </is>
      </c>
      <c r="N4" s="70" t="inlineStr">
        <is>
          <t>日</t>
        </is>
      </c>
      <c r="O4" s="71" t="inlineStr">
        <is>
          <t>日</t>
        </is>
      </c>
      <c r="P4" s="71" t="inlineStr">
        <is>
          <t>日</t>
        </is>
      </c>
      <c r="Q4" s="70" t="inlineStr">
        <is>
          <t>一</t>
        </is>
      </c>
      <c r="R4" s="71" t="inlineStr">
        <is>
          <t>一</t>
        </is>
      </c>
      <c r="S4" s="71" t="inlineStr">
        <is>
          <t>一</t>
        </is>
      </c>
      <c r="T4" s="70" t="inlineStr">
        <is>
          <t>二</t>
        </is>
      </c>
      <c r="U4" s="71" t="inlineStr">
        <is>
          <t>二</t>
        </is>
      </c>
      <c r="V4" s="71" t="inlineStr">
        <is>
          <t>二</t>
        </is>
      </c>
      <c r="W4" s="70" t="inlineStr">
        <is>
          <t>三</t>
        </is>
      </c>
      <c r="X4" s="71" t="inlineStr">
        <is>
          <t>三</t>
        </is>
      </c>
      <c r="Y4" s="71" t="inlineStr">
        <is>
          <t>三</t>
        </is>
      </c>
      <c r="Z4" s="70" t="inlineStr">
        <is>
          <t>四</t>
        </is>
      </c>
      <c r="AA4" s="71" t="inlineStr">
        <is>
          <t>四</t>
        </is>
      </c>
      <c r="AB4" s="71" t="inlineStr">
        <is>
          <t>四</t>
        </is>
      </c>
      <c r="AC4" s="70" t="inlineStr">
        <is>
          <t>五</t>
        </is>
      </c>
      <c r="AD4" s="71" t="inlineStr">
        <is>
          <t>五</t>
        </is>
      </c>
      <c r="AE4" s="71" t="inlineStr">
        <is>
          <t>五</t>
        </is>
      </c>
      <c r="AF4" s="70" t="inlineStr">
        <is>
          <t>六</t>
        </is>
      </c>
      <c r="AG4" s="71" t="inlineStr">
        <is>
          <t>六</t>
        </is>
      </c>
      <c r="AH4" s="71" t="inlineStr">
        <is>
          <t>六</t>
        </is>
      </c>
      <c r="AI4" s="70" t="inlineStr">
        <is>
          <t>日</t>
        </is>
      </c>
      <c r="AJ4" s="71" t="inlineStr">
        <is>
          <t>日</t>
        </is>
      </c>
      <c r="AK4" s="71" t="inlineStr">
        <is>
          <t>日</t>
        </is>
      </c>
      <c r="AL4" s="70" t="inlineStr">
        <is>
          <t>一</t>
        </is>
      </c>
      <c r="AM4" s="71" t="inlineStr">
        <is>
          <t>一</t>
        </is>
      </c>
      <c r="AN4" s="71" t="inlineStr">
        <is>
          <t>一</t>
        </is>
      </c>
      <c r="AO4" s="70" t="inlineStr">
        <is>
          <t>二</t>
        </is>
      </c>
      <c r="AP4" s="71" t="inlineStr">
        <is>
          <t>二</t>
        </is>
      </c>
      <c r="AQ4" s="71" t="inlineStr">
        <is>
          <t>二</t>
        </is>
      </c>
      <c r="AR4" s="70" t="inlineStr">
        <is>
          <t>三</t>
        </is>
      </c>
      <c r="AS4" s="71" t="inlineStr">
        <is>
          <t>三</t>
        </is>
      </c>
      <c r="AT4" s="71" t="inlineStr">
        <is>
          <t>三</t>
        </is>
      </c>
      <c r="AU4" s="70" t="inlineStr">
        <is>
          <t>四</t>
        </is>
      </c>
      <c r="AV4" s="71" t="inlineStr">
        <is>
          <t>四</t>
        </is>
      </c>
      <c r="AW4" s="71" t="inlineStr">
        <is>
          <t>四</t>
        </is>
      </c>
      <c r="AX4" s="70" t="inlineStr">
        <is>
          <t>五</t>
        </is>
      </c>
      <c r="AY4" s="71" t="inlineStr">
        <is>
          <t>五</t>
        </is>
      </c>
      <c r="AZ4" s="71" t="inlineStr">
        <is>
          <t>五</t>
        </is>
      </c>
      <c r="BA4" s="70" t="inlineStr">
        <is>
          <t>六</t>
        </is>
      </c>
      <c r="BB4" s="71" t="inlineStr">
        <is>
          <t>六</t>
        </is>
      </c>
      <c r="BC4" s="71" t="inlineStr">
        <is>
          <t>六</t>
        </is>
      </c>
      <c r="BD4" s="70" t="inlineStr">
        <is>
          <t>日</t>
        </is>
      </c>
      <c r="BE4" s="71" t="inlineStr">
        <is>
          <t>日</t>
        </is>
      </c>
      <c r="BF4" s="71" t="inlineStr">
        <is>
          <t>日</t>
        </is>
      </c>
      <c r="BG4" s="70" t="inlineStr">
        <is>
          <t>一</t>
        </is>
      </c>
      <c r="BH4" s="71" t="inlineStr">
        <is>
          <t>一</t>
        </is>
      </c>
      <c r="BI4" s="71" t="inlineStr">
        <is>
          <t>一</t>
        </is>
      </c>
      <c r="BJ4" s="70" t="inlineStr">
        <is>
          <t>二</t>
        </is>
      </c>
      <c r="BK4" s="71" t="inlineStr">
        <is>
          <t>二</t>
        </is>
      </c>
      <c r="BL4" s="71" t="inlineStr">
        <is>
          <t>二</t>
        </is>
      </c>
      <c r="BM4" s="70" t="inlineStr">
        <is>
          <t>三</t>
        </is>
      </c>
      <c r="BN4" s="71" t="inlineStr">
        <is>
          <t>三</t>
        </is>
      </c>
      <c r="BO4" s="71" t="inlineStr">
        <is>
          <t>三</t>
        </is>
      </c>
      <c r="BP4" s="70" t="inlineStr">
        <is>
          <t>四</t>
        </is>
      </c>
      <c r="BQ4" s="71" t="inlineStr">
        <is>
          <t>四</t>
        </is>
      </c>
      <c r="BR4" s="71" t="inlineStr">
        <is>
          <t>四</t>
        </is>
      </c>
      <c r="BS4" s="70" t="inlineStr">
        <is>
          <t>五</t>
        </is>
      </c>
      <c r="BT4" s="71" t="inlineStr">
        <is>
          <t>五</t>
        </is>
      </c>
      <c r="BU4" s="71" t="inlineStr">
        <is>
          <t>五</t>
        </is>
      </c>
      <c r="BV4" s="70" t="inlineStr">
        <is>
          <t>六</t>
        </is>
      </c>
      <c r="BW4" s="71" t="inlineStr">
        <is>
          <t>六</t>
        </is>
      </c>
      <c r="BX4" s="71" t="inlineStr">
        <is>
          <t>六</t>
        </is>
      </c>
      <c r="BY4" s="70" t="inlineStr">
        <is>
          <t>日</t>
        </is>
      </c>
      <c r="BZ4" s="71" t="inlineStr">
        <is>
          <t>日</t>
        </is>
      </c>
      <c r="CA4" s="71" t="inlineStr">
        <is>
          <t>日</t>
        </is>
      </c>
      <c r="CB4" s="70" t="inlineStr">
        <is>
          <t>一</t>
        </is>
      </c>
      <c r="CC4" s="71" t="inlineStr">
        <is>
          <t>一</t>
        </is>
      </c>
      <c r="CD4" s="71" t="inlineStr">
        <is>
          <t>一</t>
        </is>
      </c>
      <c r="CE4" s="70" t="inlineStr">
        <is>
          <t>二</t>
        </is>
      </c>
      <c r="CF4" s="71" t="inlineStr">
        <is>
          <t>二</t>
        </is>
      </c>
      <c r="CG4" s="71" t="inlineStr">
        <is>
          <t>二</t>
        </is>
      </c>
      <c r="CH4" s="70" t="inlineStr">
        <is>
          <t>三</t>
        </is>
      </c>
      <c r="CI4" s="71" t="inlineStr">
        <is>
          <t>三</t>
        </is>
      </c>
      <c r="CJ4" s="71" t="inlineStr">
        <is>
          <t>三</t>
        </is>
      </c>
      <c r="CK4" s="70" t="inlineStr">
        <is>
          <t>四</t>
        </is>
      </c>
      <c r="CL4" s="71" t="inlineStr">
        <is>
          <t>四</t>
        </is>
      </c>
      <c r="CM4" s="71" t="inlineStr">
        <is>
          <t>四</t>
        </is>
      </c>
      <c r="CN4" s="70" t="inlineStr">
        <is>
          <t>五</t>
        </is>
      </c>
      <c r="CO4" s="71" t="inlineStr">
        <is>
          <t>五</t>
        </is>
      </c>
      <c r="CP4" s="71" t="inlineStr">
        <is>
          <t>五</t>
        </is>
      </c>
      <c r="CQ4" s="70" t="inlineStr">
        <is>
          <t>六</t>
        </is>
      </c>
      <c r="CR4" s="71" t="inlineStr">
        <is>
          <t>六</t>
        </is>
      </c>
      <c r="CS4" s="71" t="inlineStr">
        <is>
          <t>六</t>
        </is>
      </c>
    </row>
    <row r="5">
      <c r="A5" s="47" t="n"/>
      <c r="B5" s="47" t="n"/>
      <c r="C5" s="47" t="n"/>
      <c r="D5" s="47" t="n"/>
      <c r="E5" s="48" t="inlineStr">
        <is>
          <t>早</t>
        </is>
      </c>
      <c r="F5" s="49" t="inlineStr">
        <is>
          <t>午</t>
        </is>
      </c>
      <c r="G5" s="49" t="inlineStr">
        <is>
          <t>晚</t>
        </is>
      </c>
      <c r="H5" s="48" t="inlineStr">
        <is>
          <t>早</t>
        </is>
      </c>
      <c r="I5" s="49" t="inlineStr">
        <is>
          <t>午</t>
        </is>
      </c>
      <c r="J5" s="49" t="inlineStr">
        <is>
          <t>晚</t>
        </is>
      </c>
      <c r="K5" s="48" t="inlineStr">
        <is>
          <t>早</t>
        </is>
      </c>
      <c r="L5" s="49" t="inlineStr">
        <is>
          <t>午</t>
        </is>
      </c>
      <c r="M5" s="49" t="inlineStr">
        <is>
          <t>晚</t>
        </is>
      </c>
      <c r="N5" s="48" t="inlineStr">
        <is>
          <t>早</t>
        </is>
      </c>
      <c r="O5" s="49" t="inlineStr">
        <is>
          <t>午</t>
        </is>
      </c>
      <c r="P5" s="49" t="inlineStr">
        <is>
          <t>晚</t>
        </is>
      </c>
      <c r="Q5" s="48" t="inlineStr">
        <is>
          <t>早</t>
        </is>
      </c>
      <c r="R5" s="49" t="inlineStr">
        <is>
          <t>午</t>
        </is>
      </c>
      <c r="S5" s="49" t="inlineStr">
        <is>
          <t>晚</t>
        </is>
      </c>
      <c r="T5" s="48" t="inlineStr">
        <is>
          <t>早</t>
        </is>
      </c>
      <c r="U5" s="49" t="inlineStr">
        <is>
          <t>午</t>
        </is>
      </c>
      <c r="V5" s="49" t="inlineStr">
        <is>
          <t>晚</t>
        </is>
      </c>
      <c r="W5" s="48" t="inlineStr">
        <is>
          <t>早</t>
        </is>
      </c>
      <c r="X5" s="49" t="inlineStr">
        <is>
          <t>午</t>
        </is>
      </c>
      <c r="Y5" s="49" t="inlineStr">
        <is>
          <t>晚</t>
        </is>
      </c>
      <c r="Z5" s="48" t="inlineStr">
        <is>
          <t>早</t>
        </is>
      </c>
      <c r="AA5" s="49" t="inlineStr">
        <is>
          <t>午</t>
        </is>
      </c>
      <c r="AB5" s="49" t="inlineStr">
        <is>
          <t>晚</t>
        </is>
      </c>
      <c r="AC5" s="48" t="inlineStr">
        <is>
          <t>早</t>
        </is>
      </c>
      <c r="AD5" s="49" t="inlineStr">
        <is>
          <t>午</t>
        </is>
      </c>
      <c r="AE5" s="49" t="inlineStr">
        <is>
          <t>晚</t>
        </is>
      </c>
      <c r="AF5" s="48" t="inlineStr">
        <is>
          <t>早</t>
        </is>
      </c>
      <c r="AG5" s="49" t="inlineStr">
        <is>
          <t>午</t>
        </is>
      </c>
      <c r="AH5" s="49" t="inlineStr">
        <is>
          <t>晚</t>
        </is>
      </c>
      <c r="AI5" s="48" t="inlineStr">
        <is>
          <t>早</t>
        </is>
      </c>
      <c r="AJ5" s="49" t="inlineStr">
        <is>
          <t>午</t>
        </is>
      </c>
      <c r="AK5" s="49" t="inlineStr">
        <is>
          <t>晚</t>
        </is>
      </c>
      <c r="AL5" s="48" t="inlineStr">
        <is>
          <t>早</t>
        </is>
      </c>
      <c r="AM5" s="49" t="inlineStr">
        <is>
          <t>午</t>
        </is>
      </c>
      <c r="AN5" s="49" t="inlineStr">
        <is>
          <t>晚</t>
        </is>
      </c>
      <c r="AO5" s="48" t="inlineStr">
        <is>
          <t>早</t>
        </is>
      </c>
      <c r="AP5" s="49" t="inlineStr">
        <is>
          <t>午</t>
        </is>
      </c>
      <c r="AQ5" s="49" t="inlineStr">
        <is>
          <t>晚</t>
        </is>
      </c>
      <c r="AR5" s="48" t="inlineStr">
        <is>
          <t>早</t>
        </is>
      </c>
      <c r="AS5" s="49" t="inlineStr">
        <is>
          <t>午</t>
        </is>
      </c>
      <c r="AT5" s="49" t="inlineStr">
        <is>
          <t>晚</t>
        </is>
      </c>
      <c r="AU5" s="48" t="inlineStr">
        <is>
          <t>早</t>
        </is>
      </c>
      <c r="AV5" s="49" t="inlineStr">
        <is>
          <t>午</t>
        </is>
      </c>
      <c r="AW5" s="49" t="inlineStr">
        <is>
          <t>晚</t>
        </is>
      </c>
      <c r="AX5" s="48" t="inlineStr">
        <is>
          <t>早</t>
        </is>
      </c>
      <c r="AY5" s="49" t="inlineStr">
        <is>
          <t>午</t>
        </is>
      </c>
      <c r="AZ5" s="49" t="inlineStr">
        <is>
          <t>晚</t>
        </is>
      </c>
      <c r="BA5" s="48" t="inlineStr">
        <is>
          <t>早</t>
        </is>
      </c>
      <c r="BB5" s="49" t="inlineStr">
        <is>
          <t>午</t>
        </is>
      </c>
      <c r="BC5" s="49" t="inlineStr">
        <is>
          <t>晚</t>
        </is>
      </c>
      <c r="BD5" s="48" t="inlineStr">
        <is>
          <t>早</t>
        </is>
      </c>
      <c r="BE5" s="49" t="inlineStr">
        <is>
          <t>午</t>
        </is>
      </c>
      <c r="BF5" s="49" t="inlineStr">
        <is>
          <t>晚</t>
        </is>
      </c>
      <c r="BG5" s="48" t="inlineStr">
        <is>
          <t>早</t>
        </is>
      </c>
      <c r="BH5" s="49" t="inlineStr">
        <is>
          <t>午</t>
        </is>
      </c>
      <c r="BI5" s="49" t="inlineStr">
        <is>
          <t>晚</t>
        </is>
      </c>
      <c r="BJ5" s="48" t="inlineStr">
        <is>
          <t>早</t>
        </is>
      </c>
      <c r="BK5" s="49" t="inlineStr">
        <is>
          <t>午</t>
        </is>
      </c>
      <c r="BL5" s="49" t="inlineStr">
        <is>
          <t>晚</t>
        </is>
      </c>
      <c r="BM5" s="48" t="inlineStr">
        <is>
          <t>早</t>
        </is>
      </c>
      <c r="BN5" s="49" t="inlineStr">
        <is>
          <t>午</t>
        </is>
      </c>
      <c r="BO5" s="49" t="inlineStr">
        <is>
          <t>晚</t>
        </is>
      </c>
      <c r="BP5" s="48" t="inlineStr">
        <is>
          <t>早</t>
        </is>
      </c>
      <c r="BQ5" s="49" t="inlineStr">
        <is>
          <t>午</t>
        </is>
      </c>
      <c r="BR5" s="49" t="inlineStr">
        <is>
          <t>晚</t>
        </is>
      </c>
      <c r="BS5" s="48" t="inlineStr">
        <is>
          <t>早</t>
        </is>
      </c>
      <c r="BT5" s="49" t="inlineStr">
        <is>
          <t>午</t>
        </is>
      </c>
      <c r="BU5" s="49" t="inlineStr">
        <is>
          <t>晚</t>
        </is>
      </c>
      <c r="BV5" s="48" t="inlineStr">
        <is>
          <t>早</t>
        </is>
      </c>
      <c r="BW5" s="49" t="inlineStr">
        <is>
          <t>午</t>
        </is>
      </c>
      <c r="BX5" s="49" t="inlineStr">
        <is>
          <t>晚</t>
        </is>
      </c>
      <c r="BY5" s="48" t="inlineStr">
        <is>
          <t>早</t>
        </is>
      </c>
      <c r="BZ5" s="49" t="inlineStr">
        <is>
          <t>午</t>
        </is>
      </c>
      <c r="CA5" s="49" t="inlineStr">
        <is>
          <t>晚</t>
        </is>
      </c>
      <c r="CB5" s="48" t="inlineStr">
        <is>
          <t>早</t>
        </is>
      </c>
      <c r="CC5" s="49" t="inlineStr">
        <is>
          <t>午</t>
        </is>
      </c>
      <c r="CD5" s="49" t="inlineStr">
        <is>
          <t>晚</t>
        </is>
      </c>
      <c r="CE5" s="48" t="inlineStr">
        <is>
          <t>早</t>
        </is>
      </c>
      <c r="CF5" s="49" t="inlineStr">
        <is>
          <t>午</t>
        </is>
      </c>
      <c r="CG5" s="49" t="inlineStr">
        <is>
          <t>晚</t>
        </is>
      </c>
      <c r="CH5" s="48" t="inlineStr">
        <is>
          <t>早</t>
        </is>
      </c>
      <c r="CI5" s="49" t="inlineStr">
        <is>
          <t>午</t>
        </is>
      </c>
      <c r="CJ5" s="49" t="inlineStr">
        <is>
          <t>晚</t>
        </is>
      </c>
      <c r="CK5" s="48" t="inlineStr">
        <is>
          <t>早</t>
        </is>
      </c>
      <c r="CL5" s="49" t="inlineStr">
        <is>
          <t>午</t>
        </is>
      </c>
      <c r="CM5" s="49" t="inlineStr">
        <is>
          <t>晚</t>
        </is>
      </c>
      <c r="CN5" s="48" t="inlineStr">
        <is>
          <t>早</t>
        </is>
      </c>
      <c r="CO5" s="49" t="inlineStr">
        <is>
          <t>午</t>
        </is>
      </c>
      <c r="CP5" s="49" t="inlineStr">
        <is>
          <t>晚</t>
        </is>
      </c>
      <c r="CQ5" s="48" t="inlineStr">
        <is>
          <t>早</t>
        </is>
      </c>
      <c r="CR5" s="49" t="inlineStr">
        <is>
          <t>午</t>
        </is>
      </c>
      <c r="CS5" s="49" t="inlineStr">
        <is>
          <t>晚</t>
        </is>
      </c>
    </row>
    <row r="6" ht="17" customHeight="1">
      <c r="A6" s="21" t="inlineStr">
        <is>
          <t>D001</t>
        </is>
      </c>
      <c r="B6" s="18" t="inlineStr">
        <is>
          <t>林智俊</t>
        </is>
      </c>
      <c r="C6" s="72" t="inlineStr">
        <is>
          <t>牙周植牙專科</t>
        </is>
      </c>
      <c r="D6" s="18" t="inlineStr">
        <is>
          <t>晶悅院長</t>
        </is>
      </c>
      <c r="E6" s="73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4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4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3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4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4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3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4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4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3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4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4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3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4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4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3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4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4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3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4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4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3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4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4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3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4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4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3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4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4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3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4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4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3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4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4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3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4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4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3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4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4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3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4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4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3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4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4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3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4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4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3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4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4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3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4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4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3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4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4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3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4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4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3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4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4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3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4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4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3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4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4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3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4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4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3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4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4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3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4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4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3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4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4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3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4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4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3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4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4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3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4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4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5">
        <f>IFERROR(MATCH($A6,醫師週班表!$A$5:$A$44,0),0)</f>
        <v/>
      </c>
    </row>
    <row r="7" ht="17" customHeight="1">
      <c r="A7" s="21" t="inlineStr">
        <is>
          <t>D002</t>
        </is>
      </c>
      <c r="B7" s="18" t="inlineStr">
        <is>
          <t>劉立德</t>
        </is>
      </c>
      <c r="C7" s="72" t="inlineStr">
        <is>
          <t>植牙專科 家庭牙醫專科</t>
        </is>
      </c>
      <c r="D7" s="18" t="inlineStr">
        <is>
          <t>晶曜院長</t>
        </is>
      </c>
      <c r="E7" s="73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4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4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3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4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4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3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4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4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3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4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4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3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4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4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3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4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4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3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4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4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3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4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4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3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4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4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3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4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4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3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4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4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3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4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4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3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4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4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3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4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4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3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4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4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3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4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4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3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4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4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3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4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4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3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4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4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3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4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4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3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4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4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3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4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4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3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4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4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3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4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4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3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4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4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3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4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4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3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4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4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3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4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4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3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4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4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3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4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4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3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4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4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5">
        <f>IFERROR(MATCH($A7,醫師週班表!$A$5:$A$44,0),0)</f>
        <v/>
      </c>
    </row>
    <row r="8" ht="17" customHeight="1">
      <c r="A8" s="21" t="inlineStr">
        <is>
          <t>D003</t>
        </is>
      </c>
      <c r="B8" s="18" t="inlineStr">
        <is>
          <t>王泳泉</t>
        </is>
      </c>
      <c r="C8" s="72" t="inlineStr">
        <is>
          <t>矯正專科</t>
        </is>
      </c>
      <c r="D8" s="18" t="inlineStr"/>
      <c r="E8" s="73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4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4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3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4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4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3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4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4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3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4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4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3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4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4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3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4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4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3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4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4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3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4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4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3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4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4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3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4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4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3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4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4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3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4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4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3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4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4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3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4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4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3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4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4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3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4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4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3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4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4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3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4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4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3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4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4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3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4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4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3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4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4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3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4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4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3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4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4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3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4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4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3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4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4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3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4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4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3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4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4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3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4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4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3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4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4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3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4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4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3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4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4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5">
        <f>IFERROR(MATCH($A8,醫師週班表!$A$5:$A$44,0),0)</f>
        <v/>
      </c>
    </row>
    <row r="9" ht="17" customHeight="1">
      <c r="A9" s="21" t="inlineStr">
        <is>
          <t>D004</t>
        </is>
      </c>
      <c r="B9" s="18" t="inlineStr">
        <is>
          <t>劉玠旻</t>
        </is>
      </c>
      <c r="C9" s="72" t="inlineStr">
        <is>
          <t>兒童專科</t>
        </is>
      </c>
      <c r="D9" s="18" t="inlineStr"/>
      <c r="E9" s="73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4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4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3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4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4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3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4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4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3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4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4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3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4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4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3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4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4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3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4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4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3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4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4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3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4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4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3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4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4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3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4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4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3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4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4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3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4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4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3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4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4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3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4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4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3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4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4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3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4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4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3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4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4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3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4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4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3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4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4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3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4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4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3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4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4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3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4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4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3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4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4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3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4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4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3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4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4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3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4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4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3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4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4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3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4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4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3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4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4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3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4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4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5">
        <f>IFERROR(MATCH($A9,醫師週班表!$A$5:$A$44,0),0)</f>
        <v/>
      </c>
    </row>
    <row r="10" ht="17" customHeight="1">
      <c r="A10" s="21" t="inlineStr">
        <is>
          <t>D005</t>
        </is>
      </c>
      <c r="B10" s="18" t="inlineStr">
        <is>
          <t>陳志僑</t>
        </is>
      </c>
      <c r="C10" s="72" t="inlineStr">
        <is>
          <t>口外專科</t>
        </is>
      </c>
      <c r="D10" s="18" t="inlineStr"/>
      <c r="E10" s="73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4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4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3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4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4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3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4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4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3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4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4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3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4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4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3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4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4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3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4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4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3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4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4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3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4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4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3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4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4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3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4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4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3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4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4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3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4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4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3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4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4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3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4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4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3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4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4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3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4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4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3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4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4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3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4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4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3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4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4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3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4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4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3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4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4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3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4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4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3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4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4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3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4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4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3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4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4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3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4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4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3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4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4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3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4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4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3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4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4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3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4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4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5">
        <f>IFERROR(MATCH($A10,醫師週班表!$A$5:$A$44,0),0)</f>
        <v/>
      </c>
    </row>
    <row r="11" ht="17" customHeight="1">
      <c r="A11" s="21" t="inlineStr">
        <is>
          <t>D006</t>
        </is>
      </c>
      <c r="B11" s="18" t="inlineStr">
        <is>
          <t>黃榆鈞</t>
        </is>
      </c>
      <c r="C11" s="72" t="inlineStr">
        <is>
          <t>矯正專科</t>
        </is>
      </c>
      <c r="D11" s="18" t="inlineStr"/>
      <c r="E11" s="73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4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4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3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4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4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3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4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4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3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4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4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3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4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4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3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4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4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3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4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4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3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4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4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3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4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4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3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4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4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3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4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4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3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4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4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3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4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4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3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4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4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3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4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4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3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4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4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3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4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4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3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4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4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3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4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4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3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4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4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3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4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4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3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4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4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3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4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4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3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4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4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3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4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4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3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4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4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3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4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4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3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4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4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3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4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4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3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4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4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3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4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4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5">
        <f>IFERROR(MATCH($A11,醫師週班表!$A$5:$A$44,0),0)</f>
        <v/>
      </c>
    </row>
    <row r="12" ht="17" customHeight="1">
      <c r="A12" s="21" t="inlineStr">
        <is>
          <t>D007</t>
        </is>
      </c>
      <c r="B12" s="18" t="inlineStr">
        <is>
          <t>温翊君</t>
        </is>
      </c>
      <c r="C12" s="72" t="inlineStr">
        <is>
          <t>根管治療專科</t>
        </is>
      </c>
      <c r="D12" s="18" t="inlineStr"/>
      <c r="E12" s="73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4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4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3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4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4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3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4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4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3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4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4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3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4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4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3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4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4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3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4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4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3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4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4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3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4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4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3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4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4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3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4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4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3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4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4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3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4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4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3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4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4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3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4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4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3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4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4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3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4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4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3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4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4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3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4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4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3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4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4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3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4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4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3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4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4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3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4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4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3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4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4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3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4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4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3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4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4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3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4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4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3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4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4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3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4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4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3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4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4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3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4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4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5">
        <f>IFERROR(MATCH($A12,醫師週班表!$A$5:$A$44,0),0)</f>
        <v/>
      </c>
    </row>
    <row r="13" ht="17" customHeight="1">
      <c r="A13" s="21" t="inlineStr">
        <is>
          <t>D008</t>
        </is>
      </c>
      <c r="B13" s="18" t="inlineStr">
        <is>
          <t>林紫亭</t>
        </is>
      </c>
      <c r="C13" s="72" t="inlineStr"/>
      <c r="D13" s="18" t="inlineStr"/>
      <c r="E13" s="73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4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4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3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4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4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3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4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4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3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4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4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3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4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4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3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4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4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3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4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4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3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4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4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3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4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4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3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4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4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3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4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4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3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4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4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3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4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4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3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4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4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3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4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4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3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4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4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3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4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4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3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4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4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3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4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4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3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4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4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3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4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4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3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4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4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3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4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4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3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4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4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3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4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4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3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4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4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3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4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4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3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4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4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3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4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4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3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4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4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3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4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4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5">
        <f>IFERROR(MATCH($A13,醫師週班表!$A$5:$A$44,0),0)</f>
        <v/>
      </c>
    </row>
    <row r="14" ht="17" customHeight="1">
      <c r="A14" s="21" t="inlineStr">
        <is>
          <t>D009</t>
        </is>
      </c>
      <c r="B14" s="18" t="inlineStr">
        <is>
          <t>陳昺元</t>
        </is>
      </c>
      <c r="C14" s="72" t="inlineStr">
        <is>
          <t>美學植牙專科</t>
        </is>
      </c>
      <c r="D14" s="18" t="inlineStr">
        <is>
          <t>晶匯院長</t>
        </is>
      </c>
      <c r="E14" s="73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4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4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3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4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4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3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4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4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3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4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4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3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4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4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3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4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4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3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4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4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3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4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4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3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4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4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3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4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4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3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4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4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3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4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4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3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4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4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3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4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4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3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4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4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3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4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4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3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4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4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3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4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4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3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4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4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3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4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4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3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4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4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3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4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4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3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4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4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3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4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4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3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4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4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3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4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4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3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4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4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3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4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4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3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4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4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3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4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4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3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4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4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5">
        <f>IFERROR(MATCH($A14,醫師週班表!$A$5:$A$44,0),0)</f>
        <v/>
      </c>
    </row>
    <row r="15" ht="17" customHeight="1">
      <c r="A15" s="21" t="inlineStr">
        <is>
          <t>D010</t>
        </is>
      </c>
      <c r="B15" s="18" t="inlineStr">
        <is>
          <t>蔡季軒</t>
        </is>
      </c>
      <c r="C15" s="72" t="inlineStr"/>
      <c r="D15" s="18" t="inlineStr"/>
      <c r="E15" s="73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4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4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3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4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4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3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4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4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3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4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4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3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4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4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3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4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4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3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4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4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3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4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4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3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4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4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3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4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4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3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4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4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3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4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4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3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4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4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3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4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4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3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4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4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3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4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4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3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4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4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3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4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4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3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4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4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3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4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4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3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4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4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3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4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4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3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4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4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3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4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4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3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4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4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3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4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4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3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4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4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3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4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4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3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4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4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3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4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4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3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4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4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5">
        <f>IFERROR(MATCH($A15,醫師週班表!$A$5:$A$44,0),0)</f>
        <v/>
      </c>
    </row>
    <row r="16" ht="17" customHeight="1">
      <c r="A16" s="21" t="inlineStr">
        <is>
          <t>D011</t>
        </is>
      </c>
      <c r="B16" s="18" t="inlineStr">
        <is>
          <t>温健成</t>
        </is>
      </c>
      <c r="C16" s="72" t="inlineStr"/>
      <c r="D16" s="18" t="inlineStr">
        <is>
          <t>晶睿院長</t>
        </is>
      </c>
      <c r="E16" s="73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4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4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3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4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4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3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4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4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3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4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4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3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4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4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3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4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4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3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4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4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3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4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4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3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4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4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3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4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4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3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4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4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3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4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4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3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4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4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3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4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4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3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4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4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3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4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4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3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4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4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3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4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4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3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4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4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3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4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4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3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4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4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3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4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4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3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4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4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3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4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4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3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4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4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3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4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4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3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4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4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3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4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4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3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4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4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3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4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4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3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4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4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5">
        <f>IFERROR(MATCH($A16,醫師週班表!$A$5:$A$44,0),0)</f>
        <v/>
      </c>
    </row>
    <row r="17" ht="17" customHeight="1">
      <c r="A17" s="21" t="inlineStr">
        <is>
          <t>D012</t>
        </is>
      </c>
      <c r="B17" s="18" t="inlineStr">
        <is>
          <t>陳立軒</t>
        </is>
      </c>
      <c r="C17" s="72" t="inlineStr"/>
      <c r="D17" s="18" t="inlineStr"/>
      <c r="E17" s="73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4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4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3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4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4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3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4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4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3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4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4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3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4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4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3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4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4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3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4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4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3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4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4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3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4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4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3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4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4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3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4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4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3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4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4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3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4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4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3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4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4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3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4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4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3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4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4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3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4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4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3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4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4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3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4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4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3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4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4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3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4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4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3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4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4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3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4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4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3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4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4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3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4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4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3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4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4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3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4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4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3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4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4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3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4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4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3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4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4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3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4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4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5">
        <f>IFERROR(MATCH($A17,醫師週班表!$A$5:$A$44,0),0)</f>
        <v/>
      </c>
    </row>
    <row r="18" ht="17" customHeight="1">
      <c r="A18" s="21" t="inlineStr">
        <is>
          <t>D013</t>
        </is>
      </c>
      <c r="B18" s="18" t="inlineStr">
        <is>
          <t>朱柏非</t>
        </is>
      </c>
      <c r="C18" s="72" t="inlineStr"/>
      <c r="D18" s="18" t="inlineStr"/>
      <c r="E18" s="73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4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4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3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4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4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3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4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4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3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4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4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3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4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4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3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4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4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3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4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4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3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4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4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3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4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4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3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4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4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3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4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4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3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4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4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3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4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4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3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4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4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3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4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4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3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4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4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3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4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4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3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4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4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3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4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4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3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4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4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3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4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4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3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4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4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3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4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4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3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4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4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3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4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4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3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4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4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3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4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4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3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4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4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3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4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4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3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4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4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3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4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4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5">
        <f>IFERROR(MATCH($A18,醫師週班表!$A$5:$A$44,0),0)</f>
        <v/>
      </c>
    </row>
    <row r="19" ht="17" customHeight="1">
      <c r="A19" s="21" t="inlineStr">
        <is>
          <t>D014</t>
        </is>
      </c>
      <c r="B19" s="18" t="inlineStr">
        <is>
          <t>鄭漢賢</t>
        </is>
      </c>
      <c r="C19" s="72" t="inlineStr"/>
      <c r="D19" s="18" t="inlineStr"/>
      <c r="E19" s="73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4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4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3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4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4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3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4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4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3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4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4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3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4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4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3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4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4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3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4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4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3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4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4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3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4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4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3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4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4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3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4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4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3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4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4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3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4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4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3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4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4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3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4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4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3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4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4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3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4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4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3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4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4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3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4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4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3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4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4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3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4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4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3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4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4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3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4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4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3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4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4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3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4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4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3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4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4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3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4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4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3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4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4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3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4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4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3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4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4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3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4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4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5">
        <f>IFERROR(MATCH($A19,醫師週班表!$A$5:$A$44,0),0)</f>
        <v/>
      </c>
    </row>
    <row r="20" ht="17" customHeight="1">
      <c r="A20" s="21" t="inlineStr">
        <is>
          <t>D015</t>
        </is>
      </c>
      <c r="B20" s="18" t="inlineStr">
        <is>
          <t>徐平</t>
        </is>
      </c>
      <c r="C20" s="72" t="inlineStr"/>
      <c r="D20" s="18" t="inlineStr"/>
      <c r="E20" s="73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4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4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3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4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4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3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4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4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3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4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4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3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4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4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3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4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4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3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4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4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3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4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4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3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4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4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3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4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4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3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4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4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3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4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4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3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4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4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3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4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4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3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4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4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3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4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4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3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4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4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3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4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4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3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4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4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3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4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4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3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4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4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3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4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4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3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4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4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3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4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4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3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4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4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3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4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4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3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4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4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3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4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4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3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4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4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3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4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4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3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4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4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5">
        <f>IFERROR(MATCH($A20,醫師週班表!$A$5:$A$44,0),0)</f>
        <v/>
      </c>
    </row>
    <row r="21" ht="17" customHeight="1">
      <c r="A21" s="21" t="inlineStr">
        <is>
          <t>D016</t>
        </is>
      </c>
      <c r="B21" s="18" t="inlineStr">
        <is>
          <t>賴敏傑</t>
        </is>
      </c>
      <c r="C21" s="72" t="inlineStr"/>
      <c r="D21" s="18" t="inlineStr"/>
      <c r="E21" s="73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4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4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3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4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4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3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4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4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3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4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4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3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4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4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3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4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4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3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4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4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3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4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4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3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4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4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3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4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4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3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4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4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3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4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4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3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4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4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3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4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4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3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4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4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3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4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4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3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4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4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3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4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4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3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4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4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3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4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4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3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4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4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3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4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4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3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4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4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3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4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4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3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4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4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3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4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4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3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4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4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3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4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4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3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4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4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3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4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4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3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4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4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5">
        <f>IFERROR(MATCH($A21,醫師週班表!$A$5:$A$44,0),0)</f>
        <v/>
      </c>
    </row>
    <row r="22" ht="17" customHeight="1">
      <c r="A22" s="21" t="inlineStr">
        <is>
          <t>D017</t>
        </is>
      </c>
      <c r="B22" s="18" t="inlineStr">
        <is>
          <t>吳柏賢</t>
        </is>
      </c>
      <c r="C22" s="72" t="inlineStr"/>
      <c r="D22" s="18" t="inlineStr"/>
      <c r="E22" s="73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4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4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3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4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4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3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4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4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3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4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4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3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4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4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3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4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4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3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4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4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3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4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4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3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4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4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3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4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4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3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4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4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3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4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4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3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4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4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3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4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4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3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4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4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3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4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4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3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4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4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3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4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4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3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4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4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3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4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4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3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4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4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3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4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4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3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4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4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3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4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4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3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4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4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3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4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4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3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4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4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3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4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4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3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4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4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3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4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4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3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4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4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5">
        <f>IFERROR(MATCH($A22,醫師週班表!$A$5:$A$44,0),0)</f>
        <v/>
      </c>
    </row>
    <row r="23" ht="17" customHeight="1">
      <c r="A23" s="21" t="inlineStr">
        <is>
          <t>D018</t>
        </is>
      </c>
      <c r="B23" s="18" t="inlineStr">
        <is>
          <t>許博諺</t>
        </is>
      </c>
      <c r="C23" s="72" t="inlineStr"/>
      <c r="D23" s="18" t="inlineStr"/>
      <c r="E23" s="73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4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4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3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4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4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3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4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4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3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4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4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3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4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4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3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4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4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3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4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4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3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4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4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3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4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4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3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4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4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3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4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4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3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4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4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3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4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4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3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4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4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3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4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4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3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4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4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3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4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4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3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4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4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3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4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4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3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4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4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3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4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4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3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4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4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3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4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4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3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4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4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3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4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4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3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4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4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3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4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4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3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4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4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3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4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4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3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4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4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3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4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4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5">
        <f>IFERROR(MATCH($A23,醫師週班表!$A$5:$A$44,0),0)</f>
        <v/>
      </c>
    </row>
    <row r="24" ht="17" customHeight="1">
      <c r="A24" s="21" t="inlineStr">
        <is>
          <t>D019</t>
        </is>
      </c>
      <c r="B24" s="18" t="inlineStr">
        <is>
          <t>翁崎紘</t>
        </is>
      </c>
      <c r="C24" s="72" t="inlineStr"/>
      <c r="D24" s="18" t="inlineStr"/>
      <c r="E24" s="73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4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4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3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4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4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3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4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4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3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4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4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3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4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4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3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4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4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3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4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4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3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4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4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3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4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4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3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4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4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3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4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4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3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4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4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3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4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4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3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4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4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3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4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4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3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4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4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3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4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4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3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4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4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3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4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4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3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4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4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3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4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4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3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4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4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3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4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4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3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4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4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3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4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4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3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4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4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3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4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4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3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4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4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3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4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4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3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4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4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3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4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4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5">
        <f>IFERROR(MATCH($A24,醫師週班表!$A$5:$A$44,0),0)</f>
        <v/>
      </c>
    </row>
    <row r="25" ht="17" customHeight="1">
      <c r="A25" s="21" t="inlineStr">
        <is>
          <t>D020</t>
        </is>
      </c>
      <c r="B25" s="18" t="inlineStr">
        <is>
          <t>余柏萱</t>
        </is>
      </c>
      <c r="C25" s="72" t="inlineStr"/>
      <c r="D25" s="18" t="inlineStr"/>
      <c r="E25" s="73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4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4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3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4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4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3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4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4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3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4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4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3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4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4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3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4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4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3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4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4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3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4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4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3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4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4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3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4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4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3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4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4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3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4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4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3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4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4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3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4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4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3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4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4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3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4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4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3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4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4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3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4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4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3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4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4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3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4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4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3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4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4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3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4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4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3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4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4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3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4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4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3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4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4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3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4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4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3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4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4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3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4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4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3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4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4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3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4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4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3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4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4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5">
        <f>IFERROR(MATCH($A25,醫師週班表!$A$5:$A$44,0),0)</f>
        <v/>
      </c>
    </row>
    <row r="26" ht="17" customHeight="1">
      <c r="A26" s="21" t="inlineStr">
        <is>
          <t>D021</t>
        </is>
      </c>
      <c r="B26" s="18" t="inlineStr">
        <is>
          <t>鄭博文</t>
        </is>
      </c>
      <c r="C26" s="72" t="inlineStr"/>
      <c r="D26" s="18" t="inlineStr"/>
      <c r="E26" s="73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4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4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3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4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4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3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4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4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3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4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4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3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4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4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3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4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4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3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4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4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3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4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4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3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4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4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3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4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4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3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4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4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3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4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4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3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4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4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3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4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4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3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4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4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3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4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4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3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4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4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3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4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4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3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4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4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3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4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4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3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4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4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3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4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4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3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4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4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3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4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4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3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4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4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3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4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4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3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4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4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3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4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4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3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4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4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3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4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4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3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4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4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5">
        <f>IFERROR(MATCH($A26,醫師週班表!$A$5:$A$44,0),0)</f>
        <v/>
      </c>
    </row>
    <row r="27" ht="17" customHeight="1">
      <c r="A27" s="21" t="inlineStr">
        <is>
          <t>D022</t>
        </is>
      </c>
      <c r="B27" s="18" t="inlineStr">
        <is>
          <t>黃育亭</t>
        </is>
      </c>
      <c r="C27" s="72" t="inlineStr">
        <is>
          <t>兒童</t>
        </is>
      </c>
      <c r="D27" s="18" t="inlineStr">
        <is>
          <t>寶貝牙院長</t>
        </is>
      </c>
      <c r="E27" s="73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4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4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3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4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4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3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4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4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3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4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4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3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4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4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3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4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4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3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4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4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3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4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4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3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4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4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3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4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4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3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4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4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3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4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4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3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4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4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3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4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4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3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4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4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3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4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4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3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4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4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3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4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4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3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4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4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3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4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4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3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4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4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3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4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4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3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4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4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3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4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4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3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4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4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3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4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4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3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4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4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3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4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4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3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4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4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3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4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4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3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4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4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5">
        <f>IFERROR(MATCH($A27,醫師週班表!$A$5:$A$44,0),0)</f>
        <v/>
      </c>
    </row>
    <row r="28" ht="17" customHeight="1">
      <c r="A28" s="21" t="inlineStr">
        <is>
          <t>D023</t>
        </is>
      </c>
      <c r="B28" s="18" t="inlineStr">
        <is>
          <t>黃婷愉</t>
        </is>
      </c>
      <c r="C28" s="72" t="inlineStr">
        <is>
          <t>口外</t>
        </is>
      </c>
      <c r="D28" s="18" t="inlineStr"/>
      <c r="E28" s="73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4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4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3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4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4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3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4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4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3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4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4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3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4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4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3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4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4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3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4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4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3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4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4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3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4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4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3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4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4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3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4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4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3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4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4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3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4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4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3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4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4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3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4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4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3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4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4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3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4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4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3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4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4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3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4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4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3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4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4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3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4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4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3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4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4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3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4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4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3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4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4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3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4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4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3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4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4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3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4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4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3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4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4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3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4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4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3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4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4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3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4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4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5">
        <f>IFERROR(MATCH($A28,醫師週班表!$A$5:$A$44,0),0)</f>
        <v/>
      </c>
    </row>
    <row r="29" ht="17" customHeight="1">
      <c r="A29" s="21" t="inlineStr">
        <is>
          <t>D024</t>
        </is>
      </c>
      <c r="B29" s="18" t="inlineStr">
        <is>
          <t>林紓安</t>
        </is>
      </c>
      <c r="C29" s="72" t="inlineStr">
        <is>
          <t>兒童</t>
        </is>
      </c>
      <c r="D29" s="18" t="inlineStr"/>
      <c r="E29" s="73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4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4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3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4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4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3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4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4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3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4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4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3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4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4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3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4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4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3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4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4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3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4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4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3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4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4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3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4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4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3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4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4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3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4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4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3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4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4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3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4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4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3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4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4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3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4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4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3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4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4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3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4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4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3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4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4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3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4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4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3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4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4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3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4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4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3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4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4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3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4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4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3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4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4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3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4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4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3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4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4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3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4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4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3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4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4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3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4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4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3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4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4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5">
        <f>IFERROR(MATCH($A29,醫師週班表!$A$5:$A$44,0),0)</f>
        <v/>
      </c>
    </row>
    <row r="30" ht="17" customHeight="1">
      <c r="A30" s="21" t="inlineStr">
        <is>
          <t>D025</t>
        </is>
      </c>
      <c r="B30" s="18" t="inlineStr">
        <is>
          <t>陳爵安</t>
        </is>
      </c>
      <c r="C30" s="72" t="inlineStr"/>
      <c r="D30" s="18" t="inlineStr"/>
      <c r="E30" s="73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4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4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3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4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4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3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4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4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3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4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4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3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4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4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3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4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4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3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4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4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3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4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4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3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4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4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3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4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4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3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4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4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3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4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4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3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4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4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3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4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4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3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4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4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3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4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4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3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4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4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3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4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4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3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4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4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3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4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4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3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4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4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3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4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4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3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4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4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3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4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4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3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4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4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3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4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4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3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4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4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3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4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4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3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4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4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3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4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4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3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4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4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5">
        <f>IFERROR(MATCH($A30,醫師週班表!$A$5:$A$44,0),0)</f>
        <v/>
      </c>
    </row>
    <row r="31" ht="17" customHeight="1">
      <c r="A31" s="21" t="inlineStr">
        <is>
          <t>D026</t>
        </is>
      </c>
      <c r="B31" s="18" t="inlineStr">
        <is>
          <t>吳冠廷</t>
        </is>
      </c>
      <c r="C31" s="72" t="inlineStr"/>
      <c r="D31" s="18" t="inlineStr"/>
      <c r="E31" s="73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4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4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3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4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4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3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4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4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3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4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4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3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4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4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3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4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4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3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4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4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3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4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4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3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4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4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3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4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4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3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4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4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3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4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4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3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4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4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3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4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4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3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4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4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3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4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4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3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4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4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3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4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4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3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4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4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3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4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4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3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4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4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3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4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4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3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4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4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3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4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4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3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4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4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3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4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4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3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4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4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3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4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4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3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4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4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3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4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4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3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4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4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5">
        <f>IFERROR(MATCH($A31,醫師週班表!$A$5:$A$44,0),0)</f>
        <v/>
      </c>
    </row>
    <row r="32" ht="17" customHeight="1">
      <c r="A32" s="21" t="inlineStr">
        <is>
          <t>D027</t>
        </is>
      </c>
      <c r="B32" s="18" t="inlineStr">
        <is>
          <t>楊孟庭</t>
        </is>
      </c>
      <c r="C32" s="72" t="inlineStr"/>
      <c r="D32" s="18" t="inlineStr"/>
      <c r="E32" s="73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4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4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3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4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4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3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4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4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3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4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4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3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4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4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3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4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4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3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4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4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3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4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4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3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4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4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3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4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4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3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4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4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3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4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4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3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4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4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3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4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4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3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4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4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3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4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4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3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4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4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3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4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4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3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4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4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3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4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4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3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4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4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3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4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4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3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4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4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3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4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4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3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4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4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3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4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4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3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4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4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3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4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4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3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4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4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3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4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4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3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4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4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5">
        <f>IFERROR(MATCH($A32,醫師週班表!$A$5:$A$44,0),0)</f>
        <v/>
      </c>
    </row>
    <row r="33" ht="17" customHeight="1">
      <c r="A33" s="21" t="n"/>
      <c r="B33" s="18">
        <f>IFERROR(INDEX(設定!$C$80:$C$219,MATCH($A33,設定!$B$80:$B$219,0)),"")</f>
        <v/>
      </c>
      <c r="C33" s="72">
        <f>IFERROR(INDEX(設定!$E$80:$E$219,MATCH($A33,設定!$B$80:$B$219,0)),"")</f>
        <v/>
      </c>
      <c r="D33" s="18">
        <f>IFERROR(INDEX(設定!$F$80:$F$219,MATCH($A33,設定!$B$80:$B$219,0)),"")</f>
        <v/>
      </c>
      <c r="E33" s="73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4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4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3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4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4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3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4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4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3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4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4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3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4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4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3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4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4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3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4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4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3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4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4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3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4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4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3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4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4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3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4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4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3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4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4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3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4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4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3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4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4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3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4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4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3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4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4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3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4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4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3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4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4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3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4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4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3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4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4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3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4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4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3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4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4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3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4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4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3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4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4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3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4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4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3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4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4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3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4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4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3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4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4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3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4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4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3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4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4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3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4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4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5">
        <f>IFERROR(MATCH($A33,醫師週班表!$A$5:$A$44,0),0)</f>
        <v/>
      </c>
    </row>
    <row r="34" ht="17" customHeight="1">
      <c r="A34" s="21" t="n"/>
      <c r="B34" s="18">
        <f>IFERROR(INDEX(設定!$C$80:$C$219,MATCH($A34,設定!$B$80:$B$219,0)),"")</f>
        <v/>
      </c>
      <c r="C34" s="72">
        <f>IFERROR(INDEX(設定!$E$80:$E$219,MATCH($A34,設定!$B$80:$B$219,0)),"")</f>
        <v/>
      </c>
      <c r="D34" s="18">
        <f>IFERROR(INDEX(設定!$F$80:$F$219,MATCH($A34,設定!$B$80:$B$219,0)),"")</f>
        <v/>
      </c>
      <c r="E34" s="73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4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4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3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4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4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3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4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4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3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4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4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3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4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4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3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4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4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3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4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4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3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4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4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3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4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4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3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4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4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3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4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4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3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4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4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3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4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4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3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4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4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3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4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4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3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4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4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3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4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4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3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4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4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3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4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4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3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4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4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3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4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4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3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4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4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3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4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4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3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4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4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3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4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4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3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4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4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3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4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4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3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4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4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3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4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4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3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4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4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3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4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4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5">
        <f>IFERROR(MATCH($A34,醫師週班表!$A$5:$A$44,0),0)</f>
        <v/>
      </c>
    </row>
    <row r="35" ht="17" customHeight="1">
      <c r="A35" s="21" t="n"/>
      <c r="B35" s="18">
        <f>IFERROR(INDEX(設定!$C$80:$C$219,MATCH($A35,設定!$B$80:$B$219,0)),"")</f>
        <v/>
      </c>
      <c r="C35" s="72">
        <f>IFERROR(INDEX(設定!$E$80:$E$219,MATCH($A35,設定!$B$80:$B$219,0)),"")</f>
        <v/>
      </c>
      <c r="D35" s="18">
        <f>IFERROR(INDEX(設定!$F$80:$F$219,MATCH($A35,設定!$B$80:$B$219,0)),"")</f>
        <v/>
      </c>
      <c r="E35" s="73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4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4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3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4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4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3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4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4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3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4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4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3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4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4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3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4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4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3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4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4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3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4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4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3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4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4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3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4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4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3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4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4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3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4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4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3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4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4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3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4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4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3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4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4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3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4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4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3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4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4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3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4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4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3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4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4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3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4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4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3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4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4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3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4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4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3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4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4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3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4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4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3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4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4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3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4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4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3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4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4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3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4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4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3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4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4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3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4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4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3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4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4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5">
        <f>IFERROR(MATCH($A35,醫師週班表!$A$5:$A$44,0),0)</f>
        <v/>
      </c>
    </row>
    <row r="36" ht="17" customHeight="1">
      <c r="A36" s="21" t="n"/>
      <c r="B36" s="18">
        <f>IFERROR(INDEX(設定!$C$80:$C$219,MATCH($A36,設定!$B$80:$B$219,0)),"")</f>
        <v/>
      </c>
      <c r="C36" s="72">
        <f>IFERROR(INDEX(設定!$E$80:$E$219,MATCH($A36,設定!$B$80:$B$219,0)),"")</f>
        <v/>
      </c>
      <c r="D36" s="18">
        <f>IFERROR(INDEX(設定!$F$80:$F$219,MATCH($A36,設定!$B$80:$B$219,0)),"")</f>
        <v/>
      </c>
      <c r="E36" s="73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4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4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3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4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4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3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4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4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3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4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4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3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4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4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3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4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4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3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4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4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3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4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4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3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4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4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3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4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4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3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4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4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3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4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4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3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4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4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3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4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4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3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4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4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3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4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4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3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4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4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3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4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4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3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4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4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3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4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4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3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4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4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3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4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4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3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4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4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3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4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4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3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4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4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3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4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4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3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4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4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3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4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4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3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4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4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3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4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4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3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4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4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5">
        <f>IFERROR(MATCH($A36,醫師週班表!$A$5:$A$44,0),0)</f>
        <v/>
      </c>
    </row>
    <row r="37" ht="17" customHeight="1">
      <c r="A37" s="21" t="n"/>
      <c r="B37" s="18">
        <f>IFERROR(INDEX(設定!$C$80:$C$219,MATCH($A37,設定!$B$80:$B$219,0)),"")</f>
        <v/>
      </c>
      <c r="C37" s="72">
        <f>IFERROR(INDEX(設定!$E$80:$E$219,MATCH($A37,設定!$B$80:$B$219,0)),"")</f>
        <v/>
      </c>
      <c r="D37" s="18">
        <f>IFERROR(INDEX(設定!$F$80:$F$219,MATCH($A37,設定!$B$80:$B$219,0)),"")</f>
        <v/>
      </c>
      <c r="E37" s="73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4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4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3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4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4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3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4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4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3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4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4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3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4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4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3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4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4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3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4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4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3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4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4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3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4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4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3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4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4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3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4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4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3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4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4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3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4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4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3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4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4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3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4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4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3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4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4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3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4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4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3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4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4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3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4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4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3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4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4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3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4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4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3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4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4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3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4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4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3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4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4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3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4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4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3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4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4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3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4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4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3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4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4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3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4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4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3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4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4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3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4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4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5">
        <f>IFERROR(MATCH($A37,醫師週班表!$A$5:$A$44,0),0)</f>
        <v/>
      </c>
    </row>
    <row r="38" ht="17" customHeight="1">
      <c r="A38" s="21" t="n"/>
      <c r="B38" s="18">
        <f>IFERROR(INDEX(設定!$C$80:$C$219,MATCH($A38,設定!$B$80:$B$219,0)),"")</f>
        <v/>
      </c>
      <c r="C38" s="72">
        <f>IFERROR(INDEX(設定!$E$80:$E$219,MATCH($A38,設定!$B$80:$B$219,0)),"")</f>
        <v/>
      </c>
      <c r="D38" s="18">
        <f>IFERROR(INDEX(設定!$F$80:$F$219,MATCH($A38,設定!$B$80:$B$219,0)),"")</f>
        <v/>
      </c>
      <c r="E38" s="73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4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4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3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4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4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3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4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4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3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4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4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3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4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4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3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4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4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3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4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4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3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4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4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3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4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4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3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4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4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3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4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4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3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4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4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3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4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4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3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4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4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3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4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4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3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4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4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3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4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4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3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4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4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3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4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4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3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4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4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3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4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4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3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4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4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3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4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4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3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4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4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3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4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4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3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4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4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3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4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4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3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4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4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3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4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4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3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4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4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3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4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4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5">
        <f>IFERROR(MATCH($A38,醫師週班表!$A$5:$A$44,0),0)</f>
        <v/>
      </c>
    </row>
    <row r="39" ht="17" customHeight="1">
      <c r="A39" s="21" t="n"/>
      <c r="B39" s="18">
        <f>IFERROR(INDEX(設定!$C$80:$C$219,MATCH($A39,設定!$B$80:$B$219,0)),"")</f>
        <v/>
      </c>
      <c r="C39" s="72">
        <f>IFERROR(INDEX(設定!$E$80:$E$219,MATCH($A39,設定!$B$80:$B$219,0)),"")</f>
        <v/>
      </c>
      <c r="D39" s="18">
        <f>IFERROR(INDEX(設定!$F$80:$F$219,MATCH($A39,設定!$B$80:$B$219,0)),"")</f>
        <v/>
      </c>
      <c r="E39" s="73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4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4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3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4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4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3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4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4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3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4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4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3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4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4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3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4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4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3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4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4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3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4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4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3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4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4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3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4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4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3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4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4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3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4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4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3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4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4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3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4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4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3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4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4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3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4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4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3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4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4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3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4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4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3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4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4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3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4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4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3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4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4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3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4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4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3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4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4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3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4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4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3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4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4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3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4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4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3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4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4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3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4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4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3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4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4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3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4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4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3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4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4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5">
        <f>IFERROR(MATCH($A39,醫師週班表!$A$5:$A$44,0),0)</f>
        <v/>
      </c>
    </row>
    <row r="40" ht="17" customHeight="1">
      <c r="A40" s="21" t="n"/>
      <c r="B40" s="18">
        <f>IFERROR(INDEX(設定!$C$80:$C$219,MATCH($A40,設定!$B$80:$B$219,0)),"")</f>
        <v/>
      </c>
      <c r="C40" s="72">
        <f>IFERROR(INDEX(設定!$E$80:$E$219,MATCH($A40,設定!$B$80:$B$219,0)),"")</f>
        <v/>
      </c>
      <c r="D40" s="18">
        <f>IFERROR(INDEX(設定!$F$80:$F$219,MATCH($A40,設定!$B$80:$B$219,0)),"")</f>
        <v/>
      </c>
      <c r="E40" s="73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4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4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3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4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4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3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4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4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3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4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4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3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4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4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3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4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4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3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4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4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3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4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4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3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4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4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3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4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4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3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4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4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3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4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4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3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4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4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3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4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4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3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4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4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3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4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4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3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4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4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3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4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4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3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4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4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3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4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4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3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4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4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3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4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4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3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4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4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3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4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4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3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4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4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3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4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4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3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4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4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3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4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4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3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4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4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3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4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4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3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4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4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5">
        <f>IFERROR(MATCH($A40,醫師週班表!$A$5:$A$44,0),0)</f>
        <v/>
      </c>
    </row>
    <row r="41" ht="17" customHeight="1">
      <c r="A41" s="21" t="n"/>
      <c r="B41" s="18">
        <f>IFERROR(INDEX(設定!$C$80:$C$219,MATCH($A41,設定!$B$80:$B$219,0)),"")</f>
        <v/>
      </c>
      <c r="C41" s="72">
        <f>IFERROR(INDEX(設定!$E$80:$E$219,MATCH($A41,設定!$B$80:$B$219,0)),"")</f>
        <v/>
      </c>
      <c r="D41" s="18">
        <f>IFERROR(INDEX(設定!$F$80:$F$219,MATCH($A41,設定!$B$80:$B$219,0)),"")</f>
        <v/>
      </c>
      <c r="E41" s="73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4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4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3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4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4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3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4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4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3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4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4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3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4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4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3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4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4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3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4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4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3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4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4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3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4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4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3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4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4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3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4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4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3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4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4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3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4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4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3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4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4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3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4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4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3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4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4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3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4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4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3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4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4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3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4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4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3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4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4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3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4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4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3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4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4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3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4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4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3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4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4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3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4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4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3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4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4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3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4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4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3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4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4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3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4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4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3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4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4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3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4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4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5">
        <f>IFERROR(MATCH($A41,醫師週班表!$A$5:$A$44,0),0)</f>
        <v/>
      </c>
    </row>
    <row r="42" ht="17" customHeight="1">
      <c r="A42" s="21" t="n"/>
      <c r="B42" s="18">
        <f>IFERROR(INDEX(設定!$C$80:$C$219,MATCH($A42,設定!$B$80:$B$219,0)),"")</f>
        <v/>
      </c>
      <c r="C42" s="72">
        <f>IFERROR(INDEX(設定!$E$80:$E$219,MATCH($A42,設定!$B$80:$B$219,0)),"")</f>
        <v/>
      </c>
      <c r="D42" s="18">
        <f>IFERROR(INDEX(設定!$F$80:$F$219,MATCH($A42,設定!$B$80:$B$219,0)),"")</f>
        <v/>
      </c>
      <c r="E42" s="73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4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4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3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4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4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3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4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4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3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4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4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3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4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4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3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4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4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3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4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4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3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4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4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3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4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4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3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4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4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3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4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4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3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4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4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3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4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4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3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4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4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3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4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4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3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4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4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3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4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4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3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4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4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3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4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4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3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4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4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3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4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4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3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4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4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3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4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4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3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4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4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3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4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4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3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4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4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3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4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4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3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4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4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3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4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4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3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4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4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3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4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4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5">
        <f>IFERROR(MATCH($A42,醫師週班表!$A$5:$A$44,0),0)</f>
        <v/>
      </c>
    </row>
    <row r="43" ht="17" customHeight="1">
      <c r="A43" s="21" t="n"/>
      <c r="B43" s="18">
        <f>IFERROR(INDEX(設定!$C$80:$C$219,MATCH($A43,設定!$B$80:$B$219,0)),"")</f>
        <v/>
      </c>
      <c r="C43" s="72">
        <f>IFERROR(INDEX(設定!$E$80:$E$219,MATCH($A43,設定!$B$80:$B$219,0)),"")</f>
        <v/>
      </c>
      <c r="D43" s="18">
        <f>IFERROR(INDEX(設定!$F$80:$F$219,MATCH($A43,設定!$B$80:$B$219,0)),"")</f>
        <v/>
      </c>
      <c r="E43" s="73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4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4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3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4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4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3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4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4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3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4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4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3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4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4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3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4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4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3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4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4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3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4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4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3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4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4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3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4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4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3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4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4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3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4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4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3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4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4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3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4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4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3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4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4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3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4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4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3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4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4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3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4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4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3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4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4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3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4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4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3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4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4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3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4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4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3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4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4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3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4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4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3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4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4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3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4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4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3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4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4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3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4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4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3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4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4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3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4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4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3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4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4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5">
        <f>IFERROR(MATCH($A43,醫師週班表!$A$5:$A$44,0),0)</f>
        <v/>
      </c>
    </row>
    <row r="44" ht="17" customHeight="1">
      <c r="A44" s="21" t="n"/>
      <c r="B44" s="18">
        <f>IFERROR(INDEX(設定!$C$80:$C$219,MATCH($A44,設定!$B$80:$B$219,0)),"")</f>
        <v/>
      </c>
      <c r="C44" s="72">
        <f>IFERROR(INDEX(設定!$E$80:$E$219,MATCH($A44,設定!$B$80:$B$219,0)),"")</f>
        <v/>
      </c>
      <c r="D44" s="18">
        <f>IFERROR(INDEX(設定!$F$80:$F$219,MATCH($A44,設定!$B$80:$B$219,0)),"")</f>
        <v/>
      </c>
      <c r="E44" s="73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4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4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3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4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4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3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4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4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3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4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4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3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4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4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3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4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4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3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4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4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3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4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4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3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4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4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3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4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4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3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4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4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3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4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4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3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4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4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3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4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4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3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4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4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3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4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4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3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4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4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3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4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4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3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4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4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3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4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4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3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4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4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3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4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4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3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4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4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3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4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4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3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4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4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3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4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4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3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4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4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3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4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4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3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4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4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3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4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4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3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4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4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5">
        <f>IFERROR(MATCH($A44,醫師週班表!$A$5:$A$44,0),0)</f>
        <v/>
      </c>
    </row>
    <row r="45" ht="17" customHeight="1">
      <c r="A45" s="21" t="n"/>
      <c r="B45" s="18">
        <f>IFERROR(INDEX(設定!$C$80:$C$219,MATCH($A45,設定!$B$80:$B$219,0)),"")</f>
        <v/>
      </c>
      <c r="C45" s="72">
        <f>IFERROR(INDEX(設定!$E$80:$E$219,MATCH($A45,設定!$B$80:$B$219,0)),"")</f>
        <v/>
      </c>
      <c r="D45" s="18">
        <f>IFERROR(INDEX(設定!$F$80:$F$219,MATCH($A45,設定!$B$80:$B$219,0)),"")</f>
        <v/>
      </c>
      <c r="E45" s="73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4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4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3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4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4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3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4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4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3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4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4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3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4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4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3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4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4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3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4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4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3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4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4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3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4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4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3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4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4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3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4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4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3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4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4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3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4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4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3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4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4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3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4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4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3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4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4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3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4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4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3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4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4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3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4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4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3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4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4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3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4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4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3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4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4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3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4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4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3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4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4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3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4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4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3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4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4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3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4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4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3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4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4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3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4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4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3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4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4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3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4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4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5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6" t="inlineStr">
        <is>
          <t>悅 晶悅</t>
        </is>
      </c>
      <c r="B47" s="8" t="n"/>
      <c r="C47" s="8" t="n"/>
      <c r="D47" s="9" t="n"/>
      <c r="E47" s="77">
        <f>IF(E$4="","",IF(COUNTIF(設定!$W$6:$W$40,DATE(設定!$C$2,設定!$D$2,1))&gt;0,"假",IF(INDEX(設定!$U$70:$AO$70,(WEEKDAY(DATE(設定!$C$2,設定!$D$2,1),2)-1)*3+1)=0,"休",COUNTIF(E$6:E$45,"悅"))))</f>
        <v/>
      </c>
      <c r="F47" s="78">
        <f>IF(F$4="","",IF(COUNTIF(設定!$W$6:$W$40,DATE(設定!$C$2,設定!$D$2,1))&gt;0,"假",IF(INDEX(設定!$U$70:$AO$70,(WEEKDAY(DATE(設定!$C$2,設定!$D$2,1),2)-1)*3+2)=0,"休",COUNTIF(F$6:F$45,"悅"))))</f>
        <v/>
      </c>
      <c r="G47" s="78">
        <f>IF(G$4="","",IF(COUNTIF(設定!$W$6:$W$40,DATE(設定!$C$2,設定!$D$2,1))&gt;0,"假",IF(INDEX(設定!$U$70:$AO$70,(WEEKDAY(DATE(設定!$C$2,設定!$D$2,1),2)-1)*3+3)=0,"休",COUNTIF(G$6:G$45,"悅"))))</f>
        <v/>
      </c>
      <c r="H47" s="77">
        <f>IF(H$4="","",IF(COUNTIF(設定!$W$6:$W$40,DATE(設定!$C$2,設定!$D$2,2))&gt;0,"假",IF(INDEX(設定!$U$70:$AO$70,(WEEKDAY(DATE(設定!$C$2,設定!$D$2,2),2)-1)*3+1)=0,"休",COUNTIF(H$6:H$45,"悅"))))</f>
        <v/>
      </c>
      <c r="I47" s="78">
        <f>IF(I$4="","",IF(COUNTIF(設定!$W$6:$W$40,DATE(設定!$C$2,設定!$D$2,2))&gt;0,"假",IF(INDEX(設定!$U$70:$AO$70,(WEEKDAY(DATE(設定!$C$2,設定!$D$2,2),2)-1)*3+2)=0,"休",COUNTIF(I$6:I$45,"悅"))))</f>
        <v/>
      </c>
      <c r="J47" s="78">
        <f>IF(J$4="","",IF(COUNTIF(設定!$W$6:$W$40,DATE(設定!$C$2,設定!$D$2,2))&gt;0,"假",IF(INDEX(設定!$U$70:$AO$70,(WEEKDAY(DATE(設定!$C$2,設定!$D$2,2),2)-1)*3+3)=0,"休",COUNTIF(J$6:J$45,"悅"))))</f>
        <v/>
      </c>
      <c r="K47" s="77">
        <f>IF(K$4="","",IF(COUNTIF(設定!$W$6:$W$40,DATE(設定!$C$2,設定!$D$2,3))&gt;0,"假",IF(INDEX(設定!$U$70:$AO$70,(WEEKDAY(DATE(設定!$C$2,設定!$D$2,3),2)-1)*3+1)=0,"休",COUNTIF(K$6:K$45,"悅"))))</f>
        <v/>
      </c>
      <c r="L47" s="78">
        <f>IF(L$4="","",IF(COUNTIF(設定!$W$6:$W$40,DATE(設定!$C$2,設定!$D$2,3))&gt;0,"假",IF(INDEX(設定!$U$70:$AO$70,(WEEKDAY(DATE(設定!$C$2,設定!$D$2,3),2)-1)*3+2)=0,"休",COUNTIF(L$6:L$45,"悅"))))</f>
        <v/>
      </c>
      <c r="M47" s="78">
        <f>IF(M$4="","",IF(COUNTIF(設定!$W$6:$W$40,DATE(設定!$C$2,設定!$D$2,3))&gt;0,"假",IF(INDEX(設定!$U$70:$AO$70,(WEEKDAY(DATE(設定!$C$2,設定!$D$2,3),2)-1)*3+3)=0,"休",COUNTIF(M$6:M$45,"悅"))))</f>
        <v/>
      </c>
      <c r="N47" s="77">
        <f>IF(N$4="","",IF(COUNTIF(設定!$W$6:$W$40,DATE(設定!$C$2,設定!$D$2,4))&gt;0,"假",IF(INDEX(設定!$U$70:$AO$70,(WEEKDAY(DATE(設定!$C$2,設定!$D$2,4),2)-1)*3+1)=0,"休",COUNTIF(N$6:N$45,"悅"))))</f>
        <v/>
      </c>
      <c r="O47" s="78">
        <f>IF(O$4="","",IF(COUNTIF(設定!$W$6:$W$40,DATE(設定!$C$2,設定!$D$2,4))&gt;0,"假",IF(INDEX(設定!$U$70:$AO$70,(WEEKDAY(DATE(設定!$C$2,設定!$D$2,4),2)-1)*3+2)=0,"休",COUNTIF(O$6:O$45,"悅"))))</f>
        <v/>
      </c>
      <c r="P47" s="78">
        <f>IF(P$4="","",IF(COUNTIF(設定!$W$6:$W$40,DATE(設定!$C$2,設定!$D$2,4))&gt;0,"假",IF(INDEX(設定!$U$70:$AO$70,(WEEKDAY(DATE(設定!$C$2,設定!$D$2,4),2)-1)*3+3)=0,"休",COUNTIF(P$6:P$45,"悅"))))</f>
        <v/>
      </c>
      <c r="Q47" s="77">
        <f>IF(Q$4="","",IF(COUNTIF(設定!$W$6:$W$40,DATE(設定!$C$2,設定!$D$2,5))&gt;0,"假",IF(INDEX(設定!$U$70:$AO$70,(WEEKDAY(DATE(設定!$C$2,設定!$D$2,5),2)-1)*3+1)=0,"休",COUNTIF(Q$6:Q$45,"悅"))))</f>
        <v/>
      </c>
      <c r="R47" s="78">
        <f>IF(R$4="","",IF(COUNTIF(設定!$W$6:$W$40,DATE(設定!$C$2,設定!$D$2,5))&gt;0,"假",IF(INDEX(設定!$U$70:$AO$70,(WEEKDAY(DATE(設定!$C$2,設定!$D$2,5),2)-1)*3+2)=0,"休",COUNTIF(R$6:R$45,"悅"))))</f>
        <v/>
      </c>
      <c r="S47" s="78">
        <f>IF(S$4="","",IF(COUNTIF(設定!$W$6:$W$40,DATE(設定!$C$2,設定!$D$2,5))&gt;0,"假",IF(INDEX(設定!$U$70:$AO$70,(WEEKDAY(DATE(設定!$C$2,設定!$D$2,5),2)-1)*3+3)=0,"休",COUNTIF(S$6:S$45,"悅"))))</f>
        <v/>
      </c>
      <c r="T47" s="77">
        <f>IF(T$4="","",IF(COUNTIF(設定!$W$6:$W$40,DATE(設定!$C$2,設定!$D$2,6))&gt;0,"假",IF(INDEX(設定!$U$70:$AO$70,(WEEKDAY(DATE(設定!$C$2,設定!$D$2,6),2)-1)*3+1)=0,"休",COUNTIF(T$6:T$45,"悅"))))</f>
        <v/>
      </c>
      <c r="U47" s="78">
        <f>IF(U$4="","",IF(COUNTIF(設定!$W$6:$W$40,DATE(設定!$C$2,設定!$D$2,6))&gt;0,"假",IF(INDEX(設定!$U$70:$AO$70,(WEEKDAY(DATE(設定!$C$2,設定!$D$2,6),2)-1)*3+2)=0,"休",COUNTIF(U$6:U$45,"悅"))))</f>
        <v/>
      </c>
      <c r="V47" s="78">
        <f>IF(V$4="","",IF(COUNTIF(設定!$W$6:$W$40,DATE(設定!$C$2,設定!$D$2,6))&gt;0,"假",IF(INDEX(設定!$U$70:$AO$70,(WEEKDAY(DATE(設定!$C$2,設定!$D$2,6),2)-1)*3+3)=0,"休",COUNTIF(V$6:V$45,"悅"))))</f>
        <v/>
      </c>
      <c r="W47" s="77">
        <f>IF(W$4="","",IF(COUNTIF(設定!$W$6:$W$40,DATE(設定!$C$2,設定!$D$2,7))&gt;0,"假",IF(INDEX(設定!$U$70:$AO$70,(WEEKDAY(DATE(設定!$C$2,設定!$D$2,7),2)-1)*3+1)=0,"休",COUNTIF(W$6:W$45,"悅"))))</f>
        <v/>
      </c>
      <c r="X47" s="78">
        <f>IF(X$4="","",IF(COUNTIF(設定!$W$6:$W$40,DATE(設定!$C$2,設定!$D$2,7))&gt;0,"假",IF(INDEX(設定!$U$70:$AO$70,(WEEKDAY(DATE(設定!$C$2,設定!$D$2,7),2)-1)*3+2)=0,"休",COUNTIF(X$6:X$45,"悅"))))</f>
        <v/>
      </c>
      <c r="Y47" s="78">
        <f>IF(Y$4="","",IF(COUNTIF(設定!$W$6:$W$40,DATE(設定!$C$2,設定!$D$2,7))&gt;0,"假",IF(INDEX(設定!$U$70:$AO$70,(WEEKDAY(DATE(設定!$C$2,設定!$D$2,7),2)-1)*3+3)=0,"休",COUNTIF(Y$6:Y$45,"悅"))))</f>
        <v/>
      </c>
      <c r="Z47" s="77">
        <f>IF(Z$4="","",IF(COUNTIF(設定!$W$6:$W$40,DATE(設定!$C$2,設定!$D$2,8))&gt;0,"假",IF(INDEX(設定!$U$70:$AO$70,(WEEKDAY(DATE(設定!$C$2,設定!$D$2,8),2)-1)*3+1)=0,"休",COUNTIF(Z$6:Z$45,"悅"))))</f>
        <v/>
      </c>
      <c r="AA47" s="78">
        <f>IF(AA$4="","",IF(COUNTIF(設定!$W$6:$W$40,DATE(設定!$C$2,設定!$D$2,8))&gt;0,"假",IF(INDEX(設定!$U$70:$AO$70,(WEEKDAY(DATE(設定!$C$2,設定!$D$2,8),2)-1)*3+2)=0,"休",COUNTIF(AA$6:AA$45,"悅"))))</f>
        <v/>
      </c>
      <c r="AB47" s="78">
        <f>IF(AB$4="","",IF(COUNTIF(設定!$W$6:$W$40,DATE(設定!$C$2,設定!$D$2,8))&gt;0,"假",IF(INDEX(設定!$U$70:$AO$70,(WEEKDAY(DATE(設定!$C$2,設定!$D$2,8),2)-1)*3+3)=0,"休",COUNTIF(AB$6:AB$45,"悅"))))</f>
        <v/>
      </c>
      <c r="AC47" s="77">
        <f>IF(AC$4="","",IF(COUNTIF(設定!$W$6:$W$40,DATE(設定!$C$2,設定!$D$2,9))&gt;0,"假",IF(INDEX(設定!$U$70:$AO$70,(WEEKDAY(DATE(設定!$C$2,設定!$D$2,9),2)-1)*3+1)=0,"休",COUNTIF(AC$6:AC$45,"悅"))))</f>
        <v/>
      </c>
      <c r="AD47" s="78">
        <f>IF(AD$4="","",IF(COUNTIF(設定!$W$6:$W$40,DATE(設定!$C$2,設定!$D$2,9))&gt;0,"假",IF(INDEX(設定!$U$70:$AO$70,(WEEKDAY(DATE(設定!$C$2,設定!$D$2,9),2)-1)*3+2)=0,"休",COUNTIF(AD$6:AD$45,"悅"))))</f>
        <v/>
      </c>
      <c r="AE47" s="78">
        <f>IF(AE$4="","",IF(COUNTIF(設定!$W$6:$W$40,DATE(設定!$C$2,設定!$D$2,9))&gt;0,"假",IF(INDEX(設定!$U$70:$AO$70,(WEEKDAY(DATE(設定!$C$2,設定!$D$2,9),2)-1)*3+3)=0,"休",COUNTIF(AE$6:AE$45,"悅"))))</f>
        <v/>
      </c>
      <c r="AF47" s="77">
        <f>IF(AF$4="","",IF(COUNTIF(設定!$W$6:$W$40,DATE(設定!$C$2,設定!$D$2,10))&gt;0,"假",IF(INDEX(設定!$U$70:$AO$70,(WEEKDAY(DATE(設定!$C$2,設定!$D$2,10),2)-1)*3+1)=0,"休",COUNTIF(AF$6:AF$45,"悅"))))</f>
        <v/>
      </c>
      <c r="AG47" s="78">
        <f>IF(AG$4="","",IF(COUNTIF(設定!$W$6:$W$40,DATE(設定!$C$2,設定!$D$2,10))&gt;0,"假",IF(INDEX(設定!$U$70:$AO$70,(WEEKDAY(DATE(設定!$C$2,設定!$D$2,10),2)-1)*3+2)=0,"休",COUNTIF(AG$6:AG$45,"悅"))))</f>
        <v/>
      </c>
      <c r="AH47" s="78">
        <f>IF(AH$4="","",IF(COUNTIF(設定!$W$6:$W$40,DATE(設定!$C$2,設定!$D$2,10))&gt;0,"假",IF(INDEX(設定!$U$70:$AO$70,(WEEKDAY(DATE(設定!$C$2,設定!$D$2,10),2)-1)*3+3)=0,"休",COUNTIF(AH$6:AH$45,"悅"))))</f>
        <v/>
      </c>
      <c r="AI47" s="77">
        <f>IF(AI$4="","",IF(COUNTIF(設定!$W$6:$W$40,DATE(設定!$C$2,設定!$D$2,11))&gt;0,"假",IF(INDEX(設定!$U$70:$AO$70,(WEEKDAY(DATE(設定!$C$2,設定!$D$2,11),2)-1)*3+1)=0,"休",COUNTIF(AI$6:AI$45,"悅"))))</f>
        <v/>
      </c>
      <c r="AJ47" s="78">
        <f>IF(AJ$4="","",IF(COUNTIF(設定!$W$6:$W$40,DATE(設定!$C$2,設定!$D$2,11))&gt;0,"假",IF(INDEX(設定!$U$70:$AO$70,(WEEKDAY(DATE(設定!$C$2,設定!$D$2,11),2)-1)*3+2)=0,"休",COUNTIF(AJ$6:AJ$45,"悅"))))</f>
        <v/>
      </c>
      <c r="AK47" s="78">
        <f>IF(AK$4="","",IF(COUNTIF(設定!$W$6:$W$40,DATE(設定!$C$2,設定!$D$2,11))&gt;0,"假",IF(INDEX(設定!$U$70:$AO$70,(WEEKDAY(DATE(設定!$C$2,設定!$D$2,11),2)-1)*3+3)=0,"休",COUNTIF(AK$6:AK$45,"悅"))))</f>
        <v/>
      </c>
      <c r="AL47" s="77">
        <f>IF(AL$4="","",IF(COUNTIF(設定!$W$6:$W$40,DATE(設定!$C$2,設定!$D$2,12))&gt;0,"假",IF(INDEX(設定!$U$70:$AO$70,(WEEKDAY(DATE(設定!$C$2,設定!$D$2,12),2)-1)*3+1)=0,"休",COUNTIF(AL$6:AL$45,"悅"))))</f>
        <v/>
      </c>
      <c r="AM47" s="78">
        <f>IF(AM$4="","",IF(COUNTIF(設定!$W$6:$W$40,DATE(設定!$C$2,設定!$D$2,12))&gt;0,"假",IF(INDEX(設定!$U$70:$AO$70,(WEEKDAY(DATE(設定!$C$2,設定!$D$2,12),2)-1)*3+2)=0,"休",COUNTIF(AM$6:AM$45,"悅"))))</f>
        <v/>
      </c>
      <c r="AN47" s="78">
        <f>IF(AN$4="","",IF(COUNTIF(設定!$W$6:$W$40,DATE(設定!$C$2,設定!$D$2,12))&gt;0,"假",IF(INDEX(設定!$U$70:$AO$70,(WEEKDAY(DATE(設定!$C$2,設定!$D$2,12),2)-1)*3+3)=0,"休",COUNTIF(AN$6:AN$45,"悅"))))</f>
        <v/>
      </c>
      <c r="AO47" s="77">
        <f>IF(AO$4="","",IF(COUNTIF(設定!$W$6:$W$40,DATE(設定!$C$2,設定!$D$2,13))&gt;0,"假",IF(INDEX(設定!$U$70:$AO$70,(WEEKDAY(DATE(設定!$C$2,設定!$D$2,13),2)-1)*3+1)=0,"休",COUNTIF(AO$6:AO$45,"悅"))))</f>
        <v/>
      </c>
      <c r="AP47" s="78">
        <f>IF(AP$4="","",IF(COUNTIF(設定!$W$6:$W$40,DATE(設定!$C$2,設定!$D$2,13))&gt;0,"假",IF(INDEX(設定!$U$70:$AO$70,(WEEKDAY(DATE(設定!$C$2,設定!$D$2,13),2)-1)*3+2)=0,"休",COUNTIF(AP$6:AP$45,"悅"))))</f>
        <v/>
      </c>
      <c r="AQ47" s="78">
        <f>IF(AQ$4="","",IF(COUNTIF(設定!$W$6:$W$40,DATE(設定!$C$2,設定!$D$2,13))&gt;0,"假",IF(INDEX(設定!$U$70:$AO$70,(WEEKDAY(DATE(設定!$C$2,設定!$D$2,13),2)-1)*3+3)=0,"休",COUNTIF(AQ$6:AQ$45,"悅"))))</f>
        <v/>
      </c>
      <c r="AR47" s="77">
        <f>IF(AR$4="","",IF(COUNTIF(設定!$W$6:$W$40,DATE(設定!$C$2,設定!$D$2,14))&gt;0,"假",IF(INDEX(設定!$U$70:$AO$70,(WEEKDAY(DATE(設定!$C$2,設定!$D$2,14),2)-1)*3+1)=0,"休",COUNTIF(AR$6:AR$45,"悅"))))</f>
        <v/>
      </c>
      <c r="AS47" s="78">
        <f>IF(AS$4="","",IF(COUNTIF(設定!$W$6:$W$40,DATE(設定!$C$2,設定!$D$2,14))&gt;0,"假",IF(INDEX(設定!$U$70:$AO$70,(WEEKDAY(DATE(設定!$C$2,設定!$D$2,14),2)-1)*3+2)=0,"休",COUNTIF(AS$6:AS$45,"悅"))))</f>
        <v/>
      </c>
      <c r="AT47" s="78">
        <f>IF(AT$4="","",IF(COUNTIF(設定!$W$6:$W$40,DATE(設定!$C$2,設定!$D$2,14))&gt;0,"假",IF(INDEX(設定!$U$70:$AO$70,(WEEKDAY(DATE(設定!$C$2,設定!$D$2,14),2)-1)*3+3)=0,"休",COUNTIF(AT$6:AT$45,"悅"))))</f>
        <v/>
      </c>
      <c r="AU47" s="77">
        <f>IF(AU$4="","",IF(COUNTIF(設定!$W$6:$W$40,DATE(設定!$C$2,設定!$D$2,15))&gt;0,"假",IF(INDEX(設定!$U$70:$AO$70,(WEEKDAY(DATE(設定!$C$2,設定!$D$2,15),2)-1)*3+1)=0,"休",COUNTIF(AU$6:AU$45,"悅"))))</f>
        <v/>
      </c>
      <c r="AV47" s="78">
        <f>IF(AV$4="","",IF(COUNTIF(設定!$W$6:$W$40,DATE(設定!$C$2,設定!$D$2,15))&gt;0,"假",IF(INDEX(設定!$U$70:$AO$70,(WEEKDAY(DATE(設定!$C$2,設定!$D$2,15),2)-1)*3+2)=0,"休",COUNTIF(AV$6:AV$45,"悅"))))</f>
        <v/>
      </c>
      <c r="AW47" s="78">
        <f>IF(AW$4="","",IF(COUNTIF(設定!$W$6:$W$40,DATE(設定!$C$2,設定!$D$2,15))&gt;0,"假",IF(INDEX(設定!$U$70:$AO$70,(WEEKDAY(DATE(設定!$C$2,設定!$D$2,15),2)-1)*3+3)=0,"休",COUNTIF(AW$6:AW$45,"悅"))))</f>
        <v/>
      </c>
      <c r="AX47" s="77">
        <f>IF(AX$4="","",IF(COUNTIF(設定!$W$6:$W$40,DATE(設定!$C$2,設定!$D$2,16))&gt;0,"假",IF(INDEX(設定!$U$70:$AO$70,(WEEKDAY(DATE(設定!$C$2,設定!$D$2,16),2)-1)*3+1)=0,"休",COUNTIF(AX$6:AX$45,"悅"))))</f>
        <v/>
      </c>
      <c r="AY47" s="78">
        <f>IF(AY$4="","",IF(COUNTIF(設定!$W$6:$W$40,DATE(設定!$C$2,設定!$D$2,16))&gt;0,"假",IF(INDEX(設定!$U$70:$AO$70,(WEEKDAY(DATE(設定!$C$2,設定!$D$2,16),2)-1)*3+2)=0,"休",COUNTIF(AY$6:AY$45,"悅"))))</f>
        <v/>
      </c>
      <c r="AZ47" s="78">
        <f>IF(AZ$4="","",IF(COUNTIF(設定!$W$6:$W$40,DATE(設定!$C$2,設定!$D$2,16))&gt;0,"假",IF(INDEX(設定!$U$70:$AO$70,(WEEKDAY(DATE(設定!$C$2,設定!$D$2,16),2)-1)*3+3)=0,"休",COUNTIF(AZ$6:AZ$45,"悅"))))</f>
        <v/>
      </c>
      <c r="BA47" s="77">
        <f>IF(BA$4="","",IF(COUNTIF(設定!$W$6:$W$40,DATE(設定!$C$2,設定!$D$2,17))&gt;0,"假",IF(INDEX(設定!$U$70:$AO$70,(WEEKDAY(DATE(設定!$C$2,設定!$D$2,17),2)-1)*3+1)=0,"休",COUNTIF(BA$6:BA$45,"悅"))))</f>
        <v/>
      </c>
      <c r="BB47" s="78">
        <f>IF(BB$4="","",IF(COUNTIF(設定!$W$6:$W$40,DATE(設定!$C$2,設定!$D$2,17))&gt;0,"假",IF(INDEX(設定!$U$70:$AO$70,(WEEKDAY(DATE(設定!$C$2,設定!$D$2,17),2)-1)*3+2)=0,"休",COUNTIF(BB$6:BB$45,"悅"))))</f>
        <v/>
      </c>
      <c r="BC47" s="78">
        <f>IF(BC$4="","",IF(COUNTIF(設定!$W$6:$W$40,DATE(設定!$C$2,設定!$D$2,17))&gt;0,"假",IF(INDEX(設定!$U$70:$AO$70,(WEEKDAY(DATE(設定!$C$2,設定!$D$2,17),2)-1)*3+3)=0,"休",COUNTIF(BC$6:BC$45,"悅"))))</f>
        <v/>
      </c>
      <c r="BD47" s="77">
        <f>IF(BD$4="","",IF(COUNTIF(設定!$W$6:$W$40,DATE(設定!$C$2,設定!$D$2,18))&gt;0,"假",IF(INDEX(設定!$U$70:$AO$70,(WEEKDAY(DATE(設定!$C$2,設定!$D$2,18),2)-1)*3+1)=0,"休",COUNTIF(BD$6:BD$45,"悅"))))</f>
        <v/>
      </c>
      <c r="BE47" s="78">
        <f>IF(BE$4="","",IF(COUNTIF(設定!$W$6:$W$40,DATE(設定!$C$2,設定!$D$2,18))&gt;0,"假",IF(INDEX(設定!$U$70:$AO$70,(WEEKDAY(DATE(設定!$C$2,設定!$D$2,18),2)-1)*3+2)=0,"休",COUNTIF(BE$6:BE$45,"悅"))))</f>
        <v/>
      </c>
      <c r="BF47" s="78">
        <f>IF(BF$4="","",IF(COUNTIF(設定!$W$6:$W$40,DATE(設定!$C$2,設定!$D$2,18))&gt;0,"假",IF(INDEX(設定!$U$70:$AO$70,(WEEKDAY(DATE(設定!$C$2,設定!$D$2,18),2)-1)*3+3)=0,"休",COUNTIF(BF$6:BF$45,"悅"))))</f>
        <v/>
      </c>
      <c r="BG47" s="77">
        <f>IF(BG$4="","",IF(COUNTIF(設定!$W$6:$W$40,DATE(設定!$C$2,設定!$D$2,19))&gt;0,"假",IF(INDEX(設定!$U$70:$AO$70,(WEEKDAY(DATE(設定!$C$2,設定!$D$2,19),2)-1)*3+1)=0,"休",COUNTIF(BG$6:BG$45,"悅"))))</f>
        <v/>
      </c>
      <c r="BH47" s="78">
        <f>IF(BH$4="","",IF(COUNTIF(設定!$W$6:$W$40,DATE(設定!$C$2,設定!$D$2,19))&gt;0,"假",IF(INDEX(設定!$U$70:$AO$70,(WEEKDAY(DATE(設定!$C$2,設定!$D$2,19),2)-1)*3+2)=0,"休",COUNTIF(BH$6:BH$45,"悅"))))</f>
        <v/>
      </c>
      <c r="BI47" s="78">
        <f>IF(BI$4="","",IF(COUNTIF(設定!$W$6:$W$40,DATE(設定!$C$2,設定!$D$2,19))&gt;0,"假",IF(INDEX(設定!$U$70:$AO$70,(WEEKDAY(DATE(設定!$C$2,設定!$D$2,19),2)-1)*3+3)=0,"休",COUNTIF(BI$6:BI$45,"悅"))))</f>
        <v/>
      </c>
      <c r="BJ47" s="77">
        <f>IF(BJ$4="","",IF(COUNTIF(設定!$W$6:$W$40,DATE(設定!$C$2,設定!$D$2,20))&gt;0,"假",IF(INDEX(設定!$U$70:$AO$70,(WEEKDAY(DATE(設定!$C$2,設定!$D$2,20),2)-1)*3+1)=0,"休",COUNTIF(BJ$6:BJ$45,"悅"))))</f>
        <v/>
      </c>
      <c r="BK47" s="78">
        <f>IF(BK$4="","",IF(COUNTIF(設定!$W$6:$W$40,DATE(設定!$C$2,設定!$D$2,20))&gt;0,"假",IF(INDEX(設定!$U$70:$AO$70,(WEEKDAY(DATE(設定!$C$2,設定!$D$2,20),2)-1)*3+2)=0,"休",COUNTIF(BK$6:BK$45,"悅"))))</f>
        <v/>
      </c>
      <c r="BL47" s="78">
        <f>IF(BL$4="","",IF(COUNTIF(設定!$W$6:$W$40,DATE(設定!$C$2,設定!$D$2,20))&gt;0,"假",IF(INDEX(設定!$U$70:$AO$70,(WEEKDAY(DATE(設定!$C$2,設定!$D$2,20),2)-1)*3+3)=0,"休",COUNTIF(BL$6:BL$45,"悅"))))</f>
        <v/>
      </c>
      <c r="BM47" s="77">
        <f>IF(BM$4="","",IF(COUNTIF(設定!$W$6:$W$40,DATE(設定!$C$2,設定!$D$2,21))&gt;0,"假",IF(INDEX(設定!$U$70:$AO$70,(WEEKDAY(DATE(設定!$C$2,設定!$D$2,21),2)-1)*3+1)=0,"休",COUNTIF(BM$6:BM$45,"悅"))))</f>
        <v/>
      </c>
      <c r="BN47" s="78">
        <f>IF(BN$4="","",IF(COUNTIF(設定!$W$6:$W$40,DATE(設定!$C$2,設定!$D$2,21))&gt;0,"假",IF(INDEX(設定!$U$70:$AO$70,(WEEKDAY(DATE(設定!$C$2,設定!$D$2,21),2)-1)*3+2)=0,"休",COUNTIF(BN$6:BN$45,"悅"))))</f>
        <v/>
      </c>
      <c r="BO47" s="78">
        <f>IF(BO$4="","",IF(COUNTIF(設定!$W$6:$W$40,DATE(設定!$C$2,設定!$D$2,21))&gt;0,"假",IF(INDEX(設定!$U$70:$AO$70,(WEEKDAY(DATE(設定!$C$2,設定!$D$2,21),2)-1)*3+3)=0,"休",COUNTIF(BO$6:BO$45,"悅"))))</f>
        <v/>
      </c>
      <c r="BP47" s="77">
        <f>IF(BP$4="","",IF(COUNTIF(設定!$W$6:$W$40,DATE(設定!$C$2,設定!$D$2,22))&gt;0,"假",IF(INDEX(設定!$U$70:$AO$70,(WEEKDAY(DATE(設定!$C$2,設定!$D$2,22),2)-1)*3+1)=0,"休",COUNTIF(BP$6:BP$45,"悅"))))</f>
        <v/>
      </c>
      <c r="BQ47" s="78">
        <f>IF(BQ$4="","",IF(COUNTIF(設定!$W$6:$W$40,DATE(設定!$C$2,設定!$D$2,22))&gt;0,"假",IF(INDEX(設定!$U$70:$AO$70,(WEEKDAY(DATE(設定!$C$2,設定!$D$2,22),2)-1)*3+2)=0,"休",COUNTIF(BQ$6:BQ$45,"悅"))))</f>
        <v/>
      </c>
      <c r="BR47" s="78">
        <f>IF(BR$4="","",IF(COUNTIF(設定!$W$6:$W$40,DATE(設定!$C$2,設定!$D$2,22))&gt;0,"假",IF(INDEX(設定!$U$70:$AO$70,(WEEKDAY(DATE(設定!$C$2,設定!$D$2,22),2)-1)*3+3)=0,"休",COUNTIF(BR$6:BR$45,"悅"))))</f>
        <v/>
      </c>
      <c r="BS47" s="77">
        <f>IF(BS$4="","",IF(COUNTIF(設定!$W$6:$W$40,DATE(設定!$C$2,設定!$D$2,23))&gt;0,"假",IF(INDEX(設定!$U$70:$AO$70,(WEEKDAY(DATE(設定!$C$2,設定!$D$2,23),2)-1)*3+1)=0,"休",COUNTIF(BS$6:BS$45,"悅"))))</f>
        <v/>
      </c>
      <c r="BT47" s="78">
        <f>IF(BT$4="","",IF(COUNTIF(設定!$W$6:$W$40,DATE(設定!$C$2,設定!$D$2,23))&gt;0,"假",IF(INDEX(設定!$U$70:$AO$70,(WEEKDAY(DATE(設定!$C$2,設定!$D$2,23),2)-1)*3+2)=0,"休",COUNTIF(BT$6:BT$45,"悅"))))</f>
        <v/>
      </c>
      <c r="BU47" s="78">
        <f>IF(BU$4="","",IF(COUNTIF(設定!$W$6:$W$40,DATE(設定!$C$2,設定!$D$2,23))&gt;0,"假",IF(INDEX(設定!$U$70:$AO$70,(WEEKDAY(DATE(設定!$C$2,設定!$D$2,23),2)-1)*3+3)=0,"休",COUNTIF(BU$6:BU$45,"悅"))))</f>
        <v/>
      </c>
      <c r="BV47" s="77">
        <f>IF(BV$4="","",IF(COUNTIF(設定!$W$6:$W$40,DATE(設定!$C$2,設定!$D$2,24))&gt;0,"假",IF(INDEX(設定!$U$70:$AO$70,(WEEKDAY(DATE(設定!$C$2,設定!$D$2,24),2)-1)*3+1)=0,"休",COUNTIF(BV$6:BV$45,"悅"))))</f>
        <v/>
      </c>
      <c r="BW47" s="78">
        <f>IF(BW$4="","",IF(COUNTIF(設定!$W$6:$W$40,DATE(設定!$C$2,設定!$D$2,24))&gt;0,"假",IF(INDEX(設定!$U$70:$AO$70,(WEEKDAY(DATE(設定!$C$2,設定!$D$2,24),2)-1)*3+2)=0,"休",COUNTIF(BW$6:BW$45,"悅"))))</f>
        <v/>
      </c>
      <c r="BX47" s="78">
        <f>IF(BX$4="","",IF(COUNTIF(設定!$W$6:$W$40,DATE(設定!$C$2,設定!$D$2,24))&gt;0,"假",IF(INDEX(設定!$U$70:$AO$70,(WEEKDAY(DATE(設定!$C$2,設定!$D$2,24),2)-1)*3+3)=0,"休",COUNTIF(BX$6:BX$45,"悅"))))</f>
        <v/>
      </c>
      <c r="BY47" s="77">
        <f>IF(BY$4="","",IF(COUNTIF(設定!$W$6:$W$40,DATE(設定!$C$2,設定!$D$2,25))&gt;0,"假",IF(INDEX(設定!$U$70:$AO$70,(WEEKDAY(DATE(設定!$C$2,設定!$D$2,25),2)-1)*3+1)=0,"休",COUNTIF(BY$6:BY$45,"悅"))))</f>
        <v/>
      </c>
      <c r="BZ47" s="78">
        <f>IF(BZ$4="","",IF(COUNTIF(設定!$W$6:$W$40,DATE(設定!$C$2,設定!$D$2,25))&gt;0,"假",IF(INDEX(設定!$U$70:$AO$70,(WEEKDAY(DATE(設定!$C$2,設定!$D$2,25),2)-1)*3+2)=0,"休",COUNTIF(BZ$6:BZ$45,"悅"))))</f>
        <v/>
      </c>
      <c r="CA47" s="78">
        <f>IF(CA$4="","",IF(COUNTIF(設定!$W$6:$W$40,DATE(設定!$C$2,設定!$D$2,25))&gt;0,"假",IF(INDEX(設定!$U$70:$AO$70,(WEEKDAY(DATE(設定!$C$2,設定!$D$2,25),2)-1)*3+3)=0,"休",COUNTIF(CA$6:CA$45,"悅"))))</f>
        <v/>
      </c>
      <c r="CB47" s="77">
        <f>IF(CB$4="","",IF(COUNTIF(設定!$W$6:$W$40,DATE(設定!$C$2,設定!$D$2,26))&gt;0,"假",IF(INDEX(設定!$U$70:$AO$70,(WEEKDAY(DATE(設定!$C$2,設定!$D$2,26),2)-1)*3+1)=0,"休",COUNTIF(CB$6:CB$45,"悅"))))</f>
        <v/>
      </c>
      <c r="CC47" s="78">
        <f>IF(CC$4="","",IF(COUNTIF(設定!$W$6:$W$40,DATE(設定!$C$2,設定!$D$2,26))&gt;0,"假",IF(INDEX(設定!$U$70:$AO$70,(WEEKDAY(DATE(設定!$C$2,設定!$D$2,26),2)-1)*3+2)=0,"休",COUNTIF(CC$6:CC$45,"悅"))))</f>
        <v/>
      </c>
      <c r="CD47" s="78">
        <f>IF(CD$4="","",IF(COUNTIF(設定!$W$6:$W$40,DATE(設定!$C$2,設定!$D$2,26))&gt;0,"假",IF(INDEX(設定!$U$70:$AO$70,(WEEKDAY(DATE(設定!$C$2,設定!$D$2,26),2)-1)*3+3)=0,"休",COUNTIF(CD$6:CD$45,"悅"))))</f>
        <v/>
      </c>
      <c r="CE47" s="77">
        <f>IF(CE$4="","",IF(COUNTIF(設定!$W$6:$W$40,DATE(設定!$C$2,設定!$D$2,27))&gt;0,"假",IF(INDEX(設定!$U$70:$AO$70,(WEEKDAY(DATE(設定!$C$2,設定!$D$2,27),2)-1)*3+1)=0,"休",COUNTIF(CE$6:CE$45,"悅"))))</f>
        <v/>
      </c>
      <c r="CF47" s="78">
        <f>IF(CF$4="","",IF(COUNTIF(設定!$W$6:$W$40,DATE(設定!$C$2,設定!$D$2,27))&gt;0,"假",IF(INDEX(設定!$U$70:$AO$70,(WEEKDAY(DATE(設定!$C$2,設定!$D$2,27),2)-1)*3+2)=0,"休",COUNTIF(CF$6:CF$45,"悅"))))</f>
        <v/>
      </c>
      <c r="CG47" s="78">
        <f>IF(CG$4="","",IF(COUNTIF(設定!$W$6:$W$40,DATE(設定!$C$2,設定!$D$2,27))&gt;0,"假",IF(INDEX(設定!$U$70:$AO$70,(WEEKDAY(DATE(設定!$C$2,設定!$D$2,27),2)-1)*3+3)=0,"休",COUNTIF(CG$6:CG$45,"悅"))))</f>
        <v/>
      </c>
      <c r="CH47" s="77">
        <f>IF(CH$4="","",IF(COUNTIF(設定!$W$6:$W$40,DATE(設定!$C$2,設定!$D$2,28))&gt;0,"假",IF(INDEX(設定!$U$70:$AO$70,(WEEKDAY(DATE(設定!$C$2,設定!$D$2,28),2)-1)*3+1)=0,"休",COUNTIF(CH$6:CH$45,"悅"))))</f>
        <v/>
      </c>
      <c r="CI47" s="78">
        <f>IF(CI$4="","",IF(COUNTIF(設定!$W$6:$W$40,DATE(設定!$C$2,設定!$D$2,28))&gt;0,"假",IF(INDEX(設定!$U$70:$AO$70,(WEEKDAY(DATE(設定!$C$2,設定!$D$2,28),2)-1)*3+2)=0,"休",COUNTIF(CI$6:CI$45,"悅"))))</f>
        <v/>
      </c>
      <c r="CJ47" s="78">
        <f>IF(CJ$4="","",IF(COUNTIF(設定!$W$6:$W$40,DATE(設定!$C$2,設定!$D$2,28))&gt;0,"假",IF(INDEX(設定!$U$70:$AO$70,(WEEKDAY(DATE(設定!$C$2,設定!$D$2,28),2)-1)*3+3)=0,"休",COUNTIF(CJ$6:CJ$45,"悅"))))</f>
        <v/>
      </c>
      <c r="CK47" s="77">
        <f>IF(CK$4="","",IF(COUNTIF(設定!$W$6:$W$40,DATE(設定!$C$2,設定!$D$2,29))&gt;0,"假",IF(INDEX(設定!$U$70:$AO$70,(WEEKDAY(DATE(設定!$C$2,設定!$D$2,29),2)-1)*3+1)=0,"休",COUNTIF(CK$6:CK$45,"悅"))))</f>
        <v/>
      </c>
      <c r="CL47" s="78">
        <f>IF(CL$4="","",IF(COUNTIF(設定!$W$6:$W$40,DATE(設定!$C$2,設定!$D$2,29))&gt;0,"假",IF(INDEX(設定!$U$70:$AO$70,(WEEKDAY(DATE(設定!$C$2,設定!$D$2,29),2)-1)*3+2)=0,"休",COUNTIF(CL$6:CL$45,"悅"))))</f>
        <v/>
      </c>
      <c r="CM47" s="78">
        <f>IF(CM$4="","",IF(COUNTIF(設定!$W$6:$W$40,DATE(設定!$C$2,設定!$D$2,29))&gt;0,"假",IF(INDEX(設定!$U$70:$AO$70,(WEEKDAY(DATE(設定!$C$2,設定!$D$2,29),2)-1)*3+3)=0,"休",COUNTIF(CM$6:CM$45,"悅"))))</f>
        <v/>
      </c>
      <c r="CN47" s="77">
        <f>IF(CN$4="","",IF(COUNTIF(設定!$W$6:$W$40,DATE(設定!$C$2,設定!$D$2,30))&gt;0,"假",IF(INDEX(設定!$U$70:$AO$70,(WEEKDAY(DATE(設定!$C$2,設定!$D$2,30),2)-1)*3+1)=0,"休",COUNTIF(CN$6:CN$45,"悅"))))</f>
        <v/>
      </c>
      <c r="CO47" s="78">
        <f>IF(CO$4="","",IF(COUNTIF(設定!$W$6:$W$40,DATE(設定!$C$2,設定!$D$2,30))&gt;0,"假",IF(INDEX(設定!$U$70:$AO$70,(WEEKDAY(DATE(設定!$C$2,設定!$D$2,30),2)-1)*3+2)=0,"休",COUNTIF(CO$6:CO$45,"悅"))))</f>
        <v/>
      </c>
      <c r="CP47" s="78">
        <f>IF(CP$4="","",IF(COUNTIF(設定!$W$6:$W$40,DATE(設定!$C$2,設定!$D$2,30))&gt;0,"假",IF(INDEX(設定!$U$70:$AO$70,(WEEKDAY(DATE(設定!$C$2,設定!$D$2,30),2)-1)*3+3)=0,"休",COUNTIF(CP$6:CP$45,"悅"))))</f>
        <v/>
      </c>
      <c r="CQ47" s="77">
        <f>IF(CQ$4="","",IF(COUNTIF(設定!$W$6:$W$40,DATE(設定!$C$2,設定!$D$2,31))&gt;0,"假",IF(INDEX(設定!$U$70:$AO$70,(WEEKDAY(DATE(設定!$C$2,設定!$D$2,31),2)-1)*3+1)=0,"休",COUNTIF(CQ$6:CQ$45,"悅"))))</f>
        <v/>
      </c>
      <c r="CR47" s="78">
        <f>IF(CR$4="","",IF(COUNTIF(設定!$W$6:$W$40,DATE(設定!$C$2,設定!$D$2,31))&gt;0,"假",IF(INDEX(設定!$U$70:$AO$70,(WEEKDAY(DATE(設定!$C$2,設定!$D$2,31),2)-1)*3+2)=0,"休",COUNTIF(CR$6:CR$45,"悅"))))</f>
        <v/>
      </c>
      <c r="CS47" s="78">
        <f>IF(CS$4="","",IF(COUNTIF(設定!$W$6:$W$40,DATE(設定!$C$2,設定!$D$2,31))&gt;0,"假",IF(INDEX(設定!$U$70:$AO$70,(WEEKDAY(DATE(設定!$C$2,設定!$D$2,31),2)-1)*3+3)=0,"休",COUNTIF(CS$6:CS$45,"悅"))))</f>
        <v/>
      </c>
    </row>
    <row r="48">
      <c r="A48" s="79" t="inlineStr">
        <is>
          <t>睿 晶睿</t>
        </is>
      </c>
      <c r="B48" s="8" t="n"/>
      <c r="C48" s="8" t="n"/>
      <c r="D48" s="9" t="n"/>
      <c r="E48" s="77">
        <f>IF(E$4="","",IF(COUNTIF(設定!$W$6:$W$40,DATE(設定!$C$2,設定!$D$2,1))&gt;0,"假",IF(INDEX(設定!$U$71:$AO$71,(WEEKDAY(DATE(設定!$C$2,設定!$D$2,1),2)-1)*3+1)=0,"休",COUNTIF(E$6:E$45,"睿"))))</f>
        <v/>
      </c>
      <c r="F48" s="78">
        <f>IF(F$4="","",IF(COUNTIF(設定!$W$6:$W$40,DATE(設定!$C$2,設定!$D$2,1))&gt;0,"假",IF(INDEX(設定!$U$71:$AO$71,(WEEKDAY(DATE(設定!$C$2,設定!$D$2,1),2)-1)*3+2)=0,"休",COUNTIF(F$6:F$45,"睿"))))</f>
        <v/>
      </c>
      <c r="G48" s="78">
        <f>IF(G$4="","",IF(COUNTIF(設定!$W$6:$W$40,DATE(設定!$C$2,設定!$D$2,1))&gt;0,"假",IF(INDEX(設定!$U$71:$AO$71,(WEEKDAY(DATE(設定!$C$2,設定!$D$2,1),2)-1)*3+3)=0,"休",COUNTIF(G$6:G$45,"睿"))))</f>
        <v/>
      </c>
      <c r="H48" s="77">
        <f>IF(H$4="","",IF(COUNTIF(設定!$W$6:$W$40,DATE(設定!$C$2,設定!$D$2,2))&gt;0,"假",IF(INDEX(設定!$U$71:$AO$71,(WEEKDAY(DATE(設定!$C$2,設定!$D$2,2),2)-1)*3+1)=0,"休",COUNTIF(H$6:H$45,"睿"))))</f>
        <v/>
      </c>
      <c r="I48" s="78">
        <f>IF(I$4="","",IF(COUNTIF(設定!$W$6:$W$40,DATE(設定!$C$2,設定!$D$2,2))&gt;0,"假",IF(INDEX(設定!$U$71:$AO$71,(WEEKDAY(DATE(設定!$C$2,設定!$D$2,2),2)-1)*3+2)=0,"休",COUNTIF(I$6:I$45,"睿"))))</f>
        <v/>
      </c>
      <c r="J48" s="78">
        <f>IF(J$4="","",IF(COUNTIF(設定!$W$6:$W$40,DATE(設定!$C$2,設定!$D$2,2))&gt;0,"假",IF(INDEX(設定!$U$71:$AO$71,(WEEKDAY(DATE(設定!$C$2,設定!$D$2,2),2)-1)*3+3)=0,"休",COUNTIF(J$6:J$45,"睿"))))</f>
        <v/>
      </c>
      <c r="K48" s="77">
        <f>IF(K$4="","",IF(COUNTIF(設定!$W$6:$W$40,DATE(設定!$C$2,設定!$D$2,3))&gt;0,"假",IF(INDEX(設定!$U$71:$AO$71,(WEEKDAY(DATE(設定!$C$2,設定!$D$2,3),2)-1)*3+1)=0,"休",COUNTIF(K$6:K$45,"睿"))))</f>
        <v/>
      </c>
      <c r="L48" s="78">
        <f>IF(L$4="","",IF(COUNTIF(設定!$W$6:$W$40,DATE(設定!$C$2,設定!$D$2,3))&gt;0,"假",IF(INDEX(設定!$U$71:$AO$71,(WEEKDAY(DATE(設定!$C$2,設定!$D$2,3),2)-1)*3+2)=0,"休",COUNTIF(L$6:L$45,"睿"))))</f>
        <v/>
      </c>
      <c r="M48" s="78">
        <f>IF(M$4="","",IF(COUNTIF(設定!$W$6:$W$40,DATE(設定!$C$2,設定!$D$2,3))&gt;0,"假",IF(INDEX(設定!$U$71:$AO$71,(WEEKDAY(DATE(設定!$C$2,設定!$D$2,3),2)-1)*3+3)=0,"休",COUNTIF(M$6:M$45,"睿"))))</f>
        <v/>
      </c>
      <c r="N48" s="77">
        <f>IF(N$4="","",IF(COUNTIF(設定!$W$6:$W$40,DATE(設定!$C$2,設定!$D$2,4))&gt;0,"假",IF(INDEX(設定!$U$71:$AO$71,(WEEKDAY(DATE(設定!$C$2,設定!$D$2,4),2)-1)*3+1)=0,"休",COUNTIF(N$6:N$45,"睿"))))</f>
        <v/>
      </c>
      <c r="O48" s="78">
        <f>IF(O$4="","",IF(COUNTIF(設定!$W$6:$W$40,DATE(設定!$C$2,設定!$D$2,4))&gt;0,"假",IF(INDEX(設定!$U$71:$AO$71,(WEEKDAY(DATE(設定!$C$2,設定!$D$2,4),2)-1)*3+2)=0,"休",COUNTIF(O$6:O$45,"睿"))))</f>
        <v/>
      </c>
      <c r="P48" s="78">
        <f>IF(P$4="","",IF(COUNTIF(設定!$W$6:$W$40,DATE(設定!$C$2,設定!$D$2,4))&gt;0,"假",IF(INDEX(設定!$U$71:$AO$71,(WEEKDAY(DATE(設定!$C$2,設定!$D$2,4),2)-1)*3+3)=0,"休",COUNTIF(P$6:P$45,"睿"))))</f>
        <v/>
      </c>
      <c r="Q48" s="77">
        <f>IF(Q$4="","",IF(COUNTIF(設定!$W$6:$W$40,DATE(設定!$C$2,設定!$D$2,5))&gt;0,"假",IF(INDEX(設定!$U$71:$AO$71,(WEEKDAY(DATE(設定!$C$2,設定!$D$2,5),2)-1)*3+1)=0,"休",COUNTIF(Q$6:Q$45,"睿"))))</f>
        <v/>
      </c>
      <c r="R48" s="78">
        <f>IF(R$4="","",IF(COUNTIF(設定!$W$6:$W$40,DATE(設定!$C$2,設定!$D$2,5))&gt;0,"假",IF(INDEX(設定!$U$71:$AO$71,(WEEKDAY(DATE(設定!$C$2,設定!$D$2,5),2)-1)*3+2)=0,"休",COUNTIF(R$6:R$45,"睿"))))</f>
        <v/>
      </c>
      <c r="S48" s="78">
        <f>IF(S$4="","",IF(COUNTIF(設定!$W$6:$W$40,DATE(設定!$C$2,設定!$D$2,5))&gt;0,"假",IF(INDEX(設定!$U$71:$AO$71,(WEEKDAY(DATE(設定!$C$2,設定!$D$2,5),2)-1)*3+3)=0,"休",COUNTIF(S$6:S$45,"睿"))))</f>
        <v/>
      </c>
      <c r="T48" s="77">
        <f>IF(T$4="","",IF(COUNTIF(設定!$W$6:$W$40,DATE(設定!$C$2,設定!$D$2,6))&gt;0,"假",IF(INDEX(設定!$U$71:$AO$71,(WEEKDAY(DATE(設定!$C$2,設定!$D$2,6),2)-1)*3+1)=0,"休",COUNTIF(T$6:T$45,"睿"))))</f>
        <v/>
      </c>
      <c r="U48" s="78">
        <f>IF(U$4="","",IF(COUNTIF(設定!$W$6:$W$40,DATE(設定!$C$2,設定!$D$2,6))&gt;0,"假",IF(INDEX(設定!$U$71:$AO$71,(WEEKDAY(DATE(設定!$C$2,設定!$D$2,6),2)-1)*3+2)=0,"休",COUNTIF(U$6:U$45,"睿"))))</f>
        <v/>
      </c>
      <c r="V48" s="78">
        <f>IF(V$4="","",IF(COUNTIF(設定!$W$6:$W$40,DATE(設定!$C$2,設定!$D$2,6))&gt;0,"假",IF(INDEX(設定!$U$71:$AO$71,(WEEKDAY(DATE(設定!$C$2,設定!$D$2,6),2)-1)*3+3)=0,"休",COUNTIF(V$6:V$45,"睿"))))</f>
        <v/>
      </c>
      <c r="W48" s="77">
        <f>IF(W$4="","",IF(COUNTIF(設定!$W$6:$W$40,DATE(設定!$C$2,設定!$D$2,7))&gt;0,"假",IF(INDEX(設定!$U$71:$AO$71,(WEEKDAY(DATE(設定!$C$2,設定!$D$2,7),2)-1)*3+1)=0,"休",COUNTIF(W$6:W$45,"睿"))))</f>
        <v/>
      </c>
      <c r="X48" s="78">
        <f>IF(X$4="","",IF(COUNTIF(設定!$W$6:$W$40,DATE(設定!$C$2,設定!$D$2,7))&gt;0,"假",IF(INDEX(設定!$U$71:$AO$71,(WEEKDAY(DATE(設定!$C$2,設定!$D$2,7),2)-1)*3+2)=0,"休",COUNTIF(X$6:X$45,"睿"))))</f>
        <v/>
      </c>
      <c r="Y48" s="78">
        <f>IF(Y$4="","",IF(COUNTIF(設定!$W$6:$W$40,DATE(設定!$C$2,設定!$D$2,7))&gt;0,"假",IF(INDEX(設定!$U$71:$AO$71,(WEEKDAY(DATE(設定!$C$2,設定!$D$2,7),2)-1)*3+3)=0,"休",COUNTIF(Y$6:Y$45,"睿"))))</f>
        <v/>
      </c>
      <c r="Z48" s="77">
        <f>IF(Z$4="","",IF(COUNTIF(設定!$W$6:$W$40,DATE(設定!$C$2,設定!$D$2,8))&gt;0,"假",IF(INDEX(設定!$U$71:$AO$71,(WEEKDAY(DATE(設定!$C$2,設定!$D$2,8),2)-1)*3+1)=0,"休",COUNTIF(Z$6:Z$45,"睿"))))</f>
        <v/>
      </c>
      <c r="AA48" s="78">
        <f>IF(AA$4="","",IF(COUNTIF(設定!$W$6:$W$40,DATE(設定!$C$2,設定!$D$2,8))&gt;0,"假",IF(INDEX(設定!$U$71:$AO$71,(WEEKDAY(DATE(設定!$C$2,設定!$D$2,8),2)-1)*3+2)=0,"休",COUNTIF(AA$6:AA$45,"睿"))))</f>
        <v/>
      </c>
      <c r="AB48" s="78">
        <f>IF(AB$4="","",IF(COUNTIF(設定!$W$6:$W$40,DATE(設定!$C$2,設定!$D$2,8))&gt;0,"假",IF(INDEX(設定!$U$71:$AO$71,(WEEKDAY(DATE(設定!$C$2,設定!$D$2,8),2)-1)*3+3)=0,"休",COUNTIF(AB$6:AB$45,"睿"))))</f>
        <v/>
      </c>
      <c r="AC48" s="77">
        <f>IF(AC$4="","",IF(COUNTIF(設定!$W$6:$W$40,DATE(設定!$C$2,設定!$D$2,9))&gt;0,"假",IF(INDEX(設定!$U$71:$AO$71,(WEEKDAY(DATE(設定!$C$2,設定!$D$2,9),2)-1)*3+1)=0,"休",COUNTIF(AC$6:AC$45,"睿"))))</f>
        <v/>
      </c>
      <c r="AD48" s="78">
        <f>IF(AD$4="","",IF(COUNTIF(設定!$W$6:$W$40,DATE(設定!$C$2,設定!$D$2,9))&gt;0,"假",IF(INDEX(設定!$U$71:$AO$71,(WEEKDAY(DATE(設定!$C$2,設定!$D$2,9),2)-1)*3+2)=0,"休",COUNTIF(AD$6:AD$45,"睿"))))</f>
        <v/>
      </c>
      <c r="AE48" s="78">
        <f>IF(AE$4="","",IF(COUNTIF(設定!$W$6:$W$40,DATE(設定!$C$2,設定!$D$2,9))&gt;0,"假",IF(INDEX(設定!$U$71:$AO$71,(WEEKDAY(DATE(設定!$C$2,設定!$D$2,9),2)-1)*3+3)=0,"休",COUNTIF(AE$6:AE$45,"睿"))))</f>
        <v/>
      </c>
      <c r="AF48" s="77">
        <f>IF(AF$4="","",IF(COUNTIF(設定!$W$6:$W$40,DATE(設定!$C$2,設定!$D$2,10))&gt;0,"假",IF(INDEX(設定!$U$71:$AO$71,(WEEKDAY(DATE(設定!$C$2,設定!$D$2,10),2)-1)*3+1)=0,"休",COUNTIF(AF$6:AF$45,"睿"))))</f>
        <v/>
      </c>
      <c r="AG48" s="78">
        <f>IF(AG$4="","",IF(COUNTIF(設定!$W$6:$W$40,DATE(設定!$C$2,設定!$D$2,10))&gt;0,"假",IF(INDEX(設定!$U$71:$AO$71,(WEEKDAY(DATE(設定!$C$2,設定!$D$2,10),2)-1)*3+2)=0,"休",COUNTIF(AG$6:AG$45,"睿"))))</f>
        <v/>
      </c>
      <c r="AH48" s="78">
        <f>IF(AH$4="","",IF(COUNTIF(設定!$W$6:$W$40,DATE(設定!$C$2,設定!$D$2,10))&gt;0,"假",IF(INDEX(設定!$U$71:$AO$71,(WEEKDAY(DATE(設定!$C$2,設定!$D$2,10),2)-1)*3+3)=0,"休",COUNTIF(AH$6:AH$45,"睿"))))</f>
        <v/>
      </c>
      <c r="AI48" s="77">
        <f>IF(AI$4="","",IF(COUNTIF(設定!$W$6:$W$40,DATE(設定!$C$2,設定!$D$2,11))&gt;0,"假",IF(INDEX(設定!$U$71:$AO$71,(WEEKDAY(DATE(設定!$C$2,設定!$D$2,11),2)-1)*3+1)=0,"休",COUNTIF(AI$6:AI$45,"睿"))))</f>
        <v/>
      </c>
      <c r="AJ48" s="78">
        <f>IF(AJ$4="","",IF(COUNTIF(設定!$W$6:$W$40,DATE(設定!$C$2,設定!$D$2,11))&gt;0,"假",IF(INDEX(設定!$U$71:$AO$71,(WEEKDAY(DATE(設定!$C$2,設定!$D$2,11),2)-1)*3+2)=0,"休",COUNTIF(AJ$6:AJ$45,"睿"))))</f>
        <v/>
      </c>
      <c r="AK48" s="78">
        <f>IF(AK$4="","",IF(COUNTIF(設定!$W$6:$W$40,DATE(設定!$C$2,設定!$D$2,11))&gt;0,"假",IF(INDEX(設定!$U$71:$AO$71,(WEEKDAY(DATE(設定!$C$2,設定!$D$2,11),2)-1)*3+3)=0,"休",COUNTIF(AK$6:AK$45,"睿"))))</f>
        <v/>
      </c>
      <c r="AL48" s="77">
        <f>IF(AL$4="","",IF(COUNTIF(設定!$W$6:$W$40,DATE(設定!$C$2,設定!$D$2,12))&gt;0,"假",IF(INDEX(設定!$U$71:$AO$71,(WEEKDAY(DATE(設定!$C$2,設定!$D$2,12),2)-1)*3+1)=0,"休",COUNTIF(AL$6:AL$45,"睿"))))</f>
        <v/>
      </c>
      <c r="AM48" s="78">
        <f>IF(AM$4="","",IF(COUNTIF(設定!$W$6:$W$40,DATE(設定!$C$2,設定!$D$2,12))&gt;0,"假",IF(INDEX(設定!$U$71:$AO$71,(WEEKDAY(DATE(設定!$C$2,設定!$D$2,12),2)-1)*3+2)=0,"休",COUNTIF(AM$6:AM$45,"睿"))))</f>
        <v/>
      </c>
      <c r="AN48" s="78">
        <f>IF(AN$4="","",IF(COUNTIF(設定!$W$6:$W$40,DATE(設定!$C$2,設定!$D$2,12))&gt;0,"假",IF(INDEX(設定!$U$71:$AO$71,(WEEKDAY(DATE(設定!$C$2,設定!$D$2,12),2)-1)*3+3)=0,"休",COUNTIF(AN$6:AN$45,"睿"))))</f>
        <v/>
      </c>
      <c r="AO48" s="77">
        <f>IF(AO$4="","",IF(COUNTIF(設定!$W$6:$W$40,DATE(設定!$C$2,設定!$D$2,13))&gt;0,"假",IF(INDEX(設定!$U$71:$AO$71,(WEEKDAY(DATE(設定!$C$2,設定!$D$2,13),2)-1)*3+1)=0,"休",COUNTIF(AO$6:AO$45,"睿"))))</f>
        <v/>
      </c>
      <c r="AP48" s="78">
        <f>IF(AP$4="","",IF(COUNTIF(設定!$W$6:$W$40,DATE(設定!$C$2,設定!$D$2,13))&gt;0,"假",IF(INDEX(設定!$U$71:$AO$71,(WEEKDAY(DATE(設定!$C$2,設定!$D$2,13),2)-1)*3+2)=0,"休",COUNTIF(AP$6:AP$45,"睿"))))</f>
        <v/>
      </c>
      <c r="AQ48" s="78">
        <f>IF(AQ$4="","",IF(COUNTIF(設定!$W$6:$W$40,DATE(設定!$C$2,設定!$D$2,13))&gt;0,"假",IF(INDEX(設定!$U$71:$AO$71,(WEEKDAY(DATE(設定!$C$2,設定!$D$2,13),2)-1)*3+3)=0,"休",COUNTIF(AQ$6:AQ$45,"睿"))))</f>
        <v/>
      </c>
      <c r="AR48" s="77">
        <f>IF(AR$4="","",IF(COUNTIF(設定!$W$6:$W$40,DATE(設定!$C$2,設定!$D$2,14))&gt;0,"假",IF(INDEX(設定!$U$71:$AO$71,(WEEKDAY(DATE(設定!$C$2,設定!$D$2,14),2)-1)*3+1)=0,"休",COUNTIF(AR$6:AR$45,"睿"))))</f>
        <v/>
      </c>
      <c r="AS48" s="78">
        <f>IF(AS$4="","",IF(COUNTIF(設定!$W$6:$W$40,DATE(設定!$C$2,設定!$D$2,14))&gt;0,"假",IF(INDEX(設定!$U$71:$AO$71,(WEEKDAY(DATE(設定!$C$2,設定!$D$2,14),2)-1)*3+2)=0,"休",COUNTIF(AS$6:AS$45,"睿"))))</f>
        <v/>
      </c>
      <c r="AT48" s="78">
        <f>IF(AT$4="","",IF(COUNTIF(設定!$W$6:$W$40,DATE(設定!$C$2,設定!$D$2,14))&gt;0,"假",IF(INDEX(設定!$U$71:$AO$71,(WEEKDAY(DATE(設定!$C$2,設定!$D$2,14),2)-1)*3+3)=0,"休",COUNTIF(AT$6:AT$45,"睿"))))</f>
        <v/>
      </c>
      <c r="AU48" s="77">
        <f>IF(AU$4="","",IF(COUNTIF(設定!$W$6:$W$40,DATE(設定!$C$2,設定!$D$2,15))&gt;0,"假",IF(INDEX(設定!$U$71:$AO$71,(WEEKDAY(DATE(設定!$C$2,設定!$D$2,15),2)-1)*3+1)=0,"休",COUNTIF(AU$6:AU$45,"睿"))))</f>
        <v/>
      </c>
      <c r="AV48" s="78">
        <f>IF(AV$4="","",IF(COUNTIF(設定!$W$6:$W$40,DATE(設定!$C$2,設定!$D$2,15))&gt;0,"假",IF(INDEX(設定!$U$71:$AO$71,(WEEKDAY(DATE(設定!$C$2,設定!$D$2,15),2)-1)*3+2)=0,"休",COUNTIF(AV$6:AV$45,"睿"))))</f>
        <v/>
      </c>
      <c r="AW48" s="78">
        <f>IF(AW$4="","",IF(COUNTIF(設定!$W$6:$W$40,DATE(設定!$C$2,設定!$D$2,15))&gt;0,"假",IF(INDEX(設定!$U$71:$AO$71,(WEEKDAY(DATE(設定!$C$2,設定!$D$2,15),2)-1)*3+3)=0,"休",COUNTIF(AW$6:AW$45,"睿"))))</f>
        <v/>
      </c>
      <c r="AX48" s="77">
        <f>IF(AX$4="","",IF(COUNTIF(設定!$W$6:$W$40,DATE(設定!$C$2,設定!$D$2,16))&gt;0,"假",IF(INDEX(設定!$U$71:$AO$71,(WEEKDAY(DATE(設定!$C$2,設定!$D$2,16),2)-1)*3+1)=0,"休",COUNTIF(AX$6:AX$45,"睿"))))</f>
        <v/>
      </c>
      <c r="AY48" s="78">
        <f>IF(AY$4="","",IF(COUNTIF(設定!$W$6:$W$40,DATE(設定!$C$2,設定!$D$2,16))&gt;0,"假",IF(INDEX(設定!$U$71:$AO$71,(WEEKDAY(DATE(設定!$C$2,設定!$D$2,16),2)-1)*3+2)=0,"休",COUNTIF(AY$6:AY$45,"睿"))))</f>
        <v/>
      </c>
      <c r="AZ48" s="78">
        <f>IF(AZ$4="","",IF(COUNTIF(設定!$W$6:$W$40,DATE(設定!$C$2,設定!$D$2,16))&gt;0,"假",IF(INDEX(設定!$U$71:$AO$71,(WEEKDAY(DATE(設定!$C$2,設定!$D$2,16),2)-1)*3+3)=0,"休",COUNTIF(AZ$6:AZ$45,"睿"))))</f>
        <v/>
      </c>
      <c r="BA48" s="77">
        <f>IF(BA$4="","",IF(COUNTIF(設定!$W$6:$W$40,DATE(設定!$C$2,設定!$D$2,17))&gt;0,"假",IF(INDEX(設定!$U$71:$AO$71,(WEEKDAY(DATE(設定!$C$2,設定!$D$2,17),2)-1)*3+1)=0,"休",COUNTIF(BA$6:BA$45,"睿"))))</f>
        <v/>
      </c>
      <c r="BB48" s="78">
        <f>IF(BB$4="","",IF(COUNTIF(設定!$W$6:$W$40,DATE(設定!$C$2,設定!$D$2,17))&gt;0,"假",IF(INDEX(設定!$U$71:$AO$71,(WEEKDAY(DATE(設定!$C$2,設定!$D$2,17),2)-1)*3+2)=0,"休",COUNTIF(BB$6:BB$45,"睿"))))</f>
        <v/>
      </c>
      <c r="BC48" s="78">
        <f>IF(BC$4="","",IF(COUNTIF(設定!$W$6:$W$40,DATE(設定!$C$2,設定!$D$2,17))&gt;0,"假",IF(INDEX(設定!$U$71:$AO$71,(WEEKDAY(DATE(設定!$C$2,設定!$D$2,17),2)-1)*3+3)=0,"休",COUNTIF(BC$6:BC$45,"睿"))))</f>
        <v/>
      </c>
      <c r="BD48" s="77">
        <f>IF(BD$4="","",IF(COUNTIF(設定!$W$6:$W$40,DATE(設定!$C$2,設定!$D$2,18))&gt;0,"假",IF(INDEX(設定!$U$71:$AO$71,(WEEKDAY(DATE(設定!$C$2,設定!$D$2,18),2)-1)*3+1)=0,"休",COUNTIF(BD$6:BD$45,"睿"))))</f>
        <v/>
      </c>
      <c r="BE48" s="78">
        <f>IF(BE$4="","",IF(COUNTIF(設定!$W$6:$W$40,DATE(設定!$C$2,設定!$D$2,18))&gt;0,"假",IF(INDEX(設定!$U$71:$AO$71,(WEEKDAY(DATE(設定!$C$2,設定!$D$2,18),2)-1)*3+2)=0,"休",COUNTIF(BE$6:BE$45,"睿"))))</f>
        <v/>
      </c>
      <c r="BF48" s="78">
        <f>IF(BF$4="","",IF(COUNTIF(設定!$W$6:$W$40,DATE(設定!$C$2,設定!$D$2,18))&gt;0,"假",IF(INDEX(設定!$U$71:$AO$71,(WEEKDAY(DATE(設定!$C$2,設定!$D$2,18),2)-1)*3+3)=0,"休",COUNTIF(BF$6:BF$45,"睿"))))</f>
        <v/>
      </c>
      <c r="BG48" s="77">
        <f>IF(BG$4="","",IF(COUNTIF(設定!$W$6:$W$40,DATE(設定!$C$2,設定!$D$2,19))&gt;0,"假",IF(INDEX(設定!$U$71:$AO$71,(WEEKDAY(DATE(設定!$C$2,設定!$D$2,19),2)-1)*3+1)=0,"休",COUNTIF(BG$6:BG$45,"睿"))))</f>
        <v/>
      </c>
      <c r="BH48" s="78">
        <f>IF(BH$4="","",IF(COUNTIF(設定!$W$6:$W$40,DATE(設定!$C$2,設定!$D$2,19))&gt;0,"假",IF(INDEX(設定!$U$71:$AO$71,(WEEKDAY(DATE(設定!$C$2,設定!$D$2,19),2)-1)*3+2)=0,"休",COUNTIF(BH$6:BH$45,"睿"))))</f>
        <v/>
      </c>
      <c r="BI48" s="78">
        <f>IF(BI$4="","",IF(COUNTIF(設定!$W$6:$W$40,DATE(設定!$C$2,設定!$D$2,19))&gt;0,"假",IF(INDEX(設定!$U$71:$AO$71,(WEEKDAY(DATE(設定!$C$2,設定!$D$2,19),2)-1)*3+3)=0,"休",COUNTIF(BI$6:BI$45,"睿"))))</f>
        <v/>
      </c>
      <c r="BJ48" s="77">
        <f>IF(BJ$4="","",IF(COUNTIF(設定!$W$6:$W$40,DATE(設定!$C$2,設定!$D$2,20))&gt;0,"假",IF(INDEX(設定!$U$71:$AO$71,(WEEKDAY(DATE(設定!$C$2,設定!$D$2,20),2)-1)*3+1)=0,"休",COUNTIF(BJ$6:BJ$45,"睿"))))</f>
        <v/>
      </c>
      <c r="BK48" s="78">
        <f>IF(BK$4="","",IF(COUNTIF(設定!$W$6:$W$40,DATE(設定!$C$2,設定!$D$2,20))&gt;0,"假",IF(INDEX(設定!$U$71:$AO$71,(WEEKDAY(DATE(設定!$C$2,設定!$D$2,20),2)-1)*3+2)=0,"休",COUNTIF(BK$6:BK$45,"睿"))))</f>
        <v/>
      </c>
      <c r="BL48" s="78">
        <f>IF(BL$4="","",IF(COUNTIF(設定!$W$6:$W$40,DATE(設定!$C$2,設定!$D$2,20))&gt;0,"假",IF(INDEX(設定!$U$71:$AO$71,(WEEKDAY(DATE(設定!$C$2,設定!$D$2,20),2)-1)*3+3)=0,"休",COUNTIF(BL$6:BL$45,"睿"))))</f>
        <v/>
      </c>
      <c r="BM48" s="77">
        <f>IF(BM$4="","",IF(COUNTIF(設定!$W$6:$W$40,DATE(設定!$C$2,設定!$D$2,21))&gt;0,"假",IF(INDEX(設定!$U$71:$AO$71,(WEEKDAY(DATE(設定!$C$2,設定!$D$2,21),2)-1)*3+1)=0,"休",COUNTIF(BM$6:BM$45,"睿"))))</f>
        <v/>
      </c>
      <c r="BN48" s="78">
        <f>IF(BN$4="","",IF(COUNTIF(設定!$W$6:$W$40,DATE(設定!$C$2,設定!$D$2,21))&gt;0,"假",IF(INDEX(設定!$U$71:$AO$71,(WEEKDAY(DATE(設定!$C$2,設定!$D$2,21),2)-1)*3+2)=0,"休",COUNTIF(BN$6:BN$45,"睿"))))</f>
        <v/>
      </c>
      <c r="BO48" s="78">
        <f>IF(BO$4="","",IF(COUNTIF(設定!$W$6:$W$40,DATE(設定!$C$2,設定!$D$2,21))&gt;0,"假",IF(INDEX(設定!$U$71:$AO$71,(WEEKDAY(DATE(設定!$C$2,設定!$D$2,21),2)-1)*3+3)=0,"休",COUNTIF(BO$6:BO$45,"睿"))))</f>
        <v/>
      </c>
      <c r="BP48" s="77">
        <f>IF(BP$4="","",IF(COUNTIF(設定!$W$6:$W$40,DATE(設定!$C$2,設定!$D$2,22))&gt;0,"假",IF(INDEX(設定!$U$71:$AO$71,(WEEKDAY(DATE(設定!$C$2,設定!$D$2,22),2)-1)*3+1)=0,"休",COUNTIF(BP$6:BP$45,"睿"))))</f>
        <v/>
      </c>
      <c r="BQ48" s="78">
        <f>IF(BQ$4="","",IF(COUNTIF(設定!$W$6:$W$40,DATE(設定!$C$2,設定!$D$2,22))&gt;0,"假",IF(INDEX(設定!$U$71:$AO$71,(WEEKDAY(DATE(設定!$C$2,設定!$D$2,22),2)-1)*3+2)=0,"休",COUNTIF(BQ$6:BQ$45,"睿"))))</f>
        <v/>
      </c>
      <c r="BR48" s="78">
        <f>IF(BR$4="","",IF(COUNTIF(設定!$W$6:$W$40,DATE(設定!$C$2,設定!$D$2,22))&gt;0,"假",IF(INDEX(設定!$U$71:$AO$71,(WEEKDAY(DATE(設定!$C$2,設定!$D$2,22),2)-1)*3+3)=0,"休",COUNTIF(BR$6:BR$45,"睿"))))</f>
        <v/>
      </c>
      <c r="BS48" s="77">
        <f>IF(BS$4="","",IF(COUNTIF(設定!$W$6:$W$40,DATE(設定!$C$2,設定!$D$2,23))&gt;0,"假",IF(INDEX(設定!$U$71:$AO$71,(WEEKDAY(DATE(設定!$C$2,設定!$D$2,23),2)-1)*3+1)=0,"休",COUNTIF(BS$6:BS$45,"睿"))))</f>
        <v/>
      </c>
      <c r="BT48" s="78">
        <f>IF(BT$4="","",IF(COUNTIF(設定!$W$6:$W$40,DATE(設定!$C$2,設定!$D$2,23))&gt;0,"假",IF(INDEX(設定!$U$71:$AO$71,(WEEKDAY(DATE(設定!$C$2,設定!$D$2,23),2)-1)*3+2)=0,"休",COUNTIF(BT$6:BT$45,"睿"))))</f>
        <v/>
      </c>
      <c r="BU48" s="78">
        <f>IF(BU$4="","",IF(COUNTIF(設定!$W$6:$W$40,DATE(設定!$C$2,設定!$D$2,23))&gt;0,"假",IF(INDEX(設定!$U$71:$AO$71,(WEEKDAY(DATE(設定!$C$2,設定!$D$2,23),2)-1)*3+3)=0,"休",COUNTIF(BU$6:BU$45,"睿"))))</f>
        <v/>
      </c>
      <c r="BV48" s="77">
        <f>IF(BV$4="","",IF(COUNTIF(設定!$W$6:$W$40,DATE(設定!$C$2,設定!$D$2,24))&gt;0,"假",IF(INDEX(設定!$U$71:$AO$71,(WEEKDAY(DATE(設定!$C$2,設定!$D$2,24),2)-1)*3+1)=0,"休",COUNTIF(BV$6:BV$45,"睿"))))</f>
        <v/>
      </c>
      <c r="BW48" s="78">
        <f>IF(BW$4="","",IF(COUNTIF(設定!$W$6:$W$40,DATE(設定!$C$2,設定!$D$2,24))&gt;0,"假",IF(INDEX(設定!$U$71:$AO$71,(WEEKDAY(DATE(設定!$C$2,設定!$D$2,24),2)-1)*3+2)=0,"休",COUNTIF(BW$6:BW$45,"睿"))))</f>
        <v/>
      </c>
      <c r="BX48" s="78">
        <f>IF(BX$4="","",IF(COUNTIF(設定!$W$6:$W$40,DATE(設定!$C$2,設定!$D$2,24))&gt;0,"假",IF(INDEX(設定!$U$71:$AO$71,(WEEKDAY(DATE(設定!$C$2,設定!$D$2,24),2)-1)*3+3)=0,"休",COUNTIF(BX$6:BX$45,"睿"))))</f>
        <v/>
      </c>
      <c r="BY48" s="77">
        <f>IF(BY$4="","",IF(COUNTIF(設定!$W$6:$W$40,DATE(設定!$C$2,設定!$D$2,25))&gt;0,"假",IF(INDEX(設定!$U$71:$AO$71,(WEEKDAY(DATE(設定!$C$2,設定!$D$2,25),2)-1)*3+1)=0,"休",COUNTIF(BY$6:BY$45,"睿"))))</f>
        <v/>
      </c>
      <c r="BZ48" s="78">
        <f>IF(BZ$4="","",IF(COUNTIF(設定!$W$6:$W$40,DATE(設定!$C$2,設定!$D$2,25))&gt;0,"假",IF(INDEX(設定!$U$71:$AO$71,(WEEKDAY(DATE(設定!$C$2,設定!$D$2,25),2)-1)*3+2)=0,"休",COUNTIF(BZ$6:BZ$45,"睿"))))</f>
        <v/>
      </c>
      <c r="CA48" s="78">
        <f>IF(CA$4="","",IF(COUNTIF(設定!$W$6:$W$40,DATE(設定!$C$2,設定!$D$2,25))&gt;0,"假",IF(INDEX(設定!$U$71:$AO$71,(WEEKDAY(DATE(設定!$C$2,設定!$D$2,25),2)-1)*3+3)=0,"休",COUNTIF(CA$6:CA$45,"睿"))))</f>
        <v/>
      </c>
      <c r="CB48" s="77">
        <f>IF(CB$4="","",IF(COUNTIF(設定!$W$6:$W$40,DATE(設定!$C$2,設定!$D$2,26))&gt;0,"假",IF(INDEX(設定!$U$71:$AO$71,(WEEKDAY(DATE(設定!$C$2,設定!$D$2,26),2)-1)*3+1)=0,"休",COUNTIF(CB$6:CB$45,"睿"))))</f>
        <v/>
      </c>
      <c r="CC48" s="78">
        <f>IF(CC$4="","",IF(COUNTIF(設定!$W$6:$W$40,DATE(設定!$C$2,設定!$D$2,26))&gt;0,"假",IF(INDEX(設定!$U$71:$AO$71,(WEEKDAY(DATE(設定!$C$2,設定!$D$2,26),2)-1)*3+2)=0,"休",COUNTIF(CC$6:CC$45,"睿"))))</f>
        <v/>
      </c>
      <c r="CD48" s="78">
        <f>IF(CD$4="","",IF(COUNTIF(設定!$W$6:$W$40,DATE(設定!$C$2,設定!$D$2,26))&gt;0,"假",IF(INDEX(設定!$U$71:$AO$71,(WEEKDAY(DATE(設定!$C$2,設定!$D$2,26),2)-1)*3+3)=0,"休",COUNTIF(CD$6:CD$45,"睿"))))</f>
        <v/>
      </c>
      <c r="CE48" s="77">
        <f>IF(CE$4="","",IF(COUNTIF(設定!$W$6:$W$40,DATE(設定!$C$2,設定!$D$2,27))&gt;0,"假",IF(INDEX(設定!$U$71:$AO$71,(WEEKDAY(DATE(設定!$C$2,設定!$D$2,27),2)-1)*3+1)=0,"休",COUNTIF(CE$6:CE$45,"睿"))))</f>
        <v/>
      </c>
      <c r="CF48" s="78">
        <f>IF(CF$4="","",IF(COUNTIF(設定!$W$6:$W$40,DATE(設定!$C$2,設定!$D$2,27))&gt;0,"假",IF(INDEX(設定!$U$71:$AO$71,(WEEKDAY(DATE(設定!$C$2,設定!$D$2,27),2)-1)*3+2)=0,"休",COUNTIF(CF$6:CF$45,"睿"))))</f>
        <v/>
      </c>
      <c r="CG48" s="78">
        <f>IF(CG$4="","",IF(COUNTIF(設定!$W$6:$W$40,DATE(設定!$C$2,設定!$D$2,27))&gt;0,"假",IF(INDEX(設定!$U$71:$AO$71,(WEEKDAY(DATE(設定!$C$2,設定!$D$2,27),2)-1)*3+3)=0,"休",COUNTIF(CG$6:CG$45,"睿"))))</f>
        <v/>
      </c>
      <c r="CH48" s="77">
        <f>IF(CH$4="","",IF(COUNTIF(設定!$W$6:$W$40,DATE(設定!$C$2,設定!$D$2,28))&gt;0,"假",IF(INDEX(設定!$U$71:$AO$71,(WEEKDAY(DATE(設定!$C$2,設定!$D$2,28),2)-1)*3+1)=0,"休",COUNTIF(CH$6:CH$45,"睿"))))</f>
        <v/>
      </c>
      <c r="CI48" s="78">
        <f>IF(CI$4="","",IF(COUNTIF(設定!$W$6:$W$40,DATE(設定!$C$2,設定!$D$2,28))&gt;0,"假",IF(INDEX(設定!$U$71:$AO$71,(WEEKDAY(DATE(設定!$C$2,設定!$D$2,28),2)-1)*3+2)=0,"休",COUNTIF(CI$6:CI$45,"睿"))))</f>
        <v/>
      </c>
      <c r="CJ48" s="78">
        <f>IF(CJ$4="","",IF(COUNTIF(設定!$W$6:$W$40,DATE(設定!$C$2,設定!$D$2,28))&gt;0,"假",IF(INDEX(設定!$U$71:$AO$71,(WEEKDAY(DATE(設定!$C$2,設定!$D$2,28),2)-1)*3+3)=0,"休",COUNTIF(CJ$6:CJ$45,"睿"))))</f>
        <v/>
      </c>
      <c r="CK48" s="77">
        <f>IF(CK$4="","",IF(COUNTIF(設定!$W$6:$W$40,DATE(設定!$C$2,設定!$D$2,29))&gt;0,"假",IF(INDEX(設定!$U$71:$AO$71,(WEEKDAY(DATE(設定!$C$2,設定!$D$2,29),2)-1)*3+1)=0,"休",COUNTIF(CK$6:CK$45,"睿"))))</f>
        <v/>
      </c>
      <c r="CL48" s="78">
        <f>IF(CL$4="","",IF(COUNTIF(設定!$W$6:$W$40,DATE(設定!$C$2,設定!$D$2,29))&gt;0,"假",IF(INDEX(設定!$U$71:$AO$71,(WEEKDAY(DATE(設定!$C$2,設定!$D$2,29),2)-1)*3+2)=0,"休",COUNTIF(CL$6:CL$45,"睿"))))</f>
        <v/>
      </c>
      <c r="CM48" s="78">
        <f>IF(CM$4="","",IF(COUNTIF(設定!$W$6:$W$40,DATE(設定!$C$2,設定!$D$2,29))&gt;0,"假",IF(INDEX(設定!$U$71:$AO$71,(WEEKDAY(DATE(設定!$C$2,設定!$D$2,29),2)-1)*3+3)=0,"休",COUNTIF(CM$6:CM$45,"睿"))))</f>
        <v/>
      </c>
      <c r="CN48" s="77">
        <f>IF(CN$4="","",IF(COUNTIF(設定!$W$6:$W$40,DATE(設定!$C$2,設定!$D$2,30))&gt;0,"假",IF(INDEX(設定!$U$71:$AO$71,(WEEKDAY(DATE(設定!$C$2,設定!$D$2,30),2)-1)*3+1)=0,"休",COUNTIF(CN$6:CN$45,"睿"))))</f>
        <v/>
      </c>
      <c r="CO48" s="78">
        <f>IF(CO$4="","",IF(COUNTIF(設定!$W$6:$W$40,DATE(設定!$C$2,設定!$D$2,30))&gt;0,"假",IF(INDEX(設定!$U$71:$AO$71,(WEEKDAY(DATE(設定!$C$2,設定!$D$2,30),2)-1)*3+2)=0,"休",COUNTIF(CO$6:CO$45,"睿"))))</f>
        <v/>
      </c>
      <c r="CP48" s="78">
        <f>IF(CP$4="","",IF(COUNTIF(設定!$W$6:$W$40,DATE(設定!$C$2,設定!$D$2,30))&gt;0,"假",IF(INDEX(設定!$U$71:$AO$71,(WEEKDAY(DATE(設定!$C$2,設定!$D$2,30),2)-1)*3+3)=0,"休",COUNTIF(CP$6:CP$45,"睿"))))</f>
        <v/>
      </c>
      <c r="CQ48" s="77">
        <f>IF(CQ$4="","",IF(COUNTIF(設定!$W$6:$W$40,DATE(設定!$C$2,設定!$D$2,31))&gt;0,"假",IF(INDEX(設定!$U$71:$AO$71,(WEEKDAY(DATE(設定!$C$2,設定!$D$2,31),2)-1)*3+1)=0,"休",COUNTIF(CQ$6:CQ$45,"睿"))))</f>
        <v/>
      </c>
      <c r="CR48" s="78">
        <f>IF(CR$4="","",IF(COUNTIF(設定!$W$6:$W$40,DATE(設定!$C$2,設定!$D$2,31))&gt;0,"假",IF(INDEX(設定!$U$71:$AO$71,(WEEKDAY(DATE(設定!$C$2,設定!$D$2,31),2)-1)*3+2)=0,"休",COUNTIF(CR$6:CR$45,"睿"))))</f>
        <v/>
      </c>
      <c r="CS48" s="78">
        <f>IF(CS$4="","",IF(COUNTIF(設定!$W$6:$W$40,DATE(設定!$C$2,設定!$D$2,31))&gt;0,"假",IF(INDEX(設定!$U$71:$AO$71,(WEEKDAY(DATE(設定!$C$2,設定!$D$2,31),2)-1)*3+3)=0,"休",COUNTIF(CS$6:CS$45,"睿"))))</f>
        <v/>
      </c>
    </row>
    <row r="49">
      <c r="A49" s="80" t="inlineStr">
        <is>
          <t>匯 晶匯</t>
        </is>
      </c>
      <c r="B49" s="8" t="n"/>
      <c r="C49" s="8" t="n"/>
      <c r="D49" s="9" t="n"/>
      <c r="E49" s="77">
        <f>IF(E$4="","",IF(COUNTIF(設定!$W$6:$W$40,DATE(設定!$C$2,設定!$D$2,1))&gt;0,"假",IF(INDEX(設定!$U$72:$AO$72,(WEEKDAY(DATE(設定!$C$2,設定!$D$2,1),2)-1)*3+1)=0,"休",COUNTIF(E$6:E$45,"匯"))))</f>
        <v/>
      </c>
      <c r="F49" s="78">
        <f>IF(F$4="","",IF(COUNTIF(設定!$W$6:$W$40,DATE(設定!$C$2,設定!$D$2,1))&gt;0,"假",IF(INDEX(設定!$U$72:$AO$72,(WEEKDAY(DATE(設定!$C$2,設定!$D$2,1),2)-1)*3+2)=0,"休",COUNTIF(F$6:F$45,"匯"))))</f>
        <v/>
      </c>
      <c r="G49" s="78">
        <f>IF(G$4="","",IF(COUNTIF(設定!$W$6:$W$40,DATE(設定!$C$2,設定!$D$2,1))&gt;0,"假",IF(INDEX(設定!$U$72:$AO$72,(WEEKDAY(DATE(設定!$C$2,設定!$D$2,1),2)-1)*3+3)=0,"休",COUNTIF(G$6:G$45,"匯"))))</f>
        <v/>
      </c>
      <c r="H49" s="77">
        <f>IF(H$4="","",IF(COUNTIF(設定!$W$6:$W$40,DATE(設定!$C$2,設定!$D$2,2))&gt;0,"假",IF(INDEX(設定!$U$72:$AO$72,(WEEKDAY(DATE(設定!$C$2,設定!$D$2,2),2)-1)*3+1)=0,"休",COUNTIF(H$6:H$45,"匯"))))</f>
        <v/>
      </c>
      <c r="I49" s="78">
        <f>IF(I$4="","",IF(COUNTIF(設定!$W$6:$W$40,DATE(設定!$C$2,設定!$D$2,2))&gt;0,"假",IF(INDEX(設定!$U$72:$AO$72,(WEEKDAY(DATE(設定!$C$2,設定!$D$2,2),2)-1)*3+2)=0,"休",COUNTIF(I$6:I$45,"匯"))))</f>
        <v/>
      </c>
      <c r="J49" s="78">
        <f>IF(J$4="","",IF(COUNTIF(設定!$W$6:$W$40,DATE(設定!$C$2,設定!$D$2,2))&gt;0,"假",IF(INDEX(設定!$U$72:$AO$72,(WEEKDAY(DATE(設定!$C$2,設定!$D$2,2),2)-1)*3+3)=0,"休",COUNTIF(J$6:J$45,"匯"))))</f>
        <v/>
      </c>
      <c r="K49" s="77">
        <f>IF(K$4="","",IF(COUNTIF(設定!$W$6:$W$40,DATE(設定!$C$2,設定!$D$2,3))&gt;0,"假",IF(INDEX(設定!$U$72:$AO$72,(WEEKDAY(DATE(設定!$C$2,設定!$D$2,3),2)-1)*3+1)=0,"休",COUNTIF(K$6:K$45,"匯"))))</f>
        <v/>
      </c>
      <c r="L49" s="78">
        <f>IF(L$4="","",IF(COUNTIF(設定!$W$6:$W$40,DATE(設定!$C$2,設定!$D$2,3))&gt;0,"假",IF(INDEX(設定!$U$72:$AO$72,(WEEKDAY(DATE(設定!$C$2,設定!$D$2,3),2)-1)*3+2)=0,"休",COUNTIF(L$6:L$45,"匯"))))</f>
        <v/>
      </c>
      <c r="M49" s="78">
        <f>IF(M$4="","",IF(COUNTIF(設定!$W$6:$W$40,DATE(設定!$C$2,設定!$D$2,3))&gt;0,"假",IF(INDEX(設定!$U$72:$AO$72,(WEEKDAY(DATE(設定!$C$2,設定!$D$2,3),2)-1)*3+3)=0,"休",COUNTIF(M$6:M$45,"匯"))))</f>
        <v/>
      </c>
      <c r="N49" s="77">
        <f>IF(N$4="","",IF(COUNTIF(設定!$W$6:$W$40,DATE(設定!$C$2,設定!$D$2,4))&gt;0,"假",IF(INDEX(設定!$U$72:$AO$72,(WEEKDAY(DATE(設定!$C$2,設定!$D$2,4),2)-1)*3+1)=0,"休",COUNTIF(N$6:N$45,"匯"))))</f>
        <v/>
      </c>
      <c r="O49" s="78">
        <f>IF(O$4="","",IF(COUNTIF(設定!$W$6:$W$40,DATE(設定!$C$2,設定!$D$2,4))&gt;0,"假",IF(INDEX(設定!$U$72:$AO$72,(WEEKDAY(DATE(設定!$C$2,設定!$D$2,4),2)-1)*3+2)=0,"休",COUNTIF(O$6:O$45,"匯"))))</f>
        <v/>
      </c>
      <c r="P49" s="78">
        <f>IF(P$4="","",IF(COUNTIF(設定!$W$6:$W$40,DATE(設定!$C$2,設定!$D$2,4))&gt;0,"假",IF(INDEX(設定!$U$72:$AO$72,(WEEKDAY(DATE(設定!$C$2,設定!$D$2,4),2)-1)*3+3)=0,"休",COUNTIF(P$6:P$45,"匯"))))</f>
        <v/>
      </c>
      <c r="Q49" s="77">
        <f>IF(Q$4="","",IF(COUNTIF(設定!$W$6:$W$40,DATE(設定!$C$2,設定!$D$2,5))&gt;0,"假",IF(INDEX(設定!$U$72:$AO$72,(WEEKDAY(DATE(設定!$C$2,設定!$D$2,5),2)-1)*3+1)=0,"休",COUNTIF(Q$6:Q$45,"匯"))))</f>
        <v/>
      </c>
      <c r="R49" s="78">
        <f>IF(R$4="","",IF(COUNTIF(設定!$W$6:$W$40,DATE(設定!$C$2,設定!$D$2,5))&gt;0,"假",IF(INDEX(設定!$U$72:$AO$72,(WEEKDAY(DATE(設定!$C$2,設定!$D$2,5),2)-1)*3+2)=0,"休",COUNTIF(R$6:R$45,"匯"))))</f>
        <v/>
      </c>
      <c r="S49" s="78">
        <f>IF(S$4="","",IF(COUNTIF(設定!$W$6:$W$40,DATE(設定!$C$2,設定!$D$2,5))&gt;0,"假",IF(INDEX(設定!$U$72:$AO$72,(WEEKDAY(DATE(設定!$C$2,設定!$D$2,5),2)-1)*3+3)=0,"休",COUNTIF(S$6:S$45,"匯"))))</f>
        <v/>
      </c>
      <c r="T49" s="77">
        <f>IF(T$4="","",IF(COUNTIF(設定!$W$6:$W$40,DATE(設定!$C$2,設定!$D$2,6))&gt;0,"假",IF(INDEX(設定!$U$72:$AO$72,(WEEKDAY(DATE(設定!$C$2,設定!$D$2,6),2)-1)*3+1)=0,"休",COUNTIF(T$6:T$45,"匯"))))</f>
        <v/>
      </c>
      <c r="U49" s="78">
        <f>IF(U$4="","",IF(COUNTIF(設定!$W$6:$W$40,DATE(設定!$C$2,設定!$D$2,6))&gt;0,"假",IF(INDEX(設定!$U$72:$AO$72,(WEEKDAY(DATE(設定!$C$2,設定!$D$2,6),2)-1)*3+2)=0,"休",COUNTIF(U$6:U$45,"匯"))))</f>
        <v/>
      </c>
      <c r="V49" s="78">
        <f>IF(V$4="","",IF(COUNTIF(設定!$W$6:$W$40,DATE(設定!$C$2,設定!$D$2,6))&gt;0,"假",IF(INDEX(設定!$U$72:$AO$72,(WEEKDAY(DATE(設定!$C$2,設定!$D$2,6),2)-1)*3+3)=0,"休",COUNTIF(V$6:V$45,"匯"))))</f>
        <v/>
      </c>
      <c r="W49" s="77">
        <f>IF(W$4="","",IF(COUNTIF(設定!$W$6:$W$40,DATE(設定!$C$2,設定!$D$2,7))&gt;0,"假",IF(INDEX(設定!$U$72:$AO$72,(WEEKDAY(DATE(設定!$C$2,設定!$D$2,7),2)-1)*3+1)=0,"休",COUNTIF(W$6:W$45,"匯"))))</f>
        <v/>
      </c>
      <c r="X49" s="78">
        <f>IF(X$4="","",IF(COUNTIF(設定!$W$6:$W$40,DATE(設定!$C$2,設定!$D$2,7))&gt;0,"假",IF(INDEX(設定!$U$72:$AO$72,(WEEKDAY(DATE(設定!$C$2,設定!$D$2,7),2)-1)*3+2)=0,"休",COUNTIF(X$6:X$45,"匯"))))</f>
        <v/>
      </c>
      <c r="Y49" s="78">
        <f>IF(Y$4="","",IF(COUNTIF(設定!$W$6:$W$40,DATE(設定!$C$2,設定!$D$2,7))&gt;0,"假",IF(INDEX(設定!$U$72:$AO$72,(WEEKDAY(DATE(設定!$C$2,設定!$D$2,7),2)-1)*3+3)=0,"休",COUNTIF(Y$6:Y$45,"匯"))))</f>
        <v/>
      </c>
      <c r="Z49" s="77">
        <f>IF(Z$4="","",IF(COUNTIF(設定!$W$6:$W$40,DATE(設定!$C$2,設定!$D$2,8))&gt;0,"假",IF(INDEX(設定!$U$72:$AO$72,(WEEKDAY(DATE(設定!$C$2,設定!$D$2,8),2)-1)*3+1)=0,"休",COUNTIF(Z$6:Z$45,"匯"))))</f>
        <v/>
      </c>
      <c r="AA49" s="78">
        <f>IF(AA$4="","",IF(COUNTIF(設定!$W$6:$W$40,DATE(設定!$C$2,設定!$D$2,8))&gt;0,"假",IF(INDEX(設定!$U$72:$AO$72,(WEEKDAY(DATE(設定!$C$2,設定!$D$2,8),2)-1)*3+2)=0,"休",COUNTIF(AA$6:AA$45,"匯"))))</f>
        <v/>
      </c>
      <c r="AB49" s="78">
        <f>IF(AB$4="","",IF(COUNTIF(設定!$W$6:$W$40,DATE(設定!$C$2,設定!$D$2,8))&gt;0,"假",IF(INDEX(設定!$U$72:$AO$72,(WEEKDAY(DATE(設定!$C$2,設定!$D$2,8),2)-1)*3+3)=0,"休",COUNTIF(AB$6:AB$45,"匯"))))</f>
        <v/>
      </c>
      <c r="AC49" s="77">
        <f>IF(AC$4="","",IF(COUNTIF(設定!$W$6:$W$40,DATE(設定!$C$2,設定!$D$2,9))&gt;0,"假",IF(INDEX(設定!$U$72:$AO$72,(WEEKDAY(DATE(設定!$C$2,設定!$D$2,9),2)-1)*3+1)=0,"休",COUNTIF(AC$6:AC$45,"匯"))))</f>
        <v/>
      </c>
      <c r="AD49" s="78">
        <f>IF(AD$4="","",IF(COUNTIF(設定!$W$6:$W$40,DATE(設定!$C$2,設定!$D$2,9))&gt;0,"假",IF(INDEX(設定!$U$72:$AO$72,(WEEKDAY(DATE(設定!$C$2,設定!$D$2,9),2)-1)*3+2)=0,"休",COUNTIF(AD$6:AD$45,"匯"))))</f>
        <v/>
      </c>
      <c r="AE49" s="78">
        <f>IF(AE$4="","",IF(COUNTIF(設定!$W$6:$W$40,DATE(設定!$C$2,設定!$D$2,9))&gt;0,"假",IF(INDEX(設定!$U$72:$AO$72,(WEEKDAY(DATE(設定!$C$2,設定!$D$2,9),2)-1)*3+3)=0,"休",COUNTIF(AE$6:AE$45,"匯"))))</f>
        <v/>
      </c>
      <c r="AF49" s="77">
        <f>IF(AF$4="","",IF(COUNTIF(設定!$W$6:$W$40,DATE(設定!$C$2,設定!$D$2,10))&gt;0,"假",IF(INDEX(設定!$U$72:$AO$72,(WEEKDAY(DATE(設定!$C$2,設定!$D$2,10),2)-1)*3+1)=0,"休",COUNTIF(AF$6:AF$45,"匯"))))</f>
        <v/>
      </c>
      <c r="AG49" s="78">
        <f>IF(AG$4="","",IF(COUNTIF(設定!$W$6:$W$40,DATE(設定!$C$2,設定!$D$2,10))&gt;0,"假",IF(INDEX(設定!$U$72:$AO$72,(WEEKDAY(DATE(設定!$C$2,設定!$D$2,10),2)-1)*3+2)=0,"休",COUNTIF(AG$6:AG$45,"匯"))))</f>
        <v/>
      </c>
      <c r="AH49" s="78">
        <f>IF(AH$4="","",IF(COUNTIF(設定!$W$6:$W$40,DATE(設定!$C$2,設定!$D$2,10))&gt;0,"假",IF(INDEX(設定!$U$72:$AO$72,(WEEKDAY(DATE(設定!$C$2,設定!$D$2,10),2)-1)*3+3)=0,"休",COUNTIF(AH$6:AH$45,"匯"))))</f>
        <v/>
      </c>
      <c r="AI49" s="77">
        <f>IF(AI$4="","",IF(COUNTIF(設定!$W$6:$W$40,DATE(設定!$C$2,設定!$D$2,11))&gt;0,"假",IF(INDEX(設定!$U$72:$AO$72,(WEEKDAY(DATE(設定!$C$2,設定!$D$2,11),2)-1)*3+1)=0,"休",COUNTIF(AI$6:AI$45,"匯"))))</f>
        <v/>
      </c>
      <c r="AJ49" s="78">
        <f>IF(AJ$4="","",IF(COUNTIF(設定!$W$6:$W$40,DATE(設定!$C$2,設定!$D$2,11))&gt;0,"假",IF(INDEX(設定!$U$72:$AO$72,(WEEKDAY(DATE(設定!$C$2,設定!$D$2,11),2)-1)*3+2)=0,"休",COUNTIF(AJ$6:AJ$45,"匯"))))</f>
        <v/>
      </c>
      <c r="AK49" s="78">
        <f>IF(AK$4="","",IF(COUNTIF(設定!$W$6:$W$40,DATE(設定!$C$2,設定!$D$2,11))&gt;0,"假",IF(INDEX(設定!$U$72:$AO$72,(WEEKDAY(DATE(設定!$C$2,設定!$D$2,11),2)-1)*3+3)=0,"休",COUNTIF(AK$6:AK$45,"匯"))))</f>
        <v/>
      </c>
      <c r="AL49" s="77">
        <f>IF(AL$4="","",IF(COUNTIF(設定!$W$6:$W$40,DATE(設定!$C$2,設定!$D$2,12))&gt;0,"假",IF(INDEX(設定!$U$72:$AO$72,(WEEKDAY(DATE(設定!$C$2,設定!$D$2,12),2)-1)*3+1)=0,"休",COUNTIF(AL$6:AL$45,"匯"))))</f>
        <v/>
      </c>
      <c r="AM49" s="78">
        <f>IF(AM$4="","",IF(COUNTIF(設定!$W$6:$W$40,DATE(設定!$C$2,設定!$D$2,12))&gt;0,"假",IF(INDEX(設定!$U$72:$AO$72,(WEEKDAY(DATE(設定!$C$2,設定!$D$2,12),2)-1)*3+2)=0,"休",COUNTIF(AM$6:AM$45,"匯"))))</f>
        <v/>
      </c>
      <c r="AN49" s="78">
        <f>IF(AN$4="","",IF(COUNTIF(設定!$W$6:$W$40,DATE(設定!$C$2,設定!$D$2,12))&gt;0,"假",IF(INDEX(設定!$U$72:$AO$72,(WEEKDAY(DATE(設定!$C$2,設定!$D$2,12),2)-1)*3+3)=0,"休",COUNTIF(AN$6:AN$45,"匯"))))</f>
        <v/>
      </c>
      <c r="AO49" s="77">
        <f>IF(AO$4="","",IF(COUNTIF(設定!$W$6:$W$40,DATE(設定!$C$2,設定!$D$2,13))&gt;0,"假",IF(INDEX(設定!$U$72:$AO$72,(WEEKDAY(DATE(設定!$C$2,設定!$D$2,13),2)-1)*3+1)=0,"休",COUNTIF(AO$6:AO$45,"匯"))))</f>
        <v/>
      </c>
      <c r="AP49" s="78">
        <f>IF(AP$4="","",IF(COUNTIF(設定!$W$6:$W$40,DATE(設定!$C$2,設定!$D$2,13))&gt;0,"假",IF(INDEX(設定!$U$72:$AO$72,(WEEKDAY(DATE(設定!$C$2,設定!$D$2,13),2)-1)*3+2)=0,"休",COUNTIF(AP$6:AP$45,"匯"))))</f>
        <v/>
      </c>
      <c r="AQ49" s="78">
        <f>IF(AQ$4="","",IF(COUNTIF(設定!$W$6:$W$40,DATE(設定!$C$2,設定!$D$2,13))&gt;0,"假",IF(INDEX(設定!$U$72:$AO$72,(WEEKDAY(DATE(設定!$C$2,設定!$D$2,13),2)-1)*3+3)=0,"休",COUNTIF(AQ$6:AQ$45,"匯"))))</f>
        <v/>
      </c>
      <c r="AR49" s="77">
        <f>IF(AR$4="","",IF(COUNTIF(設定!$W$6:$W$40,DATE(設定!$C$2,設定!$D$2,14))&gt;0,"假",IF(INDEX(設定!$U$72:$AO$72,(WEEKDAY(DATE(設定!$C$2,設定!$D$2,14),2)-1)*3+1)=0,"休",COUNTIF(AR$6:AR$45,"匯"))))</f>
        <v/>
      </c>
      <c r="AS49" s="78">
        <f>IF(AS$4="","",IF(COUNTIF(設定!$W$6:$W$40,DATE(設定!$C$2,設定!$D$2,14))&gt;0,"假",IF(INDEX(設定!$U$72:$AO$72,(WEEKDAY(DATE(設定!$C$2,設定!$D$2,14),2)-1)*3+2)=0,"休",COUNTIF(AS$6:AS$45,"匯"))))</f>
        <v/>
      </c>
      <c r="AT49" s="78">
        <f>IF(AT$4="","",IF(COUNTIF(設定!$W$6:$W$40,DATE(設定!$C$2,設定!$D$2,14))&gt;0,"假",IF(INDEX(設定!$U$72:$AO$72,(WEEKDAY(DATE(設定!$C$2,設定!$D$2,14),2)-1)*3+3)=0,"休",COUNTIF(AT$6:AT$45,"匯"))))</f>
        <v/>
      </c>
      <c r="AU49" s="77">
        <f>IF(AU$4="","",IF(COUNTIF(設定!$W$6:$W$40,DATE(設定!$C$2,設定!$D$2,15))&gt;0,"假",IF(INDEX(設定!$U$72:$AO$72,(WEEKDAY(DATE(設定!$C$2,設定!$D$2,15),2)-1)*3+1)=0,"休",COUNTIF(AU$6:AU$45,"匯"))))</f>
        <v/>
      </c>
      <c r="AV49" s="78">
        <f>IF(AV$4="","",IF(COUNTIF(設定!$W$6:$W$40,DATE(設定!$C$2,設定!$D$2,15))&gt;0,"假",IF(INDEX(設定!$U$72:$AO$72,(WEEKDAY(DATE(設定!$C$2,設定!$D$2,15),2)-1)*3+2)=0,"休",COUNTIF(AV$6:AV$45,"匯"))))</f>
        <v/>
      </c>
      <c r="AW49" s="78">
        <f>IF(AW$4="","",IF(COUNTIF(設定!$W$6:$W$40,DATE(設定!$C$2,設定!$D$2,15))&gt;0,"假",IF(INDEX(設定!$U$72:$AO$72,(WEEKDAY(DATE(設定!$C$2,設定!$D$2,15),2)-1)*3+3)=0,"休",COUNTIF(AW$6:AW$45,"匯"))))</f>
        <v/>
      </c>
      <c r="AX49" s="77">
        <f>IF(AX$4="","",IF(COUNTIF(設定!$W$6:$W$40,DATE(設定!$C$2,設定!$D$2,16))&gt;0,"假",IF(INDEX(設定!$U$72:$AO$72,(WEEKDAY(DATE(設定!$C$2,設定!$D$2,16),2)-1)*3+1)=0,"休",COUNTIF(AX$6:AX$45,"匯"))))</f>
        <v/>
      </c>
      <c r="AY49" s="78">
        <f>IF(AY$4="","",IF(COUNTIF(設定!$W$6:$W$40,DATE(設定!$C$2,設定!$D$2,16))&gt;0,"假",IF(INDEX(設定!$U$72:$AO$72,(WEEKDAY(DATE(設定!$C$2,設定!$D$2,16),2)-1)*3+2)=0,"休",COUNTIF(AY$6:AY$45,"匯"))))</f>
        <v/>
      </c>
      <c r="AZ49" s="78">
        <f>IF(AZ$4="","",IF(COUNTIF(設定!$W$6:$W$40,DATE(設定!$C$2,設定!$D$2,16))&gt;0,"假",IF(INDEX(設定!$U$72:$AO$72,(WEEKDAY(DATE(設定!$C$2,設定!$D$2,16),2)-1)*3+3)=0,"休",COUNTIF(AZ$6:AZ$45,"匯"))))</f>
        <v/>
      </c>
      <c r="BA49" s="77">
        <f>IF(BA$4="","",IF(COUNTIF(設定!$W$6:$W$40,DATE(設定!$C$2,設定!$D$2,17))&gt;0,"假",IF(INDEX(設定!$U$72:$AO$72,(WEEKDAY(DATE(設定!$C$2,設定!$D$2,17),2)-1)*3+1)=0,"休",COUNTIF(BA$6:BA$45,"匯"))))</f>
        <v/>
      </c>
      <c r="BB49" s="78">
        <f>IF(BB$4="","",IF(COUNTIF(設定!$W$6:$W$40,DATE(設定!$C$2,設定!$D$2,17))&gt;0,"假",IF(INDEX(設定!$U$72:$AO$72,(WEEKDAY(DATE(設定!$C$2,設定!$D$2,17),2)-1)*3+2)=0,"休",COUNTIF(BB$6:BB$45,"匯"))))</f>
        <v/>
      </c>
      <c r="BC49" s="78">
        <f>IF(BC$4="","",IF(COUNTIF(設定!$W$6:$W$40,DATE(設定!$C$2,設定!$D$2,17))&gt;0,"假",IF(INDEX(設定!$U$72:$AO$72,(WEEKDAY(DATE(設定!$C$2,設定!$D$2,17),2)-1)*3+3)=0,"休",COUNTIF(BC$6:BC$45,"匯"))))</f>
        <v/>
      </c>
      <c r="BD49" s="77">
        <f>IF(BD$4="","",IF(COUNTIF(設定!$W$6:$W$40,DATE(設定!$C$2,設定!$D$2,18))&gt;0,"假",IF(INDEX(設定!$U$72:$AO$72,(WEEKDAY(DATE(設定!$C$2,設定!$D$2,18),2)-1)*3+1)=0,"休",COUNTIF(BD$6:BD$45,"匯"))))</f>
        <v/>
      </c>
      <c r="BE49" s="78">
        <f>IF(BE$4="","",IF(COUNTIF(設定!$W$6:$W$40,DATE(設定!$C$2,設定!$D$2,18))&gt;0,"假",IF(INDEX(設定!$U$72:$AO$72,(WEEKDAY(DATE(設定!$C$2,設定!$D$2,18),2)-1)*3+2)=0,"休",COUNTIF(BE$6:BE$45,"匯"))))</f>
        <v/>
      </c>
      <c r="BF49" s="78">
        <f>IF(BF$4="","",IF(COUNTIF(設定!$W$6:$W$40,DATE(設定!$C$2,設定!$D$2,18))&gt;0,"假",IF(INDEX(設定!$U$72:$AO$72,(WEEKDAY(DATE(設定!$C$2,設定!$D$2,18),2)-1)*3+3)=0,"休",COUNTIF(BF$6:BF$45,"匯"))))</f>
        <v/>
      </c>
      <c r="BG49" s="77">
        <f>IF(BG$4="","",IF(COUNTIF(設定!$W$6:$W$40,DATE(設定!$C$2,設定!$D$2,19))&gt;0,"假",IF(INDEX(設定!$U$72:$AO$72,(WEEKDAY(DATE(設定!$C$2,設定!$D$2,19),2)-1)*3+1)=0,"休",COUNTIF(BG$6:BG$45,"匯"))))</f>
        <v/>
      </c>
      <c r="BH49" s="78">
        <f>IF(BH$4="","",IF(COUNTIF(設定!$W$6:$W$40,DATE(設定!$C$2,設定!$D$2,19))&gt;0,"假",IF(INDEX(設定!$U$72:$AO$72,(WEEKDAY(DATE(設定!$C$2,設定!$D$2,19),2)-1)*3+2)=0,"休",COUNTIF(BH$6:BH$45,"匯"))))</f>
        <v/>
      </c>
      <c r="BI49" s="78">
        <f>IF(BI$4="","",IF(COUNTIF(設定!$W$6:$W$40,DATE(設定!$C$2,設定!$D$2,19))&gt;0,"假",IF(INDEX(設定!$U$72:$AO$72,(WEEKDAY(DATE(設定!$C$2,設定!$D$2,19),2)-1)*3+3)=0,"休",COUNTIF(BI$6:BI$45,"匯"))))</f>
        <v/>
      </c>
      <c r="BJ49" s="77">
        <f>IF(BJ$4="","",IF(COUNTIF(設定!$W$6:$W$40,DATE(設定!$C$2,設定!$D$2,20))&gt;0,"假",IF(INDEX(設定!$U$72:$AO$72,(WEEKDAY(DATE(設定!$C$2,設定!$D$2,20),2)-1)*3+1)=0,"休",COUNTIF(BJ$6:BJ$45,"匯"))))</f>
        <v/>
      </c>
      <c r="BK49" s="78">
        <f>IF(BK$4="","",IF(COUNTIF(設定!$W$6:$W$40,DATE(設定!$C$2,設定!$D$2,20))&gt;0,"假",IF(INDEX(設定!$U$72:$AO$72,(WEEKDAY(DATE(設定!$C$2,設定!$D$2,20),2)-1)*3+2)=0,"休",COUNTIF(BK$6:BK$45,"匯"))))</f>
        <v/>
      </c>
      <c r="BL49" s="78">
        <f>IF(BL$4="","",IF(COUNTIF(設定!$W$6:$W$40,DATE(設定!$C$2,設定!$D$2,20))&gt;0,"假",IF(INDEX(設定!$U$72:$AO$72,(WEEKDAY(DATE(設定!$C$2,設定!$D$2,20),2)-1)*3+3)=0,"休",COUNTIF(BL$6:BL$45,"匯"))))</f>
        <v/>
      </c>
      <c r="BM49" s="77">
        <f>IF(BM$4="","",IF(COUNTIF(設定!$W$6:$W$40,DATE(設定!$C$2,設定!$D$2,21))&gt;0,"假",IF(INDEX(設定!$U$72:$AO$72,(WEEKDAY(DATE(設定!$C$2,設定!$D$2,21),2)-1)*3+1)=0,"休",COUNTIF(BM$6:BM$45,"匯"))))</f>
        <v/>
      </c>
      <c r="BN49" s="78">
        <f>IF(BN$4="","",IF(COUNTIF(設定!$W$6:$W$40,DATE(設定!$C$2,設定!$D$2,21))&gt;0,"假",IF(INDEX(設定!$U$72:$AO$72,(WEEKDAY(DATE(設定!$C$2,設定!$D$2,21),2)-1)*3+2)=0,"休",COUNTIF(BN$6:BN$45,"匯"))))</f>
        <v/>
      </c>
      <c r="BO49" s="78">
        <f>IF(BO$4="","",IF(COUNTIF(設定!$W$6:$W$40,DATE(設定!$C$2,設定!$D$2,21))&gt;0,"假",IF(INDEX(設定!$U$72:$AO$72,(WEEKDAY(DATE(設定!$C$2,設定!$D$2,21),2)-1)*3+3)=0,"休",COUNTIF(BO$6:BO$45,"匯"))))</f>
        <v/>
      </c>
      <c r="BP49" s="77">
        <f>IF(BP$4="","",IF(COUNTIF(設定!$W$6:$W$40,DATE(設定!$C$2,設定!$D$2,22))&gt;0,"假",IF(INDEX(設定!$U$72:$AO$72,(WEEKDAY(DATE(設定!$C$2,設定!$D$2,22),2)-1)*3+1)=0,"休",COUNTIF(BP$6:BP$45,"匯"))))</f>
        <v/>
      </c>
      <c r="BQ49" s="78">
        <f>IF(BQ$4="","",IF(COUNTIF(設定!$W$6:$W$40,DATE(設定!$C$2,設定!$D$2,22))&gt;0,"假",IF(INDEX(設定!$U$72:$AO$72,(WEEKDAY(DATE(設定!$C$2,設定!$D$2,22),2)-1)*3+2)=0,"休",COUNTIF(BQ$6:BQ$45,"匯"))))</f>
        <v/>
      </c>
      <c r="BR49" s="78">
        <f>IF(BR$4="","",IF(COUNTIF(設定!$W$6:$W$40,DATE(設定!$C$2,設定!$D$2,22))&gt;0,"假",IF(INDEX(設定!$U$72:$AO$72,(WEEKDAY(DATE(設定!$C$2,設定!$D$2,22),2)-1)*3+3)=0,"休",COUNTIF(BR$6:BR$45,"匯"))))</f>
        <v/>
      </c>
      <c r="BS49" s="77">
        <f>IF(BS$4="","",IF(COUNTIF(設定!$W$6:$W$40,DATE(設定!$C$2,設定!$D$2,23))&gt;0,"假",IF(INDEX(設定!$U$72:$AO$72,(WEEKDAY(DATE(設定!$C$2,設定!$D$2,23),2)-1)*3+1)=0,"休",COUNTIF(BS$6:BS$45,"匯"))))</f>
        <v/>
      </c>
      <c r="BT49" s="78">
        <f>IF(BT$4="","",IF(COUNTIF(設定!$W$6:$W$40,DATE(設定!$C$2,設定!$D$2,23))&gt;0,"假",IF(INDEX(設定!$U$72:$AO$72,(WEEKDAY(DATE(設定!$C$2,設定!$D$2,23),2)-1)*3+2)=0,"休",COUNTIF(BT$6:BT$45,"匯"))))</f>
        <v/>
      </c>
      <c r="BU49" s="78">
        <f>IF(BU$4="","",IF(COUNTIF(設定!$W$6:$W$40,DATE(設定!$C$2,設定!$D$2,23))&gt;0,"假",IF(INDEX(設定!$U$72:$AO$72,(WEEKDAY(DATE(設定!$C$2,設定!$D$2,23),2)-1)*3+3)=0,"休",COUNTIF(BU$6:BU$45,"匯"))))</f>
        <v/>
      </c>
      <c r="BV49" s="77">
        <f>IF(BV$4="","",IF(COUNTIF(設定!$W$6:$W$40,DATE(設定!$C$2,設定!$D$2,24))&gt;0,"假",IF(INDEX(設定!$U$72:$AO$72,(WEEKDAY(DATE(設定!$C$2,設定!$D$2,24),2)-1)*3+1)=0,"休",COUNTIF(BV$6:BV$45,"匯"))))</f>
        <v/>
      </c>
      <c r="BW49" s="78">
        <f>IF(BW$4="","",IF(COUNTIF(設定!$W$6:$W$40,DATE(設定!$C$2,設定!$D$2,24))&gt;0,"假",IF(INDEX(設定!$U$72:$AO$72,(WEEKDAY(DATE(設定!$C$2,設定!$D$2,24),2)-1)*3+2)=0,"休",COUNTIF(BW$6:BW$45,"匯"))))</f>
        <v/>
      </c>
      <c r="BX49" s="78">
        <f>IF(BX$4="","",IF(COUNTIF(設定!$W$6:$W$40,DATE(設定!$C$2,設定!$D$2,24))&gt;0,"假",IF(INDEX(設定!$U$72:$AO$72,(WEEKDAY(DATE(設定!$C$2,設定!$D$2,24),2)-1)*3+3)=0,"休",COUNTIF(BX$6:BX$45,"匯"))))</f>
        <v/>
      </c>
      <c r="BY49" s="77">
        <f>IF(BY$4="","",IF(COUNTIF(設定!$W$6:$W$40,DATE(設定!$C$2,設定!$D$2,25))&gt;0,"假",IF(INDEX(設定!$U$72:$AO$72,(WEEKDAY(DATE(設定!$C$2,設定!$D$2,25),2)-1)*3+1)=0,"休",COUNTIF(BY$6:BY$45,"匯"))))</f>
        <v/>
      </c>
      <c r="BZ49" s="78">
        <f>IF(BZ$4="","",IF(COUNTIF(設定!$W$6:$W$40,DATE(設定!$C$2,設定!$D$2,25))&gt;0,"假",IF(INDEX(設定!$U$72:$AO$72,(WEEKDAY(DATE(設定!$C$2,設定!$D$2,25),2)-1)*3+2)=0,"休",COUNTIF(BZ$6:BZ$45,"匯"))))</f>
        <v/>
      </c>
      <c r="CA49" s="78">
        <f>IF(CA$4="","",IF(COUNTIF(設定!$W$6:$W$40,DATE(設定!$C$2,設定!$D$2,25))&gt;0,"假",IF(INDEX(設定!$U$72:$AO$72,(WEEKDAY(DATE(設定!$C$2,設定!$D$2,25),2)-1)*3+3)=0,"休",COUNTIF(CA$6:CA$45,"匯"))))</f>
        <v/>
      </c>
      <c r="CB49" s="77">
        <f>IF(CB$4="","",IF(COUNTIF(設定!$W$6:$W$40,DATE(設定!$C$2,設定!$D$2,26))&gt;0,"假",IF(INDEX(設定!$U$72:$AO$72,(WEEKDAY(DATE(設定!$C$2,設定!$D$2,26),2)-1)*3+1)=0,"休",COUNTIF(CB$6:CB$45,"匯"))))</f>
        <v/>
      </c>
      <c r="CC49" s="78">
        <f>IF(CC$4="","",IF(COUNTIF(設定!$W$6:$W$40,DATE(設定!$C$2,設定!$D$2,26))&gt;0,"假",IF(INDEX(設定!$U$72:$AO$72,(WEEKDAY(DATE(設定!$C$2,設定!$D$2,26),2)-1)*3+2)=0,"休",COUNTIF(CC$6:CC$45,"匯"))))</f>
        <v/>
      </c>
      <c r="CD49" s="78">
        <f>IF(CD$4="","",IF(COUNTIF(設定!$W$6:$W$40,DATE(設定!$C$2,設定!$D$2,26))&gt;0,"假",IF(INDEX(設定!$U$72:$AO$72,(WEEKDAY(DATE(設定!$C$2,設定!$D$2,26),2)-1)*3+3)=0,"休",COUNTIF(CD$6:CD$45,"匯"))))</f>
        <v/>
      </c>
      <c r="CE49" s="77">
        <f>IF(CE$4="","",IF(COUNTIF(設定!$W$6:$W$40,DATE(設定!$C$2,設定!$D$2,27))&gt;0,"假",IF(INDEX(設定!$U$72:$AO$72,(WEEKDAY(DATE(設定!$C$2,設定!$D$2,27),2)-1)*3+1)=0,"休",COUNTIF(CE$6:CE$45,"匯"))))</f>
        <v/>
      </c>
      <c r="CF49" s="78">
        <f>IF(CF$4="","",IF(COUNTIF(設定!$W$6:$W$40,DATE(設定!$C$2,設定!$D$2,27))&gt;0,"假",IF(INDEX(設定!$U$72:$AO$72,(WEEKDAY(DATE(設定!$C$2,設定!$D$2,27),2)-1)*3+2)=0,"休",COUNTIF(CF$6:CF$45,"匯"))))</f>
        <v/>
      </c>
      <c r="CG49" s="78">
        <f>IF(CG$4="","",IF(COUNTIF(設定!$W$6:$W$40,DATE(設定!$C$2,設定!$D$2,27))&gt;0,"假",IF(INDEX(設定!$U$72:$AO$72,(WEEKDAY(DATE(設定!$C$2,設定!$D$2,27),2)-1)*3+3)=0,"休",COUNTIF(CG$6:CG$45,"匯"))))</f>
        <v/>
      </c>
      <c r="CH49" s="77">
        <f>IF(CH$4="","",IF(COUNTIF(設定!$W$6:$W$40,DATE(設定!$C$2,設定!$D$2,28))&gt;0,"假",IF(INDEX(設定!$U$72:$AO$72,(WEEKDAY(DATE(設定!$C$2,設定!$D$2,28),2)-1)*3+1)=0,"休",COUNTIF(CH$6:CH$45,"匯"))))</f>
        <v/>
      </c>
      <c r="CI49" s="78">
        <f>IF(CI$4="","",IF(COUNTIF(設定!$W$6:$W$40,DATE(設定!$C$2,設定!$D$2,28))&gt;0,"假",IF(INDEX(設定!$U$72:$AO$72,(WEEKDAY(DATE(設定!$C$2,設定!$D$2,28),2)-1)*3+2)=0,"休",COUNTIF(CI$6:CI$45,"匯"))))</f>
        <v/>
      </c>
      <c r="CJ49" s="78">
        <f>IF(CJ$4="","",IF(COUNTIF(設定!$W$6:$W$40,DATE(設定!$C$2,設定!$D$2,28))&gt;0,"假",IF(INDEX(設定!$U$72:$AO$72,(WEEKDAY(DATE(設定!$C$2,設定!$D$2,28),2)-1)*3+3)=0,"休",COUNTIF(CJ$6:CJ$45,"匯"))))</f>
        <v/>
      </c>
      <c r="CK49" s="77">
        <f>IF(CK$4="","",IF(COUNTIF(設定!$W$6:$W$40,DATE(設定!$C$2,設定!$D$2,29))&gt;0,"假",IF(INDEX(設定!$U$72:$AO$72,(WEEKDAY(DATE(設定!$C$2,設定!$D$2,29),2)-1)*3+1)=0,"休",COUNTIF(CK$6:CK$45,"匯"))))</f>
        <v/>
      </c>
      <c r="CL49" s="78">
        <f>IF(CL$4="","",IF(COUNTIF(設定!$W$6:$W$40,DATE(設定!$C$2,設定!$D$2,29))&gt;0,"假",IF(INDEX(設定!$U$72:$AO$72,(WEEKDAY(DATE(設定!$C$2,設定!$D$2,29),2)-1)*3+2)=0,"休",COUNTIF(CL$6:CL$45,"匯"))))</f>
        <v/>
      </c>
      <c r="CM49" s="78">
        <f>IF(CM$4="","",IF(COUNTIF(設定!$W$6:$W$40,DATE(設定!$C$2,設定!$D$2,29))&gt;0,"假",IF(INDEX(設定!$U$72:$AO$72,(WEEKDAY(DATE(設定!$C$2,設定!$D$2,29),2)-1)*3+3)=0,"休",COUNTIF(CM$6:CM$45,"匯"))))</f>
        <v/>
      </c>
      <c r="CN49" s="77">
        <f>IF(CN$4="","",IF(COUNTIF(設定!$W$6:$W$40,DATE(設定!$C$2,設定!$D$2,30))&gt;0,"假",IF(INDEX(設定!$U$72:$AO$72,(WEEKDAY(DATE(設定!$C$2,設定!$D$2,30),2)-1)*3+1)=0,"休",COUNTIF(CN$6:CN$45,"匯"))))</f>
        <v/>
      </c>
      <c r="CO49" s="78">
        <f>IF(CO$4="","",IF(COUNTIF(設定!$W$6:$W$40,DATE(設定!$C$2,設定!$D$2,30))&gt;0,"假",IF(INDEX(設定!$U$72:$AO$72,(WEEKDAY(DATE(設定!$C$2,設定!$D$2,30),2)-1)*3+2)=0,"休",COUNTIF(CO$6:CO$45,"匯"))))</f>
        <v/>
      </c>
      <c r="CP49" s="78">
        <f>IF(CP$4="","",IF(COUNTIF(設定!$W$6:$W$40,DATE(設定!$C$2,設定!$D$2,30))&gt;0,"假",IF(INDEX(設定!$U$72:$AO$72,(WEEKDAY(DATE(設定!$C$2,設定!$D$2,30),2)-1)*3+3)=0,"休",COUNTIF(CP$6:CP$45,"匯"))))</f>
        <v/>
      </c>
      <c r="CQ49" s="77">
        <f>IF(CQ$4="","",IF(COUNTIF(設定!$W$6:$W$40,DATE(設定!$C$2,設定!$D$2,31))&gt;0,"假",IF(INDEX(設定!$U$72:$AO$72,(WEEKDAY(DATE(設定!$C$2,設定!$D$2,31),2)-1)*3+1)=0,"休",COUNTIF(CQ$6:CQ$45,"匯"))))</f>
        <v/>
      </c>
      <c r="CR49" s="78">
        <f>IF(CR$4="","",IF(COUNTIF(設定!$W$6:$W$40,DATE(設定!$C$2,設定!$D$2,31))&gt;0,"假",IF(INDEX(設定!$U$72:$AO$72,(WEEKDAY(DATE(設定!$C$2,設定!$D$2,31),2)-1)*3+2)=0,"休",COUNTIF(CR$6:CR$45,"匯"))))</f>
        <v/>
      </c>
      <c r="CS49" s="78">
        <f>IF(CS$4="","",IF(COUNTIF(設定!$W$6:$W$40,DATE(設定!$C$2,設定!$D$2,31))&gt;0,"假",IF(INDEX(設定!$U$72:$AO$72,(WEEKDAY(DATE(設定!$C$2,設定!$D$2,31),2)-1)*3+3)=0,"休",COUNTIF(CS$6:CS$45,"匯"))))</f>
        <v/>
      </c>
    </row>
    <row r="50">
      <c r="A50" s="81" t="inlineStr">
        <is>
          <t>曜 晶曜</t>
        </is>
      </c>
      <c r="B50" s="8" t="n"/>
      <c r="C50" s="8" t="n"/>
      <c r="D50" s="9" t="n"/>
      <c r="E50" s="77">
        <f>IF(E$4="","",IF(COUNTIF(設定!$W$6:$W$40,DATE(設定!$C$2,設定!$D$2,1))&gt;0,"假",IF(INDEX(設定!$U$73:$AO$73,(WEEKDAY(DATE(設定!$C$2,設定!$D$2,1),2)-1)*3+1)=0,"休",COUNTIF(E$6:E$45,"曜"))))</f>
        <v/>
      </c>
      <c r="F50" s="78">
        <f>IF(F$4="","",IF(COUNTIF(設定!$W$6:$W$40,DATE(設定!$C$2,設定!$D$2,1))&gt;0,"假",IF(INDEX(設定!$U$73:$AO$73,(WEEKDAY(DATE(設定!$C$2,設定!$D$2,1),2)-1)*3+2)=0,"休",COUNTIF(F$6:F$45,"曜"))))</f>
        <v/>
      </c>
      <c r="G50" s="78">
        <f>IF(G$4="","",IF(COUNTIF(設定!$W$6:$W$40,DATE(設定!$C$2,設定!$D$2,1))&gt;0,"假",IF(INDEX(設定!$U$73:$AO$73,(WEEKDAY(DATE(設定!$C$2,設定!$D$2,1),2)-1)*3+3)=0,"休",COUNTIF(G$6:G$45,"曜"))))</f>
        <v/>
      </c>
      <c r="H50" s="77">
        <f>IF(H$4="","",IF(COUNTIF(設定!$W$6:$W$40,DATE(設定!$C$2,設定!$D$2,2))&gt;0,"假",IF(INDEX(設定!$U$73:$AO$73,(WEEKDAY(DATE(設定!$C$2,設定!$D$2,2),2)-1)*3+1)=0,"休",COUNTIF(H$6:H$45,"曜"))))</f>
        <v/>
      </c>
      <c r="I50" s="78">
        <f>IF(I$4="","",IF(COUNTIF(設定!$W$6:$W$40,DATE(設定!$C$2,設定!$D$2,2))&gt;0,"假",IF(INDEX(設定!$U$73:$AO$73,(WEEKDAY(DATE(設定!$C$2,設定!$D$2,2),2)-1)*3+2)=0,"休",COUNTIF(I$6:I$45,"曜"))))</f>
        <v/>
      </c>
      <c r="J50" s="78">
        <f>IF(J$4="","",IF(COUNTIF(設定!$W$6:$W$40,DATE(設定!$C$2,設定!$D$2,2))&gt;0,"假",IF(INDEX(設定!$U$73:$AO$73,(WEEKDAY(DATE(設定!$C$2,設定!$D$2,2),2)-1)*3+3)=0,"休",COUNTIF(J$6:J$45,"曜"))))</f>
        <v/>
      </c>
      <c r="K50" s="77">
        <f>IF(K$4="","",IF(COUNTIF(設定!$W$6:$W$40,DATE(設定!$C$2,設定!$D$2,3))&gt;0,"假",IF(INDEX(設定!$U$73:$AO$73,(WEEKDAY(DATE(設定!$C$2,設定!$D$2,3),2)-1)*3+1)=0,"休",COUNTIF(K$6:K$45,"曜"))))</f>
        <v/>
      </c>
      <c r="L50" s="78">
        <f>IF(L$4="","",IF(COUNTIF(設定!$W$6:$W$40,DATE(設定!$C$2,設定!$D$2,3))&gt;0,"假",IF(INDEX(設定!$U$73:$AO$73,(WEEKDAY(DATE(設定!$C$2,設定!$D$2,3),2)-1)*3+2)=0,"休",COUNTIF(L$6:L$45,"曜"))))</f>
        <v/>
      </c>
      <c r="M50" s="78">
        <f>IF(M$4="","",IF(COUNTIF(設定!$W$6:$W$40,DATE(設定!$C$2,設定!$D$2,3))&gt;0,"假",IF(INDEX(設定!$U$73:$AO$73,(WEEKDAY(DATE(設定!$C$2,設定!$D$2,3),2)-1)*3+3)=0,"休",COUNTIF(M$6:M$45,"曜"))))</f>
        <v/>
      </c>
      <c r="N50" s="77">
        <f>IF(N$4="","",IF(COUNTIF(設定!$W$6:$W$40,DATE(設定!$C$2,設定!$D$2,4))&gt;0,"假",IF(INDEX(設定!$U$73:$AO$73,(WEEKDAY(DATE(設定!$C$2,設定!$D$2,4),2)-1)*3+1)=0,"休",COUNTIF(N$6:N$45,"曜"))))</f>
        <v/>
      </c>
      <c r="O50" s="78">
        <f>IF(O$4="","",IF(COUNTIF(設定!$W$6:$W$40,DATE(設定!$C$2,設定!$D$2,4))&gt;0,"假",IF(INDEX(設定!$U$73:$AO$73,(WEEKDAY(DATE(設定!$C$2,設定!$D$2,4),2)-1)*3+2)=0,"休",COUNTIF(O$6:O$45,"曜"))))</f>
        <v/>
      </c>
      <c r="P50" s="78">
        <f>IF(P$4="","",IF(COUNTIF(設定!$W$6:$W$40,DATE(設定!$C$2,設定!$D$2,4))&gt;0,"假",IF(INDEX(設定!$U$73:$AO$73,(WEEKDAY(DATE(設定!$C$2,設定!$D$2,4),2)-1)*3+3)=0,"休",COUNTIF(P$6:P$45,"曜"))))</f>
        <v/>
      </c>
      <c r="Q50" s="77">
        <f>IF(Q$4="","",IF(COUNTIF(設定!$W$6:$W$40,DATE(設定!$C$2,設定!$D$2,5))&gt;0,"假",IF(INDEX(設定!$U$73:$AO$73,(WEEKDAY(DATE(設定!$C$2,設定!$D$2,5),2)-1)*3+1)=0,"休",COUNTIF(Q$6:Q$45,"曜"))))</f>
        <v/>
      </c>
      <c r="R50" s="78">
        <f>IF(R$4="","",IF(COUNTIF(設定!$W$6:$W$40,DATE(設定!$C$2,設定!$D$2,5))&gt;0,"假",IF(INDEX(設定!$U$73:$AO$73,(WEEKDAY(DATE(設定!$C$2,設定!$D$2,5),2)-1)*3+2)=0,"休",COUNTIF(R$6:R$45,"曜"))))</f>
        <v/>
      </c>
      <c r="S50" s="78">
        <f>IF(S$4="","",IF(COUNTIF(設定!$W$6:$W$40,DATE(設定!$C$2,設定!$D$2,5))&gt;0,"假",IF(INDEX(設定!$U$73:$AO$73,(WEEKDAY(DATE(設定!$C$2,設定!$D$2,5),2)-1)*3+3)=0,"休",COUNTIF(S$6:S$45,"曜"))))</f>
        <v/>
      </c>
      <c r="T50" s="77">
        <f>IF(T$4="","",IF(COUNTIF(設定!$W$6:$W$40,DATE(設定!$C$2,設定!$D$2,6))&gt;0,"假",IF(INDEX(設定!$U$73:$AO$73,(WEEKDAY(DATE(設定!$C$2,設定!$D$2,6),2)-1)*3+1)=0,"休",COUNTIF(T$6:T$45,"曜"))))</f>
        <v/>
      </c>
      <c r="U50" s="78">
        <f>IF(U$4="","",IF(COUNTIF(設定!$W$6:$W$40,DATE(設定!$C$2,設定!$D$2,6))&gt;0,"假",IF(INDEX(設定!$U$73:$AO$73,(WEEKDAY(DATE(設定!$C$2,設定!$D$2,6),2)-1)*3+2)=0,"休",COUNTIF(U$6:U$45,"曜"))))</f>
        <v/>
      </c>
      <c r="V50" s="78">
        <f>IF(V$4="","",IF(COUNTIF(設定!$W$6:$W$40,DATE(設定!$C$2,設定!$D$2,6))&gt;0,"假",IF(INDEX(設定!$U$73:$AO$73,(WEEKDAY(DATE(設定!$C$2,設定!$D$2,6),2)-1)*3+3)=0,"休",COUNTIF(V$6:V$45,"曜"))))</f>
        <v/>
      </c>
      <c r="W50" s="77">
        <f>IF(W$4="","",IF(COUNTIF(設定!$W$6:$W$40,DATE(設定!$C$2,設定!$D$2,7))&gt;0,"假",IF(INDEX(設定!$U$73:$AO$73,(WEEKDAY(DATE(設定!$C$2,設定!$D$2,7),2)-1)*3+1)=0,"休",COUNTIF(W$6:W$45,"曜"))))</f>
        <v/>
      </c>
      <c r="X50" s="78">
        <f>IF(X$4="","",IF(COUNTIF(設定!$W$6:$W$40,DATE(設定!$C$2,設定!$D$2,7))&gt;0,"假",IF(INDEX(設定!$U$73:$AO$73,(WEEKDAY(DATE(設定!$C$2,設定!$D$2,7),2)-1)*3+2)=0,"休",COUNTIF(X$6:X$45,"曜"))))</f>
        <v/>
      </c>
      <c r="Y50" s="78">
        <f>IF(Y$4="","",IF(COUNTIF(設定!$W$6:$W$40,DATE(設定!$C$2,設定!$D$2,7))&gt;0,"假",IF(INDEX(設定!$U$73:$AO$73,(WEEKDAY(DATE(設定!$C$2,設定!$D$2,7),2)-1)*3+3)=0,"休",COUNTIF(Y$6:Y$45,"曜"))))</f>
        <v/>
      </c>
      <c r="Z50" s="77">
        <f>IF(Z$4="","",IF(COUNTIF(設定!$W$6:$W$40,DATE(設定!$C$2,設定!$D$2,8))&gt;0,"假",IF(INDEX(設定!$U$73:$AO$73,(WEEKDAY(DATE(設定!$C$2,設定!$D$2,8),2)-1)*3+1)=0,"休",COUNTIF(Z$6:Z$45,"曜"))))</f>
        <v/>
      </c>
      <c r="AA50" s="78">
        <f>IF(AA$4="","",IF(COUNTIF(設定!$W$6:$W$40,DATE(設定!$C$2,設定!$D$2,8))&gt;0,"假",IF(INDEX(設定!$U$73:$AO$73,(WEEKDAY(DATE(設定!$C$2,設定!$D$2,8),2)-1)*3+2)=0,"休",COUNTIF(AA$6:AA$45,"曜"))))</f>
        <v/>
      </c>
      <c r="AB50" s="78">
        <f>IF(AB$4="","",IF(COUNTIF(設定!$W$6:$W$40,DATE(設定!$C$2,設定!$D$2,8))&gt;0,"假",IF(INDEX(設定!$U$73:$AO$73,(WEEKDAY(DATE(設定!$C$2,設定!$D$2,8),2)-1)*3+3)=0,"休",COUNTIF(AB$6:AB$45,"曜"))))</f>
        <v/>
      </c>
      <c r="AC50" s="77">
        <f>IF(AC$4="","",IF(COUNTIF(設定!$W$6:$W$40,DATE(設定!$C$2,設定!$D$2,9))&gt;0,"假",IF(INDEX(設定!$U$73:$AO$73,(WEEKDAY(DATE(設定!$C$2,設定!$D$2,9),2)-1)*3+1)=0,"休",COUNTIF(AC$6:AC$45,"曜"))))</f>
        <v/>
      </c>
      <c r="AD50" s="78">
        <f>IF(AD$4="","",IF(COUNTIF(設定!$W$6:$W$40,DATE(設定!$C$2,設定!$D$2,9))&gt;0,"假",IF(INDEX(設定!$U$73:$AO$73,(WEEKDAY(DATE(設定!$C$2,設定!$D$2,9),2)-1)*3+2)=0,"休",COUNTIF(AD$6:AD$45,"曜"))))</f>
        <v/>
      </c>
      <c r="AE50" s="78">
        <f>IF(AE$4="","",IF(COUNTIF(設定!$W$6:$W$40,DATE(設定!$C$2,設定!$D$2,9))&gt;0,"假",IF(INDEX(設定!$U$73:$AO$73,(WEEKDAY(DATE(設定!$C$2,設定!$D$2,9),2)-1)*3+3)=0,"休",COUNTIF(AE$6:AE$45,"曜"))))</f>
        <v/>
      </c>
      <c r="AF50" s="77">
        <f>IF(AF$4="","",IF(COUNTIF(設定!$W$6:$W$40,DATE(設定!$C$2,設定!$D$2,10))&gt;0,"假",IF(INDEX(設定!$U$73:$AO$73,(WEEKDAY(DATE(設定!$C$2,設定!$D$2,10),2)-1)*3+1)=0,"休",COUNTIF(AF$6:AF$45,"曜"))))</f>
        <v/>
      </c>
      <c r="AG50" s="78">
        <f>IF(AG$4="","",IF(COUNTIF(設定!$W$6:$W$40,DATE(設定!$C$2,設定!$D$2,10))&gt;0,"假",IF(INDEX(設定!$U$73:$AO$73,(WEEKDAY(DATE(設定!$C$2,設定!$D$2,10),2)-1)*3+2)=0,"休",COUNTIF(AG$6:AG$45,"曜"))))</f>
        <v/>
      </c>
      <c r="AH50" s="78">
        <f>IF(AH$4="","",IF(COUNTIF(設定!$W$6:$W$40,DATE(設定!$C$2,設定!$D$2,10))&gt;0,"假",IF(INDEX(設定!$U$73:$AO$73,(WEEKDAY(DATE(設定!$C$2,設定!$D$2,10),2)-1)*3+3)=0,"休",COUNTIF(AH$6:AH$45,"曜"))))</f>
        <v/>
      </c>
      <c r="AI50" s="77">
        <f>IF(AI$4="","",IF(COUNTIF(設定!$W$6:$W$40,DATE(設定!$C$2,設定!$D$2,11))&gt;0,"假",IF(INDEX(設定!$U$73:$AO$73,(WEEKDAY(DATE(設定!$C$2,設定!$D$2,11),2)-1)*3+1)=0,"休",COUNTIF(AI$6:AI$45,"曜"))))</f>
        <v/>
      </c>
      <c r="AJ50" s="78">
        <f>IF(AJ$4="","",IF(COUNTIF(設定!$W$6:$W$40,DATE(設定!$C$2,設定!$D$2,11))&gt;0,"假",IF(INDEX(設定!$U$73:$AO$73,(WEEKDAY(DATE(設定!$C$2,設定!$D$2,11),2)-1)*3+2)=0,"休",COUNTIF(AJ$6:AJ$45,"曜"))))</f>
        <v/>
      </c>
      <c r="AK50" s="78">
        <f>IF(AK$4="","",IF(COUNTIF(設定!$W$6:$W$40,DATE(設定!$C$2,設定!$D$2,11))&gt;0,"假",IF(INDEX(設定!$U$73:$AO$73,(WEEKDAY(DATE(設定!$C$2,設定!$D$2,11),2)-1)*3+3)=0,"休",COUNTIF(AK$6:AK$45,"曜"))))</f>
        <v/>
      </c>
      <c r="AL50" s="77">
        <f>IF(AL$4="","",IF(COUNTIF(設定!$W$6:$W$40,DATE(設定!$C$2,設定!$D$2,12))&gt;0,"假",IF(INDEX(設定!$U$73:$AO$73,(WEEKDAY(DATE(設定!$C$2,設定!$D$2,12),2)-1)*3+1)=0,"休",COUNTIF(AL$6:AL$45,"曜"))))</f>
        <v/>
      </c>
      <c r="AM50" s="78">
        <f>IF(AM$4="","",IF(COUNTIF(設定!$W$6:$W$40,DATE(設定!$C$2,設定!$D$2,12))&gt;0,"假",IF(INDEX(設定!$U$73:$AO$73,(WEEKDAY(DATE(設定!$C$2,設定!$D$2,12),2)-1)*3+2)=0,"休",COUNTIF(AM$6:AM$45,"曜"))))</f>
        <v/>
      </c>
      <c r="AN50" s="78">
        <f>IF(AN$4="","",IF(COUNTIF(設定!$W$6:$W$40,DATE(設定!$C$2,設定!$D$2,12))&gt;0,"假",IF(INDEX(設定!$U$73:$AO$73,(WEEKDAY(DATE(設定!$C$2,設定!$D$2,12),2)-1)*3+3)=0,"休",COUNTIF(AN$6:AN$45,"曜"))))</f>
        <v/>
      </c>
      <c r="AO50" s="77">
        <f>IF(AO$4="","",IF(COUNTIF(設定!$W$6:$W$40,DATE(設定!$C$2,設定!$D$2,13))&gt;0,"假",IF(INDEX(設定!$U$73:$AO$73,(WEEKDAY(DATE(設定!$C$2,設定!$D$2,13),2)-1)*3+1)=0,"休",COUNTIF(AO$6:AO$45,"曜"))))</f>
        <v/>
      </c>
      <c r="AP50" s="78">
        <f>IF(AP$4="","",IF(COUNTIF(設定!$W$6:$W$40,DATE(設定!$C$2,設定!$D$2,13))&gt;0,"假",IF(INDEX(設定!$U$73:$AO$73,(WEEKDAY(DATE(設定!$C$2,設定!$D$2,13),2)-1)*3+2)=0,"休",COUNTIF(AP$6:AP$45,"曜"))))</f>
        <v/>
      </c>
      <c r="AQ50" s="78">
        <f>IF(AQ$4="","",IF(COUNTIF(設定!$W$6:$W$40,DATE(設定!$C$2,設定!$D$2,13))&gt;0,"假",IF(INDEX(設定!$U$73:$AO$73,(WEEKDAY(DATE(設定!$C$2,設定!$D$2,13),2)-1)*3+3)=0,"休",COUNTIF(AQ$6:AQ$45,"曜"))))</f>
        <v/>
      </c>
      <c r="AR50" s="77">
        <f>IF(AR$4="","",IF(COUNTIF(設定!$W$6:$W$40,DATE(設定!$C$2,設定!$D$2,14))&gt;0,"假",IF(INDEX(設定!$U$73:$AO$73,(WEEKDAY(DATE(設定!$C$2,設定!$D$2,14),2)-1)*3+1)=0,"休",COUNTIF(AR$6:AR$45,"曜"))))</f>
        <v/>
      </c>
      <c r="AS50" s="78">
        <f>IF(AS$4="","",IF(COUNTIF(設定!$W$6:$W$40,DATE(設定!$C$2,設定!$D$2,14))&gt;0,"假",IF(INDEX(設定!$U$73:$AO$73,(WEEKDAY(DATE(設定!$C$2,設定!$D$2,14),2)-1)*3+2)=0,"休",COUNTIF(AS$6:AS$45,"曜"))))</f>
        <v/>
      </c>
      <c r="AT50" s="78">
        <f>IF(AT$4="","",IF(COUNTIF(設定!$W$6:$W$40,DATE(設定!$C$2,設定!$D$2,14))&gt;0,"假",IF(INDEX(設定!$U$73:$AO$73,(WEEKDAY(DATE(設定!$C$2,設定!$D$2,14),2)-1)*3+3)=0,"休",COUNTIF(AT$6:AT$45,"曜"))))</f>
        <v/>
      </c>
      <c r="AU50" s="77">
        <f>IF(AU$4="","",IF(COUNTIF(設定!$W$6:$W$40,DATE(設定!$C$2,設定!$D$2,15))&gt;0,"假",IF(INDEX(設定!$U$73:$AO$73,(WEEKDAY(DATE(設定!$C$2,設定!$D$2,15),2)-1)*3+1)=0,"休",COUNTIF(AU$6:AU$45,"曜"))))</f>
        <v/>
      </c>
      <c r="AV50" s="78">
        <f>IF(AV$4="","",IF(COUNTIF(設定!$W$6:$W$40,DATE(設定!$C$2,設定!$D$2,15))&gt;0,"假",IF(INDEX(設定!$U$73:$AO$73,(WEEKDAY(DATE(設定!$C$2,設定!$D$2,15),2)-1)*3+2)=0,"休",COUNTIF(AV$6:AV$45,"曜"))))</f>
        <v/>
      </c>
      <c r="AW50" s="78">
        <f>IF(AW$4="","",IF(COUNTIF(設定!$W$6:$W$40,DATE(設定!$C$2,設定!$D$2,15))&gt;0,"假",IF(INDEX(設定!$U$73:$AO$73,(WEEKDAY(DATE(設定!$C$2,設定!$D$2,15),2)-1)*3+3)=0,"休",COUNTIF(AW$6:AW$45,"曜"))))</f>
        <v/>
      </c>
      <c r="AX50" s="77">
        <f>IF(AX$4="","",IF(COUNTIF(設定!$W$6:$W$40,DATE(設定!$C$2,設定!$D$2,16))&gt;0,"假",IF(INDEX(設定!$U$73:$AO$73,(WEEKDAY(DATE(設定!$C$2,設定!$D$2,16),2)-1)*3+1)=0,"休",COUNTIF(AX$6:AX$45,"曜"))))</f>
        <v/>
      </c>
      <c r="AY50" s="78">
        <f>IF(AY$4="","",IF(COUNTIF(設定!$W$6:$W$40,DATE(設定!$C$2,設定!$D$2,16))&gt;0,"假",IF(INDEX(設定!$U$73:$AO$73,(WEEKDAY(DATE(設定!$C$2,設定!$D$2,16),2)-1)*3+2)=0,"休",COUNTIF(AY$6:AY$45,"曜"))))</f>
        <v/>
      </c>
      <c r="AZ50" s="78">
        <f>IF(AZ$4="","",IF(COUNTIF(設定!$W$6:$W$40,DATE(設定!$C$2,設定!$D$2,16))&gt;0,"假",IF(INDEX(設定!$U$73:$AO$73,(WEEKDAY(DATE(設定!$C$2,設定!$D$2,16),2)-1)*3+3)=0,"休",COUNTIF(AZ$6:AZ$45,"曜"))))</f>
        <v/>
      </c>
      <c r="BA50" s="77">
        <f>IF(BA$4="","",IF(COUNTIF(設定!$W$6:$W$40,DATE(設定!$C$2,設定!$D$2,17))&gt;0,"假",IF(INDEX(設定!$U$73:$AO$73,(WEEKDAY(DATE(設定!$C$2,設定!$D$2,17),2)-1)*3+1)=0,"休",COUNTIF(BA$6:BA$45,"曜"))))</f>
        <v/>
      </c>
      <c r="BB50" s="78">
        <f>IF(BB$4="","",IF(COUNTIF(設定!$W$6:$W$40,DATE(設定!$C$2,設定!$D$2,17))&gt;0,"假",IF(INDEX(設定!$U$73:$AO$73,(WEEKDAY(DATE(設定!$C$2,設定!$D$2,17),2)-1)*3+2)=0,"休",COUNTIF(BB$6:BB$45,"曜"))))</f>
        <v/>
      </c>
      <c r="BC50" s="78">
        <f>IF(BC$4="","",IF(COUNTIF(設定!$W$6:$W$40,DATE(設定!$C$2,設定!$D$2,17))&gt;0,"假",IF(INDEX(設定!$U$73:$AO$73,(WEEKDAY(DATE(設定!$C$2,設定!$D$2,17),2)-1)*3+3)=0,"休",COUNTIF(BC$6:BC$45,"曜"))))</f>
        <v/>
      </c>
      <c r="BD50" s="77">
        <f>IF(BD$4="","",IF(COUNTIF(設定!$W$6:$W$40,DATE(設定!$C$2,設定!$D$2,18))&gt;0,"假",IF(INDEX(設定!$U$73:$AO$73,(WEEKDAY(DATE(設定!$C$2,設定!$D$2,18),2)-1)*3+1)=0,"休",COUNTIF(BD$6:BD$45,"曜"))))</f>
        <v/>
      </c>
      <c r="BE50" s="78">
        <f>IF(BE$4="","",IF(COUNTIF(設定!$W$6:$W$40,DATE(設定!$C$2,設定!$D$2,18))&gt;0,"假",IF(INDEX(設定!$U$73:$AO$73,(WEEKDAY(DATE(設定!$C$2,設定!$D$2,18),2)-1)*3+2)=0,"休",COUNTIF(BE$6:BE$45,"曜"))))</f>
        <v/>
      </c>
      <c r="BF50" s="78">
        <f>IF(BF$4="","",IF(COUNTIF(設定!$W$6:$W$40,DATE(設定!$C$2,設定!$D$2,18))&gt;0,"假",IF(INDEX(設定!$U$73:$AO$73,(WEEKDAY(DATE(設定!$C$2,設定!$D$2,18),2)-1)*3+3)=0,"休",COUNTIF(BF$6:BF$45,"曜"))))</f>
        <v/>
      </c>
      <c r="BG50" s="77">
        <f>IF(BG$4="","",IF(COUNTIF(設定!$W$6:$W$40,DATE(設定!$C$2,設定!$D$2,19))&gt;0,"假",IF(INDEX(設定!$U$73:$AO$73,(WEEKDAY(DATE(設定!$C$2,設定!$D$2,19),2)-1)*3+1)=0,"休",COUNTIF(BG$6:BG$45,"曜"))))</f>
        <v/>
      </c>
      <c r="BH50" s="78">
        <f>IF(BH$4="","",IF(COUNTIF(設定!$W$6:$W$40,DATE(設定!$C$2,設定!$D$2,19))&gt;0,"假",IF(INDEX(設定!$U$73:$AO$73,(WEEKDAY(DATE(設定!$C$2,設定!$D$2,19),2)-1)*3+2)=0,"休",COUNTIF(BH$6:BH$45,"曜"))))</f>
        <v/>
      </c>
      <c r="BI50" s="78">
        <f>IF(BI$4="","",IF(COUNTIF(設定!$W$6:$W$40,DATE(設定!$C$2,設定!$D$2,19))&gt;0,"假",IF(INDEX(設定!$U$73:$AO$73,(WEEKDAY(DATE(設定!$C$2,設定!$D$2,19),2)-1)*3+3)=0,"休",COUNTIF(BI$6:BI$45,"曜"))))</f>
        <v/>
      </c>
      <c r="BJ50" s="77">
        <f>IF(BJ$4="","",IF(COUNTIF(設定!$W$6:$W$40,DATE(設定!$C$2,設定!$D$2,20))&gt;0,"假",IF(INDEX(設定!$U$73:$AO$73,(WEEKDAY(DATE(設定!$C$2,設定!$D$2,20),2)-1)*3+1)=0,"休",COUNTIF(BJ$6:BJ$45,"曜"))))</f>
        <v/>
      </c>
      <c r="BK50" s="78">
        <f>IF(BK$4="","",IF(COUNTIF(設定!$W$6:$W$40,DATE(設定!$C$2,設定!$D$2,20))&gt;0,"假",IF(INDEX(設定!$U$73:$AO$73,(WEEKDAY(DATE(設定!$C$2,設定!$D$2,20),2)-1)*3+2)=0,"休",COUNTIF(BK$6:BK$45,"曜"))))</f>
        <v/>
      </c>
      <c r="BL50" s="78">
        <f>IF(BL$4="","",IF(COUNTIF(設定!$W$6:$W$40,DATE(設定!$C$2,設定!$D$2,20))&gt;0,"假",IF(INDEX(設定!$U$73:$AO$73,(WEEKDAY(DATE(設定!$C$2,設定!$D$2,20),2)-1)*3+3)=0,"休",COUNTIF(BL$6:BL$45,"曜"))))</f>
        <v/>
      </c>
      <c r="BM50" s="77">
        <f>IF(BM$4="","",IF(COUNTIF(設定!$W$6:$W$40,DATE(設定!$C$2,設定!$D$2,21))&gt;0,"假",IF(INDEX(設定!$U$73:$AO$73,(WEEKDAY(DATE(設定!$C$2,設定!$D$2,21),2)-1)*3+1)=0,"休",COUNTIF(BM$6:BM$45,"曜"))))</f>
        <v/>
      </c>
      <c r="BN50" s="78">
        <f>IF(BN$4="","",IF(COUNTIF(設定!$W$6:$W$40,DATE(設定!$C$2,設定!$D$2,21))&gt;0,"假",IF(INDEX(設定!$U$73:$AO$73,(WEEKDAY(DATE(設定!$C$2,設定!$D$2,21),2)-1)*3+2)=0,"休",COUNTIF(BN$6:BN$45,"曜"))))</f>
        <v/>
      </c>
      <c r="BO50" s="78">
        <f>IF(BO$4="","",IF(COUNTIF(設定!$W$6:$W$40,DATE(設定!$C$2,設定!$D$2,21))&gt;0,"假",IF(INDEX(設定!$U$73:$AO$73,(WEEKDAY(DATE(設定!$C$2,設定!$D$2,21),2)-1)*3+3)=0,"休",COUNTIF(BO$6:BO$45,"曜"))))</f>
        <v/>
      </c>
      <c r="BP50" s="77">
        <f>IF(BP$4="","",IF(COUNTIF(設定!$W$6:$W$40,DATE(設定!$C$2,設定!$D$2,22))&gt;0,"假",IF(INDEX(設定!$U$73:$AO$73,(WEEKDAY(DATE(設定!$C$2,設定!$D$2,22),2)-1)*3+1)=0,"休",COUNTIF(BP$6:BP$45,"曜"))))</f>
        <v/>
      </c>
      <c r="BQ50" s="78">
        <f>IF(BQ$4="","",IF(COUNTIF(設定!$W$6:$W$40,DATE(設定!$C$2,設定!$D$2,22))&gt;0,"假",IF(INDEX(設定!$U$73:$AO$73,(WEEKDAY(DATE(設定!$C$2,設定!$D$2,22),2)-1)*3+2)=0,"休",COUNTIF(BQ$6:BQ$45,"曜"))))</f>
        <v/>
      </c>
      <c r="BR50" s="78">
        <f>IF(BR$4="","",IF(COUNTIF(設定!$W$6:$W$40,DATE(設定!$C$2,設定!$D$2,22))&gt;0,"假",IF(INDEX(設定!$U$73:$AO$73,(WEEKDAY(DATE(設定!$C$2,設定!$D$2,22),2)-1)*3+3)=0,"休",COUNTIF(BR$6:BR$45,"曜"))))</f>
        <v/>
      </c>
      <c r="BS50" s="77">
        <f>IF(BS$4="","",IF(COUNTIF(設定!$W$6:$W$40,DATE(設定!$C$2,設定!$D$2,23))&gt;0,"假",IF(INDEX(設定!$U$73:$AO$73,(WEEKDAY(DATE(設定!$C$2,設定!$D$2,23),2)-1)*3+1)=0,"休",COUNTIF(BS$6:BS$45,"曜"))))</f>
        <v/>
      </c>
      <c r="BT50" s="78">
        <f>IF(BT$4="","",IF(COUNTIF(設定!$W$6:$W$40,DATE(設定!$C$2,設定!$D$2,23))&gt;0,"假",IF(INDEX(設定!$U$73:$AO$73,(WEEKDAY(DATE(設定!$C$2,設定!$D$2,23),2)-1)*3+2)=0,"休",COUNTIF(BT$6:BT$45,"曜"))))</f>
        <v/>
      </c>
      <c r="BU50" s="78">
        <f>IF(BU$4="","",IF(COUNTIF(設定!$W$6:$W$40,DATE(設定!$C$2,設定!$D$2,23))&gt;0,"假",IF(INDEX(設定!$U$73:$AO$73,(WEEKDAY(DATE(設定!$C$2,設定!$D$2,23),2)-1)*3+3)=0,"休",COUNTIF(BU$6:BU$45,"曜"))))</f>
        <v/>
      </c>
      <c r="BV50" s="77">
        <f>IF(BV$4="","",IF(COUNTIF(設定!$W$6:$W$40,DATE(設定!$C$2,設定!$D$2,24))&gt;0,"假",IF(INDEX(設定!$U$73:$AO$73,(WEEKDAY(DATE(設定!$C$2,設定!$D$2,24),2)-1)*3+1)=0,"休",COUNTIF(BV$6:BV$45,"曜"))))</f>
        <v/>
      </c>
      <c r="BW50" s="78">
        <f>IF(BW$4="","",IF(COUNTIF(設定!$W$6:$W$40,DATE(設定!$C$2,設定!$D$2,24))&gt;0,"假",IF(INDEX(設定!$U$73:$AO$73,(WEEKDAY(DATE(設定!$C$2,設定!$D$2,24),2)-1)*3+2)=0,"休",COUNTIF(BW$6:BW$45,"曜"))))</f>
        <v/>
      </c>
      <c r="BX50" s="78">
        <f>IF(BX$4="","",IF(COUNTIF(設定!$W$6:$W$40,DATE(設定!$C$2,設定!$D$2,24))&gt;0,"假",IF(INDEX(設定!$U$73:$AO$73,(WEEKDAY(DATE(設定!$C$2,設定!$D$2,24),2)-1)*3+3)=0,"休",COUNTIF(BX$6:BX$45,"曜"))))</f>
        <v/>
      </c>
      <c r="BY50" s="77">
        <f>IF(BY$4="","",IF(COUNTIF(設定!$W$6:$W$40,DATE(設定!$C$2,設定!$D$2,25))&gt;0,"假",IF(INDEX(設定!$U$73:$AO$73,(WEEKDAY(DATE(設定!$C$2,設定!$D$2,25),2)-1)*3+1)=0,"休",COUNTIF(BY$6:BY$45,"曜"))))</f>
        <v/>
      </c>
      <c r="BZ50" s="78">
        <f>IF(BZ$4="","",IF(COUNTIF(設定!$W$6:$W$40,DATE(設定!$C$2,設定!$D$2,25))&gt;0,"假",IF(INDEX(設定!$U$73:$AO$73,(WEEKDAY(DATE(設定!$C$2,設定!$D$2,25),2)-1)*3+2)=0,"休",COUNTIF(BZ$6:BZ$45,"曜"))))</f>
        <v/>
      </c>
      <c r="CA50" s="78">
        <f>IF(CA$4="","",IF(COUNTIF(設定!$W$6:$W$40,DATE(設定!$C$2,設定!$D$2,25))&gt;0,"假",IF(INDEX(設定!$U$73:$AO$73,(WEEKDAY(DATE(設定!$C$2,設定!$D$2,25),2)-1)*3+3)=0,"休",COUNTIF(CA$6:CA$45,"曜"))))</f>
        <v/>
      </c>
      <c r="CB50" s="77">
        <f>IF(CB$4="","",IF(COUNTIF(設定!$W$6:$W$40,DATE(設定!$C$2,設定!$D$2,26))&gt;0,"假",IF(INDEX(設定!$U$73:$AO$73,(WEEKDAY(DATE(設定!$C$2,設定!$D$2,26),2)-1)*3+1)=0,"休",COUNTIF(CB$6:CB$45,"曜"))))</f>
        <v/>
      </c>
      <c r="CC50" s="78">
        <f>IF(CC$4="","",IF(COUNTIF(設定!$W$6:$W$40,DATE(設定!$C$2,設定!$D$2,26))&gt;0,"假",IF(INDEX(設定!$U$73:$AO$73,(WEEKDAY(DATE(設定!$C$2,設定!$D$2,26),2)-1)*3+2)=0,"休",COUNTIF(CC$6:CC$45,"曜"))))</f>
        <v/>
      </c>
      <c r="CD50" s="78">
        <f>IF(CD$4="","",IF(COUNTIF(設定!$W$6:$W$40,DATE(設定!$C$2,設定!$D$2,26))&gt;0,"假",IF(INDEX(設定!$U$73:$AO$73,(WEEKDAY(DATE(設定!$C$2,設定!$D$2,26),2)-1)*3+3)=0,"休",COUNTIF(CD$6:CD$45,"曜"))))</f>
        <v/>
      </c>
      <c r="CE50" s="77">
        <f>IF(CE$4="","",IF(COUNTIF(設定!$W$6:$W$40,DATE(設定!$C$2,設定!$D$2,27))&gt;0,"假",IF(INDEX(設定!$U$73:$AO$73,(WEEKDAY(DATE(設定!$C$2,設定!$D$2,27),2)-1)*3+1)=0,"休",COUNTIF(CE$6:CE$45,"曜"))))</f>
        <v/>
      </c>
      <c r="CF50" s="78">
        <f>IF(CF$4="","",IF(COUNTIF(設定!$W$6:$W$40,DATE(設定!$C$2,設定!$D$2,27))&gt;0,"假",IF(INDEX(設定!$U$73:$AO$73,(WEEKDAY(DATE(設定!$C$2,設定!$D$2,27),2)-1)*3+2)=0,"休",COUNTIF(CF$6:CF$45,"曜"))))</f>
        <v/>
      </c>
      <c r="CG50" s="78">
        <f>IF(CG$4="","",IF(COUNTIF(設定!$W$6:$W$40,DATE(設定!$C$2,設定!$D$2,27))&gt;0,"假",IF(INDEX(設定!$U$73:$AO$73,(WEEKDAY(DATE(設定!$C$2,設定!$D$2,27),2)-1)*3+3)=0,"休",COUNTIF(CG$6:CG$45,"曜"))))</f>
        <v/>
      </c>
      <c r="CH50" s="77">
        <f>IF(CH$4="","",IF(COUNTIF(設定!$W$6:$W$40,DATE(設定!$C$2,設定!$D$2,28))&gt;0,"假",IF(INDEX(設定!$U$73:$AO$73,(WEEKDAY(DATE(設定!$C$2,設定!$D$2,28),2)-1)*3+1)=0,"休",COUNTIF(CH$6:CH$45,"曜"))))</f>
        <v/>
      </c>
      <c r="CI50" s="78">
        <f>IF(CI$4="","",IF(COUNTIF(設定!$W$6:$W$40,DATE(設定!$C$2,設定!$D$2,28))&gt;0,"假",IF(INDEX(設定!$U$73:$AO$73,(WEEKDAY(DATE(設定!$C$2,設定!$D$2,28),2)-1)*3+2)=0,"休",COUNTIF(CI$6:CI$45,"曜"))))</f>
        <v/>
      </c>
      <c r="CJ50" s="78">
        <f>IF(CJ$4="","",IF(COUNTIF(設定!$W$6:$W$40,DATE(設定!$C$2,設定!$D$2,28))&gt;0,"假",IF(INDEX(設定!$U$73:$AO$73,(WEEKDAY(DATE(設定!$C$2,設定!$D$2,28),2)-1)*3+3)=0,"休",COUNTIF(CJ$6:CJ$45,"曜"))))</f>
        <v/>
      </c>
      <c r="CK50" s="77">
        <f>IF(CK$4="","",IF(COUNTIF(設定!$W$6:$W$40,DATE(設定!$C$2,設定!$D$2,29))&gt;0,"假",IF(INDEX(設定!$U$73:$AO$73,(WEEKDAY(DATE(設定!$C$2,設定!$D$2,29),2)-1)*3+1)=0,"休",COUNTIF(CK$6:CK$45,"曜"))))</f>
        <v/>
      </c>
      <c r="CL50" s="78">
        <f>IF(CL$4="","",IF(COUNTIF(設定!$W$6:$W$40,DATE(設定!$C$2,設定!$D$2,29))&gt;0,"假",IF(INDEX(設定!$U$73:$AO$73,(WEEKDAY(DATE(設定!$C$2,設定!$D$2,29),2)-1)*3+2)=0,"休",COUNTIF(CL$6:CL$45,"曜"))))</f>
        <v/>
      </c>
      <c r="CM50" s="78">
        <f>IF(CM$4="","",IF(COUNTIF(設定!$W$6:$W$40,DATE(設定!$C$2,設定!$D$2,29))&gt;0,"假",IF(INDEX(設定!$U$73:$AO$73,(WEEKDAY(DATE(設定!$C$2,設定!$D$2,29),2)-1)*3+3)=0,"休",COUNTIF(CM$6:CM$45,"曜"))))</f>
        <v/>
      </c>
      <c r="CN50" s="77">
        <f>IF(CN$4="","",IF(COUNTIF(設定!$W$6:$W$40,DATE(設定!$C$2,設定!$D$2,30))&gt;0,"假",IF(INDEX(設定!$U$73:$AO$73,(WEEKDAY(DATE(設定!$C$2,設定!$D$2,30),2)-1)*3+1)=0,"休",COUNTIF(CN$6:CN$45,"曜"))))</f>
        <v/>
      </c>
      <c r="CO50" s="78">
        <f>IF(CO$4="","",IF(COUNTIF(設定!$W$6:$W$40,DATE(設定!$C$2,設定!$D$2,30))&gt;0,"假",IF(INDEX(設定!$U$73:$AO$73,(WEEKDAY(DATE(設定!$C$2,設定!$D$2,30),2)-1)*3+2)=0,"休",COUNTIF(CO$6:CO$45,"曜"))))</f>
        <v/>
      </c>
      <c r="CP50" s="78">
        <f>IF(CP$4="","",IF(COUNTIF(設定!$W$6:$W$40,DATE(設定!$C$2,設定!$D$2,30))&gt;0,"假",IF(INDEX(設定!$U$73:$AO$73,(WEEKDAY(DATE(設定!$C$2,設定!$D$2,30),2)-1)*3+3)=0,"休",COUNTIF(CP$6:CP$45,"曜"))))</f>
        <v/>
      </c>
      <c r="CQ50" s="77">
        <f>IF(CQ$4="","",IF(COUNTIF(設定!$W$6:$W$40,DATE(設定!$C$2,設定!$D$2,31))&gt;0,"假",IF(INDEX(設定!$U$73:$AO$73,(WEEKDAY(DATE(設定!$C$2,設定!$D$2,31),2)-1)*3+1)=0,"休",COUNTIF(CQ$6:CQ$45,"曜"))))</f>
        <v/>
      </c>
      <c r="CR50" s="78">
        <f>IF(CR$4="","",IF(COUNTIF(設定!$W$6:$W$40,DATE(設定!$C$2,設定!$D$2,31))&gt;0,"假",IF(INDEX(設定!$U$73:$AO$73,(WEEKDAY(DATE(設定!$C$2,設定!$D$2,31),2)-1)*3+2)=0,"休",COUNTIF(CR$6:CR$45,"曜"))))</f>
        <v/>
      </c>
      <c r="CS50" s="78">
        <f>IF(CS$4="","",IF(COUNTIF(設定!$W$6:$W$40,DATE(設定!$C$2,設定!$D$2,31))&gt;0,"假",IF(INDEX(設定!$U$73:$AO$73,(WEEKDAY(DATE(設定!$C$2,設定!$D$2,31),2)-1)*3+3)=0,"休",COUNTIF(CS$6:CS$45,"曜"))))</f>
        <v/>
      </c>
    </row>
    <row r="51">
      <c r="A51" s="82" t="inlineStr">
        <is>
          <t>寶 寶貝牙</t>
        </is>
      </c>
      <c r="B51" s="8" t="n"/>
      <c r="C51" s="8" t="n"/>
      <c r="D51" s="9" t="n"/>
      <c r="E51" s="77">
        <f>IF(E$4="","",IF(COUNTIF(設定!$W$6:$W$40,DATE(設定!$C$2,設定!$D$2,1))&gt;0,"假",IF(INDEX(設定!$U$74:$AO$74,(WEEKDAY(DATE(設定!$C$2,設定!$D$2,1),2)-1)*3+1)=0,"休",COUNTIF(E$6:E$45,"寶"))))</f>
        <v/>
      </c>
      <c r="F51" s="78">
        <f>IF(F$4="","",IF(COUNTIF(設定!$W$6:$W$40,DATE(設定!$C$2,設定!$D$2,1))&gt;0,"假",IF(INDEX(設定!$U$74:$AO$74,(WEEKDAY(DATE(設定!$C$2,設定!$D$2,1),2)-1)*3+2)=0,"休",COUNTIF(F$6:F$45,"寶"))))</f>
        <v/>
      </c>
      <c r="G51" s="78">
        <f>IF(G$4="","",IF(COUNTIF(設定!$W$6:$W$40,DATE(設定!$C$2,設定!$D$2,1))&gt;0,"假",IF(INDEX(設定!$U$74:$AO$74,(WEEKDAY(DATE(設定!$C$2,設定!$D$2,1),2)-1)*3+3)=0,"休",COUNTIF(G$6:G$45,"寶"))))</f>
        <v/>
      </c>
      <c r="H51" s="77">
        <f>IF(H$4="","",IF(COUNTIF(設定!$W$6:$W$40,DATE(設定!$C$2,設定!$D$2,2))&gt;0,"假",IF(INDEX(設定!$U$74:$AO$74,(WEEKDAY(DATE(設定!$C$2,設定!$D$2,2),2)-1)*3+1)=0,"休",COUNTIF(H$6:H$45,"寶"))))</f>
        <v/>
      </c>
      <c r="I51" s="78">
        <f>IF(I$4="","",IF(COUNTIF(設定!$W$6:$W$40,DATE(設定!$C$2,設定!$D$2,2))&gt;0,"假",IF(INDEX(設定!$U$74:$AO$74,(WEEKDAY(DATE(設定!$C$2,設定!$D$2,2),2)-1)*3+2)=0,"休",COUNTIF(I$6:I$45,"寶"))))</f>
        <v/>
      </c>
      <c r="J51" s="78">
        <f>IF(J$4="","",IF(COUNTIF(設定!$W$6:$W$40,DATE(設定!$C$2,設定!$D$2,2))&gt;0,"假",IF(INDEX(設定!$U$74:$AO$74,(WEEKDAY(DATE(設定!$C$2,設定!$D$2,2),2)-1)*3+3)=0,"休",COUNTIF(J$6:J$45,"寶"))))</f>
        <v/>
      </c>
      <c r="K51" s="77">
        <f>IF(K$4="","",IF(COUNTIF(設定!$W$6:$W$40,DATE(設定!$C$2,設定!$D$2,3))&gt;0,"假",IF(INDEX(設定!$U$74:$AO$74,(WEEKDAY(DATE(設定!$C$2,設定!$D$2,3),2)-1)*3+1)=0,"休",COUNTIF(K$6:K$45,"寶"))))</f>
        <v/>
      </c>
      <c r="L51" s="78">
        <f>IF(L$4="","",IF(COUNTIF(設定!$W$6:$W$40,DATE(設定!$C$2,設定!$D$2,3))&gt;0,"假",IF(INDEX(設定!$U$74:$AO$74,(WEEKDAY(DATE(設定!$C$2,設定!$D$2,3),2)-1)*3+2)=0,"休",COUNTIF(L$6:L$45,"寶"))))</f>
        <v/>
      </c>
      <c r="M51" s="78">
        <f>IF(M$4="","",IF(COUNTIF(設定!$W$6:$W$40,DATE(設定!$C$2,設定!$D$2,3))&gt;0,"假",IF(INDEX(設定!$U$74:$AO$74,(WEEKDAY(DATE(設定!$C$2,設定!$D$2,3),2)-1)*3+3)=0,"休",COUNTIF(M$6:M$45,"寶"))))</f>
        <v/>
      </c>
      <c r="N51" s="77">
        <f>IF(N$4="","",IF(COUNTIF(設定!$W$6:$W$40,DATE(設定!$C$2,設定!$D$2,4))&gt;0,"假",IF(INDEX(設定!$U$74:$AO$74,(WEEKDAY(DATE(設定!$C$2,設定!$D$2,4),2)-1)*3+1)=0,"休",COUNTIF(N$6:N$45,"寶"))))</f>
        <v/>
      </c>
      <c r="O51" s="78">
        <f>IF(O$4="","",IF(COUNTIF(設定!$W$6:$W$40,DATE(設定!$C$2,設定!$D$2,4))&gt;0,"假",IF(INDEX(設定!$U$74:$AO$74,(WEEKDAY(DATE(設定!$C$2,設定!$D$2,4),2)-1)*3+2)=0,"休",COUNTIF(O$6:O$45,"寶"))))</f>
        <v/>
      </c>
      <c r="P51" s="78">
        <f>IF(P$4="","",IF(COUNTIF(設定!$W$6:$W$40,DATE(設定!$C$2,設定!$D$2,4))&gt;0,"假",IF(INDEX(設定!$U$74:$AO$74,(WEEKDAY(DATE(設定!$C$2,設定!$D$2,4),2)-1)*3+3)=0,"休",COUNTIF(P$6:P$45,"寶"))))</f>
        <v/>
      </c>
      <c r="Q51" s="77">
        <f>IF(Q$4="","",IF(COUNTIF(設定!$W$6:$W$40,DATE(設定!$C$2,設定!$D$2,5))&gt;0,"假",IF(INDEX(設定!$U$74:$AO$74,(WEEKDAY(DATE(設定!$C$2,設定!$D$2,5),2)-1)*3+1)=0,"休",COUNTIF(Q$6:Q$45,"寶"))))</f>
        <v/>
      </c>
      <c r="R51" s="78">
        <f>IF(R$4="","",IF(COUNTIF(設定!$W$6:$W$40,DATE(設定!$C$2,設定!$D$2,5))&gt;0,"假",IF(INDEX(設定!$U$74:$AO$74,(WEEKDAY(DATE(設定!$C$2,設定!$D$2,5),2)-1)*3+2)=0,"休",COUNTIF(R$6:R$45,"寶"))))</f>
        <v/>
      </c>
      <c r="S51" s="78">
        <f>IF(S$4="","",IF(COUNTIF(設定!$W$6:$W$40,DATE(設定!$C$2,設定!$D$2,5))&gt;0,"假",IF(INDEX(設定!$U$74:$AO$74,(WEEKDAY(DATE(設定!$C$2,設定!$D$2,5),2)-1)*3+3)=0,"休",COUNTIF(S$6:S$45,"寶"))))</f>
        <v/>
      </c>
      <c r="T51" s="77">
        <f>IF(T$4="","",IF(COUNTIF(設定!$W$6:$W$40,DATE(設定!$C$2,設定!$D$2,6))&gt;0,"假",IF(INDEX(設定!$U$74:$AO$74,(WEEKDAY(DATE(設定!$C$2,設定!$D$2,6),2)-1)*3+1)=0,"休",COUNTIF(T$6:T$45,"寶"))))</f>
        <v/>
      </c>
      <c r="U51" s="78">
        <f>IF(U$4="","",IF(COUNTIF(設定!$W$6:$W$40,DATE(設定!$C$2,設定!$D$2,6))&gt;0,"假",IF(INDEX(設定!$U$74:$AO$74,(WEEKDAY(DATE(設定!$C$2,設定!$D$2,6),2)-1)*3+2)=0,"休",COUNTIF(U$6:U$45,"寶"))))</f>
        <v/>
      </c>
      <c r="V51" s="78">
        <f>IF(V$4="","",IF(COUNTIF(設定!$W$6:$W$40,DATE(設定!$C$2,設定!$D$2,6))&gt;0,"假",IF(INDEX(設定!$U$74:$AO$74,(WEEKDAY(DATE(設定!$C$2,設定!$D$2,6),2)-1)*3+3)=0,"休",COUNTIF(V$6:V$45,"寶"))))</f>
        <v/>
      </c>
      <c r="W51" s="77">
        <f>IF(W$4="","",IF(COUNTIF(設定!$W$6:$W$40,DATE(設定!$C$2,設定!$D$2,7))&gt;0,"假",IF(INDEX(設定!$U$74:$AO$74,(WEEKDAY(DATE(設定!$C$2,設定!$D$2,7),2)-1)*3+1)=0,"休",COUNTIF(W$6:W$45,"寶"))))</f>
        <v/>
      </c>
      <c r="X51" s="78">
        <f>IF(X$4="","",IF(COUNTIF(設定!$W$6:$W$40,DATE(設定!$C$2,設定!$D$2,7))&gt;0,"假",IF(INDEX(設定!$U$74:$AO$74,(WEEKDAY(DATE(設定!$C$2,設定!$D$2,7),2)-1)*3+2)=0,"休",COUNTIF(X$6:X$45,"寶"))))</f>
        <v/>
      </c>
      <c r="Y51" s="78">
        <f>IF(Y$4="","",IF(COUNTIF(設定!$W$6:$W$40,DATE(設定!$C$2,設定!$D$2,7))&gt;0,"假",IF(INDEX(設定!$U$74:$AO$74,(WEEKDAY(DATE(設定!$C$2,設定!$D$2,7),2)-1)*3+3)=0,"休",COUNTIF(Y$6:Y$45,"寶"))))</f>
        <v/>
      </c>
      <c r="Z51" s="77">
        <f>IF(Z$4="","",IF(COUNTIF(設定!$W$6:$W$40,DATE(設定!$C$2,設定!$D$2,8))&gt;0,"假",IF(INDEX(設定!$U$74:$AO$74,(WEEKDAY(DATE(設定!$C$2,設定!$D$2,8),2)-1)*3+1)=0,"休",COUNTIF(Z$6:Z$45,"寶"))))</f>
        <v/>
      </c>
      <c r="AA51" s="78">
        <f>IF(AA$4="","",IF(COUNTIF(設定!$W$6:$W$40,DATE(設定!$C$2,設定!$D$2,8))&gt;0,"假",IF(INDEX(設定!$U$74:$AO$74,(WEEKDAY(DATE(設定!$C$2,設定!$D$2,8),2)-1)*3+2)=0,"休",COUNTIF(AA$6:AA$45,"寶"))))</f>
        <v/>
      </c>
      <c r="AB51" s="78">
        <f>IF(AB$4="","",IF(COUNTIF(設定!$W$6:$W$40,DATE(設定!$C$2,設定!$D$2,8))&gt;0,"假",IF(INDEX(設定!$U$74:$AO$74,(WEEKDAY(DATE(設定!$C$2,設定!$D$2,8),2)-1)*3+3)=0,"休",COUNTIF(AB$6:AB$45,"寶"))))</f>
        <v/>
      </c>
      <c r="AC51" s="77">
        <f>IF(AC$4="","",IF(COUNTIF(設定!$W$6:$W$40,DATE(設定!$C$2,設定!$D$2,9))&gt;0,"假",IF(INDEX(設定!$U$74:$AO$74,(WEEKDAY(DATE(設定!$C$2,設定!$D$2,9),2)-1)*3+1)=0,"休",COUNTIF(AC$6:AC$45,"寶"))))</f>
        <v/>
      </c>
      <c r="AD51" s="78">
        <f>IF(AD$4="","",IF(COUNTIF(設定!$W$6:$W$40,DATE(設定!$C$2,設定!$D$2,9))&gt;0,"假",IF(INDEX(設定!$U$74:$AO$74,(WEEKDAY(DATE(設定!$C$2,設定!$D$2,9),2)-1)*3+2)=0,"休",COUNTIF(AD$6:AD$45,"寶"))))</f>
        <v/>
      </c>
      <c r="AE51" s="78">
        <f>IF(AE$4="","",IF(COUNTIF(設定!$W$6:$W$40,DATE(設定!$C$2,設定!$D$2,9))&gt;0,"假",IF(INDEX(設定!$U$74:$AO$74,(WEEKDAY(DATE(設定!$C$2,設定!$D$2,9),2)-1)*3+3)=0,"休",COUNTIF(AE$6:AE$45,"寶"))))</f>
        <v/>
      </c>
      <c r="AF51" s="77">
        <f>IF(AF$4="","",IF(COUNTIF(設定!$W$6:$W$40,DATE(設定!$C$2,設定!$D$2,10))&gt;0,"假",IF(INDEX(設定!$U$74:$AO$74,(WEEKDAY(DATE(設定!$C$2,設定!$D$2,10),2)-1)*3+1)=0,"休",COUNTIF(AF$6:AF$45,"寶"))))</f>
        <v/>
      </c>
      <c r="AG51" s="78">
        <f>IF(AG$4="","",IF(COUNTIF(設定!$W$6:$W$40,DATE(設定!$C$2,設定!$D$2,10))&gt;0,"假",IF(INDEX(設定!$U$74:$AO$74,(WEEKDAY(DATE(設定!$C$2,設定!$D$2,10),2)-1)*3+2)=0,"休",COUNTIF(AG$6:AG$45,"寶"))))</f>
        <v/>
      </c>
      <c r="AH51" s="78">
        <f>IF(AH$4="","",IF(COUNTIF(設定!$W$6:$W$40,DATE(設定!$C$2,設定!$D$2,10))&gt;0,"假",IF(INDEX(設定!$U$74:$AO$74,(WEEKDAY(DATE(設定!$C$2,設定!$D$2,10),2)-1)*3+3)=0,"休",COUNTIF(AH$6:AH$45,"寶"))))</f>
        <v/>
      </c>
      <c r="AI51" s="77">
        <f>IF(AI$4="","",IF(COUNTIF(設定!$W$6:$W$40,DATE(設定!$C$2,設定!$D$2,11))&gt;0,"假",IF(INDEX(設定!$U$74:$AO$74,(WEEKDAY(DATE(設定!$C$2,設定!$D$2,11),2)-1)*3+1)=0,"休",COUNTIF(AI$6:AI$45,"寶"))))</f>
        <v/>
      </c>
      <c r="AJ51" s="78">
        <f>IF(AJ$4="","",IF(COUNTIF(設定!$W$6:$W$40,DATE(設定!$C$2,設定!$D$2,11))&gt;0,"假",IF(INDEX(設定!$U$74:$AO$74,(WEEKDAY(DATE(設定!$C$2,設定!$D$2,11),2)-1)*3+2)=0,"休",COUNTIF(AJ$6:AJ$45,"寶"))))</f>
        <v/>
      </c>
      <c r="AK51" s="78">
        <f>IF(AK$4="","",IF(COUNTIF(設定!$W$6:$W$40,DATE(設定!$C$2,設定!$D$2,11))&gt;0,"假",IF(INDEX(設定!$U$74:$AO$74,(WEEKDAY(DATE(設定!$C$2,設定!$D$2,11),2)-1)*3+3)=0,"休",COUNTIF(AK$6:AK$45,"寶"))))</f>
        <v/>
      </c>
      <c r="AL51" s="77">
        <f>IF(AL$4="","",IF(COUNTIF(設定!$W$6:$W$40,DATE(設定!$C$2,設定!$D$2,12))&gt;0,"假",IF(INDEX(設定!$U$74:$AO$74,(WEEKDAY(DATE(設定!$C$2,設定!$D$2,12),2)-1)*3+1)=0,"休",COUNTIF(AL$6:AL$45,"寶"))))</f>
        <v/>
      </c>
      <c r="AM51" s="78">
        <f>IF(AM$4="","",IF(COUNTIF(設定!$W$6:$W$40,DATE(設定!$C$2,設定!$D$2,12))&gt;0,"假",IF(INDEX(設定!$U$74:$AO$74,(WEEKDAY(DATE(設定!$C$2,設定!$D$2,12),2)-1)*3+2)=0,"休",COUNTIF(AM$6:AM$45,"寶"))))</f>
        <v/>
      </c>
      <c r="AN51" s="78">
        <f>IF(AN$4="","",IF(COUNTIF(設定!$W$6:$W$40,DATE(設定!$C$2,設定!$D$2,12))&gt;0,"假",IF(INDEX(設定!$U$74:$AO$74,(WEEKDAY(DATE(設定!$C$2,設定!$D$2,12),2)-1)*3+3)=0,"休",COUNTIF(AN$6:AN$45,"寶"))))</f>
        <v/>
      </c>
      <c r="AO51" s="77">
        <f>IF(AO$4="","",IF(COUNTIF(設定!$W$6:$W$40,DATE(設定!$C$2,設定!$D$2,13))&gt;0,"假",IF(INDEX(設定!$U$74:$AO$74,(WEEKDAY(DATE(設定!$C$2,設定!$D$2,13),2)-1)*3+1)=0,"休",COUNTIF(AO$6:AO$45,"寶"))))</f>
        <v/>
      </c>
      <c r="AP51" s="78">
        <f>IF(AP$4="","",IF(COUNTIF(設定!$W$6:$W$40,DATE(設定!$C$2,設定!$D$2,13))&gt;0,"假",IF(INDEX(設定!$U$74:$AO$74,(WEEKDAY(DATE(設定!$C$2,設定!$D$2,13),2)-1)*3+2)=0,"休",COUNTIF(AP$6:AP$45,"寶"))))</f>
        <v/>
      </c>
      <c r="AQ51" s="78">
        <f>IF(AQ$4="","",IF(COUNTIF(設定!$W$6:$W$40,DATE(設定!$C$2,設定!$D$2,13))&gt;0,"假",IF(INDEX(設定!$U$74:$AO$74,(WEEKDAY(DATE(設定!$C$2,設定!$D$2,13),2)-1)*3+3)=0,"休",COUNTIF(AQ$6:AQ$45,"寶"))))</f>
        <v/>
      </c>
      <c r="AR51" s="77">
        <f>IF(AR$4="","",IF(COUNTIF(設定!$W$6:$W$40,DATE(設定!$C$2,設定!$D$2,14))&gt;0,"假",IF(INDEX(設定!$U$74:$AO$74,(WEEKDAY(DATE(設定!$C$2,設定!$D$2,14),2)-1)*3+1)=0,"休",COUNTIF(AR$6:AR$45,"寶"))))</f>
        <v/>
      </c>
      <c r="AS51" s="78">
        <f>IF(AS$4="","",IF(COUNTIF(設定!$W$6:$W$40,DATE(設定!$C$2,設定!$D$2,14))&gt;0,"假",IF(INDEX(設定!$U$74:$AO$74,(WEEKDAY(DATE(設定!$C$2,設定!$D$2,14),2)-1)*3+2)=0,"休",COUNTIF(AS$6:AS$45,"寶"))))</f>
        <v/>
      </c>
      <c r="AT51" s="78">
        <f>IF(AT$4="","",IF(COUNTIF(設定!$W$6:$W$40,DATE(設定!$C$2,設定!$D$2,14))&gt;0,"假",IF(INDEX(設定!$U$74:$AO$74,(WEEKDAY(DATE(設定!$C$2,設定!$D$2,14),2)-1)*3+3)=0,"休",COUNTIF(AT$6:AT$45,"寶"))))</f>
        <v/>
      </c>
      <c r="AU51" s="77">
        <f>IF(AU$4="","",IF(COUNTIF(設定!$W$6:$W$40,DATE(設定!$C$2,設定!$D$2,15))&gt;0,"假",IF(INDEX(設定!$U$74:$AO$74,(WEEKDAY(DATE(設定!$C$2,設定!$D$2,15),2)-1)*3+1)=0,"休",COUNTIF(AU$6:AU$45,"寶"))))</f>
        <v/>
      </c>
      <c r="AV51" s="78">
        <f>IF(AV$4="","",IF(COUNTIF(設定!$W$6:$W$40,DATE(設定!$C$2,設定!$D$2,15))&gt;0,"假",IF(INDEX(設定!$U$74:$AO$74,(WEEKDAY(DATE(設定!$C$2,設定!$D$2,15),2)-1)*3+2)=0,"休",COUNTIF(AV$6:AV$45,"寶"))))</f>
        <v/>
      </c>
      <c r="AW51" s="78">
        <f>IF(AW$4="","",IF(COUNTIF(設定!$W$6:$W$40,DATE(設定!$C$2,設定!$D$2,15))&gt;0,"假",IF(INDEX(設定!$U$74:$AO$74,(WEEKDAY(DATE(設定!$C$2,設定!$D$2,15),2)-1)*3+3)=0,"休",COUNTIF(AW$6:AW$45,"寶"))))</f>
        <v/>
      </c>
      <c r="AX51" s="77">
        <f>IF(AX$4="","",IF(COUNTIF(設定!$W$6:$W$40,DATE(設定!$C$2,設定!$D$2,16))&gt;0,"假",IF(INDEX(設定!$U$74:$AO$74,(WEEKDAY(DATE(設定!$C$2,設定!$D$2,16),2)-1)*3+1)=0,"休",COUNTIF(AX$6:AX$45,"寶"))))</f>
        <v/>
      </c>
      <c r="AY51" s="78">
        <f>IF(AY$4="","",IF(COUNTIF(設定!$W$6:$W$40,DATE(設定!$C$2,設定!$D$2,16))&gt;0,"假",IF(INDEX(設定!$U$74:$AO$74,(WEEKDAY(DATE(設定!$C$2,設定!$D$2,16),2)-1)*3+2)=0,"休",COUNTIF(AY$6:AY$45,"寶"))))</f>
        <v/>
      </c>
      <c r="AZ51" s="78">
        <f>IF(AZ$4="","",IF(COUNTIF(設定!$W$6:$W$40,DATE(設定!$C$2,設定!$D$2,16))&gt;0,"假",IF(INDEX(設定!$U$74:$AO$74,(WEEKDAY(DATE(設定!$C$2,設定!$D$2,16),2)-1)*3+3)=0,"休",COUNTIF(AZ$6:AZ$45,"寶"))))</f>
        <v/>
      </c>
      <c r="BA51" s="77">
        <f>IF(BA$4="","",IF(COUNTIF(設定!$W$6:$W$40,DATE(設定!$C$2,設定!$D$2,17))&gt;0,"假",IF(INDEX(設定!$U$74:$AO$74,(WEEKDAY(DATE(設定!$C$2,設定!$D$2,17),2)-1)*3+1)=0,"休",COUNTIF(BA$6:BA$45,"寶"))))</f>
        <v/>
      </c>
      <c r="BB51" s="78">
        <f>IF(BB$4="","",IF(COUNTIF(設定!$W$6:$W$40,DATE(設定!$C$2,設定!$D$2,17))&gt;0,"假",IF(INDEX(設定!$U$74:$AO$74,(WEEKDAY(DATE(設定!$C$2,設定!$D$2,17),2)-1)*3+2)=0,"休",COUNTIF(BB$6:BB$45,"寶"))))</f>
        <v/>
      </c>
      <c r="BC51" s="78">
        <f>IF(BC$4="","",IF(COUNTIF(設定!$W$6:$W$40,DATE(設定!$C$2,設定!$D$2,17))&gt;0,"假",IF(INDEX(設定!$U$74:$AO$74,(WEEKDAY(DATE(設定!$C$2,設定!$D$2,17),2)-1)*3+3)=0,"休",COUNTIF(BC$6:BC$45,"寶"))))</f>
        <v/>
      </c>
      <c r="BD51" s="77">
        <f>IF(BD$4="","",IF(COUNTIF(設定!$W$6:$W$40,DATE(設定!$C$2,設定!$D$2,18))&gt;0,"假",IF(INDEX(設定!$U$74:$AO$74,(WEEKDAY(DATE(設定!$C$2,設定!$D$2,18),2)-1)*3+1)=0,"休",COUNTIF(BD$6:BD$45,"寶"))))</f>
        <v/>
      </c>
      <c r="BE51" s="78">
        <f>IF(BE$4="","",IF(COUNTIF(設定!$W$6:$W$40,DATE(設定!$C$2,設定!$D$2,18))&gt;0,"假",IF(INDEX(設定!$U$74:$AO$74,(WEEKDAY(DATE(設定!$C$2,設定!$D$2,18),2)-1)*3+2)=0,"休",COUNTIF(BE$6:BE$45,"寶"))))</f>
        <v/>
      </c>
      <c r="BF51" s="78">
        <f>IF(BF$4="","",IF(COUNTIF(設定!$W$6:$W$40,DATE(設定!$C$2,設定!$D$2,18))&gt;0,"假",IF(INDEX(設定!$U$74:$AO$74,(WEEKDAY(DATE(設定!$C$2,設定!$D$2,18),2)-1)*3+3)=0,"休",COUNTIF(BF$6:BF$45,"寶"))))</f>
        <v/>
      </c>
      <c r="BG51" s="77">
        <f>IF(BG$4="","",IF(COUNTIF(設定!$W$6:$W$40,DATE(設定!$C$2,設定!$D$2,19))&gt;0,"假",IF(INDEX(設定!$U$74:$AO$74,(WEEKDAY(DATE(設定!$C$2,設定!$D$2,19),2)-1)*3+1)=0,"休",COUNTIF(BG$6:BG$45,"寶"))))</f>
        <v/>
      </c>
      <c r="BH51" s="78">
        <f>IF(BH$4="","",IF(COUNTIF(設定!$W$6:$W$40,DATE(設定!$C$2,設定!$D$2,19))&gt;0,"假",IF(INDEX(設定!$U$74:$AO$74,(WEEKDAY(DATE(設定!$C$2,設定!$D$2,19),2)-1)*3+2)=0,"休",COUNTIF(BH$6:BH$45,"寶"))))</f>
        <v/>
      </c>
      <c r="BI51" s="78">
        <f>IF(BI$4="","",IF(COUNTIF(設定!$W$6:$W$40,DATE(設定!$C$2,設定!$D$2,19))&gt;0,"假",IF(INDEX(設定!$U$74:$AO$74,(WEEKDAY(DATE(設定!$C$2,設定!$D$2,19),2)-1)*3+3)=0,"休",COUNTIF(BI$6:BI$45,"寶"))))</f>
        <v/>
      </c>
      <c r="BJ51" s="77">
        <f>IF(BJ$4="","",IF(COUNTIF(設定!$W$6:$W$40,DATE(設定!$C$2,設定!$D$2,20))&gt;0,"假",IF(INDEX(設定!$U$74:$AO$74,(WEEKDAY(DATE(設定!$C$2,設定!$D$2,20),2)-1)*3+1)=0,"休",COUNTIF(BJ$6:BJ$45,"寶"))))</f>
        <v/>
      </c>
      <c r="BK51" s="78">
        <f>IF(BK$4="","",IF(COUNTIF(設定!$W$6:$W$40,DATE(設定!$C$2,設定!$D$2,20))&gt;0,"假",IF(INDEX(設定!$U$74:$AO$74,(WEEKDAY(DATE(設定!$C$2,設定!$D$2,20),2)-1)*3+2)=0,"休",COUNTIF(BK$6:BK$45,"寶"))))</f>
        <v/>
      </c>
      <c r="BL51" s="78">
        <f>IF(BL$4="","",IF(COUNTIF(設定!$W$6:$W$40,DATE(設定!$C$2,設定!$D$2,20))&gt;0,"假",IF(INDEX(設定!$U$74:$AO$74,(WEEKDAY(DATE(設定!$C$2,設定!$D$2,20),2)-1)*3+3)=0,"休",COUNTIF(BL$6:BL$45,"寶"))))</f>
        <v/>
      </c>
      <c r="BM51" s="77">
        <f>IF(BM$4="","",IF(COUNTIF(設定!$W$6:$W$40,DATE(設定!$C$2,設定!$D$2,21))&gt;0,"假",IF(INDEX(設定!$U$74:$AO$74,(WEEKDAY(DATE(設定!$C$2,設定!$D$2,21),2)-1)*3+1)=0,"休",COUNTIF(BM$6:BM$45,"寶"))))</f>
        <v/>
      </c>
      <c r="BN51" s="78">
        <f>IF(BN$4="","",IF(COUNTIF(設定!$W$6:$W$40,DATE(設定!$C$2,設定!$D$2,21))&gt;0,"假",IF(INDEX(設定!$U$74:$AO$74,(WEEKDAY(DATE(設定!$C$2,設定!$D$2,21),2)-1)*3+2)=0,"休",COUNTIF(BN$6:BN$45,"寶"))))</f>
        <v/>
      </c>
      <c r="BO51" s="78">
        <f>IF(BO$4="","",IF(COUNTIF(設定!$W$6:$W$40,DATE(設定!$C$2,設定!$D$2,21))&gt;0,"假",IF(INDEX(設定!$U$74:$AO$74,(WEEKDAY(DATE(設定!$C$2,設定!$D$2,21),2)-1)*3+3)=0,"休",COUNTIF(BO$6:BO$45,"寶"))))</f>
        <v/>
      </c>
      <c r="BP51" s="77">
        <f>IF(BP$4="","",IF(COUNTIF(設定!$W$6:$W$40,DATE(設定!$C$2,設定!$D$2,22))&gt;0,"假",IF(INDEX(設定!$U$74:$AO$74,(WEEKDAY(DATE(設定!$C$2,設定!$D$2,22),2)-1)*3+1)=0,"休",COUNTIF(BP$6:BP$45,"寶"))))</f>
        <v/>
      </c>
      <c r="BQ51" s="78">
        <f>IF(BQ$4="","",IF(COUNTIF(設定!$W$6:$W$40,DATE(設定!$C$2,設定!$D$2,22))&gt;0,"假",IF(INDEX(設定!$U$74:$AO$74,(WEEKDAY(DATE(設定!$C$2,設定!$D$2,22),2)-1)*3+2)=0,"休",COUNTIF(BQ$6:BQ$45,"寶"))))</f>
        <v/>
      </c>
      <c r="BR51" s="78">
        <f>IF(BR$4="","",IF(COUNTIF(設定!$W$6:$W$40,DATE(設定!$C$2,設定!$D$2,22))&gt;0,"假",IF(INDEX(設定!$U$74:$AO$74,(WEEKDAY(DATE(設定!$C$2,設定!$D$2,22),2)-1)*3+3)=0,"休",COUNTIF(BR$6:BR$45,"寶"))))</f>
        <v/>
      </c>
      <c r="BS51" s="77">
        <f>IF(BS$4="","",IF(COUNTIF(設定!$W$6:$W$40,DATE(設定!$C$2,設定!$D$2,23))&gt;0,"假",IF(INDEX(設定!$U$74:$AO$74,(WEEKDAY(DATE(設定!$C$2,設定!$D$2,23),2)-1)*3+1)=0,"休",COUNTIF(BS$6:BS$45,"寶"))))</f>
        <v/>
      </c>
      <c r="BT51" s="78">
        <f>IF(BT$4="","",IF(COUNTIF(設定!$W$6:$W$40,DATE(設定!$C$2,設定!$D$2,23))&gt;0,"假",IF(INDEX(設定!$U$74:$AO$74,(WEEKDAY(DATE(設定!$C$2,設定!$D$2,23),2)-1)*3+2)=0,"休",COUNTIF(BT$6:BT$45,"寶"))))</f>
        <v/>
      </c>
      <c r="BU51" s="78">
        <f>IF(BU$4="","",IF(COUNTIF(設定!$W$6:$W$40,DATE(設定!$C$2,設定!$D$2,23))&gt;0,"假",IF(INDEX(設定!$U$74:$AO$74,(WEEKDAY(DATE(設定!$C$2,設定!$D$2,23),2)-1)*3+3)=0,"休",COUNTIF(BU$6:BU$45,"寶"))))</f>
        <v/>
      </c>
      <c r="BV51" s="77">
        <f>IF(BV$4="","",IF(COUNTIF(設定!$W$6:$W$40,DATE(設定!$C$2,設定!$D$2,24))&gt;0,"假",IF(INDEX(設定!$U$74:$AO$74,(WEEKDAY(DATE(設定!$C$2,設定!$D$2,24),2)-1)*3+1)=0,"休",COUNTIF(BV$6:BV$45,"寶"))))</f>
        <v/>
      </c>
      <c r="BW51" s="78">
        <f>IF(BW$4="","",IF(COUNTIF(設定!$W$6:$W$40,DATE(設定!$C$2,設定!$D$2,24))&gt;0,"假",IF(INDEX(設定!$U$74:$AO$74,(WEEKDAY(DATE(設定!$C$2,設定!$D$2,24),2)-1)*3+2)=0,"休",COUNTIF(BW$6:BW$45,"寶"))))</f>
        <v/>
      </c>
      <c r="BX51" s="78">
        <f>IF(BX$4="","",IF(COUNTIF(設定!$W$6:$W$40,DATE(設定!$C$2,設定!$D$2,24))&gt;0,"假",IF(INDEX(設定!$U$74:$AO$74,(WEEKDAY(DATE(設定!$C$2,設定!$D$2,24),2)-1)*3+3)=0,"休",COUNTIF(BX$6:BX$45,"寶"))))</f>
        <v/>
      </c>
      <c r="BY51" s="77">
        <f>IF(BY$4="","",IF(COUNTIF(設定!$W$6:$W$40,DATE(設定!$C$2,設定!$D$2,25))&gt;0,"假",IF(INDEX(設定!$U$74:$AO$74,(WEEKDAY(DATE(設定!$C$2,設定!$D$2,25),2)-1)*3+1)=0,"休",COUNTIF(BY$6:BY$45,"寶"))))</f>
        <v/>
      </c>
      <c r="BZ51" s="78">
        <f>IF(BZ$4="","",IF(COUNTIF(設定!$W$6:$W$40,DATE(設定!$C$2,設定!$D$2,25))&gt;0,"假",IF(INDEX(設定!$U$74:$AO$74,(WEEKDAY(DATE(設定!$C$2,設定!$D$2,25),2)-1)*3+2)=0,"休",COUNTIF(BZ$6:BZ$45,"寶"))))</f>
        <v/>
      </c>
      <c r="CA51" s="78">
        <f>IF(CA$4="","",IF(COUNTIF(設定!$W$6:$W$40,DATE(設定!$C$2,設定!$D$2,25))&gt;0,"假",IF(INDEX(設定!$U$74:$AO$74,(WEEKDAY(DATE(設定!$C$2,設定!$D$2,25),2)-1)*3+3)=0,"休",COUNTIF(CA$6:CA$45,"寶"))))</f>
        <v/>
      </c>
      <c r="CB51" s="77">
        <f>IF(CB$4="","",IF(COUNTIF(設定!$W$6:$W$40,DATE(設定!$C$2,設定!$D$2,26))&gt;0,"假",IF(INDEX(設定!$U$74:$AO$74,(WEEKDAY(DATE(設定!$C$2,設定!$D$2,26),2)-1)*3+1)=0,"休",COUNTIF(CB$6:CB$45,"寶"))))</f>
        <v/>
      </c>
      <c r="CC51" s="78">
        <f>IF(CC$4="","",IF(COUNTIF(設定!$W$6:$W$40,DATE(設定!$C$2,設定!$D$2,26))&gt;0,"假",IF(INDEX(設定!$U$74:$AO$74,(WEEKDAY(DATE(設定!$C$2,設定!$D$2,26),2)-1)*3+2)=0,"休",COUNTIF(CC$6:CC$45,"寶"))))</f>
        <v/>
      </c>
      <c r="CD51" s="78">
        <f>IF(CD$4="","",IF(COUNTIF(設定!$W$6:$W$40,DATE(設定!$C$2,設定!$D$2,26))&gt;0,"假",IF(INDEX(設定!$U$74:$AO$74,(WEEKDAY(DATE(設定!$C$2,設定!$D$2,26),2)-1)*3+3)=0,"休",COUNTIF(CD$6:CD$45,"寶"))))</f>
        <v/>
      </c>
      <c r="CE51" s="77">
        <f>IF(CE$4="","",IF(COUNTIF(設定!$W$6:$W$40,DATE(設定!$C$2,設定!$D$2,27))&gt;0,"假",IF(INDEX(設定!$U$74:$AO$74,(WEEKDAY(DATE(設定!$C$2,設定!$D$2,27),2)-1)*3+1)=0,"休",COUNTIF(CE$6:CE$45,"寶"))))</f>
        <v/>
      </c>
      <c r="CF51" s="78">
        <f>IF(CF$4="","",IF(COUNTIF(設定!$W$6:$W$40,DATE(設定!$C$2,設定!$D$2,27))&gt;0,"假",IF(INDEX(設定!$U$74:$AO$74,(WEEKDAY(DATE(設定!$C$2,設定!$D$2,27),2)-1)*3+2)=0,"休",COUNTIF(CF$6:CF$45,"寶"))))</f>
        <v/>
      </c>
      <c r="CG51" s="78">
        <f>IF(CG$4="","",IF(COUNTIF(設定!$W$6:$W$40,DATE(設定!$C$2,設定!$D$2,27))&gt;0,"假",IF(INDEX(設定!$U$74:$AO$74,(WEEKDAY(DATE(設定!$C$2,設定!$D$2,27),2)-1)*3+3)=0,"休",COUNTIF(CG$6:CG$45,"寶"))))</f>
        <v/>
      </c>
      <c r="CH51" s="77">
        <f>IF(CH$4="","",IF(COUNTIF(設定!$W$6:$W$40,DATE(設定!$C$2,設定!$D$2,28))&gt;0,"假",IF(INDEX(設定!$U$74:$AO$74,(WEEKDAY(DATE(設定!$C$2,設定!$D$2,28),2)-1)*3+1)=0,"休",COUNTIF(CH$6:CH$45,"寶"))))</f>
        <v/>
      </c>
      <c r="CI51" s="78">
        <f>IF(CI$4="","",IF(COUNTIF(設定!$W$6:$W$40,DATE(設定!$C$2,設定!$D$2,28))&gt;0,"假",IF(INDEX(設定!$U$74:$AO$74,(WEEKDAY(DATE(設定!$C$2,設定!$D$2,28),2)-1)*3+2)=0,"休",COUNTIF(CI$6:CI$45,"寶"))))</f>
        <v/>
      </c>
      <c r="CJ51" s="78">
        <f>IF(CJ$4="","",IF(COUNTIF(設定!$W$6:$W$40,DATE(設定!$C$2,設定!$D$2,28))&gt;0,"假",IF(INDEX(設定!$U$74:$AO$74,(WEEKDAY(DATE(設定!$C$2,設定!$D$2,28),2)-1)*3+3)=0,"休",COUNTIF(CJ$6:CJ$45,"寶"))))</f>
        <v/>
      </c>
      <c r="CK51" s="77">
        <f>IF(CK$4="","",IF(COUNTIF(設定!$W$6:$W$40,DATE(設定!$C$2,設定!$D$2,29))&gt;0,"假",IF(INDEX(設定!$U$74:$AO$74,(WEEKDAY(DATE(設定!$C$2,設定!$D$2,29),2)-1)*3+1)=0,"休",COUNTIF(CK$6:CK$45,"寶"))))</f>
        <v/>
      </c>
      <c r="CL51" s="78">
        <f>IF(CL$4="","",IF(COUNTIF(設定!$W$6:$W$40,DATE(設定!$C$2,設定!$D$2,29))&gt;0,"假",IF(INDEX(設定!$U$74:$AO$74,(WEEKDAY(DATE(設定!$C$2,設定!$D$2,29),2)-1)*3+2)=0,"休",COUNTIF(CL$6:CL$45,"寶"))))</f>
        <v/>
      </c>
      <c r="CM51" s="78">
        <f>IF(CM$4="","",IF(COUNTIF(設定!$W$6:$W$40,DATE(設定!$C$2,設定!$D$2,29))&gt;0,"假",IF(INDEX(設定!$U$74:$AO$74,(WEEKDAY(DATE(設定!$C$2,設定!$D$2,29),2)-1)*3+3)=0,"休",COUNTIF(CM$6:CM$45,"寶"))))</f>
        <v/>
      </c>
      <c r="CN51" s="77">
        <f>IF(CN$4="","",IF(COUNTIF(設定!$W$6:$W$40,DATE(設定!$C$2,設定!$D$2,30))&gt;0,"假",IF(INDEX(設定!$U$74:$AO$74,(WEEKDAY(DATE(設定!$C$2,設定!$D$2,30),2)-1)*3+1)=0,"休",COUNTIF(CN$6:CN$45,"寶"))))</f>
        <v/>
      </c>
      <c r="CO51" s="78">
        <f>IF(CO$4="","",IF(COUNTIF(設定!$W$6:$W$40,DATE(設定!$C$2,設定!$D$2,30))&gt;0,"假",IF(INDEX(設定!$U$74:$AO$74,(WEEKDAY(DATE(設定!$C$2,設定!$D$2,30),2)-1)*3+2)=0,"休",COUNTIF(CO$6:CO$45,"寶"))))</f>
        <v/>
      </c>
      <c r="CP51" s="78">
        <f>IF(CP$4="","",IF(COUNTIF(設定!$W$6:$W$40,DATE(設定!$C$2,設定!$D$2,30))&gt;0,"假",IF(INDEX(設定!$U$74:$AO$74,(WEEKDAY(DATE(設定!$C$2,設定!$D$2,30),2)-1)*3+3)=0,"休",COUNTIF(CP$6:CP$45,"寶"))))</f>
        <v/>
      </c>
      <c r="CQ51" s="77">
        <f>IF(CQ$4="","",IF(COUNTIF(設定!$W$6:$W$40,DATE(設定!$C$2,設定!$D$2,31))&gt;0,"假",IF(INDEX(設定!$U$74:$AO$74,(WEEKDAY(DATE(設定!$C$2,設定!$D$2,31),2)-1)*3+1)=0,"休",COUNTIF(CQ$6:CQ$45,"寶"))))</f>
        <v/>
      </c>
      <c r="CR51" s="78">
        <f>IF(CR$4="","",IF(COUNTIF(設定!$W$6:$W$40,DATE(設定!$C$2,設定!$D$2,31))&gt;0,"假",IF(INDEX(設定!$U$74:$AO$74,(WEEKDAY(DATE(設定!$C$2,設定!$D$2,31),2)-1)*3+2)=0,"休",COUNTIF(CR$6:CR$45,"寶"))))</f>
        <v/>
      </c>
      <c r="CS51" s="78">
        <f>IF(CS$4="","",IF(COUNTIF(設定!$W$6:$W$40,DATE(設定!$C$2,設定!$D$2,31))&gt;0,"假",IF(INDEX(設定!$U$74:$AO$74,(WEEKDAY(DATE(設定!$C$2,設定!$D$2,31),2)-1)*3+3)=0,"休",COUNTIF(CS$6:CS$45,"寶"))))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3" t="inlineStr">
        <is>
          <t>↓運算用,請勿刪</t>
        </is>
      </c>
      <c r="E58">
        <f>IF(1&gt;DAY(EOMONTH(DATE(設定!$C$2,設定!$D$2,1),0)),0,MOD(INT((DATE(設定!$C$2,設定!$D$2,1)-設定!$C$65)/7),2))</f>
        <v/>
      </c>
      <c r="F58">
        <f>IF(1&gt;DAY(EOMONTH(DATE(設定!$C$2,設定!$D$2,1),0)),0,MOD(INT((DATE(設定!$C$2,設定!$D$2,1)-設定!$C$65)/7),2))</f>
        <v/>
      </c>
      <c r="G58">
        <f>IF(1&gt;DAY(EOMONTH(DATE(設定!$C$2,設定!$D$2,1),0)),0,MOD(INT((DATE(設定!$C$2,設定!$D$2,1)-設定!$C$65)/7),2))</f>
        <v/>
      </c>
      <c r="H58">
        <f>IF(2&gt;DAY(EOMONTH(DATE(設定!$C$2,設定!$D$2,1),0)),0,MOD(INT((DATE(設定!$C$2,設定!$D$2,2)-設定!$C$65)/7),2))</f>
        <v/>
      </c>
      <c r="I58">
        <f>IF(2&gt;DAY(EOMONTH(DATE(設定!$C$2,設定!$D$2,1),0)),0,MOD(INT((DATE(設定!$C$2,設定!$D$2,2)-設定!$C$65)/7),2))</f>
        <v/>
      </c>
      <c r="J58">
        <f>IF(2&gt;DAY(EOMONTH(DATE(設定!$C$2,設定!$D$2,1),0)),0,MOD(INT((DATE(設定!$C$2,設定!$D$2,2)-設定!$C$65)/7),2))</f>
        <v/>
      </c>
      <c r="K58">
        <f>IF(3&gt;DAY(EOMONTH(DATE(設定!$C$2,設定!$D$2,1),0)),0,MOD(INT((DATE(設定!$C$2,設定!$D$2,3)-設定!$C$65)/7),2))</f>
        <v/>
      </c>
      <c r="L58">
        <f>IF(3&gt;DAY(EOMONTH(DATE(設定!$C$2,設定!$D$2,1),0)),0,MOD(INT((DATE(設定!$C$2,設定!$D$2,3)-設定!$C$65)/7),2))</f>
        <v/>
      </c>
      <c r="M58">
        <f>IF(3&gt;DAY(EOMONTH(DATE(設定!$C$2,設定!$D$2,1),0)),0,MOD(INT((DATE(設定!$C$2,設定!$D$2,3)-設定!$C$65)/7),2))</f>
        <v/>
      </c>
      <c r="N58">
        <f>IF(4&gt;DAY(EOMONTH(DATE(設定!$C$2,設定!$D$2,1),0)),0,MOD(INT((DATE(設定!$C$2,設定!$D$2,4)-設定!$C$65)/7),2))</f>
        <v/>
      </c>
      <c r="O58">
        <f>IF(4&gt;DAY(EOMONTH(DATE(設定!$C$2,設定!$D$2,1),0)),0,MOD(INT((DATE(設定!$C$2,設定!$D$2,4)-設定!$C$65)/7),2))</f>
        <v/>
      </c>
      <c r="P58">
        <f>IF(4&gt;DAY(EOMONTH(DATE(設定!$C$2,設定!$D$2,1),0)),0,MOD(INT((DATE(設定!$C$2,設定!$D$2,4)-設定!$C$65)/7),2))</f>
        <v/>
      </c>
      <c r="Q58">
        <f>IF(5&gt;DAY(EOMONTH(DATE(設定!$C$2,設定!$D$2,1),0)),0,MOD(INT((DATE(設定!$C$2,設定!$D$2,5)-設定!$C$65)/7),2))</f>
        <v/>
      </c>
      <c r="R58">
        <f>IF(5&gt;DAY(EOMONTH(DATE(設定!$C$2,設定!$D$2,1),0)),0,MOD(INT((DATE(設定!$C$2,設定!$D$2,5)-設定!$C$65)/7),2))</f>
        <v/>
      </c>
      <c r="S58">
        <f>IF(5&gt;DAY(EOMONTH(DATE(設定!$C$2,設定!$D$2,1),0)),0,MOD(INT((DATE(設定!$C$2,設定!$D$2,5)-設定!$C$65)/7),2))</f>
        <v/>
      </c>
      <c r="T58">
        <f>IF(6&gt;DAY(EOMONTH(DATE(設定!$C$2,設定!$D$2,1),0)),0,MOD(INT((DATE(設定!$C$2,設定!$D$2,6)-設定!$C$65)/7),2))</f>
        <v/>
      </c>
      <c r="U58">
        <f>IF(6&gt;DAY(EOMONTH(DATE(設定!$C$2,設定!$D$2,1),0)),0,MOD(INT((DATE(設定!$C$2,設定!$D$2,6)-設定!$C$65)/7),2))</f>
        <v/>
      </c>
      <c r="V58">
        <f>IF(6&gt;DAY(EOMONTH(DATE(設定!$C$2,設定!$D$2,1),0)),0,MOD(INT((DATE(設定!$C$2,設定!$D$2,6)-設定!$C$65)/7),2))</f>
        <v/>
      </c>
      <c r="W58">
        <f>IF(7&gt;DAY(EOMONTH(DATE(設定!$C$2,設定!$D$2,1),0)),0,MOD(INT((DATE(設定!$C$2,設定!$D$2,7)-設定!$C$65)/7),2))</f>
        <v/>
      </c>
      <c r="X58">
        <f>IF(7&gt;DAY(EOMONTH(DATE(設定!$C$2,設定!$D$2,1),0)),0,MOD(INT((DATE(設定!$C$2,設定!$D$2,7)-設定!$C$65)/7),2))</f>
        <v/>
      </c>
      <c r="Y58">
        <f>IF(7&gt;DAY(EOMONTH(DATE(設定!$C$2,設定!$D$2,1),0)),0,MOD(INT((DATE(設定!$C$2,設定!$D$2,7)-設定!$C$65)/7),2))</f>
        <v/>
      </c>
      <c r="Z58">
        <f>IF(8&gt;DAY(EOMONTH(DATE(設定!$C$2,設定!$D$2,1),0)),0,MOD(INT((DATE(設定!$C$2,設定!$D$2,8)-設定!$C$65)/7),2))</f>
        <v/>
      </c>
      <c r="AA58">
        <f>IF(8&gt;DAY(EOMONTH(DATE(設定!$C$2,設定!$D$2,1),0)),0,MOD(INT((DATE(設定!$C$2,設定!$D$2,8)-設定!$C$65)/7),2))</f>
        <v/>
      </c>
      <c r="AB58">
        <f>IF(8&gt;DAY(EOMONTH(DATE(設定!$C$2,設定!$D$2,1),0)),0,MOD(INT((DATE(設定!$C$2,設定!$D$2,8)-設定!$C$65)/7),2))</f>
        <v/>
      </c>
      <c r="AC58">
        <f>IF(9&gt;DAY(EOMONTH(DATE(設定!$C$2,設定!$D$2,1),0)),0,MOD(INT((DATE(設定!$C$2,設定!$D$2,9)-設定!$C$65)/7),2))</f>
        <v/>
      </c>
      <c r="AD58">
        <f>IF(9&gt;DAY(EOMONTH(DATE(設定!$C$2,設定!$D$2,1),0)),0,MOD(INT((DATE(設定!$C$2,設定!$D$2,9)-設定!$C$65)/7),2))</f>
        <v/>
      </c>
      <c r="AE58">
        <f>IF(9&gt;DAY(EOMONTH(DATE(設定!$C$2,設定!$D$2,1),0)),0,MOD(INT((DATE(設定!$C$2,設定!$D$2,9)-設定!$C$65)/7),2))</f>
        <v/>
      </c>
      <c r="AF58">
        <f>IF(10&gt;DAY(EOMONTH(DATE(設定!$C$2,設定!$D$2,1),0)),0,MOD(INT((DATE(設定!$C$2,設定!$D$2,10)-設定!$C$65)/7),2))</f>
        <v/>
      </c>
      <c r="AG58">
        <f>IF(10&gt;DAY(EOMONTH(DATE(設定!$C$2,設定!$D$2,1),0)),0,MOD(INT((DATE(設定!$C$2,設定!$D$2,10)-設定!$C$65)/7),2))</f>
        <v/>
      </c>
      <c r="AH58">
        <f>IF(10&gt;DAY(EOMONTH(DATE(設定!$C$2,設定!$D$2,1),0)),0,MOD(INT((DATE(設定!$C$2,設定!$D$2,10)-設定!$C$65)/7),2))</f>
        <v/>
      </c>
      <c r="AI58">
        <f>IF(11&gt;DAY(EOMONTH(DATE(設定!$C$2,設定!$D$2,1),0)),0,MOD(INT((DATE(設定!$C$2,設定!$D$2,11)-設定!$C$65)/7),2))</f>
        <v/>
      </c>
      <c r="AJ58">
        <f>IF(11&gt;DAY(EOMONTH(DATE(設定!$C$2,設定!$D$2,1),0)),0,MOD(INT((DATE(設定!$C$2,設定!$D$2,11)-設定!$C$65)/7),2))</f>
        <v/>
      </c>
      <c r="AK58">
        <f>IF(11&gt;DAY(EOMONTH(DATE(設定!$C$2,設定!$D$2,1),0)),0,MOD(INT((DATE(設定!$C$2,設定!$D$2,11)-設定!$C$65)/7),2))</f>
        <v/>
      </c>
      <c r="AL58">
        <f>IF(12&gt;DAY(EOMONTH(DATE(設定!$C$2,設定!$D$2,1),0)),0,MOD(INT((DATE(設定!$C$2,設定!$D$2,12)-設定!$C$65)/7),2))</f>
        <v/>
      </c>
      <c r="AM58">
        <f>IF(12&gt;DAY(EOMONTH(DATE(設定!$C$2,設定!$D$2,1),0)),0,MOD(INT((DATE(設定!$C$2,設定!$D$2,12)-設定!$C$65)/7),2))</f>
        <v/>
      </c>
      <c r="AN58">
        <f>IF(12&gt;DAY(EOMONTH(DATE(設定!$C$2,設定!$D$2,1),0)),0,MOD(INT((DATE(設定!$C$2,設定!$D$2,12)-設定!$C$65)/7),2))</f>
        <v/>
      </c>
      <c r="AO58">
        <f>IF(13&gt;DAY(EOMONTH(DATE(設定!$C$2,設定!$D$2,1),0)),0,MOD(INT((DATE(設定!$C$2,設定!$D$2,13)-設定!$C$65)/7),2))</f>
        <v/>
      </c>
      <c r="AP58">
        <f>IF(13&gt;DAY(EOMONTH(DATE(設定!$C$2,設定!$D$2,1),0)),0,MOD(INT((DATE(設定!$C$2,設定!$D$2,13)-設定!$C$65)/7),2))</f>
        <v/>
      </c>
      <c r="AQ58">
        <f>IF(13&gt;DAY(EOMONTH(DATE(設定!$C$2,設定!$D$2,1),0)),0,MOD(INT((DATE(設定!$C$2,設定!$D$2,13)-設定!$C$65)/7),2))</f>
        <v/>
      </c>
      <c r="AR58">
        <f>IF(14&gt;DAY(EOMONTH(DATE(設定!$C$2,設定!$D$2,1),0)),0,MOD(INT((DATE(設定!$C$2,設定!$D$2,14)-設定!$C$65)/7),2))</f>
        <v/>
      </c>
      <c r="AS58">
        <f>IF(14&gt;DAY(EOMONTH(DATE(設定!$C$2,設定!$D$2,1),0)),0,MOD(INT((DATE(設定!$C$2,設定!$D$2,14)-設定!$C$65)/7),2))</f>
        <v/>
      </c>
      <c r="AT58">
        <f>IF(14&gt;DAY(EOMONTH(DATE(設定!$C$2,設定!$D$2,1),0)),0,MOD(INT((DATE(設定!$C$2,設定!$D$2,14)-設定!$C$65)/7),2))</f>
        <v/>
      </c>
      <c r="AU58">
        <f>IF(15&gt;DAY(EOMONTH(DATE(設定!$C$2,設定!$D$2,1),0)),0,MOD(INT((DATE(設定!$C$2,設定!$D$2,15)-設定!$C$65)/7),2))</f>
        <v/>
      </c>
      <c r="AV58">
        <f>IF(15&gt;DAY(EOMONTH(DATE(設定!$C$2,設定!$D$2,1),0)),0,MOD(INT((DATE(設定!$C$2,設定!$D$2,15)-設定!$C$65)/7),2))</f>
        <v/>
      </c>
      <c r="AW58">
        <f>IF(15&gt;DAY(EOMONTH(DATE(設定!$C$2,設定!$D$2,1),0)),0,MOD(INT((DATE(設定!$C$2,設定!$D$2,15)-設定!$C$65)/7),2))</f>
        <v/>
      </c>
      <c r="AX58">
        <f>IF(16&gt;DAY(EOMONTH(DATE(設定!$C$2,設定!$D$2,1),0)),0,MOD(INT((DATE(設定!$C$2,設定!$D$2,16)-設定!$C$65)/7),2))</f>
        <v/>
      </c>
      <c r="AY58">
        <f>IF(16&gt;DAY(EOMONTH(DATE(設定!$C$2,設定!$D$2,1),0)),0,MOD(INT((DATE(設定!$C$2,設定!$D$2,16)-設定!$C$65)/7),2))</f>
        <v/>
      </c>
      <c r="AZ58">
        <f>IF(16&gt;DAY(EOMONTH(DATE(設定!$C$2,設定!$D$2,1),0)),0,MOD(INT((DATE(設定!$C$2,設定!$D$2,16)-設定!$C$65)/7),2))</f>
        <v/>
      </c>
      <c r="BA58">
        <f>IF(17&gt;DAY(EOMONTH(DATE(設定!$C$2,設定!$D$2,1),0)),0,MOD(INT((DATE(設定!$C$2,設定!$D$2,17)-設定!$C$65)/7),2))</f>
        <v/>
      </c>
      <c r="BB58">
        <f>IF(17&gt;DAY(EOMONTH(DATE(設定!$C$2,設定!$D$2,1),0)),0,MOD(INT((DATE(設定!$C$2,設定!$D$2,17)-設定!$C$65)/7),2))</f>
        <v/>
      </c>
      <c r="BC58">
        <f>IF(17&gt;DAY(EOMONTH(DATE(設定!$C$2,設定!$D$2,1),0)),0,MOD(INT((DATE(設定!$C$2,設定!$D$2,17)-設定!$C$65)/7),2))</f>
        <v/>
      </c>
      <c r="BD58">
        <f>IF(18&gt;DAY(EOMONTH(DATE(設定!$C$2,設定!$D$2,1),0)),0,MOD(INT((DATE(設定!$C$2,設定!$D$2,18)-設定!$C$65)/7),2))</f>
        <v/>
      </c>
      <c r="BE58">
        <f>IF(18&gt;DAY(EOMONTH(DATE(設定!$C$2,設定!$D$2,1),0)),0,MOD(INT((DATE(設定!$C$2,設定!$D$2,18)-設定!$C$65)/7),2))</f>
        <v/>
      </c>
      <c r="BF58">
        <f>IF(18&gt;DAY(EOMONTH(DATE(設定!$C$2,設定!$D$2,1),0)),0,MOD(INT((DATE(設定!$C$2,設定!$D$2,18)-設定!$C$65)/7),2))</f>
        <v/>
      </c>
      <c r="BG58">
        <f>IF(19&gt;DAY(EOMONTH(DATE(設定!$C$2,設定!$D$2,1),0)),0,MOD(INT((DATE(設定!$C$2,設定!$D$2,19)-設定!$C$65)/7),2))</f>
        <v/>
      </c>
      <c r="BH58">
        <f>IF(19&gt;DAY(EOMONTH(DATE(設定!$C$2,設定!$D$2,1),0)),0,MOD(INT((DATE(設定!$C$2,設定!$D$2,19)-設定!$C$65)/7),2))</f>
        <v/>
      </c>
      <c r="BI58">
        <f>IF(19&gt;DAY(EOMONTH(DATE(設定!$C$2,設定!$D$2,1),0)),0,MOD(INT((DATE(設定!$C$2,設定!$D$2,19)-設定!$C$65)/7),2))</f>
        <v/>
      </c>
      <c r="BJ58">
        <f>IF(20&gt;DAY(EOMONTH(DATE(設定!$C$2,設定!$D$2,1),0)),0,MOD(INT((DATE(設定!$C$2,設定!$D$2,20)-設定!$C$65)/7),2))</f>
        <v/>
      </c>
      <c r="BK58">
        <f>IF(20&gt;DAY(EOMONTH(DATE(設定!$C$2,設定!$D$2,1),0)),0,MOD(INT((DATE(設定!$C$2,設定!$D$2,20)-設定!$C$65)/7),2))</f>
        <v/>
      </c>
      <c r="BL58">
        <f>IF(20&gt;DAY(EOMONTH(DATE(設定!$C$2,設定!$D$2,1),0)),0,MOD(INT((DATE(設定!$C$2,設定!$D$2,20)-設定!$C$65)/7),2))</f>
        <v/>
      </c>
      <c r="BM58">
        <f>IF(21&gt;DAY(EOMONTH(DATE(設定!$C$2,設定!$D$2,1),0)),0,MOD(INT((DATE(設定!$C$2,設定!$D$2,21)-設定!$C$65)/7),2))</f>
        <v/>
      </c>
      <c r="BN58">
        <f>IF(21&gt;DAY(EOMONTH(DATE(設定!$C$2,設定!$D$2,1),0)),0,MOD(INT((DATE(設定!$C$2,設定!$D$2,21)-設定!$C$65)/7),2))</f>
        <v/>
      </c>
      <c r="BO58">
        <f>IF(21&gt;DAY(EOMONTH(DATE(設定!$C$2,設定!$D$2,1),0)),0,MOD(INT((DATE(設定!$C$2,設定!$D$2,21)-設定!$C$65)/7),2))</f>
        <v/>
      </c>
      <c r="BP58">
        <f>IF(22&gt;DAY(EOMONTH(DATE(設定!$C$2,設定!$D$2,1),0)),0,MOD(INT((DATE(設定!$C$2,設定!$D$2,22)-設定!$C$65)/7),2))</f>
        <v/>
      </c>
      <c r="BQ58">
        <f>IF(22&gt;DAY(EOMONTH(DATE(設定!$C$2,設定!$D$2,1),0)),0,MOD(INT((DATE(設定!$C$2,設定!$D$2,22)-設定!$C$65)/7),2))</f>
        <v/>
      </c>
      <c r="BR58">
        <f>IF(22&gt;DAY(EOMONTH(DATE(設定!$C$2,設定!$D$2,1),0)),0,MOD(INT((DATE(設定!$C$2,設定!$D$2,22)-設定!$C$65)/7),2))</f>
        <v/>
      </c>
      <c r="BS58">
        <f>IF(23&gt;DAY(EOMONTH(DATE(設定!$C$2,設定!$D$2,1),0)),0,MOD(INT((DATE(設定!$C$2,設定!$D$2,23)-設定!$C$65)/7),2))</f>
        <v/>
      </c>
      <c r="BT58">
        <f>IF(23&gt;DAY(EOMONTH(DATE(設定!$C$2,設定!$D$2,1),0)),0,MOD(INT((DATE(設定!$C$2,設定!$D$2,23)-設定!$C$65)/7),2))</f>
        <v/>
      </c>
      <c r="BU58">
        <f>IF(23&gt;DAY(EOMONTH(DATE(設定!$C$2,設定!$D$2,1),0)),0,MOD(INT((DATE(設定!$C$2,設定!$D$2,23)-設定!$C$65)/7),2))</f>
        <v/>
      </c>
      <c r="BV58">
        <f>IF(24&gt;DAY(EOMONTH(DATE(設定!$C$2,設定!$D$2,1),0)),0,MOD(INT((DATE(設定!$C$2,設定!$D$2,24)-設定!$C$65)/7),2))</f>
        <v/>
      </c>
      <c r="BW58">
        <f>IF(24&gt;DAY(EOMONTH(DATE(設定!$C$2,設定!$D$2,1),0)),0,MOD(INT((DATE(設定!$C$2,設定!$D$2,24)-設定!$C$65)/7),2))</f>
        <v/>
      </c>
      <c r="BX58">
        <f>IF(24&gt;DAY(EOMONTH(DATE(設定!$C$2,設定!$D$2,1),0)),0,MOD(INT((DATE(設定!$C$2,設定!$D$2,24)-設定!$C$65)/7),2))</f>
        <v/>
      </c>
      <c r="BY58">
        <f>IF(25&gt;DAY(EOMONTH(DATE(設定!$C$2,設定!$D$2,1),0)),0,MOD(INT((DATE(設定!$C$2,設定!$D$2,25)-設定!$C$65)/7),2))</f>
        <v/>
      </c>
      <c r="BZ58">
        <f>IF(25&gt;DAY(EOMONTH(DATE(設定!$C$2,設定!$D$2,1),0)),0,MOD(INT((DATE(設定!$C$2,設定!$D$2,25)-設定!$C$65)/7),2))</f>
        <v/>
      </c>
      <c r="CA58">
        <f>IF(25&gt;DAY(EOMONTH(DATE(設定!$C$2,設定!$D$2,1),0)),0,MOD(INT((DATE(設定!$C$2,設定!$D$2,25)-設定!$C$65)/7),2))</f>
        <v/>
      </c>
      <c r="CB58">
        <f>IF(26&gt;DAY(EOMONTH(DATE(設定!$C$2,設定!$D$2,1),0)),0,MOD(INT((DATE(設定!$C$2,設定!$D$2,26)-設定!$C$65)/7),2))</f>
        <v/>
      </c>
      <c r="CC58">
        <f>IF(26&gt;DAY(EOMONTH(DATE(設定!$C$2,設定!$D$2,1),0)),0,MOD(INT((DATE(設定!$C$2,設定!$D$2,26)-設定!$C$65)/7),2))</f>
        <v/>
      </c>
      <c r="CD58">
        <f>IF(26&gt;DAY(EOMONTH(DATE(設定!$C$2,設定!$D$2,1),0)),0,MOD(INT((DATE(設定!$C$2,設定!$D$2,26)-設定!$C$65)/7),2))</f>
        <v/>
      </c>
      <c r="CE58">
        <f>IF(27&gt;DAY(EOMONTH(DATE(設定!$C$2,設定!$D$2,1),0)),0,MOD(INT((DATE(設定!$C$2,設定!$D$2,27)-設定!$C$65)/7),2))</f>
        <v/>
      </c>
      <c r="CF58">
        <f>IF(27&gt;DAY(EOMONTH(DATE(設定!$C$2,設定!$D$2,1),0)),0,MOD(INT((DATE(設定!$C$2,設定!$D$2,27)-設定!$C$65)/7),2))</f>
        <v/>
      </c>
      <c r="CG58">
        <f>IF(27&gt;DAY(EOMONTH(DATE(設定!$C$2,設定!$D$2,1),0)),0,MOD(INT((DATE(設定!$C$2,設定!$D$2,27)-設定!$C$65)/7),2))</f>
        <v/>
      </c>
      <c r="CH58">
        <f>IF(28&gt;DAY(EOMONTH(DATE(設定!$C$2,設定!$D$2,1),0)),0,MOD(INT((DATE(設定!$C$2,設定!$D$2,28)-設定!$C$65)/7),2))</f>
        <v/>
      </c>
      <c r="CI58">
        <f>IF(28&gt;DAY(EOMONTH(DATE(設定!$C$2,設定!$D$2,1),0)),0,MOD(INT((DATE(設定!$C$2,設定!$D$2,28)-設定!$C$65)/7),2))</f>
        <v/>
      </c>
      <c r="CJ58">
        <f>IF(28&gt;DAY(EOMONTH(DATE(設定!$C$2,設定!$D$2,1),0)),0,MOD(INT((DATE(設定!$C$2,設定!$D$2,28)-設定!$C$65)/7),2))</f>
        <v/>
      </c>
      <c r="CK58">
        <f>IF(29&gt;DAY(EOMONTH(DATE(設定!$C$2,設定!$D$2,1),0)),0,MOD(INT((DATE(設定!$C$2,設定!$D$2,29)-設定!$C$65)/7),2))</f>
        <v/>
      </c>
      <c r="CL58">
        <f>IF(29&gt;DAY(EOMONTH(DATE(設定!$C$2,設定!$D$2,1),0)),0,MOD(INT((DATE(設定!$C$2,設定!$D$2,29)-設定!$C$65)/7),2))</f>
        <v/>
      </c>
      <c r="CM58">
        <f>IF(29&gt;DAY(EOMONTH(DATE(設定!$C$2,設定!$D$2,1),0)),0,MOD(INT((DATE(設定!$C$2,設定!$D$2,29)-設定!$C$65)/7),2))</f>
        <v/>
      </c>
      <c r="CN58">
        <f>IF(30&gt;DAY(EOMONTH(DATE(設定!$C$2,設定!$D$2,1),0)),0,MOD(INT((DATE(設定!$C$2,設定!$D$2,30)-設定!$C$65)/7),2))</f>
        <v/>
      </c>
      <c r="CO58">
        <f>IF(30&gt;DAY(EOMONTH(DATE(設定!$C$2,設定!$D$2,1),0)),0,MOD(INT((DATE(設定!$C$2,設定!$D$2,30)-設定!$C$65)/7),2))</f>
        <v/>
      </c>
      <c r="CP58">
        <f>IF(30&gt;DAY(EOMONTH(DATE(設定!$C$2,設定!$D$2,1),0)),0,MOD(INT((DATE(設定!$C$2,設定!$D$2,30)-設定!$C$65)/7),2))</f>
        <v/>
      </c>
      <c r="CQ58">
        <f>IF(31&gt;DAY(EOMONTH(DATE(設定!$C$2,設定!$D$2,1),0)),0,MOD(INT((DATE(設定!$C$2,設定!$D$2,31)-設定!$C$65)/7),2))</f>
        <v/>
      </c>
      <c r="CR58">
        <f>IF(31&gt;DAY(EOMONTH(DATE(設定!$C$2,設定!$D$2,1),0)),0,MOD(INT((DATE(設定!$C$2,設定!$D$2,31)-設定!$C$65)/7),2))</f>
        <v/>
      </c>
      <c r="CS58">
        <f>IF(31&gt;DAY(EOMONTH(DATE(設定!$C$2,設定!$D$2,1),0)),0,MOD(INT((DATE(設定!$C$2,設定!$D$2,31)-設定!$C$65)/7),2))</f>
        <v/>
      </c>
    </row>
    <row r="59" hidden="1">
      <c r="A59" s="83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IF(1&gt;DAY(EOMONTH(DATE(設定!$C$2,設定!$D$2,1),0)),"X",IF(COUNTIF(設定!$W$6:$W$40,DATE(設定!$C$2,設定!$D$2,1))&gt;0,"國",IF(SUMPRODUCT(INDEX(設定!$U$70:$AO$74,0,E$57))=0,"休","")))</f>
        <v/>
      </c>
      <c r="F59">
        <f>IF(1&gt;DAY(EOMONTH(DATE(設定!$C$2,設定!$D$2,1),0)),"X",IF(COUNTIF(設定!$W$6:$W$40,DATE(設定!$C$2,設定!$D$2,1))&gt;0,"國",IF(SUMPRODUCT(INDEX(設定!$U$70:$AO$74,0,F$57))=0,"休","")))</f>
        <v/>
      </c>
      <c r="G59">
        <f>IF(1&gt;DAY(EOMONTH(DATE(設定!$C$2,設定!$D$2,1),0)),"X",IF(COUNTIF(設定!$W$6:$W$40,DATE(設定!$C$2,設定!$D$2,1))&gt;0,"國",IF(SUMPRODUCT(INDEX(設定!$U$70:$AO$74,0,G$57))=0,"休","")))</f>
        <v/>
      </c>
      <c r="H59">
        <f>IF(2&gt;DAY(EOMONTH(DATE(設定!$C$2,設定!$D$2,1),0)),"X",IF(COUNTIF(設定!$W$6:$W$40,DATE(設定!$C$2,設定!$D$2,2))&gt;0,"國",IF(SUMPRODUCT(INDEX(設定!$U$70:$AO$74,0,H$57))=0,"休","")))</f>
        <v/>
      </c>
      <c r="I59">
        <f>IF(2&gt;DAY(EOMONTH(DATE(設定!$C$2,設定!$D$2,1),0)),"X",IF(COUNTIF(設定!$W$6:$W$40,DATE(設定!$C$2,設定!$D$2,2))&gt;0,"國",IF(SUMPRODUCT(INDEX(設定!$U$70:$AO$74,0,I$57))=0,"休","")))</f>
        <v/>
      </c>
      <c r="J59">
        <f>IF(2&gt;DAY(EOMONTH(DATE(設定!$C$2,設定!$D$2,1),0)),"X",IF(COUNTIF(設定!$W$6:$W$40,DATE(設定!$C$2,設定!$D$2,2))&gt;0,"國",IF(SUMPRODUCT(INDEX(設定!$U$70:$AO$74,0,J$57))=0,"休","")))</f>
        <v/>
      </c>
      <c r="K59">
        <f>IF(3&gt;DAY(EOMONTH(DATE(設定!$C$2,設定!$D$2,1),0)),"X",IF(COUNTIF(設定!$W$6:$W$40,DATE(設定!$C$2,設定!$D$2,3))&gt;0,"國",IF(SUMPRODUCT(INDEX(設定!$U$70:$AO$74,0,K$57))=0,"休","")))</f>
        <v/>
      </c>
      <c r="L59">
        <f>IF(3&gt;DAY(EOMONTH(DATE(設定!$C$2,設定!$D$2,1),0)),"X",IF(COUNTIF(設定!$W$6:$W$40,DATE(設定!$C$2,設定!$D$2,3))&gt;0,"國",IF(SUMPRODUCT(INDEX(設定!$U$70:$AO$74,0,L$57))=0,"休","")))</f>
        <v/>
      </c>
      <c r="M59">
        <f>IF(3&gt;DAY(EOMONTH(DATE(設定!$C$2,設定!$D$2,1),0)),"X",IF(COUNTIF(設定!$W$6:$W$40,DATE(設定!$C$2,設定!$D$2,3))&gt;0,"國",IF(SUMPRODUCT(INDEX(設定!$U$70:$AO$74,0,M$57))=0,"休","")))</f>
        <v/>
      </c>
      <c r="N59">
        <f>IF(4&gt;DAY(EOMONTH(DATE(設定!$C$2,設定!$D$2,1),0)),"X",IF(COUNTIF(設定!$W$6:$W$40,DATE(設定!$C$2,設定!$D$2,4))&gt;0,"國",IF(SUMPRODUCT(INDEX(設定!$U$70:$AO$74,0,N$57))=0,"休","")))</f>
        <v/>
      </c>
      <c r="O59">
        <f>IF(4&gt;DAY(EOMONTH(DATE(設定!$C$2,設定!$D$2,1),0)),"X",IF(COUNTIF(設定!$W$6:$W$40,DATE(設定!$C$2,設定!$D$2,4))&gt;0,"國",IF(SUMPRODUCT(INDEX(設定!$U$70:$AO$74,0,O$57))=0,"休","")))</f>
        <v/>
      </c>
      <c r="P59">
        <f>IF(4&gt;DAY(EOMONTH(DATE(設定!$C$2,設定!$D$2,1),0)),"X",IF(COUNTIF(設定!$W$6:$W$40,DATE(設定!$C$2,設定!$D$2,4))&gt;0,"國",IF(SUMPRODUCT(INDEX(設定!$U$70:$AO$74,0,P$57))=0,"休","")))</f>
        <v/>
      </c>
      <c r="Q59">
        <f>IF(5&gt;DAY(EOMONTH(DATE(設定!$C$2,設定!$D$2,1),0)),"X",IF(COUNTIF(設定!$W$6:$W$40,DATE(設定!$C$2,設定!$D$2,5))&gt;0,"國",IF(SUMPRODUCT(INDEX(設定!$U$70:$AO$74,0,Q$57))=0,"休","")))</f>
        <v/>
      </c>
      <c r="R59">
        <f>IF(5&gt;DAY(EOMONTH(DATE(設定!$C$2,設定!$D$2,1),0)),"X",IF(COUNTIF(設定!$W$6:$W$40,DATE(設定!$C$2,設定!$D$2,5))&gt;0,"國",IF(SUMPRODUCT(INDEX(設定!$U$70:$AO$74,0,R$57))=0,"休","")))</f>
        <v/>
      </c>
      <c r="S59">
        <f>IF(5&gt;DAY(EOMONTH(DATE(設定!$C$2,設定!$D$2,1),0)),"X",IF(COUNTIF(設定!$W$6:$W$40,DATE(設定!$C$2,設定!$D$2,5))&gt;0,"國",IF(SUMPRODUCT(INDEX(設定!$U$70:$AO$74,0,S$57))=0,"休","")))</f>
        <v/>
      </c>
      <c r="T59">
        <f>IF(6&gt;DAY(EOMONTH(DATE(設定!$C$2,設定!$D$2,1),0)),"X",IF(COUNTIF(設定!$W$6:$W$40,DATE(設定!$C$2,設定!$D$2,6))&gt;0,"國",IF(SUMPRODUCT(INDEX(設定!$U$70:$AO$74,0,T$57))=0,"休","")))</f>
        <v/>
      </c>
      <c r="U59">
        <f>IF(6&gt;DAY(EOMONTH(DATE(設定!$C$2,設定!$D$2,1),0)),"X",IF(COUNTIF(設定!$W$6:$W$40,DATE(設定!$C$2,設定!$D$2,6))&gt;0,"國",IF(SUMPRODUCT(INDEX(設定!$U$70:$AO$74,0,U$57))=0,"休","")))</f>
        <v/>
      </c>
      <c r="V59">
        <f>IF(6&gt;DAY(EOMONTH(DATE(設定!$C$2,設定!$D$2,1),0)),"X",IF(COUNTIF(設定!$W$6:$W$40,DATE(設定!$C$2,設定!$D$2,6))&gt;0,"國",IF(SUMPRODUCT(INDEX(設定!$U$70:$AO$74,0,V$57))=0,"休","")))</f>
        <v/>
      </c>
      <c r="W59">
        <f>IF(7&gt;DAY(EOMONTH(DATE(設定!$C$2,設定!$D$2,1),0)),"X",IF(COUNTIF(設定!$W$6:$W$40,DATE(設定!$C$2,設定!$D$2,7))&gt;0,"國",IF(SUMPRODUCT(INDEX(設定!$U$70:$AO$74,0,W$57))=0,"休","")))</f>
        <v/>
      </c>
      <c r="X59">
        <f>IF(7&gt;DAY(EOMONTH(DATE(設定!$C$2,設定!$D$2,1),0)),"X",IF(COUNTIF(設定!$W$6:$W$40,DATE(設定!$C$2,設定!$D$2,7))&gt;0,"國",IF(SUMPRODUCT(INDEX(設定!$U$70:$AO$74,0,X$57))=0,"休","")))</f>
        <v/>
      </c>
      <c r="Y59">
        <f>IF(7&gt;DAY(EOMONTH(DATE(設定!$C$2,設定!$D$2,1),0)),"X",IF(COUNTIF(設定!$W$6:$W$40,DATE(設定!$C$2,設定!$D$2,7))&gt;0,"國",IF(SUMPRODUCT(INDEX(設定!$U$70:$AO$74,0,Y$57))=0,"休","")))</f>
        <v/>
      </c>
      <c r="Z59">
        <f>IF(8&gt;DAY(EOMONTH(DATE(設定!$C$2,設定!$D$2,1),0)),"X",IF(COUNTIF(設定!$W$6:$W$40,DATE(設定!$C$2,設定!$D$2,8))&gt;0,"國",IF(SUMPRODUCT(INDEX(設定!$U$70:$AO$74,0,Z$57))=0,"休","")))</f>
        <v/>
      </c>
      <c r="AA59">
        <f>IF(8&gt;DAY(EOMONTH(DATE(設定!$C$2,設定!$D$2,1),0)),"X",IF(COUNTIF(設定!$W$6:$W$40,DATE(設定!$C$2,設定!$D$2,8))&gt;0,"國",IF(SUMPRODUCT(INDEX(設定!$U$70:$AO$74,0,AA$57))=0,"休","")))</f>
        <v/>
      </c>
      <c r="AB59">
        <f>IF(8&gt;DAY(EOMONTH(DATE(設定!$C$2,設定!$D$2,1),0)),"X",IF(COUNTIF(設定!$W$6:$W$40,DATE(設定!$C$2,設定!$D$2,8))&gt;0,"國",IF(SUMPRODUCT(INDEX(設定!$U$70:$AO$74,0,AB$57))=0,"休","")))</f>
        <v/>
      </c>
      <c r="AC59">
        <f>IF(9&gt;DAY(EOMONTH(DATE(設定!$C$2,設定!$D$2,1),0)),"X",IF(COUNTIF(設定!$W$6:$W$40,DATE(設定!$C$2,設定!$D$2,9))&gt;0,"國",IF(SUMPRODUCT(INDEX(設定!$U$70:$AO$74,0,AC$57))=0,"休","")))</f>
        <v/>
      </c>
      <c r="AD59">
        <f>IF(9&gt;DAY(EOMONTH(DATE(設定!$C$2,設定!$D$2,1),0)),"X",IF(COUNTIF(設定!$W$6:$W$40,DATE(設定!$C$2,設定!$D$2,9))&gt;0,"國",IF(SUMPRODUCT(INDEX(設定!$U$70:$AO$74,0,AD$57))=0,"休","")))</f>
        <v/>
      </c>
      <c r="AE59">
        <f>IF(9&gt;DAY(EOMONTH(DATE(設定!$C$2,設定!$D$2,1),0)),"X",IF(COUNTIF(設定!$W$6:$W$40,DATE(設定!$C$2,設定!$D$2,9))&gt;0,"國",IF(SUMPRODUCT(INDEX(設定!$U$70:$AO$74,0,AE$57))=0,"休","")))</f>
        <v/>
      </c>
      <c r="AF59">
        <f>IF(10&gt;DAY(EOMONTH(DATE(設定!$C$2,設定!$D$2,1),0)),"X",IF(COUNTIF(設定!$W$6:$W$40,DATE(設定!$C$2,設定!$D$2,10))&gt;0,"國",IF(SUMPRODUCT(INDEX(設定!$U$70:$AO$74,0,AF$57))=0,"休","")))</f>
        <v/>
      </c>
      <c r="AG59">
        <f>IF(10&gt;DAY(EOMONTH(DATE(設定!$C$2,設定!$D$2,1),0)),"X",IF(COUNTIF(設定!$W$6:$W$40,DATE(設定!$C$2,設定!$D$2,10))&gt;0,"國",IF(SUMPRODUCT(INDEX(設定!$U$70:$AO$74,0,AG$57))=0,"休","")))</f>
        <v/>
      </c>
      <c r="AH59">
        <f>IF(10&gt;DAY(EOMONTH(DATE(設定!$C$2,設定!$D$2,1),0)),"X",IF(COUNTIF(設定!$W$6:$W$40,DATE(設定!$C$2,設定!$D$2,10))&gt;0,"國",IF(SUMPRODUCT(INDEX(設定!$U$70:$AO$74,0,AH$57))=0,"休","")))</f>
        <v/>
      </c>
      <c r="AI59">
        <f>IF(11&gt;DAY(EOMONTH(DATE(設定!$C$2,設定!$D$2,1),0)),"X",IF(COUNTIF(設定!$W$6:$W$40,DATE(設定!$C$2,設定!$D$2,11))&gt;0,"國",IF(SUMPRODUCT(INDEX(設定!$U$70:$AO$74,0,AI$57))=0,"休","")))</f>
        <v/>
      </c>
      <c r="AJ59">
        <f>IF(11&gt;DAY(EOMONTH(DATE(設定!$C$2,設定!$D$2,1),0)),"X",IF(COUNTIF(設定!$W$6:$W$40,DATE(設定!$C$2,設定!$D$2,11))&gt;0,"國",IF(SUMPRODUCT(INDEX(設定!$U$70:$AO$74,0,AJ$57))=0,"休","")))</f>
        <v/>
      </c>
      <c r="AK59">
        <f>IF(11&gt;DAY(EOMONTH(DATE(設定!$C$2,設定!$D$2,1),0)),"X",IF(COUNTIF(設定!$W$6:$W$40,DATE(設定!$C$2,設定!$D$2,11))&gt;0,"國",IF(SUMPRODUCT(INDEX(設定!$U$70:$AO$74,0,AK$57))=0,"休","")))</f>
        <v/>
      </c>
      <c r="AL59">
        <f>IF(12&gt;DAY(EOMONTH(DATE(設定!$C$2,設定!$D$2,1),0)),"X",IF(COUNTIF(設定!$W$6:$W$40,DATE(設定!$C$2,設定!$D$2,12))&gt;0,"國",IF(SUMPRODUCT(INDEX(設定!$U$70:$AO$74,0,AL$57))=0,"休","")))</f>
        <v/>
      </c>
      <c r="AM59">
        <f>IF(12&gt;DAY(EOMONTH(DATE(設定!$C$2,設定!$D$2,1),0)),"X",IF(COUNTIF(設定!$W$6:$W$40,DATE(設定!$C$2,設定!$D$2,12))&gt;0,"國",IF(SUMPRODUCT(INDEX(設定!$U$70:$AO$74,0,AM$57))=0,"休","")))</f>
        <v/>
      </c>
      <c r="AN59">
        <f>IF(12&gt;DAY(EOMONTH(DATE(設定!$C$2,設定!$D$2,1),0)),"X",IF(COUNTIF(設定!$W$6:$W$40,DATE(設定!$C$2,設定!$D$2,12))&gt;0,"國",IF(SUMPRODUCT(INDEX(設定!$U$70:$AO$74,0,AN$57))=0,"休","")))</f>
        <v/>
      </c>
      <c r="AO59">
        <f>IF(13&gt;DAY(EOMONTH(DATE(設定!$C$2,設定!$D$2,1),0)),"X",IF(COUNTIF(設定!$W$6:$W$40,DATE(設定!$C$2,設定!$D$2,13))&gt;0,"國",IF(SUMPRODUCT(INDEX(設定!$U$70:$AO$74,0,AO$57))=0,"休","")))</f>
        <v/>
      </c>
      <c r="AP59">
        <f>IF(13&gt;DAY(EOMONTH(DATE(設定!$C$2,設定!$D$2,1),0)),"X",IF(COUNTIF(設定!$W$6:$W$40,DATE(設定!$C$2,設定!$D$2,13))&gt;0,"國",IF(SUMPRODUCT(INDEX(設定!$U$70:$AO$74,0,AP$57))=0,"休","")))</f>
        <v/>
      </c>
      <c r="AQ59">
        <f>IF(13&gt;DAY(EOMONTH(DATE(設定!$C$2,設定!$D$2,1),0)),"X",IF(COUNTIF(設定!$W$6:$W$40,DATE(設定!$C$2,設定!$D$2,13))&gt;0,"國",IF(SUMPRODUCT(INDEX(設定!$U$70:$AO$74,0,AQ$57))=0,"休","")))</f>
        <v/>
      </c>
      <c r="AR59">
        <f>IF(14&gt;DAY(EOMONTH(DATE(設定!$C$2,設定!$D$2,1),0)),"X",IF(COUNTIF(設定!$W$6:$W$40,DATE(設定!$C$2,設定!$D$2,14))&gt;0,"國",IF(SUMPRODUCT(INDEX(設定!$U$70:$AO$74,0,AR$57))=0,"休","")))</f>
        <v/>
      </c>
      <c r="AS59">
        <f>IF(14&gt;DAY(EOMONTH(DATE(設定!$C$2,設定!$D$2,1),0)),"X",IF(COUNTIF(設定!$W$6:$W$40,DATE(設定!$C$2,設定!$D$2,14))&gt;0,"國",IF(SUMPRODUCT(INDEX(設定!$U$70:$AO$74,0,AS$57))=0,"休","")))</f>
        <v/>
      </c>
      <c r="AT59">
        <f>IF(14&gt;DAY(EOMONTH(DATE(設定!$C$2,設定!$D$2,1),0)),"X",IF(COUNTIF(設定!$W$6:$W$40,DATE(設定!$C$2,設定!$D$2,14))&gt;0,"國",IF(SUMPRODUCT(INDEX(設定!$U$70:$AO$74,0,AT$57))=0,"休","")))</f>
        <v/>
      </c>
      <c r="AU59">
        <f>IF(15&gt;DAY(EOMONTH(DATE(設定!$C$2,設定!$D$2,1),0)),"X",IF(COUNTIF(設定!$W$6:$W$40,DATE(設定!$C$2,設定!$D$2,15))&gt;0,"國",IF(SUMPRODUCT(INDEX(設定!$U$70:$AO$74,0,AU$57))=0,"休","")))</f>
        <v/>
      </c>
      <c r="AV59">
        <f>IF(15&gt;DAY(EOMONTH(DATE(設定!$C$2,設定!$D$2,1),0)),"X",IF(COUNTIF(設定!$W$6:$W$40,DATE(設定!$C$2,設定!$D$2,15))&gt;0,"國",IF(SUMPRODUCT(INDEX(設定!$U$70:$AO$74,0,AV$57))=0,"休","")))</f>
        <v/>
      </c>
      <c r="AW59">
        <f>IF(15&gt;DAY(EOMONTH(DATE(設定!$C$2,設定!$D$2,1),0)),"X",IF(COUNTIF(設定!$W$6:$W$40,DATE(設定!$C$2,設定!$D$2,15))&gt;0,"國",IF(SUMPRODUCT(INDEX(設定!$U$70:$AO$74,0,AW$57))=0,"休","")))</f>
        <v/>
      </c>
      <c r="AX59">
        <f>IF(16&gt;DAY(EOMONTH(DATE(設定!$C$2,設定!$D$2,1),0)),"X",IF(COUNTIF(設定!$W$6:$W$40,DATE(設定!$C$2,設定!$D$2,16))&gt;0,"國",IF(SUMPRODUCT(INDEX(設定!$U$70:$AO$74,0,AX$57))=0,"休","")))</f>
        <v/>
      </c>
      <c r="AY59">
        <f>IF(16&gt;DAY(EOMONTH(DATE(設定!$C$2,設定!$D$2,1),0)),"X",IF(COUNTIF(設定!$W$6:$W$40,DATE(設定!$C$2,設定!$D$2,16))&gt;0,"國",IF(SUMPRODUCT(INDEX(設定!$U$70:$AO$74,0,AY$57))=0,"休","")))</f>
        <v/>
      </c>
      <c r="AZ59">
        <f>IF(16&gt;DAY(EOMONTH(DATE(設定!$C$2,設定!$D$2,1),0)),"X",IF(COUNTIF(設定!$W$6:$W$40,DATE(設定!$C$2,設定!$D$2,16))&gt;0,"國",IF(SUMPRODUCT(INDEX(設定!$U$70:$AO$74,0,AZ$57))=0,"休","")))</f>
        <v/>
      </c>
      <c r="BA59">
        <f>IF(17&gt;DAY(EOMONTH(DATE(設定!$C$2,設定!$D$2,1),0)),"X",IF(COUNTIF(設定!$W$6:$W$40,DATE(設定!$C$2,設定!$D$2,17))&gt;0,"國",IF(SUMPRODUCT(INDEX(設定!$U$70:$AO$74,0,BA$57))=0,"休","")))</f>
        <v/>
      </c>
      <c r="BB59">
        <f>IF(17&gt;DAY(EOMONTH(DATE(設定!$C$2,設定!$D$2,1),0)),"X",IF(COUNTIF(設定!$W$6:$W$40,DATE(設定!$C$2,設定!$D$2,17))&gt;0,"國",IF(SUMPRODUCT(INDEX(設定!$U$70:$AO$74,0,BB$57))=0,"休","")))</f>
        <v/>
      </c>
      <c r="BC59">
        <f>IF(17&gt;DAY(EOMONTH(DATE(設定!$C$2,設定!$D$2,1),0)),"X",IF(COUNTIF(設定!$W$6:$W$40,DATE(設定!$C$2,設定!$D$2,17))&gt;0,"國",IF(SUMPRODUCT(INDEX(設定!$U$70:$AO$74,0,BC$57))=0,"休","")))</f>
        <v/>
      </c>
      <c r="BD59">
        <f>IF(18&gt;DAY(EOMONTH(DATE(設定!$C$2,設定!$D$2,1),0)),"X",IF(COUNTIF(設定!$W$6:$W$40,DATE(設定!$C$2,設定!$D$2,18))&gt;0,"國",IF(SUMPRODUCT(INDEX(設定!$U$70:$AO$74,0,BD$57))=0,"休","")))</f>
        <v/>
      </c>
      <c r="BE59">
        <f>IF(18&gt;DAY(EOMONTH(DATE(設定!$C$2,設定!$D$2,1),0)),"X",IF(COUNTIF(設定!$W$6:$W$40,DATE(設定!$C$2,設定!$D$2,18))&gt;0,"國",IF(SUMPRODUCT(INDEX(設定!$U$70:$AO$74,0,BE$57))=0,"休","")))</f>
        <v/>
      </c>
      <c r="BF59">
        <f>IF(18&gt;DAY(EOMONTH(DATE(設定!$C$2,設定!$D$2,1),0)),"X",IF(COUNTIF(設定!$W$6:$W$40,DATE(設定!$C$2,設定!$D$2,18))&gt;0,"國",IF(SUMPRODUCT(INDEX(設定!$U$70:$AO$74,0,BF$57))=0,"休","")))</f>
        <v/>
      </c>
      <c r="BG59">
        <f>IF(19&gt;DAY(EOMONTH(DATE(設定!$C$2,設定!$D$2,1),0)),"X",IF(COUNTIF(設定!$W$6:$W$40,DATE(設定!$C$2,設定!$D$2,19))&gt;0,"國",IF(SUMPRODUCT(INDEX(設定!$U$70:$AO$74,0,BG$57))=0,"休","")))</f>
        <v/>
      </c>
      <c r="BH59">
        <f>IF(19&gt;DAY(EOMONTH(DATE(設定!$C$2,設定!$D$2,1),0)),"X",IF(COUNTIF(設定!$W$6:$W$40,DATE(設定!$C$2,設定!$D$2,19))&gt;0,"國",IF(SUMPRODUCT(INDEX(設定!$U$70:$AO$74,0,BH$57))=0,"休","")))</f>
        <v/>
      </c>
      <c r="BI59">
        <f>IF(19&gt;DAY(EOMONTH(DATE(設定!$C$2,設定!$D$2,1),0)),"X",IF(COUNTIF(設定!$W$6:$W$40,DATE(設定!$C$2,設定!$D$2,19))&gt;0,"國",IF(SUMPRODUCT(INDEX(設定!$U$70:$AO$74,0,BI$57))=0,"休","")))</f>
        <v/>
      </c>
      <c r="BJ59">
        <f>IF(20&gt;DAY(EOMONTH(DATE(設定!$C$2,設定!$D$2,1),0)),"X",IF(COUNTIF(設定!$W$6:$W$40,DATE(設定!$C$2,設定!$D$2,20))&gt;0,"國",IF(SUMPRODUCT(INDEX(設定!$U$70:$AO$74,0,BJ$57))=0,"休","")))</f>
        <v/>
      </c>
      <c r="BK59">
        <f>IF(20&gt;DAY(EOMONTH(DATE(設定!$C$2,設定!$D$2,1),0)),"X",IF(COUNTIF(設定!$W$6:$W$40,DATE(設定!$C$2,設定!$D$2,20))&gt;0,"國",IF(SUMPRODUCT(INDEX(設定!$U$70:$AO$74,0,BK$57))=0,"休","")))</f>
        <v/>
      </c>
      <c r="BL59">
        <f>IF(20&gt;DAY(EOMONTH(DATE(設定!$C$2,設定!$D$2,1),0)),"X",IF(COUNTIF(設定!$W$6:$W$40,DATE(設定!$C$2,設定!$D$2,20))&gt;0,"國",IF(SUMPRODUCT(INDEX(設定!$U$70:$AO$74,0,BL$57))=0,"休","")))</f>
        <v/>
      </c>
      <c r="BM59">
        <f>IF(21&gt;DAY(EOMONTH(DATE(設定!$C$2,設定!$D$2,1),0)),"X",IF(COUNTIF(設定!$W$6:$W$40,DATE(設定!$C$2,設定!$D$2,21))&gt;0,"國",IF(SUMPRODUCT(INDEX(設定!$U$70:$AO$74,0,BM$57))=0,"休","")))</f>
        <v/>
      </c>
      <c r="BN59">
        <f>IF(21&gt;DAY(EOMONTH(DATE(設定!$C$2,設定!$D$2,1),0)),"X",IF(COUNTIF(設定!$W$6:$W$40,DATE(設定!$C$2,設定!$D$2,21))&gt;0,"國",IF(SUMPRODUCT(INDEX(設定!$U$70:$AO$74,0,BN$57))=0,"休","")))</f>
        <v/>
      </c>
      <c r="BO59">
        <f>IF(21&gt;DAY(EOMONTH(DATE(設定!$C$2,設定!$D$2,1),0)),"X",IF(COUNTIF(設定!$W$6:$W$40,DATE(設定!$C$2,設定!$D$2,21))&gt;0,"國",IF(SUMPRODUCT(INDEX(設定!$U$70:$AO$74,0,BO$57))=0,"休","")))</f>
        <v/>
      </c>
      <c r="BP59">
        <f>IF(22&gt;DAY(EOMONTH(DATE(設定!$C$2,設定!$D$2,1),0)),"X",IF(COUNTIF(設定!$W$6:$W$40,DATE(設定!$C$2,設定!$D$2,22))&gt;0,"國",IF(SUMPRODUCT(INDEX(設定!$U$70:$AO$74,0,BP$57))=0,"休","")))</f>
        <v/>
      </c>
      <c r="BQ59">
        <f>IF(22&gt;DAY(EOMONTH(DATE(設定!$C$2,設定!$D$2,1),0)),"X",IF(COUNTIF(設定!$W$6:$W$40,DATE(設定!$C$2,設定!$D$2,22))&gt;0,"國",IF(SUMPRODUCT(INDEX(設定!$U$70:$AO$74,0,BQ$57))=0,"休","")))</f>
        <v/>
      </c>
      <c r="BR59">
        <f>IF(22&gt;DAY(EOMONTH(DATE(設定!$C$2,設定!$D$2,1),0)),"X",IF(COUNTIF(設定!$W$6:$W$40,DATE(設定!$C$2,設定!$D$2,22))&gt;0,"國",IF(SUMPRODUCT(INDEX(設定!$U$70:$AO$74,0,BR$57))=0,"休","")))</f>
        <v/>
      </c>
      <c r="BS59">
        <f>IF(23&gt;DAY(EOMONTH(DATE(設定!$C$2,設定!$D$2,1),0)),"X",IF(COUNTIF(設定!$W$6:$W$40,DATE(設定!$C$2,設定!$D$2,23))&gt;0,"國",IF(SUMPRODUCT(INDEX(設定!$U$70:$AO$74,0,BS$57))=0,"休","")))</f>
        <v/>
      </c>
      <c r="BT59">
        <f>IF(23&gt;DAY(EOMONTH(DATE(設定!$C$2,設定!$D$2,1),0)),"X",IF(COUNTIF(設定!$W$6:$W$40,DATE(設定!$C$2,設定!$D$2,23))&gt;0,"國",IF(SUMPRODUCT(INDEX(設定!$U$70:$AO$74,0,BT$57))=0,"休","")))</f>
        <v/>
      </c>
      <c r="BU59">
        <f>IF(23&gt;DAY(EOMONTH(DATE(設定!$C$2,設定!$D$2,1),0)),"X",IF(COUNTIF(設定!$W$6:$W$40,DATE(設定!$C$2,設定!$D$2,23))&gt;0,"國",IF(SUMPRODUCT(INDEX(設定!$U$70:$AO$74,0,BU$57))=0,"休","")))</f>
        <v/>
      </c>
      <c r="BV59">
        <f>IF(24&gt;DAY(EOMONTH(DATE(設定!$C$2,設定!$D$2,1),0)),"X",IF(COUNTIF(設定!$W$6:$W$40,DATE(設定!$C$2,設定!$D$2,24))&gt;0,"國",IF(SUMPRODUCT(INDEX(設定!$U$70:$AO$74,0,BV$57))=0,"休","")))</f>
        <v/>
      </c>
      <c r="BW59">
        <f>IF(24&gt;DAY(EOMONTH(DATE(設定!$C$2,設定!$D$2,1),0)),"X",IF(COUNTIF(設定!$W$6:$W$40,DATE(設定!$C$2,設定!$D$2,24))&gt;0,"國",IF(SUMPRODUCT(INDEX(設定!$U$70:$AO$74,0,BW$57))=0,"休","")))</f>
        <v/>
      </c>
      <c r="BX59">
        <f>IF(24&gt;DAY(EOMONTH(DATE(設定!$C$2,設定!$D$2,1),0)),"X",IF(COUNTIF(設定!$W$6:$W$40,DATE(設定!$C$2,設定!$D$2,24))&gt;0,"國",IF(SUMPRODUCT(INDEX(設定!$U$70:$AO$74,0,BX$57))=0,"休","")))</f>
        <v/>
      </c>
      <c r="BY59">
        <f>IF(25&gt;DAY(EOMONTH(DATE(設定!$C$2,設定!$D$2,1),0)),"X",IF(COUNTIF(設定!$W$6:$W$40,DATE(設定!$C$2,設定!$D$2,25))&gt;0,"國",IF(SUMPRODUCT(INDEX(設定!$U$70:$AO$74,0,BY$57))=0,"休","")))</f>
        <v/>
      </c>
      <c r="BZ59">
        <f>IF(25&gt;DAY(EOMONTH(DATE(設定!$C$2,設定!$D$2,1),0)),"X",IF(COUNTIF(設定!$W$6:$W$40,DATE(設定!$C$2,設定!$D$2,25))&gt;0,"國",IF(SUMPRODUCT(INDEX(設定!$U$70:$AO$74,0,BZ$57))=0,"休","")))</f>
        <v/>
      </c>
      <c r="CA59">
        <f>IF(25&gt;DAY(EOMONTH(DATE(設定!$C$2,設定!$D$2,1),0)),"X",IF(COUNTIF(設定!$W$6:$W$40,DATE(設定!$C$2,設定!$D$2,25))&gt;0,"國",IF(SUMPRODUCT(INDEX(設定!$U$70:$AO$74,0,CA$57))=0,"休","")))</f>
        <v/>
      </c>
      <c r="CB59">
        <f>IF(26&gt;DAY(EOMONTH(DATE(設定!$C$2,設定!$D$2,1),0)),"X",IF(COUNTIF(設定!$W$6:$W$40,DATE(設定!$C$2,設定!$D$2,26))&gt;0,"國",IF(SUMPRODUCT(INDEX(設定!$U$70:$AO$74,0,CB$57))=0,"休","")))</f>
        <v/>
      </c>
      <c r="CC59">
        <f>IF(26&gt;DAY(EOMONTH(DATE(設定!$C$2,設定!$D$2,1),0)),"X",IF(COUNTIF(設定!$W$6:$W$40,DATE(設定!$C$2,設定!$D$2,26))&gt;0,"國",IF(SUMPRODUCT(INDEX(設定!$U$70:$AO$74,0,CC$57))=0,"休","")))</f>
        <v/>
      </c>
      <c r="CD59">
        <f>IF(26&gt;DAY(EOMONTH(DATE(設定!$C$2,設定!$D$2,1),0)),"X",IF(COUNTIF(設定!$W$6:$W$40,DATE(設定!$C$2,設定!$D$2,26))&gt;0,"國",IF(SUMPRODUCT(INDEX(設定!$U$70:$AO$74,0,CD$57))=0,"休","")))</f>
        <v/>
      </c>
      <c r="CE59">
        <f>IF(27&gt;DAY(EOMONTH(DATE(設定!$C$2,設定!$D$2,1),0)),"X",IF(COUNTIF(設定!$W$6:$W$40,DATE(設定!$C$2,設定!$D$2,27))&gt;0,"國",IF(SUMPRODUCT(INDEX(設定!$U$70:$AO$74,0,CE$57))=0,"休","")))</f>
        <v/>
      </c>
      <c r="CF59">
        <f>IF(27&gt;DAY(EOMONTH(DATE(設定!$C$2,設定!$D$2,1),0)),"X",IF(COUNTIF(設定!$W$6:$W$40,DATE(設定!$C$2,設定!$D$2,27))&gt;0,"國",IF(SUMPRODUCT(INDEX(設定!$U$70:$AO$74,0,CF$57))=0,"休","")))</f>
        <v/>
      </c>
      <c r="CG59">
        <f>IF(27&gt;DAY(EOMONTH(DATE(設定!$C$2,設定!$D$2,1),0)),"X",IF(COUNTIF(設定!$W$6:$W$40,DATE(設定!$C$2,設定!$D$2,27))&gt;0,"國",IF(SUMPRODUCT(INDEX(設定!$U$70:$AO$74,0,CG$57))=0,"休","")))</f>
        <v/>
      </c>
      <c r="CH59">
        <f>IF(28&gt;DAY(EOMONTH(DATE(設定!$C$2,設定!$D$2,1),0)),"X",IF(COUNTIF(設定!$W$6:$W$40,DATE(設定!$C$2,設定!$D$2,28))&gt;0,"國",IF(SUMPRODUCT(INDEX(設定!$U$70:$AO$74,0,CH$57))=0,"休","")))</f>
        <v/>
      </c>
      <c r="CI59">
        <f>IF(28&gt;DAY(EOMONTH(DATE(設定!$C$2,設定!$D$2,1),0)),"X",IF(COUNTIF(設定!$W$6:$W$40,DATE(設定!$C$2,設定!$D$2,28))&gt;0,"國",IF(SUMPRODUCT(INDEX(設定!$U$70:$AO$74,0,CI$57))=0,"休","")))</f>
        <v/>
      </c>
      <c r="CJ59">
        <f>IF(28&gt;DAY(EOMONTH(DATE(設定!$C$2,設定!$D$2,1),0)),"X",IF(COUNTIF(設定!$W$6:$W$40,DATE(設定!$C$2,設定!$D$2,28))&gt;0,"國",IF(SUMPRODUCT(INDEX(設定!$U$70:$AO$74,0,CJ$57))=0,"休","")))</f>
        <v/>
      </c>
      <c r="CK59">
        <f>IF(29&gt;DAY(EOMONTH(DATE(設定!$C$2,設定!$D$2,1),0)),"X",IF(COUNTIF(設定!$W$6:$W$40,DATE(設定!$C$2,設定!$D$2,29))&gt;0,"國",IF(SUMPRODUCT(INDEX(設定!$U$70:$AO$74,0,CK$57))=0,"休","")))</f>
        <v/>
      </c>
      <c r="CL59">
        <f>IF(29&gt;DAY(EOMONTH(DATE(設定!$C$2,設定!$D$2,1),0)),"X",IF(COUNTIF(設定!$W$6:$W$40,DATE(設定!$C$2,設定!$D$2,29))&gt;0,"國",IF(SUMPRODUCT(INDEX(設定!$U$70:$AO$74,0,CL$57))=0,"休","")))</f>
        <v/>
      </c>
      <c r="CM59">
        <f>IF(29&gt;DAY(EOMONTH(DATE(設定!$C$2,設定!$D$2,1),0)),"X",IF(COUNTIF(設定!$W$6:$W$40,DATE(設定!$C$2,設定!$D$2,29))&gt;0,"國",IF(SUMPRODUCT(INDEX(設定!$U$70:$AO$74,0,CM$57))=0,"休","")))</f>
        <v/>
      </c>
      <c r="CN59">
        <f>IF(30&gt;DAY(EOMONTH(DATE(設定!$C$2,設定!$D$2,1),0)),"X",IF(COUNTIF(設定!$W$6:$W$40,DATE(設定!$C$2,設定!$D$2,30))&gt;0,"國",IF(SUMPRODUCT(INDEX(設定!$U$70:$AO$74,0,CN$57))=0,"休","")))</f>
        <v/>
      </c>
      <c r="CO59">
        <f>IF(30&gt;DAY(EOMONTH(DATE(設定!$C$2,設定!$D$2,1),0)),"X",IF(COUNTIF(設定!$W$6:$W$40,DATE(設定!$C$2,設定!$D$2,30))&gt;0,"國",IF(SUMPRODUCT(INDEX(設定!$U$70:$AO$74,0,CO$57))=0,"休","")))</f>
        <v/>
      </c>
      <c r="CP59">
        <f>IF(30&gt;DAY(EOMONTH(DATE(設定!$C$2,設定!$D$2,1),0)),"X",IF(COUNTIF(設定!$W$6:$W$40,DATE(設定!$C$2,設定!$D$2,30))&gt;0,"國",IF(SUMPRODUCT(INDEX(設定!$U$70:$AO$74,0,CP$57))=0,"休","")))</f>
        <v/>
      </c>
      <c r="CQ59">
        <f>IF(31&gt;DAY(EOMONTH(DATE(設定!$C$2,設定!$D$2,1),0)),"X",IF(COUNTIF(設定!$W$6:$W$40,DATE(設定!$C$2,設定!$D$2,31))&gt;0,"國",IF(SUMPRODUCT(INDEX(設定!$U$70:$AO$74,0,CQ$57))=0,"休","")))</f>
        <v/>
      </c>
      <c r="CR59">
        <f>IF(31&gt;DAY(EOMONTH(DATE(設定!$C$2,設定!$D$2,1),0)),"X",IF(COUNTIF(設定!$W$6:$W$40,DATE(設定!$C$2,設定!$D$2,31))&gt;0,"國",IF(SUMPRODUCT(INDEX(設定!$U$70:$AO$74,0,CR$57))=0,"休","")))</f>
        <v/>
      </c>
      <c r="CS59">
        <f>IF(31&gt;DAY(EOMONTH(DATE(設定!$C$2,設定!$D$2,1),0)),"X",IF(COUNTIF(設定!$W$6:$W$40,DATE(設定!$C$2,設定!$D$2,31))&gt;0,"國",IF(SUMPRODUCT(INDEX(設定!$U$70:$AO$74,0,CS$57))=0,"休","")))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COUNTIF(設定!$B$44:$B$56,E6)&gt;0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設定!$B$44:$B$56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9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8" t="inlineStr">
        <is>
          <t>D001</t>
        </is>
      </c>
      <c r="B5" s="18" t="inlineStr">
        <is>
          <t>林智俊</t>
        </is>
      </c>
      <c r="C5" s="72" t="inlineStr">
        <is>
          <t>牙周植牙專科</t>
        </is>
      </c>
      <c r="D5" s="18" t="inlineStr">
        <is>
          <t>晶悅院長</t>
        </is>
      </c>
      <c r="E5" s="64">
        <f>IF($A5="","",COUNTIF(醫師班表!$E6:$CS6,"悅"))</f>
        <v/>
      </c>
      <c r="F5" s="65">
        <f>IF($A5="","",COUNTIF(醫師班表!$E6:$CS6,"睿"))</f>
        <v/>
      </c>
      <c r="G5" s="66">
        <f>IF($A5="","",COUNTIF(醫師班表!$E6:$CS6,"匯"))</f>
        <v/>
      </c>
      <c r="H5" s="67">
        <f>IF($A5="","",COUNTIF(醫師班表!$E6:$CS6,"曜"))</f>
        <v/>
      </c>
      <c r="I5" s="68">
        <f>IF($A5="","",COUNTIF(醫師班表!$E6:$CS6,"寶"))</f>
        <v/>
      </c>
      <c r="J5" s="18">
        <f>IF($A5="","",SUM($E5:$I5))</f>
        <v/>
      </c>
      <c r="K5" s="18">
        <f>IF($A5="","",SUMPRODUCT(($E5:$I5&gt;0)*1))</f>
        <v/>
      </c>
      <c r="L5" s="18">
        <f>IF($A5="","",COUNTIF(醫師班表!$E6:$CS6,"訓"))</f>
        <v/>
      </c>
      <c r="M5" s="18">
        <f>IF($A5="","",COUNTIF(醫師班表!$E6:$CS6,"OFF"))</f>
        <v/>
      </c>
      <c r="N5" s="18">
        <f>IF($A5="","",COUNTIF(醫師班表!$E6:$CS6,"特"))</f>
        <v/>
      </c>
      <c r="O5" s="18">
        <f>IF($A5="","",COUNTIF(醫師班表!$E6:$CS6,"病"))</f>
        <v/>
      </c>
      <c r="P5" s="18">
        <f>IF($A5="","",COUNTIF(醫師班表!$E6:$CS6,"事"))</f>
        <v/>
      </c>
      <c r="Q5" s="18">
        <f>IF($A5="","",COUNTIF(醫師班表!$E6:$CS6,"公"))</f>
        <v/>
      </c>
      <c r="R5" s="18">
        <f>IF($A5="","",COUNTIF(醫師班表!$E6:$CS6,"國"))</f>
        <v/>
      </c>
      <c r="S5" s="18">
        <f>IF($A5="","",COUNTIF(醫師班表!$E6:$CS6,"休"))</f>
        <v/>
      </c>
      <c r="T5" s="18">
        <f>IF($A5="","",SUM($M5:$S5))</f>
        <v/>
      </c>
      <c r="U5" s="18">
        <f>IF($A5="","",DAY(EOMONTH(DATE(設定!$C$2,設定!$D$2,1),0))*3-COUNTIF(醫師班表!$E6:$CS6,"?*"))</f>
        <v/>
      </c>
    </row>
    <row r="6">
      <c r="A6" s="18" t="inlineStr">
        <is>
          <t>D002</t>
        </is>
      </c>
      <c r="B6" s="18" t="inlineStr">
        <is>
          <t>劉立德</t>
        </is>
      </c>
      <c r="C6" s="72" t="inlineStr">
        <is>
          <t>植牙專科 家庭牙醫專科</t>
        </is>
      </c>
      <c r="D6" s="18" t="inlineStr">
        <is>
          <t>晶曜院長</t>
        </is>
      </c>
      <c r="E6" s="64">
        <f>IF($A6="","",COUNTIF(醫師班表!$E7:$CS7,"悅"))</f>
        <v/>
      </c>
      <c r="F6" s="65">
        <f>IF($A6="","",COUNTIF(醫師班表!$E7:$CS7,"睿"))</f>
        <v/>
      </c>
      <c r="G6" s="66">
        <f>IF($A6="","",COUNTIF(醫師班表!$E7:$CS7,"匯"))</f>
        <v/>
      </c>
      <c r="H6" s="67">
        <f>IF($A6="","",COUNTIF(醫師班表!$E7:$CS7,"曜"))</f>
        <v/>
      </c>
      <c r="I6" s="68">
        <f>IF($A6="","",COUNTIF(醫師班表!$E7:$CS7,"寶"))</f>
        <v/>
      </c>
      <c r="J6" s="18">
        <f>IF($A6="","",SUM($E6:$I6))</f>
        <v/>
      </c>
      <c r="K6" s="18">
        <f>IF($A6="","",SUMPRODUCT(($E6:$I6&gt;0)*1))</f>
        <v/>
      </c>
      <c r="L6" s="18">
        <f>IF($A6="","",COUNTIF(醫師班表!$E7:$CS7,"訓"))</f>
        <v/>
      </c>
      <c r="M6" s="18">
        <f>IF($A6="","",COUNTIF(醫師班表!$E7:$CS7,"OFF"))</f>
        <v/>
      </c>
      <c r="N6" s="18">
        <f>IF($A6="","",COUNTIF(醫師班表!$E7:$CS7,"特"))</f>
        <v/>
      </c>
      <c r="O6" s="18">
        <f>IF($A6="","",COUNTIF(醫師班表!$E7:$CS7,"病"))</f>
        <v/>
      </c>
      <c r="P6" s="18">
        <f>IF($A6="","",COUNTIF(醫師班表!$E7:$CS7,"事"))</f>
        <v/>
      </c>
      <c r="Q6" s="18">
        <f>IF($A6="","",COUNTIF(醫師班表!$E7:$CS7,"公"))</f>
        <v/>
      </c>
      <c r="R6" s="18">
        <f>IF($A6="","",COUNTIF(醫師班表!$E7:$CS7,"國"))</f>
        <v/>
      </c>
      <c r="S6" s="18">
        <f>IF($A6="","",COUNTIF(醫師班表!$E7:$CS7,"休"))</f>
        <v/>
      </c>
      <c r="T6" s="18">
        <f>IF($A6="","",SUM($M6:$S6))</f>
        <v/>
      </c>
      <c r="U6" s="18">
        <f>IF($A6="","",DAY(EOMONTH(DATE(設定!$C$2,設定!$D$2,1),0))*3-COUNTIF(醫師班表!$E7:$CS7,"?*"))</f>
        <v/>
      </c>
    </row>
    <row r="7">
      <c r="A7" s="18" t="inlineStr">
        <is>
          <t>D003</t>
        </is>
      </c>
      <c r="B7" s="18" t="inlineStr">
        <is>
          <t>王泳泉</t>
        </is>
      </c>
      <c r="C7" s="72" t="inlineStr">
        <is>
          <t>矯正專科</t>
        </is>
      </c>
      <c r="D7" s="18" t="inlineStr"/>
      <c r="E7" s="64">
        <f>IF($A7="","",COUNTIF(醫師班表!$E8:$CS8,"悅"))</f>
        <v/>
      </c>
      <c r="F7" s="65">
        <f>IF($A7="","",COUNTIF(醫師班表!$E8:$CS8,"睿"))</f>
        <v/>
      </c>
      <c r="G7" s="66">
        <f>IF($A7="","",COUNTIF(醫師班表!$E8:$CS8,"匯"))</f>
        <v/>
      </c>
      <c r="H7" s="67">
        <f>IF($A7="","",COUNTIF(醫師班表!$E8:$CS8,"曜"))</f>
        <v/>
      </c>
      <c r="I7" s="68">
        <f>IF($A7="","",COUNTIF(醫師班表!$E8:$CS8,"寶"))</f>
        <v/>
      </c>
      <c r="J7" s="18">
        <f>IF($A7="","",SUM($E7:$I7))</f>
        <v/>
      </c>
      <c r="K7" s="18">
        <f>IF($A7="","",SUMPRODUCT(($E7:$I7&gt;0)*1))</f>
        <v/>
      </c>
      <c r="L7" s="18">
        <f>IF($A7="","",COUNTIF(醫師班表!$E8:$CS8,"訓"))</f>
        <v/>
      </c>
      <c r="M7" s="18">
        <f>IF($A7="","",COUNTIF(醫師班表!$E8:$CS8,"OFF"))</f>
        <v/>
      </c>
      <c r="N7" s="18">
        <f>IF($A7="","",COUNTIF(醫師班表!$E8:$CS8,"特"))</f>
        <v/>
      </c>
      <c r="O7" s="18">
        <f>IF($A7="","",COUNTIF(醫師班表!$E8:$CS8,"病"))</f>
        <v/>
      </c>
      <c r="P7" s="18">
        <f>IF($A7="","",COUNTIF(醫師班表!$E8:$CS8,"事"))</f>
        <v/>
      </c>
      <c r="Q7" s="18">
        <f>IF($A7="","",COUNTIF(醫師班表!$E8:$CS8,"公"))</f>
        <v/>
      </c>
      <c r="R7" s="18">
        <f>IF($A7="","",COUNTIF(醫師班表!$E8:$CS8,"國"))</f>
        <v/>
      </c>
      <c r="S7" s="18">
        <f>IF($A7="","",COUNTIF(醫師班表!$E8:$CS8,"休"))</f>
        <v/>
      </c>
      <c r="T7" s="18">
        <f>IF($A7="","",SUM($M7:$S7))</f>
        <v/>
      </c>
      <c r="U7" s="18">
        <f>IF($A7="","",DAY(EOMONTH(DATE(設定!$C$2,設定!$D$2,1),0))*3-COUNTIF(醫師班表!$E8:$CS8,"?*"))</f>
        <v/>
      </c>
    </row>
    <row r="8">
      <c r="A8" s="18" t="inlineStr">
        <is>
          <t>D004</t>
        </is>
      </c>
      <c r="B8" s="18" t="inlineStr">
        <is>
          <t>劉玠旻</t>
        </is>
      </c>
      <c r="C8" s="72" t="inlineStr">
        <is>
          <t>兒童專科</t>
        </is>
      </c>
      <c r="D8" s="18" t="inlineStr"/>
      <c r="E8" s="64">
        <f>IF($A8="","",COUNTIF(醫師班表!$E9:$CS9,"悅"))</f>
        <v/>
      </c>
      <c r="F8" s="65">
        <f>IF($A8="","",COUNTIF(醫師班表!$E9:$CS9,"睿"))</f>
        <v/>
      </c>
      <c r="G8" s="66">
        <f>IF($A8="","",COUNTIF(醫師班表!$E9:$CS9,"匯"))</f>
        <v/>
      </c>
      <c r="H8" s="67">
        <f>IF($A8="","",COUNTIF(醫師班表!$E9:$CS9,"曜"))</f>
        <v/>
      </c>
      <c r="I8" s="68">
        <f>IF($A8="","",COUNTIF(醫師班表!$E9:$CS9,"寶"))</f>
        <v/>
      </c>
      <c r="J8" s="18">
        <f>IF($A8="","",SUM($E8:$I8))</f>
        <v/>
      </c>
      <c r="K8" s="18">
        <f>IF($A8="","",SUMPRODUCT(($E8:$I8&gt;0)*1))</f>
        <v/>
      </c>
      <c r="L8" s="18">
        <f>IF($A8="","",COUNTIF(醫師班表!$E9:$CS9,"訓"))</f>
        <v/>
      </c>
      <c r="M8" s="18">
        <f>IF($A8="","",COUNTIF(醫師班表!$E9:$CS9,"OFF"))</f>
        <v/>
      </c>
      <c r="N8" s="18">
        <f>IF($A8="","",COUNTIF(醫師班表!$E9:$CS9,"特"))</f>
        <v/>
      </c>
      <c r="O8" s="18">
        <f>IF($A8="","",COUNTIF(醫師班表!$E9:$CS9,"病"))</f>
        <v/>
      </c>
      <c r="P8" s="18">
        <f>IF($A8="","",COUNTIF(醫師班表!$E9:$CS9,"事"))</f>
        <v/>
      </c>
      <c r="Q8" s="18">
        <f>IF($A8="","",COUNTIF(醫師班表!$E9:$CS9,"公"))</f>
        <v/>
      </c>
      <c r="R8" s="18">
        <f>IF($A8="","",COUNTIF(醫師班表!$E9:$CS9,"國"))</f>
        <v/>
      </c>
      <c r="S8" s="18">
        <f>IF($A8="","",COUNTIF(醫師班表!$E9:$CS9,"休"))</f>
        <v/>
      </c>
      <c r="T8" s="18">
        <f>IF($A8="","",SUM($M8:$S8))</f>
        <v/>
      </c>
      <c r="U8" s="18">
        <f>IF($A8="","",DAY(EOMONTH(DATE(設定!$C$2,設定!$D$2,1),0))*3-COUNTIF(醫師班表!$E9:$CS9,"?*"))</f>
        <v/>
      </c>
    </row>
    <row r="9">
      <c r="A9" s="18" t="inlineStr">
        <is>
          <t>D005</t>
        </is>
      </c>
      <c r="B9" s="18" t="inlineStr">
        <is>
          <t>陳志僑</t>
        </is>
      </c>
      <c r="C9" s="72" t="inlineStr">
        <is>
          <t>口外專科</t>
        </is>
      </c>
      <c r="D9" s="18" t="inlineStr"/>
      <c r="E9" s="64">
        <f>IF($A9="","",COUNTIF(醫師班表!$E10:$CS10,"悅"))</f>
        <v/>
      </c>
      <c r="F9" s="65">
        <f>IF($A9="","",COUNTIF(醫師班表!$E10:$CS10,"睿"))</f>
        <v/>
      </c>
      <c r="G9" s="66">
        <f>IF($A9="","",COUNTIF(醫師班表!$E10:$CS10,"匯"))</f>
        <v/>
      </c>
      <c r="H9" s="67">
        <f>IF($A9="","",COUNTIF(醫師班表!$E10:$CS10,"曜"))</f>
        <v/>
      </c>
      <c r="I9" s="68">
        <f>IF($A9="","",COUNTIF(醫師班表!$E10:$CS10,"寶"))</f>
        <v/>
      </c>
      <c r="J9" s="18">
        <f>IF($A9="","",SUM($E9:$I9))</f>
        <v/>
      </c>
      <c r="K9" s="18">
        <f>IF($A9="","",SUMPRODUCT(($E9:$I9&gt;0)*1))</f>
        <v/>
      </c>
      <c r="L9" s="18">
        <f>IF($A9="","",COUNTIF(醫師班表!$E10:$CS10,"訓"))</f>
        <v/>
      </c>
      <c r="M9" s="18">
        <f>IF($A9="","",COUNTIF(醫師班表!$E10:$CS10,"OFF"))</f>
        <v/>
      </c>
      <c r="N9" s="18">
        <f>IF($A9="","",COUNTIF(醫師班表!$E10:$CS10,"特"))</f>
        <v/>
      </c>
      <c r="O9" s="18">
        <f>IF($A9="","",COUNTIF(醫師班表!$E10:$CS10,"病"))</f>
        <v/>
      </c>
      <c r="P9" s="18">
        <f>IF($A9="","",COUNTIF(醫師班表!$E10:$CS10,"事"))</f>
        <v/>
      </c>
      <c r="Q9" s="18">
        <f>IF($A9="","",COUNTIF(醫師班表!$E10:$CS10,"公"))</f>
        <v/>
      </c>
      <c r="R9" s="18">
        <f>IF($A9="","",COUNTIF(醫師班表!$E10:$CS10,"國"))</f>
        <v/>
      </c>
      <c r="S9" s="18">
        <f>IF($A9="","",COUNTIF(醫師班表!$E10:$CS10,"休"))</f>
        <v/>
      </c>
      <c r="T9" s="18">
        <f>IF($A9="","",SUM($M9:$S9))</f>
        <v/>
      </c>
      <c r="U9" s="18">
        <f>IF($A9="","",DAY(EOMONTH(DATE(設定!$C$2,設定!$D$2,1),0))*3-COUNTIF(醫師班表!$E10:$CS10,"?*"))</f>
        <v/>
      </c>
    </row>
    <row r="10">
      <c r="A10" s="18" t="inlineStr">
        <is>
          <t>D006</t>
        </is>
      </c>
      <c r="B10" s="18" t="inlineStr">
        <is>
          <t>黃榆鈞</t>
        </is>
      </c>
      <c r="C10" s="72" t="inlineStr">
        <is>
          <t>矯正專科</t>
        </is>
      </c>
      <c r="D10" s="18" t="inlineStr"/>
      <c r="E10" s="64">
        <f>IF($A10="","",COUNTIF(醫師班表!$E11:$CS11,"悅"))</f>
        <v/>
      </c>
      <c r="F10" s="65">
        <f>IF($A10="","",COUNTIF(醫師班表!$E11:$CS11,"睿"))</f>
        <v/>
      </c>
      <c r="G10" s="66">
        <f>IF($A10="","",COUNTIF(醫師班表!$E11:$CS11,"匯"))</f>
        <v/>
      </c>
      <c r="H10" s="67">
        <f>IF($A10="","",COUNTIF(醫師班表!$E11:$CS11,"曜"))</f>
        <v/>
      </c>
      <c r="I10" s="68">
        <f>IF($A10="","",COUNTIF(醫師班表!$E11:$CS11,"寶"))</f>
        <v/>
      </c>
      <c r="J10" s="18">
        <f>IF($A10="","",SUM($E10:$I10))</f>
        <v/>
      </c>
      <c r="K10" s="18">
        <f>IF($A10="","",SUMPRODUCT(($E10:$I10&gt;0)*1))</f>
        <v/>
      </c>
      <c r="L10" s="18">
        <f>IF($A10="","",COUNTIF(醫師班表!$E11:$CS11,"訓"))</f>
        <v/>
      </c>
      <c r="M10" s="18">
        <f>IF($A10="","",COUNTIF(醫師班表!$E11:$CS11,"OFF"))</f>
        <v/>
      </c>
      <c r="N10" s="18">
        <f>IF($A10="","",COUNTIF(醫師班表!$E11:$CS11,"特"))</f>
        <v/>
      </c>
      <c r="O10" s="18">
        <f>IF($A10="","",COUNTIF(醫師班表!$E11:$CS11,"病"))</f>
        <v/>
      </c>
      <c r="P10" s="18">
        <f>IF($A10="","",COUNTIF(醫師班表!$E11:$CS11,"事"))</f>
        <v/>
      </c>
      <c r="Q10" s="18">
        <f>IF($A10="","",COUNTIF(醫師班表!$E11:$CS11,"公"))</f>
        <v/>
      </c>
      <c r="R10" s="18">
        <f>IF($A10="","",COUNTIF(醫師班表!$E11:$CS11,"國"))</f>
        <v/>
      </c>
      <c r="S10" s="18">
        <f>IF($A10="","",COUNTIF(醫師班表!$E11:$CS11,"休"))</f>
        <v/>
      </c>
      <c r="T10" s="18">
        <f>IF($A10="","",SUM($M10:$S10))</f>
        <v/>
      </c>
      <c r="U10" s="18">
        <f>IF($A10="","",DAY(EOMONTH(DATE(設定!$C$2,設定!$D$2,1),0))*3-COUNTIF(醫師班表!$E11:$CS11,"?*"))</f>
        <v/>
      </c>
    </row>
    <row r="11">
      <c r="A11" s="18" t="inlineStr">
        <is>
          <t>D007</t>
        </is>
      </c>
      <c r="B11" s="18" t="inlineStr">
        <is>
          <t>温翊君</t>
        </is>
      </c>
      <c r="C11" s="72" t="inlineStr">
        <is>
          <t>根管治療專科</t>
        </is>
      </c>
      <c r="D11" s="18" t="inlineStr"/>
      <c r="E11" s="64">
        <f>IF($A11="","",COUNTIF(醫師班表!$E12:$CS12,"悅"))</f>
        <v/>
      </c>
      <c r="F11" s="65">
        <f>IF($A11="","",COUNTIF(醫師班表!$E12:$CS12,"睿"))</f>
        <v/>
      </c>
      <c r="G11" s="66">
        <f>IF($A11="","",COUNTIF(醫師班表!$E12:$CS12,"匯"))</f>
        <v/>
      </c>
      <c r="H11" s="67">
        <f>IF($A11="","",COUNTIF(醫師班表!$E12:$CS12,"曜"))</f>
        <v/>
      </c>
      <c r="I11" s="68">
        <f>IF($A11="","",COUNTIF(醫師班表!$E12:$CS12,"寶"))</f>
        <v/>
      </c>
      <c r="J11" s="18">
        <f>IF($A11="","",SUM($E11:$I11))</f>
        <v/>
      </c>
      <c r="K11" s="18">
        <f>IF($A11="","",SUMPRODUCT(($E11:$I11&gt;0)*1))</f>
        <v/>
      </c>
      <c r="L11" s="18">
        <f>IF($A11="","",COUNTIF(醫師班表!$E12:$CS12,"訓"))</f>
        <v/>
      </c>
      <c r="M11" s="18">
        <f>IF($A11="","",COUNTIF(醫師班表!$E12:$CS12,"OFF"))</f>
        <v/>
      </c>
      <c r="N11" s="18">
        <f>IF($A11="","",COUNTIF(醫師班表!$E12:$CS12,"特"))</f>
        <v/>
      </c>
      <c r="O11" s="18">
        <f>IF($A11="","",COUNTIF(醫師班表!$E12:$CS12,"病"))</f>
        <v/>
      </c>
      <c r="P11" s="18">
        <f>IF($A11="","",COUNTIF(醫師班表!$E12:$CS12,"事"))</f>
        <v/>
      </c>
      <c r="Q11" s="18">
        <f>IF($A11="","",COUNTIF(醫師班表!$E12:$CS12,"公"))</f>
        <v/>
      </c>
      <c r="R11" s="18">
        <f>IF($A11="","",COUNTIF(醫師班表!$E12:$CS12,"國"))</f>
        <v/>
      </c>
      <c r="S11" s="18">
        <f>IF($A11="","",COUNTIF(醫師班表!$E12:$CS12,"休"))</f>
        <v/>
      </c>
      <c r="T11" s="18">
        <f>IF($A11="","",SUM($M11:$S11))</f>
        <v/>
      </c>
      <c r="U11" s="18">
        <f>IF($A11="","",DAY(EOMONTH(DATE(設定!$C$2,設定!$D$2,1),0))*3-COUNTIF(醫師班表!$E12:$CS12,"?*"))</f>
        <v/>
      </c>
    </row>
    <row r="12">
      <c r="A12" s="18" t="inlineStr">
        <is>
          <t>D008</t>
        </is>
      </c>
      <c r="B12" s="18" t="inlineStr">
        <is>
          <t>林紫亭</t>
        </is>
      </c>
      <c r="C12" s="72" t="inlineStr"/>
      <c r="D12" s="18" t="inlineStr"/>
      <c r="E12" s="64">
        <f>IF($A12="","",COUNTIF(醫師班表!$E13:$CS13,"悅"))</f>
        <v/>
      </c>
      <c r="F12" s="65">
        <f>IF($A12="","",COUNTIF(醫師班表!$E13:$CS13,"睿"))</f>
        <v/>
      </c>
      <c r="G12" s="66">
        <f>IF($A12="","",COUNTIF(醫師班表!$E13:$CS13,"匯"))</f>
        <v/>
      </c>
      <c r="H12" s="67">
        <f>IF($A12="","",COUNTIF(醫師班表!$E13:$CS13,"曜"))</f>
        <v/>
      </c>
      <c r="I12" s="68">
        <f>IF($A12="","",COUNTIF(醫師班表!$E13:$CS13,"寶"))</f>
        <v/>
      </c>
      <c r="J12" s="18">
        <f>IF($A12="","",SUM($E12:$I12))</f>
        <v/>
      </c>
      <c r="K12" s="18">
        <f>IF($A12="","",SUMPRODUCT(($E12:$I12&gt;0)*1))</f>
        <v/>
      </c>
      <c r="L12" s="18">
        <f>IF($A12="","",COUNTIF(醫師班表!$E13:$CS13,"訓"))</f>
        <v/>
      </c>
      <c r="M12" s="18">
        <f>IF($A12="","",COUNTIF(醫師班表!$E13:$CS13,"OFF"))</f>
        <v/>
      </c>
      <c r="N12" s="18">
        <f>IF($A12="","",COUNTIF(醫師班表!$E13:$CS13,"特"))</f>
        <v/>
      </c>
      <c r="O12" s="18">
        <f>IF($A12="","",COUNTIF(醫師班表!$E13:$CS13,"病"))</f>
        <v/>
      </c>
      <c r="P12" s="18">
        <f>IF($A12="","",COUNTIF(醫師班表!$E13:$CS13,"事"))</f>
        <v/>
      </c>
      <c r="Q12" s="18">
        <f>IF($A12="","",COUNTIF(醫師班表!$E13:$CS13,"公"))</f>
        <v/>
      </c>
      <c r="R12" s="18">
        <f>IF($A12="","",COUNTIF(醫師班表!$E13:$CS13,"國"))</f>
        <v/>
      </c>
      <c r="S12" s="18">
        <f>IF($A12="","",COUNTIF(醫師班表!$E13:$CS13,"休"))</f>
        <v/>
      </c>
      <c r="T12" s="18">
        <f>IF($A12="","",SUM($M12:$S12))</f>
        <v/>
      </c>
      <c r="U12" s="18">
        <f>IF($A12="","",DAY(EOMONTH(DATE(設定!$C$2,設定!$D$2,1),0))*3-COUNTIF(醫師班表!$E13:$CS13,"?*"))</f>
        <v/>
      </c>
    </row>
    <row r="13">
      <c r="A13" s="18" t="inlineStr">
        <is>
          <t>D009</t>
        </is>
      </c>
      <c r="B13" s="18" t="inlineStr">
        <is>
          <t>陳昺元</t>
        </is>
      </c>
      <c r="C13" s="72" t="inlineStr">
        <is>
          <t>美學植牙專科</t>
        </is>
      </c>
      <c r="D13" s="18" t="inlineStr">
        <is>
          <t>晶匯院長</t>
        </is>
      </c>
      <c r="E13" s="64">
        <f>IF($A13="","",COUNTIF(醫師班表!$E14:$CS14,"悅"))</f>
        <v/>
      </c>
      <c r="F13" s="65">
        <f>IF($A13="","",COUNTIF(醫師班表!$E14:$CS14,"睿"))</f>
        <v/>
      </c>
      <c r="G13" s="66">
        <f>IF($A13="","",COUNTIF(醫師班表!$E14:$CS14,"匯"))</f>
        <v/>
      </c>
      <c r="H13" s="67">
        <f>IF($A13="","",COUNTIF(醫師班表!$E14:$CS14,"曜"))</f>
        <v/>
      </c>
      <c r="I13" s="68">
        <f>IF($A13="","",COUNTIF(醫師班表!$E14:$CS14,"寶"))</f>
        <v/>
      </c>
      <c r="J13" s="18">
        <f>IF($A13="","",SUM($E13:$I13))</f>
        <v/>
      </c>
      <c r="K13" s="18">
        <f>IF($A13="","",SUMPRODUCT(($E13:$I13&gt;0)*1))</f>
        <v/>
      </c>
      <c r="L13" s="18">
        <f>IF($A13="","",COUNTIF(醫師班表!$E14:$CS14,"訓"))</f>
        <v/>
      </c>
      <c r="M13" s="18">
        <f>IF($A13="","",COUNTIF(醫師班表!$E14:$CS14,"OFF"))</f>
        <v/>
      </c>
      <c r="N13" s="18">
        <f>IF($A13="","",COUNTIF(醫師班表!$E14:$CS14,"特"))</f>
        <v/>
      </c>
      <c r="O13" s="18">
        <f>IF($A13="","",COUNTIF(醫師班表!$E14:$CS14,"病"))</f>
        <v/>
      </c>
      <c r="P13" s="18">
        <f>IF($A13="","",COUNTIF(醫師班表!$E14:$CS14,"事"))</f>
        <v/>
      </c>
      <c r="Q13" s="18">
        <f>IF($A13="","",COUNTIF(醫師班表!$E14:$CS14,"公"))</f>
        <v/>
      </c>
      <c r="R13" s="18">
        <f>IF($A13="","",COUNTIF(醫師班表!$E14:$CS14,"國"))</f>
        <v/>
      </c>
      <c r="S13" s="18">
        <f>IF($A13="","",COUNTIF(醫師班表!$E14:$CS14,"休"))</f>
        <v/>
      </c>
      <c r="T13" s="18">
        <f>IF($A13="","",SUM($M13:$S13))</f>
        <v/>
      </c>
      <c r="U13" s="18">
        <f>IF($A13="","",DAY(EOMONTH(DATE(設定!$C$2,設定!$D$2,1),0))*3-COUNTIF(醫師班表!$E14:$CS14,"?*"))</f>
        <v/>
      </c>
    </row>
    <row r="14">
      <c r="A14" s="18" t="inlineStr">
        <is>
          <t>D010</t>
        </is>
      </c>
      <c r="B14" s="18" t="inlineStr">
        <is>
          <t>蔡季軒</t>
        </is>
      </c>
      <c r="C14" s="72" t="inlineStr"/>
      <c r="D14" s="18" t="inlineStr"/>
      <c r="E14" s="64">
        <f>IF($A14="","",COUNTIF(醫師班表!$E15:$CS15,"悅"))</f>
        <v/>
      </c>
      <c r="F14" s="65">
        <f>IF($A14="","",COUNTIF(醫師班表!$E15:$CS15,"睿"))</f>
        <v/>
      </c>
      <c r="G14" s="66">
        <f>IF($A14="","",COUNTIF(醫師班表!$E15:$CS15,"匯"))</f>
        <v/>
      </c>
      <c r="H14" s="67">
        <f>IF($A14="","",COUNTIF(醫師班表!$E15:$CS15,"曜"))</f>
        <v/>
      </c>
      <c r="I14" s="68">
        <f>IF($A14="","",COUNTIF(醫師班表!$E15:$CS15,"寶"))</f>
        <v/>
      </c>
      <c r="J14" s="18">
        <f>IF($A14="","",SUM($E14:$I14))</f>
        <v/>
      </c>
      <c r="K14" s="18">
        <f>IF($A14="","",SUMPRODUCT(($E14:$I14&gt;0)*1))</f>
        <v/>
      </c>
      <c r="L14" s="18">
        <f>IF($A14="","",COUNTIF(醫師班表!$E15:$CS15,"訓"))</f>
        <v/>
      </c>
      <c r="M14" s="18">
        <f>IF($A14="","",COUNTIF(醫師班表!$E15:$CS15,"OFF"))</f>
        <v/>
      </c>
      <c r="N14" s="18">
        <f>IF($A14="","",COUNTIF(醫師班表!$E15:$CS15,"特"))</f>
        <v/>
      </c>
      <c r="O14" s="18">
        <f>IF($A14="","",COUNTIF(醫師班表!$E15:$CS15,"病"))</f>
        <v/>
      </c>
      <c r="P14" s="18">
        <f>IF($A14="","",COUNTIF(醫師班表!$E15:$CS15,"事"))</f>
        <v/>
      </c>
      <c r="Q14" s="18">
        <f>IF($A14="","",COUNTIF(醫師班表!$E15:$CS15,"公"))</f>
        <v/>
      </c>
      <c r="R14" s="18">
        <f>IF($A14="","",COUNTIF(醫師班表!$E15:$CS15,"國"))</f>
        <v/>
      </c>
      <c r="S14" s="18">
        <f>IF($A14="","",COUNTIF(醫師班表!$E15:$CS15,"休"))</f>
        <v/>
      </c>
      <c r="T14" s="18">
        <f>IF($A14="","",SUM($M14:$S14))</f>
        <v/>
      </c>
      <c r="U14" s="18">
        <f>IF($A14="","",DAY(EOMONTH(DATE(設定!$C$2,設定!$D$2,1),0))*3-COUNTIF(醫師班表!$E15:$CS15,"?*"))</f>
        <v/>
      </c>
    </row>
    <row r="15">
      <c r="A15" s="18" t="inlineStr">
        <is>
          <t>D011</t>
        </is>
      </c>
      <c r="B15" s="18" t="inlineStr">
        <is>
          <t>温健成</t>
        </is>
      </c>
      <c r="C15" s="72" t="inlineStr"/>
      <c r="D15" s="18" t="inlineStr">
        <is>
          <t>晶睿院長</t>
        </is>
      </c>
      <c r="E15" s="64">
        <f>IF($A15="","",COUNTIF(醫師班表!$E16:$CS16,"悅"))</f>
        <v/>
      </c>
      <c r="F15" s="65">
        <f>IF($A15="","",COUNTIF(醫師班表!$E16:$CS16,"睿"))</f>
        <v/>
      </c>
      <c r="G15" s="66">
        <f>IF($A15="","",COUNTIF(醫師班表!$E16:$CS16,"匯"))</f>
        <v/>
      </c>
      <c r="H15" s="67">
        <f>IF($A15="","",COUNTIF(醫師班表!$E16:$CS16,"曜"))</f>
        <v/>
      </c>
      <c r="I15" s="68">
        <f>IF($A15="","",COUNTIF(醫師班表!$E16:$CS16,"寶"))</f>
        <v/>
      </c>
      <c r="J15" s="18">
        <f>IF($A15="","",SUM($E15:$I15))</f>
        <v/>
      </c>
      <c r="K15" s="18">
        <f>IF($A15="","",SUMPRODUCT(($E15:$I15&gt;0)*1))</f>
        <v/>
      </c>
      <c r="L15" s="18">
        <f>IF($A15="","",COUNTIF(醫師班表!$E16:$CS16,"訓"))</f>
        <v/>
      </c>
      <c r="M15" s="18">
        <f>IF($A15="","",COUNTIF(醫師班表!$E16:$CS16,"OFF"))</f>
        <v/>
      </c>
      <c r="N15" s="18">
        <f>IF($A15="","",COUNTIF(醫師班表!$E16:$CS16,"特"))</f>
        <v/>
      </c>
      <c r="O15" s="18">
        <f>IF($A15="","",COUNTIF(醫師班表!$E16:$CS16,"病"))</f>
        <v/>
      </c>
      <c r="P15" s="18">
        <f>IF($A15="","",COUNTIF(醫師班表!$E16:$CS16,"事"))</f>
        <v/>
      </c>
      <c r="Q15" s="18">
        <f>IF($A15="","",COUNTIF(醫師班表!$E16:$CS16,"公"))</f>
        <v/>
      </c>
      <c r="R15" s="18">
        <f>IF($A15="","",COUNTIF(醫師班表!$E16:$CS16,"國"))</f>
        <v/>
      </c>
      <c r="S15" s="18">
        <f>IF($A15="","",COUNTIF(醫師班表!$E16:$CS16,"休"))</f>
        <v/>
      </c>
      <c r="T15" s="18">
        <f>IF($A15="","",SUM($M15:$S15))</f>
        <v/>
      </c>
      <c r="U15" s="18">
        <f>IF($A15="","",DAY(EOMONTH(DATE(設定!$C$2,設定!$D$2,1),0))*3-COUNTIF(醫師班表!$E16:$CS16,"?*"))</f>
        <v/>
      </c>
    </row>
    <row r="16">
      <c r="A16" s="18" t="inlineStr">
        <is>
          <t>D012</t>
        </is>
      </c>
      <c r="B16" s="18" t="inlineStr">
        <is>
          <t>陳立軒</t>
        </is>
      </c>
      <c r="C16" s="72" t="inlineStr"/>
      <c r="D16" s="18" t="inlineStr"/>
      <c r="E16" s="64">
        <f>IF($A16="","",COUNTIF(醫師班表!$E17:$CS17,"悅"))</f>
        <v/>
      </c>
      <c r="F16" s="65">
        <f>IF($A16="","",COUNTIF(醫師班表!$E17:$CS17,"睿"))</f>
        <v/>
      </c>
      <c r="G16" s="66">
        <f>IF($A16="","",COUNTIF(醫師班表!$E17:$CS17,"匯"))</f>
        <v/>
      </c>
      <c r="H16" s="67">
        <f>IF($A16="","",COUNTIF(醫師班表!$E17:$CS17,"曜"))</f>
        <v/>
      </c>
      <c r="I16" s="68">
        <f>IF($A16="","",COUNTIF(醫師班表!$E17:$CS17,"寶"))</f>
        <v/>
      </c>
      <c r="J16" s="18">
        <f>IF($A16="","",SUM($E16:$I16))</f>
        <v/>
      </c>
      <c r="K16" s="18">
        <f>IF($A16="","",SUMPRODUCT(($E16:$I16&gt;0)*1))</f>
        <v/>
      </c>
      <c r="L16" s="18">
        <f>IF($A16="","",COUNTIF(醫師班表!$E17:$CS17,"訓"))</f>
        <v/>
      </c>
      <c r="M16" s="18">
        <f>IF($A16="","",COUNTIF(醫師班表!$E17:$CS17,"OFF"))</f>
        <v/>
      </c>
      <c r="N16" s="18">
        <f>IF($A16="","",COUNTIF(醫師班表!$E17:$CS17,"特"))</f>
        <v/>
      </c>
      <c r="O16" s="18">
        <f>IF($A16="","",COUNTIF(醫師班表!$E17:$CS17,"病"))</f>
        <v/>
      </c>
      <c r="P16" s="18">
        <f>IF($A16="","",COUNTIF(醫師班表!$E17:$CS17,"事"))</f>
        <v/>
      </c>
      <c r="Q16" s="18">
        <f>IF($A16="","",COUNTIF(醫師班表!$E17:$CS17,"公"))</f>
        <v/>
      </c>
      <c r="R16" s="18">
        <f>IF($A16="","",COUNTIF(醫師班表!$E17:$CS17,"國"))</f>
        <v/>
      </c>
      <c r="S16" s="18">
        <f>IF($A16="","",COUNTIF(醫師班表!$E17:$CS17,"休"))</f>
        <v/>
      </c>
      <c r="T16" s="18">
        <f>IF($A16="","",SUM($M16:$S16))</f>
        <v/>
      </c>
      <c r="U16" s="18">
        <f>IF($A16="","",DAY(EOMONTH(DATE(設定!$C$2,設定!$D$2,1),0))*3-COUNTIF(醫師班表!$E17:$CS17,"?*"))</f>
        <v/>
      </c>
    </row>
    <row r="17">
      <c r="A17" s="18" t="inlineStr">
        <is>
          <t>D013</t>
        </is>
      </c>
      <c r="B17" s="18" t="inlineStr">
        <is>
          <t>朱柏非</t>
        </is>
      </c>
      <c r="C17" s="72" t="inlineStr"/>
      <c r="D17" s="18" t="inlineStr"/>
      <c r="E17" s="64">
        <f>IF($A17="","",COUNTIF(醫師班表!$E18:$CS18,"悅"))</f>
        <v/>
      </c>
      <c r="F17" s="65">
        <f>IF($A17="","",COUNTIF(醫師班表!$E18:$CS18,"睿"))</f>
        <v/>
      </c>
      <c r="G17" s="66">
        <f>IF($A17="","",COUNTIF(醫師班表!$E18:$CS18,"匯"))</f>
        <v/>
      </c>
      <c r="H17" s="67">
        <f>IF($A17="","",COUNTIF(醫師班表!$E18:$CS18,"曜"))</f>
        <v/>
      </c>
      <c r="I17" s="68">
        <f>IF($A17="","",COUNTIF(醫師班表!$E18:$CS18,"寶"))</f>
        <v/>
      </c>
      <c r="J17" s="18">
        <f>IF($A17="","",SUM($E17:$I17))</f>
        <v/>
      </c>
      <c r="K17" s="18">
        <f>IF($A17="","",SUMPRODUCT(($E17:$I17&gt;0)*1))</f>
        <v/>
      </c>
      <c r="L17" s="18">
        <f>IF($A17="","",COUNTIF(醫師班表!$E18:$CS18,"訓"))</f>
        <v/>
      </c>
      <c r="M17" s="18">
        <f>IF($A17="","",COUNTIF(醫師班表!$E18:$CS18,"OFF"))</f>
        <v/>
      </c>
      <c r="N17" s="18">
        <f>IF($A17="","",COUNTIF(醫師班表!$E18:$CS18,"特"))</f>
        <v/>
      </c>
      <c r="O17" s="18">
        <f>IF($A17="","",COUNTIF(醫師班表!$E18:$CS18,"病"))</f>
        <v/>
      </c>
      <c r="P17" s="18">
        <f>IF($A17="","",COUNTIF(醫師班表!$E18:$CS18,"事"))</f>
        <v/>
      </c>
      <c r="Q17" s="18">
        <f>IF($A17="","",COUNTIF(醫師班表!$E18:$CS18,"公"))</f>
        <v/>
      </c>
      <c r="R17" s="18">
        <f>IF($A17="","",COUNTIF(醫師班表!$E18:$CS18,"國"))</f>
        <v/>
      </c>
      <c r="S17" s="18">
        <f>IF($A17="","",COUNTIF(醫師班表!$E18:$CS18,"休"))</f>
        <v/>
      </c>
      <c r="T17" s="18">
        <f>IF($A17="","",SUM($M17:$S17))</f>
        <v/>
      </c>
      <c r="U17" s="18">
        <f>IF($A17="","",DAY(EOMONTH(DATE(設定!$C$2,設定!$D$2,1),0))*3-COUNTIF(醫師班表!$E18:$CS18,"?*"))</f>
        <v/>
      </c>
    </row>
    <row r="18">
      <c r="A18" s="18" t="inlineStr">
        <is>
          <t>D014</t>
        </is>
      </c>
      <c r="B18" s="18" t="inlineStr">
        <is>
          <t>鄭漢賢</t>
        </is>
      </c>
      <c r="C18" s="72" t="inlineStr"/>
      <c r="D18" s="18" t="inlineStr"/>
      <c r="E18" s="64">
        <f>IF($A18="","",COUNTIF(醫師班表!$E19:$CS19,"悅"))</f>
        <v/>
      </c>
      <c r="F18" s="65">
        <f>IF($A18="","",COUNTIF(醫師班表!$E19:$CS19,"睿"))</f>
        <v/>
      </c>
      <c r="G18" s="66">
        <f>IF($A18="","",COUNTIF(醫師班表!$E19:$CS19,"匯"))</f>
        <v/>
      </c>
      <c r="H18" s="67">
        <f>IF($A18="","",COUNTIF(醫師班表!$E19:$CS19,"曜"))</f>
        <v/>
      </c>
      <c r="I18" s="68">
        <f>IF($A18="","",COUNTIF(醫師班表!$E19:$CS19,"寶"))</f>
        <v/>
      </c>
      <c r="J18" s="18">
        <f>IF($A18="","",SUM($E18:$I18))</f>
        <v/>
      </c>
      <c r="K18" s="18">
        <f>IF($A18="","",SUMPRODUCT(($E18:$I18&gt;0)*1))</f>
        <v/>
      </c>
      <c r="L18" s="18">
        <f>IF($A18="","",COUNTIF(醫師班表!$E19:$CS19,"訓"))</f>
        <v/>
      </c>
      <c r="M18" s="18">
        <f>IF($A18="","",COUNTIF(醫師班表!$E19:$CS19,"OFF"))</f>
        <v/>
      </c>
      <c r="N18" s="18">
        <f>IF($A18="","",COUNTIF(醫師班表!$E19:$CS19,"特"))</f>
        <v/>
      </c>
      <c r="O18" s="18">
        <f>IF($A18="","",COUNTIF(醫師班表!$E19:$CS19,"病"))</f>
        <v/>
      </c>
      <c r="P18" s="18">
        <f>IF($A18="","",COUNTIF(醫師班表!$E19:$CS19,"事"))</f>
        <v/>
      </c>
      <c r="Q18" s="18">
        <f>IF($A18="","",COUNTIF(醫師班表!$E19:$CS19,"公"))</f>
        <v/>
      </c>
      <c r="R18" s="18">
        <f>IF($A18="","",COUNTIF(醫師班表!$E19:$CS19,"國"))</f>
        <v/>
      </c>
      <c r="S18" s="18">
        <f>IF($A18="","",COUNTIF(醫師班表!$E19:$CS19,"休"))</f>
        <v/>
      </c>
      <c r="T18" s="18">
        <f>IF($A18="","",SUM($M18:$S18))</f>
        <v/>
      </c>
      <c r="U18" s="18">
        <f>IF($A18="","",DAY(EOMONTH(DATE(設定!$C$2,設定!$D$2,1),0))*3-COUNTIF(醫師班表!$E19:$CS19,"?*"))</f>
        <v/>
      </c>
    </row>
    <row r="19">
      <c r="A19" s="18" t="inlineStr">
        <is>
          <t>D015</t>
        </is>
      </c>
      <c r="B19" s="18" t="inlineStr">
        <is>
          <t>徐平</t>
        </is>
      </c>
      <c r="C19" s="72" t="inlineStr"/>
      <c r="D19" s="18" t="inlineStr"/>
      <c r="E19" s="64">
        <f>IF($A19="","",COUNTIF(醫師班表!$E20:$CS20,"悅"))</f>
        <v/>
      </c>
      <c r="F19" s="65">
        <f>IF($A19="","",COUNTIF(醫師班表!$E20:$CS20,"睿"))</f>
        <v/>
      </c>
      <c r="G19" s="66">
        <f>IF($A19="","",COUNTIF(醫師班表!$E20:$CS20,"匯"))</f>
        <v/>
      </c>
      <c r="H19" s="67">
        <f>IF($A19="","",COUNTIF(醫師班表!$E20:$CS20,"曜"))</f>
        <v/>
      </c>
      <c r="I19" s="68">
        <f>IF($A19="","",COUNTIF(醫師班表!$E20:$CS20,"寶"))</f>
        <v/>
      </c>
      <c r="J19" s="18">
        <f>IF($A19="","",SUM($E19:$I19))</f>
        <v/>
      </c>
      <c r="K19" s="18">
        <f>IF($A19="","",SUMPRODUCT(($E19:$I19&gt;0)*1))</f>
        <v/>
      </c>
      <c r="L19" s="18">
        <f>IF($A19="","",COUNTIF(醫師班表!$E20:$CS20,"訓"))</f>
        <v/>
      </c>
      <c r="M19" s="18">
        <f>IF($A19="","",COUNTIF(醫師班表!$E20:$CS20,"OFF"))</f>
        <v/>
      </c>
      <c r="N19" s="18">
        <f>IF($A19="","",COUNTIF(醫師班表!$E20:$CS20,"特"))</f>
        <v/>
      </c>
      <c r="O19" s="18">
        <f>IF($A19="","",COUNTIF(醫師班表!$E20:$CS20,"病"))</f>
        <v/>
      </c>
      <c r="P19" s="18">
        <f>IF($A19="","",COUNTIF(醫師班表!$E20:$CS20,"事"))</f>
        <v/>
      </c>
      <c r="Q19" s="18">
        <f>IF($A19="","",COUNTIF(醫師班表!$E20:$CS20,"公"))</f>
        <v/>
      </c>
      <c r="R19" s="18">
        <f>IF($A19="","",COUNTIF(醫師班表!$E20:$CS20,"國"))</f>
        <v/>
      </c>
      <c r="S19" s="18">
        <f>IF($A19="","",COUNTIF(醫師班表!$E20:$CS20,"休"))</f>
        <v/>
      </c>
      <c r="T19" s="18">
        <f>IF($A19="","",SUM($M19:$S19))</f>
        <v/>
      </c>
      <c r="U19" s="18">
        <f>IF($A19="","",DAY(EOMONTH(DATE(設定!$C$2,設定!$D$2,1),0))*3-COUNTIF(醫師班表!$E20:$CS20,"?*"))</f>
        <v/>
      </c>
    </row>
    <row r="20">
      <c r="A20" s="18" t="inlineStr">
        <is>
          <t>D016</t>
        </is>
      </c>
      <c r="B20" s="18" t="inlineStr">
        <is>
          <t>賴敏傑</t>
        </is>
      </c>
      <c r="C20" s="72" t="inlineStr"/>
      <c r="D20" s="18" t="inlineStr"/>
      <c r="E20" s="64">
        <f>IF($A20="","",COUNTIF(醫師班表!$E21:$CS21,"悅"))</f>
        <v/>
      </c>
      <c r="F20" s="65">
        <f>IF($A20="","",COUNTIF(醫師班表!$E21:$CS21,"睿"))</f>
        <v/>
      </c>
      <c r="G20" s="66">
        <f>IF($A20="","",COUNTIF(醫師班表!$E21:$CS21,"匯"))</f>
        <v/>
      </c>
      <c r="H20" s="67">
        <f>IF($A20="","",COUNTIF(醫師班表!$E21:$CS21,"曜"))</f>
        <v/>
      </c>
      <c r="I20" s="68">
        <f>IF($A20="","",COUNTIF(醫師班表!$E21:$CS21,"寶"))</f>
        <v/>
      </c>
      <c r="J20" s="18">
        <f>IF($A20="","",SUM($E20:$I20))</f>
        <v/>
      </c>
      <c r="K20" s="18">
        <f>IF($A20="","",SUMPRODUCT(($E20:$I20&gt;0)*1))</f>
        <v/>
      </c>
      <c r="L20" s="18">
        <f>IF($A20="","",COUNTIF(醫師班表!$E21:$CS21,"訓"))</f>
        <v/>
      </c>
      <c r="M20" s="18">
        <f>IF($A20="","",COUNTIF(醫師班表!$E21:$CS21,"OFF"))</f>
        <v/>
      </c>
      <c r="N20" s="18">
        <f>IF($A20="","",COUNTIF(醫師班表!$E21:$CS21,"特"))</f>
        <v/>
      </c>
      <c r="O20" s="18">
        <f>IF($A20="","",COUNTIF(醫師班表!$E21:$CS21,"病"))</f>
        <v/>
      </c>
      <c r="P20" s="18">
        <f>IF($A20="","",COUNTIF(醫師班表!$E21:$CS21,"事"))</f>
        <v/>
      </c>
      <c r="Q20" s="18">
        <f>IF($A20="","",COUNTIF(醫師班表!$E21:$CS21,"公"))</f>
        <v/>
      </c>
      <c r="R20" s="18">
        <f>IF($A20="","",COUNTIF(醫師班表!$E21:$CS21,"國"))</f>
        <v/>
      </c>
      <c r="S20" s="18">
        <f>IF($A20="","",COUNTIF(醫師班表!$E21:$CS21,"休"))</f>
        <v/>
      </c>
      <c r="T20" s="18">
        <f>IF($A20="","",SUM($M20:$S20))</f>
        <v/>
      </c>
      <c r="U20" s="18">
        <f>IF($A20="","",DAY(EOMONTH(DATE(設定!$C$2,設定!$D$2,1),0))*3-COUNTIF(醫師班表!$E21:$CS21,"?*"))</f>
        <v/>
      </c>
    </row>
    <row r="21">
      <c r="A21" s="18" t="inlineStr">
        <is>
          <t>D017</t>
        </is>
      </c>
      <c r="B21" s="18" t="inlineStr">
        <is>
          <t>吳柏賢</t>
        </is>
      </c>
      <c r="C21" s="72" t="inlineStr"/>
      <c r="D21" s="18" t="inlineStr"/>
      <c r="E21" s="64">
        <f>IF($A21="","",COUNTIF(醫師班表!$E22:$CS22,"悅"))</f>
        <v/>
      </c>
      <c r="F21" s="65">
        <f>IF($A21="","",COUNTIF(醫師班表!$E22:$CS22,"睿"))</f>
        <v/>
      </c>
      <c r="G21" s="66">
        <f>IF($A21="","",COUNTIF(醫師班表!$E22:$CS22,"匯"))</f>
        <v/>
      </c>
      <c r="H21" s="67">
        <f>IF($A21="","",COUNTIF(醫師班表!$E22:$CS22,"曜"))</f>
        <v/>
      </c>
      <c r="I21" s="68">
        <f>IF($A21="","",COUNTIF(醫師班表!$E22:$CS22,"寶"))</f>
        <v/>
      </c>
      <c r="J21" s="18">
        <f>IF($A21="","",SUM($E21:$I21))</f>
        <v/>
      </c>
      <c r="K21" s="18">
        <f>IF($A21="","",SUMPRODUCT(($E21:$I21&gt;0)*1))</f>
        <v/>
      </c>
      <c r="L21" s="18">
        <f>IF($A21="","",COUNTIF(醫師班表!$E22:$CS22,"訓"))</f>
        <v/>
      </c>
      <c r="M21" s="18">
        <f>IF($A21="","",COUNTIF(醫師班表!$E22:$CS22,"OFF"))</f>
        <v/>
      </c>
      <c r="N21" s="18">
        <f>IF($A21="","",COUNTIF(醫師班表!$E22:$CS22,"特"))</f>
        <v/>
      </c>
      <c r="O21" s="18">
        <f>IF($A21="","",COUNTIF(醫師班表!$E22:$CS22,"病"))</f>
        <v/>
      </c>
      <c r="P21" s="18">
        <f>IF($A21="","",COUNTIF(醫師班表!$E22:$CS22,"事"))</f>
        <v/>
      </c>
      <c r="Q21" s="18">
        <f>IF($A21="","",COUNTIF(醫師班表!$E22:$CS22,"公"))</f>
        <v/>
      </c>
      <c r="R21" s="18">
        <f>IF($A21="","",COUNTIF(醫師班表!$E22:$CS22,"國"))</f>
        <v/>
      </c>
      <c r="S21" s="18">
        <f>IF($A21="","",COUNTIF(醫師班表!$E22:$CS22,"休"))</f>
        <v/>
      </c>
      <c r="T21" s="18">
        <f>IF($A21="","",SUM($M21:$S21))</f>
        <v/>
      </c>
      <c r="U21" s="18">
        <f>IF($A21="","",DAY(EOMONTH(DATE(設定!$C$2,設定!$D$2,1),0))*3-COUNTIF(醫師班表!$E22:$CS22,"?*"))</f>
        <v/>
      </c>
    </row>
    <row r="22">
      <c r="A22" s="18" t="inlineStr">
        <is>
          <t>D018</t>
        </is>
      </c>
      <c r="B22" s="18" t="inlineStr">
        <is>
          <t>許博諺</t>
        </is>
      </c>
      <c r="C22" s="72" t="inlineStr"/>
      <c r="D22" s="18" t="inlineStr"/>
      <c r="E22" s="64">
        <f>IF($A22="","",COUNTIF(醫師班表!$E23:$CS23,"悅"))</f>
        <v/>
      </c>
      <c r="F22" s="65">
        <f>IF($A22="","",COUNTIF(醫師班表!$E23:$CS23,"睿"))</f>
        <v/>
      </c>
      <c r="G22" s="66">
        <f>IF($A22="","",COUNTIF(醫師班表!$E23:$CS23,"匯"))</f>
        <v/>
      </c>
      <c r="H22" s="67">
        <f>IF($A22="","",COUNTIF(醫師班表!$E23:$CS23,"曜"))</f>
        <v/>
      </c>
      <c r="I22" s="68">
        <f>IF($A22="","",COUNTIF(醫師班表!$E23:$CS23,"寶"))</f>
        <v/>
      </c>
      <c r="J22" s="18">
        <f>IF($A22="","",SUM($E22:$I22))</f>
        <v/>
      </c>
      <c r="K22" s="18">
        <f>IF($A22="","",SUMPRODUCT(($E22:$I22&gt;0)*1))</f>
        <v/>
      </c>
      <c r="L22" s="18">
        <f>IF($A22="","",COUNTIF(醫師班表!$E23:$CS23,"訓"))</f>
        <v/>
      </c>
      <c r="M22" s="18">
        <f>IF($A22="","",COUNTIF(醫師班表!$E23:$CS23,"OFF"))</f>
        <v/>
      </c>
      <c r="N22" s="18">
        <f>IF($A22="","",COUNTIF(醫師班表!$E23:$CS23,"特"))</f>
        <v/>
      </c>
      <c r="O22" s="18">
        <f>IF($A22="","",COUNTIF(醫師班表!$E23:$CS23,"病"))</f>
        <v/>
      </c>
      <c r="P22" s="18">
        <f>IF($A22="","",COUNTIF(醫師班表!$E23:$CS23,"事"))</f>
        <v/>
      </c>
      <c r="Q22" s="18">
        <f>IF($A22="","",COUNTIF(醫師班表!$E23:$CS23,"公"))</f>
        <v/>
      </c>
      <c r="R22" s="18">
        <f>IF($A22="","",COUNTIF(醫師班表!$E23:$CS23,"國"))</f>
        <v/>
      </c>
      <c r="S22" s="18">
        <f>IF($A22="","",COUNTIF(醫師班表!$E23:$CS23,"休"))</f>
        <v/>
      </c>
      <c r="T22" s="18">
        <f>IF($A22="","",SUM($M22:$S22))</f>
        <v/>
      </c>
      <c r="U22" s="18">
        <f>IF($A22="","",DAY(EOMONTH(DATE(設定!$C$2,設定!$D$2,1),0))*3-COUNTIF(醫師班表!$E23:$CS23,"?*"))</f>
        <v/>
      </c>
    </row>
    <row r="23">
      <c r="A23" s="18" t="inlineStr">
        <is>
          <t>D019</t>
        </is>
      </c>
      <c r="B23" s="18" t="inlineStr">
        <is>
          <t>翁崎紘</t>
        </is>
      </c>
      <c r="C23" s="72" t="inlineStr"/>
      <c r="D23" s="18" t="inlineStr"/>
      <c r="E23" s="64">
        <f>IF($A23="","",COUNTIF(醫師班表!$E24:$CS24,"悅"))</f>
        <v/>
      </c>
      <c r="F23" s="65">
        <f>IF($A23="","",COUNTIF(醫師班表!$E24:$CS24,"睿"))</f>
        <v/>
      </c>
      <c r="G23" s="66">
        <f>IF($A23="","",COUNTIF(醫師班表!$E24:$CS24,"匯"))</f>
        <v/>
      </c>
      <c r="H23" s="67">
        <f>IF($A23="","",COUNTIF(醫師班表!$E24:$CS24,"曜"))</f>
        <v/>
      </c>
      <c r="I23" s="68">
        <f>IF($A23="","",COUNTIF(醫師班表!$E24:$CS24,"寶"))</f>
        <v/>
      </c>
      <c r="J23" s="18">
        <f>IF($A23="","",SUM($E23:$I23))</f>
        <v/>
      </c>
      <c r="K23" s="18">
        <f>IF($A23="","",SUMPRODUCT(($E23:$I23&gt;0)*1))</f>
        <v/>
      </c>
      <c r="L23" s="18">
        <f>IF($A23="","",COUNTIF(醫師班表!$E24:$CS24,"訓"))</f>
        <v/>
      </c>
      <c r="M23" s="18">
        <f>IF($A23="","",COUNTIF(醫師班表!$E24:$CS24,"OFF"))</f>
        <v/>
      </c>
      <c r="N23" s="18">
        <f>IF($A23="","",COUNTIF(醫師班表!$E24:$CS24,"特"))</f>
        <v/>
      </c>
      <c r="O23" s="18">
        <f>IF($A23="","",COUNTIF(醫師班表!$E24:$CS24,"病"))</f>
        <v/>
      </c>
      <c r="P23" s="18">
        <f>IF($A23="","",COUNTIF(醫師班表!$E24:$CS24,"事"))</f>
        <v/>
      </c>
      <c r="Q23" s="18">
        <f>IF($A23="","",COUNTIF(醫師班表!$E24:$CS24,"公"))</f>
        <v/>
      </c>
      <c r="R23" s="18">
        <f>IF($A23="","",COUNTIF(醫師班表!$E24:$CS24,"國"))</f>
        <v/>
      </c>
      <c r="S23" s="18">
        <f>IF($A23="","",COUNTIF(醫師班表!$E24:$CS24,"休"))</f>
        <v/>
      </c>
      <c r="T23" s="18">
        <f>IF($A23="","",SUM($M23:$S23))</f>
        <v/>
      </c>
      <c r="U23" s="18">
        <f>IF($A23="","",DAY(EOMONTH(DATE(設定!$C$2,設定!$D$2,1),0))*3-COUNTIF(醫師班表!$E24:$CS24,"?*"))</f>
        <v/>
      </c>
    </row>
    <row r="24">
      <c r="A24" s="18" t="inlineStr">
        <is>
          <t>D020</t>
        </is>
      </c>
      <c r="B24" s="18" t="inlineStr">
        <is>
          <t>余柏萱</t>
        </is>
      </c>
      <c r="C24" s="72" t="inlineStr"/>
      <c r="D24" s="18" t="inlineStr"/>
      <c r="E24" s="64">
        <f>IF($A24="","",COUNTIF(醫師班表!$E25:$CS25,"悅"))</f>
        <v/>
      </c>
      <c r="F24" s="65">
        <f>IF($A24="","",COUNTIF(醫師班表!$E25:$CS25,"睿"))</f>
        <v/>
      </c>
      <c r="G24" s="66">
        <f>IF($A24="","",COUNTIF(醫師班表!$E25:$CS25,"匯"))</f>
        <v/>
      </c>
      <c r="H24" s="67">
        <f>IF($A24="","",COUNTIF(醫師班表!$E25:$CS25,"曜"))</f>
        <v/>
      </c>
      <c r="I24" s="68">
        <f>IF($A24="","",COUNTIF(醫師班表!$E25:$CS25,"寶"))</f>
        <v/>
      </c>
      <c r="J24" s="18">
        <f>IF($A24="","",SUM($E24:$I24))</f>
        <v/>
      </c>
      <c r="K24" s="18">
        <f>IF($A24="","",SUMPRODUCT(($E24:$I24&gt;0)*1))</f>
        <v/>
      </c>
      <c r="L24" s="18">
        <f>IF($A24="","",COUNTIF(醫師班表!$E25:$CS25,"訓"))</f>
        <v/>
      </c>
      <c r="M24" s="18">
        <f>IF($A24="","",COUNTIF(醫師班表!$E25:$CS25,"OFF"))</f>
        <v/>
      </c>
      <c r="N24" s="18">
        <f>IF($A24="","",COUNTIF(醫師班表!$E25:$CS25,"特"))</f>
        <v/>
      </c>
      <c r="O24" s="18">
        <f>IF($A24="","",COUNTIF(醫師班表!$E25:$CS25,"病"))</f>
        <v/>
      </c>
      <c r="P24" s="18">
        <f>IF($A24="","",COUNTIF(醫師班表!$E25:$CS25,"事"))</f>
        <v/>
      </c>
      <c r="Q24" s="18">
        <f>IF($A24="","",COUNTIF(醫師班表!$E25:$CS25,"公"))</f>
        <v/>
      </c>
      <c r="R24" s="18">
        <f>IF($A24="","",COUNTIF(醫師班表!$E25:$CS25,"國"))</f>
        <v/>
      </c>
      <c r="S24" s="18">
        <f>IF($A24="","",COUNTIF(醫師班表!$E25:$CS25,"休"))</f>
        <v/>
      </c>
      <c r="T24" s="18">
        <f>IF($A24="","",SUM($M24:$S24))</f>
        <v/>
      </c>
      <c r="U24" s="18">
        <f>IF($A24="","",DAY(EOMONTH(DATE(設定!$C$2,設定!$D$2,1),0))*3-COUNTIF(醫師班表!$E25:$CS25,"?*"))</f>
        <v/>
      </c>
    </row>
    <row r="25">
      <c r="A25" s="18" t="inlineStr">
        <is>
          <t>D021</t>
        </is>
      </c>
      <c r="B25" s="18" t="inlineStr">
        <is>
          <t>鄭博文</t>
        </is>
      </c>
      <c r="C25" s="72" t="inlineStr"/>
      <c r="D25" s="18" t="inlineStr"/>
      <c r="E25" s="64">
        <f>IF($A25="","",COUNTIF(醫師班表!$E26:$CS26,"悅"))</f>
        <v/>
      </c>
      <c r="F25" s="65">
        <f>IF($A25="","",COUNTIF(醫師班表!$E26:$CS26,"睿"))</f>
        <v/>
      </c>
      <c r="G25" s="66">
        <f>IF($A25="","",COUNTIF(醫師班表!$E26:$CS26,"匯"))</f>
        <v/>
      </c>
      <c r="H25" s="67">
        <f>IF($A25="","",COUNTIF(醫師班表!$E26:$CS26,"曜"))</f>
        <v/>
      </c>
      <c r="I25" s="68">
        <f>IF($A25="","",COUNTIF(醫師班表!$E26:$CS26,"寶"))</f>
        <v/>
      </c>
      <c r="J25" s="18">
        <f>IF($A25="","",SUM($E25:$I25))</f>
        <v/>
      </c>
      <c r="K25" s="18">
        <f>IF($A25="","",SUMPRODUCT(($E25:$I25&gt;0)*1))</f>
        <v/>
      </c>
      <c r="L25" s="18">
        <f>IF($A25="","",COUNTIF(醫師班表!$E26:$CS26,"訓"))</f>
        <v/>
      </c>
      <c r="M25" s="18">
        <f>IF($A25="","",COUNTIF(醫師班表!$E26:$CS26,"OFF"))</f>
        <v/>
      </c>
      <c r="N25" s="18">
        <f>IF($A25="","",COUNTIF(醫師班表!$E26:$CS26,"特"))</f>
        <v/>
      </c>
      <c r="O25" s="18">
        <f>IF($A25="","",COUNTIF(醫師班表!$E26:$CS26,"病"))</f>
        <v/>
      </c>
      <c r="P25" s="18">
        <f>IF($A25="","",COUNTIF(醫師班表!$E26:$CS26,"事"))</f>
        <v/>
      </c>
      <c r="Q25" s="18">
        <f>IF($A25="","",COUNTIF(醫師班表!$E26:$CS26,"公"))</f>
        <v/>
      </c>
      <c r="R25" s="18">
        <f>IF($A25="","",COUNTIF(醫師班表!$E26:$CS26,"國"))</f>
        <v/>
      </c>
      <c r="S25" s="18">
        <f>IF($A25="","",COUNTIF(醫師班表!$E26:$CS26,"休"))</f>
        <v/>
      </c>
      <c r="T25" s="18">
        <f>IF($A25="","",SUM($M25:$S25))</f>
        <v/>
      </c>
      <c r="U25" s="18">
        <f>IF($A25="","",DAY(EOMONTH(DATE(設定!$C$2,設定!$D$2,1),0))*3-COUNTIF(醫師班表!$E26:$CS26,"?*"))</f>
        <v/>
      </c>
    </row>
    <row r="26">
      <c r="A26" s="18" t="inlineStr">
        <is>
          <t>D022</t>
        </is>
      </c>
      <c r="B26" s="18" t="inlineStr">
        <is>
          <t>黃育亭</t>
        </is>
      </c>
      <c r="C26" s="72" t="inlineStr">
        <is>
          <t>兒童</t>
        </is>
      </c>
      <c r="D26" s="18" t="inlineStr">
        <is>
          <t>寶貝牙院長</t>
        </is>
      </c>
      <c r="E26" s="64">
        <f>IF($A26="","",COUNTIF(醫師班表!$E27:$CS27,"悅"))</f>
        <v/>
      </c>
      <c r="F26" s="65">
        <f>IF($A26="","",COUNTIF(醫師班表!$E27:$CS27,"睿"))</f>
        <v/>
      </c>
      <c r="G26" s="66">
        <f>IF($A26="","",COUNTIF(醫師班表!$E27:$CS27,"匯"))</f>
        <v/>
      </c>
      <c r="H26" s="67">
        <f>IF($A26="","",COUNTIF(醫師班表!$E27:$CS27,"曜"))</f>
        <v/>
      </c>
      <c r="I26" s="68">
        <f>IF($A26="","",COUNTIF(醫師班表!$E27:$CS27,"寶"))</f>
        <v/>
      </c>
      <c r="J26" s="18">
        <f>IF($A26="","",SUM($E26:$I26))</f>
        <v/>
      </c>
      <c r="K26" s="18">
        <f>IF($A26="","",SUMPRODUCT(($E26:$I26&gt;0)*1))</f>
        <v/>
      </c>
      <c r="L26" s="18">
        <f>IF($A26="","",COUNTIF(醫師班表!$E27:$CS27,"訓"))</f>
        <v/>
      </c>
      <c r="M26" s="18">
        <f>IF($A26="","",COUNTIF(醫師班表!$E27:$CS27,"OFF"))</f>
        <v/>
      </c>
      <c r="N26" s="18">
        <f>IF($A26="","",COUNTIF(醫師班表!$E27:$CS27,"特"))</f>
        <v/>
      </c>
      <c r="O26" s="18">
        <f>IF($A26="","",COUNTIF(醫師班表!$E27:$CS27,"病"))</f>
        <v/>
      </c>
      <c r="P26" s="18">
        <f>IF($A26="","",COUNTIF(醫師班表!$E27:$CS27,"事"))</f>
        <v/>
      </c>
      <c r="Q26" s="18">
        <f>IF($A26="","",COUNTIF(醫師班表!$E27:$CS27,"公"))</f>
        <v/>
      </c>
      <c r="R26" s="18">
        <f>IF($A26="","",COUNTIF(醫師班表!$E27:$CS27,"國"))</f>
        <v/>
      </c>
      <c r="S26" s="18">
        <f>IF($A26="","",COUNTIF(醫師班表!$E27:$CS27,"休"))</f>
        <v/>
      </c>
      <c r="T26" s="18">
        <f>IF($A26="","",SUM($M26:$S26))</f>
        <v/>
      </c>
      <c r="U26" s="18">
        <f>IF($A26="","",DAY(EOMONTH(DATE(設定!$C$2,設定!$D$2,1),0))*3-COUNTIF(醫師班表!$E27:$CS27,"?*"))</f>
        <v/>
      </c>
    </row>
    <row r="27">
      <c r="A27" s="18" t="inlineStr">
        <is>
          <t>D023</t>
        </is>
      </c>
      <c r="B27" s="18" t="inlineStr">
        <is>
          <t>黃婷愉</t>
        </is>
      </c>
      <c r="C27" s="72" t="inlineStr">
        <is>
          <t>口外</t>
        </is>
      </c>
      <c r="D27" s="18" t="inlineStr"/>
      <c r="E27" s="64">
        <f>IF($A27="","",COUNTIF(醫師班表!$E28:$CS28,"悅"))</f>
        <v/>
      </c>
      <c r="F27" s="65">
        <f>IF($A27="","",COUNTIF(醫師班表!$E28:$CS28,"睿"))</f>
        <v/>
      </c>
      <c r="G27" s="66">
        <f>IF($A27="","",COUNTIF(醫師班表!$E28:$CS28,"匯"))</f>
        <v/>
      </c>
      <c r="H27" s="67">
        <f>IF($A27="","",COUNTIF(醫師班表!$E28:$CS28,"曜"))</f>
        <v/>
      </c>
      <c r="I27" s="68">
        <f>IF($A27="","",COUNTIF(醫師班表!$E28:$CS28,"寶"))</f>
        <v/>
      </c>
      <c r="J27" s="18">
        <f>IF($A27="","",SUM($E27:$I27))</f>
        <v/>
      </c>
      <c r="K27" s="18">
        <f>IF($A27="","",SUMPRODUCT(($E27:$I27&gt;0)*1))</f>
        <v/>
      </c>
      <c r="L27" s="18">
        <f>IF($A27="","",COUNTIF(醫師班表!$E28:$CS28,"訓"))</f>
        <v/>
      </c>
      <c r="M27" s="18">
        <f>IF($A27="","",COUNTIF(醫師班表!$E28:$CS28,"OFF"))</f>
        <v/>
      </c>
      <c r="N27" s="18">
        <f>IF($A27="","",COUNTIF(醫師班表!$E28:$CS28,"特"))</f>
        <v/>
      </c>
      <c r="O27" s="18">
        <f>IF($A27="","",COUNTIF(醫師班表!$E28:$CS28,"病"))</f>
        <v/>
      </c>
      <c r="P27" s="18">
        <f>IF($A27="","",COUNTIF(醫師班表!$E28:$CS28,"事"))</f>
        <v/>
      </c>
      <c r="Q27" s="18">
        <f>IF($A27="","",COUNTIF(醫師班表!$E28:$CS28,"公"))</f>
        <v/>
      </c>
      <c r="R27" s="18">
        <f>IF($A27="","",COUNTIF(醫師班表!$E28:$CS28,"國"))</f>
        <v/>
      </c>
      <c r="S27" s="18">
        <f>IF($A27="","",COUNTIF(醫師班表!$E28:$CS28,"休"))</f>
        <v/>
      </c>
      <c r="T27" s="18">
        <f>IF($A27="","",SUM($M27:$S27))</f>
        <v/>
      </c>
      <c r="U27" s="18">
        <f>IF($A27="","",DAY(EOMONTH(DATE(設定!$C$2,設定!$D$2,1),0))*3-COUNTIF(醫師班表!$E28:$CS28,"?*"))</f>
        <v/>
      </c>
    </row>
    <row r="28">
      <c r="A28" s="18" t="inlineStr">
        <is>
          <t>D024</t>
        </is>
      </c>
      <c r="B28" s="18" t="inlineStr">
        <is>
          <t>林紓安</t>
        </is>
      </c>
      <c r="C28" s="72" t="inlineStr">
        <is>
          <t>兒童</t>
        </is>
      </c>
      <c r="D28" s="18" t="inlineStr"/>
      <c r="E28" s="64">
        <f>IF($A28="","",COUNTIF(醫師班表!$E29:$CS29,"悅"))</f>
        <v/>
      </c>
      <c r="F28" s="65">
        <f>IF($A28="","",COUNTIF(醫師班表!$E29:$CS29,"睿"))</f>
        <v/>
      </c>
      <c r="G28" s="66">
        <f>IF($A28="","",COUNTIF(醫師班表!$E29:$CS29,"匯"))</f>
        <v/>
      </c>
      <c r="H28" s="67">
        <f>IF($A28="","",COUNTIF(醫師班表!$E29:$CS29,"曜"))</f>
        <v/>
      </c>
      <c r="I28" s="68">
        <f>IF($A28="","",COUNTIF(醫師班表!$E29:$CS29,"寶"))</f>
        <v/>
      </c>
      <c r="J28" s="18">
        <f>IF($A28="","",SUM($E28:$I28))</f>
        <v/>
      </c>
      <c r="K28" s="18">
        <f>IF($A28="","",SUMPRODUCT(($E28:$I28&gt;0)*1))</f>
        <v/>
      </c>
      <c r="L28" s="18">
        <f>IF($A28="","",COUNTIF(醫師班表!$E29:$CS29,"訓"))</f>
        <v/>
      </c>
      <c r="M28" s="18">
        <f>IF($A28="","",COUNTIF(醫師班表!$E29:$CS29,"OFF"))</f>
        <v/>
      </c>
      <c r="N28" s="18">
        <f>IF($A28="","",COUNTIF(醫師班表!$E29:$CS29,"特"))</f>
        <v/>
      </c>
      <c r="O28" s="18">
        <f>IF($A28="","",COUNTIF(醫師班表!$E29:$CS29,"病"))</f>
        <v/>
      </c>
      <c r="P28" s="18">
        <f>IF($A28="","",COUNTIF(醫師班表!$E29:$CS29,"事"))</f>
        <v/>
      </c>
      <c r="Q28" s="18">
        <f>IF($A28="","",COUNTIF(醫師班表!$E29:$CS29,"公"))</f>
        <v/>
      </c>
      <c r="R28" s="18">
        <f>IF($A28="","",COUNTIF(醫師班表!$E29:$CS29,"國"))</f>
        <v/>
      </c>
      <c r="S28" s="18">
        <f>IF($A28="","",COUNTIF(醫師班表!$E29:$CS29,"休"))</f>
        <v/>
      </c>
      <c r="T28" s="18">
        <f>IF($A28="","",SUM($M28:$S28))</f>
        <v/>
      </c>
      <c r="U28" s="18">
        <f>IF($A28="","",DAY(EOMONTH(DATE(設定!$C$2,設定!$D$2,1),0))*3-COUNTIF(醫師班表!$E29:$CS29,"?*"))</f>
        <v/>
      </c>
    </row>
    <row r="29">
      <c r="A29" s="18" t="inlineStr">
        <is>
          <t>D025</t>
        </is>
      </c>
      <c r="B29" s="18" t="inlineStr">
        <is>
          <t>陳爵安</t>
        </is>
      </c>
      <c r="C29" s="72" t="inlineStr"/>
      <c r="D29" s="18" t="inlineStr"/>
      <c r="E29" s="64">
        <f>IF($A29="","",COUNTIF(醫師班表!$E30:$CS30,"悅"))</f>
        <v/>
      </c>
      <c r="F29" s="65">
        <f>IF($A29="","",COUNTIF(醫師班表!$E30:$CS30,"睿"))</f>
        <v/>
      </c>
      <c r="G29" s="66">
        <f>IF($A29="","",COUNTIF(醫師班表!$E30:$CS30,"匯"))</f>
        <v/>
      </c>
      <c r="H29" s="67">
        <f>IF($A29="","",COUNTIF(醫師班表!$E30:$CS30,"曜"))</f>
        <v/>
      </c>
      <c r="I29" s="68">
        <f>IF($A29="","",COUNTIF(醫師班表!$E30:$CS30,"寶"))</f>
        <v/>
      </c>
      <c r="J29" s="18">
        <f>IF($A29="","",SUM($E29:$I29))</f>
        <v/>
      </c>
      <c r="K29" s="18">
        <f>IF($A29="","",SUMPRODUCT(($E29:$I29&gt;0)*1))</f>
        <v/>
      </c>
      <c r="L29" s="18">
        <f>IF($A29="","",COUNTIF(醫師班表!$E30:$CS30,"訓"))</f>
        <v/>
      </c>
      <c r="M29" s="18">
        <f>IF($A29="","",COUNTIF(醫師班表!$E30:$CS30,"OFF"))</f>
        <v/>
      </c>
      <c r="N29" s="18">
        <f>IF($A29="","",COUNTIF(醫師班表!$E30:$CS30,"特"))</f>
        <v/>
      </c>
      <c r="O29" s="18">
        <f>IF($A29="","",COUNTIF(醫師班表!$E30:$CS30,"病"))</f>
        <v/>
      </c>
      <c r="P29" s="18">
        <f>IF($A29="","",COUNTIF(醫師班表!$E30:$CS30,"事"))</f>
        <v/>
      </c>
      <c r="Q29" s="18">
        <f>IF($A29="","",COUNTIF(醫師班表!$E30:$CS30,"公"))</f>
        <v/>
      </c>
      <c r="R29" s="18">
        <f>IF($A29="","",COUNTIF(醫師班表!$E30:$CS30,"國"))</f>
        <v/>
      </c>
      <c r="S29" s="18">
        <f>IF($A29="","",COUNTIF(醫師班表!$E30:$CS30,"休"))</f>
        <v/>
      </c>
      <c r="T29" s="18">
        <f>IF($A29="","",SUM($M29:$S29))</f>
        <v/>
      </c>
      <c r="U29" s="18">
        <f>IF($A29="","",DAY(EOMONTH(DATE(設定!$C$2,設定!$D$2,1),0))*3-COUNTIF(醫師班表!$E30:$CS30,"?*"))</f>
        <v/>
      </c>
    </row>
    <row r="30">
      <c r="A30" s="18" t="inlineStr">
        <is>
          <t>D026</t>
        </is>
      </c>
      <c r="B30" s="18" t="inlineStr">
        <is>
          <t>吳冠廷</t>
        </is>
      </c>
      <c r="C30" s="72" t="inlineStr"/>
      <c r="D30" s="18" t="inlineStr"/>
      <c r="E30" s="64">
        <f>IF($A30="","",COUNTIF(醫師班表!$E31:$CS31,"悅"))</f>
        <v/>
      </c>
      <c r="F30" s="65">
        <f>IF($A30="","",COUNTIF(醫師班表!$E31:$CS31,"睿"))</f>
        <v/>
      </c>
      <c r="G30" s="66">
        <f>IF($A30="","",COUNTIF(醫師班表!$E31:$CS31,"匯"))</f>
        <v/>
      </c>
      <c r="H30" s="67">
        <f>IF($A30="","",COUNTIF(醫師班表!$E31:$CS31,"曜"))</f>
        <v/>
      </c>
      <c r="I30" s="68">
        <f>IF($A30="","",COUNTIF(醫師班表!$E31:$CS31,"寶"))</f>
        <v/>
      </c>
      <c r="J30" s="18">
        <f>IF($A30="","",SUM($E30:$I30))</f>
        <v/>
      </c>
      <c r="K30" s="18">
        <f>IF($A30="","",SUMPRODUCT(($E30:$I30&gt;0)*1))</f>
        <v/>
      </c>
      <c r="L30" s="18">
        <f>IF($A30="","",COUNTIF(醫師班表!$E31:$CS31,"訓"))</f>
        <v/>
      </c>
      <c r="M30" s="18">
        <f>IF($A30="","",COUNTIF(醫師班表!$E31:$CS31,"OFF"))</f>
        <v/>
      </c>
      <c r="N30" s="18">
        <f>IF($A30="","",COUNTIF(醫師班表!$E31:$CS31,"特"))</f>
        <v/>
      </c>
      <c r="O30" s="18">
        <f>IF($A30="","",COUNTIF(醫師班表!$E31:$CS31,"病"))</f>
        <v/>
      </c>
      <c r="P30" s="18">
        <f>IF($A30="","",COUNTIF(醫師班表!$E31:$CS31,"事"))</f>
        <v/>
      </c>
      <c r="Q30" s="18">
        <f>IF($A30="","",COUNTIF(醫師班表!$E31:$CS31,"公"))</f>
        <v/>
      </c>
      <c r="R30" s="18">
        <f>IF($A30="","",COUNTIF(醫師班表!$E31:$CS31,"國"))</f>
        <v/>
      </c>
      <c r="S30" s="18">
        <f>IF($A30="","",COUNTIF(醫師班表!$E31:$CS31,"休"))</f>
        <v/>
      </c>
      <c r="T30" s="18">
        <f>IF($A30="","",SUM($M30:$S30))</f>
        <v/>
      </c>
      <c r="U30" s="18">
        <f>IF($A30="","",DAY(EOMONTH(DATE(設定!$C$2,設定!$D$2,1),0))*3-COUNTIF(醫師班表!$E31:$CS31,"?*"))</f>
        <v/>
      </c>
    </row>
    <row r="31">
      <c r="A31" s="18" t="inlineStr">
        <is>
          <t>D027</t>
        </is>
      </c>
      <c r="B31" s="18" t="inlineStr">
        <is>
          <t>楊孟庭</t>
        </is>
      </c>
      <c r="C31" s="72" t="inlineStr"/>
      <c r="D31" s="18" t="inlineStr"/>
      <c r="E31" s="64">
        <f>IF($A31="","",COUNTIF(醫師班表!$E32:$CS32,"悅"))</f>
        <v/>
      </c>
      <c r="F31" s="65">
        <f>IF($A31="","",COUNTIF(醫師班表!$E32:$CS32,"睿"))</f>
        <v/>
      </c>
      <c r="G31" s="66">
        <f>IF($A31="","",COUNTIF(醫師班表!$E32:$CS32,"匯"))</f>
        <v/>
      </c>
      <c r="H31" s="67">
        <f>IF($A31="","",COUNTIF(醫師班表!$E32:$CS32,"曜"))</f>
        <v/>
      </c>
      <c r="I31" s="68">
        <f>IF($A31="","",COUNTIF(醫師班表!$E32:$CS32,"寶"))</f>
        <v/>
      </c>
      <c r="J31" s="18">
        <f>IF($A31="","",SUM($E31:$I31))</f>
        <v/>
      </c>
      <c r="K31" s="18">
        <f>IF($A31="","",SUMPRODUCT(($E31:$I31&gt;0)*1))</f>
        <v/>
      </c>
      <c r="L31" s="18">
        <f>IF($A31="","",COUNTIF(醫師班表!$E32:$CS32,"訓"))</f>
        <v/>
      </c>
      <c r="M31" s="18">
        <f>IF($A31="","",COUNTIF(醫師班表!$E32:$CS32,"OFF"))</f>
        <v/>
      </c>
      <c r="N31" s="18">
        <f>IF($A31="","",COUNTIF(醫師班表!$E32:$CS32,"特"))</f>
        <v/>
      </c>
      <c r="O31" s="18">
        <f>IF($A31="","",COUNTIF(醫師班表!$E32:$CS32,"病"))</f>
        <v/>
      </c>
      <c r="P31" s="18">
        <f>IF($A31="","",COUNTIF(醫師班表!$E32:$CS32,"事"))</f>
        <v/>
      </c>
      <c r="Q31" s="18">
        <f>IF($A31="","",COUNTIF(醫師班表!$E32:$CS32,"公"))</f>
        <v/>
      </c>
      <c r="R31" s="18">
        <f>IF($A31="","",COUNTIF(醫師班表!$E32:$CS32,"國"))</f>
        <v/>
      </c>
      <c r="S31" s="18">
        <f>IF($A31="","",COUNTIF(醫師班表!$E32:$CS32,"休"))</f>
        <v/>
      </c>
      <c r="T31" s="18">
        <f>IF($A31="","",SUM($M31:$S31))</f>
        <v/>
      </c>
      <c r="U31" s="18">
        <f>IF($A31="","",DAY(EOMONTH(DATE(設定!$C$2,設定!$D$2,1),0))*3-COUNTIF(醫師班表!$E32:$CS32,"?*"))</f>
        <v/>
      </c>
    </row>
    <row r="32">
      <c r="A32" s="18">
        <f>IF(醫師班表!$A33="","",醫師班表!$A33)</f>
        <v/>
      </c>
      <c r="B32" s="18">
        <f>IF($A32="","",醫師班表!$B33)</f>
        <v/>
      </c>
      <c r="C32" s="72">
        <f>IF($A32="","",醫師班表!$C33)</f>
        <v/>
      </c>
      <c r="D32" s="18">
        <f>IF($A32="","",醫師班表!$D33)</f>
        <v/>
      </c>
      <c r="E32" s="64">
        <f>IF($A32="","",COUNTIF(醫師班表!$E33:$CS33,"悅"))</f>
        <v/>
      </c>
      <c r="F32" s="65">
        <f>IF($A32="","",COUNTIF(醫師班表!$E33:$CS33,"睿"))</f>
        <v/>
      </c>
      <c r="G32" s="66">
        <f>IF($A32="","",COUNTIF(醫師班表!$E33:$CS33,"匯"))</f>
        <v/>
      </c>
      <c r="H32" s="67">
        <f>IF($A32="","",COUNTIF(醫師班表!$E33:$CS33,"曜"))</f>
        <v/>
      </c>
      <c r="I32" s="68">
        <f>IF($A32="","",COUNTIF(醫師班表!$E33:$CS33,"寶"))</f>
        <v/>
      </c>
      <c r="J32" s="18">
        <f>IF($A32="","",SUM($E32:$I32))</f>
        <v/>
      </c>
      <c r="K32" s="18">
        <f>IF($A32="","",SUMPRODUCT(($E32:$I32&gt;0)*1))</f>
        <v/>
      </c>
      <c r="L32" s="18">
        <f>IF($A32="","",COUNTIF(醫師班表!$E33:$CS33,"訓"))</f>
        <v/>
      </c>
      <c r="M32" s="18">
        <f>IF($A32="","",COUNTIF(醫師班表!$E33:$CS33,"OFF"))</f>
        <v/>
      </c>
      <c r="N32" s="18">
        <f>IF($A32="","",COUNTIF(醫師班表!$E33:$CS33,"特"))</f>
        <v/>
      </c>
      <c r="O32" s="18">
        <f>IF($A32="","",COUNTIF(醫師班表!$E33:$CS33,"病"))</f>
        <v/>
      </c>
      <c r="P32" s="18">
        <f>IF($A32="","",COUNTIF(醫師班表!$E33:$CS33,"事"))</f>
        <v/>
      </c>
      <c r="Q32" s="18">
        <f>IF($A32="","",COUNTIF(醫師班表!$E33:$CS33,"公"))</f>
        <v/>
      </c>
      <c r="R32" s="18">
        <f>IF($A32="","",COUNTIF(醫師班表!$E33:$CS33,"國"))</f>
        <v/>
      </c>
      <c r="S32" s="18">
        <f>IF($A32="","",COUNTIF(醫師班表!$E33:$CS33,"休"))</f>
        <v/>
      </c>
      <c r="T32" s="18">
        <f>IF($A32="","",SUM($M32:$S32))</f>
        <v/>
      </c>
      <c r="U32" s="18">
        <f>IF($A32="","",DAY(EOMONTH(DATE(設定!$C$2,設定!$D$2,1),0))*3-COUNTIF(醫師班表!$E33:$CS33,"?*"))</f>
        <v/>
      </c>
    </row>
    <row r="33">
      <c r="A33" s="18">
        <f>IF(醫師班表!$A34="","",醫師班表!$A34)</f>
        <v/>
      </c>
      <c r="B33" s="18">
        <f>IF($A33="","",醫師班表!$B34)</f>
        <v/>
      </c>
      <c r="C33" s="72">
        <f>IF($A33="","",醫師班表!$C34)</f>
        <v/>
      </c>
      <c r="D33" s="18">
        <f>IF($A33="","",醫師班表!$D34)</f>
        <v/>
      </c>
      <c r="E33" s="64">
        <f>IF($A33="","",COUNTIF(醫師班表!$E34:$CS34,"悅"))</f>
        <v/>
      </c>
      <c r="F33" s="65">
        <f>IF($A33="","",COUNTIF(醫師班表!$E34:$CS34,"睿"))</f>
        <v/>
      </c>
      <c r="G33" s="66">
        <f>IF($A33="","",COUNTIF(醫師班表!$E34:$CS34,"匯"))</f>
        <v/>
      </c>
      <c r="H33" s="67">
        <f>IF($A33="","",COUNTIF(醫師班表!$E34:$CS34,"曜"))</f>
        <v/>
      </c>
      <c r="I33" s="68">
        <f>IF($A33="","",COUNTIF(醫師班表!$E34:$CS34,"寶"))</f>
        <v/>
      </c>
      <c r="J33" s="18">
        <f>IF($A33="","",SUM($E33:$I33))</f>
        <v/>
      </c>
      <c r="K33" s="18">
        <f>IF($A33="","",SUMPRODUCT(($E33:$I33&gt;0)*1))</f>
        <v/>
      </c>
      <c r="L33" s="18">
        <f>IF($A33="","",COUNTIF(醫師班表!$E34:$CS34,"訓"))</f>
        <v/>
      </c>
      <c r="M33" s="18">
        <f>IF($A33="","",COUNTIF(醫師班表!$E34:$CS34,"OFF"))</f>
        <v/>
      </c>
      <c r="N33" s="18">
        <f>IF($A33="","",COUNTIF(醫師班表!$E34:$CS34,"特"))</f>
        <v/>
      </c>
      <c r="O33" s="18">
        <f>IF($A33="","",COUNTIF(醫師班表!$E34:$CS34,"病"))</f>
        <v/>
      </c>
      <c r="P33" s="18">
        <f>IF($A33="","",COUNTIF(醫師班表!$E34:$CS34,"事"))</f>
        <v/>
      </c>
      <c r="Q33" s="18">
        <f>IF($A33="","",COUNTIF(醫師班表!$E34:$CS34,"公"))</f>
        <v/>
      </c>
      <c r="R33" s="18">
        <f>IF($A33="","",COUNTIF(醫師班表!$E34:$CS34,"國"))</f>
        <v/>
      </c>
      <c r="S33" s="18">
        <f>IF($A33="","",COUNTIF(醫師班表!$E34:$CS34,"休"))</f>
        <v/>
      </c>
      <c r="T33" s="18">
        <f>IF($A33="","",SUM($M33:$S33))</f>
        <v/>
      </c>
      <c r="U33" s="18">
        <f>IF($A33="","",DAY(EOMONTH(DATE(設定!$C$2,設定!$D$2,1),0))*3-COUNTIF(醫師班表!$E34:$CS34,"?*"))</f>
        <v/>
      </c>
    </row>
    <row r="34">
      <c r="A34" s="18">
        <f>IF(醫師班表!$A35="","",醫師班表!$A35)</f>
        <v/>
      </c>
      <c r="B34" s="18">
        <f>IF($A34="","",醫師班表!$B35)</f>
        <v/>
      </c>
      <c r="C34" s="72">
        <f>IF($A34="","",醫師班表!$C35)</f>
        <v/>
      </c>
      <c r="D34" s="18">
        <f>IF($A34="","",醫師班表!$D35)</f>
        <v/>
      </c>
      <c r="E34" s="64">
        <f>IF($A34="","",COUNTIF(醫師班表!$E35:$CS35,"悅"))</f>
        <v/>
      </c>
      <c r="F34" s="65">
        <f>IF($A34="","",COUNTIF(醫師班表!$E35:$CS35,"睿"))</f>
        <v/>
      </c>
      <c r="G34" s="66">
        <f>IF($A34="","",COUNTIF(醫師班表!$E35:$CS35,"匯"))</f>
        <v/>
      </c>
      <c r="H34" s="67">
        <f>IF($A34="","",COUNTIF(醫師班表!$E35:$CS35,"曜"))</f>
        <v/>
      </c>
      <c r="I34" s="68">
        <f>IF($A34="","",COUNTIF(醫師班表!$E35:$CS35,"寶"))</f>
        <v/>
      </c>
      <c r="J34" s="18">
        <f>IF($A34="","",SUM($E34:$I34))</f>
        <v/>
      </c>
      <c r="K34" s="18">
        <f>IF($A34="","",SUMPRODUCT(($E34:$I34&gt;0)*1))</f>
        <v/>
      </c>
      <c r="L34" s="18">
        <f>IF($A34="","",COUNTIF(醫師班表!$E35:$CS35,"訓"))</f>
        <v/>
      </c>
      <c r="M34" s="18">
        <f>IF($A34="","",COUNTIF(醫師班表!$E35:$CS35,"OFF"))</f>
        <v/>
      </c>
      <c r="N34" s="18">
        <f>IF($A34="","",COUNTIF(醫師班表!$E35:$CS35,"特"))</f>
        <v/>
      </c>
      <c r="O34" s="18">
        <f>IF($A34="","",COUNTIF(醫師班表!$E35:$CS35,"病"))</f>
        <v/>
      </c>
      <c r="P34" s="18">
        <f>IF($A34="","",COUNTIF(醫師班表!$E35:$CS35,"事"))</f>
        <v/>
      </c>
      <c r="Q34" s="18">
        <f>IF($A34="","",COUNTIF(醫師班表!$E35:$CS35,"公"))</f>
        <v/>
      </c>
      <c r="R34" s="18">
        <f>IF($A34="","",COUNTIF(醫師班表!$E35:$CS35,"國"))</f>
        <v/>
      </c>
      <c r="S34" s="18">
        <f>IF($A34="","",COUNTIF(醫師班表!$E35:$CS35,"休"))</f>
        <v/>
      </c>
      <c r="T34" s="18">
        <f>IF($A34="","",SUM($M34:$S34))</f>
        <v/>
      </c>
      <c r="U34" s="18">
        <f>IF($A34="","",DAY(EOMONTH(DATE(設定!$C$2,設定!$D$2,1),0))*3-COUNTIF(醫師班表!$E35:$CS35,"?*"))</f>
        <v/>
      </c>
    </row>
    <row r="35">
      <c r="A35" s="18">
        <f>IF(醫師班表!$A36="","",醫師班表!$A36)</f>
        <v/>
      </c>
      <c r="B35" s="18">
        <f>IF($A35="","",醫師班表!$B36)</f>
        <v/>
      </c>
      <c r="C35" s="72">
        <f>IF($A35="","",醫師班表!$C36)</f>
        <v/>
      </c>
      <c r="D35" s="18">
        <f>IF($A35="","",醫師班表!$D36)</f>
        <v/>
      </c>
      <c r="E35" s="64">
        <f>IF($A35="","",COUNTIF(醫師班表!$E36:$CS36,"悅"))</f>
        <v/>
      </c>
      <c r="F35" s="65">
        <f>IF($A35="","",COUNTIF(醫師班表!$E36:$CS36,"睿"))</f>
        <v/>
      </c>
      <c r="G35" s="66">
        <f>IF($A35="","",COUNTIF(醫師班表!$E36:$CS36,"匯"))</f>
        <v/>
      </c>
      <c r="H35" s="67">
        <f>IF($A35="","",COUNTIF(醫師班表!$E36:$CS36,"曜"))</f>
        <v/>
      </c>
      <c r="I35" s="68">
        <f>IF($A35="","",COUNTIF(醫師班表!$E36:$CS36,"寶"))</f>
        <v/>
      </c>
      <c r="J35" s="18">
        <f>IF($A35="","",SUM($E35:$I35))</f>
        <v/>
      </c>
      <c r="K35" s="18">
        <f>IF($A35="","",SUMPRODUCT(($E35:$I35&gt;0)*1))</f>
        <v/>
      </c>
      <c r="L35" s="18">
        <f>IF($A35="","",COUNTIF(醫師班表!$E36:$CS36,"訓"))</f>
        <v/>
      </c>
      <c r="M35" s="18">
        <f>IF($A35="","",COUNTIF(醫師班表!$E36:$CS36,"OFF"))</f>
        <v/>
      </c>
      <c r="N35" s="18">
        <f>IF($A35="","",COUNTIF(醫師班表!$E36:$CS36,"特"))</f>
        <v/>
      </c>
      <c r="O35" s="18">
        <f>IF($A35="","",COUNTIF(醫師班表!$E36:$CS36,"病"))</f>
        <v/>
      </c>
      <c r="P35" s="18">
        <f>IF($A35="","",COUNTIF(醫師班表!$E36:$CS36,"事"))</f>
        <v/>
      </c>
      <c r="Q35" s="18">
        <f>IF($A35="","",COUNTIF(醫師班表!$E36:$CS36,"公"))</f>
        <v/>
      </c>
      <c r="R35" s="18">
        <f>IF($A35="","",COUNTIF(醫師班表!$E36:$CS36,"國"))</f>
        <v/>
      </c>
      <c r="S35" s="18">
        <f>IF($A35="","",COUNTIF(醫師班表!$E36:$CS36,"休"))</f>
        <v/>
      </c>
      <c r="T35" s="18">
        <f>IF($A35="","",SUM($M35:$S35))</f>
        <v/>
      </c>
      <c r="U35" s="18">
        <f>IF($A35="","",DAY(EOMONTH(DATE(設定!$C$2,設定!$D$2,1),0))*3-COUNTIF(醫師班表!$E36:$CS36,"?*"))</f>
        <v/>
      </c>
    </row>
    <row r="36">
      <c r="A36" s="18">
        <f>IF(醫師班表!$A37="","",醫師班表!$A37)</f>
        <v/>
      </c>
      <c r="B36" s="18">
        <f>IF($A36="","",醫師班表!$B37)</f>
        <v/>
      </c>
      <c r="C36" s="72">
        <f>IF($A36="","",醫師班表!$C37)</f>
        <v/>
      </c>
      <c r="D36" s="18">
        <f>IF($A36="","",醫師班表!$D37)</f>
        <v/>
      </c>
      <c r="E36" s="64">
        <f>IF($A36="","",COUNTIF(醫師班表!$E37:$CS37,"悅"))</f>
        <v/>
      </c>
      <c r="F36" s="65">
        <f>IF($A36="","",COUNTIF(醫師班表!$E37:$CS37,"睿"))</f>
        <v/>
      </c>
      <c r="G36" s="66">
        <f>IF($A36="","",COUNTIF(醫師班表!$E37:$CS37,"匯"))</f>
        <v/>
      </c>
      <c r="H36" s="67">
        <f>IF($A36="","",COUNTIF(醫師班表!$E37:$CS37,"曜"))</f>
        <v/>
      </c>
      <c r="I36" s="68">
        <f>IF($A36="","",COUNTIF(醫師班表!$E37:$CS37,"寶"))</f>
        <v/>
      </c>
      <c r="J36" s="18">
        <f>IF($A36="","",SUM($E36:$I36))</f>
        <v/>
      </c>
      <c r="K36" s="18">
        <f>IF($A36="","",SUMPRODUCT(($E36:$I36&gt;0)*1))</f>
        <v/>
      </c>
      <c r="L36" s="18">
        <f>IF($A36="","",COUNTIF(醫師班表!$E37:$CS37,"訓"))</f>
        <v/>
      </c>
      <c r="M36" s="18">
        <f>IF($A36="","",COUNTIF(醫師班表!$E37:$CS37,"OFF"))</f>
        <v/>
      </c>
      <c r="N36" s="18">
        <f>IF($A36="","",COUNTIF(醫師班表!$E37:$CS37,"特"))</f>
        <v/>
      </c>
      <c r="O36" s="18">
        <f>IF($A36="","",COUNTIF(醫師班表!$E37:$CS37,"病"))</f>
        <v/>
      </c>
      <c r="P36" s="18">
        <f>IF($A36="","",COUNTIF(醫師班表!$E37:$CS37,"事"))</f>
        <v/>
      </c>
      <c r="Q36" s="18">
        <f>IF($A36="","",COUNTIF(醫師班表!$E37:$CS37,"公"))</f>
        <v/>
      </c>
      <c r="R36" s="18">
        <f>IF($A36="","",COUNTIF(醫師班表!$E37:$CS37,"國"))</f>
        <v/>
      </c>
      <c r="S36" s="18">
        <f>IF($A36="","",COUNTIF(醫師班表!$E37:$CS37,"休"))</f>
        <v/>
      </c>
      <c r="T36" s="18">
        <f>IF($A36="","",SUM($M36:$S36))</f>
        <v/>
      </c>
      <c r="U36" s="18">
        <f>IF($A36="","",DAY(EOMONTH(DATE(設定!$C$2,設定!$D$2,1),0))*3-COUNTIF(醫師班表!$E37:$CS37,"?*"))</f>
        <v/>
      </c>
    </row>
    <row r="37">
      <c r="A37" s="18">
        <f>IF(醫師班表!$A38="","",醫師班表!$A38)</f>
        <v/>
      </c>
      <c r="B37" s="18">
        <f>IF($A37="","",醫師班表!$B38)</f>
        <v/>
      </c>
      <c r="C37" s="72">
        <f>IF($A37="","",醫師班表!$C38)</f>
        <v/>
      </c>
      <c r="D37" s="18">
        <f>IF($A37="","",醫師班表!$D38)</f>
        <v/>
      </c>
      <c r="E37" s="64">
        <f>IF($A37="","",COUNTIF(醫師班表!$E38:$CS38,"悅"))</f>
        <v/>
      </c>
      <c r="F37" s="65">
        <f>IF($A37="","",COUNTIF(醫師班表!$E38:$CS38,"睿"))</f>
        <v/>
      </c>
      <c r="G37" s="66">
        <f>IF($A37="","",COUNTIF(醫師班表!$E38:$CS38,"匯"))</f>
        <v/>
      </c>
      <c r="H37" s="67">
        <f>IF($A37="","",COUNTIF(醫師班表!$E38:$CS38,"曜"))</f>
        <v/>
      </c>
      <c r="I37" s="68">
        <f>IF($A37="","",COUNTIF(醫師班表!$E38:$CS38,"寶"))</f>
        <v/>
      </c>
      <c r="J37" s="18">
        <f>IF($A37="","",SUM($E37:$I37))</f>
        <v/>
      </c>
      <c r="K37" s="18">
        <f>IF($A37="","",SUMPRODUCT(($E37:$I37&gt;0)*1))</f>
        <v/>
      </c>
      <c r="L37" s="18">
        <f>IF($A37="","",COUNTIF(醫師班表!$E38:$CS38,"訓"))</f>
        <v/>
      </c>
      <c r="M37" s="18">
        <f>IF($A37="","",COUNTIF(醫師班表!$E38:$CS38,"OFF"))</f>
        <v/>
      </c>
      <c r="N37" s="18">
        <f>IF($A37="","",COUNTIF(醫師班表!$E38:$CS38,"特"))</f>
        <v/>
      </c>
      <c r="O37" s="18">
        <f>IF($A37="","",COUNTIF(醫師班表!$E38:$CS38,"病"))</f>
        <v/>
      </c>
      <c r="P37" s="18">
        <f>IF($A37="","",COUNTIF(醫師班表!$E38:$CS38,"事"))</f>
        <v/>
      </c>
      <c r="Q37" s="18">
        <f>IF($A37="","",COUNTIF(醫師班表!$E38:$CS38,"公"))</f>
        <v/>
      </c>
      <c r="R37" s="18">
        <f>IF($A37="","",COUNTIF(醫師班表!$E38:$CS38,"國"))</f>
        <v/>
      </c>
      <c r="S37" s="18">
        <f>IF($A37="","",COUNTIF(醫師班表!$E38:$CS38,"休"))</f>
        <v/>
      </c>
      <c r="T37" s="18">
        <f>IF($A37="","",SUM($M37:$S37))</f>
        <v/>
      </c>
      <c r="U37" s="18">
        <f>IF($A37="","",DAY(EOMONTH(DATE(設定!$C$2,設定!$D$2,1),0))*3-COUNTIF(醫師班表!$E38:$CS38,"?*"))</f>
        <v/>
      </c>
    </row>
    <row r="38">
      <c r="A38" s="18">
        <f>IF(醫師班表!$A39="","",醫師班表!$A39)</f>
        <v/>
      </c>
      <c r="B38" s="18">
        <f>IF($A38="","",醫師班表!$B39)</f>
        <v/>
      </c>
      <c r="C38" s="72">
        <f>IF($A38="","",醫師班表!$C39)</f>
        <v/>
      </c>
      <c r="D38" s="18">
        <f>IF($A38="","",醫師班表!$D39)</f>
        <v/>
      </c>
      <c r="E38" s="64">
        <f>IF($A38="","",COUNTIF(醫師班表!$E39:$CS39,"悅"))</f>
        <v/>
      </c>
      <c r="F38" s="65">
        <f>IF($A38="","",COUNTIF(醫師班表!$E39:$CS39,"睿"))</f>
        <v/>
      </c>
      <c r="G38" s="66">
        <f>IF($A38="","",COUNTIF(醫師班表!$E39:$CS39,"匯"))</f>
        <v/>
      </c>
      <c r="H38" s="67">
        <f>IF($A38="","",COUNTIF(醫師班表!$E39:$CS39,"曜"))</f>
        <v/>
      </c>
      <c r="I38" s="68">
        <f>IF($A38="","",COUNTIF(醫師班表!$E39:$CS39,"寶"))</f>
        <v/>
      </c>
      <c r="J38" s="18">
        <f>IF($A38="","",SUM($E38:$I38))</f>
        <v/>
      </c>
      <c r="K38" s="18">
        <f>IF($A38="","",SUMPRODUCT(($E38:$I38&gt;0)*1))</f>
        <v/>
      </c>
      <c r="L38" s="18">
        <f>IF($A38="","",COUNTIF(醫師班表!$E39:$CS39,"訓"))</f>
        <v/>
      </c>
      <c r="M38" s="18">
        <f>IF($A38="","",COUNTIF(醫師班表!$E39:$CS39,"OFF"))</f>
        <v/>
      </c>
      <c r="N38" s="18">
        <f>IF($A38="","",COUNTIF(醫師班表!$E39:$CS39,"特"))</f>
        <v/>
      </c>
      <c r="O38" s="18">
        <f>IF($A38="","",COUNTIF(醫師班表!$E39:$CS39,"病"))</f>
        <v/>
      </c>
      <c r="P38" s="18">
        <f>IF($A38="","",COUNTIF(醫師班表!$E39:$CS39,"事"))</f>
        <v/>
      </c>
      <c r="Q38" s="18">
        <f>IF($A38="","",COUNTIF(醫師班表!$E39:$CS39,"公"))</f>
        <v/>
      </c>
      <c r="R38" s="18">
        <f>IF($A38="","",COUNTIF(醫師班表!$E39:$CS39,"國"))</f>
        <v/>
      </c>
      <c r="S38" s="18">
        <f>IF($A38="","",COUNTIF(醫師班表!$E39:$CS39,"休"))</f>
        <v/>
      </c>
      <c r="T38" s="18">
        <f>IF($A38="","",SUM($M38:$S38))</f>
        <v/>
      </c>
      <c r="U38" s="18">
        <f>IF($A38="","",DAY(EOMONTH(DATE(設定!$C$2,設定!$D$2,1),0))*3-COUNTIF(醫師班表!$E39:$CS39,"?*"))</f>
        <v/>
      </c>
    </row>
    <row r="39">
      <c r="A39" s="18">
        <f>IF(醫師班表!$A40="","",醫師班表!$A40)</f>
        <v/>
      </c>
      <c r="B39" s="18">
        <f>IF($A39="","",醫師班表!$B40)</f>
        <v/>
      </c>
      <c r="C39" s="72">
        <f>IF($A39="","",醫師班表!$C40)</f>
        <v/>
      </c>
      <c r="D39" s="18">
        <f>IF($A39="","",醫師班表!$D40)</f>
        <v/>
      </c>
      <c r="E39" s="64">
        <f>IF($A39="","",COUNTIF(醫師班表!$E40:$CS40,"悅"))</f>
        <v/>
      </c>
      <c r="F39" s="65">
        <f>IF($A39="","",COUNTIF(醫師班表!$E40:$CS40,"睿"))</f>
        <v/>
      </c>
      <c r="G39" s="66">
        <f>IF($A39="","",COUNTIF(醫師班表!$E40:$CS40,"匯"))</f>
        <v/>
      </c>
      <c r="H39" s="67">
        <f>IF($A39="","",COUNTIF(醫師班表!$E40:$CS40,"曜"))</f>
        <v/>
      </c>
      <c r="I39" s="68">
        <f>IF($A39="","",COUNTIF(醫師班表!$E40:$CS40,"寶"))</f>
        <v/>
      </c>
      <c r="J39" s="18">
        <f>IF($A39="","",SUM($E39:$I39))</f>
        <v/>
      </c>
      <c r="K39" s="18">
        <f>IF($A39="","",SUMPRODUCT(($E39:$I39&gt;0)*1))</f>
        <v/>
      </c>
      <c r="L39" s="18">
        <f>IF($A39="","",COUNTIF(醫師班表!$E40:$CS40,"訓"))</f>
        <v/>
      </c>
      <c r="M39" s="18">
        <f>IF($A39="","",COUNTIF(醫師班表!$E40:$CS40,"OFF"))</f>
        <v/>
      </c>
      <c r="N39" s="18">
        <f>IF($A39="","",COUNTIF(醫師班表!$E40:$CS40,"特"))</f>
        <v/>
      </c>
      <c r="O39" s="18">
        <f>IF($A39="","",COUNTIF(醫師班表!$E40:$CS40,"病"))</f>
        <v/>
      </c>
      <c r="P39" s="18">
        <f>IF($A39="","",COUNTIF(醫師班表!$E40:$CS40,"事"))</f>
        <v/>
      </c>
      <c r="Q39" s="18">
        <f>IF($A39="","",COUNTIF(醫師班表!$E40:$CS40,"公"))</f>
        <v/>
      </c>
      <c r="R39" s="18">
        <f>IF($A39="","",COUNTIF(醫師班表!$E40:$CS40,"國"))</f>
        <v/>
      </c>
      <c r="S39" s="18">
        <f>IF($A39="","",COUNTIF(醫師班表!$E40:$CS40,"休"))</f>
        <v/>
      </c>
      <c r="T39" s="18">
        <f>IF($A39="","",SUM($M39:$S39))</f>
        <v/>
      </c>
      <c r="U39" s="18">
        <f>IF($A39="","",DAY(EOMONTH(DATE(設定!$C$2,設定!$D$2,1),0))*3-COUNTIF(醫師班表!$E40:$CS40,"?*"))</f>
        <v/>
      </c>
    </row>
    <row r="40">
      <c r="A40" s="18">
        <f>IF(醫師班表!$A41="","",醫師班表!$A41)</f>
        <v/>
      </c>
      <c r="B40" s="18">
        <f>IF($A40="","",醫師班表!$B41)</f>
        <v/>
      </c>
      <c r="C40" s="72">
        <f>IF($A40="","",醫師班表!$C41)</f>
        <v/>
      </c>
      <c r="D40" s="18">
        <f>IF($A40="","",醫師班表!$D41)</f>
        <v/>
      </c>
      <c r="E40" s="64">
        <f>IF($A40="","",COUNTIF(醫師班表!$E41:$CS41,"悅"))</f>
        <v/>
      </c>
      <c r="F40" s="65">
        <f>IF($A40="","",COUNTIF(醫師班表!$E41:$CS41,"睿"))</f>
        <v/>
      </c>
      <c r="G40" s="66">
        <f>IF($A40="","",COUNTIF(醫師班表!$E41:$CS41,"匯"))</f>
        <v/>
      </c>
      <c r="H40" s="67">
        <f>IF($A40="","",COUNTIF(醫師班表!$E41:$CS41,"曜"))</f>
        <v/>
      </c>
      <c r="I40" s="68">
        <f>IF($A40="","",COUNTIF(醫師班表!$E41:$CS41,"寶"))</f>
        <v/>
      </c>
      <c r="J40" s="18">
        <f>IF($A40="","",SUM($E40:$I40))</f>
        <v/>
      </c>
      <c r="K40" s="18">
        <f>IF($A40="","",SUMPRODUCT(($E40:$I40&gt;0)*1))</f>
        <v/>
      </c>
      <c r="L40" s="18">
        <f>IF($A40="","",COUNTIF(醫師班表!$E41:$CS41,"訓"))</f>
        <v/>
      </c>
      <c r="M40" s="18">
        <f>IF($A40="","",COUNTIF(醫師班表!$E41:$CS41,"OFF"))</f>
        <v/>
      </c>
      <c r="N40" s="18">
        <f>IF($A40="","",COUNTIF(醫師班表!$E41:$CS41,"特"))</f>
        <v/>
      </c>
      <c r="O40" s="18">
        <f>IF($A40="","",COUNTIF(醫師班表!$E41:$CS41,"病"))</f>
        <v/>
      </c>
      <c r="P40" s="18">
        <f>IF($A40="","",COUNTIF(醫師班表!$E41:$CS41,"事"))</f>
        <v/>
      </c>
      <c r="Q40" s="18">
        <f>IF($A40="","",COUNTIF(醫師班表!$E41:$CS41,"公"))</f>
        <v/>
      </c>
      <c r="R40" s="18">
        <f>IF($A40="","",COUNTIF(醫師班表!$E41:$CS41,"國"))</f>
        <v/>
      </c>
      <c r="S40" s="18">
        <f>IF($A40="","",COUNTIF(醫師班表!$E41:$CS41,"休"))</f>
        <v/>
      </c>
      <c r="T40" s="18">
        <f>IF($A40="","",SUM($M40:$S40))</f>
        <v/>
      </c>
      <c r="U40" s="18">
        <f>IF($A40="","",DAY(EOMONTH(DATE(設定!$C$2,設定!$D$2,1),0))*3-COUNTIF(醫師班表!$E41:$CS41,"?*"))</f>
        <v/>
      </c>
    </row>
    <row r="41">
      <c r="A41" s="18">
        <f>IF(醫師班表!$A42="","",醫師班表!$A42)</f>
        <v/>
      </c>
      <c r="B41" s="18">
        <f>IF($A41="","",醫師班表!$B42)</f>
        <v/>
      </c>
      <c r="C41" s="72">
        <f>IF($A41="","",醫師班表!$C42)</f>
        <v/>
      </c>
      <c r="D41" s="18">
        <f>IF($A41="","",醫師班表!$D42)</f>
        <v/>
      </c>
      <c r="E41" s="64">
        <f>IF($A41="","",COUNTIF(醫師班表!$E42:$CS42,"悅"))</f>
        <v/>
      </c>
      <c r="F41" s="65">
        <f>IF($A41="","",COUNTIF(醫師班表!$E42:$CS42,"睿"))</f>
        <v/>
      </c>
      <c r="G41" s="66">
        <f>IF($A41="","",COUNTIF(醫師班表!$E42:$CS42,"匯"))</f>
        <v/>
      </c>
      <c r="H41" s="67">
        <f>IF($A41="","",COUNTIF(醫師班表!$E42:$CS42,"曜"))</f>
        <v/>
      </c>
      <c r="I41" s="68">
        <f>IF($A41="","",COUNTIF(醫師班表!$E42:$CS42,"寶"))</f>
        <v/>
      </c>
      <c r="J41" s="18">
        <f>IF($A41="","",SUM($E41:$I41))</f>
        <v/>
      </c>
      <c r="K41" s="18">
        <f>IF($A41="","",SUMPRODUCT(($E41:$I41&gt;0)*1))</f>
        <v/>
      </c>
      <c r="L41" s="18">
        <f>IF($A41="","",COUNTIF(醫師班表!$E42:$CS42,"訓"))</f>
        <v/>
      </c>
      <c r="M41" s="18">
        <f>IF($A41="","",COUNTIF(醫師班表!$E42:$CS42,"OFF"))</f>
        <v/>
      </c>
      <c r="N41" s="18">
        <f>IF($A41="","",COUNTIF(醫師班表!$E42:$CS42,"特"))</f>
        <v/>
      </c>
      <c r="O41" s="18">
        <f>IF($A41="","",COUNTIF(醫師班表!$E42:$CS42,"病"))</f>
        <v/>
      </c>
      <c r="P41" s="18">
        <f>IF($A41="","",COUNTIF(醫師班表!$E42:$CS42,"事"))</f>
        <v/>
      </c>
      <c r="Q41" s="18">
        <f>IF($A41="","",COUNTIF(醫師班表!$E42:$CS42,"公"))</f>
        <v/>
      </c>
      <c r="R41" s="18">
        <f>IF($A41="","",COUNTIF(醫師班表!$E42:$CS42,"國"))</f>
        <v/>
      </c>
      <c r="S41" s="18">
        <f>IF($A41="","",COUNTIF(醫師班表!$E42:$CS42,"休"))</f>
        <v/>
      </c>
      <c r="T41" s="18">
        <f>IF($A41="","",SUM($M41:$S41))</f>
        <v/>
      </c>
      <c r="U41" s="18">
        <f>IF($A41="","",DAY(EOMONTH(DATE(設定!$C$2,設定!$D$2,1),0))*3-COUNTIF(醫師班表!$E42:$CS42,"?*"))</f>
        <v/>
      </c>
    </row>
    <row r="42">
      <c r="A42" s="18">
        <f>IF(醫師班表!$A43="","",醫師班表!$A43)</f>
        <v/>
      </c>
      <c r="B42" s="18">
        <f>IF($A42="","",醫師班表!$B43)</f>
        <v/>
      </c>
      <c r="C42" s="72">
        <f>IF($A42="","",醫師班表!$C43)</f>
        <v/>
      </c>
      <c r="D42" s="18">
        <f>IF($A42="","",醫師班表!$D43)</f>
        <v/>
      </c>
      <c r="E42" s="64">
        <f>IF($A42="","",COUNTIF(醫師班表!$E43:$CS43,"悅"))</f>
        <v/>
      </c>
      <c r="F42" s="65">
        <f>IF($A42="","",COUNTIF(醫師班表!$E43:$CS43,"睿"))</f>
        <v/>
      </c>
      <c r="G42" s="66">
        <f>IF($A42="","",COUNTIF(醫師班表!$E43:$CS43,"匯"))</f>
        <v/>
      </c>
      <c r="H42" s="67">
        <f>IF($A42="","",COUNTIF(醫師班表!$E43:$CS43,"曜"))</f>
        <v/>
      </c>
      <c r="I42" s="68">
        <f>IF($A42="","",COUNTIF(醫師班表!$E43:$CS43,"寶"))</f>
        <v/>
      </c>
      <c r="J42" s="18">
        <f>IF($A42="","",SUM($E42:$I42))</f>
        <v/>
      </c>
      <c r="K42" s="18">
        <f>IF($A42="","",SUMPRODUCT(($E42:$I42&gt;0)*1))</f>
        <v/>
      </c>
      <c r="L42" s="18">
        <f>IF($A42="","",COUNTIF(醫師班表!$E43:$CS43,"訓"))</f>
        <v/>
      </c>
      <c r="M42" s="18">
        <f>IF($A42="","",COUNTIF(醫師班表!$E43:$CS43,"OFF"))</f>
        <v/>
      </c>
      <c r="N42" s="18">
        <f>IF($A42="","",COUNTIF(醫師班表!$E43:$CS43,"特"))</f>
        <v/>
      </c>
      <c r="O42" s="18">
        <f>IF($A42="","",COUNTIF(醫師班表!$E43:$CS43,"病"))</f>
        <v/>
      </c>
      <c r="P42" s="18">
        <f>IF($A42="","",COUNTIF(醫師班表!$E43:$CS43,"事"))</f>
        <v/>
      </c>
      <c r="Q42" s="18">
        <f>IF($A42="","",COUNTIF(醫師班表!$E43:$CS43,"公"))</f>
        <v/>
      </c>
      <c r="R42" s="18">
        <f>IF($A42="","",COUNTIF(醫師班表!$E43:$CS43,"國"))</f>
        <v/>
      </c>
      <c r="S42" s="18">
        <f>IF($A42="","",COUNTIF(醫師班表!$E43:$CS43,"休"))</f>
        <v/>
      </c>
      <c r="T42" s="18">
        <f>IF($A42="","",SUM($M42:$S42))</f>
        <v/>
      </c>
      <c r="U42" s="18">
        <f>IF($A42="","",DAY(EOMONTH(DATE(設定!$C$2,設定!$D$2,1),0))*3-COUNTIF(醫師班表!$E43:$CS43,"?*"))</f>
        <v/>
      </c>
    </row>
    <row r="43">
      <c r="A43" s="18">
        <f>IF(醫師班表!$A44="","",醫師班表!$A44)</f>
        <v/>
      </c>
      <c r="B43" s="18">
        <f>IF($A43="","",醫師班表!$B44)</f>
        <v/>
      </c>
      <c r="C43" s="72">
        <f>IF($A43="","",醫師班表!$C44)</f>
        <v/>
      </c>
      <c r="D43" s="18">
        <f>IF($A43="","",醫師班表!$D44)</f>
        <v/>
      </c>
      <c r="E43" s="64">
        <f>IF($A43="","",COUNTIF(醫師班表!$E44:$CS44,"悅"))</f>
        <v/>
      </c>
      <c r="F43" s="65">
        <f>IF($A43="","",COUNTIF(醫師班表!$E44:$CS44,"睿"))</f>
        <v/>
      </c>
      <c r="G43" s="66">
        <f>IF($A43="","",COUNTIF(醫師班表!$E44:$CS44,"匯"))</f>
        <v/>
      </c>
      <c r="H43" s="67">
        <f>IF($A43="","",COUNTIF(醫師班表!$E44:$CS44,"曜"))</f>
        <v/>
      </c>
      <c r="I43" s="68">
        <f>IF($A43="","",COUNTIF(醫師班表!$E44:$CS44,"寶"))</f>
        <v/>
      </c>
      <c r="J43" s="18">
        <f>IF($A43="","",SUM($E43:$I43))</f>
        <v/>
      </c>
      <c r="K43" s="18">
        <f>IF($A43="","",SUMPRODUCT(($E43:$I43&gt;0)*1))</f>
        <v/>
      </c>
      <c r="L43" s="18">
        <f>IF($A43="","",COUNTIF(醫師班表!$E44:$CS44,"訓"))</f>
        <v/>
      </c>
      <c r="M43" s="18">
        <f>IF($A43="","",COUNTIF(醫師班表!$E44:$CS44,"OFF"))</f>
        <v/>
      </c>
      <c r="N43" s="18">
        <f>IF($A43="","",COUNTIF(醫師班表!$E44:$CS44,"特"))</f>
        <v/>
      </c>
      <c r="O43" s="18">
        <f>IF($A43="","",COUNTIF(醫師班表!$E44:$CS44,"病"))</f>
        <v/>
      </c>
      <c r="P43" s="18">
        <f>IF($A43="","",COUNTIF(醫師班表!$E44:$CS44,"事"))</f>
        <v/>
      </c>
      <c r="Q43" s="18">
        <f>IF($A43="","",COUNTIF(醫師班表!$E44:$CS44,"公"))</f>
        <v/>
      </c>
      <c r="R43" s="18">
        <f>IF($A43="","",COUNTIF(醫師班表!$E44:$CS44,"國"))</f>
        <v/>
      </c>
      <c r="S43" s="18">
        <f>IF($A43="","",COUNTIF(醫師班表!$E44:$CS44,"休"))</f>
        <v/>
      </c>
      <c r="T43" s="18">
        <f>IF($A43="","",SUM($M43:$S43))</f>
        <v/>
      </c>
      <c r="U43" s="18">
        <f>IF($A43="","",DAY(EOMONTH(DATE(設定!$C$2,設定!$D$2,1),0))*3-COUNTIF(醫師班表!$E44:$CS44,"?*"))</f>
        <v/>
      </c>
    </row>
    <row r="44">
      <c r="A44" s="18">
        <f>IF(醫師班表!$A45="","",醫師班表!$A45)</f>
        <v/>
      </c>
      <c r="B44" s="18">
        <f>IF($A44="","",醫師班表!$B45)</f>
        <v/>
      </c>
      <c r="C44" s="72">
        <f>IF($A44="","",醫師班表!$C45)</f>
        <v/>
      </c>
      <c r="D44" s="18">
        <f>IF($A44="","",醫師班表!$D45)</f>
        <v/>
      </c>
      <c r="E44" s="64">
        <f>IF($A44="","",COUNTIF(醫師班表!$E45:$CS45,"悅"))</f>
        <v/>
      </c>
      <c r="F44" s="65">
        <f>IF($A44="","",COUNTIF(醫師班表!$E45:$CS45,"睿"))</f>
        <v/>
      </c>
      <c r="G44" s="66">
        <f>IF($A44="","",COUNTIF(醫師班表!$E45:$CS45,"匯"))</f>
        <v/>
      </c>
      <c r="H44" s="67">
        <f>IF($A44="","",COUNTIF(醫師班表!$E45:$CS45,"曜"))</f>
        <v/>
      </c>
      <c r="I44" s="68">
        <f>IF($A44="","",COUNTIF(醫師班表!$E45:$CS45,"寶"))</f>
        <v/>
      </c>
      <c r="J44" s="18">
        <f>IF($A44="","",SUM($E44:$I44))</f>
        <v/>
      </c>
      <c r="K44" s="18">
        <f>IF($A44="","",SUMPRODUCT(($E44:$I44&gt;0)*1))</f>
        <v/>
      </c>
      <c r="L44" s="18">
        <f>IF($A44="","",COUNTIF(醫師班表!$E45:$CS45,"訓"))</f>
        <v/>
      </c>
      <c r="M44" s="18">
        <f>IF($A44="","",COUNTIF(醫師班表!$E45:$CS45,"OFF"))</f>
        <v/>
      </c>
      <c r="N44" s="18">
        <f>IF($A44="","",COUNTIF(醫師班表!$E45:$CS45,"特"))</f>
        <v/>
      </c>
      <c r="O44" s="18">
        <f>IF($A44="","",COUNTIF(醫師班表!$E45:$CS45,"病"))</f>
        <v/>
      </c>
      <c r="P44" s="18">
        <f>IF($A44="","",COUNTIF(醫師班表!$E45:$CS45,"事"))</f>
        <v/>
      </c>
      <c r="Q44" s="18">
        <f>IF($A44="","",COUNTIF(醫師班表!$E45:$CS45,"公"))</f>
        <v/>
      </c>
      <c r="R44" s="18">
        <f>IF($A44="","",COUNTIF(醫師班表!$E45:$CS45,"國"))</f>
        <v/>
      </c>
      <c r="S44" s="18">
        <f>IF($A44="","",COUNTIF(醫師班表!$E45:$CS45,"休"))</f>
        <v/>
      </c>
      <c r="T44" s="18">
        <f>IF($A44="","",SUM($M44:$S44))</f>
        <v/>
      </c>
      <c r="U44" s="18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2026-09-15T08:52:09Z</dcterms:created>
  <dcterms:modified xsi:type="dcterms:W3CDTF">2026-09-15T08:52:11Z</dcterms:modified>
</cp:coreProperties>
</file>