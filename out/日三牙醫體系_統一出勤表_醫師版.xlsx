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這是醫師版,助理與醫護長的四個分頁(助理班表、打卡匯入、出勤紀錄、月結統計)
已經拿掉,等名單到位後用完整版。那四頁彼此相依——出勤紀錄要讀助理班表與
打卡匯入、月結統計要讀出勤紀錄——所以是整組拿掉,不是只拔一頁。
「設定」分頁裡的助理班別代碼保留不動,完整版會用到。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每週固定在晶悅
  悅~    隔週在晶悅(單數週有、雙數週沒有)
  悅~睿~ 兩間輪替——單數週晶悅、雙數週晶睿,全表共四組
  寶*    官網註明非每週固定,需向院所確認
  悅!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涵蓋助理與醫護長。這一版不能單獨拿來因應勞檢。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一、助理與醫護長名單尚未提供。名單到位後改用完整版,那邊有助理班表、
   打卡匯入、出勤紀錄、月結統計四個分頁。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寶*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悅!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悅*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悅~匯~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二、醫師診次代碼(醫師班表用:一格填一個代碼)</t>
        </is>
      </c>
      <c r="E21" s="7" t="inlineStr">
        <is>
          <t>二之二、醫師週班表的標記(母表專用)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睿~曜~</t>
        </is>
      </c>
    </row>
    <row r="22">
      <c r="B22" s="10" t="inlineStr">
        <is>
          <t>代碼</t>
        </is>
      </c>
      <c r="C22" s="10" t="inlineStr">
        <is>
          <t>意義</t>
        </is>
      </c>
      <c r="E22" s="10" t="inlineStr">
        <is>
          <t>寫法</t>
        </is>
      </c>
      <c r="F22" s="10" t="inlineStr">
        <is>
          <t>意思</t>
        </is>
      </c>
      <c r="G22" s="10" t="inlineStr">
        <is>
          <t>舉例說明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E23" s="22" t="inlineStr">
        <is>
          <t>悅</t>
        </is>
      </c>
      <c r="F23" s="17" t="inlineStr">
        <is>
          <t>每週固定</t>
        </is>
      </c>
      <c r="G23" s="23" t="inlineStr">
        <is>
          <t>每一週的這個診次都在晶悅</t>
        </is>
      </c>
      <c r="H23" s="8" t="n"/>
      <c r="I23" s="8" t="n"/>
      <c r="J23" s="9" t="n"/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4" t="inlineStr">
        <is>
          <t>睿</t>
        </is>
      </c>
      <c r="C24" s="13" t="inlineStr">
        <is>
          <t>晶睿牙醫</t>
        </is>
      </c>
      <c r="E24" s="22" t="inlineStr">
        <is>
          <t>悅~</t>
        </is>
      </c>
      <c r="F24" s="17" t="inlineStr">
        <is>
          <t>隔週看診</t>
        </is>
      </c>
      <c r="G24" s="23" t="inlineStr">
        <is>
          <t>單數週在晶悅,雙數週這個診次不排</t>
        </is>
      </c>
      <c r="H24" s="8" t="n"/>
      <c r="I24" s="8" t="n"/>
      <c r="J24" s="9" t="n"/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5" t="inlineStr">
        <is>
          <t>匯</t>
        </is>
      </c>
      <c r="C25" s="13" t="inlineStr">
        <is>
          <t>晶匯牙醫</t>
        </is>
      </c>
      <c r="E25" s="22" t="inlineStr">
        <is>
          <t>悅~睿~</t>
        </is>
      </c>
      <c r="F25" s="17" t="inlineStr">
        <is>
          <t>兩間院所輪替</t>
        </is>
      </c>
      <c r="G25" s="23" t="inlineStr">
        <is>
          <t>單數週在晶悅、雙數週在晶睿(週班表裡共四組)</t>
        </is>
      </c>
      <c r="H25" s="8" t="n"/>
      <c r="I25" s="8" t="n"/>
      <c r="J25" s="9" t="n"/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6" t="inlineStr">
        <is>
          <t>曜</t>
        </is>
      </c>
      <c r="C26" s="13" t="inlineStr">
        <is>
          <t>晶曜牙醫</t>
        </is>
      </c>
      <c r="E26" s="22" t="inlineStr">
        <is>
          <t>寶*</t>
        </is>
      </c>
      <c r="F26" s="17" t="inlineStr">
        <is>
          <t>非每週固定</t>
        </is>
      </c>
      <c r="G26" s="23" t="inlineStr">
        <is>
          <t>官網註明「詳情請聯繫院所」,需逐一確認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7" t="inlineStr">
        <is>
          <t>寶</t>
        </is>
      </c>
      <c r="C27" s="13" t="inlineStr">
        <is>
          <t>寶貝牙牙醫</t>
        </is>
      </c>
      <c r="E27" s="22" t="inlineStr">
        <is>
          <t>悅!</t>
        </is>
      </c>
      <c r="F27" s="17" t="inlineStr">
        <is>
          <t>有附加條件</t>
        </is>
      </c>
      <c r="G27" s="23" t="inlineStr">
        <is>
          <t>條件寫在該列最右邊的附註欄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2" t="inlineStr">
        <is>
          <t>訓</t>
        </is>
      </c>
      <c r="C28" s="13" t="inlineStr">
        <is>
          <t>教育訓練 / 學會</t>
        </is>
      </c>
      <c r="E28" s="22" t="inlineStr">
        <is>
          <t>OFF 特 病</t>
        </is>
      </c>
      <c r="F28" s="17" t="inlineStr">
        <is>
          <t>休假類</t>
        </is>
      </c>
      <c r="G28" s="23" t="inlineStr">
        <is>
          <t>整個診次請假,寫法與醫師班表相同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2" t="inlineStr">
        <is>
          <t>OFF</t>
        </is>
      </c>
      <c r="C29" s="13" t="inlineStr">
        <is>
          <t>排休</t>
        </is>
      </c>
      <c r="E29" s="6" t="inlineStr">
        <is>
          <t>※ 單數/雙數週以計算參數區的「隔週基準日」起算,跨月跨年連續不會斷。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2" t="inlineStr">
        <is>
          <t>特</t>
        </is>
      </c>
      <c r="C30" s="13" t="inlineStr">
        <is>
          <t>特休</t>
        </is>
      </c>
      <c r="E30" s="6" t="inlineStr">
        <is>
          <t>※ 週班表的資料格有下拉選單,但不強制——輸入清單外的寫法只會跳提醒,按「是」照樣存入。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B37" s="6" t="inlineStr">
        <is>
          <t>※ 「醫師週班表」除了上面這些代碼,還會用到右邊那幾種標記——那是母表,要表示隔週與輪替,所以下拉選項比較多。</t>
        </is>
      </c>
      <c r="Q37" s="17" t="inlineStr"/>
      <c r="S37" s="17" t="inlineStr"/>
      <c r="W37" s="17" t="n"/>
      <c r="X37" s="17" t="n"/>
      <c r="Y37" s="17" t="n"/>
    </row>
    <row r="38">
      <c r="B38" s="7" t="inlineStr">
        <is>
          <t>三、計算參數(全體系一致)</t>
        </is>
      </c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8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8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8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28" t="inlineStr">
        <is>
          <t>隔週基準日</t>
        </is>
      </c>
      <c r="C43" s="30" t="n">
        <v>46293</v>
      </c>
      <c r="D43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3" s="8" t="n"/>
      <c r="F43" s="8" t="n"/>
      <c r="G43" s="8" t="n"/>
      <c r="H43" s="8" t="n"/>
      <c r="I43" s="8" t="n"/>
      <c r="J43" s="9" t="n"/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6" t="inlineStr">
        <is>
          <t>※ 前三個是勞資雙方的認定慣例,不是法律規定的數字。上線前請與人資或勞務顧問確認,並讓同仁事先知道規則。</t>
        </is>
      </c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1" t="inlineStr">
        <is>
          <t>一早</t>
        </is>
      </c>
      <c r="V45" s="31" t="inlineStr">
        <is>
          <t>一午</t>
        </is>
      </c>
      <c r="W45" s="31" t="inlineStr">
        <is>
          <t>一晚</t>
        </is>
      </c>
      <c r="X45" s="31" t="inlineStr">
        <is>
          <t>二早</t>
        </is>
      </c>
      <c r="Y45" s="31" t="inlineStr">
        <is>
          <t>二午</t>
        </is>
      </c>
      <c r="Z45" s="31" t="inlineStr">
        <is>
          <t>二晚</t>
        </is>
      </c>
      <c r="AA45" s="31" t="inlineStr">
        <is>
          <t>三早</t>
        </is>
      </c>
      <c r="AB45" s="31" t="inlineStr">
        <is>
          <t>三午</t>
        </is>
      </c>
      <c r="AC45" s="31" t="inlineStr">
        <is>
          <t>三晚</t>
        </is>
      </c>
      <c r="AD45" s="31" t="inlineStr">
        <is>
          <t>四早</t>
        </is>
      </c>
      <c r="AE45" s="31" t="inlineStr">
        <is>
          <t>四午</t>
        </is>
      </c>
      <c r="AF45" s="31" t="inlineStr">
        <is>
          <t>四晚</t>
        </is>
      </c>
      <c r="AG45" s="31" t="inlineStr">
        <is>
          <t>五早</t>
        </is>
      </c>
      <c r="AH45" s="31" t="inlineStr">
        <is>
          <t>五午</t>
        </is>
      </c>
      <c r="AI45" s="31" t="inlineStr">
        <is>
          <t>五晚</t>
        </is>
      </c>
      <c r="AJ45" s="31" t="inlineStr">
        <is>
          <t>六早</t>
        </is>
      </c>
      <c r="AK45" s="31" t="inlineStr">
        <is>
          <t>六午</t>
        </is>
      </c>
      <c r="AL45" s="31" t="inlineStr">
        <is>
          <t>六晚</t>
        </is>
      </c>
      <c r="AM45" s="31" t="inlineStr">
        <is>
          <t>日早</t>
        </is>
      </c>
      <c r="AN45" s="31" t="inlineStr">
        <is>
          <t>日午</t>
        </is>
      </c>
      <c r="AO45" s="31" t="inlineStr">
        <is>
          <t>日晚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2" t="inlineStr">
        <is>
          <t>開診時段(1 = 有開診,0 = 休診;順序為週一早…週日晚)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9" t="n"/>
    </row>
    <row r="47">
      <c r="B47" s="33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4" t="n">
        <v>1</v>
      </c>
      <c r="V47" s="34" t="n">
        <v>1</v>
      </c>
      <c r="W47" s="34" t="n">
        <v>1</v>
      </c>
      <c r="X47" s="34" t="n">
        <v>1</v>
      </c>
      <c r="Y47" s="34" t="n">
        <v>1</v>
      </c>
      <c r="Z47" s="34" t="n">
        <v>1</v>
      </c>
      <c r="AA47" s="34" t="n">
        <v>1</v>
      </c>
      <c r="AB47" s="34" t="n">
        <v>1</v>
      </c>
      <c r="AC47" s="34" t="n">
        <v>1</v>
      </c>
      <c r="AD47" s="34" t="n">
        <v>1</v>
      </c>
      <c r="AE47" s="34" t="n">
        <v>1</v>
      </c>
      <c r="AF47" s="34" t="n">
        <v>1</v>
      </c>
      <c r="AG47" s="34" t="n">
        <v>1</v>
      </c>
      <c r="AH47" s="34" t="n">
        <v>1</v>
      </c>
      <c r="AI47" s="34" t="n">
        <v>1</v>
      </c>
      <c r="AJ47" s="34" t="n">
        <v>1</v>
      </c>
      <c r="AK47" s="34" t="n">
        <v>1</v>
      </c>
      <c r="AL47" s="35" t="n">
        <v>0</v>
      </c>
      <c r="AM47" s="35" t="n">
        <v>0</v>
      </c>
      <c r="AN47" s="35" t="n">
        <v>0</v>
      </c>
      <c r="AO47" s="35" t="n">
        <v>0</v>
      </c>
    </row>
    <row r="48">
      <c r="B48" s="36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4" t="n">
        <v>1</v>
      </c>
      <c r="V48" s="34" t="n">
        <v>1</v>
      </c>
      <c r="W48" s="34" t="n">
        <v>1</v>
      </c>
      <c r="X48" s="34" t="n">
        <v>1</v>
      </c>
      <c r="Y48" s="34" t="n">
        <v>1</v>
      </c>
      <c r="Z48" s="34" t="n">
        <v>1</v>
      </c>
      <c r="AA48" s="34" t="n">
        <v>1</v>
      </c>
      <c r="AB48" s="34" t="n">
        <v>1</v>
      </c>
      <c r="AC48" s="34" t="n">
        <v>1</v>
      </c>
      <c r="AD48" s="34" t="n">
        <v>1</v>
      </c>
      <c r="AE48" s="34" t="n">
        <v>1</v>
      </c>
      <c r="AF48" s="34" t="n">
        <v>1</v>
      </c>
      <c r="AG48" s="34" t="n">
        <v>1</v>
      </c>
      <c r="AH48" s="34" t="n">
        <v>1</v>
      </c>
      <c r="AI48" s="34" t="n">
        <v>1</v>
      </c>
      <c r="AJ48" s="34" t="n">
        <v>1</v>
      </c>
      <c r="AK48" s="34" t="n">
        <v>1</v>
      </c>
      <c r="AL48" s="35" t="n">
        <v>0</v>
      </c>
      <c r="AM48" s="35" t="n">
        <v>0</v>
      </c>
      <c r="AN48" s="35" t="n">
        <v>0</v>
      </c>
      <c r="AO48" s="35" t="n">
        <v>0</v>
      </c>
    </row>
    <row r="49">
      <c r="B49" s="37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4" t="n">
        <v>1</v>
      </c>
      <c r="V49" s="34" t="n">
        <v>1</v>
      </c>
      <c r="W49" s="34" t="n">
        <v>1</v>
      </c>
      <c r="X49" s="34" t="n">
        <v>1</v>
      </c>
      <c r="Y49" s="34" t="n">
        <v>1</v>
      </c>
      <c r="Z49" s="34" t="n">
        <v>1</v>
      </c>
      <c r="AA49" s="34" t="n">
        <v>1</v>
      </c>
      <c r="AB49" s="34" t="n">
        <v>1</v>
      </c>
      <c r="AC49" s="34" t="n">
        <v>1</v>
      </c>
      <c r="AD49" s="34" t="n">
        <v>1</v>
      </c>
      <c r="AE49" s="34" t="n">
        <v>1</v>
      </c>
      <c r="AF49" s="34" t="n">
        <v>1</v>
      </c>
      <c r="AG49" s="34" t="n">
        <v>1</v>
      </c>
      <c r="AH49" s="34" t="n">
        <v>1</v>
      </c>
      <c r="AI49" s="34" t="n">
        <v>1</v>
      </c>
      <c r="AJ49" s="34" t="n">
        <v>1</v>
      </c>
      <c r="AK49" s="34" t="n">
        <v>1</v>
      </c>
      <c r="AL49" s="35" t="n">
        <v>0</v>
      </c>
      <c r="AM49" s="35" t="n">
        <v>0</v>
      </c>
      <c r="AN49" s="35" t="n">
        <v>0</v>
      </c>
      <c r="AO49" s="35" t="n">
        <v>0</v>
      </c>
    </row>
    <row r="50">
      <c r="B50" s="38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4" t="n">
        <v>1</v>
      </c>
      <c r="V50" s="34" t="n">
        <v>1</v>
      </c>
      <c r="W50" s="34" t="n">
        <v>1</v>
      </c>
      <c r="X50" s="34" t="n">
        <v>1</v>
      </c>
      <c r="Y50" s="34" t="n">
        <v>1</v>
      </c>
      <c r="Z50" s="34" t="n">
        <v>1</v>
      </c>
      <c r="AA50" s="34" t="n">
        <v>1</v>
      </c>
      <c r="AB50" s="34" t="n">
        <v>1</v>
      </c>
      <c r="AC50" s="34" t="n">
        <v>1</v>
      </c>
      <c r="AD50" s="34" t="n">
        <v>1</v>
      </c>
      <c r="AE50" s="34" t="n">
        <v>1</v>
      </c>
      <c r="AF50" s="34" t="n">
        <v>1</v>
      </c>
      <c r="AG50" s="34" t="n">
        <v>1</v>
      </c>
      <c r="AH50" s="34" t="n">
        <v>1</v>
      </c>
      <c r="AI50" s="34" t="n">
        <v>1</v>
      </c>
      <c r="AJ50" s="34" t="n">
        <v>1</v>
      </c>
      <c r="AK50" s="34" t="n">
        <v>1</v>
      </c>
      <c r="AL50" s="35" t="n">
        <v>0</v>
      </c>
      <c r="AM50" s="35" t="n">
        <v>0</v>
      </c>
      <c r="AN50" s="35" t="n">
        <v>0</v>
      </c>
      <c r="AO50" s="35" t="n">
        <v>0</v>
      </c>
    </row>
    <row r="51">
      <c r="B51" s="39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5" t="n">
        <v>0</v>
      </c>
      <c r="V51" s="34" t="n">
        <v>1</v>
      </c>
      <c r="W51" s="34" t="n">
        <v>1</v>
      </c>
      <c r="X51" s="35" t="n">
        <v>0</v>
      </c>
      <c r="Y51" s="34" t="n">
        <v>1</v>
      </c>
      <c r="Z51" s="34" t="n">
        <v>1</v>
      </c>
      <c r="AA51" s="35" t="n">
        <v>0</v>
      </c>
      <c r="AB51" s="34" t="n">
        <v>1</v>
      </c>
      <c r="AC51" s="34" t="n">
        <v>1</v>
      </c>
      <c r="AD51" s="35" t="n">
        <v>0</v>
      </c>
      <c r="AE51" s="34" t="n">
        <v>1</v>
      </c>
      <c r="AF51" s="34" t="n">
        <v>1</v>
      </c>
      <c r="AG51" s="35" t="n">
        <v>0</v>
      </c>
      <c r="AH51" s="34" t="n">
        <v>1</v>
      </c>
      <c r="AI51" s="34" t="n">
        <v>1</v>
      </c>
      <c r="AJ51" s="34" t="n">
        <v>1</v>
      </c>
      <c r="AK51" s="34" t="n">
        <v>1</v>
      </c>
      <c r="AL51" s="35" t="n">
        <v>0</v>
      </c>
      <c r="AM51" s="35" t="n">
        <v>0</v>
      </c>
      <c r="AN51" s="35" t="n">
        <v>0</v>
      </c>
      <c r="AO51" s="35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  <c r="AL53" s="34" t="n"/>
      <c r="AM53" s="34" t="n"/>
      <c r="AN53" s="34" t="n"/>
      <c r="AO53" s="34" t="n"/>
    </row>
    <row r="54">
      <c r="S54" s="17" t="inlineStr"/>
    </row>
    <row r="55">
      <c r="B55" s="40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3" t="inlineStr"/>
      <c r="F84" s="17" t="inlineStr"/>
      <c r="G84" s="17" t="inlineStr"/>
      <c r="H84" s="23" t="inlineStr"/>
      <c r="I84" s="17" t="inlineStr"/>
      <c r="J84" s="17" t="inlineStr"/>
      <c r="K84" s="23" t="inlineStr"/>
    </row>
    <row r="85">
      <c r="B85" s="17" t="inlineStr"/>
      <c r="C85" s="17" t="inlineStr"/>
      <c r="D85" s="17" t="inlineStr"/>
      <c r="E85" s="23" t="inlineStr"/>
      <c r="F85" s="17" t="inlineStr"/>
      <c r="G85" s="17" t="inlineStr"/>
      <c r="H85" s="23" t="inlineStr"/>
      <c r="I85" s="17" t="inlineStr"/>
      <c r="J85" s="17" t="inlineStr"/>
      <c r="K85" s="23" t="inlineStr"/>
    </row>
    <row r="86">
      <c r="B86" s="17" t="inlineStr"/>
      <c r="C86" s="17" t="inlineStr"/>
      <c r="D86" s="17" t="inlineStr"/>
      <c r="E86" s="23" t="inlineStr"/>
      <c r="F86" s="17" t="inlineStr"/>
      <c r="G86" s="17" t="inlineStr"/>
      <c r="H86" s="23" t="inlineStr"/>
      <c r="I86" s="17" t="inlineStr"/>
      <c r="J86" s="17" t="inlineStr"/>
      <c r="K86" s="23" t="inlineStr"/>
    </row>
    <row r="87">
      <c r="B87" s="17" t="inlineStr"/>
      <c r="C87" s="17" t="inlineStr"/>
      <c r="D87" s="17" t="inlineStr"/>
      <c r="E87" s="23" t="inlineStr"/>
      <c r="F87" s="17" t="inlineStr"/>
      <c r="G87" s="17" t="inlineStr"/>
      <c r="H87" s="23" t="inlineStr"/>
      <c r="I87" s="17" t="inlineStr"/>
      <c r="J87" s="17" t="inlineStr"/>
      <c r="K87" s="23" t="inlineStr"/>
    </row>
    <row r="88">
      <c r="B88" s="17" t="inlineStr"/>
      <c r="C88" s="17" t="inlineStr"/>
      <c r="D88" s="17" t="inlineStr"/>
      <c r="E88" s="23" t="inlineStr"/>
      <c r="F88" s="17" t="inlineStr"/>
      <c r="G88" s="17" t="inlineStr"/>
      <c r="H88" s="23" t="inlineStr"/>
      <c r="I88" s="17" t="inlineStr"/>
      <c r="J88" s="17" t="inlineStr"/>
      <c r="K88" s="23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</sheetData>
  <mergeCells count="13">
    <mergeCell ref="D40:J40"/>
    <mergeCell ref="D41:J41"/>
    <mergeCell ref="G26:J26"/>
    <mergeCell ref="G23:J23"/>
    <mergeCell ref="AP5:AR5"/>
    <mergeCell ref="G24:J24"/>
    <mergeCell ref="W4:Y4"/>
    <mergeCell ref="D42:J42"/>
    <mergeCell ref="U46:AO46"/>
    <mergeCell ref="G25:J25"/>
    <mergeCell ref="G27:J27"/>
    <mergeCell ref="D43:J43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悅~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睿~曜~</t>
        </is>
      </c>
      <c r="J6" s="52" t="inlineStr">
        <is>
          <t>睿~曜~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悅~睿~</t>
        </is>
      </c>
      <c r="E7" s="45" t="inlineStr">
        <is>
          <t>悅~睿~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悅~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寶*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悅!</t>
        </is>
      </c>
      <c r="N10" s="45" t="inlineStr">
        <is>
          <t>悅!</t>
        </is>
      </c>
      <c r="O10" s="44" t="n"/>
      <c r="P10" s="48" t="n"/>
      <c r="Q10" s="48" t="n"/>
      <c r="R10" s="55" t="inlineStr">
        <is>
          <t>寶*</t>
        </is>
      </c>
      <c r="S10" s="54" t="inlineStr">
        <is>
          <t>寶*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悅~匯~</t>
        </is>
      </c>
      <c r="S13" s="45" t="inlineStr">
        <is>
          <t>悅~匯~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睿~</t>
        </is>
      </c>
      <c r="S15" s="52" t="inlineStr">
        <is>
          <t>睿~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曜~</t>
        </is>
      </c>
      <c r="S16" s="47" t="inlineStr">
        <is>
          <t>曜~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悅~匯~</t>
        </is>
      </c>
      <c r="S17" s="45" t="inlineStr">
        <is>
          <t>悅~匯~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曜~</t>
        </is>
      </c>
      <c r="S19" s="47" t="inlineStr">
        <is>
          <t>曜~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悅*</t>
        </is>
      </c>
      <c r="Q23" s="45" t="inlineStr">
        <is>
          <t>悅*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寶*</t>
        </is>
      </c>
      <c r="S26" s="54" t="inlineStr">
        <is>
          <t>寶*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寶*</t>
        </is>
      </c>
      <c r="S27" s="54" t="inlineStr">
        <is>
          <t>寶*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匯~</t>
        </is>
      </c>
      <c r="K28" s="50" t="inlineStr">
        <is>
          <t>匯~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匯~</t>
        </is>
      </c>
      <c r="E31" s="50" t="inlineStr">
        <is>
          <t>匯~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匯~</t>
        </is>
      </c>
      <c r="S31" s="50" t="inlineStr">
        <is>
          <t>匯~</t>
        </is>
      </c>
      <c r="T31" s="48" t="n"/>
      <c r="V31" s="51" t="inlineStr"/>
    </row>
    <row r="32" ht="17" customHeight="1">
      <c r="A32" s="20" t="n"/>
      <c r="B32" s="16">
        <f>IFERROR(INDEX(設定!$C$57:$C$196,MATCH($A32,設定!$B$57:$B$196,0)),"")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IFERROR(INDEX(設定!$C$57:$C$196,MATCH($A33,設定!$B$57:$B$196,0)),"")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IFERROR(INDEX(設定!$C$57:$C$196,MATCH($A34,設定!$B$57:$B$196,0)),"")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IFERROR(INDEX(設定!$C$57:$C$196,MATCH($A35,設定!$B$57:$B$196,0)),"")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IFERROR(INDEX(設定!$C$57:$C$196,MATCH($A36,設定!$B$57:$B$196,0)),"")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IFERROR(INDEX(設定!$C$57:$C$196,MATCH($A37,設定!$B$57:$B$196,0)),"")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IFERROR(INDEX(設定!$C$57:$C$196,MATCH($A38,設定!$B$57:$B$196,0)),"")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IFERROR(INDEX(設定!$C$57:$C$196,MATCH($A39,設定!$B$57:$B$196,0)),"")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IFERROR(INDEX(設定!$C$57:$C$196,MATCH($A40,設定!$B$57:$B$196,0)),"")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IFERROR(INDEX(設定!$C$57:$C$196,MATCH($A41,設定!$B$57:$B$196,0)),"")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IFERROR(INDEX(設定!$C$57:$C$196,MATCH($A42,設定!$B$57:$B$196,0)),"")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IFERROR(INDEX(設定!$C$57:$C$196,MATCH($A43,設定!$B$57:$B$196,0)),"")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IFERROR(INDEX(設定!$C$57:$C$196,MATCH($A44,設定!$B$57:$B$196,0)),"")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"悅,睿,匯,曜,寶,悅~,睿~,匯~,曜~,寶~,寶*,悅!,悅*,悅~匯~,悅~睿~,睿~曜~,訓,OFF,特,病,事,公,國,休"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IFERROR(INDEX(醫師週班表!$C$5:$T$44,$CU6,E$57),"")=0,"",IF(LEN(IFERROR(INDEX(醫師週班表!$C$5:$T$44,$CU6,E$57),""))=4,MID(IFERROR(INDEX(醫師週班表!$C$5:$T$44,$CU6,E$57),""),1+E$58*2,1),IF(LEN(IFERROR(INDEX(醫師週班表!$C$5:$T$44,$CU6,E$57),""))=2,IF(AND(RIGHT(IFERROR(INDEX(醫師週班表!$C$5:$T$44,$CU6,E$57),""),1)="~",E$58=1),"",LEFT(IFERROR(INDEX(醫師週班表!$C$5:$T$44,$CU6,E$57),""),1)),IFERROR(INDEX(醫師週班表!$C$5:$T$44,$CU6,E$57),""))))))</f>
        <v/>
      </c>
      <c r="F6" s="68">
        <f>IF(F$59="X","",IF(F$59&lt;&gt;"",F$59,IF(IFERROR(INDEX(醫師週班表!$C$5:$T$44,$CU6,F$57),"")=0,"",IF(LEN(IFERROR(INDEX(醫師週班表!$C$5:$T$44,$CU6,F$57),""))=4,MID(IFERROR(INDEX(醫師週班表!$C$5:$T$44,$CU6,F$57),""),1+F$58*2,1),IF(LEN(IFERROR(INDEX(醫師週班表!$C$5:$T$44,$CU6,F$57),""))=2,IF(AND(RIGHT(IFERROR(INDEX(醫師週班表!$C$5:$T$44,$CU6,F$57),""),1)="~",F$58=1),"",LEFT(IFERROR(INDEX(醫師週班表!$C$5:$T$44,$CU6,F$57),""),1)),IFERROR(INDEX(醫師週班表!$C$5:$T$44,$CU6,F$57),""))))))</f>
        <v/>
      </c>
      <c r="G6" s="68">
        <f>IF(G$59="X","",IF(G$59&lt;&gt;"",G$59,IF(IFERROR(INDEX(醫師週班表!$C$5:$T$44,$CU6,G$57),"")=0,"",IF(LEN(IFERROR(INDEX(醫師週班表!$C$5:$T$44,$CU6,G$57),""))=4,MID(IFERROR(INDEX(醫師週班表!$C$5:$T$44,$CU6,G$57),""),1+G$58*2,1),IF(LEN(IFERROR(INDEX(醫師週班表!$C$5:$T$44,$CU6,G$57),""))=2,IF(AND(RIGHT(IFERROR(INDEX(醫師週班表!$C$5:$T$44,$CU6,G$57),""),1)="~",G$58=1),"",LEFT(IFERROR(INDEX(醫師週班表!$C$5:$T$44,$CU6,G$57),""),1)),IFERROR(INDEX(醫師週班表!$C$5:$T$44,$CU6,G$57),""))))))</f>
        <v/>
      </c>
      <c r="H6" s="67">
        <f>IF(H$59="X","",IF(H$59&lt;&gt;"",H$59,IF(IFERROR(INDEX(醫師週班表!$C$5:$T$44,$CU6,H$57),"")=0,"",IF(LEN(IFERROR(INDEX(醫師週班表!$C$5:$T$44,$CU6,H$57),""))=4,MID(IFERROR(INDEX(醫師週班表!$C$5:$T$44,$CU6,H$57),""),1+H$58*2,1),IF(LEN(IFERROR(INDEX(醫師週班表!$C$5:$T$44,$CU6,H$57),""))=2,IF(AND(RIGHT(IFERROR(INDEX(醫師週班表!$C$5:$T$44,$CU6,H$57),""),1)="~",H$58=1),"",LEFT(IFERROR(INDEX(醫師週班表!$C$5:$T$44,$CU6,H$57),""),1)),IFERROR(INDEX(醫師週班表!$C$5:$T$44,$CU6,H$57),""))))))</f>
        <v/>
      </c>
      <c r="I6" s="68">
        <f>IF(I$59="X","",IF(I$59&lt;&gt;"",I$59,IF(IFERROR(INDEX(醫師週班表!$C$5:$T$44,$CU6,I$57),"")=0,"",IF(LEN(IFERROR(INDEX(醫師週班表!$C$5:$T$44,$CU6,I$57),""))=4,MID(IFERROR(INDEX(醫師週班表!$C$5:$T$44,$CU6,I$57),""),1+I$58*2,1),IF(LEN(IFERROR(INDEX(醫師週班表!$C$5:$T$44,$CU6,I$57),""))=2,IF(AND(RIGHT(IFERROR(INDEX(醫師週班表!$C$5:$T$44,$CU6,I$57),""),1)="~",I$58=1),"",LEFT(IFERROR(INDEX(醫師週班表!$C$5:$T$44,$CU6,I$57),""),1)),IFERROR(INDEX(醫師週班表!$C$5:$T$44,$CU6,I$57),""))))))</f>
        <v/>
      </c>
      <c r="J6" s="68">
        <f>IF(J$59="X","",IF(J$59&lt;&gt;"",J$59,IF(IFERROR(INDEX(醫師週班表!$C$5:$T$44,$CU6,J$57),"")=0,"",IF(LEN(IFERROR(INDEX(醫師週班表!$C$5:$T$44,$CU6,J$57),""))=4,MID(IFERROR(INDEX(醫師週班表!$C$5:$T$44,$CU6,J$57),""),1+J$58*2,1),IF(LEN(IFERROR(INDEX(醫師週班表!$C$5:$T$44,$CU6,J$57),""))=2,IF(AND(RIGHT(IFERROR(INDEX(醫師週班表!$C$5:$T$44,$CU6,J$57),""),1)="~",J$58=1),"",LEFT(IFERROR(INDEX(醫師週班表!$C$5:$T$44,$CU6,J$57),""),1)),IFERROR(INDEX(醫師週班表!$C$5:$T$44,$CU6,J$57),""))))))</f>
        <v/>
      </c>
      <c r="K6" s="67">
        <f>IF(K$59="X","",IF(K$59&lt;&gt;"",K$59,IF(IFERROR(INDEX(醫師週班表!$C$5:$T$44,$CU6,K$57),"")=0,"",IF(LEN(IFERROR(INDEX(醫師週班表!$C$5:$T$44,$CU6,K$57),""))=4,MID(IFERROR(INDEX(醫師週班表!$C$5:$T$44,$CU6,K$57),""),1+K$58*2,1),IF(LEN(IFERROR(INDEX(醫師週班表!$C$5:$T$44,$CU6,K$57),""))=2,IF(AND(RIGHT(IFERROR(INDEX(醫師週班表!$C$5:$T$44,$CU6,K$57),""),1)="~",K$58=1),"",LEFT(IFERROR(INDEX(醫師週班表!$C$5:$T$44,$CU6,K$57),""),1)),IFERROR(INDEX(醫師週班表!$C$5:$T$44,$CU6,K$57),""))))))</f>
        <v/>
      </c>
      <c r="L6" s="68">
        <f>IF(L$59="X","",IF(L$59&lt;&gt;"",L$59,IF(IFERROR(INDEX(醫師週班表!$C$5:$T$44,$CU6,L$57),"")=0,"",IF(LEN(IFERROR(INDEX(醫師週班表!$C$5:$T$44,$CU6,L$57),""))=4,MID(IFERROR(INDEX(醫師週班表!$C$5:$T$44,$CU6,L$57),""),1+L$58*2,1),IF(LEN(IFERROR(INDEX(醫師週班表!$C$5:$T$44,$CU6,L$57),""))=2,IF(AND(RIGHT(IFERROR(INDEX(醫師週班表!$C$5:$T$44,$CU6,L$57),""),1)="~",L$58=1),"",LEFT(IFERROR(INDEX(醫師週班表!$C$5:$T$44,$CU6,L$57),""),1)),IFERROR(INDEX(醫師週班表!$C$5:$T$44,$CU6,L$57),""))))))</f>
        <v/>
      </c>
      <c r="M6" s="68">
        <f>IF(M$59="X","",IF(M$59&lt;&gt;"",M$59,IF(IFERROR(INDEX(醫師週班表!$C$5:$T$44,$CU6,M$57),"")=0,"",IF(LEN(IFERROR(INDEX(醫師週班表!$C$5:$T$44,$CU6,M$57),""))=4,MID(IFERROR(INDEX(醫師週班表!$C$5:$T$44,$CU6,M$57),""),1+M$58*2,1),IF(LEN(IFERROR(INDEX(醫師週班表!$C$5:$T$44,$CU6,M$57),""))=2,IF(AND(RIGHT(IFERROR(INDEX(醫師週班表!$C$5:$T$44,$CU6,M$57),""),1)="~",M$58=1),"",LEFT(IFERROR(INDEX(醫師週班表!$C$5:$T$44,$CU6,M$57),""),1)),IFERROR(INDEX(醫師週班表!$C$5:$T$44,$CU6,M$57),""))))))</f>
        <v/>
      </c>
      <c r="N6" s="67">
        <f>IF(N$59="X","",IF(N$59&lt;&gt;"",N$59,IF(IFERROR(INDEX(醫師週班表!$C$5:$T$44,$CU6,N$57),"")=0,"",IF(LEN(IFERROR(INDEX(醫師週班表!$C$5:$T$44,$CU6,N$57),""))=4,MID(IFERROR(INDEX(醫師週班表!$C$5:$T$44,$CU6,N$57),""),1+N$58*2,1),IF(LEN(IFERROR(INDEX(醫師週班表!$C$5:$T$44,$CU6,N$57),""))=2,IF(AND(RIGHT(IFERROR(INDEX(醫師週班表!$C$5:$T$44,$CU6,N$57),""),1)="~",N$58=1),"",LEFT(IFERROR(INDEX(醫師週班表!$C$5:$T$44,$CU6,N$57),""),1)),IFERROR(INDEX(醫師週班表!$C$5:$T$44,$CU6,N$57),""))))))</f>
        <v/>
      </c>
      <c r="O6" s="68">
        <f>IF(O$59="X","",IF(O$59&lt;&gt;"",O$59,IF(IFERROR(INDEX(醫師週班表!$C$5:$T$44,$CU6,O$57),"")=0,"",IF(LEN(IFERROR(INDEX(醫師週班表!$C$5:$T$44,$CU6,O$57),""))=4,MID(IFERROR(INDEX(醫師週班表!$C$5:$T$44,$CU6,O$57),""),1+O$58*2,1),IF(LEN(IFERROR(INDEX(醫師週班表!$C$5:$T$44,$CU6,O$57),""))=2,IF(AND(RIGHT(IFERROR(INDEX(醫師週班表!$C$5:$T$44,$CU6,O$57),""),1)="~",O$58=1),"",LEFT(IFERROR(INDEX(醫師週班表!$C$5:$T$44,$CU6,O$57),""),1)),IFERROR(INDEX(醫師週班表!$C$5:$T$44,$CU6,O$57),""))))))</f>
        <v/>
      </c>
      <c r="P6" s="68">
        <f>IF(P$59="X","",IF(P$59&lt;&gt;"",P$59,IF(IFERROR(INDEX(醫師週班表!$C$5:$T$44,$CU6,P$57),"")=0,"",IF(LEN(IFERROR(INDEX(醫師週班表!$C$5:$T$44,$CU6,P$57),""))=4,MID(IFERROR(INDEX(醫師週班表!$C$5:$T$44,$CU6,P$57),""),1+P$58*2,1),IF(LEN(IFERROR(INDEX(醫師週班表!$C$5:$T$44,$CU6,P$57),""))=2,IF(AND(RIGHT(IFERROR(INDEX(醫師週班表!$C$5:$T$44,$CU6,P$57),""),1)="~",P$58=1),"",LEFT(IFERROR(INDEX(醫師週班表!$C$5:$T$44,$CU6,P$57),""),1)),IFERROR(INDEX(醫師週班表!$C$5:$T$44,$CU6,P$57),""))))))</f>
        <v/>
      </c>
      <c r="Q6" s="67">
        <f>IF(Q$59="X","",IF(Q$59&lt;&gt;"",Q$59,IF(IFERROR(INDEX(醫師週班表!$C$5:$T$44,$CU6,Q$57),"")=0,"",IF(LEN(IFERROR(INDEX(醫師週班表!$C$5:$T$44,$CU6,Q$57),""))=4,MID(IFERROR(INDEX(醫師週班表!$C$5:$T$44,$CU6,Q$57),""),1+Q$58*2,1),IF(LEN(IFERROR(INDEX(醫師週班表!$C$5:$T$44,$CU6,Q$57),""))=2,IF(AND(RIGHT(IFERROR(INDEX(醫師週班表!$C$5:$T$44,$CU6,Q$57),""),1)="~",Q$58=1),"",LEFT(IFERROR(INDEX(醫師週班表!$C$5:$T$44,$CU6,Q$57),""),1)),IFERROR(INDEX(醫師週班表!$C$5:$T$44,$CU6,Q$57),""))))))</f>
        <v/>
      </c>
      <c r="R6" s="68">
        <f>IF(R$59="X","",IF(R$59&lt;&gt;"",R$59,IF(IFERROR(INDEX(醫師週班表!$C$5:$T$44,$CU6,R$57),"")=0,"",IF(LEN(IFERROR(INDEX(醫師週班表!$C$5:$T$44,$CU6,R$57),""))=4,MID(IFERROR(INDEX(醫師週班表!$C$5:$T$44,$CU6,R$57),""),1+R$58*2,1),IF(LEN(IFERROR(INDEX(醫師週班表!$C$5:$T$44,$CU6,R$57),""))=2,IF(AND(RIGHT(IFERROR(INDEX(醫師週班表!$C$5:$T$44,$CU6,R$57),""),1)="~",R$58=1),"",LEFT(IFERROR(INDEX(醫師週班表!$C$5:$T$44,$CU6,R$57),""),1)),IFERROR(INDEX(醫師週班表!$C$5:$T$44,$CU6,R$57),""))))))</f>
        <v/>
      </c>
      <c r="S6" s="68">
        <f>IF(S$59="X","",IF(S$59&lt;&gt;"",S$59,IF(IFERROR(INDEX(醫師週班表!$C$5:$T$44,$CU6,S$57),"")=0,"",IF(LEN(IFERROR(INDEX(醫師週班表!$C$5:$T$44,$CU6,S$57),""))=4,MID(IFERROR(INDEX(醫師週班表!$C$5:$T$44,$CU6,S$57),""),1+S$58*2,1),IF(LEN(IFERROR(INDEX(醫師週班表!$C$5:$T$44,$CU6,S$57),""))=2,IF(AND(RIGHT(IFERROR(INDEX(醫師週班表!$C$5:$T$44,$CU6,S$57),""),1)="~",S$58=1),"",LEFT(IFERROR(INDEX(醫師週班表!$C$5:$T$44,$CU6,S$57),""),1)),IFERROR(INDEX(醫師週班表!$C$5:$T$44,$CU6,S$57),""))))))</f>
        <v/>
      </c>
      <c r="T6" s="67">
        <f>IF(T$59="X","",IF(T$59&lt;&gt;"",T$59,IF(IFERROR(INDEX(醫師週班表!$C$5:$T$44,$CU6,T$57),"")=0,"",IF(LEN(IFERROR(INDEX(醫師週班表!$C$5:$T$44,$CU6,T$57),""))=4,MID(IFERROR(INDEX(醫師週班表!$C$5:$T$44,$CU6,T$57),""),1+T$58*2,1),IF(LEN(IFERROR(INDEX(醫師週班表!$C$5:$T$44,$CU6,T$57),""))=2,IF(AND(RIGHT(IFERROR(INDEX(醫師週班表!$C$5:$T$44,$CU6,T$57),""),1)="~",T$58=1),"",LEFT(IFERROR(INDEX(醫師週班表!$C$5:$T$44,$CU6,T$57),""),1)),IFERROR(INDEX(醫師週班表!$C$5:$T$44,$CU6,T$57),""))))))</f>
        <v/>
      </c>
      <c r="U6" s="68">
        <f>IF(U$59="X","",IF(U$59&lt;&gt;"",U$59,IF(IFERROR(INDEX(醫師週班表!$C$5:$T$44,$CU6,U$57),"")=0,"",IF(LEN(IFERROR(INDEX(醫師週班表!$C$5:$T$44,$CU6,U$57),""))=4,MID(IFERROR(INDEX(醫師週班表!$C$5:$T$44,$CU6,U$57),""),1+U$58*2,1),IF(LEN(IFERROR(INDEX(醫師週班表!$C$5:$T$44,$CU6,U$57),""))=2,IF(AND(RIGHT(IFERROR(INDEX(醫師週班表!$C$5:$T$44,$CU6,U$57),""),1)="~",U$58=1),"",LEFT(IFERROR(INDEX(醫師週班表!$C$5:$T$44,$CU6,U$57),""),1)),IFERROR(INDEX(醫師週班表!$C$5:$T$44,$CU6,U$57),""))))))</f>
        <v/>
      </c>
      <c r="V6" s="68">
        <f>IF(V$59="X","",IF(V$59&lt;&gt;"",V$59,IF(IFERROR(INDEX(醫師週班表!$C$5:$T$44,$CU6,V$57),"")=0,"",IF(LEN(IFERROR(INDEX(醫師週班表!$C$5:$T$44,$CU6,V$57),""))=4,MID(IFERROR(INDEX(醫師週班表!$C$5:$T$44,$CU6,V$57),""),1+V$58*2,1),IF(LEN(IFERROR(INDEX(醫師週班表!$C$5:$T$44,$CU6,V$57),""))=2,IF(AND(RIGHT(IFERROR(INDEX(醫師週班表!$C$5:$T$44,$CU6,V$57),""),1)="~",V$58=1),"",LEFT(IFERROR(INDEX(醫師週班表!$C$5:$T$44,$CU6,V$57),""),1)),IFERROR(INDEX(醫師週班表!$C$5:$T$44,$CU6,V$57),""))))))</f>
        <v/>
      </c>
      <c r="W6" s="67">
        <f>IF(W$59="X","",IF(W$59&lt;&gt;"",W$59,IF(IFERROR(INDEX(醫師週班表!$C$5:$T$44,$CU6,W$57),"")=0,"",IF(LEN(IFERROR(INDEX(醫師週班表!$C$5:$T$44,$CU6,W$57),""))=4,MID(IFERROR(INDEX(醫師週班表!$C$5:$T$44,$CU6,W$57),""),1+W$58*2,1),IF(LEN(IFERROR(INDEX(醫師週班表!$C$5:$T$44,$CU6,W$57),""))=2,IF(AND(RIGHT(IFERROR(INDEX(醫師週班表!$C$5:$T$44,$CU6,W$57),""),1)="~",W$58=1),"",LEFT(IFERROR(INDEX(醫師週班表!$C$5:$T$44,$CU6,W$57),""),1)),IFERROR(INDEX(醫師週班表!$C$5:$T$44,$CU6,W$57),""))))))</f>
        <v/>
      </c>
      <c r="X6" s="68">
        <f>IF(X$59="X","",IF(X$59&lt;&gt;"",X$59,IF(IFERROR(INDEX(醫師週班表!$C$5:$T$44,$CU6,X$57),"")=0,"",IF(LEN(IFERROR(INDEX(醫師週班表!$C$5:$T$44,$CU6,X$57),""))=4,MID(IFERROR(INDEX(醫師週班表!$C$5:$T$44,$CU6,X$57),""),1+X$58*2,1),IF(LEN(IFERROR(INDEX(醫師週班表!$C$5:$T$44,$CU6,X$57),""))=2,IF(AND(RIGHT(IFERROR(INDEX(醫師週班表!$C$5:$T$44,$CU6,X$57),""),1)="~",X$58=1),"",LEFT(IFERROR(INDEX(醫師週班表!$C$5:$T$44,$CU6,X$57),""),1)),IFERROR(INDEX(醫師週班表!$C$5:$T$44,$CU6,X$57),""))))))</f>
        <v/>
      </c>
      <c r="Y6" s="68">
        <f>IF(Y$59="X","",IF(Y$59&lt;&gt;"",Y$59,IF(IFERROR(INDEX(醫師週班表!$C$5:$T$44,$CU6,Y$57),"")=0,"",IF(LEN(IFERROR(INDEX(醫師週班表!$C$5:$T$44,$CU6,Y$57),""))=4,MID(IFERROR(INDEX(醫師週班表!$C$5:$T$44,$CU6,Y$57),""),1+Y$58*2,1),IF(LEN(IFERROR(INDEX(醫師週班表!$C$5:$T$44,$CU6,Y$57),""))=2,IF(AND(RIGHT(IFERROR(INDEX(醫師週班表!$C$5:$T$44,$CU6,Y$57),""),1)="~",Y$58=1),"",LEFT(IFERROR(INDEX(醫師週班表!$C$5:$T$44,$CU6,Y$57),""),1)),IFERROR(INDEX(醫師週班表!$C$5:$T$44,$CU6,Y$57),""))))))</f>
        <v/>
      </c>
      <c r="Z6" s="67">
        <f>IF(Z$59="X","",IF(Z$59&lt;&gt;"",Z$59,IF(IFERROR(INDEX(醫師週班表!$C$5:$T$44,$CU6,Z$57),"")=0,"",IF(LEN(IFERROR(INDEX(醫師週班表!$C$5:$T$44,$CU6,Z$57),""))=4,MID(IFERROR(INDEX(醫師週班表!$C$5:$T$44,$CU6,Z$57),""),1+Z$58*2,1),IF(LEN(IFERROR(INDEX(醫師週班表!$C$5:$T$44,$CU6,Z$57),""))=2,IF(AND(RIGHT(IFERROR(INDEX(醫師週班表!$C$5:$T$44,$CU6,Z$57),""),1)="~",Z$58=1),"",LEFT(IFERROR(INDEX(醫師週班表!$C$5:$T$44,$CU6,Z$57),""),1)),IFERROR(INDEX(醫師週班表!$C$5:$T$44,$CU6,Z$57),""))))))</f>
        <v/>
      </c>
      <c r="AA6" s="68">
        <f>IF(AA$59="X","",IF(AA$59&lt;&gt;"",AA$59,IF(IFERROR(INDEX(醫師週班表!$C$5:$T$44,$CU6,AA$57),"")=0,"",IF(LEN(IFERROR(INDEX(醫師週班表!$C$5:$T$44,$CU6,AA$57),""))=4,MID(IFERROR(INDEX(醫師週班表!$C$5:$T$44,$CU6,AA$57),""),1+AA$58*2,1),IF(LEN(IFERROR(INDEX(醫師週班表!$C$5:$T$44,$CU6,AA$57),""))=2,IF(AND(RIGHT(IFERROR(INDEX(醫師週班表!$C$5:$T$44,$CU6,AA$57),""),1)="~",AA$58=1),"",LEFT(IFERROR(INDEX(醫師週班表!$C$5:$T$44,$CU6,AA$57),""),1)),IFERROR(INDEX(醫師週班表!$C$5:$T$44,$CU6,AA$57),""))))))</f>
        <v/>
      </c>
      <c r="AB6" s="68">
        <f>IF(AB$59="X","",IF(AB$59&lt;&gt;"",AB$59,IF(IFERROR(INDEX(醫師週班表!$C$5:$T$44,$CU6,AB$57),"")=0,"",IF(LEN(IFERROR(INDEX(醫師週班表!$C$5:$T$44,$CU6,AB$57),""))=4,MID(IFERROR(INDEX(醫師週班表!$C$5:$T$44,$CU6,AB$57),""),1+AB$58*2,1),IF(LEN(IFERROR(INDEX(醫師週班表!$C$5:$T$44,$CU6,AB$57),""))=2,IF(AND(RIGHT(IFERROR(INDEX(醫師週班表!$C$5:$T$44,$CU6,AB$57),""),1)="~",AB$58=1),"",LEFT(IFERROR(INDEX(醫師週班表!$C$5:$T$44,$CU6,AB$57),""),1)),IFERROR(INDEX(醫師週班表!$C$5:$T$44,$CU6,AB$57),""))))))</f>
        <v/>
      </c>
      <c r="AC6" s="67">
        <f>IF(AC$59="X","",IF(AC$59&lt;&gt;"",AC$59,IF(IFERROR(INDEX(醫師週班表!$C$5:$T$44,$CU6,AC$57),"")=0,"",IF(LEN(IFERROR(INDEX(醫師週班表!$C$5:$T$44,$CU6,AC$57),""))=4,MID(IFERROR(INDEX(醫師週班表!$C$5:$T$44,$CU6,AC$57),""),1+AC$58*2,1),IF(LEN(IFERROR(INDEX(醫師週班表!$C$5:$T$44,$CU6,AC$57),""))=2,IF(AND(RIGHT(IFERROR(INDEX(醫師週班表!$C$5:$T$44,$CU6,AC$57),""),1)="~",AC$58=1),"",LEFT(IFERROR(INDEX(醫師週班表!$C$5:$T$44,$CU6,AC$57),""),1)),IFERROR(INDEX(醫師週班表!$C$5:$T$44,$CU6,AC$57),""))))))</f>
        <v/>
      </c>
      <c r="AD6" s="68">
        <f>IF(AD$59="X","",IF(AD$59&lt;&gt;"",AD$59,IF(IFERROR(INDEX(醫師週班表!$C$5:$T$44,$CU6,AD$57),"")=0,"",IF(LEN(IFERROR(INDEX(醫師週班表!$C$5:$T$44,$CU6,AD$57),""))=4,MID(IFERROR(INDEX(醫師週班表!$C$5:$T$44,$CU6,AD$57),""),1+AD$58*2,1),IF(LEN(IFERROR(INDEX(醫師週班表!$C$5:$T$44,$CU6,AD$57),""))=2,IF(AND(RIGHT(IFERROR(INDEX(醫師週班表!$C$5:$T$44,$CU6,AD$57),""),1)="~",AD$58=1),"",LEFT(IFERROR(INDEX(醫師週班表!$C$5:$T$44,$CU6,AD$57),""),1)),IFERROR(INDEX(醫師週班表!$C$5:$T$44,$CU6,AD$57),""))))))</f>
        <v/>
      </c>
      <c r="AE6" s="68">
        <f>IF(AE$59="X","",IF(AE$59&lt;&gt;"",AE$59,IF(IFERROR(INDEX(醫師週班表!$C$5:$T$44,$CU6,AE$57),"")=0,"",IF(LEN(IFERROR(INDEX(醫師週班表!$C$5:$T$44,$CU6,AE$57),""))=4,MID(IFERROR(INDEX(醫師週班表!$C$5:$T$44,$CU6,AE$57),""),1+AE$58*2,1),IF(LEN(IFERROR(INDEX(醫師週班表!$C$5:$T$44,$CU6,AE$57),""))=2,IF(AND(RIGHT(IFERROR(INDEX(醫師週班表!$C$5:$T$44,$CU6,AE$57),""),1)="~",AE$58=1),"",LEFT(IFERROR(INDEX(醫師週班表!$C$5:$T$44,$CU6,AE$57),""),1)),IFERROR(INDEX(醫師週班表!$C$5:$T$44,$CU6,AE$57),""))))))</f>
        <v/>
      </c>
      <c r="AF6" s="67">
        <f>IF(AF$59="X","",IF(AF$59&lt;&gt;"",AF$59,IF(IFERROR(INDEX(醫師週班表!$C$5:$T$44,$CU6,AF$57),"")=0,"",IF(LEN(IFERROR(INDEX(醫師週班表!$C$5:$T$44,$CU6,AF$57),""))=4,MID(IFERROR(INDEX(醫師週班表!$C$5:$T$44,$CU6,AF$57),""),1+AF$58*2,1),IF(LEN(IFERROR(INDEX(醫師週班表!$C$5:$T$44,$CU6,AF$57),""))=2,IF(AND(RIGHT(IFERROR(INDEX(醫師週班表!$C$5:$T$44,$CU6,AF$57),""),1)="~",AF$58=1),"",LEFT(IFERROR(INDEX(醫師週班表!$C$5:$T$44,$CU6,AF$57),""),1)),IFERROR(INDEX(醫師週班表!$C$5:$T$44,$CU6,AF$57),""))))))</f>
        <v/>
      </c>
      <c r="AG6" s="68">
        <f>IF(AG$59="X","",IF(AG$59&lt;&gt;"",AG$59,IF(IFERROR(INDEX(醫師週班表!$C$5:$T$44,$CU6,AG$57),"")=0,"",IF(LEN(IFERROR(INDEX(醫師週班表!$C$5:$T$44,$CU6,AG$57),""))=4,MID(IFERROR(INDEX(醫師週班表!$C$5:$T$44,$CU6,AG$57),""),1+AG$58*2,1),IF(LEN(IFERROR(INDEX(醫師週班表!$C$5:$T$44,$CU6,AG$57),""))=2,IF(AND(RIGHT(IFERROR(INDEX(醫師週班表!$C$5:$T$44,$CU6,AG$57),""),1)="~",AG$58=1),"",LEFT(IFERROR(INDEX(醫師週班表!$C$5:$T$44,$CU6,AG$57),""),1)),IFERROR(INDEX(醫師週班表!$C$5:$T$44,$CU6,AG$57),""))))))</f>
        <v/>
      </c>
      <c r="AH6" s="68">
        <f>IF(AH$59="X","",IF(AH$59&lt;&gt;"",AH$59,IF(IFERROR(INDEX(醫師週班表!$C$5:$T$44,$CU6,AH$57),"")=0,"",IF(LEN(IFERROR(INDEX(醫師週班表!$C$5:$T$44,$CU6,AH$57),""))=4,MID(IFERROR(INDEX(醫師週班表!$C$5:$T$44,$CU6,AH$57),""),1+AH$58*2,1),IF(LEN(IFERROR(INDEX(醫師週班表!$C$5:$T$44,$CU6,AH$57),""))=2,IF(AND(RIGHT(IFERROR(INDEX(醫師週班表!$C$5:$T$44,$CU6,AH$57),""),1)="~",AH$58=1),"",LEFT(IFERROR(INDEX(醫師週班表!$C$5:$T$44,$CU6,AH$57),""),1)),IFERROR(INDEX(醫師週班表!$C$5:$T$44,$CU6,AH$57),""))))))</f>
        <v/>
      </c>
      <c r="AI6" s="67">
        <f>IF(AI$59="X","",IF(AI$59&lt;&gt;"",AI$59,IF(IFERROR(INDEX(醫師週班表!$C$5:$T$44,$CU6,AI$57),"")=0,"",IF(LEN(IFERROR(INDEX(醫師週班表!$C$5:$T$44,$CU6,AI$57),""))=4,MID(IFERROR(INDEX(醫師週班表!$C$5:$T$44,$CU6,AI$57),""),1+AI$58*2,1),IF(LEN(IFERROR(INDEX(醫師週班表!$C$5:$T$44,$CU6,AI$57),""))=2,IF(AND(RIGHT(IFERROR(INDEX(醫師週班表!$C$5:$T$44,$CU6,AI$57),""),1)="~",AI$58=1),"",LEFT(IFERROR(INDEX(醫師週班表!$C$5:$T$44,$CU6,AI$57),""),1)),IFERROR(INDEX(醫師週班表!$C$5:$T$44,$CU6,AI$57),""))))))</f>
        <v/>
      </c>
      <c r="AJ6" s="68">
        <f>IF(AJ$59="X","",IF(AJ$59&lt;&gt;"",AJ$59,IF(IFERROR(INDEX(醫師週班表!$C$5:$T$44,$CU6,AJ$57),"")=0,"",IF(LEN(IFERROR(INDEX(醫師週班表!$C$5:$T$44,$CU6,AJ$57),""))=4,MID(IFERROR(INDEX(醫師週班表!$C$5:$T$44,$CU6,AJ$57),""),1+AJ$58*2,1),IF(LEN(IFERROR(INDEX(醫師週班表!$C$5:$T$44,$CU6,AJ$57),""))=2,IF(AND(RIGHT(IFERROR(INDEX(醫師週班表!$C$5:$T$44,$CU6,AJ$57),""),1)="~",AJ$58=1),"",LEFT(IFERROR(INDEX(醫師週班表!$C$5:$T$44,$CU6,AJ$57),""),1)),IFERROR(INDEX(醫師週班表!$C$5:$T$44,$CU6,AJ$57),""))))))</f>
        <v/>
      </c>
      <c r="AK6" s="68">
        <f>IF(AK$59="X","",IF(AK$59&lt;&gt;"",AK$59,IF(IFERROR(INDEX(醫師週班表!$C$5:$T$44,$CU6,AK$57),"")=0,"",IF(LEN(IFERROR(INDEX(醫師週班表!$C$5:$T$44,$CU6,AK$57),""))=4,MID(IFERROR(INDEX(醫師週班表!$C$5:$T$44,$CU6,AK$57),""),1+AK$58*2,1),IF(LEN(IFERROR(INDEX(醫師週班表!$C$5:$T$44,$CU6,AK$57),""))=2,IF(AND(RIGHT(IFERROR(INDEX(醫師週班表!$C$5:$T$44,$CU6,AK$57),""),1)="~",AK$58=1),"",LEFT(IFERROR(INDEX(醫師週班表!$C$5:$T$44,$CU6,AK$57),""),1)),IFERROR(INDEX(醫師週班表!$C$5:$T$44,$CU6,AK$57),""))))))</f>
        <v/>
      </c>
      <c r="AL6" s="67">
        <f>IF(AL$59="X","",IF(AL$59&lt;&gt;"",AL$59,IF(IFERROR(INDEX(醫師週班表!$C$5:$T$44,$CU6,AL$57),"")=0,"",IF(LEN(IFERROR(INDEX(醫師週班表!$C$5:$T$44,$CU6,AL$57),""))=4,MID(IFERROR(INDEX(醫師週班表!$C$5:$T$44,$CU6,AL$57),""),1+AL$58*2,1),IF(LEN(IFERROR(INDEX(醫師週班表!$C$5:$T$44,$CU6,AL$57),""))=2,IF(AND(RIGHT(IFERROR(INDEX(醫師週班表!$C$5:$T$44,$CU6,AL$57),""),1)="~",AL$58=1),"",LEFT(IFERROR(INDEX(醫師週班表!$C$5:$T$44,$CU6,AL$57),""),1)),IFERROR(INDEX(醫師週班表!$C$5:$T$44,$CU6,AL$57),""))))))</f>
        <v/>
      </c>
      <c r="AM6" s="68">
        <f>IF(AM$59="X","",IF(AM$59&lt;&gt;"",AM$59,IF(IFERROR(INDEX(醫師週班表!$C$5:$T$44,$CU6,AM$57),"")=0,"",IF(LEN(IFERROR(INDEX(醫師週班表!$C$5:$T$44,$CU6,AM$57),""))=4,MID(IFERROR(INDEX(醫師週班表!$C$5:$T$44,$CU6,AM$57),""),1+AM$58*2,1),IF(LEN(IFERROR(INDEX(醫師週班表!$C$5:$T$44,$CU6,AM$57),""))=2,IF(AND(RIGHT(IFERROR(INDEX(醫師週班表!$C$5:$T$44,$CU6,AM$57),""),1)="~",AM$58=1),"",LEFT(IFERROR(INDEX(醫師週班表!$C$5:$T$44,$CU6,AM$57),""),1)),IFERROR(INDEX(醫師週班表!$C$5:$T$44,$CU6,AM$57),""))))))</f>
        <v/>
      </c>
      <c r="AN6" s="68">
        <f>IF(AN$59="X","",IF(AN$59&lt;&gt;"",AN$59,IF(IFERROR(INDEX(醫師週班表!$C$5:$T$44,$CU6,AN$57),"")=0,"",IF(LEN(IFERROR(INDEX(醫師週班表!$C$5:$T$44,$CU6,AN$57),""))=4,MID(IFERROR(INDEX(醫師週班表!$C$5:$T$44,$CU6,AN$57),""),1+AN$58*2,1),IF(LEN(IFERROR(INDEX(醫師週班表!$C$5:$T$44,$CU6,AN$57),""))=2,IF(AND(RIGHT(IFERROR(INDEX(醫師週班表!$C$5:$T$44,$CU6,AN$57),""),1)="~",AN$58=1),"",LEFT(IFERROR(INDEX(醫師週班表!$C$5:$T$44,$CU6,AN$57),""),1)),IFERROR(INDEX(醫師週班表!$C$5:$T$44,$CU6,AN$57),""))))))</f>
        <v/>
      </c>
      <c r="AO6" s="67">
        <f>IF(AO$59="X","",IF(AO$59&lt;&gt;"",AO$59,IF(IFERROR(INDEX(醫師週班表!$C$5:$T$44,$CU6,AO$57),"")=0,"",IF(LEN(IFERROR(INDEX(醫師週班表!$C$5:$T$44,$CU6,AO$57),""))=4,MID(IFERROR(INDEX(醫師週班表!$C$5:$T$44,$CU6,AO$57),""),1+AO$58*2,1),IF(LEN(IFERROR(INDEX(醫師週班表!$C$5:$T$44,$CU6,AO$57),""))=2,IF(AND(RIGHT(IFERROR(INDEX(醫師週班表!$C$5:$T$44,$CU6,AO$57),""),1)="~",AO$58=1),"",LEFT(IFERROR(INDEX(醫師週班表!$C$5:$T$44,$CU6,AO$57),""),1)),IFERROR(INDEX(醫師週班表!$C$5:$T$44,$CU6,AO$57),""))))))</f>
        <v/>
      </c>
      <c r="AP6" s="68">
        <f>IF(AP$59="X","",IF(AP$59&lt;&gt;"",AP$59,IF(IFERROR(INDEX(醫師週班表!$C$5:$T$44,$CU6,AP$57),"")=0,"",IF(LEN(IFERROR(INDEX(醫師週班表!$C$5:$T$44,$CU6,AP$57),""))=4,MID(IFERROR(INDEX(醫師週班表!$C$5:$T$44,$CU6,AP$57),""),1+AP$58*2,1),IF(LEN(IFERROR(INDEX(醫師週班表!$C$5:$T$44,$CU6,AP$57),""))=2,IF(AND(RIGHT(IFERROR(INDEX(醫師週班表!$C$5:$T$44,$CU6,AP$57),""),1)="~",AP$58=1),"",LEFT(IFERROR(INDEX(醫師週班表!$C$5:$T$44,$CU6,AP$57),""),1)),IFERROR(INDEX(醫師週班表!$C$5:$T$44,$CU6,AP$57),""))))))</f>
        <v/>
      </c>
      <c r="AQ6" s="68">
        <f>IF(AQ$59="X","",IF(AQ$59&lt;&gt;"",AQ$59,IF(IFERROR(INDEX(醫師週班表!$C$5:$T$44,$CU6,AQ$57),"")=0,"",IF(LEN(IFERROR(INDEX(醫師週班表!$C$5:$T$44,$CU6,AQ$57),""))=4,MID(IFERROR(INDEX(醫師週班表!$C$5:$T$44,$CU6,AQ$57),""),1+AQ$58*2,1),IF(LEN(IFERROR(INDEX(醫師週班表!$C$5:$T$44,$CU6,AQ$57),""))=2,IF(AND(RIGHT(IFERROR(INDEX(醫師週班表!$C$5:$T$44,$CU6,AQ$57),""),1)="~",AQ$58=1),"",LEFT(IFERROR(INDEX(醫師週班表!$C$5:$T$44,$CU6,AQ$57),""),1)),IFERROR(INDEX(醫師週班表!$C$5:$T$44,$CU6,AQ$57),""))))))</f>
        <v/>
      </c>
      <c r="AR6" s="67">
        <f>IF(AR$59="X","",IF(AR$59&lt;&gt;"",AR$59,IF(IFERROR(INDEX(醫師週班表!$C$5:$T$44,$CU6,AR$57),"")=0,"",IF(LEN(IFERROR(INDEX(醫師週班表!$C$5:$T$44,$CU6,AR$57),""))=4,MID(IFERROR(INDEX(醫師週班表!$C$5:$T$44,$CU6,AR$57),""),1+AR$58*2,1),IF(LEN(IFERROR(INDEX(醫師週班表!$C$5:$T$44,$CU6,AR$57),""))=2,IF(AND(RIGHT(IFERROR(INDEX(醫師週班表!$C$5:$T$44,$CU6,AR$57),""),1)="~",AR$58=1),"",LEFT(IFERROR(INDEX(醫師週班表!$C$5:$T$44,$CU6,AR$57),""),1)),IFERROR(INDEX(醫師週班表!$C$5:$T$44,$CU6,AR$57),""))))))</f>
        <v/>
      </c>
      <c r="AS6" s="68">
        <f>IF(AS$59="X","",IF(AS$59&lt;&gt;"",AS$59,IF(IFERROR(INDEX(醫師週班表!$C$5:$T$44,$CU6,AS$57),"")=0,"",IF(LEN(IFERROR(INDEX(醫師週班表!$C$5:$T$44,$CU6,AS$57),""))=4,MID(IFERROR(INDEX(醫師週班表!$C$5:$T$44,$CU6,AS$57),""),1+AS$58*2,1),IF(LEN(IFERROR(INDEX(醫師週班表!$C$5:$T$44,$CU6,AS$57),""))=2,IF(AND(RIGHT(IFERROR(INDEX(醫師週班表!$C$5:$T$44,$CU6,AS$57),""),1)="~",AS$58=1),"",LEFT(IFERROR(INDEX(醫師週班表!$C$5:$T$44,$CU6,AS$57),""),1)),IFERROR(INDEX(醫師週班表!$C$5:$T$44,$CU6,AS$57),""))))))</f>
        <v/>
      </c>
      <c r="AT6" s="68">
        <f>IF(AT$59="X","",IF(AT$59&lt;&gt;"",AT$59,IF(IFERROR(INDEX(醫師週班表!$C$5:$T$44,$CU6,AT$57),"")=0,"",IF(LEN(IFERROR(INDEX(醫師週班表!$C$5:$T$44,$CU6,AT$57),""))=4,MID(IFERROR(INDEX(醫師週班表!$C$5:$T$44,$CU6,AT$57),""),1+AT$58*2,1),IF(LEN(IFERROR(INDEX(醫師週班表!$C$5:$T$44,$CU6,AT$57),""))=2,IF(AND(RIGHT(IFERROR(INDEX(醫師週班表!$C$5:$T$44,$CU6,AT$57),""),1)="~",AT$58=1),"",LEFT(IFERROR(INDEX(醫師週班表!$C$5:$T$44,$CU6,AT$57),""),1)),IFERROR(INDEX(醫師週班表!$C$5:$T$44,$CU6,AT$57),""))))))</f>
        <v/>
      </c>
      <c r="AU6" s="67">
        <f>IF(AU$59="X","",IF(AU$59&lt;&gt;"",AU$59,IF(IFERROR(INDEX(醫師週班表!$C$5:$T$44,$CU6,AU$57),"")=0,"",IF(LEN(IFERROR(INDEX(醫師週班表!$C$5:$T$44,$CU6,AU$57),""))=4,MID(IFERROR(INDEX(醫師週班表!$C$5:$T$44,$CU6,AU$57),""),1+AU$58*2,1),IF(LEN(IFERROR(INDEX(醫師週班表!$C$5:$T$44,$CU6,AU$57),""))=2,IF(AND(RIGHT(IFERROR(INDEX(醫師週班表!$C$5:$T$44,$CU6,AU$57),""),1)="~",AU$58=1),"",LEFT(IFERROR(INDEX(醫師週班表!$C$5:$T$44,$CU6,AU$57),""),1)),IFERROR(INDEX(醫師週班表!$C$5:$T$44,$CU6,AU$57),""))))))</f>
        <v/>
      </c>
      <c r="AV6" s="68">
        <f>IF(AV$59="X","",IF(AV$59&lt;&gt;"",AV$59,IF(IFERROR(INDEX(醫師週班表!$C$5:$T$44,$CU6,AV$57),"")=0,"",IF(LEN(IFERROR(INDEX(醫師週班表!$C$5:$T$44,$CU6,AV$57),""))=4,MID(IFERROR(INDEX(醫師週班表!$C$5:$T$44,$CU6,AV$57),""),1+AV$58*2,1),IF(LEN(IFERROR(INDEX(醫師週班表!$C$5:$T$44,$CU6,AV$57),""))=2,IF(AND(RIGHT(IFERROR(INDEX(醫師週班表!$C$5:$T$44,$CU6,AV$57),""),1)="~",AV$58=1),"",LEFT(IFERROR(INDEX(醫師週班表!$C$5:$T$44,$CU6,AV$57),""),1)),IFERROR(INDEX(醫師週班表!$C$5:$T$44,$CU6,AV$57),""))))))</f>
        <v/>
      </c>
      <c r="AW6" s="68">
        <f>IF(AW$59="X","",IF(AW$59&lt;&gt;"",AW$59,IF(IFERROR(INDEX(醫師週班表!$C$5:$T$44,$CU6,AW$57),"")=0,"",IF(LEN(IFERROR(INDEX(醫師週班表!$C$5:$T$44,$CU6,AW$57),""))=4,MID(IFERROR(INDEX(醫師週班表!$C$5:$T$44,$CU6,AW$57),""),1+AW$58*2,1),IF(LEN(IFERROR(INDEX(醫師週班表!$C$5:$T$44,$CU6,AW$57),""))=2,IF(AND(RIGHT(IFERROR(INDEX(醫師週班表!$C$5:$T$44,$CU6,AW$57),""),1)="~",AW$58=1),"",LEFT(IFERROR(INDEX(醫師週班表!$C$5:$T$44,$CU6,AW$57),""),1)),IFERROR(INDEX(醫師週班表!$C$5:$T$44,$CU6,AW$57),""))))))</f>
        <v/>
      </c>
      <c r="AX6" s="67">
        <f>IF(AX$59="X","",IF(AX$59&lt;&gt;"",AX$59,IF(IFERROR(INDEX(醫師週班表!$C$5:$T$44,$CU6,AX$57),"")=0,"",IF(LEN(IFERROR(INDEX(醫師週班表!$C$5:$T$44,$CU6,AX$57),""))=4,MID(IFERROR(INDEX(醫師週班表!$C$5:$T$44,$CU6,AX$57),""),1+AX$58*2,1),IF(LEN(IFERROR(INDEX(醫師週班表!$C$5:$T$44,$CU6,AX$57),""))=2,IF(AND(RIGHT(IFERROR(INDEX(醫師週班表!$C$5:$T$44,$CU6,AX$57),""),1)="~",AX$58=1),"",LEFT(IFERROR(INDEX(醫師週班表!$C$5:$T$44,$CU6,AX$57),""),1)),IFERROR(INDEX(醫師週班表!$C$5:$T$44,$CU6,AX$57),""))))))</f>
        <v/>
      </c>
      <c r="AY6" s="68">
        <f>IF(AY$59="X","",IF(AY$59&lt;&gt;"",AY$59,IF(IFERROR(INDEX(醫師週班表!$C$5:$T$44,$CU6,AY$57),"")=0,"",IF(LEN(IFERROR(INDEX(醫師週班表!$C$5:$T$44,$CU6,AY$57),""))=4,MID(IFERROR(INDEX(醫師週班表!$C$5:$T$44,$CU6,AY$57),""),1+AY$58*2,1),IF(LEN(IFERROR(INDEX(醫師週班表!$C$5:$T$44,$CU6,AY$57),""))=2,IF(AND(RIGHT(IFERROR(INDEX(醫師週班表!$C$5:$T$44,$CU6,AY$57),""),1)="~",AY$58=1),"",LEFT(IFERROR(INDEX(醫師週班表!$C$5:$T$44,$CU6,AY$57),""),1)),IFERROR(INDEX(醫師週班表!$C$5:$T$44,$CU6,AY$57),""))))))</f>
        <v/>
      </c>
      <c r="AZ6" s="68">
        <f>IF(AZ$59="X","",IF(AZ$59&lt;&gt;"",AZ$59,IF(IFERROR(INDEX(醫師週班表!$C$5:$T$44,$CU6,AZ$57),"")=0,"",IF(LEN(IFERROR(INDEX(醫師週班表!$C$5:$T$44,$CU6,AZ$57),""))=4,MID(IFERROR(INDEX(醫師週班表!$C$5:$T$44,$CU6,AZ$57),""),1+AZ$58*2,1),IF(LEN(IFERROR(INDEX(醫師週班表!$C$5:$T$44,$CU6,AZ$57),""))=2,IF(AND(RIGHT(IFERROR(INDEX(醫師週班表!$C$5:$T$44,$CU6,AZ$57),""),1)="~",AZ$58=1),"",LEFT(IFERROR(INDEX(醫師週班表!$C$5:$T$44,$CU6,AZ$57),""),1)),IFERROR(INDEX(醫師週班表!$C$5:$T$44,$CU6,AZ$57),""))))))</f>
        <v/>
      </c>
      <c r="BA6" s="67">
        <f>IF(BA$59="X","",IF(BA$59&lt;&gt;"",BA$59,IF(IFERROR(INDEX(醫師週班表!$C$5:$T$44,$CU6,BA$57),"")=0,"",IF(LEN(IFERROR(INDEX(醫師週班表!$C$5:$T$44,$CU6,BA$57),""))=4,MID(IFERROR(INDEX(醫師週班表!$C$5:$T$44,$CU6,BA$57),""),1+BA$58*2,1),IF(LEN(IFERROR(INDEX(醫師週班表!$C$5:$T$44,$CU6,BA$57),""))=2,IF(AND(RIGHT(IFERROR(INDEX(醫師週班表!$C$5:$T$44,$CU6,BA$57),""),1)="~",BA$58=1),"",LEFT(IFERROR(INDEX(醫師週班表!$C$5:$T$44,$CU6,BA$57),""),1)),IFERROR(INDEX(醫師週班表!$C$5:$T$44,$CU6,BA$57),""))))))</f>
        <v/>
      </c>
      <c r="BB6" s="68">
        <f>IF(BB$59="X","",IF(BB$59&lt;&gt;"",BB$59,IF(IFERROR(INDEX(醫師週班表!$C$5:$T$44,$CU6,BB$57),"")=0,"",IF(LEN(IFERROR(INDEX(醫師週班表!$C$5:$T$44,$CU6,BB$57),""))=4,MID(IFERROR(INDEX(醫師週班表!$C$5:$T$44,$CU6,BB$57),""),1+BB$58*2,1),IF(LEN(IFERROR(INDEX(醫師週班表!$C$5:$T$44,$CU6,BB$57),""))=2,IF(AND(RIGHT(IFERROR(INDEX(醫師週班表!$C$5:$T$44,$CU6,BB$57),""),1)="~",BB$58=1),"",LEFT(IFERROR(INDEX(醫師週班表!$C$5:$T$44,$CU6,BB$57),""),1)),IFERROR(INDEX(醫師週班表!$C$5:$T$44,$CU6,BB$57),""))))))</f>
        <v/>
      </c>
      <c r="BC6" s="68">
        <f>IF(BC$59="X","",IF(BC$59&lt;&gt;"",BC$59,IF(IFERROR(INDEX(醫師週班表!$C$5:$T$44,$CU6,BC$57),"")=0,"",IF(LEN(IFERROR(INDEX(醫師週班表!$C$5:$T$44,$CU6,BC$57),""))=4,MID(IFERROR(INDEX(醫師週班表!$C$5:$T$44,$CU6,BC$57),""),1+BC$58*2,1),IF(LEN(IFERROR(INDEX(醫師週班表!$C$5:$T$44,$CU6,BC$57),""))=2,IF(AND(RIGHT(IFERROR(INDEX(醫師週班表!$C$5:$T$44,$CU6,BC$57),""),1)="~",BC$58=1),"",LEFT(IFERROR(INDEX(醫師週班表!$C$5:$T$44,$CU6,BC$57),""),1)),IFERROR(INDEX(醫師週班表!$C$5:$T$44,$CU6,BC$57),""))))))</f>
        <v/>
      </c>
      <c r="BD6" s="67">
        <f>IF(BD$59="X","",IF(BD$59&lt;&gt;"",BD$59,IF(IFERROR(INDEX(醫師週班表!$C$5:$T$44,$CU6,BD$57),"")=0,"",IF(LEN(IFERROR(INDEX(醫師週班表!$C$5:$T$44,$CU6,BD$57),""))=4,MID(IFERROR(INDEX(醫師週班表!$C$5:$T$44,$CU6,BD$57),""),1+BD$58*2,1),IF(LEN(IFERROR(INDEX(醫師週班表!$C$5:$T$44,$CU6,BD$57),""))=2,IF(AND(RIGHT(IFERROR(INDEX(醫師週班表!$C$5:$T$44,$CU6,BD$57),""),1)="~",BD$58=1),"",LEFT(IFERROR(INDEX(醫師週班表!$C$5:$T$44,$CU6,BD$57),""),1)),IFERROR(INDEX(醫師週班表!$C$5:$T$44,$CU6,BD$57),""))))))</f>
        <v/>
      </c>
      <c r="BE6" s="68">
        <f>IF(BE$59="X","",IF(BE$59&lt;&gt;"",BE$59,IF(IFERROR(INDEX(醫師週班表!$C$5:$T$44,$CU6,BE$57),"")=0,"",IF(LEN(IFERROR(INDEX(醫師週班表!$C$5:$T$44,$CU6,BE$57),""))=4,MID(IFERROR(INDEX(醫師週班表!$C$5:$T$44,$CU6,BE$57),""),1+BE$58*2,1),IF(LEN(IFERROR(INDEX(醫師週班表!$C$5:$T$44,$CU6,BE$57),""))=2,IF(AND(RIGHT(IFERROR(INDEX(醫師週班表!$C$5:$T$44,$CU6,BE$57),""),1)="~",BE$58=1),"",LEFT(IFERROR(INDEX(醫師週班表!$C$5:$T$44,$CU6,BE$57),""),1)),IFERROR(INDEX(醫師週班表!$C$5:$T$44,$CU6,BE$57),""))))))</f>
        <v/>
      </c>
      <c r="BF6" s="68">
        <f>IF(BF$59="X","",IF(BF$59&lt;&gt;"",BF$59,IF(IFERROR(INDEX(醫師週班表!$C$5:$T$44,$CU6,BF$57),"")=0,"",IF(LEN(IFERROR(INDEX(醫師週班表!$C$5:$T$44,$CU6,BF$57),""))=4,MID(IFERROR(INDEX(醫師週班表!$C$5:$T$44,$CU6,BF$57),""),1+BF$58*2,1),IF(LEN(IFERROR(INDEX(醫師週班表!$C$5:$T$44,$CU6,BF$57),""))=2,IF(AND(RIGHT(IFERROR(INDEX(醫師週班表!$C$5:$T$44,$CU6,BF$57),""),1)="~",BF$58=1),"",LEFT(IFERROR(INDEX(醫師週班表!$C$5:$T$44,$CU6,BF$57),""),1)),IFERROR(INDEX(醫師週班表!$C$5:$T$44,$CU6,BF$57),""))))))</f>
        <v/>
      </c>
      <c r="BG6" s="67">
        <f>IF(BG$59="X","",IF(BG$59&lt;&gt;"",BG$59,IF(IFERROR(INDEX(醫師週班表!$C$5:$T$44,$CU6,BG$57),"")=0,"",IF(LEN(IFERROR(INDEX(醫師週班表!$C$5:$T$44,$CU6,BG$57),""))=4,MID(IFERROR(INDEX(醫師週班表!$C$5:$T$44,$CU6,BG$57),""),1+BG$58*2,1),IF(LEN(IFERROR(INDEX(醫師週班表!$C$5:$T$44,$CU6,BG$57),""))=2,IF(AND(RIGHT(IFERROR(INDEX(醫師週班表!$C$5:$T$44,$CU6,BG$57),""),1)="~",BG$58=1),"",LEFT(IFERROR(INDEX(醫師週班表!$C$5:$T$44,$CU6,BG$57),""),1)),IFERROR(INDEX(醫師週班表!$C$5:$T$44,$CU6,BG$57),""))))))</f>
        <v/>
      </c>
      <c r="BH6" s="68">
        <f>IF(BH$59="X","",IF(BH$59&lt;&gt;"",BH$59,IF(IFERROR(INDEX(醫師週班表!$C$5:$T$44,$CU6,BH$57),"")=0,"",IF(LEN(IFERROR(INDEX(醫師週班表!$C$5:$T$44,$CU6,BH$57),""))=4,MID(IFERROR(INDEX(醫師週班表!$C$5:$T$44,$CU6,BH$57),""),1+BH$58*2,1),IF(LEN(IFERROR(INDEX(醫師週班表!$C$5:$T$44,$CU6,BH$57),""))=2,IF(AND(RIGHT(IFERROR(INDEX(醫師週班表!$C$5:$T$44,$CU6,BH$57),""),1)="~",BH$58=1),"",LEFT(IFERROR(INDEX(醫師週班表!$C$5:$T$44,$CU6,BH$57),""),1)),IFERROR(INDEX(醫師週班表!$C$5:$T$44,$CU6,BH$57),""))))))</f>
        <v/>
      </c>
      <c r="BI6" s="68">
        <f>IF(BI$59="X","",IF(BI$59&lt;&gt;"",BI$59,IF(IFERROR(INDEX(醫師週班表!$C$5:$T$44,$CU6,BI$57),"")=0,"",IF(LEN(IFERROR(INDEX(醫師週班表!$C$5:$T$44,$CU6,BI$57),""))=4,MID(IFERROR(INDEX(醫師週班表!$C$5:$T$44,$CU6,BI$57),""),1+BI$58*2,1),IF(LEN(IFERROR(INDEX(醫師週班表!$C$5:$T$44,$CU6,BI$57),""))=2,IF(AND(RIGHT(IFERROR(INDEX(醫師週班表!$C$5:$T$44,$CU6,BI$57),""),1)="~",BI$58=1),"",LEFT(IFERROR(INDEX(醫師週班表!$C$5:$T$44,$CU6,BI$57),""),1)),IFERROR(INDEX(醫師週班表!$C$5:$T$44,$CU6,BI$57),""))))))</f>
        <v/>
      </c>
      <c r="BJ6" s="67">
        <f>IF(BJ$59="X","",IF(BJ$59&lt;&gt;"",BJ$59,IF(IFERROR(INDEX(醫師週班表!$C$5:$T$44,$CU6,BJ$57),"")=0,"",IF(LEN(IFERROR(INDEX(醫師週班表!$C$5:$T$44,$CU6,BJ$57),""))=4,MID(IFERROR(INDEX(醫師週班表!$C$5:$T$44,$CU6,BJ$57),""),1+BJ$58*2,1),IF(LEN(IFERROR(INDEX(醫師週班表!$C$5:$T$44,$CU6,BJ$57),""))=2,IF(AND(RIGHT(IFERROR(INDEX(醫師週班表!$C$5:$T$44,$CU6,BJ$57),""),1)="~",BJ$58=1),"",LEFT(IFERROR(INDEX(醫師週班表!$C$5:$T$44,$CU6,BJ$57),""),1)),IFERROR(INDEX(醫師週班表!$C$5:$T$44,$CU6,BJ$57),""))))))</f>
        <v/>
      </c>
      <c r="BK6" s="68">
        <f>IF(BK$59="X","",IF(BK$59&lt;&gt;"",BK$59,IF(IFERROR(INDEX(醫師週班表!$C$5:$T$44,$CU6,BK$57),"")=0,"",IF(LEN(IFERROR(INDEX(醫師週班表!$C$5:$T$44,$CU6,BK$57),""))=4,MID(IFERROR(INDEX(醫師週班表!$C$5:$T$44,$CU6,BK$57),""),1+BK$58*2,1),IF(LEN(IFERROR(INDEX(醫師週班表!$C$5:$T$44,$CU6,BK$57),""))=2,IF(AND(RIGHT(IFERROR(INDEX(醫師週班表!$C$5:$T$44,$CU6,BK$57),""),1)="~",BK$58=1),"",LEFT(IFERROR(INDEX(醫師週班表!$C$5:$T$44,$CU6,BK$57),""),1)),IFERROR(INDEX(醫師週班表!$C$5:$T$44,$CU6,BK$57),""))))))</f>
        <v/>
      </c>
      <c r="BL6" s="68">
        <f>IF(BL$59="X","",IF(BL$59&lt;&gt;"",BL$59,IF(IFERROR(INDEX(醫師週班表!$C$5:$T$44,$CU6,BL$57),"")=0,"",IF(LEN(IFERROR(INDEX(醫師週班表!$C$5:$T$44,$CU6,BL$57),""))=4,MID(IFERROR(INDEX(醫師週班表!$C$5:$T$44,$CU6,BL$57),""),1+BL$58*2,1),IF(LEN(IFERROR(INDEX(醫師週班表!$C$5:$T$44,$CU6,BL$57),""))=2,IF(AND(RIGHT(IFERROR(INDEX(醫師週班表!$C$5:$T$44,$CU6,BL$57),""),1)="~",BL$58=1),"",LEFT(IFERROR(INDEX(醫師週班表!$C$5:$T$44,$CU6,BL$57),""),1)),IFERROR(INDEX(醫師週班表!$C$5:$T$44,$CU6,BL$57),""))))))</f>
        <v/>
      </c>
      <c r="BM6" s="67">
        <f>IF(BM$59="X","",IF(BM$59&lt;&gt;"",BM$59,IF(IFERROR(INDEX(醫師週班表!$C$5:$T$44,$CU6,BM$57),"")=0,"",IF(LEN(IFERROR(INDEX(醫師週班表!$C$5:$T$44,$CU6,BM$57),""))=4,MID(IFERROR(INDEX(醫師週班表!$C$5:$T$44,$CU6,BM$57),""),1+BM$58*2,1),IF(LEN(IFERROR(INDEX(醫師週班表!$C$5:$T$44,$CU6,BM$57),""))=2,IF(AND(RIGHT(IFERROR(INDEX(醫師週班表!$C$5:$T$44,$CU6,BM$57),""),1)="~",BM$58=1),"",LEFT(IFERROR(INDEX(醫師週班表!$C$5:$T$44,$CU6,BM$57),""),1)),IFERROR(INDEX(醫師週班表!$C$5:$T$44,$CU6,BM$57),""))))))</f>
        <v/>
      </c>
      <c r="BN6" s="68">
        <f>IF(BN$59="X","",IF(BN$59&lt;&gt;"",BN$59,IF(IFERROR(INDEX(醫師週班表!$C$5:$T$44,$CU6,BN$57),"")=0,"",IF(LEN(IFERROR(INDEX(醫師週班表!$C$5:$T$44,$CU6,BN$57),""))=4,MID(IFERROR(INDEX(醫師週班表!$C$5:$T$44,$CU6,BN$57),""),1+BN$58*2,1),IF(LEN(IFERROR(INDEX(醫師週班表!$C$5:$T$44,$CU6,BN$57),""))=2,IF(AND(RIGHT(IFERROR(INDEX(醫師週班表!$C$5:$T$44,$CU6,BN$57),""),1)="~",BN$58=1),"",LEFT(IFERROR(INDEX(醫師週班表!$C$5:$T$44,$CU6,BN$57),""),1)),IFERROR(INDEX(醫師週班表!$C$5:$T$44,$CU6,BN$57),""))))))</f>
        <v/>
      </c>
      <c r="BO6" s="68">
        <f>IF(BO$59="X","",IF(BO$59&lt;&gt;"",BO$59,IF(IFERROR(INDEX(醫師週班表!$C$5:$T$44,$CU6,BO$57),"")=0,"",IF(LEN(IFERROR(INDEX(醫師週班表!$C$5:$T$44,$CU6,BO$57),""))=4,MID(IFERROR(INDEX(醫師週班表!$C$5:$T$44,$CU6,BO$57),""),1+BO$58*2,1),IF(LEN(IFERROR(INDEX(醫師週班表!$C$5:$T$44,$CU6,BO$57),""))=2,IF(AND(RIGHT(IFERROR(INDEX(醫師週班表!$C$5:$T$44,$CU6,BO$57),""),1)="~",BO$58=1),"",LEFT(IFERROR(INDEX(醫師週班表!$C$5:$T$44,$CU6,BO$57),""),1)),IFERROR(INDEX(醫師週班表!$C$5:$T$44,$CU6,BO$57),""))))))</f>
        <v/>
      </c>
      <c r="BP6" s="67">
        <f>IF(BP$59="X","",IF(BP$59&lt;&gt;"",BP$59,IF(IFERROR(INDEX(醫師週班表!$C$5:$T$44,$CU6,BP$57),"")=0,"",IF(LEN(IFERROR(INDEX(醫師週班表!$C$5:$T$44,$CU6,BP$57),""))=4,MID(IFERROR(INDEX(醫師週班表!$C$5:$T$44,$CU6,BP$57),""),1+BP$58*2,1),IF(LEN(IFERROR(INDEX(醫師週班表!$C$5:$T$44,$CU6,BP$57),""))=2,IF(AND(RIGHT(IFERROR(INDEX(醫師週班表!$C$5:$T$44,$CU6,BP$57),""),1)="~",BP$58=1),"",LEFT(IFERROR(INDEX(醫師週班表!$C$5:$T$44,$CU6,BP$57),""),1)),IFERROR(INDEX(醫師週班表!$C$5:$T$44,$CU6,BP$57),""))))))</f>
        <v/>
      </c>
      <c r="BQ6" s="68">
        <f>IF(BQ$59="X","",IF(BQ$59&lt;&gt;"",BQ$59,IF(IFERROR(INDEX(醫師週班表!$C$5:$T$44,$CU6,BQ$57),"")=0,"",IF(LEN(IFERROR(INDEX(醫師週班表!$C$5:$T$44,$CU6,BQ$57),""))=4,MID(IFERROR(INDEX(醫師週班表!$C$5:$T$44,$CU6,BQ$57),""),1+BQ$58*2,1),IF(LEN(IFERROR(INDEX(醫師週班表!$C$5:$T$44,$CU6,BQ$57),""))=2,IF(AND(RIGHT(IFERROR(INDEX(醫師週班表!$C$5:$T$44,$CU6,BQ$57),""),1)="~",BQ$58=1),"",LEFT(IFERROR(INDEX(醫師週班表!$C$5:$T$44,$CU6,BQ$57),""),1)),IFERROR(INDEX(醫師週班表!$C$5:$T$44,$CU6,BQ$57),""))))))</f>
        <v/>
      </c>
      <c r="BR6" s="68">
        <f>IF(BR$59="X","",IF(BR$59&lt;&gt;"",BR$59,IF(IFERROR(INDEX(醫師週班表!$C$5:$T$44,$CU6,BR$57),"")=0,"",IF(LEN(IFERROR(INDEX(醫師週班表!$C$5:$T$44,$CU6,BR$57),""))=4,MID(IFERROR(INDEX(醫師週班表!$C$5:$T$44,$CU6,BR$57),""),1+BR$58*2,1),IF(LEN(IFERROR(INDEX(醫師週班表!$C$5:$T$44,$CU6,BR$57),""))=2,IF(AND(RIGHT(IFERROR(INDEX(醫師週班表!$C$5:$T$44,$CU6,BR$57),""),1)="~",BR$58=1),"",LEFT(IFERROR(INDEX(醫師週班表!$C$5:$T$44,$CU6,BR$57),""),1)),IFERROR(INDEX(醫師週班表!$C$5:$T$44,$CU6,BR$57),""))))))</f>
        <v/>
      </c>
      <c r="BS6" s="67">
        <f>IF(BS$59="X","",IF(BS$59&lt;&gt;"",BS$59,IF(IFERROR(INDEX(醫師週班表!$C$5:$T$44,$CU6,BS$57),"")=0,"",IF(LEN(IFERROR(INDEX(醫師週班表!$C$5:$T$44,$CU6,BS$57),""))=4,MID(IFERROR(INDEX(醫師週班表!$C$5:$T$44,$CU6,BS$57),""),1+BS$58*2,1),IF(LEN(IFERROR(INDEX(醫師週班表!$C$5:$T$44,$CU6,BS$57),""))=2,IF(AND(RIGHT(IFERROR(INDEX(醫師週班表!$C$5:$T$44,$CU6,BS$57),""),1)="~",BS$58=1),"",LEFT(IFERROR(INDEX(醫師週班表!$C$5:$T$44,$CU6,BS$57),""),1)),IFERROR(INDEX(醫師週班表!$C$5:$T$44,$CU6,BS$57),""))))))</f>
        <v/>
      </c>
      <c r="BT6" s="68">
        <f>IF(BT$59="X","",IF(BT$59&lt;&gt;"",BT$59,IF(IFERROR(INDEX(醫師週班表!$C$5:$T$44,$CU6,BT$57),"")=0,"",IF(LEN(IFERROR(INDEX(醫師週班表!$C$5:$T$44,$CU6,BT$57),""))=4,MID(IFERROR(INDEX(醫師週班表!$C$5:$T$44,$CU6,BT$57),""),1+BT$58*2,1),IF(LEN(IFERROR(INDEX(醫師週班表!$C$5:$T$44,$CU6,BT$57),""))=2,IF(AND(RIGHT(IFERROR(INDEX(醫師週班表!$C$5:$T$44,$CU6,BT$57),""),1)="~",BT$58=1),"",LEFT(IFERROR(INDEX(醫師週班表!$C$5:$T$44,$CU6,BT$57),""),1)),IFERROR(INDEX(醫師週班表!$C$5:$T$44,$CU6,BT$57),""))))))</f>
        <v/>
      </c>
      <c r="BU6" s="68">
        <f>IF(BU$59="X","",IF(BU$59&lt;&gt;"",BU$59,IF(IFERROR(INDEX(醫師週班表!$C$5:$T$44,$CU6,BU$57),"")=0,"",IF(LEN(IFERROR(INDEX(醫師週班表!$C$5:$T$44,$CU6,BU$57),""))=4,MID(IFERROR(INDEX(醫師週班表!$C$5:$T$44,$CU6,BU$57),""),1+BU$58*2,1),IF(LEN(IFERROR(INDEX(醫師週班表!$C$5:$T$44,$CU6,BU$57),""))=2,IF(AND(RIGHT(IFERROR(INDEX(醫師週班表!$C$5:$T$44,$CU6,BU$57),""),1)="~",BU$58=1),"",LEFT(IFERROR(INDEX(醫師週班表!$C$5:$T$44,$CU6,BU$57),""),1)),IFERROR(INDEX(醫師週班表!$C$5:$T$44,$CU6,BU$57),""))))))</f>
        <v/>
      </c>
      <c r="BV6" s="67">
        <f>IF(BV$59="X","",IF(BV$59&lt;&gt;"",BV$59,IF(IFERROR(INDEX(醫師週班表!$C$5:$T$44,$CU6,BV$57),"")=0,"",IF(LEN(IFERROR(INDEX(醫師週班表!$C$5:$T$44,$CU6,BV$57),""))=4,MID(IFERROR(INDEX(醫師週班表!$C$5:$T$44,$CU6,BV$57),""),1+BV$58*2,1),IF(LEN(IFERROR(INDEX(醫師週班表!$C$5:$T$44,$CU6,BV$57),""))=2,IF(AND(RIGHT(IFERROR(INDEX(醫師週班表!$C$5:$T$44,$CU6,BV$57),""),1)="~",BV$58=1),"",LEFT(IFERROR(INDEX(醫師週班表!$C$5:$T$44,$CU6,BV$57),""),1)),IFERROR(INDEX(醫師週班表!$C$5:$T$44,$CU6,BV$57),""))))))</f>
        <v/>
      </c>
      <c r="BW6" s="68">
        <f>IF(BW$59="X","",IF(BW$59&lt;&gt;"",BW$59,IF(IFERROR(INDEX(醫師週班表!$C$5:$T$44,$CU6,BW$57),"")=0,"",IF(LEN(IFERROR(INDEX(醫師週班表!$C$5:$T$44,$CU6,BW$57),""))=4,MID(IFERROR(INDEX(醫師週班表!$C$5:$T$44,$CU6,BW$57),""),1+BW$58*2,1),IF(LEN(IFERROR(INDEX(醫師週班表!$C$5:$T$44,$CU6,BW$57),""))=2,IF(AND(RIGHT(IFERROR(INDEX(醫師週班表!$C$5:$T$44,$CU6,BW$57),""),1)="~",BW$58=1),"",LEFT(IFERROR(INDEX(醫師週班表!$C$5:$T$44,$CU6,BW$57),""),1)),IFERROR(INDEX(醫師週班表!$C$5:$T$44,$CU6,BW$57),""))))))</f>
        <v/>
      </c>
      <c r="BX6" s="68">
        <f>IF(BX$59="X","",IF(BX$59&lt;&gt;"",BX$59,IF(IFERROR(INDEX(醫師週班表!$C$5:$T$44,$CU6,BX$57),"")=0,"",IF(LEN(IFERROR(INDEX(醫師週班表!$C$5:$T$44,$CU6,BX$57),""))=4,MID(IFERROR(INDEX(醫師週班表!$C$5:$T$44,$CU6,BX$57),""),1+BX$58*2,1),IF(LEN(IFERROR(INDEX(醫師週班表!$C$5:$T$44,$CU6,BX$57),""))=2,IF(AND(RIGHT(IFERROR(INDEX(醫師週班表!$C$5:$T$44,$CU6,BX$57),""),1)="~",BX$58=1),"",LEFT(IFERROR(INDEX(醫師週班表!$C$5:$T$44,$CU6,BX$57),""),1)),IFERROR(INDEX(醫師週班表!$C$5:$T$44,$CU6,BX$57),""))))))</f>
        <v/>
      </c>
      <c r="BY6" s="67">
        <f>IF(BY$59="X","",IF(BY$59&lt;&gt;"",BY$59,IF(IFERROR(INDEX(醫師週班表!$C$5:$T$44,$CU6,BY$57),"")=0,"",IF(LEN(IFERROR(INDEX(醫師週班表!$C$5:$T$44,$CU6,BY$57),""))=4,MID(IFERROR(INDEX(醫師週班表!$C$5:$T$44,$CU6,BY$57),""),1+BY$58*2,1),IF(LEN(IFERROR(INDEX(醫師週班表!$C$5:$T$44,$CU6,BY$57),""))=2,IF(AND(RIGHT(IFERROR(INDEX(醫師週班表!$C$5:$T$44,$CU6,BY$57),""),1)="~",BY$58=1),"",LEFT(IFERROR(INDEX(醫師週班表!$C$5:$T$44,$CU6,BY$57),""),1)),IFERROR(INDEX(醫師週班表!$C$5:$T$44,$CU6,BY$57),""))))))</f>
        <v/>
      </c>
      <c r="BZ6" s="68">
        <f>IF(BZ$59="X","",IF(BZ$59&lt;&gt;"",BZ$59,IF(IFERROR(INDEX(醫師週班表!$C$5:$T$44,$CU6,BZ$57),"")=0,"",IF(LEN(IFERROR(INDEX(醫師週班表!$C$5:$T$44,$CU6,BZ$57),""))=4,MID(IFERROR(INDEX(醫師週班表!$C$5:$T$44,$CU6,BZ$57),""),1+BZ$58*2,1),IF(LEN(IFERROR(INDEX(醫師週班表!$C$5:$T$44,$CU6,BZ$57),""))=2,IF(AND(RIGHT(IFERROR(INDEX(醫師週班表!$C$5:$T$44,$CU6,BZ$57),""),1)="~",BZ$58=1),"",LEFT(IFERROR(INDEX(醫師週班表!$C$5:$T$44,$CU6,BZ$57),""),1)),IFERROR(INDEX(醫師週班表!$C$5:$T$44,$CU6,BZ$57),""))))))</f>
        <v/>
      </c>
      <c r="CA6" s="68">
        <f>IF(CA$59="X","",IF(CA$59&lt;&gt;"",CA$59,IF(IFERROR(INDEX(醫師週班表!$C$5:$T$44,$CU6,CA$57),"")=0,"",IF(LEN(IFERROR(INDEX(醫師週班表!$C$5:$T$44,$CU6,CA$57),""))=4,MID(IFERROR(INDEX(醫師週班表!$C$5:$T$44,$CU6,CA$57),""),1+CA$58*2,1),IF(LEN(IFERROR(INDEX(醫師週班表!$C$5:$T$44,$CU6,CA$57),""))=2,IF(AND(RIGHT(IFERROR(INDEX(醫師週班表!$C$5:$T$44,$CU6,CA$57),""),1)="~",CA$58=1),"",LEFT(IFERROR(INDEX(醫師週班表!$C$5:$T$44,$CU6,CA$57),""),1)),IFERROR(INDEX(醫師週班表!$C$5:$T$44,$CU6,CA$57),""))))))</f>
        <v/>
      </c>
      <c r="CB6" s="67">
        <f>IF(CB$59="X","",IF(CB$59&lt;&gt;"",CB$59,IF(IFERROR(INDEX(醫師週班表!$C$5:$T$44,$CU6,CB$57),"")=0,"",IF(LEN(IFERROR(INDEX(醫師週班表!$C$5:$T$44,$CU6,CB$57),""))=4,MID(IFERROR(INDEX(醫師週班表!$C$5:$T$44,$CU6,CB$57),""),1+CB$58*2,1),IF(LEN(IFERROR(INDEX(醫師週班表!$C$5:$T$44,$CU6,CB$57),""))=2,IF(AND(RIGHT(IFERROR(INDEX(醫師週班表!$C$5:$T$44,$CU6,CB$57),""),1)="~",CB$58=1),"",LEFT(IFERROR(INDEX(醫師週班表!$C$5:$T$44,$CU6,CB$57),""),1)),IFERROR(INDEX(醫師週班表!$C$5:$T$44,$CU6,CB$57),""))))))</f>
        <v/>
      </c>
      <c r="CC6" s="68">
        <f>IF(CC$59="X","",IF(CC$59&lt;&gt;"",CC$59,IF(IFERROR(INDEX(醫師週班表!$C$5:$T$44,$CU6,CC$57),"")=0,"",IF(LEN(IFERROR(INDEX(醫師週班表!$C$5:$T$44,$CU6,CC$57),""))=4,MID(IFERROR(INDEX(醫師週班表!$C$5:$T$44,$CU6,CC$57),""),1+CC$58*2,1),IF(LEN(IFERROR(INDEX(醫師週班表!$C$5:$T$44,$CU6,CC$57),""))=2,IF(AND(RIGHT(IFERROR(INDEX(醫師週班表!$C$5:$T$44,$CU6,CC$57),""),1)="~",CC$58=1),"",LEFT(IFERROR(INDEX(醫師週班表!$C$5:$T$44,$CU6,CC$57),""),1)),IFERROR(INDEX(醫師週班表!$C$5:$T$44,$CU6,CC$57),""))))))</f>
        <v/>
      </c>
      <c r="CD6" s="68">
        <f>IF(CD$59="X","",IF(CD$59&lt;&gt;"",CD$59,IF(IFERROR(INDEX(醫師週班表!$C$5:$T$44,$CU6,CD$57),"")=0,"",IF(LEN(IFERROR(INDEX(醫師週班表!$C$5:$T$44,$CU6,CD$57),""))=4,MID(IFERROR(INDEX(醫師週班表!$C$5:$T$44,$CU6,CD$57),""),1+CD$58*2,1),IF(LEN(IFERROR(INDEX(醫師週班表!$C$5:$T$44,$CU6,CD$57),""))=2,IF(AND(RIGHT(IFERROR(INDEX(醫師週班表!$C$5:$T$44,$CU6,CD$57),""),1)="~",CD$58=1),"",LEFT(IFERROR(INDEX(醫師週班表!$C$5:$T$44,$CU6,CD$57),""),1)),IFERROR(INDEX(醫師週班表!$C$5:$T$44,$CU6,CD$57),""))))))</f>
        <v/>
      </c>
      <c r="CE6" s="67">
        <f>IF(CE$59="X","",IF(CE$59&lt;&gt;"",CE$59,IF(IFERROR(INDEX(醫師週班表!$C$5:$T$44,$CU6,CE$57),"")=0,"",IF(LEN(IFERROR(INDEX(醫師週班表!$C$5:$T$44,$CU6,CE$57),""))=4,MID(IFERROR(INDEX(醫師週班表!$C$5:$T$44,$CU6,CE$57),""),1+CE$58*2,1),IF(LEN(IFERROR(INDEX(醫師週班表!$C$5:$T$44,$CU6,CE$57),""))=2,IF(AND(RIGHT(IFERROR(INDEX(醫師週班表!$C$5:$T$44,$CU6,CE$57),""),1)="~",CE$58=1),"",LEFT(IFERROR(INDEX(醫師週班表!$C$5:$T$44,$CU6,CE$57),""),1)),IFERROR(INDEX(醫師週班表!$C$5:$T$44,$CU6,CE$57),""))))))</f>
        <v/>
      </c>
      <c r="CF6" s="68">
        <f>IF(CF$59="X","",IF(CF$59&lt;&gt;"",CF$59,IF(IFERROR(INDEX(醫師週班表!$C$5:$T$44,$CU6,CF$57),"")=0,"",IF(LEN(IFERROR(INDEX(醫師週班表!$C$5:$T$44,$CU6,CF$57),""))=4,MID(IFERROR(INDEX(醫師週班表!$C$5:$T$44,$CU6,CF$57),""),1+CF$58*2,1),IF(LEN(IFERROR(INDEX(醫師週班表!$C$5:$T$44,$CU6,CF$57),""))=2,IF(AND(RIGHT(IFERROR(INDEX(醫師週班表!$C$5:$T$44,$CU6,CF$57),""),1)="~",CF$58=1),"",LEFT(IFERROR(INDEX(醫師週班表!$C$5:$T$44,$CU6,CF$57),""),1)),IFERROR(INDEX(醫師週班表!$C$5:$T$44,$CU6,CF$57),""))))))</f>
        <v/>
      </c>
      <c r="CG6" s="68">
        <f>IF(CG$59="X","",IF(CG$59&lt;&gt;"",CG$59,IF(IFERROR(INDEX(醫師週班表!$C$5:$T$44,$CU6,CG$57),"")=0,"",IF(LEN(IFERROR(INDEX(醫師週班表!$C$5:$T$44,$CU6,CG$57),""))=4,MID(IFERROR(INDEX(醫師週班表!$C$5:$T$44,$CU6,CG$57),""),1+CG$58*2,1),IF(LEN(IFERROR(INDEX(醫師週班表!$C$5:$T$44,$CU6,CG$57),""))=2,IF(AND(RIGHT(IFERROR(INDEX(醫師週班表!$C$5:$T$44,$CU6,CG$57),""),1)="~",CG$58=1),"",LEFT(IFERROR(INDEX(醫師週班表!$C$5:$T$44,$CU6,CG$57),""),1)),IFERROR(INDEX(醫師週班表!$C$5:$T$44,$CU6,CG$57),""))))))</f>
        <v/>
      </c>
      <c r="CH6" s="67">
        <f>IF(CH$59="X","",IF(CH$59&lt;&gt;"",CH$59,IF(IFERROR(INDEX(醫師週班表!$C$5:$T$44,$CU6,CH$57),"")=0,"",IF(LEN(IFERROR(INDEX(醫師週班表!$C$5:$T$44,$CU6,CH$57),""))=4,MID(IFERROR(INDEX(醫師週班表!$C$5:$T$44,$CU6,CH$57),""),1+CH$58*2,1),IF(LEN(IFERROR(INDEX(醫師週班表!$C$5:$T$44,$CU6,CH$57),""))=2,IF(AND(RIGHT(IFERROR(INDEX(醫師週班表!$C$5:$T$44,$CU6,CH$57),""),1)="~",CH$58=1),"",LEFT(IFERROR(INDEX(醫師週班表!$C$5:$T$44,$CU6,CH$57),""),1)),IFERROR(INDEX(醫師週班表!$C$5:$T$44,$CU6,CH$57),""))))))</f>
        <v/>
      </c>
      <c r="CI6" s="68">
        <f>IF(CI$59="X","",IF(CI$59&lt;&gt;"",CI$59,IF(IFERROR(INDEX(醫師週班表!$C$5:$T$44,$CU6,CI$57),"")=0,"",IF(LEN(IFERROR(INDEX(醫師週班表!$C$5:$T$44,$CU6,CI$57),""))=4,MID(IFERROR(INDEX(醫師週班表!$C$5:$T$44,$CU6,CI$57),""),1+CI$58*2,1),IF(LEN(IFERROR(INDEX(醫師週班表!$C$5:$T$44,$CU6,CI$57),""))=2,IF(AND(RIGHT(IFERROR(INDEX(醫師週班表!$C$5:$T$44,$CU6,CI$57),""),1)="~",CI$58=1),"",LEFT(IFERROR(INDEX(醫師週班表!$C$5:$T$44,$CU6,CI$57),""),1)),IFERROR(INDEX(醫師週班表!$C$5:$T$44,$CU6,CI$57),""))))))</f>
        <v/>
      </c>
      <c r="CJ6" s="68">
        <f>IF(CJ$59="X","",IF(CJ$59&lt;&gt;"",CJ$59,IF(IFERROR(INDEX(醫師週班表!$C$5:$T$44,$CU6,CJ$57),"")=0,"",IF(LEN(IFERROR(INDEX(醫師週班表!$C$5:$T$44,$CU6,CJ$57),""))=4,MID(IFERROR(INDEX(醫師週班表!$C$5:$T$44,$CU6,CJ$57),""),1+CJ$58*2,1),IF(LEN(IFERROR(INDEX(醫師週班表!$C$5:$T$44,$CU6,CJ$57),""))=2,IF(AND(RIGHT(IFERROR(INDEX(醫師週班表!$C$5:$T$44,$CU6,CJ$57),""),1)="~",CJ$58=1),"",LEFT(IFERROR(INDEX(醫師週班表!$C$5:$T$44,$CU6,CJ$57),""),1)),IFERROR(INDEX(醫師週班表!$C$5:$T$44,$CU6,CJ$57),""))))))</f>
        <v/>
      </c>
      <c r="CK6" s="67">
        <f>IF(CK$59="X","",IF(CK$59&lt;&gt;"",CK$59,IF(IFERROR(INDEX(醫師週班表!$C$5:$T$44,$CU6,CK$57),"")=0,"",IF(LEN(IFERROR(INDEX(醫師週班表!$C$5:$T$44,$CU6,CK$57),""))=4,MID(IFERROR(INDEX(醫師週班表!$C$5:$T$44,$CU6,CK$57),""),1+CK$58*2,1),IF(LEN(IFERROR(INDEX(醫師週班表!$C$5:$T$44,$CU6,CK$57),""))=2,IF(AND(RIGHT(IFERROR(INDEX(醫師週班表!$C$5:$T$44,$CU6,CK$57),""),1)="~",CK$58=1),"",LEFT(IFERROR(INDEX(醫師週班表!$C$5:$T$44,$CU6,CK$57),""),1)),IFERROR(INDEX(醫師週班表!$C$5:$T$44,$CU6,CK$57),""))))))</f>
        <v/>
      </c>
      <c r="CL6" s="68">
        <f>IF(CL$59="X","",IF(CL$59&lt;&gt;"",CL$59,IF(IFERROR(INDEX(醫師週班表!$C$5:$T$44,$CU6,CL$57),"")=0,"",IF(LEN(IFERROR(INDEX(醫師週班表!$C$5:$T$44,$CU6,CL$57),""))=4,MID(IFERROR(INDEX(醫師週班表!$C$5:$T$44,$CU6,CL$57),""),1+CL$58*2,1),IF(LEN(IFERROR(INDEX(醫師週班表!$C$5:$T$44,$CU6,CL$57),""))=2,IF(AND(RIGHT(IFERROR(INDEX(醫師週班表!$C$5:$T$44,$CU6,CL$57),""),1)="~",CL$58=1),"",LEFT(IFERROR(INDEX(醫師週班表!$C$5:$T$44,$CU6,CL$57),""),1)),IFERROR(INDEX(醫師週班表!$C$5:$T$44,$CU6,CL$57),""))))))</f>
        <v/>
      </c>
      <c r="CM6" s="68">
        <f>IF(CM$59="X","",IF(CM$59&lt;&gt;"",CM$59,IF(IFERROR(INDEX(醫師週班表!$C$5:$T$44,$CU6,CM$57),"")=0,"",IF(LEN(IFERROR(INDEX(醫師週班表!$C$5:$T$44,$CU6,CM$57),""))=4,MID(IFERROR(INDEX(醫師週班表!$C$5:$T$44,$CU6,CM$57),""),1+CM$58*2,1),IF(LEN(IFERROR(INDEX(醫師週班表!$C$5:$T$44,$CU6,CM$57),""))=2,IF(AND(RIGHT(IFERROR(INDEX(醫師週班表!$C$5:$T$44,$CU6,CM$57),""),1)="~",CM$58=1),"",LEFT(IFERROR(INDEX(醫師週班表!$C$5:$T$44,$CU6,CM$57),""),1)),IFERROR(INDEX(醫師週班表!$C$5:$T$44,$CU6,CM$57),""))))))</f>
        <v/>
      </c>
      <c r="CN6" s="67">
        <f>IF(CN$59="X","",IF(CN$59&lt;&gt;"",CN$59,IF(IFERROR(INDEX(醫師週班表!$C$5:$T$44,$CU6,CN$57),"")=0,"",IF(LEN(IFERROR(INDEX(醫師週班表!$C$5:$T$44,$CU6,CN$57),""))=4,MID(IFERROR(INDEX(醫師週班表!$C$5:$T$44,$CU6,CN$57),""),1+CN$58*2,1),IF(LEN(IFERROR(INDEX(醫師週班表!$C$5:$T$44,$CU6,CN$57),""))=2,IF(AND(RIGHT(IFERROR(INDEX(醫師週班表!$C$5:$T$44,$CU6,CN$57),""),1)="~",CN$58=1),"",LEFT(IFERROR(INDEX(醫師週班表!$C$5:$T$44,$CU6,CN$57),""),1)),IFERROR(INDEX(醫師週班表!$C$5:$T$44,$CU6,CN$57),""))))))</f>
        <v/>
      </c>
      <c r="CO6" s="68">
        <f>IF(CO$59="X","",IF(CO$59&lt;&gt;"",CO$59,IF(IFERROR(INDEX(醫師週班表!$C$5:$T$44,$CU6,CO$57),"")=0,"",IF(LEN(IFERROR(INDEX(醫師週班表!$C$5:$T$44,$CU6,CO$57),""))=4,MID(IFERROR(INDEX(醫師週班表!$C$5:$T$44,$CU6,CO$57),""),1+CO$58*2,1),IF(LEN(IFERROR(INDEX(醫師週班表!$C$5:$T$44,$CU6,CO$57),""))=2,IF(AND(RIGHT(IFERROR(INDEX(醫師週班表!$C$5:$T$44,$CU6,CO$57),""),1)="~",CO$58=1),"",LEFT(IFERROR(INDEX(醫師週班表!$C$5:$T$44,$CU6,CO$57),""),1)),IFERROR(INDEX(醫師週班表!$C$5:$T$44,$CU6,CO$57),""))))))</f>
        <v/>
      </c>
      <c r="CP6" s="68">
        <f>IF(CP$59="X","",IF(CP$59&lt;&gt;"",CP$59,IF(IFERROR(INDEX(醫師週班表!$C$5:$T$44,$CU6,CP$57),"")=0,"",IF(LEN(IFERROR(INDEX(醫師週班表!$C$5:$T$44,$CU6,CP$57),""))=4,MID(IFERROR(INDEX(醫師週班表!$C$5:$T$44,$CU6,CP$57),""),1+CP$58*2,1),IF(LEN(IFERROR(INDEX(醫師週班表!$C$5:$T$44,$CU6,CP$57),""))=2,IF(AND(RIGHT(IFERROR(INDEX(醫師週班表!$C$5:$T$44,$CU6,CP$57),""),1)="~",CP$58=1),"",LEFT(IFERROR(INDEX(醫師週班表!$C$5:$T$44,$CU6,CP$57),""),1)),IFERROR(INDEX(醫師週班表!$C$5:$T$44,$CU6,CP$57),""))))))</f>
        <v/>
      </c>
      <c r="CQ6" s="67">
        <f>IF(CQ$59="X","",IF(CQ$59&lt;&gt;"",CQ$59,IF(IFERROR(INDEX(醫師週班表!$C$5:$T$44,$CU6,CQ$57),"")=0,"",IF(LEN(IFERROR(INDEX(醫師週班表!$C$5:$T$44,$CU6,CQ$57),""))=4,MID(IFERROR(INDEX(醫師週班表!$C$5:$T$44,$CU6,CQ$57),""),1+CQ$58*2,1),IF(LEN(IFERROR(INDEX(醫師週班表!$C$5:$T$44,$CU6,CQ$57),""))=2,IF(AND(RIGHT(IFERROR(INDEX(醫師週班表!$C$5:$T$44,$CU6,CQ$57),""),1)="~",CQ$58=1),"",LEFT(IFERROR(INDEX(醫師週班表!$C$5:$T$44,$CU6,CQ$57),""),1)),IFERROR(INDEX(醫師週班表!$C$5:$T$44,$CU6,CQ$57),""))))))</f>
        <v/>
      </c>
      <c r="CR6" s="68">
        <f>IF(CR$59="X","",IF(CR$59&lt;&gt;"",CR$59,IF(IFERROR(INDEX(醫師週班表!$C$5:$T$44,$CU6,CR$57),"")=0,"",IF(LEN(IFERROR(INDEX(醫師週班表!$C$5:$T$44,$CU6,CR$57),""))=4,MID(IFERROR(INDEX(醫師週班表!$C$5:$T$44,$CU6,CR$57),""),1+CR$58*2,1),IF(LEN(IFERROR(INDEX(醫師週班表!$C$5:$T$44,$CU6,CR$57),""))=2,IF(AND(RIGHT(IFERROR(INDEX(醫師週班表!$C$5:$T$44,$CU6,CR$57),""),1)="~",CR$58=1),"",LEFT(IFERROR(INDEX(醫師週班表!$C$5:$T$44,$CU6,CR$57),""),1)),IFERROR(INDEX(醫師週班表!$C$5:$T$44,$CU6,CR$57),""))))))</f>
        <v/>
      </c>
      <c r="CS6" s="68">
        <f>IF(CS$59="X","",IF(CS$59&lt;&gt;"",CS$59,IF(IFERROR(INDEX(醫師週班表!$C$5:$T$44,$CU6,CS$57),"")=0,"",IF(LEN(IFERROR(INDEX(醫師週班表!$C$5:$T$44,$CU6,CS$57),""))=4,MID(IFERROR(INDEX(醫師週班表!$C$5:$T$44,$CU6,CS$57),""),1+CS$58*2,1),IF(LEN(IFERROR(INDEX(醫師週班表!$C$5:$T$44,$CU6,CS$57),""))=2,IF(AND(RIGHT(IFERROR(INDEX(醫師週班表!$C$5:$T$44,$CU6,CS$57),""),1)="~",CS$58=1),"",LEFT(IFERROR(INDEX(醫師週班表!$C$5:$T$44,$CU6,CS$57),""),1)),IFERROR(INDEX(醫師週班表!$C$5:$T$44,$CU6,CS$57),""))))))</f>
        <v/>
      </c>
      <c r="CU6" s="69">
        <f>IFERROR(MATCH($A6,醫師週班表!$A$5:$A$44,0),0)</f>
        <v/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IFERROR(INDEX(醫師週班表!$C$5:$T$44,$CU7,E$57),"")=0,"",IF(LEN(IFERROR(INDEX(醫師週班表!$C$5:$T$44,$CU7,E$57),""))=4,MID(IFERROR(INDEX(醫師週班表!$C$5:$T$44,$CU7,E$57),""),1+E$58*2,1),IF(LEN(IFERROR(INDEX(醫師週班表!$C$5:$T$44,$CU7,E$57),""))=2,IF(AND(RIGHT(IFERROR(INDEX(醫師週班表!$C$5:$T$44,$CU7,E$57),""),1)="~",E$58=1),"",LEFT(IFERROR(INDEX(醫師週班表!$C$5:$T$44,$CU7,E$57),""),1)),IFERROR(INDEX(醫師週班表!$C$5:$T$44,$CU7,E$57),""))))))</f>
        <v/>
      </c>
      <c r="F7" s="68">
        <f>IF(F$59="X","",IF(F$59&lt;&gt;"",F$59,IF(IFERROR(INDEX(醫師週班表!$C$5:$T$44,$CU7,F$57),"")=0,"",IF(LEN(IFERROR(INDEX(醫師週班表!$C$5:$T$44,$CU7,F$57),""))=4,MID(IFERROR(INDEX(醫師週班表!$C$5:$T$44,$CU7,F$57),""),1+F$58*2,1),IF(LEN(IFERROR(INDEX(醫師週班表!$C$5:$T$44,$CU7,F$57),""))=2,IF(AND(RIGHT(IFERROR(INDEX(醫師週班表!$C$5:$T$44,$CU7,F$57),""),1)="~",F$58=1),"",LEFT(IFERROR(INDEX(醫師週班表!$C$5:$T$44,$CU7,F$57),""),1)),IFERROR(INDEX(醫師週班表!$C$5:$T$44,$CU7,F$57),""))))))</f>
        <v/>
      </c>
      <c r="G7" s="68">
        <f>IF(G$59="X","",IF(G$59&lt;&gt;"",G$59,IF(IFERROR(INDEX(醫師週班表!$C$5:$T$44,$CU7,G$57),"")=0,"",IF(LEN(IFERROR(INDEX(醫師週班表!$C$5:$T$44,$CU7,G$57),""))=4,MID(IFERROR(INDEX(醫師週班表!$C$5:$T$44,$CU7,G$57),""),1+G$58*2,1),IF(LEN(IFERROR(INDEX(醫師週班表!$C$5:$T$44,$CU7,G$57),""))=2,IF(AND(RIGHT(IFERROR(INDEX(醫師週班表!$C$5:$T$44,$CU7,G$57),""),1)="~",G$58=1),"",LEFT(IFERROR(INDEX(醫師週班表!$C$5:$T$44,$CU7,G$57),""),1)),IFERROR(INDEX(醫師週班表!$C$5:$T$44,$CU7,G$57),""))))))</f>
        <v/>
      </c>
      <c r="H7" s="67">
        <f>IF(H$59="X","",IF(H$59&lt;&gt;"",H$59,IF(IFERROR(INDEX(醫師週班表!$C$5:$T$44,$CU7,H$57),"")=0,"",IF(LEN(IFERROR(INDEX(醫師週班表!$C$5:$T$44,$CU7,H$57),""))=4,MID(IFERROR(INDEX(醫師週班表!$C$5:$T$44,$CU7,H$57),""),1+H$58*2,1),IF(LEN(IFERROR(INDEX(醫師週班表!$C$5:$T$44,$CU7,H$57),""))=2,IF(AND(RIGHT(IFERROR(INDEX(醫師週班表!$C$5:$T$44,$CU7,H$57),""),1)="~",H$58=1),"",LEFT(IFERROR(INDEX(醫師週班表!$C$5:$T$44,$CU7,H$57),""),1)),IFERROR(INDEX(醫師週班表!$C$5:$T$44,$CU7,H$57),""))))))</f>
        <v/>
      </c>
      <c r="I7" s="68">
        <f>IF(I$59="X","",IF(I$59&lt;&gt;"",I$59,IF(IFERROR(INDEX(醫師週班表!$C$5:$T$44,$CU7,I$57),"")=0,"",IF(LEN(IFERROR(INDEX(醫師週班表!$C$5:$T$44,$CU7,I$57),""))=4,MID(IFERROR(INDEX(醫師週班表!$C$5:$T$44,$CU7,I$57),""),1+I$58*2,1),IF(LEN(IFERROR(INDEX(醫師週班表!$C$5:$T$44,$CU7,I$57),""))=2,IF(AND(RIGHT(IFERROR(INDEX(醫師週班表!$C$5:$T$44,$CU7,I$57),""),1)="~",I$58=1),"",LEFT(IFERROR(INDEX(醫師週班表!$C$5:$T$44,$CU7,I$57),""),1)),IFERROR(INDEX(醫師週班表!$C$5:$T$44,$CU7,I$57),""))))))</f>
        <v/>
      </c>
      <c r="J7" s="68">
        <f>IF(J$59="X","",IF(J$59&lt;&gt;"",J$59,IF(IFERROR(INDEX(醫師週班表!$C$5:$T$44,$CU7,J$57),"")=0,"",IF(LEN(IFERROR(INDEX(醫師週班表!$C$5:$T$44,$CU7,J$57),""))=4,MID(IFERROR(INDEX(醫師週班表!$C$5:$T$44,$CU7,J$57),""),1+J$58*2,1),IF(LEN(IFERROR(INDEX(醫師週班表!$C$5:$T$44,$CU7,J$57),""))=2,IF(AND(RIGHT(IFERROR(INDEX(醫師週班表!$C$5:$T$44,$CU7,J$57),""),1)="~",J$58=1),"",LEFT(IFERROR(INDEX(醫師週班表!$C$5:$T$44,$CU7,J$57),""),1)),IFERROR(INDEX(醫師週班表!$C$5:$T$44,$CU7,J$57),""))))))</f>
        <v/>
      </c>
      <c r="K7" s="67">
        <f>IF(K$59="X","",IF(K$59&lt;&gt;"",K$59,IF(IFERROR(INDEX(醫師週班表!$C$5:$T$44,$CU7,K$57),"")=0,"",IF(LEN(IFERROR(INDEX(醫師週班表!$C$5:$T$44,$CU7,K$57),""))=4,MID(IFERROR(INDEX(醫師週班表!$C$5:$T$44,$CU7,K$57),""),1+K$58*2,1),IF(LEN(IFERROR(INDEX(醫師週班表!$C$5:$T$44,$CU7,K$57),""))=2,IF(AND(RIGHT(IFERROR(INDEX(醫師週班表!$C$5:$T$44,$CU7,K$57),""),1)="~",K$58=1),"",LEFT(IFERROR(INDEX(醫師週班表!$C$5:$T$44,$CU7,K$57),""),1)),IFERROR(INDEX(醫師週班表!$C$5:$T$44,$CU7,K$57),""))))))</f>
        <v/>
      </c>
      <c r="L7" s="68">
        <f>IF(L$59="X","",IF(L$59&lt;&gt;"",L$59,IF(IFERROR(INDEX(醫師週班表!$C$5:$T$44,$CU7,L$57),"")=0,"",IF(LEN(IFERROR(INDEX(醫師週班表!$C$5:$T$44,$CU7,L$57),""))=4,MID(IFERROR(INDEX(醫師週班表!$C$5:$T$44,$CU7,L$57),""),1+L$58*2,1),IF(LEN(IFERROR(INDEX(醫師週班表!$C$5:$T$44,$CU7,L$57),""))=2,IF(AND(RIGHT(IFERROR(INDEX(醫師週班表!$C$5:$T$44,$CU7,L$57),""),1)="~",L$58=1),"",LEFT(IFERROR(INDEX(醫師週班表!$C$5:$T$44,$CU7,L$57),""),1)),IFERROR(INDEX(醫師週班表!$C$5:$T$44,$CU7,L$57),""))))))</f>
        <v/>
      </c>
      <c r="M7" s="68">
        <f>IF(M$59="X","",IF(M$59&lt;&gt;"",M$59,IF(IFERROR(INDEX(醫師週班表!$C$5:$T$44,$CU7,M$57),"")=0,"",IF(LEN(IFERROR(INDEX(醫師週班表!$C$5:$T$44,$CU7,M$57),""))=4,MID(IFERROR(INDEX(醫師週班表!$C$5:$T$44,$CU7,M$57),""),1+M$58*2,1),IF(LEN(IFERROR(INDEX(醫師週班表!$C$5:$T$44,$CU7,M$57),""))=2,IF(AND(RIGHT(IFERROR(INDEX(醫師週班表!$C$5:$T$44,$CU7,M$57),""),1)="~",M$58=1),"",LEFT(IFERROR(INDEX(醫師週班表!$C$5:$T$44,$CU7,M$57),""),1)),IFERROR(INDEX(醫師週班表!$C$5:$T$44,$CU7,M$57),""))))))</f>
        <v/>
      </c>
      <c r="N7" s="67">
        <f>IF(N$59="X","",IF(N$59&lt;&gt;"",N$59,IF(IFERROR(INDEX(醫師週班表!$C$5:$T$44,$CU7,N$57),"")=0,"",IF(LEN(IFERROR(INDEX(醫師週班表!$C$5:$T$44,$CU7,N$57),""))=4,MID(IFERROR(INDEX(醫師週班表!$C$5:$T$44,$CU7,N$57),""),1+N$58*2,1),IF(LEN(IFERROR(INDEX(醫師週班表!$C$5:$T$44,$CU7,N$57),""))=2,IF(AND(RIGHT(IFERROR(INDEX(醫師週班表!$C$5:$T$44,$CU7,N$57),""),1)="~",N$58=1),"",LEFT(IFERROR(INDEX(醫師週班表!$C$5:$T$44,$CU7,N$57),""),1)),IFERROR(INDEX(醫師週班表!$C$5:$T$44,$CU7,N$57),""))))))</f>
        <v/>
      </c>
      <c r="O7" s="68">
        <f>IF(O$59="X","",IF(O$59&lt;&gt;"",O$59,IF(IFERROR(INDEX(醫師週班表!$C$5:$T$44,$CU7,O$57),"")=0,"",IF(LEN(IFERROR(INDEX(醫師週班表!$C$5:$T$44,$CU7,O$57),""))=4,MID(IFERROR(INDEX(醫師週班表!$C$5:$T$44,$CU7,O$57),""),1+O$58*2,1),IF(LEN(IFERROR(INDEX(醫師週班表!$C$5:$T$44,$CU7,O$57),""))=2,IF(AND(RIGHT(IFERROR(INDEX(醫師週班表!$C$5:$T$44,$CU7,O$57),""),1)="~",O$58=1),"",LEFT(IFERROR(INDEX(醫師週班表!$C$5:$T$44,$CU7,O$57),""),1)),IFERROR(INDEX(醫師週班表!$C$5:$T$44,$CU7,O$57),""))))))</f>
        <v/>
      </c>
      <c r="P7" s="68">
        <f>IF(P$59="X","",IF(P$59&lt;&gt;"",P$59,IF(IFERROR(INDEX(醫師週班表!$C$5:$T$44,$CU7,P$57),"")=0,"",IF(LEN(IFERROR(INDEX(醫師週班表!$C$5:$T$44,$CU7,P$57),""))=4,MID(IFERROR(INDEX(醫師週班表!$C$5:$T$44,$CU7,P$57),""),1+P$58*2,1),IF(LEN(IFERROR(INDEX(醫師週班表!$C$5:$T$44,$CU7,P$57),""))=2,IF(AND(RIGHT(IFERROR(INDEX(醫師週班表!$C$5:$T$44,$CU7,P$57),""),1)="~",P$58=1),"",LEFT(IFERROR(INDEX(醫師週班表!$C$5:$T$44,$CU7,P$57),""),1)),IFERROR(INDEX(醫師週班表!$C$5:$T$44,$CU7,P$57),""))))))</f>
        <v/>
      </c>
      <c r="Q7" s="67">
        <f>IF(Q$59="X","",IF(Q$59&lt;&gt;"",Q$59,IF(IFERROR(INDEX(醫師週班表!$C$5:$T$44,$CU7,Q$57),"")=0,"",IF(LEN(IFERROR(INDEX(醫師週班表!$C$5:$T$44,$CU7,Q$57),""))=4,MID(IFERROR(INDEX(醫師週班表!$C$5:$T$44,$CU7,Q$57),""),1+Q$58*2,1),IF(LEN(IFERROR(INDEX(醫師週班表!$C$5:$T$44,$CU7,Q$57),""))=2,IF(AND(RIGHT(IFERROR(INDEX(醫師週班表!$C$5:$T$44,$CU7,Q$57),""),1)="~",Q$58=1),"",LEFT(IFERROR(INDEX(醫師週班表!$C$5:$T$44,$CU7,Q$57),""),1)),IFERROR(INDEX(醫師週班表!$C$5:$T$44,$CU7,Q$57),""))))))</f>
        <v/>
      </c>
      <c r="R7" s="68">
        <f>IF(R$59="X","",IF(R$59&lt;&gt;"",R$59,IF(IFERROR(INDEX(醫師週班表!$C$5:$T$44,$CU7,R$57),"")=0,"",IF(LEN(IFERROR(INDEX(醫師週班表!$C$5:$T$44,$CU7,R$57),""))=4,MID(IFERROR(INDEX(醫師週班表!$C$5:$T$44,$CU7,R$57),""),1+R$58*2,1),IF(LEN(IFERROR(INDEX(醫師週班表!$C$5:$T$44,$CU7,R$57),""))=2,IF(AND(RIGHT(IFERROR(INDEX(醫師週班表!$C$5:$T$44,$CU7,R$57),""),1)="~",R$58=1),"",LEFT(IFERROR(INDEX(醫師週班表!$C$5:$T$44,$CU7,R$57),""),1)),IFERROR(INDEX(醫師週班表!$C$5:$T$44,$CU7,R$57),""))))))</f>
        <v/>
      </c>
      <c r="S7" s="68">
        <f>IF(S$59="X","",IF(S$59&lt;&gt;"",S$59,IF(IFERROR(INDEX(醫師週班表!$C$5:$T$44,$CU7,S$57),"")=0,"",IF(LEN(IFERROR(INDEX(醫師週班表!$C$5:$T$44,$CU7,S$57),""))=4,MID(IFERROR(INDEX(醫師週班表!$C$5:$T$44,$CU7,S$57),""),1+S$58*2,1),IF(LEN(IFERROR(INDEX(醫師週班表!$C$5:$T$44,$CU7,S$57),""))=2,IF(AND(RIGHT(IFERROR(INDEX(醫師週班表!$C$5:$T$44,$CU7,S$57),""),1)="~",S$58=1),"",LEFT(IFERROR(INDEX(醫師週班表!$C$5:$T$44,$CU7,S$57),""),1)),IFERROR(INDEX(醫師週班表!$C$5:$T$44,$CU7,S$57),""))))))</f>
        <v/>
      </c>
      <c r="T7" s="67">
        <f>IF(T$59="X","",IF(T$59&lt;&gt;"",T$59,IF(IFERROR(INDEX(醫師週班表!$C$5:$T$44,$CU7,T$57),"")=0,"",IF(LEN(IFERROR(INDEX(醫師週班表!$C$5:$T$44,$CU7,T$57),""))=4,MID(IFERROR(INDEX(醫師週班表!$C$5:$T$44,$CU7,T$57),""),1+T$58*2,1),IF(LEN(IFERROR(INDEX(醫師週班表!$C$5:$T$44,$CU7,T$57),""))=2,IF(AND(RIGHT(IFERROR(INDEX(醫師週班表!$C$5:$T$44,$CU7,T$57),""),1)="~",T$58=1),"",LEFT(IFERROR(INDEX(醫師週班表!$C$5:$T$44,$CU7,T$57),""),1)),IFERROR(INDEX(醫師週班表!$C$5:$T$44,$CU7,T$57),""))))))</f>
        <v/>
      </c>
      <c r="U7" s="68">
        <f>IF(U$59="X","",IF(U$59&lt;&gt;"",U$59,IF(IFERROR(INDEX(醫師週班表!$C$5:$T$44,$CU7,U$57),"")=0,"",IF(LEN(IFERROR(INDEX(醫師週班表!$C$5:$T$44,$CU7,U$57),""))=4,MID(IFERROR(INDEX(醫師週班表!$C$5:$T$44,$CU7,U$57),""),1+U$58*2,1),IF(LEN(IFERROR(INDEX(醫師週班表!$C$5:$T$44,$CU7,U$57),""))=2,IF(AND(RIGHT(IFERROR(INDEX(醫師週班表!$C$5:$T$44,$CU7,U$57),""),1)="~",U$58=1),"",LEFT(IFERROR(INDEX(醫師週班表!$C$5:$T$44,$CU7,U$57),""),1)),IFERROR(INDEX(醫師週班表!$C$5:$T$44,$CU7,U$57),""))))))</f>
        <v/>
      </c>
      <c r="V7" s="68">
        <f>IF(V$59="X","",IF(V$59&lt;&gt;"",V$59,IF(IFERROR(INDEX(醫師週班表!$C$5:$T$44,$CU7,V$57),"")=0,"",IF(LEN(IFERROR(INDEX(醫師週班表!$C$5:$T$44,$CU7,V$57),""))=4,MID(IFERROR(INDEX(醫師週班表!$C$5:$T$44,$CU7,V$57),""),1+V$58*2,1),IF(LEN(IFERROR(INDEX(醫師週班表!$C$5:$T$44,$CU7,V$57),""))=2,IF(AND(RIGHT(IFERROR(INDEX(醫師週班表!$C$5:$T$44,$CU7,V$57),""),1)="~",V$58=1),"",LEFT(IFERROR(INDEX(醫師週班表!$C$5:$T$44,$CU7,V$57),""),1)),IFERROR(INDEX(醫師週班表!$C$5:$T$44,$CU7,V$57),""))))))</f>
        <v/>
      </c>
      <c r="W7" s="67">
        <f>IF(W$59="X","",IF(W$59&lt;&gt;"",W$59,IF(IFERROR(INDEX(醫師週班表!$C$5:$T$44,$CU7,W$57),"")=0,"",IF(LEN(IFERROR(INDEX(醫師週班表!$C$5:$T$44,$CU7,W$57),""))=4,MID(IFERROR(INDEX(醫師週班表!$C$5:$T$44,$CU7,W$57),""),1+W$58*2,1),IF(LEN(IFERROR(INDEX(醫師週班表!$C$5:$T$44,$CU7,W$57),""))=2,IF(AND(RIGHT(IFERROR(INDEX(醫師週班表!$C$5:$T$44,$CU7,W$57),""),1)="~",W$58=1),"",LEFT(IFERROR(INDEX(醫師週班表!$C$5:$T$44,$CU7,W$57),""),1)),IFERROR(INDEX(醫師週班表!$C$5:$T$44,$CU7,W$57),""))))))</f>
        <v/>
      </c>
      <c r="X7" s="68">
        <f>IF(X$59="X","",IF(X$59&lt;&gt;"",X$59,IF(IFERROR(INDEX(醫師週班表!$C$5:$T$44,$CU7,X$57),"")=0,"",IF(LEN(IFERROR(INDEX(醫師週班表!$C$5:$T$44,$CU7,X$57),""))=4,MID(IFERROR(INDEX(醫師週班表!$C$5:$T$44,$CU7,X$57),""),1+X$58*2,1),IF(LEN(IFERROR(INDEX(醫師週班表!$C$5:$T$44,$CU7,X$57),""))=2,IF(AND(RIGHT(IFERROR(INDEX(醫師週班表!$C$5:$T$44,$CU7,X$57),""),1)="~",X$58=1),"",LEFT(IFERROR(INDEX(醫師週班表!$C$5:$T$44,$CU7,X$57),""),1)),IFERROR(INDEX(醫師週班表!$C$5:$T$44,$CU7,X$57),""))))))</f>
        <v/>
      </c>
      <c r="Y7" s="68">
        <f>IF(Y$59="X","",IF(Y$59&lt;&gt;"",Y$59,IF(IFERROR(INDEX(醫師週班表!$C$5:$T$44,$CU7,Y$57),"")=0,"",IF(LEN(IFERROR(INDEX(醫師週班表!$C$5:$T$44,$CU7,Y$57),""))=4,MID(IFERROR(INDEX(醫師週班表!$C$5:$T$44,$CU7,Y$57),""),1+Y$58*2,1),IF(LEN(IFERROR(INDEX(醫師週班表!$C$5:$T$44,$CU7,Y$57),""))=2,IF(AND(RIGHT(IFERROR(INDEX(醫師週班表!$C$5:$T$44,$CU7,Y$57),""),1)="~",Y$58=1),"",LEFT(IFERROR(INDEX(醫師週班表!$C$5:$T$44,$CU7,Y$57),""),1)),IFERROR(INDEX(醫師週班表!$C$5:$T$44,$CU7,Y$57),""))))))</f>
        <v/>
      </c>
      <c r="Z7" s="67">
        <f>IF(Z$59="X","",IF(Z$59&lt;&gt;"",Z$59,IF(IFERROR(INDEX(醫師週班表!$C$5:$T$44,$CU7,Z$57),"")=0,"",IF(LEN(IFERROR(INDEX(醫師週班表!$C$5:$T$44,$CU7,Z$57),""))=4,MID(IFERROR(INDEX(醫師週班表!$C$5:$T$44,$CU7,Z$57),""),1+Z$58*2,1),IF(LEN(IFERROR(INDEX(醫師週班表!$C$5:$T$44,$CU7,Z$57),""))=2,IF(AND(RIGHT(IFERROR(INDEX(醫師週班表!$C$5:$T$44,$CU7,Z$57),""),1)="~",Z$58=1),"",LEFT(IFERROR(INDEX(醫師週班表!$C$5:$T$44,$CU7,Z$57),""),1)),IFERROR(INDEX(醫師週班表!$C$5:$T$44,$CU7,Z$57),""))))))</f>
        <v/>
      </c>
      <c r="AA7" s="68">
        <f>IF(AA$59="X","",IF(AA$59&lt;&gt;"",AA$59,IF(IFERROR(INDEX(醫師週班表!$C$5:$T$44,$CU7,AA$57),"")=0,"",IF(LEN(IFERROR(INDEX(醫師週班表!$C$5:$T$44,$CU7,AA$57),""))=4,MID(IFERROR(INDEX(醫師週班表!$C$5:$T$44,$CU7,AA$57),""),1+AA$58*2,1),IF(LEN(IFERROR(INDEX(醫師週班表!$C$5:$T$44,$CU7,AA$57),""))=2,IF(AND(RIGHT(IFERROR(INDEX(醫師週班表!$C$5:$T$44,$CU7,AA$57),""),1)="~",AA$58=1),"",LEFT(IFERROR(INDEX(醫師週班表!$C$5:$T$44,$CU7,AA$57),""),1)),IFERROR(INDEX(醫師週班表!$C$5:$T$44,$CU7,AA$57),""))))))</f>
        <v/>
      </c>
      <c r="AB7" s="68">
        <f>IF(AB$59="X","",IF(AB$59&lt;&gt;"",AB$59,IF(IFERROR(INDEX(醫師週班表!$C$5:$T$44,$CU7,AB$57),"")=0,"",IF(LEN(IFERROR(INDEX(醫師週班表!$C$5:$T$44,$CU7,AB$57),""))=4,MID(IFERROR(INDEX(醫師週班表!$C$5:$T$44,$CU7,AB$57),""),1+AB$58*2,1),IF(LEN(IFERROR(INDEX(醫師週班表!$C$5:$T$44,$CU7,AB$57),""))=2,IF(AND(RIGHT(IFERROR(INDEX(醫師週班表!$C$5:$T$44,$CU7,AB$57),""),1)="~",AB$58=1),"",LEFT(IFERROR(INDEX(醫師週班表!$C$5:$T$44,$CU7,AB$57),""),1)),IFERROR(INDEX(醫師週班表!$C$5:$T$44,$CU7,AB$57),""))))))</f>
        <v/>
      </c>
      <c r="AC7" s="67">
        <f>IF(AC$59="X","",IF(AC$59&lt;&gt;"",AC$59,IF(IFERROR(INDEX(醫師週班表!$C$5:$T$44,$CU7,AC$57),"")=0,"",IF(LEN(IFERROR(INDEX(醫師週班表!$C$5:$T$44,$CU7,AC$57),""))=4,MID(IFERROR(INDEX(醫師週班表!$C$5:$T$44,$CU7,AC$57),""),1+AC$58*2,1),IF(LEN(IFERROR(INDEX(醫師週班表!$C$5:$T$44,$CU7,AC$57),""))=2,IF(AND(RIGHT(IFERROR(INDEX(醫師週班表!$C$5:$T$44,$CU7,AC$57),""),1)="~",AC$58=1),"",LEFT(IFERROR(INDEX(醫師週班表!$C$5:$T$44,$CU7,AC$57),""),1)),IFERROR(INDEX(醫師週班表!$C$5:$T$44,$CU7,AC$57),""))))))</f>
        <v/>
      </c>
      <c r="AD7" s="68">
        <f>IF(AD$59="X","",IF(AD$59&lt;&gt;"",AD$59,IF(IFERROR(INDEX(醫師週班表!$C$5:$T$44,$CU7,AD$57),"")=0,"",IF(LEN(IFERROR(INDEX(醫師週班表!$C$5:$T$44,$CU7,AD$57),""))=4,MID(IFERROR(INDEX(醫師週班表!$C$5:$T$44,$CU7,AD$57),""),1+AD$58*2,1),IF(LEN(IFERROR(INDEX(醫師週班表!$C$5:$T$44,$CU7,AD$57),""))=2,IF(AND(RIGHT(IFERROR(INDEX(醫師週班表!$C$5:$T$44,$CU7,AD$57),""),1)="~",AD$58=1),"",LEFT(IFERROR(INDEX(醫師週班表!$C$5:$T$44,$CU7,AD$57),""),1)),IFERROR(INDEX(醫師週班表!$C$5:$T$44,$CU7,AD$57),""))))))</f>
        <v/>
      </c>
      <c r="AE7" s="68">
        <f>IF(AE$59="X","",IF(AE$59&lt;&gt;"",AE$59,IF(IFERROR(INDEX(醫師週班表!$C$5:$T$44,$CU7,AE$57),"")=0,"",IF(LEN(IFERROR(INDEX(醫師週班表!$C$5:$T$44,$CU7,AE$57),""))=4,MID(IFERROR(INDEX(醫師週班表!$C$5:$T$44,$CU7,AE$57),""),1+AE$58*2,1),IF(LEN(IFERROR(INDEX(醫師週班表!$C$5:$T$44,$CU7,AE$57),""))=2,IF(AND(RIGHT(IFERROR(INDEX(醫師週班表!$C$5:$T$44,$CU7,AE$57),""),1)="~",AE$58=1),"",LEFT(IFERROR(INDEX(醫師週班表!$C$5:$T$44,$CU7,AE$57),""),1)),IFERROR(INDEX(醫師週班表!$C$5:$T$44,$CU7,AE$57),""))))))</f>
        <v/>
      </c>
      <c r="AF7" s="67">
        <f>IF(AF$59="X","",IF(AF$59&lt;&gt;"",AF$59,IF(IFERROR(INDEX(醫師週班表!$C$5:$T$44,$CU7,AF$57),"")=0,"",IF(LEN(IFERROR(INDEX(醫師週班表!$C$5:$T$44,$CU7,AF$57),""))=4,MID(IFERROR(INDEX(醫師週班表!$C$5:$T$44,$CU7,AF$57),""),1+AF$58*2,1),IF(LEN(IFERROR(INDEX(醫師週班表!$C$5:$T$44,$CU7,AF$57),""))=2,IF(AND(RIGHT(IFERROR(INDEX(醫師週班表!$C$5:$T$44,$CU7,AF$57),""),1)="~",AF$58=1),"",LEFT(IFERROR(INDEX(醫師週班表!$C$5:$T$44,$CU7,AF$57),""),1)),IFERROR(INDEX(醫師週班表!$C$5:$T$44,$CU7,AF$57),""))))))</f>
        <v/>
      </c>
      <c r="AG7" s="68">
        <f>IF(AG$59="X","",IF(AG$59&lt;&gt;"",AG$59,IF(IFERROR(INDEX(醫師週班表!$C$5:$T$44,$CU7,AG$57),"")=0,"",IF(LEN(IFERROR(INDEX(醫師週班表!$C$5:$T$44,$CU7,AG$57),""))=4,MID(IFERROR(INDEX(醫師週班表!$C$5:$T$44,$CU7,AG$57),""),1+AG$58*2,1),IF(LEN(IFERROR(INDEX(醫師週班表!$C$5:$T$44,$CU7,AG$57),""))=2,IF(AND(RIGHT(IFERROR(INDEX(醫師週班表!$C$5:$T$44,$CU7,AG$57),""),1)="~",AG$58=1),"",LEFT(IFERROR(INDEX(醫師週班表!$C$5:$T$44,$CU7,AG$57),""),1)),IFERROR(INDEX(醫師週班表!$C$5:$T$44,$CU7,AG$57),""))))))</f>
        <v/>
      </c>
      <c r="AH7" s="68">
        <f>IF(AH$59="X","",IF(AH$59&lt;&gt;"",AH$59,IF(IFERROR(INDEX(醫師週班表!$C$5:$T$44,$CU7,AH$57),"")=0,"",IF(LEN(IFERROR(INDEX(醫師週班表!$C$5:$T$44,$CU7,AH$57),""))=4,MID(IFERROR(INDEX(醫師週班表!$C$5:$T$44,$CU7,AH$57),""),1+AH$58*2,1),IF(LEN(IFERROR(INDEX(醫師週班表!$C$5:$T$44,$CU7,AH$57),""))=2,IF(AND(RIGHT(IFERROR(INDEX(醫師週班表!$C$5:$T$44,$CU7,AH$57),""),1)="~",AH$58=1),"",LEFT(IFERROR(INDEX(醫師週班表!$C$5:$T$44,$CU7,AH$57),""),1)),IFERROR(INDEX(醫師週班表!$C$5:$T$44,$CU7,AH$57),""))))))</f>
        <v/>
      </c>
      <c r="AI7" s="67">
        <f>IF(AI$59="X","",IF(AI$59&lt;&gt;"",AI$59,IF(IFERROR(INDEX(醫師週班表!$C$5:$T$44,$CU7,AI$57),"")=0,"",IF(LEN(IFERROR(INDEX(醫師週班表!$C$5:$T$44,$CU7,AI$57),""))=4,MID(IFERROR(INDEX(醫師週班表!$C$5:$T$44,$CU7,AI$57),""),1+AI$58*2,1),IF(LEN(IFERROR(INDEX(醫師週班表!$C$5:$T$44,$CU7,AI$57),""))=2,IF(AND(RIGHT(IFERROR(INDEX(醫師週班表!$C$5:$T$44,$CU7,AI$57),""),1)="~",AI$58=1),"",LEFT(IFERROR(INDEX(醫師週班表!$C$5:$T$44,$CU7,AI$57),""),1)),IFERROR(INDEX(醫師週班表!$C$5:$T$44,$CU7,AI$57),""))))))</f>
        <v/>
      </c>
      <c r="AJ7" s="68">
        <f>IF(AJ$59="X","",IF(AJ$59&lt;&gt;"",AJ$59,IF(IFERROR(INDEX(醫師週班表!$C$5:$T$44,$CU7,AJ$57),"")=0,"",IF(LEN(IFERROR(INDEX(醫師週班表!$C$5:$T$44,$CU7,AJ$57),""))=4,MID(IFERROR(INDEX(醫師週班表!$C$5:$T$44,$CU7,AJ$57),""),1+AJ$58*2,1),IF(LEN(IFERROR(INDEX(醫師週班表!$C$5:$T$44,$CU7,AJ$57),""))=2,IF(AND(RIGHT(IFERROR(INDEX(醫師週班表!$C$5:$T$44,$CU7,AJ$57),""),1)="~",AJ$58=1),"",LEFT(IFERROR(INDEX(醫師週班表!$C$5:$T$44,$CU7,AJ$57),""),1)),IFERROR(INDEX(醫師週班表!$C$5:$T$44,$CU7,AJ$57),""))))))</f>
        <v/>
      </c>
      <c r="AK7" s="68">
        <f>IF(AK$59="X","",IF(AK$59&lt;&gt;"",AK$59,IF(IFERROR(INDEX(醫師週班表!$C$5:$T$44,$CU7,AK$57),"")=0,"",IF(LEN(IFERROR(INDEX(醫師週班表!$C$5:$T$44,$CU7,AK$57),""))=4,MID(IFERROR(INDEX(醫師週班表!$C$5:$T$44,$CU7,AK$57),""),1+AK$58*2,1),IF(LEN(IFERROR(INDEX(醫師週班表!$C$5:$T$44,$CU7,AK$57),""))=2,IF(AND(RIGHT(IFERROR(INDEX(醫師週班表!$C$5:$T$44,$CU7,AK$57),""),1)="~",AK$58=1),"",LEFT(IFERROR(INDEX(醫師週班表!$C$5:$T$44,$CU7,AK$57),""),1)),IFERROR(INDEX(醫師週班表!$C$5:$T$44,$CU7,AK$57),""))))))</f>
        <v/>
      </c>
      <c r="AL7" s="67">
        <f>IF(AL$59="X","",IF(AL$59&lt;&gt;"",AL$59,IF(IFERROR(INDEX(醫師週班表!$C$5:$T$44,$CU7,AL$57),"")=0,"",IF(LEN(IFERROR(INDEX(醫師週班表!$C$5:$T$44,$CU7,AL$57),""))=4,MID(IFERROR(INDEX(醫師週班表!$C$5:$T$44,$CU7,AL$57),""),1+AL$58*2,1),IF(LEN(IFERROR(INDEX(醫師週班表!$C$5:$T$44,$CU7,AL$57),""))=2,IF(AND(RIGHT(IFERROR(INDEX(醫師週班表!$C$5:$T$44,$CU7,AL$57),""),1)="~",AL$58=1),"",LEFT(IFERROR(INDEX(醫師週班表!$C$5:$T$44,$CU7,AL$57),""),1)),IFERROR(INDEX(醫師週班表!$C$5:$T$44,$CU7,AL$57),""))))))</f>
        <v/>
      </c>
      <c r="AM7" s="68">
        <f>IF(AM$59="X","",IF(AM$59&lt;&gt;"",AM$59,IF(IFERROR(INDEX(醫師週班表!$C$5:$T$44,$CU7,AM$57),"")=0,"",IF(LEN(IFERROR(INDEX(醫師週班表!$C$5:$T$44,$CU7,AM$57),""))=4,MID(IFERROR(INDEX(醫師週班表!$C$5:$T$44,$CU7,AM$57),""),1+AM$58*2,1),IF(LEN(IFERROR(INDEX(醫師週班表!$C$5:$T$44,$CU7,AM$57),""))=2,IF(AND(RIGHT(IFERROR(INDEX(醫師週班表!$C$5:$T$44,$CU7,AM$57),""),1)="~",AM$58=1),"",LEFT(IFERROR(INDEX(醫師週班表!$C$5:$T$44,$CU7,AM$57),""),1)),IFERROR(INDEX(醫師週班表!$C$5:$T$44,$CU7,AM$57),""))))))</f>
        <v/>
      </c>
      <c r="AN7" s="68">
        <f>IF(AN$59="X","",IF(AN$59&lt;&gt;"",AN$59,IF(IFERROR(INDEX(醫師週班表!$C$5:$T$44,$CU7,AN$57),"")=0,"",IF(LEN(IFERROR(INDEX(醫師週班表!$C$5:$T$44,$CU7,AN$57),""))=4,MID(IFERROR(INDEX(醫師週班表!$C$5:$T$44,$CU7,AN$57),""),1+AN$58*2,1),IF(LEN(IFERROR(INDEX(醫師週班表!$C$5:$T$44,$CU7,AN$57),""))=2,IF(AND(RIGHT(IFERROR(INDEX(醫師週班表!$C$5:$T$44,$CU7,AN$57),""),1)="~",AN$58=1),"",LEFT(IFERROR(INDEX(醫師週班表!$C$5:$T$44,$CU7,AN$57),""),1)),IFERROR(INDEX(醫師週班表!$C$5:$T$44,$CU7,AN$57),""))))))</f>
        <v/>
      </c>
      <c r="AO7" s="67">
        <f>IF(AO$59="X","",IF(AO$59&lt;&gt;"",AO$59,IF(IFERROR(INDEX(醫師週班表!$C$5:$T$44,$CU7,AO$57),"")=0,"",IF(LEN(IFERROR(INDEX(醫師週班表!$C$5:$T$44,$CU7,AO$57),""))=4,MID(IFERROR(INDEX(醫師週班表!$C$5:$T$44,$CU7,AO$57),""),1+AO$58*2,1),IF(LEN(IFERROR(INDEX(醫師週班表!$C$5:$T$44,$CU7,AO$57),""))=2,IF(AND(RIGHT(IFERROR(INDEX(醫師週班表!$C$5:$T$44,$CU7,AO$57),""),1)="~",AO$58=1),"",LEFT(IFERROR(INDEX(醫師週班表!$C$5:$T$44,$CU7,AO$57),""),1)),IFERROR(INDEX(醫師週班表!$C$5:$T$44,$CU7,AO$57),""))))))</f>
        <v/>
      </c>
      <c r="AP7" s="68">
        <f>IF(AP$59="X","",IF(AP$59&lt;&gt;"",AP$59,IF(IFERROR(INDEX(醫師週班表!$C$5:$T$44,$CU7,AP$57),"")=0,"",IF(LEN(IFERROR(INDEX(醫師週班表!$C$5:$T$44,$CU7,AP$57),""))=4,MID(IFERROR(INDEX(醫師週班表!$C$5:$T$44,$CU7,AP$57),""),1+AP$58*2,1),IF(LEN(IFERROR(INDEX(醫師週班表!$C$5:$T$44,$CU7,AP$57),""))=2,IF(AND(RIGHT(IFERROR(INDEX(醫師週班表!$C$5:$T$44,$CU7,AP$57),""),1)="~",AP$58=1),"",LEFT(IFERROR(INDEX(醫師週班表!$C$5:$T$44,$CU7,AP$57),""),1)),IFERROR(INDEX(醫師週班表!$C$5:$T$44,$CU7,AP$57),""))))))</f>
        <v/>
      </c>
      <c r="AQ7" s="68">
        <f>IF(AQ$59="X","",IF(AQ$59&lt;&gt;"",AQ$59,IF(IFERROR(INDEX(醫師週班表!$C$5:$T$44,$CU7,AQ$57),"")=0,"",IF(LEN(IFERROR(INDEX(醫師週班表!$C$5:$T$44,$CU7,AQ$57),""))=4,MID(IFERROR(INDEX(醫師週班表!$C$5:$T$44,$CU7,AQ$57),""),1+AQ$58*2,1),IF(LEN(IFERROR(INDEX(醫師週班表!$C$5:$T$44,$CU7,AQ$57),""))=2,IF(AND(RIGHT(IFERROR(INDEX(醫師週班表!$C$5:$T$44,$CU7,AQ$57),""),1)="~",AQ$58=1),"",LEFT(IFERROR(INDEX(醫師週班表!$C$5:$T$44,$CU7,AQ$57),""),1)),IFERROR(INDEX(醫師週班表!$C$5:$T$44,$CU7,AQ$57),""))))))</f>
        <v/>
      </c>
      <c r="AR7" s="67">
        <f>IF(AR$59="X","",IF(AR$59&lt;&gt;"",AR$59,IF(IFERROR(INDEX(醫師週班表!$C$5:$T$44,$CU7,AR$57),"")=0,"",IF(LEN(IFERROR(INDEX(醫師週班表!$C$5:$T$44,$CU7,AR$57),""))=4,MID(IFERROR(INDEX(醫師週班表!$C$5:$T$44,$CU7,AR$57),""),1+AR$58*2,1),IF(LEN(IFERROR(INDEX(醫師週班表!$C$5:$T$44,$CU7,AR$57),""))=2,IF(AND(RIGHT(IFERROR(INDEX(醫師週班表!$C$5:$T$44,$CU7,AR$57),""),1)="~",AR$58=1),"",LEFT(IFERROR(INDEX(醫師週班表!$C$5:$T$44,$CU7,AR$57),""),1)),IFERROR(INDEX(醫師週班表!$C$5:$T$44,$CU7,AR$57),""))))))</f>
        <v/>
      </c>
      <c r="AS7" s="68">
        <f>IF(AS$59="X","",IF(AS$59&lt;&gt;"",AS$59,IF(IFERROR(INDEX(醫師週班表!$C$5:$T$44,$CU7,AS$57),"")=0,"",IF(LEN(IFERROR(INDEX(醫師週班表!$C$5:$T$44,$CU7,AS$57),""))=4,MID(IFERROR(INDEX(醫師週班表!$C$5:$T$44,$CU7,AS$57),""),1+AS$58*2,1),IF(LEN(IFERROR(INDEX(醫師週班表!$C$5:$T$44,$CU7,AS$57),""))=2,IF(AND(RIGHT(IFERROR(INDEX(醫師週班表!$C$5:$T$44,$CU7,AS$57),""),1)="~",AS$58=1),"",LEFT(IFERROR(INDEX(醫師週班表!$C$5:$T$44,$CU7,AS$57),""),1)),IFERROR(INDEX(醫師週班表!$C$5:$T$44,$CU7,AS$57),""))))))</f>
        <v/>
      </c>
      <c r="AT7" s="68">
        <f>IF(AT$59="X","",IF(AT$59&lt;&gt;"",AT$59,IF(IFERROR(INDEX(醫師週班表!$C$5:$T$44,$CU7,AT$57),"")=0,"",IF(LEN(IFERROR(INDEX(醫師週班表!$C$5:$T$44,$CU7,AT$57),""))=4,MID(IFERROR(INDEX(醫師週班表!$C$5:$T$44,$CU7,AT$57),""),1+AT$58*2,1),IF(LEN(IFERROR(INDEX(醫師週班表!$C$5:$T$44,$CU7,AT$57),""))=2,IF(AND(RIGHT(IFERROR(INDEX(醫師週班表!$C$5:$T$44,$CU7,AT$57),""),1)="~",AT$58=1),"",LEFT(IFERROR(INDEX(醫師週班表!$C$5:$T$44,$CU7,AT$57),""),1)),IFERROR(INDEX(醫師週班表!$C$5:$T$44,$CU7,AT$57),""))))))</f>
        <v/>
      </c>
      <c r="AU7" s="67">
        <f>IF(AU$59="X","",IF(AU$59&lt;&gt;"",AU$59,IF(IFERROR(INDEX(醫師週班表!$C$5:$T$44,$CU7,AU$57),"")=0,"",IF(LEN(IFERROR(INDEX(醫師週班表!$C$5:$T$44,$CU7,AU$57),""))=4,MID(IFERROR(INDEX(醫師週班表!$C$5:$T$44,$CU7,AU$57),""),1+AU$58*2,1),IF(LEN(IFERROR(INDEX(醫師週班表!$C$5:$T$44,$CU7,AU$57),""))=2,IF(AND(RIGHT(IFERROR(INDEX(醫師週班表!$C$5:$T$44,$CU7,AU$57),""),1)="~",AU$58=1),"",LEFT(IFERROR(INDEX(醫師週班表!$C$5:$T$44,$CU7,AU$57),""),1)),IFERROR(INDEX(醫師週班表!$C$5:$T$44,$CU7,AU$57),""))))))</f>
        <v/>
      </c>
      <c r="AV7" s="68">
        <f>IF(AV$59="X","",IF(AV$59&lt;&gt;"",AV$59,IF(IFERROR(INDEX(醫師週班表!$C$5:$T$44,$CU7,AV$57),"")=0,"",IF(LEN(IFERROR(INDEX(醫師週班表!$C$5:$T$44,$CU7,AV$57),""))=4,MID(IFERROR(INDEX(醫師週班表!$C$5:$T$44,$CU7,AV$57),""),1+AV$58*2,1),IF(LEN(IFERROR(INDEX(醫師週班表!$C$5:$T$44,$CU7,AV$57),""))=2,IF(AND(RIGHT(IFERROR(INDEX(醫師週班表!$C$5:$T$44,$CU7,AV$57),""),1)="~",AV$58=1),"",LEFT(IFERROR(INDEX(醫師週班表!$C$5:$T$44,$CU7,AV$57),""),1)),IFERROR(INDEX(醫師週班表!$C$5:$T$44,$CU7,AV$57),""))))))</f>
        <v/>
      </c>
      <c r="AW7" s="68">
        <f>IF(AW$59="X","",IF(AW$59&lt;&gt;"",AW$59,IF(IFERROR(INDEX(醫師週班表!$C$5:$T$44,$CU7,AW$57),"")=0,"",IF(LEN(IFERROR(INDEX(醫師週班表!$C$5:$T$44,$CU7,AW$57),""))=4,MID(IFERROR(INDEX(醫師週班表!$C$5:$T$44,$CU7,AW$57),""),1+AW$58*2,1),IF(LEN(IFERROR(INDEX(醫師週班表!$C$5:$T$44,$CU7,AW$57),""))=2,IF(AND(RIGHT(IFERROR(INDEX(醫師週班表!$C$5:$T$44,$CU7,AW$57),""),1)="~",AW$58=1),"",LEFT(IFERROR(INDEX(醫師週班表!$C$5:$T$44,$CU7,AW$57),""),1)),IFERROR(INDEX(醫師週班表!$C$5:$T$44,$CU7,AW$57),""))))))</f>
        <v/>
      </c>
      <c r="AX7" s="67">
        <f>IF(AX$59="X","",IF(AX$59&lt;&gt;"",AX$59,IF(IFERROR(INDEX(醫師週班表!$C$5:$T$44,$CU7,AX$57),"")=0,"",IF(LEN(IFERROR(INDEX(醫師週班表!$C$5:$T$44,$CU7,AX$57),""))=4,MID(IFERROR(INDEX(醫師週班表!$C$5:$T$44,$CU7,AX$57),""),1+AX$58*2,1),IF(LEN(IFERROR(INDEX(醫師週班表!$C$5:$T$44,$CU7,AX$57),""))=2,IF(AND(RIGHT(IFERROR(INDEX(醫師週班表!$C$5:$T$44,$CU7,AX$57),""),1)="~",AX$58=1),"",LEFT(IFERROR(INDEX(醫師週班表!$C$5:$T$44,$CU7,AX$57),""),1)),IFERROR(INDEX(醫師週班表!$C$5:$T$44,$CU7,AX$57),""))))))</f>
        <v/>
      </c>
      <c r="AY7" s="68">
        <f>IF(AY$59="X","",IF(AY$59&lt;&gt;"",AY$59,IF(IFERROR(INDEX(醫師週班表!$C$5:$T$44,$CU7,AY$57),"")=0,"",IF(LEN(IFERROR(INDEX(醫師週班表!$C$5:$T$44,$CU7,AY$57),""))=4,MID(IFERROR(INDEX(醫師週班表!$C$5:$T$44,$CU7,AY$57),""),1+AY$58*2,1),IF(LEN(IFERROR(INDEX(醫師週班表!$C$5:$T$44,$CU7,AY$57),""))=2,IF(AND(RIGHT(IFERROR(INDEX(醫師週班表!$C$5:$T$44,$CU7,AY$57),""),1)="~",AY$58=1),"",LEFT(IFERROR(INDEX(醫師週班表!$C$5:$T$44,$CU7,AY$57),""),1)),IFERROR(INDEX(醫師週班表!$C$5:$T$44,$CU7,AY$57),""))))))</f>
        <v/>
      </c>
      <c r="AZ7" s="68">
        <f>IF(AZ$59="X","",IF(AZ$59&lt;&gt;"",AZ$59,IF(IFERROR(INDEX(醫師週班表!$C$5:$T$44,$CU7,AZ$57),"")=0,"",IF(LEN(IFERROR(INDEX(醫師週班表!$C$5:$T$44,$CU7,AZ$57),""))=4,MID(IFERROR(INDEX(醫師週班表!$C$5:$T$44,$CU7,AZ$57),""),1+AZ$58*2,1),IF(LEN(IFERROR(INDEX(醫師週班表!$C$5:$T$44,$CU7,AZ$57),""))=2,IF(AND(RIGHT(IFERROR(INDEX(醫師週班表!$C$5:$T$44,$CU7,AZ$57),""),1)="~",AZ$58=1),"",LEFT(IFERROR(INDEX(醫師週班表!$C$5:$T$44,$CU7,AZ$57),""),1)),IFERROR(INDEX(醫師週班表!$C$5:$T$44,$CU7,AZ$57),""))))))</f>
        <v/>
      </c>
      <c r="BA7" s="67">
        <f>IF(BA$59="X","",IF(BA$59&lt;&gt;"",BA$59,IF(IFERROR(INDEX(醫師週班表!$C$5:$T$44,$CU7,BA$57),"")=0,"",IF(LEN(IFERROR(INDEX(醫師週班表!$C$5:$T$44,$CU7,BA$57),""))=4,MID(IFERROR(INDEX(醫師週班表!$C$5:$T$44,$CU7,BA$57),""),1+BA$58*2,1),IF(LEN(IFERROR(INDEX(醫師週班表!$C$5:$T$44,$CU7,BA$57),""))=2,IF(AND(RIGHT(IFERROR(INDEX(醫師週班表!$C$5:$T$44,$CU7,BA$57),""),1)="~",BA$58=1),"",LEFT(IFERROR(INDEX(醫師週班表!$C$5:$T$44,$CU7,BA$57),""),1)),IFERROR(INDEX(醫師週班表!$C$5:$T$44,$CU7,BA$57),""))))))</f>
        <v/>
      </c>
      <c r="BB7" s="68">
        <f>IF(BB$59="X","",IF(BB$59&lt;&gt;"",BB$59,IF(IFERROR(INDEX(醫師週班表!$C$5:$T$44,$CU7,BB$57),"")=0,"",IF(LEN(IFERROR(INDEX(醫師週班表!$C$5:$T$44,$CU7,BB$57),""))=4,MID(IFERROR(INDEX(醫師週班表!$C$5:$T$44,$CU7,BB$57),""),1+BB$58*2,1),IF(LEN(IFERROR(INDEX(醫師週班表!$C$5:$T$44,$CU7,BB$57),""))=2,IF(AND(RIGHT(IFERROR(INDEX(醫師週班表!$C$5:$T$44,$CU7,BB$57),""),1)="~",BB$58=1),"",LEFT(IFERROR(INDEX(醫師週班表!$C$5:$T$44,$CU7,BB$57),""),1)),IFERROR(INDEX(醫師週班表!$C$5:$T$44,$CU7,BB$57),""))))))</f>
        <v/>
      </c>
      <c r="BC7" s="68">
        <f>IF(BC$59="X","",IF(BC$59&lt;&gt;"",BC$59,IF(IFERROR(INDEX(醫師週班表!$C$5:$T$44,$CU7,BC$57),"")=0,"",IF(LEN(IFERROR(INDEX(醫師週班表!$C$5:$T$44,$CU7,BC$57),""))=4,MID(IFERROR(INDEX(醫師週班表!$C$5:$T$44,$CU7,BC$57),""),1+BC$58*2,1),IF(LEN(IFERROR(INDEX(醫師週班表!$C$5:$T$44,$CU7,BC$57),""))=2,IF(AND(RIGHT(IFERROR(INDEX(醫師週班表!$C$5:$T$44,$CU7,BC$57),""),1)="~",BC$58=1),"",LEFT(IFERROR(INDEX(醫師週班表!$C$5:$T$44,$CU7,BC$57),""),1)),IFERROR(INDEX(醫師週班表!$C$5:$T$44,$CU7,BC$57),""))))))</f>
        <v/>
      </c>
      <c r="BD7" s="67">
        <f>IF(BD$59="X","",IF(BD$59&lt;&gt;"",BD$59,IF(IFERROR(INDEX(醫師週班表!$C$5:$T$44,$CU7,BD$57),"")=0,"",IF(LEN(IFERROR(INDEX(醫師週班表!$C$5:$T$44,$CU7,BD$57),""))=4,MID(IFERROR(INDEX(醫師週班表!$C$5:$T$44,$CU7,BD$57),""),1+BD$58*2,1),IF(LEN(IFERROR(INDEX(醫師週班表!$C$5:$T$44,$CU7,BD$57),""))=2,IF(AND(RIGHT(IFERROR(INDEX(醫師週班表!$C$5:$T$44,$CU7,BD$57),""),1)="~",BD$58=1),"",LEFT(IFERROR(INDEX(醫師週班表!$C$5:$T$44,$CU7,BD$57),""),1)),IFERROR(INDEX(醫師週班表!$C$5:$T$44,$CU7,BD$57),""))))))</f>
        <v/>
      </c>
      <c r="BE7" s="68">
        <f>IF(BE$59="X","",IF(BE$59&lt;&gt;"",BE$59,IF(IFERROR(INDEX(醫師週班表!$C$5:$T$44,$CU7,BE$57),"")=0,"",IF(LEN(IFERROR(INDEX(醫師週班表!$C$5:$T$44,$CU7,BE$57),""))=4,MID(IFERROR(INDEX(醫師週班表!$C$5:$T$44,$CU7,BE$57),""),1+BE$58*2,1),IF(LEN(IFERROR(INDEX(醫師週班表!$C$5:$T$44,$CU7,BE$57),""))=2,IF(AND(RIGHT(IFERROR(INDEX(醫師週班表!$C$5:$T$44,$CU7,BE$57),""),1)="~",BE$58=1),"",LEFT(IFERROR(INDEX(醫師週班表!$C$5:$T$44,$CU7,BE$57),""),1)),IFERROR(INDEX(醫師週班表!$C$5:$T$44,$CU7,BE$57),""))))))</f>
        <v/>
      </c>
      <c r="BF7" s="68">
        <f>IF(BF$59="X","",IF(BF$59&lt;&gt;"",BF$59,IF(IFERROR(INDEX(醫師週班表!$C$5:$T$44,$CU7,BF$57),"")=0,"",IF(LEN(IFERROR(INDEX(醫師週班表!$C$5:$T$44,$CU7,BF$57),""))=4,MID(IFERROR(INDEX(醫師週班表!$C$5:$T$44,$CU7,BF$57),""),1+BF$58*2,1),IF(LEN(IFERROR(INDEX(醫師週班表!$C$5:$T$44,$CU7,BF$57),""))=2,IF(AND(RIGHT(IFERROR(INDEX(醫師週班表!$C$5:$T$44,$CU7,BF$57),""),1)="~",BF$58=1),"",LEFT(IFERROR(INDEX(醫師週班表!$C$5:$T$44,$CU7,BF$57),""),1)),IFERROR(INDEX(醫師週班表!$C$5:$T$44,$CU7,BF$57),""))))))</f>
        <v/>
      </c>
      <c r="BG7" s="67">
        <f>IF(BG$59="X","",IF(BG$59&lt;&gt;"",BG$59,IF(IFERROR(INDEX(醫師週班表!$C$5:$T$44,$CU7,BG$57),"")=0,"",IF(LEN(IFERROR(INDEX(醫師週班表!$C$5:$T$44,$CU7,BG$57),""))=4,MID(IFERROR(INDEX(醫師週班表!$C$5:$T$44,$CU7,BG$57),""),1+BG$58*2,1),IF(LEN(IFERROR(INDEX(醫師週班表!$C$5:$T$44,$CU7,BG$57),""))=2,IF(AND(RIGHT(IFERROR(INDEX(醫師週班表!$C$5:$T$44,$CU7,BG$57),""),1)="~",BG$58=1),"",LEFT(IFERROR(INDEX(醫師週班表!$C$5:$T$44,$CU7,BG$57),""),1)),IFERROR(INDEX(醫師週班表!$C$5:$T$44,$CU7,BG$57),""))))))</f>
        <v/>
      </c>
      <c r="BH7" s="68">
        <f>IF(BH$59="X","",IF(BH$59&lt;&gt;"",BH$59,IF(IFERROR(INDEX(醫師週班表!$C$5:$T$44,$CU7,BH$57),"")=0,"",IF(LEN(IFERROR(INDEX(醫師週班表!$C$5:$T$44,$CU7,BH$57),""))=4,MID(IFERROR(INDEX(醫師週班表!$C$5:$T$44,$CU7,BH$57),""),1+BH$58*2,1),IF(LEN(IFERROR(INDEX(醫師週班表!$C$5:$T$44,$CU7,BH$57),""))=2,IF(AND(RIGHT(IFERROR(INDEX(醫師週班表!$C$5:$T$44,$CU7,BH$57),""),1)="~",BH$58=1),"",LEFT(IFERROR(INDEX(醫師週班表!$C$5:$T$44,$CU7,BH$57),""),1)),IFERROR(INDEX(醫師週班表!$C$5:$T$44,$CU7,BH$57),""))))))</f>
        <v/>
      </c>
      <c r="BI7" s="68">
        <f>IF(BI$59="X","",IF(BI$59&lt;&gt;"",BI$59,IF(IFERROR(INDEX(醫師週班表!$C$5:$T$44,$CU7,BI$57),"")=0,"",IF(LEN(IFERROR(INDEX(醫師週班表!$C$5:$T$44,$CU7,BI$57),""))=4,MID(IFERROR(INDEX(醫師週班表!$C$5:$T$44,$CU7,BI$57),""),1+BI$58*2,1),IF(LEN(IFERROR(INDEX(醫師週班表!$C$5:$T$44,$CU7,BI$57),""))=2,IF(AND(RIGHT(IFERROR(INDEX(醫師週班表!$C$5:$T$44,$CU7,BI$57),""),1)="~",BI$58=1),"",LEFT(IFERROR(INDEX(醫師週班表!$C$5:$T$44,$CU7,BI$57),""),1)),IFERROR(INDEX(醫師週班表!$C$5:$T$44,$CU7,BI$57),""))))))</f>
        <v/>
      </c>
      <c r="BJ7" s="67">
        <f>IF(BJ$59="X","",IF(BJ$59&lt;&gt;"",BJ$59,IF(IFERROR(INDEX(醫師週班表!$C$5:$T$44,$CU7,BJ$57),"")=0,"",IF(LEN(IFERROR(INDEX(醫師週班表!$C$5:$T$44,$CU7,BJ$57),""))=4,MID(IFERROR(INDEX(醫師週班表!$C$5:$T$44,$CU7,BJ$57),""),1+BJ$58*2,1),IF(LEN(IFERROR(INDEX(醫師週班表!$C$5:$T$44,$CU7,BJ$57),""))=2,IF(AND(RIGHT(IFERROR(INDEX(醫師週班表!$C$5:$T$44,$CU7,BJ$57),""),1)="~",BJ$58=1),"",LEFT(IFERROR(INDEX(醫師週班表!$C$5:$T$44,$CU7,BJ$57),""),1)),IFERROR(INDEX(醫師週班表!$C$5:$T$44,$CU7,BJ$57),""))))))</f>
        <v/>
      </c>
      <c r="BK7" s="68">
        <f>IF(BK$59="X","",IF(BK$59&lt;&gt;"",BK$59,IF(IFERROR(INDEX(醫師週班表!$C$5:$T$44,$CU7,BK$57),"")=0,"",IF(LEN(IFERROR(INDEX(醫師週班表!$C$5:$T$44,$CU7,BK$57),""))=4,MID(IFERROR(INDEX(醫師週班表!$C$5:$T$44,$CU7,BK$57),""),1+BK$58*2,1),IF(LEN(IFERROR(INDEX(醫師週班表!$C$5:$T$44,$CU7,BK$57),""))=2,IF(AND(RIGHT(IFERROR(INDEX(醫師週班表!$C$5:$T$44,$CU7,BK$57),""),1)="~",BK$58=1),"",LEFT(IFERROR(INDEX(醫師週班表!$C$5:$T$44,$CU7,BK$57),""),1)),IFERROR(INDEX(醫師週班表!$C$5:$T$44,$CU7,BK$57),""))))))</f>
        <v/>
      </c>
      <c r="BL7" s="68">
        <f>IF(BL$59="X","",IF(BL$59&lt;&gt;"",BL$59,IF(IFERROR(INDEX(醫師週班表!$C$5:$T$44,$CU7,BL$57),"")=0,"",IF(LEN(IFERROR(INDEX(醫師週班表!$C$5:$T$44,$CU7,BL$57),""))=4,MID(IFERROR(INDEX(醫師週班表!$C$5:$T$44,$CU7,BL$57),""),1+BL$58*2,1),IF(LEN(IFERROR(INDEX(醫師週班表!$C$5:$T$44,$CU7,BL$57),""))=2,IF(AND(RIGHT(IFERROR(INDEX(醫師週班表!$C$5:$T$44,$CU7,BL$57),""),1)="~",BL$58=1),"",LEFT(IFERROR(INDEX(醫師週班表!$C$5:$T$44,$CU7,BL$57),""),1)),IFERROR(INDEX(醫師週班表!$C$5:$T$44,$CU7,BL$57),""))))))</f>
        <v/>
      </c>
      <c r="BM7" s="67">
        <f>IF(BM$59="X","",IF(BM$59&lt;&gt;"",BM$59,IF(IFERROR(INDEX(醫師週班表!$C$5:$T$44,$CU7,BM$57),"")=0,"",IF(LEN(IFERROR(INDEX(醫師週班表!$C$5:$T$44,$CU7,BM$57),""))=4,MID(IFERROR(INDEX(醫師週班表!$C$5:$T$44,$CU7,BM$57),""),1+BM$58*2,1),IF(LEN(IFERROR(INDEX(醫師週班表!$C$5:$T$44,$CU7,BM$57),""))=2,IF(AND(RIGHT(IFERROR(INDEX(醫師週班表!$C$5:$T$44,$CU7,BM$57),""),1)="~",BM$58=1),"",LEFT(IFERROR(INDEX(醫師週班表!$C$5:$T$44,$CU7,BM$57),""),1)),IFERROR(INDEX(醫師週班表!$C$5:$T$44,$CU7,BM$57),""))))))</f>
        <v/>
      </c>
      <c r="BN7" s="68">
        <f>IF(BN$59="X","",IF(BN$59&lt;&gt;"",BN$59,IF(IFERROR(INDEX(醫師週班表!$C$5:$T$44,$CU7,BN$57),"")=0,"",IF(LEN(IFERROR(INDEX(醫師週班表!$C$5:$T$44,$CU7,BN$57),""))=4,MID(IFERROR(INDEX(醫師週班表!$C$5:$T$44,$CU7,BN$57),""),1+BN$58*2,1),IF(LEN(IFERROR(INDEX(醫師週班表!$C$5:$T$44,$CU7,BN$57),""))=2,IF(AND(RIGHT(IFERROR(INDEX(醫師週班表!$C$5:$T$44,$CU7,BN$57),""),1)="~",BN$58=1),"",LEFT(IFERROR(INDEX(醫師週班表!$C$5:$T$44,$CU7,BN$57),""),1)),IFERROR(INDEX(醫師週班表!$C$5:$T$44,$CU7,BN$57),""))))))</f>
        <v/>
      </c>
      <c r="BO7" s="68">
        <f>IF(BO$59="X","",IF(BO$59&lt;&gt;"",BO$59,IF(IFERROR(INDEX(醫師週班表!$C$5:$T$44,$CU7,BO$57),"")=0,"",IF(LEN(IFERROR(INDEX(醫師週班表!$C$5:$T$44,$CU7,BO$57),""))=4,MID(IFERROR(INDEX(醫師週班表!$C$5:$T$44,$CU7,BO$57),""),1+BO$58*2,1),IF(LEN(IFERROR(INDEX(醫師週班表!$C$5:$T$44,$CU7,BO$57),""))=2,IF(AND(RIGHT(IFERROR(INDEX(醫師週班表!$C$5:$T$44,$CU7,BO$57),""),1)="~",BO$58=1),"",LEFT(IFERROR(INDEX(醫師週班表!$C$5:$T$44,$CU7,BO$57),""),1)),IFERROR(INDEX(醫師週班表!$C$5:$T$44,$CU7,BO$57),""))))))</f>
        <v/>
      </c>
      <c r="BP7" s="67">
        <f>IF(BP$59="X","",IF(BP$59&lt;&gt;"",BP$59,IF(IFERROR(INDEX(醫師週班表!$C$5:$T$44,$CU7,BP$57),"")=0,"",IF(LEN(IFERROR(INDEX(醫師週班表!$C$5:$T$44,$CU7,BP$57),""))=4,MID(IFERROR(INDEX(醫師週班表!$C$5:$T$44,$CU7,BP$57),""),1+BP$58*2,1),IF(LEN(IFERROR(INDEX(醫師週班表!$C$5:$T$44,$CU7,BP$57),""))=2,IF(AND(RIGHT(IFERROR(INDEX(醫師週班表!$C$5:$T$44,$CU7,BP$57),""),1)="~",BP$58=1),"",LEFT(IFERROR(INDEX(醫師週班表!$C$5:$T$44,$CU7,BP$57),""),1)),IFERROR(INDEX(醫師週班表!$C$5:$T$44,$CU7,BP$57),""))))))</f>
        <v/>
      </c>
      <c r="BQ7" s="68">
        <f>IF(BQ$59="X","",IF(BQ$59&lt;&gt;"",BQ$59,IF(IFERROR(INDEX(醫師週班表!$C$5:$T$44,$CU7,BQ$57),"")=0,"",IF(LEN(IFERROR(INDEX(醫師週班表!$C$5:$T$44,$CU7,BQ$57),""))=4,MID(IFERROR(INDEX(醫師週班表!$C$5:$T$44,$CU7,BQ$57),""),1+BQ$58*2,1),IF(LEN(IFERROR(INDEX(醫師週班表!$C$5:$T$44,$CU7,BQ$57),""))=2,IF(AND(RIGHT(IFERROR(INDEX(醫師週班表!$C$5:$T$44,$CU7,BQ$57),""),1)="~",BQ$58=1),"",LEFT(IFERROR(INDEX(醫師週班表!$C$5:$T$44,$CU7,BQ$57),""),1)),IFERROR(INDEX(醫師週班表!$C$5:$T$44,$CU7,BQ$57),""))))))</f>
        <v/>
      </c>
      <c r="BR7" s="68">
        <f>IF(BR$59="X","",IF(BR$59&lt;&gt;"",BR$59,IF(IFERROR(INDEX(醫師週班表!$C$5:$T$44,$CU7,BR$57),"")=0,"",IF(LEN(IFERROR(INDEX(醫師週班表!$C$5:$T$44,$CU7,BR$57),""))=4,MID(IFERROR(INDEX(醫師週班表!$C$5:$T$44,$CU7,BR$57),""),1+BR$58*2,1),IF(LEN(IFERROR(INDEX(醫師週班表!$C$5:$T$44,$CU7,BR$57),""))=2,IF(AND(RIGHT(IFERROR(INDEX(醫師週班表!$C$5:$T$44,$CU7,BR$57),""),1)="~",BR$58=1),"",LEFT(IFERROR(INDEX(醫師週班表!$C$5:$T$44,$CU7,BR$57),""),1)),IFERROR(INDEX(醫師週班表!$C$5:$T$44,$CU7,BR$57),""))))))</f>
        <v/>
      </c>
      <c r="BS7" s="67">
        <f>IF(BS$59="X","",IF(BS$59&lt;&gt;"",BS$59,IF(IFERROR(INDEX(醫師週班表!$C$5:$T$44,$CU7,BS$57),"")=0,"",IF(LEN(IFERROR(INDEX(醫師週班表!$C$5:$T$44,$CU7,BS$57),""))=4,MID(IFERROR(INDEX(醫師週班表!$C$5:$T$44,$CU7,BS$57),""),1+BS$58*2,1),IF(LEN(IFERROR(INDEX(醫師週班表!$C$5:$T$44,$CU7,BS$57),""))=2,IF(AND(RIGHT(IFERROR(INDEX(醫師週班表!$C$5:$T$44,$CU7,BS$57),""),1)="~",BS$58=1),"",LEFT(IFERROR(INDEX(醫師週班表!$C$5:$T$44,$CU7,BS$57),""),1)),IFERROR(INDEX(醫師週班表!$C$5:$T$44,$CU7,BS$57),""))))))</f>
        <v/>
      </c>
      <c r="BT7" s="68">
        <f>IF(BT$59="X","",IF(BT$59&lt;&gt;"",BT$59,IF(IFERROR(INDEX(醫師週班表!$C$5:$T$44,$CU7,BT$57),"")=0,"",IF(LEN(IFERROR(INDEX(醫師週班表!$C$5:$T$44,$CU7,BT$57),""))=4,MID(IFERROR(INDEX(醫師週班表!$C$5:$T$44,$CU7,BT$57),""),1+BT$58*2,1),IF(LEN(IFERROR(INDEX(醫師週班表!$C$5:$T$44,$CU7,BT$57),""))=2,IF(AND(RIGHT(IFERROR(INDEX(醫師週班表!$C$5:$T$44,$CU7,BT$57),""),1)="~",BT$58=1),"",LEFT(IFERROR(INDEX(醫師週班表!$C$5:$T$44,$CU7,BT$57),""),1)),IFERROR(INDEX(醫師週班表!$C$5:$T$44,$CU7,BT$57),""))))))</f>
        <v/>
      </c>
      <c r="BU7" s="68">
        <f>IF(BU$59="X","",IF(BU$59&lt;&gt;"",BU$59,IF(IFERROR(INDEX(醫師週班表!$C$5:$T$44,$CU7,BU$57),"")=0,"",IF(LEN(IFERROR(INDEX(醫師週班表!$C$5:$T$44,$CU7,BU$57),""))=4,MID(IFERROR(INDEX(醫師週班表!$C$5:$T$44,$CU7,BU$57),""),1+BU$58*2,1),IF(LEN(IFERROR(INDEX(醫師週班表!$C$5:$T$44,$CU7,BU$57),""))=2,IF(AND(RIGHT(IFERROR(INDEX(醫師週班表!$C$5:$T$44,$CU7,BU$57),""),1)="~",BU$58=1),"",LEFT(IFERROR(INDEX(醫師週班表!$C$5:$T$44,$CU7,BU$57),""),1)),IFERROR(INDEX(醫師週班表!$C$5:$T$44,$CU7,BU$57),""))))))</f>
        <v/>
      </c>
      <c r="BV7" s="67">
        <f>IF(BV$59="X","",IF(BV$59&lt;&gt;"",BV$59,IF(IFERROR(INDEX(醫師週班表!$C$5:$T$44,$CU7,BV$57),"")=0,"",IF(LEN(IFERROR(INDEX(醫師週班表!$C$5:$T$44,$CU7,BV$57),""))=4,MID(IFERROR(INDEX(醫師週班表!$C$5:$T$44,$CU7,BV$57),""),1+BV$58*2,1),IF(LEN(IFERROR(INDEX(醫師週班表!$C$5:$T$44,$CU7,BV$57),""))=2,IF(AND(RIGHT(IFERROR(INDEX(醫師週班表!$C$5:$T$44,$CU7,BV$57),""),1)="~",BV$58=1),"",LEFT(IFERROR(INDEX(醫師週班表!$C$5:$T$44,$CU7,BV$57),""),1)),IFERROR(INDEX(醫師週班表!$C$5:$T$44,$CU7,BV$57),""))))))</f>
        <v/>
      </c>
      <c r="BW7" s="68">
        <f>IF(BW$59="X","",IF(BW$59&lt;&gt;"",BW$59,IF(IFERROR(INDEX(醫師週班表!$C$5:$T$44,$CU7,BW$57),"")=0,"",IF(LEN(IFERROR(INDEX(醫師週班表!$C$5:$T$44,$CU7,BW$57),""))=4,MID(IFERROR(INDEX(醫師週班表!$C$5:$T$44,$CU7,BW$57),""),1+BW$58*2,1),IF(LEN(IFERROR(INDEX(醫師週班表!$C$5:$T$44,$CU7,BW$57),""))=2,IF(AND(RIGHT(IFERROR(INDEX(醫師週班表!$C$5:$T$44,$CU7,BW$57),""),1)="~",BW$58=1),"",LEFT(IFERROR(INDEX(醫師週班表!$C$5:$T$44,$CU7,BW$57),""),1)),IFERROR(INDEX(醫師週班表!$C$5:$T$44,$CU7,BW$57),""))))))</f>
        <v/>
      </c>
      <c r="BX7" s="68">
        <f>IF(BX$59="X","",IF(BX$59&lt;&gt;"",BX$59,IF(IFERROR(INDEX(醫師週班表!$C$5:$T$44,$CU7,BX$57),"")=0,"",IF(LEN(IFERROR(INDEX(醫師週班表!$C$5:$T$44,$CU7,BX$57),""))=4,MID(IFERROR(INDEX(醫師週班表!$C$5:$T$44,$CU7,BX$57),""),1+BX$58*2,1),IF(LEN(IFERROR(INDEX(醫師週班表!$C$5:$T$44,$CU7,BX$57),""))=2,IF(AND(RIGHT(IFERROR(INDEX(醫師週班表!$C$5:$T$44,$CU7,BX$57),""),1)="~",BX$58=1),"",LEFT(IFERROR(INDEX(醫師週班表!$C$5:$T$44,$CU7,BX$57),""),1)),IFERROR(INDEX(醫師週班表!$C$5:$T$44,$CU7,BX$57),""))))))</f>
        <v/>
      </c>
      <c r="BY7" s="67">
        <f>IF(BY$59="X","",IF(BY$59&lt;&gt;"",BY$59,IF(IFERROR(INDEX(醫師週班表!$C$5:$T$44,$CU7,BY$57),"")=0,"",IF(LEN(IFERROR(INDEX(醫師週班表!$C$5:$T$44,$CU7,BY$57),""))=4,MID(IFERROR(INDEX(醫師週班表!$C$5:$T$44,$CU7,BY$57),""),1+BY$58*2,1),IF(LEN(IFERROR(INDEX(醫師週班表!$C$5:$T$44,$CU7,BY$57),""))=2,IF(AND(RIGHT(IFERROR(INDEX(醫師週班表!$C$5:$T$44,$CU7,BY$57),""),1)="~",BY$58=1),"",LEFT(IFERROR(INDEX(醫師週班表!$C$5:$T$44,$CU7,BY$57),""),1)),IFERROR(INDEX(醫師週班表!$C$5:$T$44,$CU7,BY$57),""))))))</f>
        <v/>
      </c>
      <c r="BZ7" s="68">
        <f>IF(BZ$59="X","",IF(BZ$59&lt;&gt;"",BZ$59,IF(IFERROR(INDEX(醫師週班表!$C$5:$T$44,$CU7,BZ$57),"")=0,"",IF(LEN(IFERROR(INDEX(醫師週班表!$C$5:$T$44,$CU7,BZ$57),""))=4,MID(IFERROR(INDEX(醫師週班表!$C$5:$T$44,$CU7,BZ$57),""),1+BZ$58*2,1),IF(LEN(IFERROR(INDEX(醫師週班表!$C$5:$T$44,$CU7,BZ$57),""))=2,IF(AND(RIGHT(IFERROR(INDEX(醫師週班表!$C$5:$T$44,$CU7,BZ$57),""),1)="~",BZ$58=1),"",LEFT(IFERROR(INDEX(醫師週班表!$C$5:$T$44,$CU7,BZ$57),""),1)),IFERROR(INDEX(醫師週班表!$C$5:$T$44,$CU7,BZ$57),""))))))</f>
        <v/>
      </c>
      <c r="CA7" s="68">
        <f>IF(CA$59="X","",IF(CA$59&lt;&gt;"",CA$59,IF(IFERROR(INDEX(醫師週班表!$C$5:$T$44,$CU7,CA$57),"")=0,"",IF(LEN(IFERROR(INDEX(醫師週班表!$C$5:$T$44,$CU7,CA$57),""))=4,MID(IFERROR(INDEX(醫師週班表!$C$5:$T$44,$CU7,CA$57),""),1+CA$58*2,1),IF(LEN(IFERROR(INDEX(醫師週班表!$C$5:$T$44,$CU7,CA$57),""))=2,IF(AND(RIGHT(IFERROR(INDEX(醫師週班表!$C$5:$T$44,$CU7,CA$57),""),1)="~",CA$58=1),"",LEFT(IFERROR(INDEX(醫師週班表!$C$5:$T$44,$CU7,CA$57),""),1)),IFERROR(INDEX(醫師週班表!$C$5:$T$44,$CU7,CA$57),""))))))</f>
        <v/>
      </c>
      <c r="CB7" s="67">
        <f>IF(CB$59="X","",IF(CB$59&lt;&gt;"",CB$59,IF(IFERROR(INDEX(醫師週班表!$C$5:$T$44,$CU7,CB$57),"")=0,"",IF(LEN(IFERROR(INDEX(醫師週班表!$C$5:$T$44,$CU7,CB$57),""))=4,MID(IFERROR(INDEX(醫師週班表!$C$5:$T$44,$CU7,CB$57),""),1+CB$58*2,1),IF(LEN(IFERROR(INDEX(醫師週班表!$C$5:$T$44,$CU7,CB$57),""))=2,IF(AND(RIGHT(IFERROR(INDEX(醫師週班表!$C$5:$T$44,$CU7,CB$57),""),1)="~",CB$58=1),"",LEFT(IFERROR(INDEX(醫師週班表!$C$5:$T$44,$CU7,CB$57),""),1)),IFERROR(INDEX(醫師週班表!$C$5:$T$44,$CU7,CB$57),""))))))</f>
        <v/>
      </c>
      <c r="CC7" s="68">
        <f>IF(CC$59="X","",IF(CC$59&lt;&gt;"",CC$59,IF(IFERROR(INDEX(醫師週班表!$C$5:$T$44,$CU7,CC$57),"")=0,"",IF(LEN(IFERROR(INDEX(醫師週班表!$C$5:$T$44,$CU7,CC$57),""))=4,MID(IFERROR(INDEX(醫師週班表!$C$5:$T$44,$CU7,CC$57),""),1+CC$58*2,1),IF(LEN(IFERROR(INDEX(醫師週班表!$C$5:$T$44,$CU7,CC$57),""))=2,IF(AND(RIGHT(IFERROR(INDEX(醫師週班表!$C$5:$T$44,$CU7,CC$57),""),1)="~",CC$58=1),"",LEFT(IFERROR(INDEX(醫師週班表!$C$5:$T$44,$CU7,CC$57),""),1)),IFERROR(INDEX(醫師週班表!$C$5:$T$44,$CU7,CC$57),""))))))</f>
        <v/>
      </c>
      <c r="CD7" s="68">
        <f>IF(CD$59="X","",IF(CD$59&lt;&gt;"",CD$59,IF(IFERROR(INDEX(醫師週班表!$C$5:$T$44,$CU7,CD$57),"")=0,"",IF(LEN(IFERROR(INDEX(醫師週班表!$C$5:$T$44,$CU7,CD$57),""))=4,MID(IFERROR(INDEX(醫師週班表!$C$5:$T$44,$CU7,CD$57),""),1+CD$58*2,1),IF(LEN(IFERROR(INDEX(醫師週班表!$C$5:$T$44,$CU7,CD$57),""))=2,IF(AND(RIGHT(IFERROR(INDEX(醫師週班表!$C$5:$T$44,$CU7,CD$57),""),1)="~",CD$58=1),"",LEFT(IFERROR(INDEX(醫師週班表!$C$5:$T$44,$CU7,CD$57),""),1)),IFERROR(INDEX(醫師週班表!$C$5:$T$44,$CU7,CD$57),""))))))</f>
        <v/>
      </c>
      <c r="CE7" s="67">
        <f>IF(CE$59="X","",IF(CE$59&lt;&gt;"",CE$59,IF(IFERROR(INDEX(醫師週班表!$C$5:$T$44,$CU7,CE$57),"")=0,"",IF(LEN(IFERROR(INDEX(醫師週班表!$C$5:$T$44,$CU7,CE$57),""))=4,MID(IFERROR(INDEX(醫師週班表!$C$5:$T$44,$CU7,CE$57),""),1+CE$58*2,1),IF(LEN(IFERROR(INDEX(醫師週班表!$C$5:$T$44,$CU7,CE$57),""))=2,IF(AND(RIGHT(IFERROR(INDEX(醫師週班表!$C$5:$T$44,$CU7,CE$57),""),1)="~",CE$58=1),"",LEFT(IFERROR(INDEX(醫師週班表!$C$5:$T$44,$CU7,CE$57),""),1)),IFERROR(INDEX(醫師週班表!$C$5:$T$44,$CU7,CE$57),""))))))</f>
        <v/>
      </c>
      <c r="CF7" s="68">
        <f>IF(CF$59="X","",IF(CF$59&lt;&gt;"",CF$59,IF(IFERROR(INDEX(醫師週班表!$C$5:$T$44,$CU7,CF$57),"")=0,"",IF(LEN(IFERROR(INDEX(醫師週班表!$C$5:$T$44,$CU7,CF$57),""))=4,MID(IFERROR(INDEX(醫師週班表!$C$5:$T$44,$CU7,CF$57),""),1+CF$58*2,1),IF(LEN(IFERROR(INDEX(醫師週班表!$C$5:$T$44,$CU7,CF$57),""))=2,IF(AND(RIGHT(IFERROR(INDEX(醫師週班表!$C$5:$T$44,$CU7,CF$57),""),1)="~",CF$58=1),"",LEFT(IFERROR(INDEX(醫師週班表!$C$5:$T$44,$CU7,CF$57),""),1)),IFERROR(INDEX(醫師週班表!$C$5:$T$44,$CU7,CF$57),""))))))</f>
        <v/>
      </c>
      <c r="CG7" s="68">
        <f>IF(CG$59="X","",IF(CG$59&lt;&gt;"",CG$59,IF(IFERROR(INDEX(醫師週班表!$C$5:$T$44,$CU7,CG$57),"")=0,"",IF(LEN(IFERROR(INDEX(醫師週班表!$C$5:$T$44,$CU7,CG$57),""))=4,MID(IFERROR(INDEX(醫師週班表!$C$5:$T$44,$CU7,CG$57),""),1+CG$58*2,1),IF(LEN(IFERROR(INDEX(醫師週班表!$C$5:$T$44,$CU7,CG$57),""))=2,IF(AND(RIGHT(IFERROR(INDEX(醫師週班表!$C$5:$T$44,$CU7,CG$57),""),1)="~",CG$58=1),"",LEFT(IFERROR(INDEX(醫師週班表!$C$5:$T$44,$CU7,CG$57),""),1)),IFERROR(INDEX(醫師週班表!$C$5:$T$44,$CU7,CG$57),""))))))</f>
        <v/>
      </c>
      <c r="CH7" s="67">
        <f>IF(CH$59="X","",IF(CH$59&lt;&gt;"",CH$59,IF(IFERROR(INDEX(醫師週班表!$C$5:$T$44,$CU7,CH$57),"")=0,"",IF(LEN(IFERROR(INDEX(醫師週班表!$C$5:$T$44,$CU7,CH$57),""))=4,MID(IFERROR(INDEX(醫師週班表!$C$5:$T$44,$CU7,CH$57),""),1+CH$58*2,1),IF(LEN(IFERROR(INDEX(醫師週班表!$C$5:$T$44,$CU7,CH$57),""))=2,IF(AND(RIGHT(IFERROR(INDEX(醫師週班表!$C$5:$T$44,$CU7,CH$57),""),1)="~",CH$58=1),"",LEFT(IFERROR(INDEX(醫師週班表!$C$5:$T$44,$CU7,CH$57),""),1)),IFERROR(INDEX(醫師週班表!$C$5:$T$44,$CU7,CH$57),""))))))</f>
        <v/>
      </c>
      <c r="CI7" s="68">
        <f>IF(CI$59="X","",IF(CI$59&lt;&gt;"",CI$59,IF(IFERROR(INDEX(醫師週班表!$C$5:$T$44,$CU7,CI$57),"")=0,"",IF(LEN(IFERROR(INDEX(醫師週班表!$C$5:$T$44,$CU7,CI$57),""))=4,MID(IFERROR(INDEX(醫師週班表!$C$5:$T$44,$CU7,CI$57),""),1+CI$58*2,1),IF(LEN(IFERROR(INDEX(醫師週班表!$C$5:$T$44,$CU7,CI$57),""))=2,IF(AND(RIGHT(IFERROR(INDEX(醫師週班表!$C$5:$T$44,$CU7,CI$57),""),1)="~",CI$58=1),"",LEFT(IFERROR(INDEX(醫師週班表!$C$5:$T$44,$CU7,CI$57),""),1)),IFERROR(INDEX(醫師週班表!$C$5:$T$44,$CU7,CI$57),""))))))</f>
        <v/>
      </c>
      <c r="CJ7" s="68">
        <f>IF(CJ$59="X","",IF(CJ$59&lt;&gt;"",CJ$59,IF(IFERROR(INDEX(醫師週班表!$C$5:$T$44,$CU7,CJ$57),"")=0,"",IF(LEN(IFERROR(INDEX(醫師週班表!$C$5:$T$44,$CU7,CJ$57),""))=4,MID(IFERROR(INDEX(醫師週班表!$C$5:$T$44,$CU7,CJ$57),""),1+CJ$58*2,1),IF(LEN(IFERROR(INDEX(醫師週班表!$C$5:$T$44,$CU7,CJ$57),""))=2,IF(AND(RIGHT(IFERROR(INDEX(醫師週班表!$C$5:$T$44,$CU7,CJ$57),""),1)="~",CJ$58=1),"",LEFT(IFERROR(INDEX(醫師週班表!$C$5:$T$44,$CU7,CJ$57),""),1)),IFERROR(INDEX(醫師週班表!$C$5:$T$44,$CU7,CJ$57),""))))))</f>
        <v/>
      </c>
      <c r="CK7" s="67">
        <f>IF(CK$59="X","",IF(CK$59&lt;&gt;"",CK$59,IF(IFERROR(INDEX(醫師週班表!$C$5:$T$44,$CU7,CK$57),"")=0,"",IF(LEN(IFERROR(INDEX(醫師週班表!$C$5:$T$44,$CU7,CK$57),""))=4,MID(IFERROR(INDEX(醫師週班表!$C$5:$T$44,$CU7,CK$57),""),1+CK$58*2,1),IF(LEN(IFERROR(INDEX(醫師週班表!$C$5:$T$44,$CU7,CK$57),""))=2,IF(AND(RIGHT(IFERROR(INDEX(醫師週班表!$C$5:$T$44,$CU7,CK$57),""),1)="~",CK$58=1),"",LEFT(IFERROR(INDEX(醫師週班表!$C$5:$T$44,$CU7,CK$57),""),1)),IFERROR(INDEX(醫師週班表!$C$5:$T$44,$CU7,CK$57),""))))))</f>
        <v/>
      </c>
      <c r="CL7" s="68">
        <f>IF(CL$59="X","",IF(CL$59&lt;&gt;"",CL$59,IF(IFERROR(INDEX(醫師週班表!$C$5:$T$44,$CU7,CL$57),"")=0,"",IF(LEN(IFERROR(INDEX(醫師週班表!$C$5:$T$44,$CU7,CL$57),""))=4,MID(IFERROR(INDEX(醫師週班表!$C$5:$T$44,$CU7,CL$57),""),1+CL$58*2,1),IF(LEN(IFERROR(INDEX(醫師週班表!$C$5:$T$44,$CU7,CL$57),""))=2,IF(AND(RIGHT(IFERROR(INDEX(醫師週班表!$C$5:$T$44,$CU7,CL$57),""),1)="~",CL$58=1),"",LEFT(IFERROR(INDEX(醫師週班表!$C$5:$T$44,$CU7,CL$57),""),1)),IFERROR(INDEX(醫師週班表!$C$5:$T$44,$CU7,CL$57),""))))))</f>
        <v/>
      </c>
      <c r="CM7" s="68">
        <f>IF(CM$59="X","",IF(CM$59&lt;&gt;"",CM$59,IF(IFERROR(INDEX(醫師週班表!$C$5:$T$44,$CU7,CM$57),"")=0,"",IF(LEN(IFERROR(INDEX(醫師週班表!$C$5:$T$44,$CU7,CM$57),""))=4,MID(IFERROR(INDEX(醫師週班表!$C$5:$T$44,$CU7,CM$57),""),1+CM$58*2,1),IF(LEN(IFERROR(INDEX(醫師週班表!$C$5:$T$44,$CU7,CM$57),""))=2,IF(AND(RIGHT(IFERROR(INDEX(醫師週班表!$C$5:$T$44,$CU7,CM$57),""),1)="~",CM$58=1),"",LEFT(IFERROR(INDEX(醫師週班表!$C$5:$T$44,$CU7,CM$57),""),1)),IFERROR(INDEX(醫師週班表!$C$5:$T$44,$CU7,CM$57),""))))))</f>
        <v/>
      </c>
      <c r="CN7" s="67">
        <f>IF(CN$59="X","",IF(CN$59&lt;&gt;"",CN$59,IF(IFERROR(INDEX(醫師週班表!$C$5:$T$44,$CU7,CN$57),"")=0,"",IF(LEN(IFERROR(INDEX(醫師週班表!$C$5:$T$44,$CU7,CN$57),""))=4,MID(IFERROR(INDEX(醫師週班表!$C$5:$T$44,$CU7,CN$57),""),1+CN$58*2,1),IF(LEN(IFERROR(INDEX(醫師週班表!$C$5:$T$44,$CU7,CN$57),""))=2,IF(AND(RIGHT(IFERROR(INDEX(醫師週班表!$C$5:$T$44,$CU7,CN$57),""),1)="~",CN$58=1),"",LEFT(IFERROR(INDEX(醫師週班表!$C$5:$T$44,$CU7,CN$57),""),1)),IFERROR(INDEX(醫師週班表!$C$5:$T$44,$CU7,CN$57),""))))))</f>
        <v/>
      </c>
      <c r="CO7" s="68">
        <f>IF(CO$59="X","",IF(CO$59&lt;&gt;"",CO$59,IF(IFERROR(INDEX(醫師週班表!$C$5:$T$44,$CU7,CO$57),"")=0,"",IF(LEN(IFERROR(INDEX(醫師週班表!$C$5:$T$44,$CU7,CO$57),""))=4,MID(IFERROR(INDEX(醫師週班表!$C$5:$T$44,$CU7,CO$57),""),1+CO$58*2,1),IF(LEN(IFERROR(INDEX(醫師週班表!$C$5:$T$44,$CU7,CO$57),""))=2,IF(AND(RIGHT(IFERROR(INDEX(醫師週班表!$C$5:$T$44,$CU7,CO$57),""),1)="~",CO$58=1),"",LEFT(IFERROR(INDEX(醫師週班表!$C$5:$T$44,$CU7,CO$57),""),1)),IFERROR(INDEX(醫師週班表!$C$5:$T$44,$CU7,CO$57),""))))))</f>
        <v/>
      </c>
      <c r="CP7" s="68">
        <f>IF(CP$59="X","",IF(CP$59&lt;&gt;"",CP$59,IF(IFERROR(INDEX(醫師週班表!$C$5:$T$44,$CU7,CP$57),"")=0,"",IF(LEN(IFERROR(INDEX(醫師週班表!$C$5:$T$44,$CU7,CP$57),""))=4,MID(IFERROR(INDEX(醫師週班表!$C$5:$T$44,$CU7,CP$57),""),1+CP$58*2,1),IF(LEN(IFERROR(INDEX(醫師週班表!$C$5:$T$44,$CU7,CP$57),""))=2,IF(AND(RIGHT(IFERROR(INDEX(醫師週班表!$C$5:$T$44,$CU7,CP$57),""),1)="~",CP$58=1),"",LEFT(IFERROR(INDEX(醫師週班表!$C$5:$T$44,$CU7,CP$57),""),1)),IFERROR(INDEX(醫師週班表!$C$5:$T$44,$CU7,CP$57),""))))))</f>
        <v/>
      </c>
      <c r="CQ7" s="67">
        <f>IF(CQ$59="X","",IF(CQ$59&lt;&gt;"",CQ$59,IF(IFERROR(INDEX(醫師週班表!$C$5:$T$44,$CU7,CQ$57),"")=0,"",IF(LEN(IFERROR(INDEX(醫師週班表!$C$5:$T$44,$CU7,CQ$57),""))=4,MID(IFERROR(INDEX(醫師週班表!$C$5:$T$44,$CU7,CQ$57),""),1+CQ$58*2,1),IF(LEN(IFERROR(INDEX(醫師週班表!$C$5:$T$44,$CU7,CQ$57),""))=2,IF(AND(RIGHT(IFERROR(INDEX(醫師週班表!$C$5:$T$44,$CU7,CQ$57),""),1)="~",CQ$58=1),"",LEFT(IFERROR(INDEX(醫師週班表!$C$5:$T$44,$CU7,CQ$57),""),1)),IFERROR(INDEX(醫師週班表!$C$5:$T$44,$CU7,CQ$57),""))))))</f>
        <v/>
      </c>
      <c r="CR7" s="68">
        <f>IF(CR$59="X","",IF(CR$59&lt;&gt;"",CR$59,IF(IFERROR(INDEX(醫師週班表!$C$5:$T$44,$CU7,CR$57),"")=0,"",IF(LEN(IFERROR(INDEX(醫師週班表!$C$5:$T$44,$CU7,CR$57),""))=4,MID(IFERROR(INDEX(醫師週班表!$C$5:$T$44,$CU7,CR$57),""),1+CR$58*2,1),IF(LEN(IFERROR(INDEX(醫師週班表!$C$5:$T$44,$CU7,CR$57),""))=2,IF(AND(RIGHT(IFERROR(INDEX(醫師週班表!$C$5:$T$44,$CU7,CR$57),""),1)="~",CR$58=1),"",LEFT(IFERROR(INDEX(醫師週班表!$C$5:$T$44,$CU7,CR$57),""),1)),IFERROR(INDEX(醫師週班表!$C$5:$T$44,$CU7,CR$57),""))))))</f>
        <v/>
      </c>
      <c r="CS7" s="68">
        <f>IF(CS$59="X","",IF(CS$59&lt;&gt;"",CS$59,IF(IFERROR(INDEX(醫師週班表!$C$5:$T$44,$CU7,CS$57),"")=0,"",IF(LEN(IFERROR(INDEX(醫師週班表!$C$5:$T$44,$CU7,CS$57),""))=4,MID(IFERROR(INDEX(醫師週班表!$C$5:$T$44,$CU7,CS$57),""),1+CS$58*2,1),IF(LEN(IFERROR(INDEX(醫師週班表!$C$5:$T$44,$CU7,CS$57),""))=2,IF(AND(RIGHT(IFERROR(INDEX(醫師週班表!$C$5:$T$44,$CU7,CS$57),""),1)="~",CS$58=1),"",LEFT(IFERROR(INDEX(醫師週班表!$C$5:$T$44,$CU7,CS$57),""),1)),IFERROR(INDEX(醫師週班表!$C$5:$T$44,$CU7,CS$57),""))))))</f>
        <v/>
      </c>
      <c r="CU7" s="69">
        <f>IFERROR(MATCH($A7,醫師週班表!$A$5:$A$44,0),0)</f>
        <v/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IFERROR(INDEX(醫師週班表!$C$5:$T$44,$CU8,E$57),"")=0,"",IF(LEN(IFERROR(INDEX(醫師週班表!$C$5:$T$44,$CU8,E$57),""))=4,MID(IFERROR(INDEX(醫師週班表!$C$5:$T$44,$CU8,E$57),""),1+E$58*2,1),IF(LEN(IFERROR(INDEX(醫師週班表!$C$5:$T$44,$CU8,E$57),""))=2,IF(AND(RIGHT(IFERROR(INDEX(醫師週班表!$C$5:$T$44,$CU8,E$57),""),1)="~",E$58=1),"",LEFT(IFERROR(INDEX(醫師週班表!$C$5:$T$44,$CU8,E$57),""),1)),IFERROR(INDEX(醫師週班表!$C$5:$T$44,$CU8,E$57),""))))))</f>
        <v/>
      </c>
      <c r="F8" s="68">
        <f>IF(F$59="X","",IF(F$59&lt;&gt;"",F$59,IF(IFERROR(INDEX(醫師週班表!$C$5:$T$44,$CU8,F$57),"")=0,"",IF(LEN(IFERROR(INDEX(醫師週班表!$C$5:$T$44,$CU8,F$57),""))=4,MID(IFERROR(INDEX(醫師週班表!$C$5:$T$44,$CU8,F$57),""),1+F$58*2,1),IF(LEN(IFERROR(INDEX(醫師週班表!$C$5:$T$44,$CU8,F$57),""))=2,IF(AND(RIGHT(IFERROR(INDEX(醫師週班表!$C$5:$T$44,$CU8,F$57),""),1)="~",F$58=1),"",LEFT(IFERROR(INDEX(醫師週班表!$C$5:$T$44,$CU8,F$57),""),1)),IFERROR(INDEX(醫師週班表!$C$5:$T$44,$CU8,F$57),""))))))</f>
        <v/>
      </c>
      <c r="G8" s="68">
        <f>IF(G$59="X","",IF(G$59&lt;&gt;"",G$59,IF(IFERROR(INDEX(醫師週班表!$C$5:$T$44,$CU8,G$57),"")=0,"",IF(LEN(IFERROR(INDEX(醫師週班表!$C$5:$T$44,$CU8,G$57),""))=4,MID(IFERROR(INDEX(醫師週班表!$C$5:$T$44,$CU8,G$57),""),1+G$58*2,1),IF(LEN(IFERROR(INDEX(醫師週班表!$C$5:$T$44,$CU8,G$57),""))=2,IF(AND(RIGHT(IFERROR(INDEX(醫師週班表!$C$5:$T$44,$CU8,G$57),""),1)="~",G$58=1),"",LEFT(IFERROR(INDEX(醫師週班表!$C$5:$T$44,$CU8,G$57),""),1)),IFERROR(INDEX(醫師週班表!$C$5:$T$44,$CU8,G$57),""))))))</f>
        <v/>
      </c>
      <c r="H8" s="67">
        <f>IF(H$59="X","",IF(H$59&lt;&gt;"",H$59,IF(IFERROR(INDEX(醫師週班表!$C$5:$T$44,$CU8,H$57),"")=0,"",IF(LEN(IFERROR(INDEX(醫師週班表!$C$5:$T$44,$CU8,H$57),""))=4,MID(IFERROR(INDEX(醫師週班表!$C$5:$T$44,$CU8,H$57),""),1+H$58*2,1),IF(LEN(IFERROR(INDEX(醫師週班表!$C$5:$T$44,$CU8,H$57),""))=2,IF(AND(RIGHT(IFERROR(INDEX(醫師週班表!$C$5:$T$44,$CU8,H$57),""),1)="~",H$58=1),"",LEFT(IFERROR(INDEX(醫師週班表!$C$5:$T$44,$CU8,H$57),""),1)),IFERROR(INDEX(醫師週班表!$C$5:$T$44,$CU8,H$57),""))))))</f>
        <v/>
      </c>
      <c r="I8" s="68">
        <f>IF(I$59="X","",IF(I$59&lt;&gt;"",I$59,IF(IFERROR(INDEX(醫師週班表!$C$5:$T$44,$CU8,I$57),"")=0,"",IF(LEN(IFERROR(INDEX(醫師週班表!$C$5:$T$44,$CU8,I$57),""))=4,MID(IFERROR(INDEX(醫師週班表!$C$5:$T$44,$CU8,I$57),""),1+I$58*2,1),IF(LEN(IFERROR(INDEX(醫師週班表!$C$5:$T$44,$CU8,I$57),""))=2,IF(AND(RIGHT(IFERROR(INDEX(醫師週班表!$C$5:$T$44,$CU8,I$57),""),1)="~",I$58=1),"",LEFT(IFERROR(INDEX(醫師週班表!$C$5:$T$44,$CU8,I$57),""),1)),IFERROR(INDEX(醫師週班表!$C$5:$T$44,$CU8,I$57),""))))))</f>
        <v/>
      </c>
      <c r="J8" s="68">
        <f>IF(J$59="X","",IF(J$59&lt;&gt;"",J$59,IF(IFERROR(INDEX(醫師週班表!$C$5:$T$44,$CU8,J$57),"")=0,"",IF(LEN(IFERROR(INDEX(醫師週班表!$C$5:$T$44,$CU8,J$57),""))=4,MID(IFERROR(INDEX(醫師週班表!$C$5:$T$44,$CU8,J$57),""),1+J$58*2,1),IF(LEN(IFERROR(INDEX(醫師週班表!$C$5:$T$44,$CU8,J$57),""))=2,IF(AND(RIGHT(IFERROR(INDEX(醫師週班表!$C$5:$T$44,$CU8,J$57),""),1)="~",J$58=1),"",LEFT(IFERROR(INDEX(醫師週班表!$C$5:$T$44,$CU8,J$57),""),1)),IFERROR(INDEX(醫師週班表!$C$5:$T$44,$CU8,J$57),""))))))</f>
        <v/>
      </c>
      <c r="K8" s="67">
        <f>IF(K$59="X","",IF(K$59&lt;&gt;"",K$59,IF(IFERROR(INDEX(醫師週班表!$C$5:$T$44,$CU8,K$57),"")=0,"",IF(LEN(IFERROR(INDEX(醫師週班表!$C$5:$T$44,$CU8,K$57),""))=4,MID(IFERROR(INDEX(醫師週班表!$C$5:$T$44,$CU8,K$57),""),1+K$58*2,1),IF(LEN(IFERROR(INDEX(醫師週班表!$C$5:$T$44,$CU8,K$57),""))=2,IF(AND(RIGHT(IFERROR(INDEX(醫師週班表!$C$5:$T$44,$CU8,K$57),""),1)="~",K$58=1),"",LEFT(IFERROR(INDEX(醫師週班表!$C$5:$T$44,$CU8,K$57),""),1)),IFERROR(INDEX(醫師週班表!$C$5:$T$44,$CU8,K$57),""))))))</f>
        <v/>
      </c>
      <c r="L8" s="68">
        <f>IF(L$59="X","",IF(L$59&lt;&gt;"",L$59,IF(IFERROR(INDEX(醫師週班表!$C$5:$T$44,$CU8,L$57),"")=0,"",IF(LEN(IFERROR(INDEX(醫師週班表!$C$5:$T$44,$CU8,L$57),""))=4,MID(IFERROR(INDEX(醫師週班表!$C$5:$T$44,$CU8,L$57),""),1+L$58*2,1),IF(LEN(IFERROR(INDEX(醫師週班表!$C$5:$T$44,$CU8,L$57),""))=2,IF(AND(RIGHT(IFERROR(INDEX(醫師週班表!$C$5:$T$44,$CU8,L$57),""),1)="~",L$58=1),"",LEFT(IFERROR(INDEX(醫師週班表!$C$5:$T$44,$CU8,L$57),""),1)),IFERROR(INDEX(醫師週班表!$C$5:$T$44,$CU8,L$57),""))))))</f>
        <v/>
      </c>
      <c r="M8" s="68">
        <f>IF(M$59="X","",IF(M$59&lt;&gt;"",M$59,IF(IFERROR(INDEX(醫師週班表!$C$5:$T$44,$CU8,M$57),"")=0,"",IF(LEN(IFERROR(INDEX(醫師週班表!$C$5:$T$44,$CU8,M$57),""))=4,MID(IFERROR(INDEX(醫師週班表!$C$5:$T$44,$CU8,M$57),""),1+M$58*2,1),IF(LEN(IFERROR(INDEX(醫師週班表!$C$5:$T$44,$CU8,M$57),""))=2,IF(AND(RIGHT(IFERROR(INDEX(醫師週班表!$C$5:$T$44,$CU8,M$57),""),1)="~",M$58=1),"",LEFT(IFERROR(INDEX(醫師週班表!$C$5:$T$44,$CU8,M$57),""),1)),IFERROR(INDEX(醫師週班表!$C$5:$T$44,$CU8,M$57),""))))))</f>
        <v/>
      </c>
      <c r="N8" s="67">
        <f>IF(N$59="X","",IF(N$59&lt;&gt;"",N$59,IF(IFERROR(INDEX(醫師週班表!$C$5:$T$44,$CU8,N$57),"")=0,"",IF(LEN(IFERROR(INDEX(醫師週班表!$C$5:$T$44,$CU8,N$57),""))=4,MID(IFERROR(INDEX(醫師週班表!$C$5:$T$44,$CU8,N$57),""),1+N$58*2,1),IF(LEN(IFERROR(INDEX(醫師週班表!$C$5:$T$44,$CU8,N$57),""))=2,IF(AND(RIGHT(IFERROR(INDEX(醫師週班表!$C$5:$T$44,$CU8,N$57),""),1)="~",N$58=1),"",LEFT(IFERROR(INDEX(醫師週班表!$C$5:$T$44,$CU8,N$57),""),1)),IFERROR(INDEX(醫師週班表!$C$5:$T$44,$CU8,N$57),""))))))</f>
        <v/>
      </c>
      <c r="O8" s="68">
        <f>IF(O$59="X","",IF(O$59&lt;&gt;"",O$59,IF(IFERROR(INDEX(醫師週班表!$C$5:$T$44,$CU8,O$57),"")=0,"",IF(LEN(IFERROR(INDEX(醫師週班表!$C$5:$T$44,$CU8,O$57),""))=4,MID(IFERROR(INDEX(醫師週班表!$C$5:$T$44,$CU8,O$57),""),1+O$58*2,1),IF(LEN(IFERROR(INDEX(醫師週班表!$C$5:$T$44,$CU8,O$57),""))=2,IF(AND(RIGHT(IFERROR(INDEX(醫師週班表!$C$5:$T$44,$CU8,O$57),""),1)="~",O$58=1),"",LEFT(IFERROR(INDEX(醫師週班表!$C$5:$T$44,$CU8,O$57),""),1)),IFERROR(INDEX(醫師週班表!$C$5:$T$44,$CU8,O$57),""))))))</f>
        <v/>
      </c>
      <c r="P8" s="68">
        <f>IF(P$59="X","",IF(P$59&lt;&gt;"",P$59,IF(IFERROR(INDEX(醫師週班表!$C$5:$T$44,$CU8,P$57),"")=0,"",IF(LEN(IFERROR(INDEX(醫師週班表!$C$5:$T$44,$CU8,P$57),""))=4,MID(IFERROR(INDEX(醫師週班表!$C$5:$T$44,$CU8,P$57),""),1+P$58*2,1),IF(LEN(IFERROR(INDEX(醫師週班表!$C$5:$T$44,$CU8,P$57),""))=2,IF(AND(RIGHT(IFERROR(INDEX(醫師週班表!$C$5:$T$44,$CU8,P$57),""),1)="~",P$58=1),"",LEFT(IFERROR(INDEX(醫師週班表!$C$5:$T$44,$CU8,P$57),""),1)),IFERROR(INDEX(醫師週班表!$C$5:$T$44,$CU8,P$57),""))))))</f>
        <v/>
      </c>
      <c r="Q8" s="67">
        <f>IF(Q$59="X","",IF(Q$59&lt;&gt;"",Q$59,IF(IFERROR(INDEX(醫師週班表!$C$5:$T$44,$CU8,Q$57),"")=0,"",IF(LEN(IFERROR(INDEX(醫師週班表!$C$5:$T$44,$CU8,Q$57),""))=4,MID(IFERROR(INDEX(醫師週班表!$C$5:$T$44,$CU8,Q$57),""),1+Q$58*2,1),IF(LEN(IFERROR(INDEX(醫師週班表!$C$5:$T$44,$CU8,Q$57),""))=2,IF(AND(RIGHT(IFERROR(INDEX(醫師週班表!$C$5:$T$44,$CU8,Q$57),""),1)="~",Q$58=1),"",LEFT(IFERROR(INDEX(醫師週班表!$C$5:$T$44,$CU8,Q$57),""),1)),IFERROR(INDEX(醫師週班表!$C$5:$T$44,$CU8,Q$57),""))))))</f>
        <v/>
      </c>
      <c r="R8" s="68">
        <f>IF(R$59="X","",IF(R$59&lt;&gt;"",R$59,IF(IFERROR(INDEX(醫師週班表!$C$5:$T$44,$CU8,R$57),"")=0,"",IF(LEN(IFERROR(INDEX(醫師週班表!$C$5:$T$44,$CU8,R$57),""))=4,MID(IFERROR(INDEX(醫師週班表!$C$5:$T$44,$CU8,R$57),""),1+R$58*2,1),IF(LEN(IFERROR(INDEX(醫師週班表!$C$5:$T$44,$CU8,R$57),""))=2,IF(AND(RIGHT(IFERROR(INDEX(醫師週班表!$C$5:$T$44,$CU8,R$57),""),1)="~",R$58=1),"",LEFT(IFERROR(INDEX(醫師週班表!$C$5:$T$44,$CU8,R$57),""),1)),IFERROR(INDEX(醫師週班表!$C$5:$T$44,$CU8,R$57),""))))))</f>
        <v/>
      </c>
      <c r="S8" s="68">
        <f>IF(S$59="X","",IF(S$59&lt;&gt;"",S$59,IF(IFERROR(INDEX(醫師週班表!$C$5:$T$44,$CU8,S$57),"")=0,"",IF(LEN(IFERROR(INDEX(醫師週班表!$C$5:$T$44,$CU8,S$57),""))=4,MID(IFERROR(INDEX(醫師週班表!$C$5:$T$44,$CU8,S$57),""),1+S$58*2,1),IF(LEN(IFERROR(INDEX(醫師週班表!$C$5:$T$44,$CU8,S$57),""))=2,IF(AND(RIGHT(IFERROR(INDEX(醫師週班表!$C$5:$T$44,$CU8,S$57),""),1)="~",S$58=1),"",LEFT(IFERROR(INDEX(醫師週班表!$C$5:$T$44,$CU8,S$57),""),1)),IFERROR(INDEX(醫師週班表!$C$5:$T$44,$CU8,S$57),""))))))</f>
        <v/>
      </c>
      <c r="T8" s="67">
        <f>IF(T$59="X","",IF(T$59&lt;&gt;"",T$59,IF(IFERROR(INDEX(醫師週班表!$C$5:$T$44,$CU8,T$57),"")=0,"",IF(LEN(IFERROR(INDEX(醫師週班表!$C$5:$T$44,$CU8,T$57),""))=4,MID(IFERROR(INDEX(醫師週班表!$C$5:$T$44,$CU8,T$57),""),1+T$58*2,1),IF(LEN(IFERROR(INDEX(醫師週班表!$C$5:$T$44,$CU8,T$57),""))=2,IF(AND(RIGHT(IFERROR(INDEX(醫師週班表!$C$5:$T$44,$CU8,T$57),""),1)="~",T$58=1),"",LEFT(IFERROR(INDEX(醫師週班表!$C$5:$T$44,$CU8,T$57),""),1)),IFERROR(INDEX(醫師週班表!$C$5:$T$44,$CU8,T$57),""))))))</f>
        <v/>
      </c>
      <c r="U8" s="68">
        <f>IF(U$59="X","",IF(U$59&lt;&gt;"",U$59,IF(IFERROR(INDEX(醫師週班表!$C$5:$T$44,$CU8,U$57),"")=0,"",IF(LEN(IFERROR(INDEX(醫師週班表!$C$5:$T$44,$CU8,U$57),""))=4,MID(IFERROR(INDEX(醫師週班表!$C$5:$T$44,$CU8,U$57),""),1+U$58*2,1),IF(LEN(IFERROR(INDEX(醫師週班表!$C$5:$T$44,$CU8,U$57),""))=2,IF(AND(RIGHT(IFERROR(INDEX(醫師週班表!$C$5:$T$44,$CU8,U$57),""),1)="~",U$58=1),"",LEFT(IFERROR(INDEX(醫師週班表!$C$5:$T$44,$CU8,U$57),""),1)),IFERROR(INDEX(醫師週班表!$C$5:$T$44,$CU8,U$57),""))))))</f>
        <v/>
      </c>
      <c r="V8" s="68">
        <f>IF(V$59="X","",IF(V$59&lt;&gt;"",V$59,IF(IFERROR(INDEX(醫師週班表!$C$5:$T$44,$CU8,V$57),"")=0,"",IF(LEN(IFERROR(INDEX(醫師週班表!$C$5:$T$44,$CU8,V$57),""))=4,MID(IFERROR(INDEX(醫師週班表!$C$5:$T$44,$CU8,V$57),""),1+V$58*2,1),IF(LEN(IFERROR(INDEX(醫師週班表!$C$5:$T$44,$CU8,V$57),""))=2,IF(AND(RIGHT(IFERROR(INDEX(醫師週班表!$C$5:$T$44,$CU8,V$57),""),1)="~",V$58=1),"",LEFT(IFERROR(INDEX(醫師週班表!$C$5:$T$44,$CU8,V$57),""),1)),IFERROR(INDEX(醫師週班表!$C$5:$T$44,$CU8,V$57),""))))))</f>
        <v/>
      </c>
      <c r="W8" s="67">
        <f>IF(W$59="X","",IF(W$59&lt;&gt;"",W$59,IF(IFERROR(INDEX(醫師週班表!$C$5:$T$44,$CU8,W$57),"")=0,"",IF(LEN(IFERROR(INDEX(醫師週班表!$C$5:$T$44,$CU8,W$57),""))=4,MID(IFERROR(INDEX(醫師週班表!$C$5:$T$44,$CU8,W$57),""),1+W$58*2,1),IF(LEN(IFERROR(INDEX(醫師週班表!$C$5:$T$44,$CU8,W$57),""))=2,IF(AND(RIGHT(IFERROR(INDEX(醫師週班表!$C$5:$T$44,$CU8,W$57),""),1)="~",W$58=1),"",LEFT(IFERROR(INDEX(醫師週班表!$C$5:$T$44,$CU8,W$57),""),1)),IFERROR(INDEX(醫師週班表!$C$5:$T$44,$CU8,W$57),""))))))</f>
        <v/>
      </c>
      <c r="X8" s="68">
        <f>IF(X$59="X","",IF(X$59&lt;&gt;"",X$59,IF(IFERROR(INDEX(醫師週班表!$C$5:$T$44,$CU8,X$57),"")=0,"",IF(LEN(IFERROR(INDEX(醫師週班表!$C$5:$T$44,$CU8,X$57),""))=4,MID(IFERROR(INDEX(醫師週班表!$C$5:$T$44,$CU8,X$57),""),1+X$58*2,1),IF(LEN(IFERROR(INDEX(醫師週班表!$C$5:$T$44,$CU8,X$57),""))=2,IF(AND(RIGHT(IFERROR(INDEX(醫師週班表!$C$5:$T$44,$CU8,X$57),""),1)="~",X$58=1),"",LEFT(IFERROR(INDEX(醫師週班表!$C$5:$T$44,$CU8,X$57),""),1)),IFERROR(INDEX(醫師週班表!$C$5:$T$44,$CU8,X$57),""))))))</f>
        <v/>
      </c>
      <c r="Y8" s="68">
        <f>IF(Y$59="X","",IF(Y$59&lt;&gt;"",Y$59,IF(IFERROR(INDEX(醫師週班表!$C$5:$T$44,$CU8,Y$57),"")=0,"",IF(LEN(IFERROR(INDEX(醫師週班表!$C$5:$T$44,$CU8,Y$57),""))=4,MID(IFERROR(INDEX(醫師週班表!$C$5:$T$44,$CU8,Y$57),""),1+Y$58*2,1),IF(LEN(IFERROR(INDEX(醫師週班表!$C$5:$T$44,$CU8,Y$57),""))=2,IF(AND(RIGHT(IFERROR(INDEX(醫師週班表!$C$5:$T$44,$CU8,Y$57),""),1)="~",Y$58=1),"",LEFT(IFERROR(INDEX(醫師週班表!$C$5:$T$44,$CU8,Y$57),""),1)),IFERROR(INDEX(醫師週班表!$C$5:$T$44,$CU8,Y$57),""))))))</f>
        <v/>
      </c>
      <c r="Z8" s="67">
        <f>IF(Z$59="X","",IF(Z$59&lt;&gt;"",Z$59,IF(IFERROR(INDEX(醫師週班表!$C$5:$T$44,$CU8,Z$57),"")=0,"",IF(LEN(IFERROR(INDEX(醫師週班表!$C$5:$T$44,$CU8,Z$57),""))=4,MID(IFERROR(INDEX(醫師週班表!$C$5:$T$44,$CU8,Z$57),""),1+Z$58*2,1),IF(LEN(IFERROR(INDEX(醫師週班表!$C$5:$T$44,$CU8,Z$57),""))=2,IF(AND(RIGHT(IFERROR(INDEX(醫師週班表!$C$5:$T$44,$CU8,Z$57),""),1)="~",Z$58=1),"",LEFT(IFERROR(INDEX(醫師週班表!$C$5:$T$44,$CU8,Z$57),""),1)),IFERROR(INDEX(醫師週班表!$C$5:$T$44,$CU8,Z$57),""))))))</f>
        <v/>
      </c>
      <c r="AA8" s="68">
        <f>IF(AA$59="X","",IF(AA$59&lt;&gt;"",AA$59,IF(IFERROR(INDEX(醫師週班表!$C$5:$T$44,$CU8,AA$57),"")=0,"",IF(LEN(IFERROR(INDEX(醫師週班表!$C$5:$T$44,$CU8,AA$57),""))=4,MID(IFERROR(INDEX(醫師週班表!$C$5:$T$44,$CU8,AA$57),""),1+AA$58*2,1),IF(LEN(IFERROR(INDEX(醫師週班表!$C$5:$T$44,$CU8,AA$57),""))=2,IF(AND(RIGHT(IFERROR(INDEX(醫師週班表!$C$5:$T$44,$CU8,AA$57),""),1)="~",AA$58=1),"",LEFT(IFERROR(INDEX(醫師週班表!$C$5:$T$44,$CU8,AA$57),""),1)),IFERROR(INDEX(醫師週班表!$C$5:$T$44,$CU8,AA$57),""))))))</f>
        <v/>
      </c>
      <c r="AB8" s="68">
        <f>IF(AB$59="X","",IF(AB$59&lt;&gt;"",AB$59,IF(IFERROR(INDEX(醫師週班表!$C$5:$T$44,$CU8,AB$57),"")=0,"",IF(LEN(IFERROR(INDEX(醫師週班表!$C$5:$T$44,$CU8,AB$57),""))=4,MID(IFERROR(INDEX(醫師週班表!$C$5:$T$44,$CU8,AB$57),""),1+AB$58*2,1),IF(LEN(IFERROR(INDEX(醫師週班表!$C$5:$T$44,$CU8,AB$57),""))=2,IF(AND(RIGHT(IFERROR(INDEX(醫師週班表!$C$5:$T$44,$CU8,AB$57),""),1)="~",AB$58=1),"",LEFT(IFERROR(INDEX(醫師週班表!$C$5:$T$44,$CU8,AB$57),""),1)),IFERROR(INDEX(醫師週班表!$C$5:$T$44,$CU8,AB$57),""))))))</f>
        <v/>
      </c>
      <c r="AC8" s="67">
        <f>IF(AC$59="X","",IF(AC$59&lt;&gt;"",AC$59,IF(IFERROR(INDEX(醫師週班表!$C$5:$T$44,$CU8,AC$57),"")=0,"",IF(LEN(IFERROR(INDEX(醫師週班表!$C$5:$T$44,$CU8,AC$57),""))=4,MID(IFERROR(INDEX(醫師週班表!$C$5:$T$44,$CU8,AC$57),""),1+AC$58*2,1),IF(LEN(IFERROR(INDEX(醫師週班表!$C$5:$T$44,$CU8,AC$57),""))=2,IF(AND(RIGHT(IFERROR(INDEX(醫師週班表!$C$5:$T$44,$CU8,AC$57),""),1)="~",AC$58=1),"",LEFT(IFERROR(INDEX(醫師週班表!$C$5:$T$44,$CU8,AC$57),""),1)),IFERROR(INDEX(醫師週班表!$C$5:$T$44,$CU8,AC$57),""))))))</f>
        <v/>
      </c>
      <c r="AD8" s="68">
        <f>IF(AD$59="X","",IF(AD$59&lt;&gt;"",AD$59,IF(IFERROR(INDEX(醫師週班表!$C$5:$T$44,$CU8,AD$57),"")=0,"",IF(LEN(IFERROR(INDEX(醫師週班表!$C$5:$T$44,$CU8,AD$57),""))=4,MID(IFERROR(INDEX(醫師週班表!$C$5:$T$44,$CU8,AD$57),""),1+AD$58*2,1),IF(LEN(IFERROR(INDEX(醫師週班表!$C$5:$T$44,$CU8,AD$57),""))=2,IF(AND(RIGHT(IFERROR(INDEX(醫師週班表!$C$5:$T$44,$CU8,AD$57),""),1)="~",AD$58=1),"",LEFT(IFERROR(INDEX(醫師週班表!$C$5:$T$44,$CU8,AD$57),""),1)),IFERROR(INDEX(醫師週班表!$C$5:$T$44,$CU8,AD$57),""))))))</f>
        <v/>
      </c>
      <c r="AE8" s="68">
        <f>IF(AE$59="X","",IF(AE$59&lt;&gt;"",AE$59,IF(IFERROR(INDEX(醫師週班表!$C$5:$T$44,$CU8,AE$57),"")=0,"",IF(LEN(IFERROR(INDEX(醫師週班表!$C$5:$T$44,$CU8,AE$57),""))=4,MID(IFERROR(INDEX(醫師週班表!$C$5:$T$44,$CU8,AE$57),""),1+AE$58*2,1),IF(LEN(IFERROR(INDEX(醫師週班表!$C$5:$T$44,$CU8,AE$57),""))=2,IF(AND(RIGHT(IFERROR(INDEX(醫師週班表!$C$5:$T$44,$CU8,AE$57),""),1)="~",AE$58=1),"",LEFT(IFERROR(INDEX(醫師週班表!$C$5:$T$44,$CU8,AE$57),""),1)),IFERROR(INDEX(醫師週班表!$C$5:$T$44,$CU8,AE$57),""))))))</f>
        <v/>
      </c>
      <c r="AF8" s="67">
        <f>IF(AF$59="X","",IF(AF$59&lt;&gt;"",AF$59,IF(IFERROR(INDEX(醫師週班表!$C$5:$T$44,$CU8,AF$57),"")=0,"",IF(LEN(IFERROR(INDEX(醫師週班表!$C$5:$T$44,$CU8,AF$57),""))=4,MID(IFERROR(INDEX(醫師週班表!$C$5:$T$44,$CU8,AF$57),""),1+AF$58*2,1),IF(LEN(IFERROR(INDEX(醫師週班表!$C$5:$T$44,$CU8,AF$57),""))=2,IF(AND(RIGHT(IFERROR(INDEX(醫師週班表!$C$5:$T$44,$CU8,AF$57),""),1)="~",AF$58=1),"",LEFT(IFERROR(INDEX(醫師週班表!$C$5:$T$44,$CU8,AF$57),""),1)),IFERROR(INDEX(醫師週班表!$C$5:$T$44,$CU8,AF$57),""))))))</f>
        <v/>
      </c>
      <c r="AG8" s="68">
        <f>IF(AG$59="X","",IF(AG$59&lt;&gt;"",AG$59,IF(IFERROR(INDEX(醫師週班表!$C$5:$T$44,$CU8,AG$57),"")=0,"",IF(LEN(IFERROR(INDEX(醫師週班表!$C$5:$T$44,$CU8,AG$57),""))=4,MID(IFERROR(INDEX(醫師週班表!$C$5:$T$44,$CU8,AG$57),""),1+AG$58*2,1),IF(LEN(IFERROR(INDEX(醫師週班表!$C$5:$T$44,$CU8,AG$57),""))=2,IF(AND(RIGHT(IFERROR(INDEX(醫師週班表!$C$5:$T$44,$CU8,AG$57),""),1)="~",AG$58=1),"",LEFT(IFERROR(INDEX(醫師週班表!$C$5:$T$44,$CU8,AG$57),""),1)),IFERROR(INDEX(醫師週班表!$C$5:$T$44,$CU8,AG$57),""))))))</f>
        <v/>
      </c>
      <c r="AH8" s="68">
        <f>IF(AH$59="X","",IF(AH$59&lt;&gt;"",AH$59,IF(IFERROR(INDEX(醫師週班表!$C$5:$T$44,$CU8,AH$57),"")=0,"",IF(LEN(IFERROR(INDEX(醫師週班表!$C$5:$T$44,$CU8,AH$57),""))=4,MID(IFERROR(INDEX(醫師週班表!$C$5:$T$44,$CU8,AH$57),""),1+AH$58*2,1),IF(LEN(IFERROR(INDEX(醫師週班表!$C$5:$T$44,$CU8,AH$57),""))=2,IF(AND(RIGHT(IFERROR(INDEX(醫師週班表!$C$5:$T$44,$CU8,AH$57),""),1)="~",AH$58=1),"",LEFT(IFERROR(INDEX(醫師週班表!$C$5:$T$44,$CU8,AH$57),""),1)),IFERROR(INDEX(醫師週班表!$C$5:$T$44,$CU8,AH$57),""))))))</f>
        <v/>
      </c>
      <c r="AI8" s="67">
        <f>IF(AI$59="X","",IF(AI$59&lt;&gt;"",AI$59,IF(IFERROR(INDEX(醫師週班表!$C$5:$T$44,$CU8,AI$57),"")=0,"",IF(LEN(IFERROR(INDEX(醫師週班表!$C$5:$T$44,$CU8,AI$57),""))=4,MID(IFERROR(INDEX(醫師週班表!$C$5:$T$44,$CU8,AI$57),""),1+AI$58*2,1),IF(LEN(IFERROR(INDEX(醫師週班表!$C$5:$T$44,$CU8,AI$57),""))=2,IF(AND(RIGHT(IFERROR(INDEX(醫師週班表!$C$5:$T$44,$CU8,AI$57),""),1)="~",AI$58=1),"",LEFT(IFERROR(INDEX(醫師週班表!$C$5:$T$44,$CU8,AI$57),""),1)),IFERROR(INDEX(醫師週班表!$C$5:$T$44,$CU8,AI$57),""))))))</f>
        <v/>
      </c>
      <c r="AJ8" s="68">
        <f>IF(AJ$59="X","",IF(AJ$59&lt;&gt;"",AJ$59,IF(IFERROR(INDEX(醫師週班表!$C$5:$T$44,$CU8,AJ$57),"")=0,"",IF(LEN(IFERROR(INDEX(醫師週班表!$C$5:$T$44,$CU8,AJ$57),""))=4,MID(IFERROR(INDEX(醫師週班表!$C$5:$T$44,$CU8,AJ$57),""),1+AJ$58*2,1),IF(LEN(IFERROR(INDEX(醫師週班表!$C$5:$T$44,$CU8,AJ$57),""))=2,IF(AND(RIGHT(IFERROR(INDEX(醫師週班表!$C$5:$T$44,$CU8,AJ$57),""),1)="~",AJ$58=1),"",LEFT(IFERROR(INDEX(醫師週班表!$C$5:$T$44,$CU8,AJ$57),""),1)),IFERROR(INDEX(醫師週班表!$C$5:$T$44,$CU8,AJ$57),""))))))</f>
        <v/>
      </c>
      <c r="AK8" s="68">
        <f>IF(AK$59="X","",IF(AK$59&lt;&gt;"",AK$59,IF(IFERROR(INDEX(醫師週班表!$C$5:$T$44,$CU8,AK$57),"")=0,"",IF(LEN(IFERROR(INDEX(醫師週班表!$C$5:$T$44,$CU8,AK$57),""))=4,MID(IFERROR(INDEX(醫師週班表!$C$5:$T$44,$CU8,AK$57),""),1+AK$58*2,1),IF(LEN(IFERROR(INDEX(醫師週班表!$C$5:$T$44,$CU8,AK$57),""))=2,IF(AND(RIGHT(IFERROR(INDEX(醫師週班表!$C$5:$T$44,$CU8,AK$57),""),1)="~",AK$58=1),"",LEFT(IFERROR(INDEX(醫師週班表!$C$5:$T$44,$CU8,AK$57),""),1)),IFERROR(INDEX(醫師週班表!$C$5:$T$44,$CU8,AK$57),""))))))</f>
        <v/>
      </c>
      <c r="AL8" s="67">
        <f>IF(AL$59="X","",IF(AL$59&lt;&gt;"",AL$59,IF(IFERROR(INDEX(醫師週班表!$C$5:$T$44,$CU8,AL$57),"")=0,"",IF(LEN(IFERROR(INDEX(醫師週班表!$C$5:$T$44,$CU8,AL$57),""))=4,MID(IFERROR(INDEX(醫師週班表!$C$5:$T$44,$CU8,AL$57),""),1+AL$58*2,1),IF(LEN(IFERROR(INDEX(醫師週班表!$C$5:$T$44,$CU8,AL$57),""))=2,IF(AND(RIGHT(IFERROR(INDEX(醫師週班表!$C$5:$T$44,$CU8,AL$57),""),1)="~",AL$58=1),"",LEFT(IFERROR(INDEX(醫師週班表!$C$5:$T$44,$CU8,AL$57),""),1)),IFERROR(INDEX(醫師週班表!$C$5:$T$44,$CU8,AL$57),""))))))</f>
        <v/>
      </c>
      <c r="AM8" s="68">
        <f>IF(AM$59="X","",IF(AM$59&lt;&gt;"",AM$59,IF(IFERROR(INDEX(醫師週班表!$C$5:$T$44,$CU8,AM$57),"")=0,"",IF(LEN(IFERROR(INDEX(醫師週班表!$C$5:$T$44,$CU8,AM$57),""))=4,MID(IFERROR(INDEX(醫師週班表!$C$5:$T$44,$CU8,AM$57),""),1+AM$58*2,1),IF(LEN(IFERROR(INDEX(醫師週班表!$C$5:$T$44,$CU8,AM$57),""))=2,IF(AND(RIGHT(IFERROR(INDEX(醫師週班表!$C$5:$T$44,$CU8,AM$57),""),1)="~",AM$58=1),"",LEFT(IFERROR(INDEX(醫師週班表!$C$5:$T$44,$CU8,AM$57),""),1)),IFERROR(INDEX(醫師週班表!$C$5:$T$44,$CU8,AM$57),""))))))</f>
        <v/>
      </c>
      <c r="AN8" s="68">
        <f>IF(AN$59="X","",IF(AN$59&lt;&gt;"",AN$59,IF(IFERROR(INDEX(醫師週班表!$C$5:$T$44,$CU8,AN$57),"")=0,"",IF(LEN(IFERROR(INDEX(醫師週班表!$C$5:$T$44,$CU8,AN$57),""))=4,MID(IFERROR(INDEX(醫師週班表!$C$5:$T$44,$CU8,AN$57),""),1+AN$58*2,1),IF(LEN(IFERROR(INDEX(醫師週班表!$C$5:$T$44,$CU8,AN$57),""))=2,IF(AND(RIGHT(IFERROR(INDEX(醫師週班表!$C$5:$T$44,$CU8,AN$57),""),1)="~",AN$58=1),"",LEFT(IFERROR(INDEX(醫師週班表!$C$5:$T$44,$CU8,AN$57),""),1)),IFERROR(INDEX(醫師週班表!$C$5:$T$44,$CU8,AN$57),""))))))</f>
        <v/>
      </c>
      <c r="AO8" s="67">
        <f>IF(AO$59="X","",IF(AO$59&lt;&gt;"",AO$59,IF(IFERROR(INDEX(醫師週班表!$C$5:$T$44,$CU8,AO$57),"")=0,"",IF(LEN(IFERROR(INDEX(醫師週班表!$C$5:$T$44,$CU8,AO$57),""))=4,MID(IFERROR(INDEX(醫師週班表!$C$5:$T$44,$CU8,AO$57),""),1+AO$58*2,1),IF(LEN(IFERROR(INDEX(醫師週班表!$C$5:$T$44,$CU8,AO$57),""))=2,IF(AND(RIGHT(IFERROR(INDEX(醫師週班表!$C$5:$T$44,$CU8,AO$57),""),1)="~",AO$58=1),"",LEFT(IFERROR(INDEX(醫師週班表!$C$5:$T$44,$CU8,AO$57),""),1)),IFERROR(INDEX(醫師週班表!$C$5:$T$44,$CU8,AO$57),""))))))</f>
        <v/>
      </c>
      <c r="AP8" s="68">
        <f>IF(AP$59="X","",IF(AP$59&lt;&gt;"",AP$59,IF(IFERROR(INDEX(醫師週班表!$C$5:$T$44,$CU8,AP$57),"")=0,"",IF(LEN(IFERROR(INDEX(醫師週班表!$C$5:$T$44,$CU8,AP$57),""))=4,MID(IFERROR(INDEX(醫師週班表!$C$5:$T$44,$CU8,AP$57),""),1+AP$58*2,1),IF(LEN(IFERROR(INDEX(醫師週班表!$C$5:$T$44,$CU8,AP$57),""))=2,IF(AND(RIGHT(IFERROR(INDEX(醫師週班表!$C$5:$T$44,$CU8,AP$57),""),1)="~",AP$58=1),"",LEFT(IFERROR(INDEX(醫師週班表!$C$5:$T$44,$CU8,AP$57),""),1)),IFERROR(INDEX(醫師週班表!$C$5:$T$44,$CU8,AP$57),""))))))</f>
        <v/>
      </c>
      <c r="AQ8" s="68">
        <f>IF(AQ$59="X","",IF(AQ$59&lt;&gt;"",AQ$59,IF(IFERROR(INDEX(醫師週班表!$C$5:$T$44,$CU8,AQ$57),"")=0,"",IF(LEN(IFERROR(INDEX(醫師週班表!$C$5:$T$44,$CU8,AQ$57),""))=4,MID(IFERROR(INDEX(醫師週班表!$C$5:$T$44,$CU8,AQ$57),""),1+AQ$58*2,1),IF(LEN(IFERROR(INDEX(醫師週班表!$C$5:$T$44,$CU8,AQ$57),""))=2,IF(AND(RIGHT(IFERROR(INDEX(醫師週班表!$C$5:$T$44,$CU8,AQ$57),""),1)="~",AQ$58=1),"",LEFT(IFERROR(INDEX(醫師週班表!$C$5:$T$44,$CU8,AQ$57),""),1)),IFERROR(INDEX(醫師週班表!$C$5:$T$44,$CU8,AQ$57),""))))))</f>
        <v/>
      </c>
      <c r="AR8" s="67">
        <f>IF(AR$59="X","",IF(AR$59&lt;&gt;"",AR$59,IF(IFERROR(INDEX(醫師週班表!$C$5:$T$44,$CU8,AR$57),"")=0,"",IF(LEN(IFERROR(INDEX(醫師週班表!$C$5:$T$44,$CU8,AR$57),""))=4,MID(IFERROR(INDEX(醫師週班表!$C$5:$T$44,$CU8,AR$57),""),1+AR$58*2,1),IF(LEN(IFERROR(INDEX(醫師週班表!$C$5:$T$44,$CU8,AR$57),""))=2,IF(AND(RIGHT(IFERROR(INDEX(醫師週班表!$C$5:$T$44,$CU8,AR$57),""),1)="~",AR$58=1),"",LEFT(IFERROR(INDEX(醫師週班表!$C$5:$T$44,$CU8,AR$57),""),1)),IFERROR(INDEX(醫師週班表!$C$5:$T$44,$CU8,AR$57),""))))))</f>
        <v/>
      </c>
      <c r="AS8" s="68">
        <f>IF(AS$59="X","",IF(AS$59&lt;&gt;"",AS$59,IF(IFERROR(INDEX(醫師週班表!$C$5:$T$44,$CU8,AS$57),"")=0,"",IF(LEN(IFERROR(INDEX(醫師週班表!$C$5:$T$44,$CU8,AS$57),""))=4,MID(IFERROR(INDEX(醫師週班表!$C$5:$T$44,$CU8,AS$57),""),1+AS$58*2,1),IF(LEN(IFERROR(INDEX(醫師週班表!$C$5:$T$44,$CU8,AS$57),""))=2,IF(AND(RIGHT(IFERROR(INDEX(醫師週班表!$C$5:$T$44,$CU8,AS$57),""),1)="~",AS$58=1),"",LEFT(IFERROR(INDEX(醫師週班表!$C$5:$T$44,$CU8,AS$57),""),1)),IFERROR(INDEX(醫師週班表!$C$5:$T$44,$CU8,AS$57),""))))))</f>
        <v/>
      </c>
      <c r="AT8" s="68">
        <f>IF(AT$59="X","",IF(AT$59&lt;&gt;"",AT$59,IF(IFERROR(INDEX(醫師週班表!$C$5:$T$44,$CU8,AT$57),"")=0,"",IF(LEN(IFERROR(INDEX(醫師週班表!$C$5:$T$44,$CU8,AT$57),""))=4,MID(IFERROR(INDEX(醫師週班表!$C$5:$T$44,$CU8,AT$57),""),1+AT$58*2,1),IF(LEN(IFERROR(INDEX(醫師週班表!$C$5:$T$44,$CU8,AT$57),""))=2,IF(AND(RIGHT(IFERROR(INDEX(醫師週班表!$C$5:$T$44,$CU8,AT$57),""),1)="~",AT$58=1),"",LEFT(IFERROR(INDEX(醫師週班表!$C$5:$T$44,$CU8,AT$57),""),1)),IFERROR(INDEX(醫師週班表!$C$5:$T$44,$CU8,AT$57),""))))))</f>
        <v/>
      </c>
      <c r="AU8" s="67">
        <f>IF(AU$59="X","",IF(AU$59&lt;&gt;"",AU$59,IF(IFERROR(INDEX(醫師週班表!$C$5:$T$44,$CU8,AU$57),"")=0,"",IF(LEN(IFERROR(INDEX(醫師週班表!$C$5:$T$44,$CU8,AU$57),""))=4,MID(IFERROR(INDEX(醫師週班表!$C$5:$T$44,$CU8,AU$57),""),1+AU$58*2,1),IF(LEN(IFERROR(INDEX(醫師週班表!$C$5:$T$44,$CU8,AU$57),""))=2,IF(AND(RIGHT(IFERROR(INDEX(醫師週班表!$C$5:$T$44,$CU8,AU$57),""),1)="~",AU$58=1),"",LEFT(IFERROR(INDEX(醫師週班表!$C$5:$T$44,$CU8,AU$57),""),1)),IFERROR(INDEX(醫師週班表!$C$5:$T$44,$CU8,AU$57),""))))))</f>
        <v/>
      </c>
      <c r="AV8" s="68">
        <f>IF(AV$59="X","",IF(AV$59&lt;&gt;"",AV$59,IF(IFERROR(INDEX(醫師週班表!$C$5:$T$44,$CU8,AV$57),"")=0,"",IF(LEN(IFERROR(INDEX(醫師週班表!$C$5:$T$44,$CU8,AV$57),""))=4,MID(IFERROR(INDEX(醫師週班表!$C$5:$T$44,$CU8,AV$57),""),1+AV$58*2,1),IF(LEN(IFERROR(INDEX(醫師週班表!$C$5:$T$44,$CU8,AV$57),""))=2,IF(AND(RIGHT(IFERROR(INDEX(醫師週班表!$C$5:$T$44,$CU8,AV$57),""),1)="~",AV$58=1),"",LEFT(IFERROR(INDEX(醫師週班表!$C$5:$T$44,$CU8,AV$57),""),1)),IFERROR(INDEX(醫師週班表!$C$5:$T$44,$CU8,AV$57),""))))))</f>
        <v/>
      </c>
      <c r="AW8" s="68">
        <f>IF(AW$59="X","",IF(AW$59&lt;&gt;"",AW$59,IF(IFERROR(INDEX(醫師週班表!$C$5:$T$44,$CU8,AW$57),"")=0,"",IF(LEN(IFERROR(INDEX(醫師週班表!$C$5:$T$44,$CU8,AW$57),""))=4,MID(IFERROR(INDEX(醫師週班表!$C$5:$T$44,$CU8,AW$57),""),1+AW$58*2,1),IF(LEN(IFERROR(INDEX(醫師週班表!$C$5:$T$44,$CU8,AW$57),""))=2,IF(AND(RIGHT(IFERROR(INDEX(醫師週班表!$C$5:$T$44,$CU8,AW$57),""),1)="~",AW$58=1),"",LEFT(IFERROR(INDEX(醫師週班表!$C$5:$T$44,$CU8,AW$57),""),1)),IFERROR(INDEX(醫師週班表!$C$5:$T$44,$CU8,AW$57),""))))))</f>
        <v/>
      </c>
      <c r="AX8" s="67">
        <f>IF(AX$59="X","",IF(AX$59&lt;&gt;"",AX$59,IF(IFERROR(INDEX(醫師週班表!$C$5:$T$44,$CU8,AX$57),"")=0,"",IF(LEN(IFERROR(INDEX(醫師週班表!$C$5:$T$44,$CU8,AX$57),""))=4,MID(IFERROR(INDEX(醫師週班表!$C$5:$T$44,$CU8,AX$57),""),1+AX$58*2,1),IF(LEN(IFERROR(INDEX(醫師週班表!$C$5:$T$44,$CU8,AX$57),""))=2,IF(AND(RIGHT(IFERROR(INDEX(醫師週班表!$C$5:$T$44,$CU8,AX$57),""),1)="~",AX$58=1),"",LEFT(IFERROR(INDEX(醫師週班表!$C$5:$T$44,$CU8,AX$57),""),1)),IFERROR(INDEX(醫師週班表!$C$5:$T$44,$CU8,AX$57),""))))))</f>
        <v/>
      </c>
      <c r="AY8" s="68">
        <f>IF(AY$59="X","",IF(AY$59&lt;&gt;"",AY$59,IF(IFERROR(INDEX(醫師週班表!$C$5:$T$44,$CU8,AY$57),"")=0,"",IF(LEN(IFERROR(INDEX(醫師週班表!$C$5:$T$44,$CU8,AY$57),""))=4,MID(IFERROR(INDEX(醫師週班表!$C$5:$T$44,$CU8,AY$57),""),1+AY$58*2,1),IF(LEN(IFERROR(INDEX(醫師週班表!$C$5:$T$44,$CU8,AY$57),""))=2,IF(AND(RIGHT(IFERROR(INDEX(醫師週班表!$C$5:$T$44,$CU8,AY$57),""),1)="~",AY$58=1),"",LEFT(IFERROR(INDEX(醫師週班表!$C$5:$T$44,$CU8,AY$57),""),1)),IFERROR(INDEX(醫師週班表!$C$5:$T$44,$CU8,AY$57),""))))))</f>
        <v/>
      </c>
      <c r="AZ8" s="68">
        <f>IF(AZ$59="X","",IF(AZ$59&lt;&gt;"",AZ$59,IF(IFERROR(INDEX(醫師週班表!$C$5:$T$44,$CU8,AZ$57),"")=0,"",IF(LEN(IFERROR(INDEX(醫師週班表!$C$5:$T$44,$CU8,AZ$57),""))=4,MID(IFERROR(INDEX(醫師週班表!$C$5:$T$44,$CU8,AZ$57),""),1+AZ$58*2,1),IF(LEN(IFERROR(INDEX(醫師週班表!$C$5:$T$44,$CU8,AZ$57),""))=2,IF(AND(RIGHT(IFERROR(INDEX(醫師週班表!$C$5:$T$44,$CU8,AZ$57),""),1)="~",AZ$58=1),"",LEFT(IFERROR(INDEX(醫師週班表!$C$5:$T$44,$CU8,AZ$57),""),1)),IFERROR(INDEX(醫師週班表!$C$5:$T$44,$CU8,AZ$57),""))))))</f>
        <v/>
      </c>
      <c r="BA8" s="67">
        <f>IF(BA$59="X","",IF(BA$59&lt;&gt;"",BA$59,IF(IFERROR(INDEX(醫師週班表!$C$5:$T$44,$CU8,BA$57),"")=0,"",IF(LEN(IFERROR(INDEX(醫師週班表!$C$5:$T$44,$CU8,BA$57),""))=4,MID(IFERROR(INDEX(醫師週班表!$C$5:$T$44,$CU8,BA$57),""),1+BA$58*2,1),IF(LEN(IFERROR(INDEX(醫師週班表!$C$5:$T$44,$CU8,BA$57),""))=2,IF(AND(RIGHT(IFERROR(INDEX(醫師週班表!$C$5:$T$44,$CU8,BA$57),""),1)="~",BA$58=1),"",LEFT(IFERROR(INDEX(醫師週班表!$C$5:$T$44,$CU8,BA$57),""),1)),IFERROR(INDEX(醫師週班表!$C$5:$T$44,$CU8,BA$57),""))))))</f>
        <v/>
      </c>
      <c r="BB8" s="68">
        <f>IF(BB$59="X","",IF(BB$59&lt;&gt;"",BB$59,IF(IFERROR(INDEX(醫師週班表!$C$5:$T$44,$CU8,BB$57),"")=0,"",IF(LEN(IFERROR(INDEX(醫師週班表!$C$5:$T$44,$CU8,BB$57),""))=4,MID(IFERROR(INDEX(醫師週班表!$C$5:$T$44,$CU8,BB$57),""),1+BB$58*2,1),IF(LEN(IFERROR(INDEX(醫師週班表!$C$5:$T$44,$CU8,BB$57),""))=2,IF(AND(RIGHT(IFERROR(INDEX(醫師週班表!$C$5:$T$44,$CU8,BB$57),""),1)="~",BB$58=1),"",LEFT(IFERROR(INDEX(醫師週班表!$C$5:$T$44,$CU8,BB$57),""),1)),IFERROR(INDEX(醫師週班表!$C$5:$T$44,$CU8,BB$57),""))))))</f>
        <v/>
      </c>
      <c r="BC8" s="68">
        <f>IF(BC$59="X","",IF(BC$59&lt;&gt;"",BC$59,IF(IFERROR(INDEX(醫師週班表!$C$5:$T$44,$CU8,BC$57),"")=0,"",IF(LEN(IFERROR(INDEX(醫師週班表!$C$5:$T$44,$CU8,BC$57),""))=4,MID(IFERROR(INDEX(醫師週班表!$C$5:$T$44,$CU8,BC$57),""),1+BC$58*2,1),IF(LEN(IFERROR(INDEX(醫師週班表!$C$5:$T$44,$CU8,BC$57),""))=2,IF(AND(RIGHT(IFERROR(INDEX(醫師週班表!$C$5:$T$44,$CU8,BC$57),""),1)="~",BC$58=1),"",LEFT(IFERROR(INDEX(醫師週班表!$C$5:$T$44,$CU8,BC$57),""),1)),IFERROR(INDEX(醫師週班表!$C$5:$T$44,$CU8,BC$57),""))))))</f>
        <v/>
      </c>
      <c r="BD8" s="67">
        <f>IF(BD$59="X","",IF(BD$59&lt;&gt;"",BD$59,IF(IFERROR(INDEX(醫師週班表!$C$5:$T$44,$CU8,BD$57),"")=0,"",IF(LEN(IFERROR(INDEX(醫師週班表!$C$5:$T$44,$CU8,BD$57),""))=4,MID(IFERROR(INDEX(醫師週班表!$C$5:$T$44,$CU8,BD$57),""),1+BD$58*2,1),IF(LEN(IFERROR(INDEX(醫師週班表!$C$5:$T$44,$CU8,BD$57),""))=2,IF(AND(RIGHT(IFERROR(INDEX(醫師週班表!$C$5:$T$44,$CU8,BD$57),""),1)="~",BD$58=1),"",LEFT(IFERROR(INDEX(醫師週班表!$C$5:$T$44,$CU8,BD$57),""),1)),IFERROR(INDEX(醫師週班表!$C$5:$T$44,$CU8,BD$57),""))))))</f>
        <v/>
      </c>
      <c r="BE8" s="68">
        <f>IF(BE$59="X","",IF(BE$59&lt;&gt;"",BE$59,IF(IFERROR(INDEX(醫師週班表!$C$5:$T$44,$CU8,BE$57),"")=0,"",IF(LEN(IFERROR(INDEX(醫師週班表!$C$5:$T$44,$CU8,BE$57),""))=4,MID(IFERROR(INDEX(醫師週班表!$C$5:$T$44,$CU8,BE$57),""),1+BE$58*2,1),IF(LEN(IFERROR(INDEX(醫師週班表!$C$5:$T$44,$CU8,BE$57),""))=2,IF(AND(RIGHT(IFERROR(INDEX(醫師週班表!$C$5:$T$44,$CU8,BE$57),""),1)="~",BE$58=1),"",LEFT(IFERROR(INDEX(醫師週班表!$C$5:$T$44,$CU8,BE$57),""),1)),IFERROR(INDEX(醫師週班表!$C$5:$T$44,$CU8,BE$57),""))))))</f>
        <v/>
      </c>
      <c r="BF8" s="68">
        <f>IF(BF$59="X","",IF(BF$59&lt;&gt;"",BF$59,IF(IFERROR(INDEX(醫師週班表!$C$5:$T$44,$CU8,BF$57),"")=0,"",IF(LEN(IFERROR(INDEX(醫師週班表!$C$5:$T$44,$CU8,BF$57),""))=4,MID(IFERROR(INDEX(醫師週班表!$C$5:$T$44,$CU8,BF$57),""),1+BF$58*2,1),IF(LEN(IFERROR(INDEX(醫師週班表!$C$5:$T$44,$CU8,BF$57),""))=2,IF(AND(RIGHT(IFERROR(INDEX(醫師週班表!$C$5:$T$44,$CU8,BF$57),""),1)="~",BF$58=1),"",LEFT(IFERROR(INDEX(醫師週班表!$C$5:$T$44,$CU8,BF$57),""),1)),IFERROR(INDEX(醫師週班表!$C$5:$T$44,$CU8,BF$57),""))))))</f>
        <v/>
      </c>
      <c r="BG8" s="67">
        <f>IF(BG$59="X","",IF(BG$59&lt;&gt;"",BG$59,IF(IFERROR(INDEX(醫師週班表!$C$5:$T$44,$CU8,BG$57),"")=0,"",IF(LEN(IFERROR(INDEX(醫師週班表!$C$5:$T$44,$CU8,BG$57),""))=4,MID(IFERROR(INDEX(醫師週班表!$C$5:$T$44,$CU8,BG$57),""),1+BG$58*2,1),IF(LEN(IFERROR(INDEX(醫師週班表!$C$5:$T$44,$CU8,BG$57),""))=2,IF(AND(RIGHT(IFERROR(INDEX(醫師週班表!$C$5:$T$44,$CU8,BG$57),""),1)="~",BG$58=1),"",LEFT(IFERROR(INDEX(醫師週班表!$C$5:$T$44,$CU8,BG$57),""),1)),IFERROR(INDEX(醫師週班表!$C$5:$T$44,$CU8,BG$57),""))))))</f>
        <v/>
      </c>
      <c r="BH8" s="68">
        <f>IF(BH$59="X","",IF(BH$59&lt;&gt;"",BH$59,IF(IFERROR(INDEX(醫師週班表!$C$5:$T$44,$CU8,BH$57),"")=0,"",IF(LEN(IFERROR(INDEX(醫師週班表!$C$5:$T$44,$CU8,BH$57),""))=4,MID(IFERROR(INDEX(醫師週班表!$C$5:$T$44,$CU8,BH$57),""),1+BH$58*2,1),IF(LEN(IFERROR(INDEX(醫師週班表!$C$5:$T$44,$CU8,BH$57),""))=2,IF(AND(RIGHT(IFERROR(INDEX(醫師週班表!$C$5:$T$44,$CU8,BH$57),""),1)="~",BH$58=1),"",LEFT(IFERROR(INDEX(醫師週班表!$C$5:$T$44,$CU8,BH$57),""),1)),IFERROR(INDEX(醫師週班表!$C$5:$T$44,$CU8,BH$57),""))))))</f>
        <v/>
      </c>
      <c r="BI8" s="68">
        <f>IF(BI$59="X","",IF(BI$59&lt;&gt;"",BI$59,IF(IFERROR(INDEX(醫師週班表!$C$5:$T$44,$CU8,BI$57),"")=0,"",IF(LEN(IFERROR(INDEX(醫師週班表!$C$5:$T$44,$CU8,BI$57),""))=4,MID(IFERROR(INDEX(醫師週班表!$C$5:$T$44,$CU8,BI$57),""),1+BI$58*2,1),IF(LEN(IFERROR(INDEX(醫師週班表!$C$5:$T$44,$CU8,BI$57),""))=2,IF(AND(RIGHT(IFERROR(INDEX(醫師週班表!$C$5:$T$44,$CU8,BI$57),""),1)="~",BI$58=1),"",LEFT(IFERROR(INDEX(醫師週班表!$C$5:$T$44,$CU8,BI$57),""),1)),IFERROR(INDEX(醫師週班表!$C$5:$T$44,$CU8,BI$57),""))))))</f>
        <v/>
      </c>
      <c r="BJ8" s="67">
        <f>IF(BJ$59="X","",IF(BJ$59&lt;&gt;"",BJ$59,IF(IFERROR(INDEX(醫師週班表!$C$5:$T$44,$CU8,BJ$57),"")=0,"",IF(LEN(IFERROR(INDEX(醫師週班表!$C$5:$T$44,$CU8,BJ$57),""))=4,MID(IFERROR(INDEX(醫師週班表!$C$5:$T$44,$CU8,BJ$57),""),1+BJ$58*2,1),IF(LEN(IFERROR(INDEX(醫師週班表!$C$5:$T$44,$CU8,BJ$57),""))=2,IF(AND(RIGHT(IFERROR(INDEX(醫師週班表!$C$5:$T$44,$CU8,BJ$57),""),1)="~",BJ$58=1),"",LEFT(IFERROR(INDEX(醫師週班表!$C$5:$T$44,$CU8,BJ$57),""),1)),IFERROR(INDEX(醫師週班表!$C$5:$T$44,$CU8,BJ$57),""))))))</f>
        <v/>
      </c>
      <c r="BK8" s="68">
        <f>IF(BK$59="X","",IF(BK$59&lt;&gt;"",BK$59,IF(IFERROR(INDEX(醫師週班表!$C$5:$T$44,$CU8,BK$57),"")=0,"",IF(LEN(IFERROR(INDEX(醫師週班表!$C$5:$T$44,$CU8,BK$57),""))=4,MID(IFERROR(INDEX(醫師週班表!$C$5:$T$44,$CU8,BK$57),""),1+BK$58*2,1),IF(LEN(IFERROR(INDEX(醫師週班表!$C$5:$T$44,$CU8,BK$57),""))=2,IF(AND(RIGHT(IFERROR(INDEX(醫師週班表!$C$5:$T$44,$CU8,BK$57),""),1)="~",BK$58=1),"",LEFT(IFERROR(INDEX(醫師週班表!$C$5:$T$44,$CU8,BK$57),""),1)),IFERROR(INDEX(醫師週班表!$C$5:$T$44,$CU8,BK$57),""))))))</f>
        <v/>
      </c>
      <c r="BL8" s="68">
        <f>IF(BL$59="X","",IF(BL$59&lt;&gt;"",BL$59,IF(IFERROR(INDEX(醫師週班表!$C$5:$T$44,$CU8,BL$57),"")=0,"",IF(LEN(IFERROR(INDEX(醫師週班表!$C$5:$T$44,$CU8,BL$57),""))=4,MID(IFERROR(INDEX(醫師週班表!$C$5:$T$44,$CU8,BL$57),""),1+BL$58*2,1),IF(LEN(IFERROR(INDEX(醫師週班表!$C$5:$T$44,$CU8,BL$57),""))=2,IF(AND(RIGHT(IFERROR(INDEX(醫師週班表!$C$5:$T$44,$CU8,BL$57),""),1)="~",BL$58=1),"",LEFT(IFERROR(INDEX(醫師週班表!$C$5:$T$44,$CU8,BL$57),""),1)),IFERROR(INDEX(醫師週班表!$C$5:$T$44,$CU8,BL$57),""))))))</f>
        <v/>
      </c>
      <c r="BM8" s="67">
        <f>IF(BM$59="X","",IF(BM$59&lt;&gt;"",BM$59,IF(IFERROR(INDEX(醫師週班表!$C$5:$T$44,$CU8,BM$57),"")=0,"",IF(LEN(IFERROR(INDEX(醫師週班表!$C$5:$T$44,$CU8,BM$57),""))=4,MID(IFERROR(INDEX(醫師週班表!$C$5:$T$44,$CU8,BM$57),""),1+BM$58*2,1),IF(LEN(IFERROR(INDEX(醫師週班表!$C$5:$T$44,$CU8,BM$57),""))=2,IF(AND(RIGHT(IFERROR(INDEX(醫師週班表!$C$5:$T$44,$CU8,BM$57),""),1)="~",BM$58=1),"",LEFT(IFERROR(INDEX(醫師週班表!$C$5:$T$44,$CU8,BM$57),""),1)),IFERROR(INDEX(醫師週班表!$C$5:$T$44,$CU8,BM$57),""))))))</f>
        <v/>
      </c>
      <c r="BN8" s="68">
        <f>IF(BN$59="X","",IF(BN$59&lt;&gt;"",BN$59,IF(IFERROR(INDEX(醫師週班表!$C$5:$T$44,$CU8,BN$57),"")=0,"",IF(LEN(IFERROR(INDEX(醫師週班表!$C$5:$T$44,$CU8,BN$57),""))=4,MID(IFERROR(INDEX(醫師週班表!$C$5:$T$44,$CU8,BN$57),""),1+BN$58*2,1),IF(LEN(IFERROR(INDEX(醫師週班表!$C$5:$T$44,$CU8,BN$57),""))=2,IF(AND(RIGHT(IFERROR(INDEX(醫師週班表!$C$5:$T$44,$CU8,BN$57),""),1)="~",BN$58=1),"",LEFT(IFERROR(INDEX(醫師週班表!$C$5:$T$44,$CU8,BN$57),""),1)),IFERROR(INDEX(醫師週班表!$C$5:$T$44,$CU8,BN$57),""))))))</f>
        <v/>
      </c>
      <c r="BO8" s="68">
        <f>IF(BO$59="X","",IF(BO$59&lt;&gt;"",BO$59,IF(IFERROR(INDEX(醫師週班表!$C$5:$T$44,$CU8,BO$57),"")=0,"",IF(LEN(IFERROR(INDEX(醫師週班表!$C$5:$T$44,$CU8,BO$57),""))=4,MID(IFERROR(INDEX(醫師週班表!$C$5:$T$44,$CU8,BO$57),""),1+BO$58*2,1),IF(LEN(IFERROR(INDEX(醫師週班表!$C$5:$T$44,$CU8,BO$57),""))=2,IF(AND(RIGHT(IFERROR(INDEX(醫師週班表!$C$5:$T$44,$CU8,BO$57),""),1)="~",BO$58=1),"",LEFT(IFERROR(INDEX(醫師週班表!$C$5:$T$44,$CU8,BO$57),""),1)),IFERROR(INDEX(醫師週班表!$C$5:$T$44,$CU8,BO$57),""))))))</f>
        <v/>
      </c>
      <c r="BP8" s="67">
        <f>IF(BP$59="X","",IF(BP$59&lt;&gt;"",BP$59,IF(IFERROR(INDEX(醫師週班表!$C$5:$T$44,$CU8,BP$57),"")=0,"",IF(LEN(IFERROR(INDEX(醫師週班表!$C$5:$T$44,$CU8,BP$57),""))=4,MID(IFERROR(INDEX(醫師週班表!$C$5:$T$44,$CU8,BP$57),""),1+BP$58*2,1),IF(LEN(IFERROR(INDEX(醫師週班表!$C$5:$T$44,$CU8,BP$57),""))=2,IF(AND(RIGHT(IFERROR(INDEX(醫師週班表!$C$5:$T$44,$CU8,BP$57),""),1)="~",BP$58=1),"",LEFT(IFERROR(INDEX(醫師週班表!$C$5:$T$44,$CU8,BP$57),""),1)),IFERROR(INDEX(醫師週班表!$C$5:$T$44,$CU8,BP$57),""))))))</f>
        <v/>
      </c>
      <c r="BQ8" s="68">
        <f>IF(BQ$59="X","",IF(BQ$59&lt;&gt;"",BQ$59,IF(IFERROR(INDEX(醫師週班表!$C$5:$T$44,$CU8,BQ$57),"")=0,"",IF(LEN(IFERROR(INDEX(醫師週班表!$C$5:$T$44,$CU8,BQ$57),""))=4,MID(IFERROR(INDEX(醫師週班表!$C$5:$T$44,$CU8,BQ$57),""),1+BQ$58*2,1),IF(LEN(IFERROR(INDEX(醫師週班表!$C$5:$T$44,$CU8,BQ$57),""))=2,IF(AND(RIGHT(IFERROR(INDEX(醫師週班表!$C$5:$T$44,$CU8,BQ$57),""),1)="~",BQ$58=1),"",LEFT(IFERROR(INDEX(醫師週班表!$C$5:$T$44,$CU8,BQ$57),""),1)),IFERROR(INDEX(醫師週班表!$C$5:$T$44,$CU8,BQ$57),""))))))</f>
        <v/>
      </c>
      <c r="BR8" s="68">
        <f>IF(BR$59="X","",IF(BR$59&lt;&gt;"",BR$59,IF(IFERROR(INDEX(醫師週班表!$C$5:$T$44,$CU8,BR$57),"")=0,"",IF(LEN(IFERROR(INDEX(醫師週班表!$C$5:$T$44,$CU8,BR$57),""))=4,MID(IFERROR(INDEX(醫師週班表!$C$5:$T$44,$CU8,BR$57),""),1+BR$58*2,1),IF(LEN(IFERROR(INDEX(醫師週班表!$C$5:$T$44,$CU8,BR$57),""))=2,IF(AND(RIGHT(IFERROR(INDEX(醫師週班表!$C$5:$T$44,$CU8,BR$57),""),1)="~",BR$58=1),"",LEFT(IFERROR(INDEX(醫師週班表!$C$5:$T$44,$CU8,BR$57),""),1)),IFERROR(INDEX(醫師週班表!$C$5:$T$44,$CU8,BR$57),""))))))</f>
        <v/>
      </c>
      <c r="BS8" s="67">
        <f>IF(BS$59="X","",IF(BS$59&lt;&gt;"",BS$59,IF(IFERROR(INDEX(醫師週班表!$C$5:$T$44,$CU8,BS$57),"")=0,"",IF(LEN(IFERROR(INDEX(醫師週班表!$C$5:$T$44,$CU8,BS$57),""))=4,MID(IFERROR(INDEX(醫師週班表!$C$5:$T$44,$CU8,BS$57),""),1+BS$58*2,1),IF(LEN(IFERROR(INDEX(醫師週班表!$C$5:$T$44,$CU8,BS$57),""))=2,IF(AND(RIGHT(IFERROR(INDEX(醫師週班表!$C$5:$T$44,$CU8,BS$57),""),1)="~",BS$58=1),"",LEFT(IFERROR(INDEX(醫師週班表!$C$5:$T$44,$CU8,BS$57),""),1)),IFERROR(INDEX(醫師週班表!$C$5:$T$44,$CU8,BS$57),""))))))</f>
        <v/>
      </c>
      <c r="BT8" s="68">
        <f>IF(BT$59="X","",IF(BT$59&lt;&gt;"",BT$59,IF(IFERROR(INDEX(醫師週班表!$C$5:$T$44,$CU8,BT$57),"")=0,"",IF(LEN(IFERROR(INDEX(醫師週班表!$C$5:$T$44,$CU8,BT$57),""))=4,MID(IFERROR(INDEX(醫師週班表!$C$5:$T$44,$CU8,BT$57),""),1+BT$58*2,1),IF(LEN(IFERROR(INDEX(醫師週班表!$C$5:$T$44,$CU8,BT$57),""))=2,IF(AND(RIGHT(IFERROR(INDEX(醫師週班表!$C$5:$T$44,$CU8,BT$57),""),1)="~",BT$58=1),"",LEFT(IFERROR(INDEX(醫師週班表!$C$5:$T$44,$CU8,BT$57),""),1)),IFERROR(INDEX(醫師週班表!$C$5:$T$44,$CU8,BT$57),""))))))</f>
        <v/>
      </c>
      <c r="BU8" s="68">
        <f>IF(BU$59="X","",IF(BU$59&lt;&gt;"",BU$59,IF(IFERROR(INDEX(醫師週班表!$C$5:$T$44,$CU8,BU$57),"")=0,"",IF(LEN(IFERROR(INDEX(醫師週班表!$C$5:$T$44,$CU8,BU$57),""))=4,MID(IFERROR(INDEX(醫師週班表!$C$5:$T$44,$CU8,BU$57),""),1+BU$58*2,1),IF(LEN(IFERROR(INDEX(醫師週班表!$C$5:$T$44,$CU8,BU$57),""))=2,IF(AND(RIGHT(IFERROR(INDEX(醫師週班表!$C$5:$T$44,$CU8,BU$57),""),1)="~",BU$58=1),"",LEFT(IFERROR(INDEX(醫師週班表!$C$5:$T$44,$CU8,BU$57),""),1)),IFERROR(INDEX(醫師週班表!$C$5:$T$44,$CU8,BU$57),""))))))</f>
        <v/>
      </c>
      <c r="BV8" s="67">
        <f>IF(BV$59="X","",IF(BV$59&lt;&gt;"",BV$59,IF(IFERROR(INDEX(醫師週班表!$C$5:$T$44,$CU8,BV$57),"")=0,"",IF(LEN(IFERROR(INDEX(醫師週班表!$C$5:$T$44,$CU8,BV$57),""))=4,MID(IFERROR(INDEX(醫師週班表!$C$5:$T$44,$CU8,BV$57),""),1+BV$58*2,1),IF(LEN(IFERROR(INDEX(醫師週班表!$C$5:$T$44,$CU8,BV$57),""))=2,IF(AND(RIGHT(IFERROR(INDEX(醫師週班表!$C$5:$T$44,$CU8,BV$57),""),1)="~",BV$58=1),"",LEFT(IFERROR(INDEX(醫師週班表!$C$5:$T$44,$CU8,BV$57),""),1)),IFERROR(INDEX(醫師週班表!$C$5:$T$44,$CU8,BV$57),""))))))</f>
        <v/>
      </c>
      <c r="BW8" s="68">
        <f>IF(BW$59="X","",IF(BW$59&lt;&gt;"",BW$59,IF(IFERROR(INDEX(醫師週班表!$C$5:$T$44,$CU8,BW$57),"")=0,"",IF(LEN(IFERROR(INDEX(醫師週班表!$C$5:$T$44,$CU8,BW$57),""))=4,MID(IFERROR(INDEX(醫師週班表!$C$5:$T$44,$CU8,BW$57),""),1+BW$58*2,1),IF(LEN(IFERROR(INDEX(醫師週班表!$C$5:$T$44,$CU8,BW$57),""))=2,IF(AND(RIGHT(IFERROR(INDEX(醫師週班表!$C$5:$T$44,$CU8,BW$57),""),1)="~",BW$58=1),"",LEFT(IFERROR(INDEX(醫師週班表!$C$5:$T$44,$CU8,BW$57),""),1)),IFERROR(INDEX(醫師週班表!$C$5:$T$44,$CU8,BW$57),""))))))</f>
        <v/>
      </c>
      <c r="BX8" s="68">
        <f>IF(BX$59="X","",IF(BX$59&lt;&gt;"",BX$59,IF(IFERROR(INDEX(醫師週班表!$C$5:$T$44,$CU8,BX$57),"")=0,"",IF(LEN(IFERROR(INDEX(醫師週班表!$C$5:$T$44,$CU8,BX$57),""))=4,MID(IFERROR(INDEX(醫師週班表!$C$5:$T$44,$CU8,BX$57),""),1+BX$58*2,1),IF(LEN(IFERROR(INDEX(醫師週班表!$C$5:$T$44,$CU8,BX$57),""))=2,IF(AND(RIGHT(IFERROR(INDEX(醫師週班表!$C$5:$T$44,$CU8,BX$57),""),1)="~",BX$58=1),"",LEFT(IFERROR(INDEX(醫師週班表!$C$5:$T$44,$CU8,BX$57),""),1)),IFERROR(INDEX(醫師週班表!$C$5:$T$44,$CU8,BX$57),""))))))</f>
        <v/>
      </c>
      <c r="BY8" s="67">
        <f>IF(BY$59="X","",IF(BY$59&lt;&gt;"",BY$59,IF(IFERROR(INDEX(醫師週班表!$C$5:$T$44,$CU8,BY$57),"")=0,"",IF(LEN(IFERROR(INDEX(醫師週班表!$C$5:$T$44,$CU8,BY$57),""))=4,MID(IFERROR(INDEX(醫師週班表!$C$5:$T$44,$CU8,BY$57),""),1+BY$58*2,1),IF(LEN(IFERROR(INDEX(醫師週班表!$C$5:$T$44,$CU8,BY$57),""))=2,IF(AND(RIGHT(IFERROR(INDEX(醫師週班表!$C$5:$T$44,$CU8,BY$57),""),1)="~",BY$58=1),"",LEFT(IFERROR(INDEX(醫師週班表!$C$5:$T$44,$CU8,BY$57),""),1)),IFERROR(INDEX(醫師週班表!$C$5:$T$44,$CU8,BY$57),""))))))</f>
        <v/>
      </c>
      <c r="BZ8" s="68">
        <f>IF(BZ$59="X","",IF(BZ$59&lt;&gt;"",BZ$59,IF(IFERROR(INDEX(醫師週班表!$C$5:$T$44,$CU8,BZ$57),"")=0,"",IF(LEN(IFERROR(INDEX(醫師週班表!$C$5:$T$44,$CU8,BZ$57),""))=4,MID(IFERROR(INDEX(醫師週班表!$C$5:$T$44,$CU8,BZ$57),""),1+BZ$58*2,1),IF(LEN(IFERROR(INDEX(醫師週班表!$C$5:$T$44,$CU8,BZ$57),""))=2,IF(AND(RIGHT(IFERROR(INDEX(醫師週班表!$C$5:$T$44,$CU8,BZ$57),""),1)="~",BZ$58=1),"",LEFT(IFERROR(INDEX(醫師週班表!$C$5:$T$44,$CU8,BZ$57),""),1)),IFERROR(INDEX(醫師週班表!$C$5:$T$44,$CU8,BZ$57),""))))))</f>
        <v/>
      </c>
      <c r="CA8" s="68">
        <f>IF(CA$59="X","",IF(CA$59&lt;&gt;"",CA$59,IF(IFERROR(INDEX(醫師週班表!$C$5:$T$44,$CU8,CA$57),"")=0,"",IF(LEN(IFERROR(INDEX(醫師週班表!$C$5:$T$44,$CU8,CA$57),""))=4,MID(IFERROR(INDEX(醫師週班表!$C$5:$T$44,$CU8,CA$57),""),1+CA$58*2,1),IF(LEN(IFERROR(INDEX(醫師週班表!$C$5:$T$44,$CU8,CA$57),""))=2,IF(AND(RIGHT(IFERROR(INDEX(醫師週班表!$C$5:$T$44,$CU8,CA$57),""),1)="~",CA$58=1),"",LEFT(IFERROR(INDEX(醫師週班表!$C$5:$T$44,$CU8,CA$57),""),1)),IFERROR(INDEX(醫師週班表!$C$5:$T$44,$CU8,CA$57),""))))))</f>
        <v/>
      </c>
      <c r="CB8" s="67">
        <f>IF(CB$59="X","",IF(CB$59&lt;&gt;"",CB$59,IF(IFERROR(INDEX(醫師週班表!$C$5:$T$44,$CU8,CB$57),"")=0,"",IF(LEN(IFERROR(INDEX(醫師週班表!$C$5:$T$44,$CU8,CB$57),""))=4,MID(IFERROR(INDEX(醫師週班表!$C$5:$T$44,$CU8,CB$57),""),1+CB$58*2,1),IF(LEN(IFERROR(INDEX(醫師週班表!$C$5:$T$44,$CU8,CB$57),""))=2,IF(AND(RIGHT(IFERROR(INDEX(醫師週班表!$C$5:$T$44,$CU8,CB$57),""),1)="~",CB$58=1),"",LEFT(IFERROR(INDEX(醫師週班表!$C$5:$T$44,$CU8,CB$57),""),1)),IFERROR(INDEX(醫師週班表!$C$5:$T$44,$CU8,CB$57),""))))))</f>
        <v/>
      </c>
      <c r="CC8" s="68">
        <f>IF(CC$59="X","",IF(CC$59&lt;&gt;"",CC$59,IF(IFERROR(INDEX(醫師週班表!$C$5:$T$44,$CU8,CC$57),"")=0,"",IF(LEN(IFERROR(INDEX(醫師週班表!$C$5:$T$44,$CU8,CC$57),""))=4,MID(IFERROR(INDEX(醫師週班表!$C$5:$T$44,$CU8,CC$57),""),1+CC$58*2,1),IF(LEN(IFERROR(INDEX(醫師週班表!$C$5:$T$44,$CU8,CC$57),""))=2,IF(AND(RIGHT(IFERROR(INDEX(醫師週班表!$C$5:$T$44,$CU8,CC$57),""),1)="~",CC$58=1),"",LEFT(IFERROR(INDEX(醫師週班表!$C$5:$T$44,$CU8,CC$57),""),1)),IFERROR(INDEX(醫師週班表!$C$5:$T$44,$CU8,CC$57),""))))))</f>
        <v/>
      </c>
      <c r="CD8" s="68">
        <f>IF(CD$59="X","",IF(CD$59&lt;&gt;"",CD$59,IF(IFERROR(INDEX(醫師週班表!$C$5:$T$44,$CU8,CD$57),"")=0,"",IF(LEN(IFERROR(INDEX(醫師週班表!$C$5:$T$44,$CU8,CD$57),""))=4,MID(IFERROR(INDEX(醫師週班表!$C$5:$T$44,$CU8,CD$57),""),1+CD$58*2,1),IF(LEN(IFERROR(INDEX(醫師週班表!$C$5:$T$44,$CU8,CD$57),""))=2,IF(AND(RIGHT(IFERROR(INDEX(醫師週班表!$C$5:$T$44,$CU8,CD$57),""),1)="~",CD$58=1),"",LEFT(IFERROR(INDEX(醫師週班表!$C$5:$T$44,$CU8,CD$57),""),1)),IFERROR(INDEX(醫師週班表!$C$5:$T$44,$CU8,CD$57),""))))))</f>
        <v/>
      </c>
      <c r="CE8" s="67">
        <f>IF(CE$59="X","",IF(CE$59&lt;&gt;"",CE$59,IF(IFERROR(INDEX(醫師週班表!$C$5:$T$44,$CU8,CE$57),"")=0,"",IF(LEN(IFERROR(INDEX(醫師週班表!$C$5:$T$44,$CU8,CE$57),""))=4,MID(IFERROR(INDEX(醫師週班表!$C$5:$T$44,$CU8,CE$57),""),1+CE$58*2,1),IF(LEN(IFERROR(INDEX(醫師週班表!$C$5:$T$44,$CU8,CE$57),""))=2,IF(AND(RIGHT(IFERROR(INDEX(醫師週班表!$C$5:$T$44,$CU8,CE$57),""),1)="~",CE$58=1),"",LEFT(IFERROR(INDEX(醫師週班表!$C$5:$T$44,$CU8,CE$57),""),1)),IFERROR(INDEX(醫師週班表!$C$5:$T$44,$CU8,CE$57),""))))))</f>
        <v/>
      </c>
      <c r="CF8" s="68">
        <f>IF(CF$59="X","",IF(CF$59&lt;&gt;"",CF$59,IF(IFERROR(INDEX(醫師週班表!$C$5:$T$44,$CU8,CF$57),"")=0,"",IF(LEN(IFERROR(INDEX(醫師週班表!$C$5:$T$44,$CU8,CF$57),""))=4,MID(IFERROR(INDEX(醫師週班表!$C$5:$T$44,$CU8,CF$57),""),1+CF$58*2,1),IF(LEN(IFERROR(INDEX(醫師週班表!$C$5:$T$44,$CU8,CF$57),""))=2,IF(AND(RIGHT(IFERROR(INDEX(醫師週班表!$C$5:$T$44,$CU8,CF$57),""),1)="~",CF$58=1),"",LEFT(IFERROR(INDEX(醫師週班表!$C$5:$T$44,$CU8,CF$57),""),1)),IFERROR(INDEX(醫師週班表!$C$5:$T$44,$CU8,CF$57),""))))))</f>
        <v/>
      </c>
      <c r="CG8" s="68">
        <f>IF(CG$59="X","",IF(CG$59&lt;&gt;"",CG$59,IF(IFERROR(INDEX(醫師週班表!$C$5:$T$44,$CU8,CG$57),"")=0,"",IF(LEN(IFERROR(INDEX(醫師週班表!$C$5:$T$44,$CU8,CG$57),""))=4,MID(IFERROR(INDEX(醫師週班表!$C$5:$T$44,$CU8,CG$57),""),1+CG$58*2,1),IF(LEN(IFERROR(INDEX(醫師週班表!$C$5:$T$44,$CU8,CG$57),""))=2,IF(AND(RIGHT(IFERROR(INDEX(醫師週班表!$C$5:$T$44,$CU8,CG$57),""),1)="~",CG$58=1),"",LEFT(IFERROR(INDEX(醫師週班表!$C$5:$T$44,$CU8,CG$57),""),1)),IFERROR(INDEX(醫師週班表!$C$5:$T$44,$CU8,CG$57),""))))))</f>
        <v/>
      </c>
      <c r="CH8" s="67">
        <f>IF(CH$59="X","",IF(CH$59&lt;&gt;"",CH$59,IF(IFERROR(INDEX(醫師週班表!$C$5:$T$44,$CU8,CH$57),"")=0,"",IF(LEN(IFERROR(INDEX(醫師週班表!$C$5:$T$44,$CU8,CH$57),""))=4,MID(IFERROR(INDEX(醫師週班表!$C$5:$T$44,$CU8,CH$57),""),1+CH$58*2,1),IF(LEN(IFERROR(INDEX(醫師週班表!$C$5:$T$44,$CU8,CH$57),""))=2,IF(AND(RIGHT(IFERROR(INDEX(醫師週班表!$C$5:$T$44,$CU8,CH$57),""),1)="~",CH$58=1),"",LEFT(IFERROR(INDEX(醫師週班表!$C$5:$T$44,$CU8,CH$57),""),1)),IFERROR(INDEX(醫師週班表!$C$5:$T$44,$CU8,CH$57),""))))))</f>
        <v/>
      </c>
      <c r="CI8" s="68">
        <f>IF(CI$59="X","",IF(CI$59&lt;&gt;"",CI$59,IF(IFERROR(INDEX(醫師週班表!$C$5:$T$44,$CU8,CI$57),"")=0,"",IF(LEN(IFERROR(INDEX(醫師週班表!$C$5:$T$44,$CU8,CI$57),""))=4,MID(IFERROR(INDEX(醫師週班表!$C$5:$T$44,$CU8,CI$57),""),1+CI$58*2,1),IF(LEN(IFERROR(INDEX(醫師週班表!$C$5:$T$44,$CU8,CI$57),""))=2,IF(AND(RIGHT(IFERROR(INDEX(醫師週班表!$C$5:$T$44,$CU8,CI$57),""),1)="~",CI$58=1),"",LEFT(IFERROR(INDEX(醫師週班表!$C$5:$T$44,$CU8,CI$57),""),1)),IFERROR(INDEX(醫師週班表!$C$5:$T$44,$CU8,CI$57),""))))))</f>
        <v/>
      </c>
      <c r="CJ8" s="68">
        <f>IF(CJ$59="X","",IF(CJ$59&lt;&gt;"",CJ$59,IF(IFERROR(INDEX(醫師週班表!$C$5:$T$44,$CU8,CJ$57),"")=0,"",IF(LEN(IFERROR(INDEX(醫師週班表!$C$5:$T$44,$CU8,CJ$57),""))=4,MID(IFERROR(INDEX(醫師週班表!$C$5:$T$44,$CU8,CJ$57),""),1+CJ$58*2,1),IF(LEN(IFERROR(INDEX(醫師週班表!$C$5:$T$44,$CU8,CJ$57),""))=2,IF(AND(RIGHT(IFERROR(INDEX(醫師週班表!$C$5:$T$44,$CU8,CJ$57),""),1)="~",CJ$58=1),"",LEFT(IFERROR(INDEX(醫師週班表!$C$5:$T$44,$CU8,CJ$57),""),1)),IFERROR(INDEX(醫師週班表!$C$5:$T$44,$CU8,CJ$57),""))))))</f>
        <v/>
      </c>
      <c r="CK8" s="67">
        <f>IF(CK$59="X","",IF(CK$59&lt;&gt;"",CK$59,IF(IFERROR(INDEX(醫師週班表!$C$5:$T$44,$CU8,CK$57),"")=0,"",IF(LEN(IFERROR(INDEX(醫師週班表!$C$5:$T$44,$CU8,CK$57),""))=4,MID(IFERROR(INDEX(醫師週班表!$C$5:$T$44,$CU8,CK$57),""),1+CK$58*2,1),IF(LEN(IFERROR(INDEX(醫師週班表!$C$5:$T$44,$CU8,CK$57),""))=2,IF(AND(RIGHT(IFERROR(INDEX(醫師週班表!$C$5:$T$44,$CU8,CK$57),""),1)="~",CK$58=1),"",LEFT(IFERROR(INDEX(醫師週班表!$C$5:$T$44,$CU8,CK$57),""),1)),IFERROR(INDEX(醫師週班表!$C$5:$T$44,$CU8,CK$57),""))))))</f>
        <v/>
      </c>
      <c r="CL8" s="68">
        <f>IF(CL$59="X","",IF(CL$59&lt;&gt;"",CL$59,IF(IFERROR(INDEX(醫師週班表!$C$5:$T$44,$CU8,CL$57),"")=0,"",IF(LEN(IFERROR(INDEX(醫師週班表!$C$5:$T$44,$CU8,CL$57),""))=4,MID(IFERROR(INDEX(醫師週班表!$C$5:$T$44,$CU8,CL$57),""),1+CL$58*2,1),IF(LEN(IFERROR(INDEX(醫師週班表!$C$5:$T$44,$CU8,CL$57),""))=2,IF(AND(RIGHT(IFERROR(INDEX(醫師週班表!$C$5:$T$44,$CU8,CL$57),""),1)="~",CL$58=1),"",LEFT(IFERROR(INDEX(醫師週班表!$C$5:$T$44,$CU8,CL$57),""),1)),IFERROR(INDEX(醫師週班表!$C$5:$T$44,$CU8,CL$57),""))))))</f>
        <v/>
      </c>
      <c r="CM8" s="68">
        <f>IF(CM$59="X","",IF(CM$59&lt;&gt;"",CM$59,IF(IFERROR(INDEX(醫師週班表!$C$5:$T$44,$CU8,CM$57),"")=0,"",IF(LEN(IFERROR(INDEX(醫師週班表!$C$5:$T$44,$CU8,CM$57),""))=4,MID(IFERROR(INDEX(醫師週班表!$C$5:$T$44,$CU8,CM$57),""),1+CM$58*2,1),IF(LEN(IFERROR(INDEX(醫師週班表!$C$5:$T$44,$CU8,CM$57),""))=2,IF(AND(RIGHT(IFERROR(INDEX(醫師週班表!$C$5:$T$44,$CU8,CM$57),""),1)="~",CM$58=1),"",LEFT(IFERROR(INDEX(醫師週班表!$C$5:$T$44,$CU8,CM$57),""),1)),IFERROR(INDEX(醫師週班表!$C$5:$T$44,$CU8,CM$57),""))))))</f>
        <v/>
      </c>
      <c r="CN8" s="67">
        <f>IF(CN$59="X","",IF(CN$59&lt;&gt;"",CN$59,IF(IFERROR(INDEX(醫師週班表!$C$5:$T$44,$CU8,CN$57),"")=0,"",IF(LEN(IFERROR(INDEX(醫師週班表!$C$5:$T$44,$CU8,CN$57),""))=4,MID(IFERROR(INDEX(醫師週班表!$C$5:$T$44,$CU8,CN$57),""),1+CN$58*2,1),IF(LEN(IFERROR(INDEX(醫師週班表!$C$5:$T$44,$CU8,CN$57),""))=2,IF(AND(RIGHT(IFERROR(INDEX(醫師週班表!$C$5:$T$44,$CU8,CN$57),""),1)="~",CN$58=1),"",LEFT(IFERROR(INDEX(醫師週班表!$C$5:$T$44,$CU8,CN$57),""),1)),IFERROR(INDEX(醫師週班表!$C$5:$T$44,$CU8,CN$57),""))))))</f>
        <v/>
      </c>
      <c r="CO8" s="68">
        <f>IF(CO$59="X","",IF(CO$59&lt;&gt;"",CO$59,IF(IFERROR(INDEX(醫師週班表!$C$5:$T$44,$CU8,CO$57),"")=0,"",IF(LEN(IFERROR(INDEX(醫師週班表!$C$5:$T$44,$CU8,CO$57),""))=4,MID(IFERROR(INDEX(醫師週班表!$C$5:$T$44,$CU8,CO$57),""),1+CO$58*2,1),IF(LEN(IFERROR(INDEX(醫師週班表!$C$5:$T$44,$CU8,CO$57),""))=2,IF(AND(RIGHT(IFERROR(INDEX(醫師週班表!$C$5:$T$44,$CU8,CO$57),""),1)="~",CO$58=1),"",LEFT(IFERROR(INDEX(醫師週班表!$C$5:$T$44,$CU8,CO$57),""),1)),IFERROR(INDEX(醫師週班表!$C$5:$T$44,$CU8,CO$57),""))))))</f>
        <v/>
      </c>
      <c r="CP8" s="68">
        <f>IF(CP$59="X","",IF(CP$59&lt;&gt;"",CP$59,IF(IFERROR(INDEX(醫師週班表!$C$5:$T$44,$CU8,CP$57),"")=0,"",IF(LEN(IFERROR(INDEX(醫師週班表!$C$5:$T$44,$CU8,CP$57),""))=4,MID(IFERROR(INDEX(醫師週班表!$C$5:$T$44,$CU8,CP$57),""),1+CP$58*2,1),IF(LEN(IFERROR(INDEX(醫師週班表!$C$5:$T$44,$CU8,CP$57),""))=2,IF(AND(RIGHT(IFERROR(INDEX(醫師週班表!$C$5:$T$44,$CU8,CP$57),""),1)="~",CP$58=1),"",LEFT(IFERROR(INDEX(醫師週班表!$C$5:$T$44,$CU8,CP$57),""),1)),IFERROR(INDEX(醫師週班表!$C$5:$T$44,$CU8,CP$57),""))))))</f>
        <v/>
      </c>
      <c r="CQ8" s="67">
        <f>IF(CQ$59="X","",IF(CQ$59&lt;&gt;"",CQ$59,IF(IFERROR(INDEX(醫師週班表!$C$5:$T$44,$CU8,CQ$57),"")=0,"",IF(LEN(IFERROR(INDEX(醫師週班表!$C$5:$T$44,$CU8,CQ$57),""))=4,MID(IFERROR(INDEX(醫師週班表!$C$5:$T$44,$CU8,CQ$57),""),1+CQ$58*2,1),IF(LEN(IFERROR(INDEX(醫師週班表!$C$5:$T$44,$CU8,CQ$57),""))=2,IF(AND(RIGHT(IFERROR(INDEX(醫師週班表!$C$5:$T$44,$CU8,CQ$57),""),1)="~",CQ$58=1),"",LEFT(IFERROR(INDEX(醫師週班表!$C$5:$T$44,$CU8,CQ$57),""),1)),IFERROR(INDEX(醫師週班表!$C$5:$T$44,$CU8,CQ$57),""))))))</f>
        <v/>
      </c>
      <c r="CR8" s="68">
        <f>IF(CR$59="X","",IF(CR$59&lt;&gt;"",CR$59,IF(IFERROR(INDEX(醫師週班表!$C$5:$T$44,$CU8,CR$57),"")=0,"",IF(LEN(IFERROR(INDEX(醫師週班表!$C$5:$T$44,$CU8,CR$57),""))=4,MID(IFERROR(INDEX(醫師週班表!$C$5:$T$44,$CU8,CR$57),""),1+CR$58*2,1),IF(LEN(IFERROR(INDEX(醫師週班表!$C$5:$T$44,$CU8,CR$57),""))=2,IF(AND(RIGHT(IFERROR(INDEX(醫師週班表!$C$5:$T$44,$CU8,CR$57),""),1)="~",CR$58=1),"",LEFT(IFERROR(INDEX(醫師週班表!$C$5:$T$44,$CU8,CR$57),""),1)),IFERROR(INDEX(醫師週班表!$C$5:$T$44,$CU8,CR$57),""))))))</f>
        <v/>
      </c>
      <c r="CS8" s="68">
        <f>IF(CS$59="X","",IF(CS$59&lt;&gt;"",CS$59,IF(IFERROR(INDEX(醫師週班表!$C$5:$T$44,$CU8,CS$57),"")=0,"",IF(LEN(IFERROR(INDEX(醫師週班表!$C$5:$T$44,$CU8,CS$57),""))=4,MID(IFERROR(INDEX(醫師週班表!$C$5:$T$44,$CU8,CS$57),""),1+CS$58*2,1),IF(LEN(IFERROR(INDEX(醫師週班表!$C$5:$T$44,$CU8,CS$57),""))=2,IF(AND(RIGHT(IFERROR(INDEX(醫師週班表!$C$5:$T$44,$CU8,CS$57),""),1)="~",CS$58=1),"",LEFT(IFERROR(INDEX(醫師週班表!$C$5:$T$44,$CU8,CS$57),""),1)),IFERROR(INDEX(醫師週班表!$C$5:$T$44,$CU8,CS$57),""))))))</f>
        <v/>
      </c>
      <c r="CU8" s="69">
        <f>IFERROR(MATCH($A8,醫師週班表!$A$5:$A$44,0),0)</f>
        <v/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IFERROR(INDEX(醫師週班表!$C$5:$T$44,$CU9,E$57),"")=0,"",IF(LEN(IFERROR(INDEX(醫師週班表!$C$5:$T$44,$CU9,E$57),""))=4,MID(IFERROR(INDEX(醫師週班表!$C$5:$T$44,$CU9,E$57),""),1+E$58*2,1),IF(LEN(IFERROR(INDEX(醫師週班表!$C$5:$T$44,$CU9,E$57),""))=2,IF(AND(RIGHT(IFERROR(INDEX(醫師週班表!$C$5:$T$44,$CU9,E$57),""),1)="~",E$58=1),"",LEFT(IFERROR(INDEX(醫師週班表!$C$5:$T$44,$CU9,E$57),""),1)),IFERROR(INDEX(醫師週班表!$C$5:$T$44,$CU9,E$57),""))))))</f>
        <v/>
      </c>
      <c r="F9" s="68">
        <f>IF(F$59="X","",IF(F$59&lt;&gt;"",F$59,IF(IFERROR(INDEX(醫師週班表!$C$5:$T$44,$CU9,F$57),"")=0,"",IF(LEN(IFERROR(INDEX(醫師週班表!$C$5:$T$44,$CU9,F$57),""))=4,MID(IFERROR(INDEX(醫師週班表!$C$5:$T$44,$CU9,F$57),""),1+F$58*2,1),IF(LEN(IFERROR(INDEX(醫師週班表!$C$5:$T$44,$CU9,F$57),""))=2,IF(AND(RIGHT(IFERROR(INDEX(醫師週班表!$C$5:$T$44,$CU9,F$57),""),1)="~",F$58=1),"",LEFT(IFERROR(INDEX(醫師週班表!$C$5:$T$44,$CU9,F$57),""),1)),IFERROR(INDEX(醫師週班表!$C$5:$T$44,$CU9,F$57),""))))))</f>
        <v/>
      </c>
      <c r="G9" s="68">
        <f>IF(G$59="X","",IF(G$59&lt;&gt;"",G$59,IF(IFERROR(INDEX(醫師週班表!$C$5:$T$44,$CU9,G$57),"")=0,"",IF(LEN(IFERROR(INDEX(醫師週班表!$C$5:$T$44,$CU9,G$57),""))=4,MID(IFERROR(INDEX(醫師週班表!$C$5:$T$44,$CU9,G$57),""),1+G$58*2,1),IF(LEN(IFERROR(INDEX(醫師週班表!$C$5:$T$44,$CU9,G$57),""))=2,IF(AND(RIGHT(IFERROR(INDEX(醫師週班表!$C$5:$T$44,$CU9,G$57),""),1)="~",G$58=1),"",LEFT(IFERROR(INDEX(醫師週班表!$C$5:$T$44,$CU9,G$57),""),1)),IFERROR(INDEX(醫師週班表!$C$5:$T$44,$CU9,G$57),""))))))</f>
        <v/>
      </c>
      <c r="H9" s="67">
        <f>IF(H$59="X","",IF(H$59&lt;&gt;"",H$59,IF(IFERROR(INDEX(醫師週班表!$C$5:$T$44,$CU9,H$57),"")=0,"",IF(LEN(IFERROR(INDEX(醫師週班表!$C$5:$T$44,$CU9,H$57),""))=4,MID(IFERROR(INDEX(醫師週班表!$C$5:$T$44,$CU9,H$57),""),1+H$58*2,1),IF(LEN(IFERROR(INDEX(醫師週班表!$C$5:$T$44,$CU9,H$57),""))=2,IF(AND(RIGHT(IFERROR(INDEX(醫師週班表!$C$5:$T$44,$CU9,H$57),""),1)="~",H$58=1),"",LEFT(IFERROR(INDEX(醫師週班表!$C$5:$T$44,$CU9,H$57),""),1)),IFERROR(INDEX(醫師週班表!$C$5:$T$44,$CU9,H$57),""))))))</f>
        <v/>
      </c>
      <c r="I9" s="68">
        <f>IF(I$59="X","",IF(I$59&lt;&gt;"",I$59,IF(IFERROR(INDEX(醫師週班表!$C$5:$T$44,$CU9,I$57),"")=0,"",IF(LEN(IFERROR(INDEX(醫師週班表!$C$5:$T$44,$CU9,I$57),""))=4,MID(IFERROR(INDEX(醫師週班表!$C$5:$T$44,$CU9,I$57),""),1+I$58*2,1),IF(LEN(IFERROR(INDEX(醫師週班表!$C$5:$T$44,$CU9,I$57),""))=2,IF(AND(RIGHT(IFERROR(INDEX(醫師週班表!$C$5:$T$44,$CU9,I$57),""),1)="~",I$58=1),"",LEFT(IFERROR(INDEX(醫師週班表!$C$5:$T$44,$CU9,I$57),""),1)),IFERROR(INDEX(醫師週班表!$C$5:$T$44,$CU9,I$57),""))))))</f>
        <v/>
      </c>
      <c r="J9" s="68">
        <f>IF(J$59="X","",IF(J$59&lt;&gt;"",J$59,IF(IFERROR(INDEX(醫師週班表!$C$5:$T$44,$CU9,J$57),"")=0,"",IF(LEN(IFERROR(INDEX(醫師週班表!$C$5:$T$44,$CU9,J$57),""))=4,MID(IFERROR(INDEX(醫師週班表!$C$5:$T$44,$CU9,J$57),""),1+J$58*2,1),IF(LEN(IFERROR(INDEX(醫師週班表!$C$5:$T$44,$CU9,J$57),""))=2,IF(AND(RIGHT(IFERROR(INDEX(醫師週班表!$C$5:$T$44,$CU9,J$57),""),1)="~",J$58=1),"",LEFT(IFERROR(INDEX(醫師週班表!$C$5:$T$44,$CU9,J$57),""),1)),IFERROR(INDEX(醫師週班表!$C$5:$T$44,$CU9,J$57),""))))))</f>
        <v/>
      </c>
      <c r="K9" s="67">
        <f>IF(K$59="X","",IF(K$59&lt;&gt;"",K$59,IF(IFERROR(INDEX(醫師週班表!$C$5:$T$44,$CU9,K$57),"")=0,"",IF(LEN(IFERROR(INDEX(醫師週班表!$C$5:$T$44,$CU9,K$57),""))=4,MID(IFERROR(INDEX(醫師週班表!$C$5:$T$44,$CU9,K$57),""),1+K$58*2,1),IF(LEN(IFERROR(INDEX(醫師週班表!$C$5:$T$44,$CU9,K$57),""))=2,IF(AND(RIGHT(IFERROR(INDEX(醫師週班表!$C$5:$T$44,$CU9,K$57),""),1)="~",K$58=1),"",LEFT(IFERROR(INDEX(醫師週班表!$C$5:$T$44,$CU9,K$57),""),1)),IFERROR(INDEX(醫師週班表!$C$5:$T$44,$CU9,K$57),""))))))</f>
        <v/>
      </c>
      <c r="L9" s="68">
        <f>IF(L$59="X","",IF(L$59&lt;&gt;"",L$59,IF(IFERROR(INDEX(醫師週班表!$C$5:$T$44,$CU9,L$57),"")=0,"",IF(LEN(IFERROR(INDEX(醫師週班表!$C$5:$T$44,$CU9,L$57),""))=4,MID(IFERROR(INDEX(醫師週班表!$C$5:$T$44,$CU9,L$57),""),1+L$58*2,1),IF(LEN(IFERROR(INDEX(醫師週班表!$C$5:$T$44,$CU9,L$57),""))=2,IF(AND(RIGHT(IFERROR(INDEX(醫師週班表!$C$5:$T$44,$CU9,L$57),""),1)="~",L$58=1),"",LEFT(IFERROR(INDEX(醫師週班表!$C$5:$T$44,$CU9,L$57),""),1)),IFERROR(INDEX(醫師週班表!$C$5:$T$44,$CU9,L$57),""))))))</f>
        <v/>
      </c>
      <c r="M9" s="68">
        <f>IF(M$59="X","",IF(M$59&lt;&gt;"",M$59,IF(IFERROR(INDEX(醫師週班表!$C$5:$T$44,$CU9,M$57),"")=0,"",IF(LEN(IFERROR(INDEX(醫師週班表!$C$5:$T$44,$CU9,M$57),""))=4,MID(IFERROR(INDEX(醫師週班表!$C$5:$T$44,$CU9,M$57),""),1+M$58*2,1),IF(LEN(IFERROR(INDEX(醫師週班表!$C$5:$T$44,$CU9,M$57),""))=2,IF(AND(RIGHT(IFERROR(INDEX(醫師週班表!$C$5:$T$44,$CU9,M$57),""),1)="~",M$58=1),"",LEFT(IFERROR(INDEX(醫師週班表!$C$5:$T$44,$CU9,M$57),""),1)),IFERROR(INDEX(醫師週班表!$C$5:$T$44,$CU9,M$57),""))))))</f>
        <v/>
      </c>
      <c r="N9" s="67">
        <f>IF(N$59="X","",IF(N$59&lt;&gt;"",N$59,IF(IFERROR(INDEX(醫師週班表!$C$5:$T$44,$CU9,N$57),"")=0,"",IF(LEN(IFERROR(INDEX(醫師週班表!$C$5:$T$44,$CU9,N$57),""))=4,MID(IFERROR(INDEX(醫師週班表!$C$5:$T$44,$CU9,N$57),""),1+N$58*2,1),IF(LEN(IFERROR(INDEX(醫師週班表!$C$5:$T$44,$CU9,N$57),""))=2,IF(AND(RIGHT(IFERROR(INDEX(醫師週班表!$C$5:$T$44,$CU9,N$57),""),1)="~",N$58=1),"",LEFT(IFERROR(INDEX(醫師週班表!$C$5:$T$44,$CU9,N$57),""),1)),IFERROR(INDEX(醫師週班表!$C$5:$T$44,$CU9,N$57),""))))))</f>
        <v/>
      </c>
      <c r="O9" s="68">
        <f>IF(O$59="X","",IF(O$59&lt;&gt;"",O$59,IF(IFERROR(INDEX(醫師週班表!$C$5:$T$44,$CU9,O$57),"")=0,"",IF(LEN(IFERROR(INDEX(醫師週班表!$C$5:$T$44,$CU9,O$57),""))=4,MID(IFERROR(INDEX(醫師週班表!$C$5:$T$44,$CU9,O$57),""),1+O$58*2,1),IF(LEN(IFERROR(INDEX(醫師週班表!$C$5:$T$44,$CU9,O$57),""))=2,IF(AND(RIGHT(IFERROR(INDEX(醫師週班表!$C$5:$T$44,$CU9,O$57),""),1)="~",O$58=1),"",LEFT(IFERROR(INDEX(醫師週班表!$C$5:$T$44,$CU9,O$57),""),1)),IFERROR(INDEX(醫師週班表!$C$5:$T$44,$CU9,O$57),""))))))</f>
        <v/>
      </c>
      <c r="P9" s="68">
        <f>IF(P$59="X","",IF(P$59&lt;&gt;"",P$59,IF(IFERROR(INDEX(醫師週班表!$C$5:$T$44,$CU9,P$57),"")=0,"",IF(LEN(IFERROR(INDEX(醫師週班表!$C$5:$T$44,$CU9,P$57),""))=4,MID(IFERROR(INDEX(醫師週班表!$C$5:$T$44,$CU9,P$57),""),1+P$58*2,1),IF(LEN(IFERROR(INDEX(醫師週班表!$C$5:$T$44,$CU9,P$57),""))=2,IF(AND(RIGHT(IFERROR(INDEX(醫師週班表!$C$5:$T$44,$CU9,P$57),""),1)="~",P$58=1),"",LEFT(IFERROR(INDEX(醫師週班表!$C$5:$T$44,$CU9,P$57),""),1)),IFERROR(INDEX(醫師週班表!$C$5:$T$44,$CU9,P$57),""))))))</f>
        <v/>
      </c>
      <c r="Q9" s="67">
        <f>IF(Q$59="X","",IF(Q$59&lt;&gt;"",Q$59,IF(IFERROR(INDEX(醫師週班表!$C$5:$T$44,$CU9,Q$57),"")=0,"",IF(LEN(IFERROR(INDEX(醫師週班表!$C$5:$T$44,$CU9,Q$57),""))=4,MID(IFERROR(INDEX(醫師週班表!$C$5:$T$44,$CU9,Q$57),""),1+Q$58*2,1),IF(LEN(IFERROR(INDEX(醫師週班表!$C$5:$T$44,$CU9,Q$57),""))=2,IF(AND(RIGHT(IFERROR(INDEX(醫師週班表!$C$5:$T$44,$CU9,Q$57),""),1)="~",Q$58=1),"",LEFT(IFERROR(INDEX(醫師週班表!$C$5:$T$44,$CU9,Q$57),""),1)),IFERROR(INDEX(醫師週班表!$C$5:$T$44,$CU9,Q$57),""))))))</f>
        <v/>
      </c>
      <c r="R9" s="68">
        <f>IF(R$59="X","",IF(R$59&lt;&gt;"",R$59,IF(IFERROR(INDEX(醫師週班表!$C$5:$T$44,$CU9,R$57),"")=0,"",IF(LEN(IFERROR(INDEX(醫師週班表!$C$5:$T$44,$CU9,R$57),""))=4,MID(IFERROR(INDEX(醫師週班表!$C$5:$T$44,$CU9,R$57),""),1+R$58*2,1),IF(LEN(IFERROR(INDEX(醫師週班表!$C$5:$T$44,$CU9,R$57),""))=2,IF(AND(RIGHT(IFERROR(INDEX(醫師週班表!$C$5:$T$44,$CU9,R$57),""),1)="~",R$58=1),"",LEFT(IFERROR(INDEX(醫師週班表!$C$5:$T$44,$CU9,R$57),""),1)),IFERROR(INDEX(醫師週班表!$C$5:$T$44,$CU9,R$57),""))))))</f>
        <v/>
      </c>
      <c r="S9" s="68">
        <f>IF(S$59="X","",IF(S$59&lt;&gt;"",S$59,IF(IFERROR(INDEX(醫師週班表!$C$5:$T$44,$CU9,S$57),"")=0,"",IF(LEN(IFERROR(INDEX(醫師週班表!$C$5:$T$44,$CU9,S$57),""))=4,MID(IFERROR(INDEX(醫師週班表!$C$5:$T$44,$CU9,S$57),""),1+S$58*2,1),IF(LEN(IFERROR(INDEX(醫師週班表!$C$5:$T$44,$CU9,S$57),""))=2,IF(AND(RIGHT(IFERROR(INDEX(醫師週班表!$C$5:$T$44,$CU9,S$57),""),1)="~",S$58=1),"",LEFT(IFERROR(INDEX(醫師週班表!$C$5:$T$44,$CU9,S$57),""),1)),IFERROR(INDEX(醫師週班表!$C$5:$T$44,$CU9,S$57),""))))))</f>
        <v/>
      </c>
      <c r="T9" s="67">
        <f>IF(T$59="X","",IF(T$59&lt;&gt;"",T$59,IF(IFERROR(INDEX(醫師週班表!$C$5:$T$44,$CU9,T$57),"")=0,"",IF(LEN(IFERROR(INDEX(醫師週班表!$C$5:$T$44,$CU9,T$57),""))=4,MID(IFERROR(INDEX(醫師週班表!$C$5:$T$44,$CU9,T$57),""),1+T$58*2,1),IF(LEN(IFERROR(INDEX(醫師週班表!$C$5:$T$44,$CU9,T$57),""))=2,IF(AND(RIGHT(IFERROR(INDEX(醫師週班表!$C$5:$T$44,$CU9,T$57),""),1)="~",T$58=1),"",LEFT(IFERROR(INDEX(醫師週班表!$C$5:$T$44,$CU9,T$57),""),1)),IFERROR(INDEX(醫師週班表!$C$5:$T$44,$CU9,T$57),""))))))</f>
        <v/>
      </c>
      <c r="U9" s="68">
        <f>IF(U$59="X","",IF(U$59&lt;&gt;"",U$59,IF(IFERROR(INDEX(醫師週班表!$C$5:$T$44,$CU9,U$57),"")=0,"",IF(LEN(IFERROR(INDEX(醫師週班表!$C$5:$T$44,$CU9,U$57),""))=4,MID(IFERROR(INDEX(醫師週班表!$C$5:$T$44,$CU9,U$57),""),1+U$58*2,1),IF(LEN(IFERROR(INDEX(醫師週班表!$C$5:$T$44,$CU9,U$57),""))=2,IF(AND(RIGHT(IFERROR(INDEX(醫師週班表!$C$5:$T$44,$CU9,U$57),""),1)="~",U$58=1),"",LEFT(IFERROR(INDEX(醫師週班表!$C$5:$T$44,$CU9,U$57),""),1)),IFERROR(INDEX(醫師週班表!$C$5:$T$44,$CU9,U$57),""))))))</f>
        <v/>
      </c>
      <c r="V9" s="68">
        <f>IF(V$59="X","",IF(V$59&lt;&gt;"",V$59,IF(IFERROR(INDEX(醫師週班表!$C$5:$T$44,$CU9,V$57),"")=0,"",IF(LEN(IFERROR(INDEX(醫師週班表!$C$5:$T$44,$CU9,V$57),""))=4,MID(IFERROR(INDEX(醫師週班表!$C$5:$T$44,$CU9,V$57),""),1+V$58*2,1),IF(LEN(IFERROR(INDEX(醫師週班表!$C$5:$T$44,$CU9,V$57),""))=2,IF(AND(RIGHT(IFERROR(INDEX(醫師週班表!$C$5:$T$44,$CU9,V$57),""),1)="~",V$58=1),"",LEFT(IFERROR(INDEX(醫師週班表!$C$5:$T$44,$CU9,V$57),""),1)),IFERROR(INDEX(醫師週班表!$C$5:$T$44,$CU9,V$57),""))))))</f>
        <v/>
      </c>
      <c r="W9" s="67">
        <f>IF(W$59="X","",IF(W$59&lt;&gt;"",W$59,IF(IFERROR(INDEX(醫師週班表!$C$5:$T$44,$CU9,W$57),"")=0,"",IF(LEN(IFERROR(INDEX(醫師週班表!$C$5:$T$44,$CU9,W$57),""))=4,MID(IFERROR(INDEX(醫師週班表!$C$5:$T$44,$CU9,W$57),""),1+W$58*2,1),IF(LEN(IFERROR(INDEX(醫師週班表!$C$5:$T$44,$CU9,W$57),""))=2,IF(AND(RIGHT(IFERROR(INDEX(醫師週班表!$C$5:$T$44,$CU9,W$57),""),1)="~",W$58=1),"",LEFT(IFERROR(INDEX(醫師週班表!$C$5:$T$44,$CU9,W$57),""),1)),IFERROR(INDEX(醫師週班表!$C$5:$T$44,$CU9,W$57),""))))))</f>
        <v/>
      </c>
      <c r="X9" s="68">
        <f>IF(X$59="X","",IF(X$59&lt;&gt;"",X$59,IF(IFERROR(INDEX(醫師週班表!$C$5:$T$44,$CU9,X$57),"")=0,"",IF(LEN(IFERROR(INDEX(醫師週班表!$C$5:$T$44,$CU9,X$57),""))=4,MID(IFERROR(INDEX(醫師週班表!$C$5:$T$44,$CU9,X$57),""),1+X$58*2,1),IF(LEN(IFERROR(INDEX(醫師週班表!$C$5:$T$44,$CU9,X$57),""))=2,IF(AND(RIGHT(IFERROR(INDEX(醫師週班表!$C$5:$T$44,$CU9,X$57),""),1)="~",X$58=1),"",LEFT(IFERROR(INDEX(醫師週班表!$C$5:$T$44,$CU9,X$57),""),1)),IFERROR(INDEX(醫師週班表!$C$5:$T$44,$CU9,X$57),""))))))</f>
        <v/>
      </c>
      <c r="Y9" s="68">
        <f>IF(Y$59="X","",IF(Y$59&lt;&gt;"",Y$59,IF(IFERROR(INDEX(醫師週班表!$C$5:$T$44,$CU9,Y$57),"")=0,"",IF(LEN(IFERROR(INDEX(醫師週班表!$C$5:$T$44,$CU9,Y$57),""))=4,MID(IFERROR(INDEX(醫師週班表!$C$5:$T$44,$CU9,Y$57),""),1+Y$58*2,1),IF(LEN(IFERROR(INDEX(醫師週班表!$C$5:$T$44,$CU9,Y$57),""))=2,IF(AND(RIGHT(IFERROR(INDEX(醫師週班表!$C$5:$T$44,$CU9,Y$57),""),1)="~",Y$58=1),"",LEFT(IFERROR(INDEX(醫師週班表!$C$5:$T$44,$CU9,Y$57),""),1)),IFERROR(INDEX(醫師週班表!$C$5:$T$44,$CU9,Y$57),""))))))</f>
        <v/>
      </c>
      <c r="Z9" s="67">
        <f>IF(Z$59="X","",IF(Z$59&lt;&gt;"",Z$59,IF(IFERROR(INDEX(醫師週班表!$C$5:$T$44,$CU9,Z$57),"")=0,"",IF(LEN(IFERROR(INDEX(醫師週班表!$C$5:$T$44,$CU9,Z$57),""))=4,MID(IFERROR(INDEX(醫師週班表!$C$5:$T$44,$CU9,Z$57),""),1+Z$58*2,1),IF(LEN(IFERROR(INDEX(醫師週班表!$C$5:$T$44,$CU9,Z$57),""))=2,IF(AND(RIGHT(IFERROR(INDEX(醫師週班表!$C$5:$T$44,$CU9,Z$57),""),1)="~",Z$58=1),"",LEFT(IFERROR(INDEX(醫師週班表!$C$5:$T$44,$CU9,Z$57),""),1)),IFERROR(INDEX(醫師週班表!$C$5:$T$44,$CU9,Z$57),""))))))</f>
        <v/>
      </c>
      <c r="AA9" s="68">
        <f>IF(AA$59="X","",IF(AA$59&lt;&gt;"",AA$59,IF(IFERROR(INDEX(醫師週班表!$C$5:$T$44,$CU9,AA$57),"")=0,"",IF(LEN(IFERROR(INDEX(醫師週班表!$C$5:$T$44,$CU9,AA$57),""))=4,MID(IFERROR(INDEX(醫師週班表!$C$5:$T$44,$CU9,AA$57),""),1+AA$58*2,1),IF(LEN(IFERROR(INDEX(醫師週班表!$C$5:$T$44,$CU9,AA$57),""))=2,IF(AND(RIGHT(IFERROR(INDEX(醫師週班表!$C$5:$T$44,$CU9,AA$57),""),1)="~",AA$58=1),"",LEFT(IFERROR(INDEX(醫師週班表!$C$5:$T$44,$CU9,AA$57),""),1)),IFERROR(INDEX(醫師週班表!$C$5:$T$44,$CU9,AA$57),""))))))</f>
        <v/>
      </c>
      <c r="AB9" s="68">
        <f>IF(AB$59="X","",IF(AB$59&lt;&gt;"",AB$59,IF(IFERROR(INDEX(醫師週班表!$C$5:$T$44,$CU9,AB$57),"")=0,"",IF(LEN(IFERROR(INDEX(醫師週班表!$C$5:$T$44,$CU9,AB$57),""))=4,MID(IFERROR(INDEX(醫師週班表!$C$5:$T$44,$CU9,AB$57),""),1+AB$58*2,1),IF(LEN(IFERROR(INDEX(醫師週班表!$C$5:$T$44,$CU9,AB$57),""))=2,IF(AND(RIGHT(IFERROR(INDEX(醫師週班表!$C$5:$T$44,$CU9,AB$57),""),1)="~",AB$58=1),"",LEFT(IFERROR(INDEX(醫師週班表!$C$5:$T$44,$CU9,AB$57),""),1)),IFERROR(INDEX(醫師週班表!$C$5:$T$44,$CU9,AB$57),""))))))</f>
        <v/>
      </c>
      <c r="AC9" s="67">
        <f>IF(AC$59="X","",IF(AC$59&lt;&gt;"",AC$59,IF(IFERROR(INDEX(醫師週班表!$C$5:$T$44,$CU9,AC$57),"")=0,"",IF(LEN(IFERROR(INDEX(醫師週班表!$C$5:$T$44,$CU9,AC$57),""))=4,MID(IFERROR(INDEX(醫師週班表!$C$5:$T$44,$CU9,AC$57),""),1+AC$58*2,1),IF(LEN(IFERROR(INDEX(醫師週班表!$C$5:$T$44,$CU9,AC$57),""))=2,IF(AND(RIGHT(IFERROR(INDEX(醫師週班表!$C$5:$T$44,$CU9,AC$57),""),1)="~",AC$58=1),"",LEFT(IFERROR(INDEX(醫師週班表!$C$5:$T$44,$CU9,AC$57),""),1)),IFERROR(INDEX(醫師週班表!$C$5:$T$44,$CU9,AC$57),""))))))</f>
        <v/>
      </c>
      <c r="AD9" s="68">
        <f>IF(AD$59="X","",IF(AD$59&lt;&gt;"",AD$59,IF(IFERROR(INDEX(醫師週班表!$C$5:$T$44,$CU9,AD$57),"")=0,"",IF(LEN(IFERROR(INDEX(醫師週班表!$C$5:$T$44,$CU9,AD$57),""))=4,MID(IFERROR(INDEX(醫師週班表!$C$5:$T$44,$CU9,AD$57),""),1+AD$58*2,1),IF(LEN(IFERROR(INDEX(醫師週班表!$C$5:$T$44,$CU9,AD$57),""))=2,IF(AND(RIGHT(IFERROR(INDEX(醫師週班表!$C$5:$T$44,$CU9,AD$57),""),1)="~",AD$58=1),"",LEFT(IFERROR(INDEX(醫師週班表!$C$5:$T$44,$CU9,AD$57),""),1)),IFERROR(INDEX(醫師週班表!$C$5:$T$44,$CU9,AD$57),""))))))</f>
        <v/>
      </c>
      <c r="AE9" s="68">
        <f>IF(AE$59="X","",IF(AE$59&lt;&gt;"",AE$59,IF(IFERROR(INDEX(醫師週班表!$C$5:$T$44,$CU9,AE$57),"")=0,"",IF(LEN(IFERROR(INDEX(醫師週班表!$C$5:$T$44,$CU9,AE$57),""))=4,MID(IFERROR(INDEX(醫師週班表!$C$5:$T$44,$CU9,AE$57),""),1+AE$58*2,1),IF(LEN(IFERROR(INDEX(醫師週班表!$C$5:$T$44,$CU9,AE$57),""))=2,IF(AND(RIGHT(IFERROR(INDEX(醫師週班表!$C$5:$T$44,$CU9,AE$57),""),1)="~",AE$58=1),"",LEFT(IFERROR(INDEX(醫師週班表!$C$5:$T$44,$CU9,AE$57),""),1)),IFERROR(INDEX(醫師週班表!$C$5:$T$44,$CU9,AE$57),""))))))</f>
        <v/>
      </c>
      <c r="AF9" s="67">
        <f>IF(AF$59="X","",IF(AF$59&lt;&gt;"",AF$59,IF(IFERROR(INDEX(醫師週班表!$C$5:$T$44,$CU9,AF$57),"")=0,"",IF(LEN(IFERROR(INDEX(醫師週班表!$C$5:$T$44,$CU9,AF$57),""))=4,MID(IFERROR(INDEX(醫師週班表!$C$5:$T$44,$CU9,AF$57),""),1+AF$58*2,1),IF(LEN(IFERROR(INDEX(醫師週班表!$C$5:$T$44,$CU9,AF$57),""))=2,IF(AND(RIGHT(IFERROR(INDEX(醫師週班表!$C$5:$T$44,$CU9,AF$57),""),1)="~",AF$58=1),"",LEFT(IFERROR(INDEX(醫師週班表!$C$5:$T$44,$CU9,AF$57),""),1)),IFERROR(INDEX(醫師週班表!$C$5:$T$44,$CU9,AF$57),""))))))</f>
        <v/>
      </c>
      <c r="AG9" s="68">
        <f>IF(AG$59="X","",IF(AG$59&lt;&gt;"",AG$59,IF(IFERROR(INDEX(醫師週班表!$C$5:$T$44,$CU9,AG$57),"")=0,"",IF(LEN(IFERROR(INDEX(醫師週班表!$C$5:$T$44,$CU9,AG$57),""))=4,MID(IFERROR(INDEX(醫師週班表!$C$5:$T$44,$CU9,AG$57),""),1+AG$58*2,1),IF(LEN(IFERROR(INDEX(醫師週班表!$C$5:$T$44,$CU9,AG$57),""))=2,IF(AND(RIGHT(IFERROR(INDEX(醫師週班表!$C$5:$T$44,$CU9,AG$57),""),1)="~",AG$58=1),"",LEFT(IFERROR(INDEX(醫師週班表!$C$5:$T$44,$CU9,AG$57),""),1)),IFERROR(INDEX(醫師週班表!$C$5:$T$44,$CU9,AG$57),""))))))</f>
        <v/>
      </c>
      <c r="AH9" s="68">
        <f>IF(AH$59="X","",IF(AH$59&lt;&gt;"",AH$59,IF(IFERROR(INDEX(醫師週班表!$C$5:$T$44,$CU9,AH$57),"")=0,"",IF(LEN(IFERROR(INDEX(醫師週班表!$C$5:$T$44,$CU9,AH$57),""))=4,MID(IFERROR(INDEX(醫師週班表!$C$5:$T$44,$CU9,AH$57),""),1+AH$58*2,1),IF(LEN(IFERROR(INDEX(醫師週班表!$C$5:$T$44,$CU9,AH$57),""))=2,IF(AND(RIGHT(IFERROR(INDEX(醫師週班表!$C$5:$T$44,$CU9,AH$57),""),1)="~",AH$58=1),"",LEFT(IFERROR(INDEX(醫師週班表!$C$5:$T$44,$CU9,AH$57),""),1)),IFERROR(INDEX(醫師週班表!$C$5:$T$44,$CU9,AH$57),""))))))</f>
        <v/>
      </c>
      <c r="AI9" s="67">
        <f>IF(AI$59="X","",IF(AI$59&lt;&gt;"",AI$59,IF(IFERROR(INDEX(醫師週班表!$C$5:$T$44,$CU9,AI$57),"")=0,"",IF(LEN(IFERROR(INDEX(醫師週班表!$C$5:$T$44,$CU9,AI$57),""))=4,MID(IFERROR(INDEX(醫師週班表!$C$5:$T$44,$CU9,AI$57),""),1+AI$58*2,1),IF(LEN(IFERROR(INDEX(醫師週班表!$C$5:$T$44,$CU9,AI$57),""))=2,IF(AND(RIGHT(IFERROR(INDEX(醫師週班表!$C$5:$T$44,$CU9,AI$57),""),1)="~",AI$58=1),"",LEFT(IFERROR(INDEX(醫師週班表!$C$5:$T$44,$CU9,AI$57),""),1)),IFERROR(INDEX(醫師週班表!$C$5:$T$44,$CU9,AI$57),""))))))</f>
        <v/>
      </c>
      <c r="AJ9" s="68">
        <f>IF(AJ$59="X","",IF(AJ$59&lt;&gt;"",AJ$59,IF(IFERROR(INDEX(醫師週班表!$C$5:$T$44,$CU9,AJ$57),"")=0,"",IF(LEN(IFERROR(INDEX(醫師週班表!$C$5:$T$44,$CU9,AJ$57),""))=4,MID(IFERROR(INDEX(醫師週班表!$C$5:$T$44,$CU9,AJ$57),""),1+AJ$58*2,1),IF(LEN(IFERROR(INDEX(醫師週班表!$C$5:$T$44,$CU9,AJ$57),""))=2,IF(AND(RIGHT(IFERROR(INDEX(醫師週班表!$C$5:$T$44,$CU9,AJ$57),""),1)="~",AJ$58=1),"",LEFT(IFERROR(INDEX(醫師週班表!$C$5:$T$44,$CU9,AJ$57),""),1)),IFERROR(INDEX(醫師週班表!$C$5:$T$44,$CU9,AJ$57),""))))))</f>
        <v/>
      </c>
      <c r="AK9" s="68">
        <f>IF(AK$59="X","",IF(AK$59&lt;&gt;"",AK$59,IF(IFERROR(INDEX(醫師週班表!$C$5:$T$44,$CU9,AK$57),"")=0,"",IF(LEN(IFERROR(INDEX(醫師週班表!$C$5:$T$44,$CU9,AK$57),""))=4,MID(IFERROR(INDEX(醫師週班表!$C$5:$T$44,$CU9,AK$57),""),1+AK$58*2,1),IF(LEN(IFERROR(INDEX(醫師週班表!$C$5:$T$44,$CU9,AK$57),""))=2,IF(AND(RIGHT(IFERROR(INDEX(醫師週班表!$C$5:$T$44,$CU9,AK$57),""),1)="~",AK$58=1),"",LEFT(IFERROR(INDEX(醫師週班表!$C$5:$T$44,$CU9,AK$57),""),1)),IFERROR(INDEX(醫師週班表!$C$5:$T$44,$CU9,AK$57),""))))))</f>
        <v/>
      </c>
      <c r="AL9" s="67">
        <f>IF(AL$59="X","",IF(AL$59&lt;&gt;"",AL$59,IF(IFERROR(INDEX(醫師週班表!$C$5:$T$44,$CU9,AL$57),"")=0,"",IF(LEN(IFERROR(INDEX(醫師週班表!$C$5:$T$44,$CU9,AL$57),""))=4,MID(IFERROR(INDEX(醫師週班表!$C$5:$T$44,$CU9,AL$57),""),1+AL$58*2,1),IF(LEN(IFERROR(INDEX(醫師週班表!$C$5:$T$44,$CU9,AL$57),""))=2,IF(AND(RIGHT(IFERROR(INDEX(醫師週班表!$C$5:$T$44,$CU9,AL$57),""),1)="~",AL$58=1),"",LEFT(IFERROR(INDEX(醫師週班表!$C$5:$T$44,$CU9,AL$57),""),1)),IFERROR(INDEX(醫師週班表!$C$5:$T$44,$CU9,AL$57),""))))))</f>
        <v/>
      </c>
      <c r="AM9" s="68">
        <f>IF(AM$59="X","",IF(AM$59&lt;&gt;"",AM$59,IF(IFERROR(INDEX(醫師週班表!$C$5:$T$44,$CU9,AM$57),"")=0,"",IF(LEN(IFERROR(INDEX(醫師週班表!$C$5:$T$44,$CU9,AM$57),""))=4,MID(IFERROR(INDEX(醫師週班表!$C$5:$T$44,$CU9,AM$57),""),1+AM$58*2,1),IF(LEN(IFERROR(INDEX(醫師週班表!$C$5:$T$44,$CU9,AM$57),""))=2,IF(AND(RIGHT(IFERROR(INDEX(醫師週班表!$C$5:$T$44,$CU9,AM$57),""),1)="~",AM$58=1),"",LEFT(IFERROR(INDEX(醫師週班表!$C$5:$T$44,$CU9,AM$57),""),1)),IFERROR(INDEX(醫師週班表!$C$5:$T$44,$CU9,AM$57),""))))))</f>
        <v/>
      </c>
      <c r="AN9" s="68">
        <f>IF(AN$59="X","",IF(AN$59&lt;&gt;"",AN$59,IF(IFERROR(INDEX(醫師週班表!$C$5:$T$44,$CU9,AN$57),"")=0,"",IF(LEN(IFERROR(INDEX(醫師週班表!$C$5:$T$44,$CU9,AN$57),""))=4,MID(IFERROR(INDEX(醫師週班表!$C$5:$T$44,$CU9,AN$57),""),1+AN$58*2,1),IF(LEN(IFERROR(INDEX(醫師週班表!$C$5:$T$44,$CU9,AN$57),""))=2,IF(AND(RIGHT(IFERROR(INDEX(醫師週班表!$C$5:$T$44,$CU9,AN$57),""),1)="~",AN$58=1),"",LEFT(IFERROR(INDEX(醫師週班表!$C$5:$T$44,$CU9,AN$57),""),1)),IFERROR(INDEX(醫師週班表!$C$5:$T$44,$CU9,AN$57),""))))))</f>
        <v/>
      </c>
      <c r="AO9" s="67">
        <f>IF(AO$59="X","",IF(AO$59&lt;&gt;"",AO$59,IF(IFERROR(INDEX(醫師週班表!$C$5:$T$44,$CU9,AO$57),"")=0,"",IF(LEN(IFERROR(INDEX(醫師週班表!$C$5:$T$44,$CU9,AO$57),""))=4,MID(IFERROR(INDEX(醫師週班表!$C$5:$T$44,$CU9,AO$57),""),1+AO$58*2,1),IF(LEN(IFERROR(INDEX(醫師週班表!$C$5:$T$44,$CU9,AO$57),""))=2,IF(AND(RIGHT(IFERROR(INDEX(醫師週班表!$C$5:$T$44,$CU9,AO$57),""),1)="~",AO$58=1),"",LEFT(IFERROR(INDEX(醫師週班表!$C$5:$T$44,$CU9,AO$57),""),1)),IFERROR(INDEX(醫師週班表!$C$5:$T$44,$CU9,AO$57),""))))))</f>
        <v/>
      </c>
      <c r="AP9" s="68">
        <f>IF(AP$59="X","",IF(AP$59&lt;&gt;"",AP$59,IF(IFERROR(INDEX(醫師週班表!$C$5:$T$44,$CU9,AP$57),"")=0,"",IF(LEN(IFERROR(INDEX(醫師週班表!$C$5:$T$44,$CU9,AP$57),""))=4,MID(IFERROR(INDEX(醫師週班表!$C$5:$T$44,$CU9,AP$57),""),1+AP$58*2,1),IF(LEN(IFERROR(INDEX(醫師週班表!$C$5:$T$44,$CU9,AP$57),""))=2,IF(AND(RIGHT(IFERROR(INDEX(醫師週班表!$C$5:$T$44,$CU9,AP$57),""),1)="~",AP$58=1),"",LEFT(IFERROR(INDEX(醫師週班表!$C$5:$T$44,$CU9,AP$57),""),1)),IFERROR(INDEX(醫師週班表!$C$5:$T$44,$CU9,AP$57),""))))))</f>
        <v/>
      </c>
      <c r="AQ9" s="68">
        <f>IF(AQ$59="X","",IF(AQ$59&lt;&gt;"",AQ$59,IF(IFERROR(INDEX(醫師週班表!$C$5:$T$44,$CU9,AQ$57),"")=0,"",IF(LEN(IFERROR(INDEX(醫師週班表!$C$5:$T$44,$CU9,AQ$57),""))=4,MID(IFERROR(INDEX(醫師週班表!$C$5:$T$44,$CU9,AQ$57),""),1+AQ$58*2,1),IF(LEN(IFERROR(INDEX(醫師週班表!$C$5:$T$44,$CU9,AQ$57),""))=2,IF(AND(RIGHT(IFERROR(INDEX(醫師週班表!$C$5:$T$44,$CU9,AQ$57),""),1)="~",AQ$58=1),"",LEFT(IFERROR(INDEX(醫師週班表!$C$5:$T$44,$CU9,AQ$57),""),1)),IFERROR(INDEX(醫師週班表!$C$5:$T$44,$CU9,AQ$57),""))))))</f>
        <v/>
      </c>
      <c r="AR9" s="67">
        <f>IF(AR$59="X","",IF(AR$59&lt;&gt;"",AR$59,IF(IFERROR(INDEX(醫師週班表!$C$5:$T$44,$CU9,AR$57),"")=0,"",IF(LEN(IFERROR(INDEX(醫師週班表!$C$5:$T$44,$CU9,AR$57),""))=4,MID(IFERROR(INDEX(醫師週班表!$C$5:$T$44,$CU9,AR$57),""),1+AR$58*2,1),IF(LEN(IFERROR(INDEX(醫師週班表!$C$5:$T$44,$CU9,AR$57),""))=2,IF(AND(RIGHT(IFERROR(INDEX(醫師週班表!$C$5:$T$44,$CU9,AR$57),""),1)="~",AR$58=1),"",LEFT(IFERROR(INDEX(醫師週班表!$C$5:$T$44,$CU9,AR$57),""),1)),IFERROR(INDEX(醫師週班表!$C$5:$T$44,$CU9,AR$57),""))))))</f>
        <v/>
      </c>
      <c r="AS9" s="68">
        <f>IF(AS$59="X","",IF(AS$59&lt;&gt;"",AS$59,IF(IFERROR(INDEX(醫師週班表!$C$5:$T$44,$CU9,AS$57),"")=0,"",IF(LEN(IFERROR(INDEX(醫師週班表!$C$5:$T$44,$CU9,AS$57),""))=4,MID(IFERROR(INDEX(醫師週班表!$C$5:$T$44,$CU9,AS$57),""),1+AS$58*2,1),IF(LEN(IFERROR(INDEX(醫師週班表!$C$5:$T$44,$CU9,AS$57),""))=2,IF(AND(RIGHT(IFERROR(INDEX(醫師週班表!$C$5:$T$44,$CU9,AS$57),""),1)="~",AS$58=1),"",LEFT(IFERROR(INDEX(醫師週班表!$C$5:$T$44,$CU9,AS$57),""),1)),IFERROR(INDEX(醫師週班表!$C$5:$T$44,$CU9,AS$57),""))))))</f>
        <v/>
      </c>
      <c r="AT9" s="68">
        <f>IF(AT$59="X","",IF(AT$59&lt;&gt;"",AT$59,IF(IFERROR(INDEX(醫師週班表!$C$5:$T$44,$CU9,AT$57),"")=0,"",IF(LEN(IFERROR(INDEX(醫師週班表!$C$5:$T$44,$CU9,AT$57),""))=4,MID(IFERROR(INDEX(醫師週班表!$C$5:$T$44,$CU9,AT$57),""),1+AT$58*2,1),IF(LEN(IFERROR(INDEX(醫師週班表!$C$5:$T$44,$CU9,AT$57),""))=2,IF(AND(RIGHT(IFERROR(INDEX(醫師週班表!$C$5:$T$44,$CU9,AT$57),""),1)="~",AT$58=1),"",LEFT(IFERROR(INDEX(醫師週班表!$C$5:$T$44,$CU9,AT$57),""),1)),IFERROR(INDEX(醫師週班表!$C$5:$T$44,$CU9,AT$57),""))))))</f>
        <v/>
      </c>
      <c r="AU9" s="67">
        <f>IF(AU$59="X","",IF(AU$59&lt;&gt;"",AU$59,IF(IFERROR(INDEX(醫師週班表!$C$5:$T$44,$CU9,AU$57),"")=0,"",IF(LEN(IFERROR(INDEX(醫師週班表!$C$5:$T$44,$CU9,AU$57),""))=4,MID(IFERROR(INDEX(醫師週班表!$C$5:$T$44,$CU9,AU$57),""),1+AU$58*2,1),IF(LEN(IFERROR(INDEX(醫師週班表!$C$5:$T$44,$CU9,AU$57),""))=2,IF(AND(RIGHT(IFERROR(INDEX(醫師週班表!$C$5:$T$44,$CU9,AU$57),""),1)="~",AU$58=1),"",LEFT(IFERROR(INDEX(醫師週班表!$C$5:$T$44,$CU9,AU$57),""),1)),IFERROR(INDEX(醫師週班表!$C$5:$T$44,$CU9,AU$57),""))))))</f>
        <v/>
      </c>
      <c r="AV9" s="68">
        <f>IF(AV$59="X","",IF(AV$59&lt;&gt;"",AV$59,IF(IFERROR(INDEX(醫師週班表!$C$5:$T$44,$CU9,AV$57),"")=0,"",IF(LEN(IFERROR(INDEX(醫師週班表!$C$5:$T$44,$CU9,AV$57),""))=4,MID(IFERROR(INDEX(醫師週班表!$C$5:$T$44,$CU9,AV$57),""),1+AV$58*2,1),IF(LEN(IFERROR(INDEX(醫師週班表!$C$5:$T$44,$CU9,AV$57),""))=2,IF(AND(RIGHT(IFERROR(INDEX(醫師週班表!$C$5:$T$44,$CU9,AV$57),""),1)="~",AV$58=1),"",LEFT(IFERROR(INDEX(醫師週班表!$C$5:$T$44,$CU9,AV$57),""),1)),IFERROR(INDEX(醫師週班表!$C$5:$T$44,$CU9,AV$57),""))))))</f>
        <v/>
      </c>
      <c r="AW9" s="68">
        <f>IF(AW$59="X","",IF(AW$59&lt;&gt;"",AW$59,IF(IFERROR(INDEX(醫師週班表!$C$5:$T$44,$CU9,AW$57),"")=0,"",IF(LEN(IFERROR(INDEX(醫師週班表!$C$5:$T$44,$CU9,AW$57),""))=4,MID(IFERROR(INDEX(醫師週班表!$C$5:$T$44,$CU9,AW$57),""),1+AW$58*2,1),IF(LEN(IFERROR(INDEX(醫師週班表!$C$5:$T$44,$CU9,AW$57),""))=2,IF(AND(RIGHT(IFERROR(INDEX(醫師週班表!$C$5:$T$44,$CU9,AW$57),""),1)="~",AW$58=1),"",LEFT(IFERROR(INDEX(醫師週班表!$C$5:$T$44,$CU9,AW$57),""),1)),IFERROR(INDEX(醫師週班表!$C$5:$T$44,$CU9,AW$57),""))))))</f>
        <v/>
      </c>
      <c r="AX9" s="67">
        <f>IF(AX$59="X","",IF(AX$59&lt;&gt;"",AX$59,IF(IFERROR(INDEX(醫師週班表!$C$5:$T$44,$CU9,AX$57),"")=0,"",IF(LEN(IFERROR(INDEX(醫師週班表!$C$5:$T$44,$CU9,AX$57),""))=4,MID(IFERROR(INDEX(醫師週班表!$C$5:$T$44,$CU9,AX$57),""),1+AX$58*2,1),IF(LEN(IFERROR(INDEX(醫師週班表!$C$5:$T$44,$CU9,AX$57),""))=2,IF(AND(RIGHT(IFERROR(INDEX(醫師週班表!$C$5:$T$44,$CU9,AX$57),""),1)="~",AX$58=1),"",LEFT(IFERROR(INDEX(醫師週班表!$C$5:$T$44,$CU9,AX$57),""),1)),IFERROR(INDEX(醫師週班表!$C$5:$T$44,$CU9,AX$57),""))))))</f>
        <v/>
      </c>
      <c r="AY9" s="68">
        <f>IF(AY$59="X","",IF(AY$59&lt;&gt;"",AY$59,IF(IFERROR(INDEX(醫師週班表!$C$5:$T$44,$CU9,AY$57),"")=0,"",IF(LEN(IFERROR(INDEX(醫師週班表!$C$5:$T$44,$CU9,AY$57),""))=4,MID(IFERROR(INDEX(醫師週班表!$C$5:$T$44,$CU9,AY$57),""),1+AY$58*2,1),IF(LEN(IFERROR(INDEX(醫師週班表!$C$5:$T$44,$CU9,AY$57),""))=2,IF(AND(RIGHT(IFERROR(INDEX(醫師週班表!$C$5:$T$44,$CU9,AY$57),""),1)="~",AY$58=1),"",LEFT(IFERROR(INDEX(醫師週班表!$C$5:$T$44,$CU9,AY$57),""),1)),IFERROR(INDEX(醫師週班表!$C$5:$T$44,$CU9,AY$57),""))))))</f>
        <v/>
      </c>
      <c r="AZ9" s="68">
        <f>IF(AZ$59="X","",IF(AZ$59&lt;&gt;"",AZ$59,IF(IFERROR(INDEX(醫師週班表!$C$5:$T$44,$CU9,AZ$57),"")=0,"",IF(LEN(IFERROR(INDEX(醫師週班表!$C$5:$T$44,$CU9,AZ$57),""))=4,MID(IFERROR(INDEX(醫師週班表!$C$5:$T$44,$CU9,AZ$57),""),1+AZ$58*2,1),IF(LEN(IFERROR(INDEX(醫師週班表!$C$5:$T$44,$CU9,AZ$57),""))=2,IF(AND(RIGHT(IFERROR(INDEX(醫師週班表!$C$5:$T$44,$CU9,AZ$57),""),1)="~",AZ$58=1),"",LEFT(IFERROR(INDEX(醫師週班表!$C$5:$T$44,$CU9,AZ$57),""),1)),IFERROR(INDEX(醫師週班表!$C$5:$T$44,$CU9,AZ$57),""))))))</f>
        <v/>
      </c>
      <c r="BA9" s="67">
        <f>IF(BA$59="X","",IF(BA$59&lt;&gt;"",BA$59,IF(IFERROR(INDEX(醫師週班表!$C$5:$T$44,$CU9,BA$57),"")=0,"",IF(LEN(IFERROR(INDEX(醫師週班表!$C$5:$T$44,$CU9,BA$57),""))=4,MID(IFERROR(INDEX(醫師週班表!$C$5:$T$44,$CU9,BA$57),""),1+BA$58*2,1),IF(LEN(IFERROR(INDEX(醫師週班表!$C$5:$T$44,$CU9,BA$57),""))=2,IF(AND(RIGHT(IFERROR(INDEX(醫師週班表!$C$5:$T$44,$CU9,BA$57),""),1)="~",BA$58=1),"",LEFT(IFERROR(INDEX(醫師週班表!$C$5:$T$44,$CU9,BA$57),""),1)),IFERROR(INDEX(醫師週班表!$C$5:$T$44,$CU9,BA$57),""))))))</f>
        <v/>
      </c>
      <c r="BB9" s="68">
        <f>IF(BB$59="X","",IF(BB$59&lt;&gt;"",BB$59,IF(IFERROR(INDEX(醫師週班表!$C$5:$T$44,$CU9,BB$57),"")=0,"",IF(LEN(IFERROR(INDEX(醫師週班表!$C$5:$T$44,$CU9,BB$57),""))=4,MID(IFERROR(INDEX(醫師週班表!$C$5:$T$44,$CU9,BB$57),""),1+BB$58*2,1),IF(LEN(IFERROR(INDEX(醫師週班表!$C$5:$T$44,$CU9,BB$57),""))=2,IF(AND(RIGHT(IFERROR(INDEX(醫師週班表!$C$5:$T$44,$CU9,BB$57),""),1)="~",BB$58=1),"",LEFT(IFERROR(INDEX(醫師週班表!$C$5:$T$44,$CU9,BB$57),""),1)),IFERROR(INDEX(醫師週班表!$C$5:$T$44,$CU9,BB$57),""))))))</f>
        <v/>
      </c>
      <c r="BC9" s="68">
        <f>IF(BC$59="X","",IF(BC$59&lt;&gt;"",BC$59,IF(IFERROR(INDEX(醫師週班表!$C$5:$T$44,$CU9,BC$57),"")=0,"",IF(LEN(IFERROR(INDEX(醫師週班表!$C$5:$T$44,$CU9,BC$57),""))=4,MID(IFERROR(INDEX(醫師週班表!$C$5:$T$44,$CU9,BC$57),""),1+BC$58*2,1),IF(LEN(IFERROR(INDEX(醫師週班表!$C$5:$T$44,$CU9,BC$57),""))=2,IF(AND(RIGHT(IFERROR(INDEX(醫師週班表!$C$5:$T$44,$CU9,BC$57),""),1)="~",BC$58=1),"",LEFT(IFERROR(INDEX(醫師週班表!$C$5:$T$44,$CU9,BC$57),""),1)),IFERROR(INDEX(醫師週班表!$C$5:$T$44,$CU9,BC$57),""))))))</f>
        <v/>
      </c>
      <c r="BD9" s="67">
        <f>IF(BD$59="X","",IF(BD$59&lt;&gt;"",BD$59,IF(IFERROR(INDEX(醫師週班表!$C$5:$T$44,$CU9,BD$57),"")=0,"",IF(LEN(IFERROR(INDEX(醫師週班表!$C$5:$T$44,$CU9,BD$57),""))=4,MID(IFERROR(INDEX(醫師週班表!$C$5:$T$44,$CU9,BD$57),""),1+BD$58*2,1),IF(LEN(IFERROR(INDEX(醫師週班表!$C$5:$T$44,$CU9,BD$57),""))=2,IF(AND(RIGHT(IFERROR(INDEX(醫師週班表!$C$5:$T$44,$CU9,BD$57),""),1)="~",BD$58=1),"",LEFT(IFERROR(INDEX(醫師週班表!$C$5:$T$44,$CU9,BD$57),""),1)),IFERROR(INDEX(醫師週班表!$C$5:$T$44,$CU9,BD$57),""))))))</f>
        <v/>
      </c>
      <c r="BE9" s="68">
        <f>IF(BE$59="X","",IF(BE$59&lt;&gt;"",BE$59,IF(IFERROR(INDEX(醫師週班表!$C$5:$T$44,$CU9,BE$57),"")=0,"",IF(LEN(IFERROR(INDEX(醫師週班表!$C$5:$T$44,$CU9,BE$57),""))=4,MID(IFERROR(INDEX(醫師週班表!$C$5:$T$44,$CU9,BE$57),""),1+BE$58*2,1),IF(LEN(IFERROR(INDEX(醫師週班表!$C$5:$T$44,$CU9,BE$57),""))=2,IF(AND(RIGHT(IFERROR(INDEX(醫師週班表!$C$5:$T$44,$CU9,BE$57),""),1)="~",BE$58=1),"",LEFT(IFERROR(INDEX(醫師週班表!$C$5:$T$44,$CU9,BE$57),""),1)),IFERROR(INDEX(醫師週班表!$C$5:$T$44,$CU9,BE$57),""))))))</f>
        <v/>
      </c>
      <c r="BF9" s="68">
        <f>IF(BF$59="X","",IF(BF$59&lt;&gt;"",BF$59,IF(IFERROR(INDEX(醫師週班表!$C$5:$T$44,$CU9,BF$57),"")=0,"",IF(LEN(IFERROR(INDEX(醫師週班表!$C$5:$T$44,$CU9,BF$57),""))=4,MID(IFERROR(INDEX(醫師週班表!$C$5:$T$44,$CU9,BF$57),""),1+BF$58*2,1),IF(LEN(IFERROR(INDEX(醫師週班表!$C$5:$T$44,$CU9,BF$57),""))=2,IF(AND(RIGHT(IFERROR(INDEX(醫師週班表!$C$5:$T$44,$CU9,BF$57),""),1)="~",BF$58=1),"",LEFT(IFERROR(INDEX(醫師週班表!$C$5:$T$44,$CU9,BF$57),""),1)),IFERROR(INDEX(醫師週班表!$C$5:$T$44,$CU9,BF$57),""))))))</f>
        <v/>
      </c>
      <c r="BG9" s="67">
        <f>IF(BG$59="X","",IF(BG$59&lt;&gt;"",BG$59,IF(IFERROR(INDEX(醫師週班表!$C$5:$T$44,$CU9,BG$57),"")=0,"",IF(LEN(IFERROR(INDEX(醫師週班表!$C$5:$T$44,$CU9,BG$57),""))=4,MID(IFERROR(INDEX(醫師週班表!$C$5:$T$44,$CU9,BG$57),""),1+BG$58*2,1),IF(LEN(IFERROR(INDEX(醫師週班表!$C$5:$T$44,$CU9,BG$57),""))=2,IF(AND(RIGHT(IFERROR(INDEX(醫師週班表!$C$5:$T$44,$CU9,BG$57),""),1)="~",BG$58=1),"",LEFT(IFERROR(INDEX(醫師週班表!$C$5:$T$44,$CU9,BG$57),""),1)),IFERROR(INDEX(醫師週班表!$C$5:$T$44,$CU9,BG$57),""))))))</f>
        <v/>
      </c>
      <c r="BH9" s="68">
        <f>IF(BH$59="X","",IF(BH$59&lt;&gt;"",BH$59,IF(IFERROR(INDEX(醫師週班表!$C$5:$T$44,$CU9,BH$57),"")=0,"",IF(LEN(IFERROR(INDEX(醫師週班表!$C$5:$T$44,$CU9,BH$57),""))=4,MID(IFERROR(INDEX(醫師週班表!$C$5:$T$44,$CU9,BH$57),""),1+BH$58*2,1),IF(LEN(IFERROR(INDEX(醫師週班表!$C$5:$T$44,$CU9,BH$57),""))=2,IF(AND(RIGHT(IFERROR(INDEX(醫師週班表!$C$5:$T$44,$CU9,BH$57),""),1)="~",BH$58=1),"",LEFT(IFERROR(INDEX(醫師週班表!$C$5:$T$44,$CU9,BH$57),""),1)),IFERROR(INDEX(醫師週班表!$C$5:$T$44,$CU9,BH$57),""))))))</f>
        <v/>
      </c>
      <c r="BI9" s="68">
        <f>IF(BI$59="X","",IF(BI$59&lt;&gt;"",BI$59,IF(IFERROR(INDEX(醫師週班表!$C$5:$T$44,$CU9,BI$57),"")=0,"",IF(LEN(IFERROR(INDEX(醫師週班表!$C$5:$T$44,$CU9,BI$57),""))=4,MID(IFERROR(INDEX(醫師週班表!$C$5:$T$44,$CU9,BI$57),""),1+BI$58*2,1),IF(LEN(IFERROR(INDEX(醫師週班表!$C$5:$T$44,$CU9,BI$57),""))=2,IF(AND(RIGHT(IFERROR(INDEX(醫師週班表!$C$5:$T$44,$CU9,BI$57),""),1)="~",BI$58=1),"",LEFT(IFERROR(INDEX(醫師週班表!$C$5:$T$44,$CU9,BI$57),""),1)),IFERROR(INDEX(醫師週班表!$C$5:$T$44,$CU9,BI$57),""))))))</f>
        <v/>
      </c>
      <c r="BJ9" s="67">
        <f>IF(BJ$59="X","",IF(BJ$59&lt;&gt;"",BJ$59,IF(IFERROR(INDEX(醫師週班表!$C$5:$T$44,$CU9,BJ$57),"")=0,"",IF(LEN(IFERROR(INDEX(醫師週班表!$C$5:$T$44,$CU9,BJ$57),""))=4,MID(IFERROR(INDEX(醫師週班表!$C$5:$T$44,$CU9,BJ$57),""),1+BJ$58*2,1),IF(LEN(IFERROR(INDEX(醫師週班表!$C$5:$T$44,$CU9,BJ$57),""))=2,IF(AND(RIGHT(IFERROR(INDEX(醫師週班表!$C$5:$T$44,$CU9,BJ$57),""),1)="~",BJ$58=1),"",LEFT(IFERROR(INDEX(醫師週班表!$C$5:$T$44,$CU9,BJ$57),""),1)),IFERROR(INDEX(醫師週班表!$C$5:$T$44,$CU9,BJ$57),""))))))</f>
        <v/>
      </c>
      <c r="BK9" s="68">
        <f>IF(BK$59="X","",IF(BK$59&lt;&gt;"",BK$59,IF(IFERROR(INDEX(醫師週班表!$C$5:$T$44,$CU9,BK$57),"")=0,"",IF(LEN(IFERROR(INDEX(醫師週班表!$C$5:$T$44,$CU9,BK$57),""))=4,MID(IFERROR(INDEX(醫師週班表!$C$5:$T$44,$CU9,BK$57),""),1+BK$58*2,1),IF(LEN(IFERROR(INDEX(醫師週班表!$C$5:$T$44,$CU9,BK$57),""))=2,IF(AND(RIGHT(IFERROR(INDEX(醫師週班表!$C$5:$T$44,$CU9,BK$57),""),1)="~",BK$58=1),"",LEFT(IFERROR(INDEX(醫師週班表!$C$5:$T$44,$CU9,BK$57),""),1)),IFERROR(INDEX(醫師週班表!$C$5:$T$44,$CU9,BK$57),""))))))</f>
        <v/>
      </c>
      <c r="BL9" s="68">
        <f>IF(BL$59="X","",IF(BL$59&lt;&gt;"",BL$59,IF(IFERROR(INDEX(醫師週班表!$C$5:$T$44,$CU9,BL$57),"")=0,"",IF(LEN(IFERROR(INDEX(醫師週班表!$C$5:$T$44,$CU9,BL$57),""))=4,MID(IFERROR(INDEX(醫師週班表!$C$5:$T$44,$CU9,BL$57),""),1+BL$58*2,1),IF(LEN(IFERROR(INDEX(醫師週班表!$C$5:$T$44,$CU9,BL$57),""))=2,IF(AND(RIGHT(IFERROR(INDEX(醫師週班表!$C$5:$T$44,$CU9,BL$57),""),1)="~",BL$58=1),"",LEFT(IFERROR(INDEX(醫師週班表!$C$5:$T$44,$CU9,BL$57),""),1)),IFERROR(INDEX(醫師週班表!$C$5:$T$44,$CU9,BL$57),""))))))</f>
        <v/>
      </c>
      <c r="BM9" s="67">
        <f>IF(BM$59="X","",IF(BM$59&lt;&gt;"",BM$59,IF(IFERROR(INDEX(醫師週班表!$C$5:$T$44,$CU9,BM$57),"")=0,"",IF(LEN(IFERROR(INDEX(醫師週班表!$C$5:$T$44,$CU9,BM$57),""))=4,MID(IFERROR(INDEX(醫師週班表!$C$5:$T$44,$CU9,BM$57),""),1+BM$58*2,1),IF(LEN(IFERROR(INDEX(醫師週班表!$C$5:$T$44,$CU9,BM$57),""))=2,IF(AND(RIGHT(IFERROR(INDEX(醫師週班表!$C$5:$T$44,$CU9,BM$57),""),1)="~",BM$58=1),"",LEFT(IFERROR(INDEX(醫師週班表!$C$5:$T$44,$CU9,BM$57),""),1)),IFERROR(INDEX(醫師週班表!$C$5:$T$44,$CU9,BM$57),""))))))</f>
        <v/>
      </c>
      <c r="BN9" s="68">
        <f>IF(BN$59="X","",IF(BN$59&lt;&gt;"",BN$59,IF(IFERROR(INDEX(醫師週班表!$C$5:$T$44,$CU9,BN$57),"")=0,"",IF(LEN(IFERROR(INDEX(醫師週班表!$C$5:$T$44,$CU9,BN$57),""))=4,MID(IFERROR(INDEX(醫師週班表!$C$5:$T$44,$CU9,BN$57),""),1+BN$58*2,1),IF(LEN(IFERROR(INDEX(醫師週班表!$C$5:$T$44,$CU9,BN$57),""))=2,IF(AND(RIGHT(IFERROR(INDEX(醫師週班表!$C$5:$T$44,$CU9,BN$57),""),1)="~",BN$58=1),"",LEFT(IFERROR(INDEX(醫師週班表!$C$5:$T$44,$CU9,BN$57),""),1)),IFERROR(INDEX(醫師週班表!$C$5:$T$44,$CU9,BN$57),""))))))</f>
        <v/>
      </c>
      <c r="BO9" s="68">
        <f>IF(BO$59="X","",IF(BO$59&lt;&gt;"",BO$59,IF(IFERROR(INDEX(醫師週班表!$C$5:$T$44,$CU9,BO$57),"")=0,"",IF(LEN(IFERROR(INDEX(醫師週班表!$C$5:$T$44,$CU9,BO$57),""))=4,MID(IFERROR(INDEX(醫師週班表!$C$5:$T$44,$CU9,BO$57),""),1+BO$58*2,1),IF(LEN(IFERROR(INDEX(醫師週班表!$C$5:$T$44,$CU9,BO$57),""))=2,IF(AND(RIGHT(IFERROR(INDEX(醫師週班表!$C$5:$T$44,$CU9,BO$57),""),1)="~",BO$58=1),"",LEFT(IFERROR(INDEX(醫師週班表!$C$5:$T$44,$CU9,BO$57),""),1)),IFERROR(INDEX(醫師週班表!$C$5:$T$44,$CU9,BO$57),""))))))</f>
        <v/>
      </c>
      <c r="BP9" s="67">
        <f>IF(BP$59="X","",IF(BP$59&lt;&gt;"",BP$59,IF(IFERROR(INDEX(醫師週班表!$C$5:$T$44,$CU9,BP$57),"")=0,"",IF(LEN(IFERROR(INDEX(醫師週班表!$C$5:$T$44,$CU9,BP$57),""))=4,MID(IFERROR(INDEX(醫師週班表!$C$5:$T$44,$CU9,BP$57),""),1+BP$58*2,1),IF(LEN(IFERROR(INDEX(醫師週班表!$C$5:$T$44,$CU9,BP$57),""))=2,IF(AND(RIGHT(IFERROR(INDEX(醫師週班表!$C$5:$T$44,$CU9,BP$57),""),1)="~",BP$58=1),"",LEFT(IFERROR(INDEX(醫師週班表!$C$5:$T$44,$CU9,BP$57),""),1)),IFERROR(INDEX(醫師週班表!$C$5:$T$44,$CU9,BP$57),""))))))</f>
        <v/>
      </c>
      <c r="BQ9" s="68">
        <f>IF(BQ$59="X","",IF(BQ$59&lt;&gt;"",BQ$59,IF(IFERROR(INDEX(醫師週班表!$C$5:$T$44,$CU9,BQ$57),"")=0,"",IF(LEN(IFERROR(INDEX(醫師週班表!$C$5:$T$44,$CU9,BQ$57),""))=4,MID(IFERROR(INDEX(醫師週班表!$C$5:$T$44,$CU9,BQ$57),""),1+BQ$58*2,1),IF(LEN(IFERROR(INDEX(醫師週班表!$C$5:$T$44,$CU9,BQ$57),""))=2,IF(AND(RIGHT(IFERROR(INDEX(醫師週班表!$C$5:$T$44,$CU9,BQ$57),""),1)="~",BQ$58=1),"",LEFT(IFERROR(INDEX(醫師週班表!$C$5:$T$44,$CU9,BQ$57),""),1)),IFERROR(INDEX(醫師週班表!$C$5:$T$44,$CU9,BQ$57),""))))))</f>
        <v/>
      </c>
      <c r="BR9" s="68">
        <f>IF(BR$59="X","",IF(BR$59&lt;&gt;"",BR$59,IF(IFERROR(INDEX(醫師週班表!$C$5:$T$44,$CU9,BR$57),"")=0,"",IF(LEN(IFERROR(INDEX(醫師週班表!$C$5:$T$44,$CU9,BR$57),""))=4,MID(IFERROR(INDEX(醫師週班表!$C$5:$T$44,$CU9,BR$57),""),1+BR$58*2,1),IF(LEN(IFERROR(INDEX(醫師週班表!$C$5:$T$44,$CU9,BR$57),""))=2,IF(AND(RIGHT(IFERROR(INDEX(醫師週班表!$C$5:$T$44,$CU9,BR$57),""),1)="~",BR$58=1),"",LEFT(IFERROR(INDEX(醫師週班表!$C$5:$T$44,$CU9,BR$57),""),1)),IFERROR(INDEX(醫師週班表!$C$5:$T$44,$CU9,BR$57),""))))))</f>
        <v/>
      </c>
      <c r="BS9" s="67">
        <f>IF(BS$59="X","",IF(BS$59&lt;&gt;"",BS$59,IF(IFERROR(INDEX(醫師週班表!$C$5:$T$44,$CU9,BS$57),"")=0,"",IF(LEN(IFERROR(INDEX(醫師週班表!$C$5:$T$44,$CU9,BS$57),""))=4,MID(IFERROR(INDEX(醫師週班表!$C$5:$T$44,$CU9,BS$57),""),1+BS$58*2,1),IF(LEN(IFERROR(INDEX(醫師週班表!$C$5:$T$44,$CU9,BS$57),""))=2,IF(AND(RIGHT(IFERROR(INDEX(醫師週班表!$C$5:$T$44,$CU9,BS$57),""),1)="~",BS$58=1),"",LEFT(IFERROR(INDEX(醫師週班表!$C$5:$T$44,$CU9,BS$57),""),1)),IFERROR(INDEX(醫師週班表!$C$5:$T$44,$CU9,BS$57),""))))))</f>
        <v/>
      </c>
      <c r="BT9" s="68">
        <f>IF(BT$59="X","",IF(BT$59&lt;&gt;"",BT$59,IF(IFERROR(INDEX(醫師週班表!$C$5:$T$44,$CU9,BT$57),"")=0,"",IF(LEN(IFERROR(INDEX(醫師週班表!$C$5:$T$44,$CU9,BT$57),""))=4,MID(IFERROR(INDEX(醫師週班表!$C$5:$T$44,$CU9,BT$57),""),1+BT$58*2,1),IF(LEN(IFERROR(INDEX(醫師週班表!$C$5:$T$44,$CU9,BT$57),""))=2,IF(AND(RIGHT(IFERROR(INDEX(醫師週班表!$C$5:$T$44,$CU9,BT$57),""),1)="~",BT$58=1),"",LEFT(IFERROR(INDEX(醫師週班表!$C$5:$T$44,$CU9,BT$57),""),1)),IFERROR(INDEX(醫師週班表!$C$5:$T$44,$CU9,BT$57),""))))))</f>
        <v/>
      </c>
      <c r="BU9" s="68">
        <f>IF(BU$59="X","",IF(BU$59&lt;&gt;"",BU$59,IF(IFERROR(INDEX(醫師週班表!$C$5:$T$44,$CU9,BU$57),"")=0,"",IF(LEN(IFERROR(INDEX(醫師週班表!$C$5:$T$44,$CU9,BU$57),""))=4,MID(IFERROR(INDEX(醫師週班表!$C$5:$T$44,$CU9,BU$57),""),1+BU$58*2,1),IF(LEN(IFERROR(INDEX(醫師週班表!$C$5:$T$44,$CU9,BU$57),""))=2,IF(AND(RIGHT(IFERROR(INDEX(醫師週班表!$C$5:$T$44,$CU9,BU$57),""),1)="~",BU$58=1),"",LEFT(IFERROR(INDEX(醫師週班表!$C$5:$T$44,$CU9,BU$57),""),1)),IFERROR(INDEX(醫師週班表!$C$5:$T$44,$CU9,BU$57),""))))))</f>
        <v/>
      </c>
      <c r="BV9" s="67">
        <f>IF(BV$59="X","",IF(BV$59&lt;&gt;"",BV$59,IF(IFERROR(INDEX(醫師週班表!$C$5:$T$44,$CU9,BV$57),"")=0,"",IF(LEN(IFERROR(INDEX(醫師週班表!$C$5:$T$44,$CU9,BV$57),""))=4,MID(IFERROR(INDEX(醫師週班表!$C$5:$T$44,$CU9,BV$57),""),1+BV$58*2,1),IF(LEN(IFERROR(INDEX(醫師週班表!$C$5:$T$44,$CU9,BV$57),""))=2,IF(AND(RIGHT(IFERROR(INDEX(醫師週班表!$C$5:$T$44,$CU9,BV$57),""),1)="~",BV$58=1),"",LEFT(IFERROR(INDEX(醫師週班表!$C$5:$T$44,$CU9,BV$57),""),1)),IFERROR(INDEX(醫師週班表!$C$5:$T$44,$CU9,BV$57),""))))))</f>
        <v/>
      </c>
      <c r="BW9" s="68">
        <f>IF(BW$59="X","",IF(BW$59&lt;&gt;"",BW$59,IF(IFERROR(INDEX(醫師週班表!$C$5:$T$44,$CU9,BW$57),"")=0,"",IF(LEN(IFERROR(INDEX(醫師週班表!$C$5:$T$44,$CU9,BW$57),""))=4,MID(IFERROR(INDEX(醫師週班表!$C$5:$T$44,$CU9,BW$57),""),1+BW$58*2,1),IF(LEN(IFERROR(INDEX(醫師週班表!$C$5:$T$44,$CU9,BW$57),""))=2,IF(AND(RIGHT(IFERROR(INDEX(醫師週班表!$C$5:$T$44,$CU9,BW$57),""),1)="~",BW$58=1),"",LEFT(IFERROR(INDEX(醫師週班表!$C$5:$T$44,$CU9,BW$57),""),1)),IFERROR(INDEX(醫師週班表!$C$5:$T$44,$CU9,BW$57),""))))))</f>
        <v/>
      </c>
      <c r="BX9" s="68">
        <f>IF(BX$59="X","",IF(BX$59&lt;&gt;"",BX$59,IF(IFERROR(INDEX(醫師週班表!$C$5:$T$44,$CU9,BX$57),"")=0,"",IF(LEN(IFERROR(INDEX(醫師週班表!$C$5:$T$44,$CU9,BX$57),""))=4,MID(IFERROR(INDEX(醫師週班表!$C$5:$T$44,$CU9,BX$57),""),1+BX$58*2,1),IF(LEN(IFERROR(INDEX(醫師週班表!$C$5:$T$44,$CU9,BX$57),""))=2,IF(AND(RIGHT(IFERROR(INDEX(醫師週班表!$C$5:$T$44,$CU9,BX$57),""),1)="~",BX$58=1),"",LEFT(IFERROR(INDEX(醫師週班表!$C$5:$T$44,$CU9,BX$57),""),1)),IFERROR(INDEX(醫師週班表!$C$5:$T$44,$CU9,BX$57),""))))))</f>
        <v/>
      </c>
      <c r="BY9" s="67">
        <f>IF(BY$59="X","",IF(BY$59&lt;&gt;"",BY$59,IF(IFERROR(INDEX(醫師週班表!$C$5:$T$44,$CU9,BY$57),"")=0,"",IF(LEN(IFERROR(INDEX(醫師週班表!$C$5:$T$44,$CU9,BY$57),""))=4,MID(IFERROR(INDEX(醫師週班表!$C$5:$T$44,$CU9,BY$57),""),1+BY$58*2,1),IF(LEN(IFERROR(INDEX(醫師週班表!$C$5:$T$44,$CU9,BY$57),""))=2,IF(AND(RIGHT(IFERROR(INDEX(醫師週班表!$C$5:$T$44,$CU9,BY$57),""),1)="~",BY$58=1),"",LEFT(IFERROR(INDEX(醫師週班表!$C$5:$T$44,$CU9,BY$57),""),1)),IFERROR(INDEX(醫師週班表!$C$5:$T$44,$CU9,BY$57),""))))))</f>
        <v/>
      </c>
      <c r="BZ9" s="68">
        <f>IF(BZ$59="X","",IF(BZ$59&lt;&gt;"",BZ$59,IF(IFERROR(INDEX(醫師週班表!$C$5:$T$44,$CU9,BZ$57),"")=0,"",IF(LEN(IFERROR(INDEX(醫師週班表!$C$5:$T$44,$CU9,BZ$57),""))=4,MID(IFERROR(INDEX(醫師週班表!$C$5:$T$44,$CU9,BZ$57),""),1+BZ$58*2,1),IF(LEN(IFERROR(INDEX(醫師週班表!$C$5:$T$44,$CU9,BZ$57),""))=2,IF(AND(RIGHT(IFERROR(INDEX(醫師週班表!$C$5:$T$44,$CU9,BZ$57),""),1)="~",BZ$58=1),"",LEFT(IFERROR(INDEX(醫師週班表!$C$5:$T$44,$CU9,BZ$57),""),1)),IFERROR(INDEX(醫師週班表!$C$5:$T$44,$CU9,BZ$57),""))))))</f>
        <v/>
      </c>
      <c r="CA9" s="68">
        <f>IF(CA$59="X","",IF(CA$59&lt;&gt;"",CA$59,IF(IFERROR(INDEX(醫師週班表!$C$5:$T$44,$CU9,CA$57),"")=0,"",IF(LEN(IFERROR(INDEX(醫師週班表!$C$5:$T$44,$CU9,CA$57),""))=4,MID(IFERROR(INDEX(醫師週班表!$C$5:$T$44,$CU9,CA$57),""),1+CA$58*2,1),IF(LEN(IFERROR(INDEX(醫師週班表!$C$5:$T$44,$CU9,CA$57),""))=2,IF(AND(RIGHT(IFERROR(INDEX(醫師週班表!$C$5:$T$44,$CU9,CA$57),""),1)="~",CA$58=1),"",LEFT(IFERROR(INDEX(醫師週班表!$C$5:$T$44,$CU9,CA$57),""),1)),IFERROR(INDEX(醫師週班表!$C$5:$T$44,$CU9,CA$57),""))))))</f>
        <v/>
      </c>
      <c r="CB9" s="67">
        <f>IF(CB$59="X","",IF(CB$59&lt;&gt;"",CB$59,IF(IFERROR(INDEX(醫師週班表!$C$5:$T$44,$CU9,CB$57),"")=0,"",IF(LEN(IFERROR(INDEX(醫師週班表!$C$5:$T$44,$CU9,CB$57),""))=4,MID(IFERROR(INDEX(醫師週班表!$C$5:$T$44,$CU9,CB$57),""),1+CB$58*2,1),IF(LEN(IFERROR(INDEX(醫師週班表!$C$5:$T$44,$CU9,CB$57),""))=2,IF(AND(RIGHT(IFERROR(INDEX(醫師週班表!$C$5:$T$44,$CU9,CB$57),""),1)="~",CB$58=1),"",LEFT(IFERROR(INDEX(醫師週班表!$C$5:$T$44,$CU9,CB$57),""),1)),IFERROR(INDEX(醫師週班表!$C$5:$T$44,$CU9,CB$57),""))))))</f>
        <v/>
      </c>
      <c r="CC9" s="68">
        <f>IF(CC$59="X","",IF(CC$59&lt;&gt;"",CC$59,IF(IFERROR(INDEX(醫師週班表!$C$5:$T$44,$CU9,CC$57),"")=0,"",IF(LEN(IFERROR(INDEX(醫師週班表!$C$5:$T$44,$CU9,CC$57),""))=4,MID(IFERROR(INDEX(醫師週班表!$C$5:$T$44,$CU9,CC$57),""),1+CC$58*2,1),IF(LEN(IFERROR(INDEX(醫師週班表!$C$5:$T$44,$CU9,CC$57),""))=2,IF(AND(RIGHT(IFERROR(INDEX(醫師週班表!$C$5:$T$44,$CU9,CC$57),""),1)="~",CC$58=1),"",LEFT(IFERROR(INDEX(醫師週班表!$C$5:$T$44,$CU9,CC$57),""),1)),IFERROR(INDEX(醫師週班表!$C$5:$T$44,$CU9,CC$57),""))))))</f>
        <v/>
      </c>
      <c r="CD9" s="68">
        <f>IF(CD$59="X","",IF(CD$59&lt;&gt;"",CD$59,IF(IFERROR(INDEX(醫師週班表!$C$5:$T$44,$CU9,CD$57),"")=0,"",IF(LEN(IFERROR(INDEX(醫師週班表!$C$5:$T$44,$CU9,CD$57),""))=4,MID(IFERROR(INDEX(醫師週班表!$C$5:$T$44,$CU9,CD$57),""),1+CD$58*2,1),IF(LEN(IFERROR(INDEX(醫師週班表!$C$5:$T$44,$CU9,CD$57),""))=2,IF(AND(RIGHT(IFERROR(INDEX(醫師週班表!$C$5:$T$44,$CU9,CD$57),""),1)="~",CD$58=1),"",LEFT(IFERROR(INDEX(醫師週班表!$C$5:$T$44,$CU9,CD$57),""),1)),IFERROR(INDEX(醫師週班表!$C$5:$T$44,$CU9,CD$57),""))))))</f>
        <v/>
      </c>
      <c r="CE9" s="67">
        <f>IF(CE$59="X","",IF(CE$59&lt;&gt;"",CE$59,IF(IFERROR(INDEX(醫師週班表!$C$5:$T$44,$CU9,CE$57),"")=0,"",IF(LEN(IFERROR(INDEX(醫師週班表!$C$5:$T$44,$CU9,CE$57),""))=4,MID(IFERROR(INDEX(醫師週班表!$C$5:$T$44,$CU9,CE$57),""),1+CE$58*2,1),IF(LEN(IFERROR(INDEX(醫師週班表!$C$5:$T$44,$CU9,CE$57),""))=2,IF(AND(RIGHT(IFERROR(INDEX(醫師週班表!$C$5:$T$44,$CU9,CE$57),""),1)="~",CE$58=1),"",LEFT(IFERROR(INDEX(醫師週班表!$C$5:$T$44,$CU9,CE$57),""),1)),IFERROR(INDEX(醫師週班表!$C$5:$T$44,$CU9,CE$57),""))))))</f>
        <v/>
      </c>
      <c r="CF9" s="68">
        <f>IF(CF$59="X","",IF(CF$59&lt;&gt;"",CF$59,IF(IFERROR(INDEX(醫師週班表!$C$5:$T$44,$CU9,CF$57),"")=0,"",IF(LEN(IFERROR(INDEX(醫師週班表!$C$5:$T$44,$CU9,CF$57),""))=4,MID(IFERROR(INDEX(醫師週班表!$C$5:$T$44,$CU9,CF$57),""),1+CF$58*2,1),IF(LEN(IFERROR(INDEX(醫師週班表!$C$5:$T$44,$CU9,CF$57),""))=2,IF(AND(RIGHT(IFERROR(INDEX(醫師週班表!$C$5:$T$44,$CU9,CF$57),""),1)="~",CF$58=1),"",LEFT(IFERROR(INDEX(醫師週班表!$C$5:$T$44,$CU9,CF$57),""),1)),IFERROR(INDEX(醫師週班表!$C$5:$T$44,$CU9,CF$57),""))))))</f>
        <v/>
      </c>
      <c r="CG9" s="68">
        <f>IF(CG$59="X","",IF(CG$59&lt;&gt;"",CG$59,IF(IFERROR(INDEX(醫師週班表!$C$5:$T$44,$CU9,CG$57),"")=0,"",IF(LEN(IFERROR(INDEX(醫師週班表!$C$5:$T$44,$CU9,CG$57),""))=4,MID(IFERROR(INDEX(醫師週班表!$C$5:$T$44,$CU9,CG$57),""),1+CG$58*2,1),IF(LEN(IFERROR(INDEX(醫師週班表!$C$5:$T$44,$CU9,CG$57),""))=2,IF(AND(RIGHT(IFERROR(INDEX(醫師週班表!$C$5:$T$44,$CU9,CG$57),""),1)="~",CG$58=1),"",LEFT(IFERROR(INDEX(醫師週班表!$C$5:$T$44,$CU9,CG$57),""),1)),IFERROR(INDEX(醫師週班表!$C$5:$T$44,$CU9,CG$57),""))))))</f>
        <v/>
      </c>
      <c r="CH9" s="67">
        <f>IF(CH$59="X","",IF(CH$59&lt;&gt;"",CH$59,IF(IFERROR(INDEX(醫師週班表!$C$5:$T$44,$CU9,CH$57),"")=0,"",IF(LEN(IFERROR(INDEX(醫師週班表!$C$5:$T$44,$CU9,CH$57),""))=4,MID(IFERROR(INDEX(醫師週班表!$C$5:$T$44,$CU9,CH$57),""),1+CH$58*2,1),IF(LEN(IFERROR(INDEX(醫師週班表!$C$5:$T$44,$CU9,CH$57),""))=2,IF(AND(RIGHT(IFERROR(INDEX(醫師週班表!$C$5:$T$44,$CU9,CH$57),""),1)="~",CH$58=1),"",LEFT(IFERROR(INDEX(醫師週班表!$C$5:$T$44,$CU9,CH$57),""),1)),IFERROR(INDEX(醫師週班表!$C$5:$T$44,$CU9,CH$57),""))))))</f>
        <v/>
      </c>
      <c r="CI9" s="68">
        <f>IF(CI$59="X","",IF(CI$59&lt;&gt;"",CI$59,IF(IFERROR(INDEX(醫師週班表!$C$5:$T$44,$CU9,CI$57),"")=0,"",IF(LEN(IFERROR(INDEX(醫師週班表!$C$5:$T$44,$CU9,CI$57),""))=4,MID(IFERROR(INDEX(醫師週班表!$C$5:$T$44,$CU9,CI$57),""),1+CI$58*2,1),IF(LEN(IFERROR(INDEX(醫師週班表!$C$5:$T$44,$CU9,CI$57),""))=2,IF(AND(RIGHT(IFERROR(INDEX(醫師週班表!$C$5:$T$44,$CU9,CI$57),""),1)="~",CI$58=1),"",LEFT(IFERROR(INDEX(醫師週班表!$C$5:$T$44,$CU9,CI$57),""),1)),IFERROR(INDEX(醫師週班表!$C$5:$T$44,$CU9,CI$57),""))))))</f>
        <v/>
      </c>
      <c r="CJ9" s="68">
        <f>IF(CJ$59="X","",IF(CJ$59&lt;&gt;"",CJ$59,IF(IFERROR(INDEX(醫師週班表!$C$5:$T$44,$CU9,CJ$57),"")=0,"",IF(LEN(IFERROR(INDEX(醫師週班表!$C$5:$T$44,$CU9,CJ$57),""))=4,MID(IFERROR(INDEX(醫師週班表!$C$5:$T$44,$CU9,CJ$57),""),1+CJ$58*2,1),IF(LEN(IFERROR(INDEX(醫師週班表!$C$5:$T$44,$CU9,CJ$57),""))=2,IF(AND(RIGHT(IFERROR(INDEX(醫師週班表!$C$5:$T$44,$CU9,CJ$57),""),1)="~",CJ$58=1),"",LEFT(IFERROR(INDEX(醫師週班表!$C$5:$T$44,$CU9,CJ$57),""),1)),IFERROR(INDEX(醫師週班表!$C$5:$T$44,$CU9,CJ$57),""))))))</f>
        <v/>
      </c>
      <c r="CK9" s="67">
        <f>IF(CK$59="X","",IF(CK$59&lt;&gt;"",CK$59,IF(IFERROR(INDEX(醫師週班表!$C$5:$T$44,$CU9,CK$57),"")=0,"",IF(LEN(IFERROR(INDEX(醫師週班表!$C$5:$T$44,$CU9,CK$57),""))=4,MID(IFERROR(INDEX(醫師週班表!$C$5:$T$44,$CU9,CK$57),""),1+CK$58*2,1),IF(LEN(IFERROR(INDEX(醫師週班表!$C$5:$T$44,$CU9,CK$57),""))=2,IF(AND(RIGHT(IFERROR(INDEX(醫師週班表!$C$5:$T$44,$CU9,CK$57),""),1)="~",CK$58=1),"",LEFT(IFERROR(INDEX(醫師週班表!$C$5:$T$44,$CU9,CK$57),""),1)),IFERROR(INDEX(醫師週班表!$C$5:$T$44,$CU9,CK$57),""))))))</f>
        <v/>
      </c>
      <c r="CL9" s="68">
        <f>IF(CL$59="X","",IF(CL$59&lt;&gt;"",CL$59,IF(IFERROR(INDEX(醫師週班表!$C$5:$T$44,$CU9,CL$57),"")=0,"",IF(LEN(IFERROR(INDEX(醫師週班表!$C$5:$T$44,$CU9,CL$57),""))=4,MID(IFERROR(INDEX(醫師週班表!$C$5:$T$44,$CU9,CL$57),""),1+CL$58*2,1),IF(LEN(IFERROR(INDEX(醫師週班表!$C$5:$T$44,$CU9,CL$57),""))=2,IF(AND(RIGHT(IFERROR(INDEX(醫師週班表!$C$5:$T$44,$CU9,CL$57),""),1)="~",CL$58=1),"",LEFT(IFERROR(INDEX(醫師週班表!$C$5:$T$44,$CU9,CL$57),""),1)),IFERROR(INDEX(醫師週班表!$C$5:$T$44,$CU9,CL$57),""))))))</f>
        <v/>
      </c>
      <c r="CM9" s="68">
        <f>IF(CM$59="X","",IF(CM$59&lt;&gt;"",CM$59,IF(IFERROR(INDEX(醫師週班表!$C$5:$T$44,$CU9,CM$57),"")=0,"",IF(LEN(IFERROR(INDEX(醫師週班表!$C$5:$T$44,$CU9,CM$57),""))=4,MID(IFERROR(INDEX(醫師週班表!$C$5:$T$44,$CU9,CM$57),""),1+CM$58*2,1),IF(LEN(IFERROR(INDEX(醫師週班表!$C$5:$T$44,$CU9,CM$57),""))=2,IF(AND(RIGHT(IFERROR(INDEX(醫師週班表!$C$5:$T$44,$CU9,CM$57),""),1)="~",CM$58=1),"",LEFT(IFERROR(INDEX(醫師週班表!$C$5:$T$44,$CU9,CM$57),""),1)),IFERROR(INDEX(醫師週班表!$C$5:$T$44,$CU9,CM$57),""))))))</f>
        <v/>
      </c>
      <c r="CN9" s="67">
        <f>IF(CN$59="X","",IF(CN$59&lt;&gt;"",CN$59,IF(IFERROR(INDEX(醫師週班表!$C$5:$T$44,$CU9,CN$57),"")=0,"",IF(LEN(IFERROR(INDEX(醫師週班表!$C$5:$T$44,$CU9,CN$57),""))=4,MID(IFERROR(INDEX(醫師週班表!$C$5:$T$44,$CU9,CN$57),""),1+CN$58*2,1),IF(LEN(IFERROR(INDEX(醫師週班表!$C$5:$T$44,$CU9,CN$57),""))=2,IF(AND(RIGHT(IFERROR(INDEX(醫師週班表!$C$5:$T$44,$CU9,CN$57),""),1)="~",CN$58=1),"",LEFT(IFERROR(INDEX(醫師週班表!$C$5:$T$44,$CU9,CN$57),""),1)),IFERROR(INDEX(醫師週班表!$C$5:$T$44,$CU9,CN$57),""))))))</f>
        <v/>
      </c>
      <c r="CO9" s="68">
        <f>IF(CO$59="X","",IF(CO$59&lt;&gt;"",CO$59,IF(IFERROR(INDEX(醫師週班表!$C$5:$T$44,$CU9,CO$57),"")=0,"",IF(LEN(IFERROR(INDEX(醫師週班表!$C$5:$T$44,$CU9,CO$57),""))=4,MID(IFERROR(INDEX(醫師週班表!$C$5:$T$44,$CU9,CO$57),""),1+CO$58*2,1),IF(LEN(IFERROR(INDEX(醫師週班表!$C$5:$T$44,$CU9,CO$57),""))=2,IF(AND(RIGHT(IFERROR(INDEX(醫師週班表!$C$5:$T$44,$CU9,CO$57),""),1)="~",CO$58=1),"",LEFT(IFERROR(INDEX(醫師週班表!$C$5:$T$44,$CU9,CO$57),""),1)),IFERROR(INDEX(醫師週班表!$C$5:$T$44,$CU9,CO$57),""))))))</f>
        <v/>
      </c>
      <c r="CP9" s="68">
        <f>IF(CP$59="X","",IF(CP$59&lt;&gt;"",CP$59,IF(IFERROR(INDEX(醫師週班表!$C$5:$T$44,$CU9,CP$57),"")=0,"",IF(LEN(IFERROR(INDEX(醫師週班表!$C$5:$T$44,$CU9,CP$57),""))=4,MID(IFERROR(INDEX(醫師週班表!$C$5:$T$44,$CU9,CP$57),""),1+CP$58*2,1),IF(LEN(IFERROR(INDEX(醫師週班表!$C$5:$T$44,$CU9,CP$57),""))=2,IF(AND(RIGHT(IFERROR(INDEX(醫師週班表!$C$5:$T$44,$CU9,CP$57),""),1)="~",CP$58=1),"",LEFT(IFERROR(INDEX(醫師週班表!$C$5:$T$44,$CU9,CP$57),""),1)),IFERROR(INDEX(醫師週班表!$C$5:$T$44,$CU9,CP$57),""))))))</f>
        <v/>
      </c>
      <c r="CQ9" s="67">
        <f>IF(CQ$59="X","",IF(CQ$59&lt;&gt;"",CQ$59,IF(IFERROR(INDEX(醫師週班表!$C$5:$T$44,$CU9,CQ$57),"")=0,"",IF(LEN(IFERROR(INDEX(醫師週班表!$C$5:$T$44,$CU9,CQ$57),""))=4,MID(IFERROR(INDEX(醫師週班表!$C$5:$T$44,$CU9,CQ$57),""),1+CQ$58*2,1),IF(LEN(IFERROR(INDEX(醫師週班表!$C$5:$T$44,$CU9,CQ$57),""))=2,IF(AND(RIGHT(IFERROR(INDEX(醫師週班表!$C$5:$T$44,$CU9,CQ$57),""),1)="~",CQ$58=1),"",LEFT(IFERROR(INDEX(醫師週班表!$C$5:$T$44,$CU9,CQ$57),""),1)),IFERROR(INDEX(醫師週班表!$C$5:$T$44,$CU9,CQ$57),""))))))</f>
        <v/>
      </c>
      <c r="CR9" s="68">
        <f>IF(CR$59="X","",IF(CR$59&lt;&gt;"",CR$59,IF(IFERROR(INDEX(醫師週班表!$C$5:$T$44,$CU9,CR$57),"")=0,"",IF(LEN(IFERROR(INDEX(醫師週班表!$C$5:$T$44,$CU9,CR$57),""))=4,MID(IFERROR(INDEX(醫師週班表!$C$5:$T$44,$CU9,CR$57),""),1+CR$58*2,1),IF(LEN(IFERROR(INDEX(醫師週班表!$C$5:$T$44,$CU9,CR$57),""))=2,IF(AND(RIGHT(IFERROR(INDEX(醫師週班表!$C$5:$T$44,$CU9,CR$57),""),1)="~",CR$58=1),"",LEFT(IFERROR(INDEX(醫師週班表!$C$5:$T$44,$CU9,CR$57),""),1)),IFERROR(INDEX(醫師週班表!$C$5:$T$44,$CU9,CR$57),""))))))</f>
        <v/>
      </c>
      <c r="CS9" s="68">
        <f>IF(CS$59="X","",IF(CS$59&lt;&gt;"",CS$59,IF(IFERROR(INDEX(醫師週班表!$C$5:$T$44,$CU9,CS$57),"")=0,"",IF(LEN(IFERROR(INDEX(醫師週班表!$C$5:$T$44,$CU9,CS$57),""))=4,MID(IFERROR(INDEX(醫師週班表!$C$5:$T$44,$CU9,CS$57),""),1+CS$58*2,1),IF(LEN(IFERROR(INDEX(醫師週班表!$C$5:$T$44,$CU9,CS$57),""))=2,IF(AND(RIGHT(IFERROR(INDEX(醫師週班表!$C$5:$T$44,$CU9,CS$57),""),1)="~",CS$58=1),"",LEFT(IFERROR(INDEX(醫師週班表!$C$5:$T$44,$CU9,CS$57),""),1)),IFERROR(INDEX(醫師週班表!$C$5:$T$44,$CU9,CS$57),""))))))</f>
        <v/>
      </c>
      <c r="CU9" s="69">
        <f>IFERROR(MATCH($A9,醫師週班表!$A$5:$A$44,0),0)</f>
        <v/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IFERROR(INDEX(醫師週班表!$C$5:$T$44,$CU10,E$57),"")=0,"",IF(LEN(IFERROR(INDEX(醫師週班表!$C$5:$T$44,$CU10,E$57),""))=4,MID(IFERROR(INDEX(醫師週班表!$C$5:$T$44,$CU10,E$57),""),1+E$58*2,1),IF(LEN(IFERROR(INDEX(醫師週班表!$C$5:$T$44,$CU10,E$57),""))=2,IF(AND(RIGHT(IFERROR(INDEX(醫師週班表!$C$5:$T$44,$CU10,E$57),""),1)="~",E$58=1),"",LEFT(IFERROR(INDEX(醫師週班表!$C$5:$T$44,$CU10,E$57),""),1)),IFERROR(INDEX(醫師週班表!$C$5:$T$44,$CU10,E$57),""))))))</f>
        <v/>
      </c>
      <c r="F10" s="68">
        <f>IF(F$59="X","",IF(F$59&lt;&gt;"",F$59,IF(IFERROR(INDEX(醫師週班表!$C$5:$T$44,$CU10,F$57),"")=0,"",IF(LEN(IFERROR(INDEX(醫師週班表!$C$5:$T$44,$CU10,F$57),""))=4,MID(IFERROR(INDEX(醫師週班表!$C$5:$T$44,$CU10,F$57),""),1+F$58*2,1),IF(LEN(IFERROR(INDEX(醫師週班表!$C$5:$T$44,$CU10,F$57),""))=2,IF(AND(RIGHT(IFERROR(INDEX(醫師週班表!$C$5:$T$44,$CU10,F$57),""),1)="~",F$58=1),"",LEFT(IFERROR(INDEX(醫師週班表!$C$5:$T$44,$CU10,F$57),""),1)),IFERROR(INDEX(醫師週班表!$C$5:$T$44,$CU10,F$57),""))))))</f>
        <v/>
      </c>
      <c r="G10" s="68">
        <f>IF(G$59="X","",IF(G$59&lt;&gt;"",G$59,IF(IFERROR(INDEX(醫師週班表!$C$5:$T$44,$CU10,G$57),"")=0,"",IF(LEN(IFERROR(INDEX(醫師週班表!$C$5:$T$44,$CU10,G$57),""))=4,MID(IFERROR(INDEX(醫師週班表!$C$5:$T$44,$CU10,G$57),""),1+G$58*2,1),IF(LEN(IFERROR(INDEX(醫師週班表!$C$5:$T$44,$CU10,G$57),""))=2,IF(AND(RIGHT(IFERROR(INDEX(醫師週班表!$C$5:$T$44,$CU10,G$57),""),1)="~",G$58=1),"",LEFT(IFERROR(INDEX(醫師週班表!$C$5:$T$44,$CU10,G$57),""),1)),IFERROR(INDEX(醫師週班表!$C$5:$T$44,$CU10,G$57),""))))))</f>
        <v/>
      </c>
      <c r="H10" s="67">
        <f>IF(H$59="X","",IF(H$59&lt;&gt;"",H$59,IF(IFERROR(INDEX(醫師週班表!$C$5:$T$44,$CU10,H$57),"")=0,"",IF(LEN(IFERROR(INDEX(醫師週班表!$C$5:$T$44,$CU10,H$57),""))=4,MID(IFERROR(INDEX(醫師週班表!$C$5:$T$44,$CU10,H$57),""),1+H$58*2,1),IF(LEN(IFERROR(INDEX(醫師週班表!$C$5:$T$44,$CU10,H$57),""))=2,IF(AND(RIGHT(IFERROR(INDEX(醫師週班表!$C$5:$T$44,$CU10,H$57),""),1)="~",H$58=1),"",LEFT(IFERROR(INDEX(醫師週班表!$C$5:$T$44,$CU10,H$57),""),1)),IFERROR(INDEX(醫師週班表!$C$5:$T$44,$CU10,H$57),""))))))</f>
        <v/>
      </c>
      <c r="I10" s="68">
        <f>IF(I$59="X","",IF(I$59&lt;&gt;"",I$59,IF(IFERROR(INDEX(醫師週班表!$C$5:$T$44,$CU10,I$57),"")=0,"",IF(LEN(IFERROR(INDEX(醫師週班表!$C$5:$T$44,$CU10,I$57),""))=4,MID(IFERROR(INDEX(醫師週班表!$C$5:$T$44,$CU10,I$57),""),1+I$58*2,1),IF(LEN(IFERROR(INDEX(醫師週班表!$C$5:$T$44,$CU10,I$57),""))=2,IF(AND(RIGHT(IFERROR(INDEX(醫師週班表!$C$5:$T$44,$CU10,I$57),""),1)="~",I$58=1),"",LEFT(IFERROR(INDEX(醫師週班表!$C$5:$T$44,$CU10,I$57),""),1)),IFERROR(INDEX(醫師週班表!$C$5:$T$44,$CU10,I$57),""))))))</f>
        <v/>
      </c>
      <c r="J10" s="68">
        <f>IF(J$59="X","",IF(J$59&lt;&gt;"",J$59,IF(IFERROR(INDEX(醫師週班表!$C$5:$T$44,$CU10,J$57),"")=0,"",IF(LEN(IFERROR(INDEX(醫師週班表!$C$5:$T$44,$CU10,J$57),""))=4,MID(IFERROR(INDEX(醫師週班表!$C$5:$T$44,$CU10,J$57),""),1+J$58*2,1),IF(LEN(IFERROR(INDEX(醫師週班表!$C$5:$T$44,$CU10,J$57),""))=2,IF(AND(RIGHT(IFERROR(INDEX(醫師週班表!$C$5:$T$44,$CU10,J$57),""),1)="~",J$58=1),"",LEFT(IFERROR(INDEX(醫師週班表!$C$5:$T$44,$CU10,J$57),""),1)),IFERROR(INDEX(醫師週班表!$C$5:$T$44,$CU10,J$57),""))))))</f>
        <v/>
      </c>
      <c r="K10" s="67">
        <f>IF(K$59="X","",IF(K$59&lt;&gt;"",K$59,IF(IFERROR(INDEX(醫師週班表!$C$5:$T$44,$CU10,K$57),"")=0,"",IF(LEN(IFERROR(INDEX(醫師週班表!$C$5:$T$44,$CU10,K$57),""))=4,MID(IFERROR(INDEX(醫師週班表!$C$5:$T$44,$CU10,K$57),""),1+K$58*2,1),IF(LEN(IFERROR(INDEX(醫師週班表!$C$5:$T$44,$CU10,K$57),""))=2,IF(AND(RIGHT(IFERROR(INDEX(醫師週班表!$C$5:$T$44,$CU10,K$57),""),1)="~",K$58=1),"",LEFT(IFERROR(INDEX(醫師週班表!$C$5:$T$44,$CU10,K$57),""),1)),IFERROR(INDEX(醫師週班表!$C$5:$T$44,$CU10,K$57),""))))))</f>
        <v/>
      </c>
      <c r="L10" s="68">
        <f>IF(L$59="X","",IF(L$59&lt;&gt;"",L$59,IF(IFERROR(INDEX(醫師週班表!$C$5:$T$44,$CU10,L$57),"")=0,"",IF(LEN(IFERROR(INDEX(醫師週班表!$C$5:$T$44,$CU10,L$57),""))=4,MID(IFERROR(INDEX(醫師週班表!$C$5:$T$44,$CU10,L$57),""),1+L$58*2,1),IF(LEN(IFERROR(INDEX(醫師週班表!$C$5:$T$44,$CU10,L$57),""))=2,IF(AND(RIGHT(IFERROR(INDEX(醫師週班表!$C$5:$T$44,$CU10,L$57),""),1)="~",L$58=1),"",LEFT(IFERROR(INDEX(醫師週班表!$C$5:$T$44,$CU10,L$57),""),1)),IFERROR(INDEX(醫師週班表!$C$5:$T$44,$CU10,L$57),""))))))</f>
        <v/>
      </c>
      <c r="M10" s="68">
        <f>IF(M$59="X","",IF(M$59&lt;&gt;"",M$59,IF(IFERROR(INDEX(醫師週班表!$C$5:$T$44,$CU10,M$57),"")=0,"",IF(LEN(IFERROR(INDEX(醫師週班表!$C$5:$T$44,$CU10,M$57),""))=4,MID(IFERROR(INDEX(醫師週班表!$C$5:$T$44,$CU10,M$57),""),1+M$58*2,1),IF(LEN(IFERROR(INDEX(醫師週班表!$C$5:$T$44,$CU10,M$57),""))=2,IF(AND(RIGHT(IFERROR(INDEX(醫師週班表!$C$5:$T$44,$CU10,M$57),""),1)="~",M$58=1),"",LEFT(IFERROR(INDEX(醫師週班表!$C$5:$T$44,$CU10,M$57),""),1)),IFERROR(INDEX(醫師週班表!$C$5:$T$44,$CU10,M$57),""))))))</f>
        <v/>
      </c>
      <c r="N10" s="67">
        <f>IF(N$59="X","",IF(N$59&lt;&gt;"",N$59,IF(IFERROR(INDEX(醫師週班表!$C$5:$T$44,$CU10,N$57),"")=0,"",IF(LEN(IFERROR(INDEX(醫師週班表!$C$5:$T$44,$CU10,N$57),""))=4,MID(IFERROR(INDEX(醫師週班表!$C$5:$T$44,$CU10,N$57),""),1+N$58*2,1),IF(LEN(IFERROR(INDEX(醫師週班表!$C$5:$T$44,$CU10,N$57),""))=2,IF(AND(RIGHT(IFERROR(INDEX(醫師週班表!$C$5:$T$44,$CU10,N$57),""),1)="~",N$58=1),"",LEFT(IFERROR(INDEX(醫師週班表!$C$5:$T$44,$CU10,N$57),""),1)),IFERROR(INDEX(醫師週班表!$C$5:$T$44,$CU10,N$57),""))))))</f>
        <v/>
      </c>
      <c r="O10" s="68">
        <f>IF(O$59="X","",IF(O$59&lt;&gt;"",O$59,IF(IFERROR(INDEX(醫師週班表!$C$5:$T$44,$CU10,O$57),"")=0,"",IF(LEN(IFERROR(INDEX(醫師週班表!$C$5:$T$44,$CU10,O$57),""))=4,MID(IFERROR(INDEX(醫師週班表!$C$5:$T$44,$CU10,O$57),""),1+O$58*2,1),IF(LEN(IFERROR(INDEX(醫師週班表!$C$5:$T$44,$CU10,O$57),""))=2,IF(AND(RIGHT(IFERROR(INDEX(醫師週班表!$C$5:$T$44,$CU10,O$57),""),1)="~",O$58=1),"",LEFT(IFERROR(INDEX(醫師週班表!$C$5:$T$44,$CU10,O$57),""),1)),IFERROR(INDEX(醫師週班表!$C$5:$T$44,$CU10,O$57),""))))))</f>
        <v/>
      </c>
      <c r="P10" s="68">
        <f>IF(P$59="X","",IF(P$59&lt;&gt;"",P$59,IF(IFERROR(INDEX(醫師週班表!$C$5:$T$44,$CU10,P$57),"")=0,"",IF(LEN(IFERROR(INDEX(醫師週班表!$C$5:$T$44,$CU10,P$57),""))=4,MID(IFERROR(INDEX(醫師週班表!$C$5:$T$44,$CU10,P$57),""),1+P$58*2,1),IF(LEN(IFERROR(INDEX(醫師週班表!$C$5:$T$44,$CU10,P$57),""))=2,IF(AND(RIGHT(IFERROR(INDEX(醫師週班表!$C$5:$T$44,$CU10,P$57),""),1)="~",P$58=1),"",LEFT(IFERROR(INDEX(醫師週班表!$C$5:$T$44,$CU10,P$57),""),1)),IFERROR(INDEX(醫師週班表!$C$5:$T$44,$CU10,P$57),""))))))</f>
        <v/>
      </c>
      <c r="Q10" s="67">
        <f>IF(Q$59="X","",IF(Q$59&lt;&gt;"",Q$59,IF(IFERROR(INDEX(醫師週班表!$C$5:$T$44,$CU10,Q$57),"")=0,"",IF(LEN(IFERROR(INDEX(醫師週班表!$C$5:$T$44,$CU10,Q$57),""))=4,MID(IFERROR(INDEX(醫師週班表!$C$5:$T$44,$CU10,Q$57),""),1+Q$58*2,1),IF(LEN(IFERROR(INDEX(醫師週班表!$C$5:$T$44,$CU10,Q$57),""))=2,IF(AND(RIGHT(IFERROR(INDEX(醫師週班表!$C$5:$T$44,$CU10,Q$57),""),1)="~",Q$58=1),"",LEFT(IFERROR(INDEX(醫師週班表!$C$5:$T$44,$CU10,Q$57),""),1)),IFERROR(INDEX(醫師週班表!$C$5:$T$44,$CU10,Q$57),""))))))</f>
        <v/>
      </c>
      <c r="R10" s="68">
        <f>IF(R$59="X","",IF(R$59&lt;&gt;"",R$59,IF(IFERROR(INDEX(醫師週班表!$C$5:$T$44,$CU10,R$57),"")=0,"",IF(LEN(IFERROR(INDEX(醫師週班表!$C$5:$T$44,$CU10,R$57),""))=4,MID(IFERROR(INDEX(醫師週班表!$C$5:$T$44,$CU10,R$57),""),1+R$58*2,1),IF(LEN(IFERROR(INDEX(醫師週班表!$C$5:$T$44,$CU10,R$57),""))=2,IF(AND(RIGHT(IFERROR(INDEX(醫師週班表!$C$5:$T$44,$CU10,R$57),""),1)="~",R$58=1),"",LEFT(IFERROR(INDEX(醫師週班表!$C$5:$T$44,$CU10,R$57),""),1)),IFERROR(INDEX(醫師週班表!$C$5:$T$44,$CU10,R$57),""))))))</f>
        <v/>
      </c>
      <c r="S10" s="68">
        <f>IF(S$59="X","",IF(S$59&lt;&gt;"",S$59,IF(IFERROR(INDEX(醫師週班表!$C$5:$T$44,$CU10,S$57),"")=0,"",IF(LEN(IFERROR(INDEX(醫師週班表!$C$5:$T$44,$CU10,S$57),""))=4,MID(IFERROR(INDEX(醫師週班表!$C$5:$T$44,$CU10,S$57),""),1+S$58*2,1),IF(LEN(IFERROR(INDEX(醫師週班表!$C$5:$T$44,$CU10,S$57),""))=2,IF(AND(RIGHT(IFERROR(INDEX(醫師週班表!$C$5:$T$44,$CU10,S$57),""),1)="~",S$58=1),"",LEFT(IFERROR(INDEX(醫師週班表!$C$5:$T$44,$CU10,S$57),""),1)),IFERROR(INDEX(醫師週班表!$C$5:$T$44,$CU10,S$57),""))))))</f>
        <v/>
      </c>
      <c r="T10" s="67">
        <f>IF(T$59="X","",IF(T$59&lt;&gt;"",T$59,IF(IFERROR(INDEX(醫師週班表!$C$5:$T$44,$CU10,T$57),"")=0,"",IF(LEN(IFERROR(INDEX(醫師週班表!$C$5:$T$44,$CU10,T$57),""))=4,MID(IFERROR(INDEX(醫師週班表!$C$5:$T$44,$CU10,T$57),""),1+T$58*2,1),IF(LEN(IFERROR(INDEX(醫師週班表!$C$5:$T$44,$CU10,T$57),""))=2,IF(AND(RIGHT(IFERROR(INDEX(醫師週班表!$C$5:$T$44,$CU10,T$57),""),1)="~",T$58=1),"",LEFT(IFERROR(INDEX(醫師週班表!$C$5:$T$44,$CU10,T$57),""),1)),IFERROR(INDEX(醫師週班表!$C$5:$T$44,$CU10,T$57),""))))))</f>
        <v/>
      </c>
      <c r="U10" s="68">
        <f>IF(U$59="X","",IF(U$59&lt;&gt;"",U$59,IF(IFERROR(INDEX(醫師週班表!$C$5:$T$44,$CU10,U$57),"")=0,"",IF(LEN(IFERROR(INDEX(醫師週班表!$C$5:$T$44,$CU10,U$57),""))=4,MID(IFERROR(INDEX(醫師週班表!$C$5:$T$44,$CU10,U$57),""),1+U$58*2,1),IF(LEN(IFERROR(INDEX(醫師週班表!$C$5:$T$44,$CU10,U$57),""))=2,IF(AND(RIGHT(IFERROR(INDEX(醫師週班表!$C$5:$T$44,$CU10,U$57),""),1)="~",U$58=1),"",LEFT(IFERROR(INDEX(醫師週班表!$C$5:$T$44,$CU10,U$57),""),1)),IFERROR(INDEX(醫師週班表!$C$5:$T$44,$CU10,U$57),""))))))</f>
        <v/>
      </c>
      <c r="V10" s="68">
        <f>IF(V$59="X","",IF(V$59&lt;&gt;"",V$59,IF(IFERROR(INDEX(醫師週班表!$C$5:$T$44,$CU10,V$57),"")=0,"",IF(LEN(IFERROR(INDEX(醫師週班表!$C$5:$T$44,$CU10,V$57),""))=4,MID(IFERROR(INDEX(醫師週班表!$C$5:$T$44,$CU10,V$57),""),1+V$58*2,1),IF(LEN(IFERROR(INDEX(醫師週班表!$C$5:$T$44,$CU10,V$57),""))=2,IF(AND(RIGHT(IFERROR(INDEX(醫師週班表!$C$5:$T$44,$CU10,V$57),""),1)="~",V$58=1),"",LEFT(IFERROR(INDEX(醫師週班表!$C$5:$T$44,$CU10,V$57),""),1)),IFERROR(INDEX(醫師週班表!$C$5:$T$44,$CU10,V$57),""))))))</f>
        <v/>
      </c>
      <c r="W10" s="67">
        <f>IF(W$59="X","",IF(W$59&lt;&gt;"",W$59,IF(IFERROR(INDEX(醫師週班表!$C$5:$T$44,$CU10,W$57),"")=0,"",IF(LEN(IFERROR(INDEX(醫師週班表!$C$5:$T$44,$CU10,W$57),""))=4,MID(IFERROR(INDEX(醫師週班表!$C$5:$T$44,$CU10,W$57),""),1+W$58*2,1),IF(LEN(IFERROR(INDEX(醫師週班表!$C$5:$T$44,$CU10,W$57),""))=2,IF(AND(RIGHT(IFERROR(INDEX(醫師週班表!$C$5:$T$44,$CU10,W$57),""),1)="~",W$58=1),"",LEFT(IFERROR(INDEX(醫師週班表!$C$5:$T$44,$CU10,W$57),""),1)),IFERROR(INDEX(醫師週班表!$C$5:$T$44,$CU10,W$57),""))))))</f>
        <v/>
      </c>
      <c r="X10" s="68">
        <f>IF(X$59="X","",IF(X$59&lt;&gt;"",X$59,IF(IFERROR(INDEX(醫師週班表!$C$5:$T$44,$CU10,X$57),"")=0,"",IF(LEN(IFERROR(INDEX(醫師週班表!$C$5:$T$44,$CU10,X$57),""))=4,MID(IFERROR(INDEX(醫師週班表!$C$5:$T$44,$CU10,X$57),""),1+X$58*2,1),IF(LEN(IFERROR(INDEX(醫師週班表!$C$5:$T$44,$CU10,X$57),""))=2,IF(AND(RIGHT(IFERROR(INDEX(醫師週班表!$C$5:$T$44,$CU10,X$57),""),1)="~",X$58=1),"",LEFT(IFERROR(INDEX(醫師週班表!$C$5:$T$44,$CU10,X$57),""),1)),IFERROR(INDEX(醫師週班表!$C$5:$T$44,$CU10,X$57),""))))))</f>
        <v/>
      </c>
      <c r="Y10" s="68">
        <f>IF(Y$59="X","",IF(Y$59&lt;&gt;"",Y$59,IF(IFERROR(INDEX(醫師週班表!$C$5:$T$44,$CU10,Y$57),"")=0,"",IF(LEN(IFERROR(INDEX(醫師週班表!$C$5:$T$44,$CU10,Y$57),""))=4,MID(IFERROR(INDEX(醫師週班表!$C$5:$T$44,$CU10,Y$57),""),1+Y$58*2,1),IF(LEN(IFERROR(INDEX(醫師週班表!$C$5:$T$44,$CU10,Y$57),""))=2,IF(AND(RIGHT(IFERROR(INDEX(醫師週班表!$C$5:$T$44,$CU10,Y$57),""),1)="~",Y$58=1),"",LEFT(IFERROR(INDEX(醫師週班表!$C$5:$T$44,$CU10,Y$57),""),1)),IFERROR(INDEX(醫師週班表!$C$5:$T$44,$CU10,Y$57),""))))))</f>
        <v/>
      </c>
      <c r="Z10" s="67">
        <f>IF(Z$59="X","",IF(Z$59&lt;&gt;"",Z$59,IF(IFERROR(INDEX(醫師週班表!$C$5:$T$44,$CU10,Z$57),"")=0,"",IF(LEN(IFERROR(INDEX(醫師週班表!$C$5:$T$44,$CU10,Z$57),""))=4,MID(IFERROR(INDEX(醫師週班表!$C$5:$T$44,$CU10,Z$57),""),1+Z$58*2,1),IF(LEN(IFERROR(INDEX(醫師週班表!$C$5:$T$44,$CU10,Z$57),""))=2,IF(AND(RIGHT(IFERROR(INDEX(醫師週班表!$C$5:$T$44,$CU10,Z$57),""),1)="~",Z$58=1),"",LEFT(IFERROR(INDEX(醫師週班表!$C$5:$T$44,$CU10,Z$57),""),1)),IFERROR(INDEX(醫師週班表!$C$5:$T$44,$CU10,Z$57),""))))))</f>
        <v/>
      </c>
      <c r="AA10" s="68">
        <f>IF(AA$59="X","",IF(AA$59&lt;&gt;"",AA$59,IF(IFERROR(INDEX(醫師週班表!$C$5:$T$44,$CU10,AA$57),"")=0,"",IF(LEN(IFERROR(INDEX(醫師週班表!$C$5:$T$44,$CU10,AA$57),""))=4,MID(IFERROR(INDEX(醫師週班表!$C$5:$T$44,$CU10,AA$57),""),1+AA$58*2,1),IF(LEN(IFERROR(INDEX(醫師週班表!$C$5:$T$44,$CU10,AA$57),""))=2,IF(AND(RIGHT(IFERROR(INDEX(醫師週班表!$C$5:$T$44,$CU10,AA$57),""),1)="~",AA$58=1),"",LEFT(IFERROR(INDEX(醫師週班表!$C$5:$T$44,$CU10,AA$57),""),1)),IFERROR(INDEX(醫師週班表!$C$5:$T$44,$CU10,AA$57),""))))))</f>
        <v/>
      </c>
      <c r="AB10" s="68">
        <f>IF(AB$59="X","",IF(AB$59&lt;&gt;"",AB$59,IF(IFERROR(INDEX(醫師週班表!$C$5:$T$44,$CU10,AB$57),"")=0,"",IF(LEN(IFERROR(INDEX(醫師週班表!$C$5:$T$44,$CU10,AB$57),""))=4,MID(IFERROR(INDEX(醫師週班表!$C$5:$T$44,$CU10,AB$57),""),1+AB$58*2,1),IF(LEN(IFERROR(INDEX(醫師週班表!$C$5:$T$44,$CU10,AB$57),""))=2,IF(AND(RIGHT(IFERROR(INDEX(醫師週班表!$C$5:$T$44,$CU10,AB$57),""),1)="~",AB$58=1),"",LEFT(IFERROR(INDEX(醫師週班表!$C$5:$T$44,$CU10,AB$57),""),1)),IFERROR(INDEX(醫師週班表!$C$5:$T$44,$CU10,AB$57),""))))))</f>
        <v/>
      </c>
      <c r="AC10" s="67">
        <f>IF(AC$59="X","",IF(AC$59&lt;&gt;"",AC$59,IF(IFERROR(INDEX(醫師週班表!$C$5:$T$44,$CU10,AC$57),"")=0,"",IF(LEN(IFERROR(INDEX(醫師週班表!$C$5:$T$44,$CU10,AC$57),""))=4,MID(IFERROR(INDEX(醫師週班表!$C$5:$T$44,$CU10,AC$57),""),1+AC$58*2,1),IF(LEN(IFERROR(INDEX(醫師週班表!$C$5:$T$44,$CU10,AC$57),""))=2,IF(AND(RIGHT(IFERROR(INDEX(醫師週班表!$C$5:$T$44,$CU10,AC$57),""),1)="~",AC$58=1),"",LEFT(IFERROR(INDEX(醫師週班表!$C$5:$T$44,$CU10,AC$57),""),1)),IFERROR(INDEX(醫師週班表!$C$5:$T$44,$CU10,AC$57),""))))))</f>
        <v/>
      </c>
      <c r="AD10" s="68">
        <f>IF(AD$59="X","",IF(AD$59&lt;&gt;"",AD$59,IF(IFERROR(INDEX(醫師週班表!$C$5:$T$44,$CU10,AD$57),"")=0,"",IF(LEN(IFERROR(INDEX(醫師週班表!$C$5:$T$44,$CU10,AD$57),""))=4,MID(IFERROR(INDEX(醫師週班表!$C$5:$T$44,$CU10,AD$57),""),1+AD$58*2,1),IF(LEN(IFERROR(INDEX(醫師週班表!$C$5:$T$44,$CU10,AD$57),""))=2,IF(AND(RIGHT(IFERROR(INDEX(醫師週班表!$C$5:$T$44,$CU10,AD$57),""),1)="~",AD$58=1),"",LEFT(IFERROR(INDEX(醫師週班表!$C$5:$T$44,$CU10,AD$57),""),1)),IFERROR(INDEX(醫師週班表!$C$5:$T$44,$CU10,AD$57),""))))))</f>
        <v/>
      </c>
      <c r="AE10" s="68">
        <f>IF(AE$59="X","",IF(AE$59&lt;&gt;"",AE$59,IF(IFERROR(INDEX(醫師週班表!$C$5:$T$44,$CU10,AE$57),"")=0,"",IF(LEN(IFERROR(INDEX(醫師週班表!$C$5:$T$44,$CU10,AE$57),""))=4,MID(IFERROR(INDEX(醫師週班表!$C$5:$T$44,$CU10,AE$57),""),1+AE$58*2,1),IF(LEN(IFERROR(INDEX(醫師週班表!$C$5:$T$44,$CU10,AE$57),""))=2,IF(AND(RIGHT(IFERROR(INDEX(醫師週班表!$C$5:$T$44,$CU10,AE$57),""),1)="~",AE$58=1),"",LEFT(IFERROR(INDEX(醫師週班表!$C$5:$T$44,$CU10,AE$57),""),1)),IFERROR(INDEX(醫師週班表!$C$5:$T$44,$CU10,AE$57),""))))))</f>
        <v/>
      </c>
      <c r="AF10" s="67">
        <f>IF(AF$59="X","",IF(AF$59&lt;&gt;"",AF$59,IF(IFERROR(INDEX(醫師週班表!$C$5:$T$44,$CU10,AF$57),"")=0,"",IF(LEN(IFERROR(INDEX(醫師週班表!$C$5:$T$44,$CU10,AF$57),""))=4,MID(IFERROR(INDEX(醫師週班表!$C$5:$T$44,$CU10,AF$57),""),1+AF$58*2,1),IF(LEN(IFERROR(INDEX(醫師週班表!$C$5:$T$44,$CU10,AF$57),""))=2,IF(AND(RIGHT(IFERROR(INDEX(醫師週班表!$C$5:$T$44,$CU10,AF$57),""),1)="~",AF$58=1),"",LEFT(IFERROR(INDEX(醫師週班表!$C$5:$T$44,$CU10,AF$57),""),1)),IFERROR(INDEX(醫師週班表!$C$5:$T$44,$CU10,AF$57),""))))))</f>
        <v/>
      </c>
      <c r="AG10" s="68">
        <f>IF(AG$59="X","",IF(AG$59&lt;&gt;"",AG$59,IF(IFERROR(INDEX(醫師週班表!$C$5:$T$44,$CU10,AG$57),"")=0,"",IF(LEN(IFERROR(INDEX(醫師週班表!$C$5:$T$44,$CU10,AG$57),""))=4,MID(IFERROR(INDEX(醫師週班表!$C$5:$T$44,$CU10,AG$57),""),1+AG$58*2,1),IF(LEN(IFERROR(INDEX(醫師週班表!$C$5:$T$44,$CU10,AG$57),""))=2,IF(AND(RIGHT(IFERROR(INDEX(醫師週班表!$C$5:$T$44,$CU10,AG$57),""),1)="~",AG$58=1),"",LEFT(IFERROR(INDEX(醫師週班表!$C$5:$T$44,$CU10,AG$57),""),1)),IFERROR(INDEX(醫師週班表!$C$5:$T$44,$CU10,AG$57),""))))))</f>
        <v/>
      </c>
      <c r="AH10" s="68">
        <f>IF(AH$59="X","",IF(AH$59&lt;&gt;"",AH$59,IF(IFERROR(INDEX(醫師週班表!$C$5:$T$44,$CU10,AH$57),"")=0,"",IF(LEN(IFERROR(INDEX(醫師週班表!$C$5:$T$44,$CU10,AH$57),""))=4,MID(IFERROR(INDEX(醫師週班表!$C$5:$T$44,$CU10,AH$57),""),1+AH$58*2,1),IF(LEN(IFERROR(INDEX(醫師週班表!$C$5:$T$44,$CU10,AH$57),""))=2,IF(AND(RIGHT(IFERROR(INDEX(醫師週班表!$C$5:$T$44,$CU10,AH$57),""),1)="~",AH$58=1),"",LEFT(IFERROR(INDEX(醫師週班表!$C$5:$T$44,$CU10,AH$57),""),1)),IFERROR(INDEX(醫師週班表!$C$5:$T$44,$CU10,AH$57),""))))))</f>
        <v/>
      </c>
      <c r="AI10" s="67">
        <f>IF(AI$59="X","",IF(AI$59&lt;&gt;"",AI$59,IF(IFERROR(INDEX(醫師週班表!$C$5:$T$44,$CU10,AI$57),"")=0,"",IF(LEN(IFERROR(INDEX(醫師週班表!$C$5:$T$44,$CU10,AI$57),""))=4,MID(IFERROR(INDEX(醫師週班表!$C$5:$T$44,$CU10,AI$57),""),1+AI$58*2,1),IF(LEN(IFERROR(INDEX(醫師週班表!$C$5:$T$44,$CU10,AI$57),""))=2,IF(AND(RIGHT(IFERROR(INDEX(醫師週班表!$C$5:$T$44,$CU10,AI$57),""),1)="~",AI$58=1),"",LEFT(IFERROR(INDEX(醫師週班表!$C$5:$T$44,$CU10,AI$57),""),1)),IFERROR(INDEX(醫師週班表!$C$5:$T$44,$CU10,AI$57),""))))))</f>
        <v/>
      </c>
      <c r="AJ10" s="68">
        <f>IF(AJ$59="X","",IF(AJ$59&lt;&gt;"",AJ$59,IF(IFERROR(INDEX(醫師週班表!$C$5:$T$44,$CU10,AJ$57),"")=0,"",IF(LEN(IFERROR(INDEX(醫師週班表!$C$5:$T$44,$CU10,AJ$57),""))=4,MID(IFERROR(INDEX(醫師週班表!$C$5:$T$44,$CU10,AJ$57),""),1+AJ$58*2,1),IF(LEN(IFERROR(INDEX(醫師週班表!$C$5:$T$44,$CU10,AJ$57),""))=2,IF(AND(RIGHT(IFERROR(INDEX(醫師週班表!$C$5:$T$44,$CU10,AJ$57),""),1)="~",AJ$58=1),"",LEFT(IFERROR(INDEX(醫師週班表!$C$5:$T$44,$CU10,AJ$57),""),1)),IFERROR(INDEX(醫師週班表!$C$5:$T$44,$CU10,AJ$57),""))))))</f>
        <v/>
      </c>
      <c r="AK10" s="68">
        <f>IF(AK$59="X","",IF(AK$59&lt;&gt;"",AK$59,IF(IFERROR(INDEX(醫師週班表!$C$5:$T$44,$CU10,AK$57),"")=0,"",IF(LEN(IFERROR(INDEX(醫師週班表!$C$5:$T$44,$CU10,AK$57),""))=4,MID(IFERROR(INDEX(醫師週班表!$C$5:$T$44,$CU10,AK$57),""),1+AK$58*2,1),IF(LEN(IFERROR(INDEX(醫師週班表!$C$5:$T$44,$CU10,AK$57),""))=2,IF(AND(RIGHT(IFERROR(INDEX(醫師週班表!$C$5:$T$44,$CU10,AK$57),""),1)="~",AK$58=1),"",LEFT(IFERROR(INDEX(醫師週班表!$C$5:$T$44,$CU10,AK$57),""),1)),IFERROR(INDEX(醫師週班表!$C$5:$T$44,$CU10,AK$57),""))))))</f>
        <v/>
      </c>
      <c r="AL10" s="67">
        <f>IF(AL$59="X","",IF(AL$59&lt;&gt;"",AL$59,IF(IFERROR(INDEX(醫師週班表!$C$5:$T$44,$CU10,AL$57),"")=0,"",IF(LEN(IFERROR(INDEX(醫師週班表!$C$5:$T$44,$CU10,AL$57),""))=4,MID(IFERROR(INDEX(醫師週班表!$C$5:$T$44,$CU10,AL$57),""),1+AL$58*2,1),IF(LEN(IFERROR(INDEX(醫師週班表!$C$5:$T$44,$CU10,AL$57),""))=2,IF(AND(RIGHT(IFERROR(INDEX(醫師週班表!$C$5:$T$44,$CU10,AL$57),""),1)="~",AL$58=1),"",LEFT(IFERROR(INDEX(醫師週班表!$C$5:$T$44,$CU10,AL$57),""),1)),IFERROR(INDEX(醫師週班表!$C$5:$T$44,$CU10,AL$57),""))))))</f>
        <v/>
      </c>
      <c r="AM10" s="68">
        <f>IF(AM$59="X","",IF(AM$59&lt;&gt;"",AM$59,IF(IFERROR(INDEX(醫師週班表!$C$5:$T$44,$CU10,AM$57),"")=0,"",IF(LEN(IFERROR(INDEX(醫師週班表!$C$5:$T$44,$CU10,AM$57),""))=4,MID(IFERROR(INDEX(醫師週班表!$C$5:$T$44,$CU10,AM$57),""),1+AM$58*2,1),IF(LEN(IFERROR(INDEX(醫師週班表!$C$5:$T$44,$CU10,AM$57),""))=2,IF(AND(RIGHT(IFERROR(INDEX(醫師週班表!$C$5:$T$44,$CU10,AM$57),""),1)="~",AM$58=1),"",LEFT(IFERROR(INDEX(醫師週班表!$C$5:$T$44,$CU10,AM$57),""),1)),IFERROR(INDEX(醫師週班表!$C$5:$T$44,$CU10,AM$57),""))))))</f>
        <v/>
      </c>
      <c r="AN10" s="68">
        <f>IF(AN$59="X","",IF(AN$59&lt;&gt;"",AN$59,IF(IFERROR(INDEX(醫師週班表!$C$5:$T$44,$CU10,AN$57),"")=0,"",IF(LEN(IFERROR(INDEX(醫師週班表!$C$5:$T$44,$CU10,AN$57),""))=4,MID(IFERROR(INDEX(醫師週班表!$C$5:$T$44,$CU10,AN$57),""),1+AN$58*2,1),IF(LEN(IFERROR(INDEX(醫師週班表!$C$5:$T$44,$CU10,AN$57),""))=2,IF(AND(RIGHT(IFERROR(INDEX(醫師週班表!$C$5:$T$44,$CU10,AN$57),""),1)="~",AN$58=1),"",LEFT(IFERROR(INDEX(醫師週班表!$C$5:$T$44,$CU10,AN$57),""),1)),IFERROR(INDEX(醫師週班表!$C$5:$T$44,$CU10,AN$57),""))))))</f>
        <v/>
      </c>
      <c r="AO10" s="67">
        <f>IF(AO$59="X","",IF(AO$59&lt;&gt;"",AO$59,IF(IFERROR(INDEX(醫師週班表!$C$5:$T$44,$CU10,AO$57),"")=0,"",IF(LEN(IFERROR(INDEX(醫師週班表!$C$5:$T$44,$CU10,AO$57),""))=4,MID(IFERROR(INDEX(醫師週班表!$C$5:$T$44,$CU10,AO$57),""),1+AO$58*2,1),IF(LEN(IFERROR(INDEX(醫師週班表!$C$5:$T$44,$CU10,AO$57),""))=2,IF(AND(RIGHT(IFERROR(INDEX(醫師週班表!$C$5:$T$44,$CU10,AO$57),""),1)="~",AO$58=1),"",LEFT(IFERROR(INDEX(醫師週班表!$C$5:$T$44,$CU10,AO$57),""),1)),IFERROR(INDEX(醫師週班表!$C$5:$T$44,$CU10,AO$57),""))))))</f>
        <v/>
      </c>
      <c r="AP10" s="68">
        <f>IF(AP$59="X","",IF(AP$59&lt;&gt;"",AP$59,IF(IFERROR(INDEX(醫師週班表!$C$5:$T$44,$CU10,AP$57),"")=0,"",IF(LEN(IFERROR(INDEX(醫師週班表!$C$5:$T$44,$CU10,AP$57),""))=4,MID(IFERROR(INDEX(醫師週班表!$C$5:$T$44,$CU10,AP$57),""),1+AP$58*2,1),IF(LEN(IFERROR(INDEX(醫師週班表!$C$5:$T$44,$CU10,AP$57),""))=2,IF(AND(RIGHT(IFERROR(INDEX(醫師週班表!$C$5:$T$44,$CU10,AP$57),""),1)="~",AP$58=1),"",LEFT(IFERROR(INDEX(醫師週班表!$C$5:$T$44,$CU10,AP$57),""),1)),IFERROR(INDEX(醫師週班表!$C$5:$T$44,$CU10,AP$57),""))))))</f>
        <v/>
      </c>
      <c r="AQ10" s="68">
        <f>IF(AQ$59="X","",IF(AQ$59&lt;&gt;"",AQ$59,IF(IFERROR(INDEX(醫師週班表!$C$5:$T$44,$CU10,AQ$57),"")=0,"",IF(LEN(IFERROR(INDEX(醫師週班表!$C$5:$T$44,$CU10,AQ$57),""))=4,MID(IFERROR(INDEX(醫師週班表!$C$5:$T$44,$CU10,AQ$57),""),1+AQ$58*2,1),IF(LEN(IFERROR(INDEX(醫師週班表!$C$5:$T$44,$CU10,AQ$57),""))=2,IF(AND(RIGHT(IFERROR(INDEX(醫師週班表!$C$5:$T$44,$CU10,AQ$57),""),1)="~",AQ$58=1),"",LEFT(IFERROR(INDEX(醫師週班表!$C$5:$T$44,$CU10,AQ$57),""),1)),IFERROR(INDEX(醫師週班表!$C$5:$T$44,$CU10,AQ$57),""))))))</f>
        <v/>
      </c>
      <c r="AR10" s="67">
        <f>IF(AR$59="X","",IF(AR$59&lt;&gt;"",AR$59,IF(IFERROR(INDEX(醫師週班表!$C$5:$T$44,$CU10,AR$57),"")=0,"",IF(LEN(IFERROR(INDEX(醫師週班表!$C$5:$T$44,$CU10,AR$57),""))=4,MID(IFERROR(INDEX(醫師週班表!$C$5:$T$44,$CU10,AR$57),""),1+AR$58*2,1),IF(LEN(IFERROR(INDEX(醫師週班表!$C$5:$T$44,$CU10,AR$57),""))=2,IF(AND(RIGHT(IFERROR(INDEX(醫師週班表!$C$5:$T$44,$CU10,AR$57),""),1)="~",AR$58=1),"",LEFT(IFERROR(INDEX(醫師週班表!$C$5:$T$44,$CU10,AR$57),""),1)),IFERROR(INDEX(醫師週班表!$C$5:$T$44,$CU10,AR$57),""))))))</f>
        <v/>
      </c>
      <c r="AS10" s="68">
        <f>IF(AS$59="X","",IF(AS$59&lt;&gt;"",AS$59,IF(IFERROR(INDEX(醫師週班表!$C$5:$T$44,$CU10,AS$57),"")=0,"",IF(LEN(IFERROR(INDEX(醫師週班表!$C$5:$T$44,$CU10,AS$57),""))=4,MID(IFERROR(INDEX(醫師週班表!$C$5:$T$44,$CU10,AS$57),""),1+AS$58*2,1),IF(LEN(IFERROR(INDEX(醫師週班表!$C$5:$T$44,$CU10,AS$57),""))=2,IF(AND(RIGHT(IFERROR(INDEX(醫師週班表!$C$5:$T$44,$CU10,AS$57),""),1)="~",AS$58=1),"",LEFT(IFERROR(INDEX(醫師週班表!$C$5:$T$44,$CU10,AS$57),""),1)),IFERROR(INDEX(醫師週班表!$C$5:$T$44,$CU10,AS$57),""))))))</f>
        <v/>
      </c>
      <c r="AT10" s="68">
        <f>IF(AT$59="X","",IF(AT$59&lt;&gt;"",AT$59,IF(IFERROR(INDEX(醫師週班表!$C$5:$T$44,$CU10,AT$57),"")=0,"",IF(LEN(IFERROR(INDEX(醫師週班表!$C$5:$T$44,$CU10,AT$57),""))=4,MID(IFERROR(INDEX(醫師週班表!$C$5:$T$44,$CU10,AT$57),""),1+AT$58*2,1),IF(LEN(IFERROR(INDEX(醫師週班表!$C$5:$T$44,$CU10,AT$57),""))=2,IF(AND(RIGHT(IFERROR(INDEX(醫師週班表!$C$5:$T$44,$CU10,AT$57),""),1)="~",AT$58=1),"",LEFT(IFERROR(INDEX(醫師週班表!$C$5:$T$44,$CU10,AT$57),""),1)),IFERROR(INDEX(醫師週班表!$C$5:$T$44,$CU10,AT$57),""))))))</f>
        <v/>
      </c>
      <c r="AU10" s="67">
        <f>IF(AU$59="X","",IF(AU$59&lt;&gt;"",AU$59,IF(IFERROR(INDEX(醫師週班表!$C$5:$T$44,$CU10,AU$57),"")=0,"",IF(LEN(IFERROR(INDEX(醫師週班表!$C$5:$T$44,$CU10,AU$57),""))=4,MID(IFERROR(INDEX(醫師週班表!$C$5:$T$44,$CU10,AU$57),""),1+AU$58*2,1),IF(LEN(IFERROR(INDEX(醫師週班表!$C$5:$T$44,$CU10,AU$57),""))=2,IF(AND(RIGHT(IFERROR(INDEX(醫師週班表!$C$5:$T$44,$CU10,AU$57),""),1)="~",AU$58=1),"",LEFT(IFERROR(INDEX(醫師週班表!$C$5:$T$44,$CU10,AU$57),""),1)),IFERROR(INDEX(醫師週班表!$C$5:$T$44,$CU10,AU$57),""))))))</f>
        <v/>
      </c>
      <c r="AV10" s="68">
        <f>IF(AV$59="X","",IF(AV$59&lt;&gt;"",AV$59,IF(IFERROR(INDEX(醫師週班表!$C$5:$T$44,$CU10,AV$57),"")=0,"",IF(LEN(IFERROR(INDEX(醫師週班表!$C$5:$T$44,$CU10,AV$57),""))=4,MID(IFERROR(INDEX(醫師週班表!$C$5:$T$44,$CU10,AV$57),""),1+AV$58*2,1),IF(LEN(IFERROR(INDEX(醫師週班表!$C$5:$T$44,$CU10,AV$57),""))=2,IF(AND(RIGHT(IFERROR(INDEX(醫師週班表!$C$5:$T$44,$CU10,AV$57),""),1)="~",AV$58=1),"",LEFT(IFERROR(INDEX(醫師週班表!$C$5:$T$44,$CU10,AV$57),""),1)),IFERROR(INDEX(醫師週班表!$C$5:$T$44,$CU10,AV$57),""))))))</f>
        <v/>
      </c>
      <c r="AW10" s="68">
        <f>IF(AW$59="X","",IF(AW$59&lt;&gt;"",AW$59,IF(IFERROR(INDEX(醫師週班表!$C$5:$T$44,$CU10,AW$57),"")=0,"",IF(LEN(IFERROR(INDEX(醫師週班表!$C$5:$T$44,$CU10,AW$57),""))=4,MID(IFERROR(INDEX(醫師週班表!$C$5:$T$44,$CU10,AW$57),""),1+AW$58*2,1),IF(LEN(IFERROR(INDEX(醫師週班表!$C$5:$T$44,$CU10,AW$57),""))=2,IF(AND(RIGHT(IFERROR(INDEX(醫師週班表!$C$5:$T$44,$CU10,AW$57),""),1)="~",AW$58=1),"",LEFT(IFERROR(INDEX(醫師週班表!$C$5:$T$44,$CU10,AW$57),""),1)),IFERROR(INDEX(醫師週班表!$C$5:$T$44,$CU10,AW$57),""))))))</f>
        <v/>
      </c>
      <c r="AX10" s="67">
        <f>IF(AX$59="X","",IF(AX$59&lt;&gt;"",AX$59,IF(IFERROR(INDEX(醫師週班表!$C$5:$T$44,$CU10,AX$57),"")=0,"",IF(LEN(IFERROR(INDEX(醫師週班表!$C$5:$T$44,$CU10,AX$57),""))=4,MID(IFERROR(INDEX(醫師週班表!$C$5:$T$44,$CU10,AX$57),""),1+AX$58*2,1),IF(LEN(IFERROR(INDEX(醫師週班表!$C$5:$T$44,$CU10,AX$57),""))=2,IF(AND(RIGHT(IFERROR(INDEX(醫師週班表!$C$5:$T$44,$CU10,AX$57),""),1)="~",AX$58=1),"",LEFT(IFERROR(INDEX(醫師週班表!$C$5:$T$44,$CU10,AX$57),""),1)),IFERROR(INDEX(醫師週班表!$C$5:$T$44,$CU10,AX$57),""))))))</f>
        <v/>
      </c>
      <c r="AY10" s="68">
        <f>IF(AY$59="X","",IF(AY$59&lt;&gt;"",AY$59,IF(IFERROR(INDEX(醫師週班表!$C$5:$T$44,$CU10,AY$57),"")=0,"",IF(LEN(IFERROR(INDEX(醫師週班表!$C$5:$T$44,$CU10,AY$57),""))=4,MID(IFERROR(INDEX(醫師週班表!$C$5:$T$44,$CU10,AY$57),""),1+AY$58*2,1),IF(LEN(IFERROR(INDEX(醫師週班表!$C$5:$T$44,$CU10,AY$57),""))=2,IF(AND(RIGHT(IFERROR(INDEX(醫師週班表!$C$5:$T$44,$CU10,AY$57),""),1)="~",AY$58=1),"",LEFT(IFERROR(INDEX(醫師週班表!$C$5:$T$44,$CU10,AY$57),""),1)),IFERROR(INDEX(醫師週班表!$C$5:$T$44,$CU10,AY$57),""))))))</f>
        <v/>
      </c>
      <c r="AZ10" s="68">
        <f>IF(AZ$59="X","",IF(AZ$59&lt;&gt;"",AZ$59,IF(IFERROR(INDEX(醫師週班表!$C$5:$T$44,$CU10,AZ$57),"")=0,"",IF(LEN(IFERROR(INDEX(醫師週班表!$C$5:$T$44,$CU10,AZ$57),""))=4,MID(IFERROR(INDEX(醫師週班表!$C$5:$T$44,$CU10,AZ$57),""),1+AZ$58*2,1),IF(LEN(IFERROR(INDEX(醫師週班表!$C$5:$T$44,$CU10,AZ$57),""))=2,IF(AND(RIGHT(IFERROR(INDEX(醫師週班表!$C$5:$T$44,$CU10,AZ$57),""),1)="~",AZ$58=1),"",LEFT(IFERROR(INDEX(醫師週班表!$C$5:$T$44,$CU10,AZ$57),""),1)),IFERROR(INDEX(醫師週班表!$C$5:$T$44,$CU10,AZ$57),""))))))</f>
        <v/>
      </c>
      <c r="BA10" s="67">
        <f>IF(BA$59="X","",IF(BA$59&lt;&gt;"",BA$59,IF(IFERROR(INDEX(醫師週班表!$C$5:$T$44,$CU10,BA$57),"")=0,"",IF(LEN(IFERROR(INDEX(醫師週班表!$C$5:$T$44,$CU10,BA$57),""))=4,MID(IFERROR(INDEX(醫師週班表!$C$5:$T$44,$CU10,BA$57),""),1+BA$58*2,1),IF(LEN(IFERROR(INDEX(醫師週班表!$C$5:$T$44,$CU10,BA$57),""))=2,IF(AND(RIGHT(IFERROR(INDEX(醫師週班表!$C$5:$T$44,$CU10,BA$57),""),1)="~",BA$58=1),"",LEFT(IFERROR(INDEX(醫師週班表!$C$5:$T$44,$CU10,BA$57),""),1)),IFERROR(INDEX(醫師週班表!$C$5:$T$44,$CU10,BA$57),""))))))</f>
        <v/>
      </c>
      <c r="BB10" s="68">
        <f>IF(BB$59="X","",IF(BB$59&lt;&gt;"",BB$59,IF(IFERROR(INDEX(醫師週班表!$C$5:$T$44,$CU10,BB$57),"")=0,"",IF(LEN(IFERROR(INDEX(醫師週班表!$C$5:$T$44,$CU10,BB$57),""))=4,MID(IFERROR(INDEX(醫師週班表!$C$5:$T$44,$CU10,BB$57),""),1+BB$58*2,1),IF(LEN(IFERROR(INDEX(醫師週班表!$C$5:$T$44,$CU10,BB$57),""))=2,IF(AND(RIGHT(IFERROR(INDEX(醫師週班表!$C$5:$T$44,$CU10,BB$57),""),1)="~",BB$58=1),"",LEFT(IFERROR(INDEX(醫師週班表!$C$5:$T$44,$CU10,BB$57),""),1)),IFERROR(INDEX(醫師週班表!$C$5:$T$44,$CU10,BB$57),""))))))</f>
        <v/>
      </c>
      <c r="BC10" s="68">
        <f>IF(BC$59="X","",IF(BC$59&lt;&gt;"",BC$59,IF(IFERROR(INDEX(醫師週班表!$C$5:$T$44,$CU10,BC$57),"")=0,"",IF(LEN(IFERROR(INDEX(醫師週班表!$C$5:$T$44,$CU10,BC$57),""))=4,MID(IFERROR(INDEX(醫師週班表!$C$5:$T$44,$CU10,BC$57),""),1+BC$58*2,1),IF(LEN(IFERROR(INDEX(醫師週班表!$C$5:$T$44,$CU10,BC$57),""))=2,IF(AND(RIGHT(IFERROR(INDEX(醫師週班表!$C$5:$T$44,$CU10,BC$57),""),1)="~",BC$58=1),"",LEFT(IFERROR(INDEX(醫師週班表!$C$5:$T$44,$CU10,BC$57),""),1)),IFERROR(INDEX(醫師週班表!$C$5:$T$44,$CU10,BC$57),""))))))</f>
        <v/>
      </c>
      <c r="BD10" s="67">
        <f>IF(BD$59="X","",IF(BD$59&lt;&gt;"",BD$59,IF(IFERROR(INDEX(醫師週班表!$C$5:$T$44,$CU10,BD$57),"")=0,"",IF(LEN(IFERROR(INDEX(醫師週班表!$C$5:$T$44,$CU10,BD$57),""))=4,MID(IFERROR(INDEX(醫師週班表!$C$5:$T$44,$CU10,BD$57),""),1+BD$58*2,1),IF(LEN(IFERROR(INDEX(醫師週班表!$C$5:$T$44,$CU10,BD$57),""))=2,IF(AND(RIGHT(IFERROR(INDEX(醫師週班表!$C$5:$T$44,$CU10,BD$57),""),1)="~",BD$58=1),"",LEFT(IFERROR(INDEX(醫師週班表!$C$5:$T$44,$CU10,BD$57),""),1)),IFERROR(INDEX(醫師週班表!$C$5:$T$44,$CU10,BD$57),""))))))</f>
        <v/>
      </c>
      <c r="BE10" s="68">
        <f>IF(BE$59="X","",IF(BE$59&lt;&gt;"",BE$59,IF(IFERROR(INDEX(醫師週班表!$C$5:$T$44,$CU10,BE$57),"")=0,"",IF(LEN(IFERROR(INDEX(醫師週班表!$C$5:$T$44,$CU10,BE$57),""))=4,MID(IFERROR(INDEX(醫師週班表!$C$5:$T$44,$CU10,BE$57),""),1+BE$58*2,1),IF(LEN(IFERROR(INDEX(醫師週班表!$C$5:$T$44,$CU10,BE$57),""))=2,IF(AND(RIGHT(IFERROR(INDEX(醫師週班表!$C$5:$T$44,$CU10,BE$57),""),1)="~",BE$58=1),"",LEFT(IFERROR(INDEX(醫師週班表!$C$5:$T$44,$CU10,BE$57),""),1)),IFERROR(INDEX(醫師週班表!$C$5:$T$44,$CU10,BE$57),""))))))</f>
        <v/>
      </c>
      <c r="BF10" s="68">
        <f>IF(BF$59="X","",IF(BF$59&lt;&gt;"",BF$59,IF(IFERROR(INDEX(醫師週班表!$C$5:$T$44,$CU10,BF$57),"")=0,"",IF(LEN(IFERROR(INDEX(醫師週班表!$C$5:$T$44,$CU10,BF$57),""))=4,MID(IFERROR(INDEX(醫師週班表!$C$5:$T$44,$CU10,BF$57),""),1+BF$58*2,1),IF(LEN(IFERROR(INDEX(醫師週班表!$C$5:$T$44,$CU10,BF$57),""))=2,IF(AND(RIGHT(IFERROR(INDEX(醫師週班表!$C$5:$T$44,$CU10,BF$57),""),1)="~",BF$58=1),"",LEFT(IFERROR(INDEX(醫師週班表!$C$5:$T$44,$CU10,BF$57),""),1)),IFERROR(INDEX(醫師週班表!$C$5:$T$44,$CU10,BF$57),""))))))</f>
        <v/>
      </c>
      <c r="BG10" s="67">
        <f>IF(BG$59="X","",IF(BG$59&lt;&gt;"",BG$59,IF(IFERROR(INDEX(醫師週班表!$C$5:$T$44,$CU10,BG$57),"")=0,"",IF(LEN(IFERROR(INDEX(醫師週班表!$C$5:$T$44,$CU10,BG$57),""))=4,MID(IFERROR(INDEX(醫師週班表!$C$5:$T$44,$CU10,BG$57),""),1+BG$58*2,1),IF(LEN(IFERROR(INDEX(醫師週班表!$C$5:$T$44,$CU10,BG$57),""))=2,IF(AND(RIGHT(IFERROR(INDEX(醫師週班表!$C$5:$T$44,$CU10,BG$57),""),1)="~",BG$58=1),"",LEFT(IFERROR(INDEX(醫師週班表!$C$5:$T$44,$CU10,BG$57),""),1)),IFERROR(INDEX(醫師週班表!$C$5:$T$44,$CU10,BG$57),""))))))</f>
        <v/>
      </c>
      <c r="BH10" s="68">
        <f>IF(BH$59="X","",IF(BH$59&lt;&gt;"",BH$59,IF(IFERROR(INDEX(醫師週班表!$C$5:$T$44,$CU10,BH$57),"")=0,"",IF(LEN(IFERROR(INDEX(醫師週班表!$C$5:$T$44,$CU10,BH$57),""))=4,MID(IFERROR(INDEX(醫師週班表!$C$5:$T$44,$CU10,BH$57),""),1+BH$58*2,1),IF(LEN(IFERROR(INDEX(醫師週班表!$C$5:$T$44,$CU10,BH$57),""))=2,IF(AND(RIGHT(IFERROR(INDEX(醫師週班表!$C$5:$T$44,$CU10,BH$57),""),1)="~",BH$58=1),"",LEFT(IFERROR(INDEX(醫師週班表!$C$5:$T$44,$CU10,BH$57),""),1)),IFERROR(INDEX(醫師週班表!$C$5:$T$44,$CU10,BH$57),""))))))</f>
        <v/>
      </c>
      <c r="BI10" s="68">
        <f>IF(BI$59="X","",IF(BI$59&lt;&gt;"",BI$59,IF(IFERROR(INDEX(醫師週班表!$C$5:$T$44,$CU10,BI$57),"")=0,"",IF(LEN(IFERROR(INDEX(醫師週班表!$C$5:$T$44,$CU10,BI$57),""))=4,MID(IFERROR(INDEX(醫師週班表!$C$5:$T$44,$CU10,BI$57),""),1+BI$58*2,1),IF(LEN(IFERROR(INDEX(醫師週班表!$C$5:$T$44,$CU10,BI$57),""))=2,IF(AND(RIGHT(IFERROR(INDEX(醫師週班表!$C$5:$T$44,$CU10,BI$57),""),1)="~",BI$58=1),"",LEFT(IFERROR(INDEX(醫師週班表!$C$5:$T$44,$CU10,BI$57),""),1)),IFERROR(INDEX(醫師週班表!$C$5:$T$44,$CU10,BI$57),""))))))</f>
        <v/>
      </c>
      <c r="BJ10" s="67">
        <f>IF(BJ$59="X","",IF(BJ$59&lt;&gt;"",BJ$59,IF(IFERROR(INDEX(醫師週班表!$C$5:$T$44,$CU10,BJ$57),"")=0,"",IF(LEN(IFERROR(INDEX(醫師週班表!$C$5:$T$44,$CU10,BJ$57),""))=4,MID(IFERROR(INDEX(醫師週班表!$C$5:$T$44,$CU10,BJ$57),""),1+BJ$58*2,1),IF(LEN(IFERROR(INDEX(醫師週班表!$C$5:$T$44,$CU10,BJ$57),""))=2,IF(AND(RIGHT(IFERROR(INDEX(醫師週班表!$C$5:$T$44,$CU10,BJ$57),""),1)="~",BJ$58=1),"",LEFT(IFERROR(INDEX(醫師週班表!$C$5:$T$44,$CU10,BJ$57),""),1)),IFERROR(INDEX(醫師週班表!$C$5:$T$44,$CU10,BJ$57),""))))))</f>
        <v/>
      </c>
      <c r="BK10" s="68">
        <f>IF(BK$59="X","",IF(BK$59&lt;&gt;"",BK$59,IF(IFERROR(INDEX(醫師週班表!$C$5:$T$44,$CU10,BK$57),"")=0,"",IF(LEN(IFERROR(INDEX(醫師週班表!$C$5:$T$44,$CU10,BK$57),""))=4,MID(IFERROR(INDEX(醫師週班表!$C$5:$T$44,$CU10,BK$57),""),1+BK$58*2,1),IF(LEN(IFERROR(INDEX(醫師週班表!$C$5:$T$44,$CU10,BK$57),""))=2,IF(AND(RIGHT(IFERROR(INDEX(醫師週班表!$C$5:$T$44,$CU10,BK$57),""),1)="~",BK$58=1),"",LEFT(IFERROR(INDEX(醫師週班表!$C$5:$T$44,$CU10,BK$57),""),1)),IFERROR(INDEX(醫師週班表!$C$5:$T$44,$CU10,BK$57),""))))))</f>
        <v/>
      </c>
      <c r="BL10" s="68">
        <f>IF(BL$59="X","",IF(BL$59&lt;&gt;"",BL$59,IF(IFERROR(INDEX(醫師週班表!$C$5:$T$44,$CU10,BL$57),"")=0,"",IF(LEN(IFERROR(INDEX(醫師週班表!$C$5:$T$44,$CU10,BL$57),""))=4,MID(IFERROR(INDEX(醫師週班表!$C$5:$T$44,$CU10,BL$57),""),1+BL$58*2,1),IF(LEN(IFERROR(INDEX(醫師週班表!$C$5:$T$44,$CU10,BL$57),""))=2,IF(AND(RIGHT(IFERROR(INDEX(醫師週班表!$C$5:$T$44,$CU10,BL$57),""),1)="~",BL$58=1),"",LEFT(IFERROR(INDEX(醫師週班表!$C$5:$T$44,$CU10,BL$57),""),1)),IFERROR(INDEX(醫師週班表!$C$5:$T$44,$CU10,BL$57),""))))))</f>
        <v/>
      </c>
      <c r="BM10" s="67">
        <f>IF(BM$59="X","",IF(BM$59&lt;&gt;"",BM$59,IF(IFERROR(INDEX(醫師週班表!$C$5:$T$44,$CU10,BM$57),"")=0,"",IF(LEN(IFERROR(INDEX(醫師週班表!$C$5:$T$44,$CU10,BM$57),""))=4,MID(IFERROR(INDEX(醫師週班表!$C$5:$T$44,$CU10,BM$57),""),1+BM$58*2,1),IF(LEN(IFERROR(INDEX(醫師週班表!$C$5:$T$44,$CU10,BM$57),""))=2,IF(AND(RIGHT(IFERROR(INDEX(醫師週班表!$C$5:$T$44,$CU10,BM$57),""),1)="~",BM$58=1),"",LEFT(IFERROR(INDEX(醫師週班表!$C$5:$T$44,$CU10,BM$57),""),1)),IFERROR(INDEX(醫師週班表!$C$5:$T$44,$CU10,BM$57),""))))))</f>
        <v/>
      </c>
      <c r="BN10" s="68">
        <f>IF(BN$59="X","",IF(BN$59&lt;&gt;"",BN$59,IF(IFERROR(INDEX(醫師週班表!$C$5:$T$44,$CU10,BN$57),"")=0,"",IF(LEN(IFERROR(INDEX(醫師週班表!$C$5:$T$44,$CU10,BN$57),""))=4,MID(IFERROR(INDEX(醫師週班表!$C$5:$T$44,$CU10,BN$57),""),1+BN$58*2,1),IF(LEN(IFERROR(INDEX(醫師週班表!$C$5:$T$44,$CU10,BN$57),""))=2,IF(AND(RIGHT(IFERROR(INDEX(醫師週班表!$C$5:$T$44,$CU10,BN$57),""),1)="~",BN$58=1),"",LEFT(IFERROR(INDEX(醫師週班表!$C$5:$T$44,$CU10,BN$57),""),1)),IFERROR(INDEX(醫師週班表!$C$5:$T$44,$CU10,BN$57),""))))))</f>
        <v/>
      </c>
      <c r="BO10" s="68">
        <f>IF(BO$59="X","",IF(BO$59&lt;&gt;"",BO$59,IF(IFERROR(INDEX(醫師週班表!$C$5:$T$44,$CU10,BO$57),"")=0,"",IF(LEN(IFERROR(INDEX(醫師週班表!$C$5:$T$44,$CU10,BO$57),""))=4,MID(IFERROR(INDEX(醫師週班表!$C$5:$T$44,$CU10,BO$57),""),1+BO$58*2,1),IF(LEN(IFERROR(INDEX(醫師週班表!$C$5:$T$44,$CU10,BO$57),""))=2,IF(AND(RIGHT(IFERROR(INDEX(醫師週班表!$C$5:$T$44,$CU10,BO$57),""),1)="~",BO$58=1),"",LEFT(IFERROR(INDEX(醫師週班表!$C$5:$T$44,$CU10,BO$57),""),1)),IFERROR(INDEX(醫師週班表!$C$5:$T$44,$CU10,BO$57),""))))))</f>
        <v/>
      </c>
      <c r="BP10" s="67">
        <f>IF(BP$59="X","",IF(BP$59&lt;&gt;"",BP$59,IF(IFERROR(INDEX(醫師週班表!$C$5:$T$44,$CU10,BP$57),"")=0,"",IF(LEN(IFERROR(INDEX(醫師週班表!$C$5:$T$44,$CU10,BP$57),""))=4,MID(IFERROR(INDEX(醫師週班表!$C$5:$T$44,$CU10,BP$57),""),1+BP$58*2,1),IF(LEN(IFERROR(INDEX(醫師週班表!$C$5:$T$44,$CU10,BP$57),""))=2,IF(AND(RIGHT(IFERROR(INDEX(醫師週班表!$C$5:$T$44,$CU10,BP$57),""),1)="~",BP$58=1),"",LEFT(IFERROR(INDEX(醫師週班表!$C$5:$T$44,$CU10,BP$57),""),1)),IFERROR(INDEX(醫師週班表!$C$5:$T$44,$CU10,BP$57),""))))))</f>
        <v/>
      </c>
      <c r="BQ10" s="68">
        <f>IF(BQ$59="X","",IF(BQ$59&lt;&gt;"",BQ$59,IF(IFERROR(INDEX(醫師週班表!$C$5:$T$44,$CU10,BQ$57),"")=0,"",IF(LEN(IFERROR(INDEX(醫師週班表!$C$5:$T$44,$CU10,BQ$57),""))=4,MID(IFERROR(INDEX(醫師週班表!$C$5:$T$44,$CU10,BQ$57),""),1+BQ$58*2,1),IF(LEN(IFERROR(INDEX(醫師週班表!$C$5:$T$44,$CU10,BQ$57),""))=2,IF(AND(RIGHT(IFERROR(INDEX(醫師週班表!$C$5:$T$44,$CU10,BQ$57),""),1)="~",BQ$58=1),"",LEFT(IFERROR(INDEX(醫師週班表!$C$5:$T$44,$CU10,BQ$57),""),1)),IFERROR(INDEX(醫師週班表!$C$5:$T$44,$CU10,BQ$57),""))))))</f>
        <v/>
      </c>
      <c r="BR10" s="68">
        <f>IF(BR$59="X","",IF(BR$59&lt;&gt;"",BR$59,IF(IFERROR(INDEX(醫師週班表!$C$5:$T$44,$CU10,BR$57),"")=0,"",IF(LEN(IFERROR(INDEX(醫師週班表!$C$5:$T$44,$CU10,BR$57),""))=4,MID(IFERROR(INDEX(醫師週班表!$C$5:$T$44,$CU10,BR$57),""),1+BR$58*2,1),IF(LEN(IFERROR(INDEX(醫師週班表!$C$5:$T$44,$CU10,BR$57),""))=2,IF(AND(RIGHT(IFERROR(INDEX(醫師週班表!$C$5:$T$44,$CU10,BR$57),""),1)="~",BR$58=1),"",LEFT(IFERROR(INDEX(醫師週班表!$C$5:$T$44,$CU10,BR$57),""),1)),IFERROR(INDEX(醫師週班表!$C$5:$T$44,$CU10,BR$57),""))))))</f>
        <v/>
      </c>
      <c r="BS10" s="67">
        <f>IF(BS$59="X","",IF(BS$59&lt;&gt;"",BS$59,IF(IFERROR(INDEX(醫師週班表!$C$5:$T$44,$CU10,BS$57),"")=0,"",IF(LEN(IFERROR(INDEX(醫師週班表!$C$5:$T$44,$CU10,BS$57),""))=4,MID(IFERROR(INDEX(醫師週班表!$C$5:$T$44,$CU10,BS$57),""),1+BS$58*2,1),IF(LEN(IFERROR(INDEX(醫師週班表!$C$5:$T$44,$CU10,BS$57),""))=2,IF(AND(RIGHT(IFERROR(INDEX(醫師週班表!$C$5:$T$44,$CU10,BS$57),""),1)="~",BS$58=1),"",LEFT(IFERROR(INDEX(醫師週班表!$C$5:$T$44,$CU10,BS$57),""),1)),IFERROR(INDEX(醫師週班表!$C$5:$T$44,$CU10,BS$57),""))))))</f>
        <v/>
      </c>
      <c r="BT10" s="68">
        <f>IF(BT$59="X","",IF(BT$59&lt;&gt;"",BT$59,IF(IFERROR(INDEX(醫師週班表!$C$5:$T$44,$CU10,BT$57),"")=0,"",IF(LEN(IFERROR(INDEX(醫師週班表!$C$5:$T$44,$CU10,BT$57),""))=4,MID(IFERROR(INDEX(醫師週班表!$C$5:$T$44,$CU10,BT$57),""),1+BT$58*2,1),IF(LEN(IFERROR(INDEX(醫師週班表!$C$5:$T$44,$CU10,BT$57),""))=2,IF(AND(RIGHT(IFERROR(INDEX(醫師週班表!$C$5:$T$44,$CU10,BT$57),""),1)="~",BT$58=1),"",LEFT(IFERROR(INDEX(醫師週班表!$C$5:$T$44,$CU10,BT$57),""),1)),IFERROR(INDEX(醫師週班表!$C$5:$T$44,$CU10,BT$57),""))))))</f>
        <v/>
      </c>
      <c r="BU10" s="68">
        <f>IF(BU$59="X","",IF(BU$59&lt;&gt;"",BU$59,IF(IFERROR(INDEX(醫師週班表!$C$5:$T$44,$CU10,BU$57),"")=0,"",IF(LEN(IFERROR(INDEX(醫師週班表!$C$5:$T$44,$CU10,BU$57),""))=4,MID(IFERROR(INDEX(醫師週班表!$C$5:$T$44,$CU10,BU$57),""),1+BU$58*2,1),IF(LEN(IFERROR(INDEX(醫師週班表!$C$5:$T$44,$CU10,BU$57),""))=2,IF(AND(RIGHT(IFERROR(INDEX(醫師週班表!$C$5:$T$44,$CU10,BU$57),""),1)="~",BU$58=1),"",LEFT(IFERROR(INDEX(醫師週班表!$C$5:$T$44,$CU10,BU$57),""),1)),IFERROR(INDEX(醫師週班表!$C$5:$T$44,$CU10,BU$57),""))))))</f>
        <v/>
      </c>
      <c r="BV10" s="67">
        <f>IF(BV$59="X","",IF(BV$59&lt;&gt;"",BV$59,IF(IFERROR(INDEX(醫師週班表!$C$5:$T$44,$CU10,BV$57),"")=0,"",IF(LEN(IFERROR(INDEX(醫師週班表!$C$5:$T$44,$CU10,BV$57),""))=4,MID(IFERROR(INDEX(醫師週班表!$C$5:$T$44,$CU10,BV$57),""),1+BV$58*2,1),IF(LEN(IFERROR(INDEX(醫師週班表!$C$5:$T$44,$CU10,BV$57),""))=2,IF(AND(RIGHT(IFERROR(INDEX(醫師週班表!$C$5:$T$44,$CU10,BV$57),""),1)="~",BV$58=1),"",LEFT(IFERROR(INDEX(醫師週班表!$C$5:$T$44,$CU10,BV$57),""),1)),IFERROR(INDEX(醫師週班表!$C$5:$T$44,$CU10,BV$57),""))))))</f>
        <v/>
      </c>
      <c r="BW10" s="68">
        <f>IF(BW$59="X","",IF(BW$59&lt;&gt;"",BW$59,IF(IFERROR(INDEX(醫師週班表!$C$5:$T$44,$CU10,BW$57),"")=0,"",IF(LEN(IFERROR(INDEX(醫師週班表!$C$5:$T$44,$CU10,BW$57),""))=4,MID(IFERROR(INDEX(醫師週班表!$C$5:$T$44,$CU10,BW$57),""),1+BW$58*2,1),IF(LEN(IFERROR(INDEX(醫師週班表!$C$5:$T$44,$CU10,BW$57),""))=2,IF(AND(RIGHT(IFERROR(INDEX(醫師週班表!$C$5:$T$44,$CU10,BW$57),""),1)="~",BW$58=1),"",LEFT(IFERROR(INDEX(醫師週班表!$C$5:$T$44,$CU10,BW$57),""),1)),IFERROR(INDEX(醫師週班表!$C$5:$T$44,$CU10,BW$57),""))))))</f>
        <v/>
      </c>
      <c r="BX10" s="68">
        <f>IF(BX$59="X","",IF(BX$59&lt;&gt;"",BX$59,IF(IFERROR(INDEX(醫師週班表!$C$5:$T$44,$CU10,BX$57),"")=0,"",IF(LEN(IFERROR(INDEX(醫師週班表!$C$5:$T$44,$CU10,BX$57),""))=4,MID(IFERROR(INDEX(醫師週班表!$C$5:$T$44,$CU10,BX$57),""),1+BX$58*2,1),IF(LEN(IFERROR(INDEX(醫師週班表!$C$5:$T$44,$CU10,BX$57),""))=2,IF(AND(RIGHT(IFERROR(INDEX(醫師週班表!$C$5:$T$44,$CU10,BX$57),""),1)="~",BX$58=1),"",LEFT(IFERROR(INDEX(醫師週班表!$C$5:$T$44,$CU10,BX$57),""),1)),IFERROR(INDEX(醫師週班表!$C$5:$T$44,$CU10,BX$57),""))))))</f>
        <v/>
      </c>
      <c r="BY10" s="67">
        <f>IF(BY$59="X","",IF(BY$59&lt;&gt;"",BY$59,IF(IFERROR(INDEX(醫師週班表!$C$5:$T$44,$CU10,BY$57),"")=0,"",IF(LEN(IFERROR(INDEX(醫師週班表!$C$5:$T$44,$CU10,BY$57),""))=4,MID(IFERROR(INDEX(醫師週班表!$C$5:$T$44,$CU10,BY$57),""),1+BY$58*2,1),IF(LEN(IFERROR(INDEX(醫師週班表!$C$5:$T$44,$CU10,BY$57),""))=2,IF(AND(RIGHT(IFERROR(INDEX(醫師週班表!$C$5:$T$44,$CU10,BY$57),""),1)="~",BY$58=1),"",LEFT(IFERROR(INDEX(醫師週班表!$C$5:$T$44,$CU10,BY$57),""),1)),IFERROR(INDEX(醫師週班表!$C$5:$T$44,$CU10,BY$57),""))))))</f>
        <v/>
      </c>
      <c r="BZ10" s="68">
        <f>IF(BZ$59="X","",IF(BZ$59&lt;&gt;"",BZ$59,IF(IFERROR(INDEX(醫師週班表!$C$5:$T$44,$CU10,BZ$57),"")=0,"",IF(LEN(IFERROR(INDEX(醫師週班表!$C$5:$T$44,$CU10,BZ$57),""))=4,MID(IFERROR(INDEX(醫師週班表!$C$5:$T$44,$CU10,BZ$57),""),1+BZ$58*2,1),IF(LEN(IFERROR(INDEX(醫師週班表!$C$5:$T$44,$CU10,BZ$57),""))=2,IF(AND(RIGHT(IFERROR(INDEX(醫師週班表!$C$5:$T$44,$CU10,BZ$57),""),1)="~",BZ$58=1),"",LEFT(IFERROR(INDEX(醫師週班表!$C$5:$T$44,$CU10,BZ$57),""),1)),IFERROR(INDEX(醫師週班表!$C$5:$T$44,$CU10,BZ$57),""))))))</f>
        <v/>
      </c>
      <c r="CA10" s="68">
        <f>IF(CA$59="X","",IF(CA$59&lt;&gt;"",CA$59,IF(IFERROR(INDEX(醫師週班表!$C$5:$T$44,$CU10,CA$57),"")=0,"",IF(LEN(IFERROR(INDEX(醫師週班表!$C$5:$T$44,$CU10,CA$57),""))=4,MID(IFERROR(INDEX(醫師週班表!$C$5:$T$44,$CU10,CA$57),""),1+CA$58*2,1),IF(LEN(IFERROR(INDEX(醫師週班表!$C$5:$T$44,$CU10,CA$57),""))=2,IF(AND(RIGHT(IFERROR(INDEX(醫師週班表!$C$5:$T$44,$CU10,CA$57),""),1)="~",CA$58=1),"",LEFT(IFERROR(INDEX(醫師週班表!$C$5:$T$44,$CU10,CA$57),""),1)),IFERROR(INDEX(醫師週班表!$C$5:$T$44,$CU10,CA$57),""))))))</f>
        <v/>
      </c>
      <c r="CB10" s="67">
        <f>IF(CB$59="X","",IF(CB$59&lt;&gt;"",CB$59,IF(IFERROR(INDEX(醫師週班表!$C$5:$T$44,$CU10,CB$57),"")=0,"",IF(LEN(IFERROR(INDEX(醫師週班表!$C$5:$T$44,$CU10,CB$57),""))=4,MID(IFERROR(INDEX(醫師週班表!$C$5:$T$44,$CU10,CB$57),""),1+CB$58*2,1),IF(LEN(IFERROR(INDEX(醫師週班表!$C$5:$T$44,$CU10,CB$57),""))=2,IF(AND(RIGHT(IFERROR(INDEX(醫師週班表!$C$5:$T$44,$CU10,CB$57),""),1)="~",CB$58=1),"",LEFT(IFERROR(INDEX(醫師週班表!$C$5:$T$44,$CU10,CB$57),""),1)),IFERROR(INDEX(醫師週班表!$C$5:$T$44,$CU10,CB$57),""))))))</f>
        <v/>
      </c>
      <c r="CC10" s="68">
        <f>IF(CC$59="X","",IF(CC$59&lt;&gt;"",CC$59,IF(IFERROR(INDEX(醫師週班表!$C$5:$T$44,$CU10,CC$57),"")=0,"",IF(LEN(IFERROR(INDEX(醫師週班表!$C$5:$T$44,$CU10,CC$57),""))=4,MID(IFERROR(INDEX(醫師週班表!$C$5:$T$44,$CU10,CC$57),""),1+CC$58*2,1),IF(LEN(IFERROR(INDEX(醫師週班表!$C$5:$T$44,$CU10,CC$57),""))=2,IF(AND(RIGHT(IFERROR(INDEX(醫師週班表!$C$5:$T$44,$CU10,CC$57),""),1)="~",CC$58=1),"",LEFT(IFERROR(INDEX(醫師週班表!$C$5:$T$44,$CU10,CC$57),""),1)),IFERROR(INDEX(醫師週班表!$C$5:$T$44,$CU10,CC$57),""))))))</f>
        <v/>
      </c>
      <c r="CD10" s="68">
        <f>IF(CD$59="X","",IF(CD$59&lt;&gt;"",CD$59,IF(IFERROR(INDEX(醫師週班表!$C$5:$T$44,$CU10,CD$57),"")=0,"",IF(LEN(IFERROR(INDEX(醫師週班表!$C$5:$T$44,$CU10,CD$57),""))=4,MID(IFERROR(INDEX(醫師週班表!$C$5:$T$44,$CU10,CD$57),""),1+CD$58*2,1),IF(LEN(IFERROR(INDEX(醫師週班表!$C$5:$T$44,$CU10,CD$57),""))=2,IF(AND(RIGHT(IFERROR(INDEX(醫師週班表!$C$5:$T$44,$CU10,CD$57),""),1)="~",CD$58=1),"",LEFT(IFERROR(INDEX(醫師週班表!$C$5:$T$44,$CU10,CD$57),""),1)),IFERROR(INDEX(醫師週班表!$C$5:$T$44,$CU10,CD$57),""))))))</f>
        <v/>
      </c>
      <c r="CE10" s="67">
        <f>IF(CE$59="X","",IF(CE$59&lt;&gt;"",CE$59,IF(IFERROR(INDEX(醫師週班表!$C$5:$T$44,$CU10,CE$57),"")=0,"",IF(LEN(IFERROR(INDEX(醫師週班表!$C$5:$T$44,$CU10,CE$57),""))=4,MID(IFERROR(INDEX(醫師週班表!$C$5:$T$44,$CU10,CE$57),""),1+CE$58*2,1),IF(LEN(IFERROR(INDEX(醫師週班表!$C$5:$T$44,$CU10,CE$57),""))=2,IF(AND(RIGHT(IFERROR(INDEX(醫師週班表!$C$5:$T$44,$CU10,CE$57),""),1)="~",CE$58=1),"",LEFT(IFERROR(INDEX(醫師週班表!$C$5:$T$44,$CU10,CE$57),""),1)),IFERROR(INDEX(醫師週班表!$C$5:$T$44,$CU10,CE$57),""))))))</f>
        <v/>
      </c>
      <c r="CF10" s="68">
        <f>IF(CF$59="X","",IF(CF$59&lt;&gt;"",CF$59,IF(IFERROR(INDEX(醫師週班表!$C$5:$T$44,$CU10,CF$57),"")=0,"",IF(LEN(IFERROR(INDEX(醫師週班表!$C$5:$T$44,$CU10,CF$57),""))=4,MID(IFERROR(INDEX(醫師週班表!$C$5:$T$44,$CU10,CF$57),""),1+CF$58*2,1),IF(LEN(IFERROR(INDEX(醫師週班表!$C$5:$T$44,$CU10,CF$57),""))=2,IF(AND(RIGHT(IFERROR(INDEX(醫師週班表!$C$5:$T$44,$CU10,CF$57),""),1)="~",CF$58=1),"",LEFT(IFERROR(INDEX(醫師週班表!$C$5:$T$44,$CU10,CF$57),""),1)),IFERROR(INDEX(醫師週班表!$C$5:$T$44,$CU10,CF$57),""))))))</f>
        <v/>
      </c>
      <c r="CG10" s="68">
        <f>IF(CG$59="X","",IF(CG$59&lt;&gt;"",CG$59,IF(IFERROR(INDEX(醫師週班表!$C$5:$T$44,$CU10,CG$57),"")=0,"",IF(LEN(IFERROR(INDEX(醫師週班表!$C$5:$T$44,$CU10,CG$57),""))=4,MID(IFERROR(INDEX(醫師週班表!$C$5:$T$44,$CU10,CG$57),""),1+CG$58*2,1),IF(LEN(IFERROR(INDEX(醫師週班表!$C$5:$T$44,$CU10,CG$57),""))=2,IF(AND(RIGHT(IFERROR(INDEX(醫師週班表!$C$5:$T$44,$CU10,CG$57),""),1)="~",CG$58=1),"",LEFT(IFERROR(INDEX(醫師週班表!$C$5:$T$44,$CU10,CG$57),""),1)),IFERROR(INDEX(醫師週班表!$C$5:$T$44,$CU10,CG$57),""))))))</f>
        <v/>
      </c>
      <c r="CH10" s="67">
        <f>IF(CH$59="X","",IF(CH$59&lt;&gt;"",CH$59,IF(IFERROR(INDEX(醫師週班表!$C$5:$T$44,$CU10,CH$57),"")=0,"",IF(LEN(IFERROR(INDEX(醫師週班表!$C$5:$T$44,$CU10,CH$57),""))=4,MID(IFERROR(INDEX(醫師週班表!$C$5:$T$44,$CU10,CH$57),""),1+CH$58*2,1),IF(LEN(IFERROR(INDEX(醫師週班表!$C$5:$T$44,$CU10,CH$57),""))=2,IF(AND(RIGHT(IFERROR(INDEX(醫師週班表!$C$5:$T$44,$CU10,CH$57),""),1)="~",CH$58=1),"",LEFT(IFERROR(INDEX(醫師週班表!$C$5:$T$44,$CU10,CH$57),""),1)),IFERROR(INDEX(醫師週班表!$C$5:$T$44,$CU10,CH$57),""))))))</f>
        <v/>
      </c>
      <c r="CI10" s="68">
        <f>IF(CI$59="X","",IF(CI$59&lt;&gt;"",CI$59,IF(IFERROR(INDEX(醫師週班表!$C$5:$T$44,$CU10,CI$57),"")=0,"",IF(LEN(IFERROR(INDEX(醫師週班表!$C$5:$T$44,$CU10,CI$57),""))=4,MID(IFERROR(INDEX(醫師週班表!$C$5:$T$44,$CU10,CI$57),""),1+CI$58*2,1),IF(LEN(IFERROR(INDEX(醫師週班表!$C$5:$T$44,$CU10,CI$57),""))=2,IF(AND(RIGHT(IFERROR(INDEX(醫師週班表!$C$5:$T$44,$CU10,CI$57),""),1)="~",CI$58=1),"",LEFT(IFERROR(INDEX(醫師週班表!$C$5:$T$44,$CU10,CI$57),""),1)),IFERROR(INDEX(醫師週班表!$C$5:$T$44,$CU10,CI$57),""))))))</f>
        <v/>
      </c>
      <c r="CJ10" s="68">
        <f>IF(CJ$59="X","",IF(CJ$59&lt;&gt;"",CJ$59,IF(IFERROR(INDEX(醫師週班表!$C$5:$T$44,$CU10,CJ$57),"")=0,"",IF(LEN(IFERROR(INDEX(醫師週班表!$C$5:$T$44,$CU10,CJ$57),""))=4,MID(IFERROR(INDEX(醫師週班表!$C$5:$T$44,$CU10,CJ$57),""),1+CJ$58*2,1),IF(LEN(IFERROR(INDEX(醫師週班表!$C$5:$T$44,$CU10,CJ$57),""))=2,IF(AND(RIGHT(IFERROR(INDEX(醫師週班表!$C$5:$T$44,$CU10,CJ$57),""),1)="~",CJ$58=1),"",LEFT(IFERROR(INDEX(醫師週班表!$C$5:$T$44,$CU10,CJ$57),""),1)),IFERROR(INDEX(醫師週班表!$C$5:$T$44,$CU10,CJ$57),""))))))</f>
        <v/>
      </c>
      <c r="CK10" s="67">
        <f>IF(CK$59="X","",IF(CK$59&lt;&gt;"",CK$59,IF(IFERROR(INDEX(醫師週班表!$C$5:$T$44,$CU10,CK$57),"")=0,"",IF(LEN(IFERROR(INDEX(醫師週班表!$C$5:$T$44,$CU10,CK$57),""))=4,MID(IFERROR(INDEX(醫師週班表!$C$5:$T$44,$CU10,CK$57),""),1+CK$58*2,1),IF(LEN(IFERROR(INDEX(醫師週班表!$C$5:$T$44,$CU10,CK$57),""))=2,IF(AND(RIGHT(IFERROR(INDEX(醫師週班表!$C$5:$T$44,$CU10,CK$57),""),1)="~",CK$58=1),"",LEFT(IFERROR(INDEX(醫師週班表!$C$5:$T$44,$CU10,CK$57),""),1)),IFERROR(INDEX(醫師週班表!$C$5:$T$44,$CU10,CK$57),""))))))</f>
        <v/>
      </c>
      <c r="CL10" s="68">
        <f>IF(CL$59="X","",IF(CL$59&lt;&gt;"",CL$59,IF(IFERROR(INDEX(醫師週班表!$C$5:$T$44,$CU10,CL$57),"")=0,"",IF(LEN(IFERROR(INDEX(醫師週班表!$C$5:$T$44,$CU10,CL$57),""))=4,MID(IFERROR(INDEX(醫師週班表!$C$5:$T$44,$CU10,CL$57),""),1+CL$58*2,1),IF(LEN(IFERROR(INDEX(醫師週班表!$C$5:$T$44,$CU10,CL$57),""))=2,IF(AND(RIGHT(IFERROR(INDEX(醫師週班表!$C$5:$T$44,$CU10,CL$57),""),1)="~",CL$58=1),"",LEFT(IFERROR(INDEX(醫師週班表!$C$5:$T$44,$CU10,CL$57),""),1)),IFERROR(INDEX(醫師週班表!$C$5:$T$44,$CU10,CL$57),""))))))</f>
        <v/>
      </c>
      <c r="CM10" s="68">
        <f>IF(CM$59="X","",IF(CM$59&lt;&gt;"",CM$59,IF(IFERROR(INDEX(醫師週班表!$C$5:$T$44,$CU10,CM$57),"")=0,"",IF(LEN(IFERROR(INDEX(醫師週班表!$C$5:$T$44,$CU10,CM$57),""))=4,MID(IFERROR(INDEX(醫師週班表!$C$5:$T$44,$CU10,CM$57),""),1+CM$58*2,1),IF(LEN(IFERROR(INDEX(醫師週班表!$C$5:$T$44,$CU10,CM$57),""))=2,IF(AND(RIGHT(IFERROR(INDEX(醫師週班表!$C$5:$T$44,$CU10,CM$57),""),1)="~",CM$58=1),"",LEFT(IFERROR(INDEX(醫師週班表!$C$5:$T$44,$CU10,CM$57),""),1)),IFERROR(INDEX(醫師週班表!$C$5:$T$44,$CU10,CM$57),""))))))</f>
        <v/>
      </c>
      <c r="CN10" s="67">
        <f>IF(CN$59="X","",IF(CN$59&lt;&gt;"",CN$59,IF(IFERROR(INDEX(醫師週班表!$C$5:$T$44,$CU10,CN$57),"")=0,"",IF(LEN(IFERROR(INDEX(醫師週班表!$C$5:$T$44,$CU10,CN$57),""))=4,MID(IFERROR(INDEX(醫師週班表!$C$5:$T$44,$CU10,CN$57),""),1+CN$58*2,1),IF(LEN(IFERROR(INDEX(醫師週班表!$C$5:$T$44,$CU10,CN$57),""))=2,IF(AND(RIGHT(IFERROR(INDEX(醫師週班表!$C$5:$T$44,$CU10,CN$57),""),1)="~",CN$58=1),"",LEFT(IFERROR(INDEX(醫師週班表!$C$5:$T$44,$CU10,CN$57),""),1)),IFERROR(INDEX(醫師週班表!$C$5:$T$44,$CU10,CN$57),""))))))</f>
        <v/>
      </c>
      <c r="CO10" s="68">
        <f>IF(CO$59="X","",IF(CO$59&lt;&gt;"",CO$59,IF(IFERROR(INDEX(醫師週班表!$C$5:$T$44,$CU10,CO$57),"")=0,"",IF(LEN(IFERROR(INDEX(醫師週班表!$C$5:$T$44,$CU10,CO$57),""))=4,MID(IFERROR(INDEX(醫師週班表!$C$5:$T$44,$CU10,CO$57),""),1+CO$58*2,1),IF(LEN(IFERROR(INDEX(醫師週班表!$C$5:$T$44,$CU10,CO$57),""))=2,IF(AND(RIGHT(IFERROR(INDEX(醫師週班表!$C$5:$T$44,$CU10,CO$57),""),1)="~",CO$58=1),"",LEFT(IFERROR(INDEX(醫師週班表!$C$5:$T$44,$CU10,CO$57),""),1)),IFERROR(INDEX(醫師週班表!$C$5:$T$44,$CU10,CO$57),""))))))</f>
        <v/>
      </c>
      <c r="CP10" s="68">
        <f>IF(CP$59="X","",IF(CP$59&lt;&gt;"",CP$59,IF(IFERROR(INDEX(醫師週班表!$C$5:$T$44,$CU10,CP$57),"")=0,"",IF(LEN(IFERROR(INDEX(醫師週班表!$C$5:$T$44,$CU10,CP$57),""))=4,MID(IFERROR(INDEX(醫師週班表!$C$5:$T$44,$CU10,CP$57),""),1+CP$58*2,1),IF(LEN(IFERROR(INDEX(醫師週班表!$C$5:$T$44,$CU10,CP$57),""))=2,IF(AND(RIGHT(IFERROR(INDEX(醫師週班表!$C$5:$T$44,$CU10,CP$57),""),1)="~",CP$58=1),"",LEFT(IFERROR(INDEX(醫師週班表!$C$5:$T$44,$CU10,CP$57),""),1)),IFERROR(INDEX(醫師週班表!$C$5:$T$44,$CU10,CP$57),""))))))</f>
        <v/>
      </c>
      <c r="CQ10" s="67">
        <f>IF(CQ$59="X","",IF(CQ$59&lt;&gt;"",CQ$59,IF(IFERROR(INDEX(醫師週班表!$C$5:$T$44,$CU10,CQ$57),"")=0,"",IF(LEN(IFERROR(INDEX(醫師週班表!$C$5:$T$44,$CU10,CQ$57),""))=4,MID(IFERROR(INDEX(醫師週班表!$C$5:$T$44,$CU10,CQ$57),""),1+CQ$58*2,1),IF(LEN(IFERROR(INDEX(醫師週班表!$C$5:$T$44,$CU10,CQ$57),""))=2,IF(AND(RIGHT(IFERROR(INDEX(醫師週班表!$C$5:$T$44,$CU10,CQ$57),""),1)="~",CQ$58=1),"",LEFT(IFERROR(INDEX(醫師週班表!$C$5:$T$44,$CU10,CQ$57),""),1)),IFERROR(INDEX(醫師週班表!$C$5:$T$44,$CU10,CQ$57),""))))))</f>
        <v/>
      </c>
      <c r="CR10" s="68">
        <f>IF(CR$59="X","",IF(CR$59&lt;&gt;"",CR$59,IF(IFERROR(INDEX(醫師週班表!$C$5:$T$44,$CU10,CR$57),"")=0,"",IF(LEN(IFERROR(INDEX(醫師週班表!$C$5:$T$44,$CU10,CR$57),""))=4,MID(IFERROR(INDEX(醫師週班表!$C$5:$T$44,$CU10,CR$57),""),1+CR$58*2,1),IF(LEN(IFERROR(INDEX(醫師週班表!$C$5:$T$44,$CU10,CR$57),""))=2,IF(AND(RIGHT(IFERROR(INDEX(醫師週班表!$C$5:$T$44,$CU10,CR$57),""),1)="~",CR$58=1),"",LEFT(IFERROR(INDEX(醫師週班表!$C$5:$T$44,$CU10,CR$57),""),1)),IFERROR(INDEX(醫師週班表!$C$5:$T$44,$CU10,CR$57),""))))))</f>
        <v/>
      </c>
      <c r="CS10" s="68">
        <f>IF(CS$59="X","",IF(CS$59&lt;&gt;"",CS$59,IF(IFERROR(INDEX(醫師週班表!$C$5:$T$44,$CU10,CS$57),"")=0,"",IF(LEN(IFERROR(INDEX(醫師週班表!$C$5:$T$44,$CU10,CS$57),""))=4,MID(IFERROR(INDEX(醫師週班表!$C$5:$T$44,$CU10,CS$57),""),1+CS$58*2,1),IF(LEN(IFERROR(INDEX(醫師週班表!$C$5:$T$44,$CU10,CS$57),""))=2,IF(AND(RIGHT(IFERROR(INDEX(醫師週班表!$C$5:$T$44,$CU10,CS$57),""),1)="~",CS$58=1),"",LEFT(IFERROR(INDEX(醫師週班表!$C$5:$T$44,$CU10,CS$57),""),1)),IFERROR(INDEX(醫師週班表!$C$5:$T$44,$CU10,CS$57),""))))))</f>
        <v/>
      </c>
      <c r="CU10" s="69">
        <f>IFERROR(MATCH($A10,醫師週班表!$A$5:$A$44,0),0)</f>
        <v/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IFERROR(INDEX(醫師週班表!$C$5:$T$44,$CU11,E$57),"")=0,"",IF(LEN(IFERROR(INDEX(醫師週班表!$C$5:$T$44,$CU11,E$57),""))=4,MID(IFERROR(INDEX(醫師週班表!$C$5:$T$44,$CU11,E$57),""),1+E$58*2,1),IF(LEN(IFERROR(INDEX(醫師週班表!$C$5:$T$44,$CU11,E$57),""))=2,IF(AND(RIGHT(IFERROR(INDEX(醫師週班表!$C$5:$T$44,$CU11,E$57),""),1)="~",E$58=1),"",LEFT(IFERROR(INDEX(醫師週班表!$C$5:$T$44,$CU11,E$57),""),1)),IFERROR(INDEX(醫師週班表!$C$5:$T$44,$CU11,E$57),""))))))</f>
        <v/>
      </c>
      <c r="F11" s="68">
        <f>IF(F$59="X","",IF(F$59&lt;&gt;"",F$59,IF(IFERROR(INDEX(醫師週班表!$C$5:$T$44,$CU11,F$57),"")=0,"",IF(LEN(IFERROR(INDEX(醫師週班表!$C$5:$T$44,$CU11,F$57),""))=4,MID(IFERROR(INDEX(醫師週班表!$C$5:$T$44,$CU11,F$57),""),1+F$58*2,1),IF(LEN(IFERROR(INDEX(醫師週班表!$C$5:$T$44,$CU11,F$57),""))=2,IF(AND(RIGHT(IFERROR(INDEX(醫師週班表!$C$5:$T$44,$CU11,F$57),""),1)="~",F$58=1),"",LEFT(IFERROR(INDEX(醫師週班表!$C$5:$T$44,$CU11,F$57),""),1)),IFERROR(INDEX(醫師週班表!$C$5:$T$44,$CU11,F$57),""))))))</f>
        <v/>
      </c>
      <c r="G11" s="68">
        <f>IF(G$59="X","",IF(G$59&lt;&gt;"",G$59,IF(IFERROR(INDEX(醫師週班表!$C$5:$T$44,$CU11,G$57),"")=0,"",IF(LEN(IFERROR(INDEX(醫師週班表!$C$5:$T$44,$CU11,G$57),""))=4,MID(IFERROR(INDEX(醫師週班表!$C$5:$T$44,$CU11,G$57),""),1+G$58*2,1),IF(LEN(IFERROR(INDEX(醫師週班表!$C$5:$T$44,$CU11,G$57),""))=2,IF(AND(RIGHT(IFERROR(INDEX(醫師週班表!$C$5:$T$44,$CU11,G$57),""),1)="~",G$58=1),"",LEFT(IFERROR(INDEX(醫師週班表!$C$5:$T$44,$CU11,G$57),""),1)),IFERROR(INDEX(醫師週班表!$C$5:$T$44,$CU11,G$57),""))))))</f>
        <v/>
      </c>
      <c r="H11" s="67">
        <f>IF(H$59="X","",IF(H$59&lt;&gt;"",H$59,IF(IFERROR(INDEX(醫師週班表!$C$5:$T$44,$CU11,H$57),"")=0,"",IF(LEN(IFERROR(INDEX(醫師週班表!$C$5:$T$44,$CU11,H$57),""))=4,MID(IFERROR(INDEX(醫師週班表!$C$5:$T$44,$CU11,H$57),""),1+H$58*2,1),IF(LEN(IFERROR(INDEX(醫師週班表!$C$5:$T$44,$CU11,H$57),""))=2,IF(AND(RIGHT(IFERROR(INDEX(醫師週班表!$C$5:$T$44,$CU11,H$57),""),1)="~",H$58=1),"",LEFT(IFERROR(INDEX(醫師週班表!$C$5:$T$44,$CU11,H$57),""),1)),IFERROR(INDEX(醫師週班表!$C$5:$T$44,$CU11,H$57),""))))))</f>
        <v/>
      </c>
      <c r="I11" s="68">
        <f>IF(I$59="X","",IF(I$59&lt;&gt;"",I$59,IF(IFERROR(INDEX(醫師週班表!$C$5:$T$44,$CU11,I$57),"")=0,"",IF(LEN(IFERROR(INDEX(醫師週班表!$C$5:$T$44,$CU11,I$57),""))=4,MID(IFERROR(INDEX(醫師週班表!$C$5:$T$44,$CU11,I$57),""),1+I$58*2,1),IF(LEN(IFERROR(INDEX(醫師週班表!$C$5:$T$44,$CU11,I$57),""))=2,IF(AND(RIGHT(IFERROR(INDEX(醫師週班表!$C$5:$T$44,$CU11,I$57),""),1)="~",I$58=1),"",LEFT(IFERROR(INDEX(醫師週班表!$C$5:$T$44,$CU11,I$57),""),1)),IFERROR(INDEX(醫師週班表!$C$5:$T$44,$CU11,I$57),""))))))</f>
        <v/>
      </c>
      <c r="J11" s="68">
        <f>IF(J$59="X","",IF(J$59&lt;&gt;"",J$59,IF(IFERROR(INDEX(醫師週班表!$C$5:$T$44,$CU11,J$57),"")=0,"",IF(LEN(IFERROR(INDEX(醫師週班表!$C$5:$T$44,$CU11,J$57),""))=4,MID(IFERROR(INDEX(醫師週班表!$C$5:$T$44,$CU11,J$57),""),1+J$58*2,1),IF(LEN(IFERROR(INDEX(醫師週班表!$C$5:$T$44,$CU11,J$57),""))=2,IF(AND(RIGHT(IFERROR(INDEX(醫師週班表!$C$5:$T$44,$CU11,J$57),""),1)="~",J$58=1),"",LEFT(IFERROR(INDEX(醫師週班表!$C$5:$T$44,$CU11,J$57),""),1)),IFERROR(INDEX(醫師週班表!$C$5:$T$44,$CU11,J$57),""))))))</f>
        <v/>
      </c>
      <c r="K11" s="67">
        <f>IF(K$59="X","",IF(K$59&lt;&gt;"",K$59,IF(IFERROR(INDEX(醫師週班表!$C$5:$T$44,$CU11,K$57),"")=0,"",IF(LEN(IFERROR(INDEX(醫師週班表!$C$5:$T$44,$CU11,K$57),""))=4,MID(IFERROR(INDEX(醫師週班表!$C$5:$T$44,$CU11,K$57),""),1+K$58*2,1),IF(LEN(IFERROR(INDEX(醫師週班表!$C$5:$T$44,$CU11,K$57),""))=2,IF(AND(RIGHT(IFERROR(INDEX(醫師週班表!$C$5:$T$44,$CU11,K$57),""),1)="~",K$58=1),"",LEFT(IFERROR(INDEX(醫師週班表!$C$5:$T$44,$CU11,K$57),""),1)),IFERROR(INDEX(醫師週班表!$C$5:$T$44,$CU11,K$57),""))))))</f>
        <v/>
      </c>
      <c r="L11" s="68">
        <f>IF(L$59="X","",IF(L$59&lt;&gt;"",L$59,IF(IFERROR(INDEX(醫師週班表!$C$5:$T$44,$CU11,L$57),"")=0,"",IF(LEN(IFERROR(INDEX(醫師週班表!$C$5:$T$44,$CU11,L$57),""))=4,MID(IFERROR(INDEX(醫師週班表!$C$5:$T$44,$CU11,L$57),""),1+L$58*2,1),IF(LEN(IFERROR(INDEX(醫師週班表!$C$5:$T$44,$CU11,L$57),""))=2,IF(AND(RIGHT(IFERROR(INDEX(醫師週班表!$C$5:$T$44,$CU11,L$57),""),1)="~",L$58=1),"",LEFT(IFERROR(INDEX(醫師週班表!$C$5:$T$44,$CU11,L$57),""),1)),IFERROR(INDEX(醫師週班表!$C$5:$T$44,$CU11,L$57),""))))))</f>
        <v/>
      </c>
      <c r="M11" s="68">
        <f>IF(M$59="X","",IF(M$59&lt;&gt;"",M$59,IF(IFERROR(INDEX(醫師週班表!$C$5:$T$44,$CU11,M$57),"")=0,"",IF(LEN(IFERROR(INDEX(醫師週班表!$C$5:$T$44,$CU11,M$57),""))=4,MID(IFERROR(INDEX(醫師週班表!$C$5:$T$44,$CU11,M$57),""),1+M$58*2,1),IF(LEN(IFERROR(INDEX(醫師週班表!$C$5:$T$44,$CU11,M$57),""))=2,IF(AND(RIGHT(IFERROR(INDEX(醫師週班表!$C$5:$T$44,$CU11,M$57),""),1)="~",M$58=1),"",LEFT(IFERROR(INDEX(醫師週班表!$C$5:$T$44,$CU11,M$57),""),1)),IFERROR(INDEX(醫師週班表!$C$5:$T$44,$CU11,M$57),""))))))</f>
        <v/>
      </c>
      <c r="N11" s="67">
        <f>IF(N$59="X","",IF(N$59&lt;&gt;"",N$59,IF(IFERROR(INDEX(醫師週班表!$C$5:$T$44,$CU11,N$57),"")=0,"",IF(LEN(IFERROR(INDEX(醫師週班表!$C$5:$T$44,$CU11,N$57),""))=4,MID(IFERROR(INDEX(醫師週班表!$C$5:$T$44,$CU11,N$57),""),1+N$58*2,1),IF(LEN(IFERROR(INDEX(醫師週班表!$C$5:$T$44,$CU11,N$57),""))=2,IF(AND(RIGHT(IFERROR(INDEX(醫師週班表!$C$5:$T$44,$CU11,N$57),""),1)="~",N$58=1),"",LEFT(IFERROR(INDEX(醫師週班表!$C$5:$T$44,$CU11,N$57),""),1)),IFERROR(INDEX(醫師週班表!$C$5:$T$44,$CU11,N$57),""))))))</f>
        <v/>
      </c>
      <c r="O11" s="68">
        <f>IF(O$59="X","",IF(O$59&lt;&gt;"",O$59,IF(IFERROR(INDEX(醫師週班表!$C$5:$T$44,$CU11,O$57),"")=0,"",IF(LEN(IFERROR(INDEX(醫師週班表!$C$5:$T$44,$CU11,O$57),""))=4,MID(IFERROR(INDEX(醫師週班表!$C$5:$T$44,$CU11,O$57),""),1+O$58*2,1),IF(LEN(IFERROR(INDEX(醫師週班表!$C$5:$T$44,$CU11,O$57),""))=2,IF(AND(RIGHT(IFERROR(INDEX(醫師週班表!$C$5:$T$44,$CU11,O$57),""),1)="~",O$58=1),"",LEFT(IFERROR(INDEX(醫師週班表!$C$5:$T$44,$CU11,O$57),""),1)),IFERROR(INDEX(醫師週班表!$C$5:$T$44,$CU11,O$57),""))))))</f>
        <v/>
      </c>
      <c r="P11" s="68">
        <f>IF(P$59="X","",IF(P$59&lt;&gt;"",P$59,IF(IFERROR(INDEX(醫師週班表!$C$5:$T$44,$CU11,P$57),"")=0,"",IF(LEN(IFERROR(INDEX(醫師週班表!$C$5:$T$44,$CU11,P$57),""))=4,MID(IFERROR(INDEX(醫師週班表!$C$5:$T$44,$CU11,P$57),""),1+P$58*2,1),IF(LEN(IFERROR(INDEX(醫師週班表!$C$5:$T$44,$CU11,P$57),""))=2,IF(AND(RIGHT(IFERROR(INDEX(醫師週班表!$C$5:$T$44,$CU11,P$57),""),1)="~",P$58=1),"",LEFT(IFERROR(INDEX(醫師週班表!$C$5:$T$44,$CU11,P$57),""),1)),IFERROR(INDEX(醫師週班表!$C$5:$T$44,$CU11,P$57),""))))))</f>
        <v/>
      </c>
      <c r="Q11" s="67">
        <f>IF(Q$59="X","",IF(Q$59&lt;&gt;"",Q$59,IF(IFERROR(INDEX(醫師週班表!$C$5:$T$44,$CU11,Q$57),"")=0,"",IF(LEN(IFERROR(INDEX(醫師週班表!$C$5:$T$44,$CU11,Q$57),""))=4,MID(IFERROR(INDEX(醫師週班表!$C$5:$T$44,$CU11,Q$57),""),1+Q$58*2,1),IF(LEN(IFERROR(INDEX(醫師週班表!$C$5:$T$44,$CU11,Q$57),""))=2,IF(AND(RIGHT(IFERROR(INDEX(醫師週班表!$C$5:$T$44,$CU11,Q$57),""),1)="~",Q$58=1),"",LEFT(IFERROR(INDEX(醫師週班表!$C$5:$T$44,$CU11,Q$57),""),1)),IFERROR(INDEX(醫師週班表!$C$5:$T$44,$CU11,Q$57),""))))))</f>
        <v/>
      </c>
      <c r="R11" s="68">
        <f>IF(R$59="X","",IF(R$59&lt;&gt;"",R$59,IF(IFERROR(INDEX(醫師週班表!$C$5:$T$44,$CU11,R$57),"")=0,"",IF(LEN(IFERROR(INDEX(醫師週班表!$C$5:$T$44,$CU11,R$57),""))=4,MID(IFERROR(INDEX(醫師週班表!$C$5:$T$44,$CU11,R$57),""),1+R$58*2,1),IF(LEN(IFERROR(INDEX(醫師週班表!$C$5:$T$44,$CU11,R$57),""))=2,IF(AND(RIGHT(IFERROR(INDEX(醫師週班表!$C$5:$T$44,$CU11,R$57),""),1)="~",R$58=1),"",LEFT(IFERROR(INDEX(醫師週班表!$C$5:$T$44,$CU11,R$57),""),1)),IFERROR(INDEX(醫師週班表!$C$5:$T$44,$CU11,R$57),""))))))</f>
        <v/>
      </c>
      <c r="S11" s="68">
        <f>IF(S$59="X","",IF(S$59&lt;&gt;"",S$59,IF(IFERROR(INDEX(醫師週班表!$C$5:$T$44,$CU11,S$57),"")=0,"",IF(LEN(IFERROR(INDEX(醫師週班表!$C$5:$T$44,$CU11,S$57),""))=4,MID(IFERROR(INDEX(醫師週班表!$C$5:$T$44,$CU11,S$57),""),1+S$58*2,1),IF(LEN(IFERROR(INDEX(醫師週班表!$C$5:$T$44,$CU11,S$57),""))=2,IF(AND(RIGHT(IFERROR(INDEX(醫師週班表!$C$5:$T$44,$CU11,S$57),""),1)="~",S$58=1),"",LEFT(IFERROR(INDEX(醫師週班表!$C$5:$T$44,$CU11,S$57),""),1)),IFERROR(INDEX(醫師週班表!$C$5:$T$44,$CU11,S$57),""))))))</f>
        <v/>
      </c>
      <c r="T11" s="67">
        <f>IF(T$59="X","",IF(T$59&lt;&gt;"",T$59,IF(IFERROR(INDEX(醫師週班表!$C$5:$T$44,$CU11,T$57),"")=0,"",IF(LEN(IFERROR(INDEX(醫師週班表!$C$5:$T$44,$CU11,T$57),""))=4,MID(IFERROR(INDEX(醫師週班表!$C$5:$T$44,$CU11,T$57),""),1+T$58*2,1),IF(LEN(IFERROR(INDEX(醫師週班表!$C$5:$T$44,$CU11,T$57),""))=2,IF(AND(RIGHT(IFERROR(INDEX(醫師週班表!$C$5:$T$44,$CU11,T$57),""),1)="~",T$58=1),"",LEFT(IFERROR(INDEX(醫師週班表!$C$5:$T$44,$CU11,T$57),""),1)),IFERROR(INDEX(醫師週班表!$C$5:$T$44,$CU11,T$57),""))))))</f>
        <v/>
      </c>
      <c r="U11" s="68">
        <f>IF(U$59="X","",IF(U$59&lt;&gt;"",U$59,IF(IFERROR(INDEX(醫師週班表!$C$5:$T$44,$CU11,U$57),"")=0,"",IF(LEN(IFERROR(INDEX(醫師週班表!$C$5:$T$44,$CU11,U$57),""))=4,MID(IFERROR(INDEX(醫師週班表!$C$5:$T$44,$CU11,U$57),""),1+U$58*2,1),IF(LEN(IFERROR(INDEX(醫師週班表!$C$5:$T$44,$CU11,U$57),""))=2,IF(AND(RIGHT(IFERROR(INDEX(醫師週班表!$C$5:$T$44,$CU11,U$57),""),1)="~",U$58=1),"",LEFT(IFERROR(INDEX(醫師週班表!$C$5:$T$44,$CU11,U$57),""),1)),IFERROR(INDEX(醫師週班表!$C$5:$T$44,$CU11,U$57),""))))))</f>
        <v/>
      </c>
      <c r="V11" s="68">
        <f>IF(V$59="X","",IF(V$59&lt;&gt;"",V$59,IF(IFERROR(INDEX(醫師週班表!$C$5:$T$44,$CU11,V$57),"")=0,"",IF(LEN(IFERROR(INDEX(醫師週班表!$C$5:$T$44,$CU11,V$57),""))=4,MID(IFERROR(INDEX(醫師週班表!$C$5:$T$44,$CU11,V$57),""),1+V$58*2,1),IF(LEN(IFERROR(INDEX(醫師週班表!$C$5:$T$44,$CU11,V$57),""))=2,IF(AND(RIGHT(IFERROR(INDEX(醫師週班表!$C$5:$T$44,$CU11,V$57),""),1)="~",V$58=1),"",LEFT(IFERROR(INDEX(醫師週班表!$C$5:$T$44,$CU11,V$57),""),1)),IFERROR(INDEX(醫師週班表!$C$5:$T$44,$CU11,V$57),""))))))</f>
        <v/>
      </c>
      <c r="W11" s="67">
        <f>IF(W$59="X","",IF(W$59&lt;&gt;"",W$59,IF(IFERROR(INDEX(醫師週班表!$C$5:$T$44,$CU11,W$57),"")=0,"",IF(LEN(IFERROR(INDEX(醫師週班表!$C$5:$T$44,$CU11,W$57),""))=4,MID(IFERROR(INDEX(醫師週班表!$C$5:$T$44,$CU11,W$57),""),1+W$58*2,1),IF(LEN(IFERROR(INDEX(醫師週班表!$C$5:$T$44,$CU11,W$57),""))=2,IF(AND(RIGHT(IFERROR(INDEX(醫師週班表!$C$5:$T$44,$CU11,W$57),""),1)="~",W$58=1),"",LEFT(IFERROR(INDEX(醫師週班表!$C$5:$T$44,$CU11,W$57),""),1)),IFERROR(INDEX(醫師週班表!$C$5:$T$44,$CU11,W$57),""))))))</f>
        <v/>
      </c>
      <c r="X11" s="68">
        <f>IF(X$59="X","",IF(X$59&lt;&gt;"",X$59,IF(IFERROR(INDEX(醫師週班表!$C$5:$T$44,$CU11,X$57),"")=0,"",IF(LEN(IFERROR(INDEX(醫師週班表!$C$5:$T$44,$CU11,X$57),""))=4,MID(IFERROR(INDEX(醫師週班表!$C$5:$T$44,$CU11,X$57),""),1+X$58*2,1),IF(LEN(IFERROR(INDEX(醫師週班表!$C$5:$T$44,$CU11,X$57),""))=2,IF(AND(RIGHT(IFERROR(INDEX(醫師週班表!$C$5:$T$44,$CU11,X$57),""),1)="~",X$58=1),"",LEFT(IFERROR(INDEX(醫師週班表!$C$5:$T$44,$CU11,X$57),""),1)),IFERROR(INDEX(醫師週班表!$C$5:$T$44,$CU11,X$57),""))))))</f>
        <v/>
      </c>
      <c r="Y11" s="68">
        <f>IF(Y$59="X","",IF(Y$59&lt;&gt;"",Y$59,IF(IFERROR(INDEX(醫師週班表!$C$5:$T$44,$CU11,Y$57),"")=0,"",IF(LEN(IFERROR(INDEX(醫師週班表!$C$5:$T$44,$CU11,Y$57),""))=4,MID(IFERROR(INDEX(醫師週班表!$C$5:$T$44,$CU11,Y$57),""),1+Y$58*2,1),IF(LEN(IFERROR(INDEX(醫師週班表!$C$5:$T$44,$CU11,Y$57),""))=2,IF(AND(RIGHT(IFERROR(INDEX(醫師週班表!$C$5:$T$44,$CU11,Y$57),""),1)="~",Y$58=1),"",LEFT(IFERROR(INDEX(醫師週班表!$C$5:$T$44,$CU11,Y$57),""),1)),IFERROR(INDEX(醫師週班表!$C$5:$T$44,$CU11,Y$57),""))))))</f>
        <v/>
      </c>
      <c r="Z11" s="67">
        <f>IF(Z$59="X","",IF(Z$59&lt;&gt;"",Z$59,IF(IFERROR(INDEX(醫師週班表!$C$5:$T$44,$CU11,Z$57),"")=0,"",IF(LEN(IFERROR(INDEX(醫師週班表!$C$5:$T$44,$CU11,Z$57),""))=4,MID(IFERROR(INDEX(醫師週班表!$C$5:$T$44,$CU11,Z$57),""),1+Z$58*2,1),IF(LEN(IFERROR(INDEX(醫師週班表!$C$5:$T$44,$CU11,Z$57),""))=2,IF(AND(RIGHT(IFERROR(INDEX(醫師週班表!$C$5:$T$44,$CU11,Z$57),""),1)="~",Z$58=1),"",LEFT(IFERROR(INDEX(醫師週班表!$C$5:$T$44,$CU11,Z$57),""),1)),IFERROR(INDEX(醫師週班表!$C$5:$T$44,$CU11,Z$57),""))))))</f>
        <v/>
      </c>
      <c r="AA11" s="68">
        <f>IF(AA$59="X","",IF(AA$59&lt;&gt;"",AA$59,IF(IFERROR(INDEX(醫師週班表!$C$5:$T$44,$CU11,AA$57),"")=0,"",IF(LEN(IFERROR(INDEX(醫師週班表!$C$5:$T$44,$CU11,AA$57),""))=4,MID(IFERROR(INDEX(醫師週班表!$C$5:$T$44,$CU11,AA$57),""),1+AA$58*2,1),IF(LEN(IFERROR(INDEX(醫師週班表!$C$5:$T$44,$CU11,AA$57),""))=2,IF(AND(RIGHT(IFERROR(INDEX(醫師週班表!$C$5:$T$44,$CU11,AA$57),""),1)="~",AA$58=1),"",LEFT(IFERROR(INDEX(醫師週班表!$C$5:$T$44,$CU11,AA$57),""),1)),IFERROR(INDEX(醫師週班表!$C$5:$T$44,$CU11,AA$57),""))))))</f>
        <v/>
      </c>
      <c r="AB11" s="68">
        <f>IF(AB$59="X","",IF(AB$59&lt;&gt;"",AB$59,IF(IFERROR(INDEX(醫師週班表!$C$5:$T$44,$CU11,AB$57),"")=0,"",IF(LEN(IFERROR(INDEX(醫師週班表!$C$5:$T$44,$CU11,AB$57),""))=4,MID(IFERROR(INDEX(醫師週班表!$C$5:$T$44,$CU11,AB$57),""),1+AB$58*2,1),IF(LEN(IFERROR(INDEX(醫師週班表!$C$5:$T$44,$CU11,AB$57),""))=2,IF(AND(RIGHT(IFERROR(INDEX(醫師週班表!$C$5:$T$44,$CU11,AB$57),""),1)="~",AB$58=1),"",LEFT(IFERROR(INDEX(醫師週班表!$C$5:$T$44,$CU11,AB$57),""),1)),IFERROR(INDEX(醫師週班表!$C$5:$T$44,$CU11,AB$57),""))))))</f>
        <v/>
      </c>
      <c r="AC11" s="67">
        <f>IF(AC$59="X","",IF(AC$59&lt;&gt;"",AC$59,IF(IFERROR(INDEX(醫師週班表!$C$5:$T$44,$CU11,AC$57),"")=0,"",IF(LEN(IFERROR(INDEX(醫師週班表!$C$5:$T$44,$CU11,AC$57),""))=4,MID(IFERROR(INDEX(醫師週班表!$C$5:$T$44,$CU11,AC$57),""),1+AC$58*2,1),IF(LEN(IFERROR(INDEX(醫師週班表!$C$5:$T$44,$CU11,AC$57),""))=2,IF(AND(RIGHT(IFERROR(INDEX(醫師週班表!$C$5:$T$44,$CU11,AC$57),""),1)="~",AC$58=1),"",LEFT(IFERROR(INDEX(醫師週班表!$C$5:$T$44,$CU11,AC$57),""),1)),IFERROR(INDEX(醫師週班表!$C$5:$T$44,$CU11,AC$57),""))))))</f>
        <v/>
      </c>
      <c r="AD11" s="68">
        <f>IF(AD$59="X","",IF(AD$59&lt;&gt;"",AD$59,IF(IFERROR(INDEX(醫師週班表!$C$5:$T$44,$CU11,AD$57),"")=0,"",IF(LEN(IFERROR(INDEX(醫師週班表!$C$5:$T$44,$CU11,AD$57),""))=4,MID(IFERROR(INDEX(醫師週班表!$C$5:$T$44,$CU11,AD$57),""),1+AD$58*2,1),IF(LEN(IFERROR(INDEX(醫師週班表!$C$5:$T$44,$CU11,AD$57),""))=2,IF(AND(RIGHT(IFERROR(INDEX(醫師週班表!$C$5:$T$44,$CU11,AD$57),""),1)="~",AD$58=1),"",LEFT(IFERROR(INDEX(醫師週班表!$C$5:$T$44,$CU11,AD$57),""),1)),IFERROR(INDEX(醫師週班表!$C$5:$T$44,$CU11,AD$57),""))))))</f>
        <v/>
      </c>
      <c r="AE11" s="68">
        <f>IF(AE$59="X","",IF(AE$59&lt;&gt;"",AE$59,IF(IFERROR(INDEX(醫師週班表!$C$5:$T$44,$CU11,AE$57),"")=0,"",IF(LEN(IFERROR(INDEX(醫師週班表!$C$5:$T$44,$CU11,AE$57),""))=4,MID(IFERROR(INDEX(醫師週班表!$C$5:$T$44,$CU11,AE$57),""),1+AE$58*2,1),IF(LEN(IFERROR(INDEX(醫師週班表!$C$5:$T$44,$CU11,AE$57),""))=2,IF(AND(RIGHT(IFERROR(INDEX(醫師週班表!$C$5:$T$44,$CU11,AE$57),""),1)="~",AE$58=1),"",LEFT(IFERROR(INDEX(醫師週班表!$C$5:$T$44,$CU11,AE$57),""),1)),IFERROR(INDEX(醫師週班表!$C$5:$T$44,$CU11,AE$57),""))))))</f>
        <v/>
      </c>
      <c r="AF11" s="67">
        <f>IF(AF$59="X","",IF(AF$59&lt;&gt;"",AF$59,IF(IFERROR(INDEX(醫師週班表!$C$5:$T$44,$CU11,AF$57),"")=0,"",IF(LEN(IFERROR(INDEX(醫師週班表!$C$5:$T$44,$CU11,AF$57),""))=4,MID(IFERROR(INDEX(醫師週班表!$C$5:$T$44,$CU11,AF$57),""),1+AF$58*2,1),IF(LEN(IFERROR(INDEX(醫師週班表!$C$5:$T$44,$CU11,AF$57),""))=2,IF(AND(RIGHT(IFERROR(INDEX(醫師週班表!$C$5:$T$44,$CU11,AF$57),""),1)="~",AF$58=1),"",LEFT(IFERROR(INDEX(醫師週班表!$C$5:$T$44,$CU11,AF$57),""),1)),IFERROR(INDEX(醫師週班表!$C$5:$T$44,$CU11,AF$57),""))))))</f>
        <v/>
      </c>
      <c r="AG11" s="68">
        <f>IF(AG$59="X","",IF(AG$59&lt;&gt;"",AG$59,IF(IFERROR(INDEX(醫師週班表!$C$5:$T$44,$CU11,AG$57),"")=0,"",IF(LEN(IFERROR(INDEX(醫師週班表!$C$5:$T$44,$CU11,AG$57),""))=4,MID(IFERROR(INDEX(醫師週班表!$C$5:$T$44,$CU11,AG$57),""),1+AG$58*2,1),IF(LEN(IFERROR(INDEX(醫師週班表!$C$5:$T$44,$CU11,AG$57),""))=2,IF(AND(RIGHT(IFERROR(INDEX(醫師週班表!$C$5:$T$44,$CU11,AG$57),""),1)="~",AG$58=1),"",LEFT(IFERROR(INDEX(醫師週班表!$C$5:$T$44,$CU11,AG$57),""),1)),IFERROR(INDEX(醫師週班表!$C$5:$T$44,$CU11,AG$57),""))))))</f>
        <v/>
      </c>
      <c r="AH11" s="68">
        <f>IF(AH$59="X","",IF(AH$59&lt;&gt;"",AH$59,IF(IFERROR(INDEX(醫師週班表!$C$5:$T$44,$CU11,AH$57),"")=0,"",IF(LEN(IFERROR(INDEX(醫師週班表!$C$5:$T$44,$CU11,AH$57),""))=4,MID(IFERROR(INDEX(醫師週班表!$C$5:$T$44,$CU11,AH$57),""),1+AH$58*2,1),IF(LEN(IFERROR(INDEX(醫師週班表!$C$5:$T$44,$CU11,AH$57),""))=2,IF(AND(RIGHT(IFERROR(INDEX(醫師週班表!$C$5:$T$44,$CU11,AH$57),""),1)="~",AH$58=1),"",LEFT(IFERROR(INDEX(醫師週班表!$C$5:$T$44,$CU11,AH$57),""),1)),IFERROR(INDEX(醫師週班表!$C$5:$T$44,$CU11,AH$57),""))))))</f>
        <v/>
      </c>
      <c r="AI11" s="67">
        <f>IF(AI$59="X","",IF(AI$59&lt;&gt;"",AI$59,IF(IFERROR(INDEX(醫師週班表!$C$5:$T$44,$CU11,AI$57),"")=0,"",IF(LEN(IFERROR(INDEX(醫師週班表!$C$5:$T$44,$CU11,AI$57),""))=4,MID(IFERROR(INDEX(醫師週班表!$C$5:$T$44,$CU11,AI$57),""),1+AI$58*2,1),IF(LEN(IFERROR(INDEX(醫師週班表!$C$5:$T$44,$CU11,AI$57),""))=2,IF(AND(RIGHT(IFERROR(INDEX(醫師週班表!$C$5:$T$44,$CU11,AI$57),""),1)="~",AI$58=1),"",LEFT(IFERROR(INDEX(醫師週班表!$C$5:$T$44,$CU11,AI$57),""),1)),IFERROR(INDEX(醫師週班表!$C$5:$T$44,$CU11,AI$57),""))))))</f>
        <v/>
      </c>
      <c r="AJ11" s="68">
        <f>IF(AJ$59="X","",IF(AJ$59&lt;&gt;"",AJ$59,IF(IFERROR(INDEX(醫師週班表!$C$5:$T$44,$CU11,AJ$57),"")=0,"",IF(LEN(IFERROR(INDEX(醫師週班表!$C$5:$T$44,$CU11,AJ$57),""))=4,MID(IFERROR(INDEX(醫師週班表!$C$5:$T$44,$CU11,AJ$57),""),1+AJ$58*2,1),IF(LEN(IFERROR(INDEX(醫師週班表!$C$5:$T$44,$CU11,AJ$57),""))=2,IF(AND(RIGHT(IFERROR(INDEX(醫師週班表!$C$5:$T$44,$CU11,AJ$57),""),1)="~",AJ$58=1),"",LEFT(IFERROR(INDEX(醫師週班表!$C$5:$T$44,$CU11,AJ$57),""),1)),IFERROR(INDEX(醫師週班表!$C$5:$T$44,$CU11,AJ$57),""))))))</f>
        <v/>
      </c>
      <c r="AK11" s="68">
        <f>IF(AK$59="X","",IF(AK$59&lt;&gt;"",AK$59,IF(IFERROR(INDEX(醫師週班表!$C$5:$T$44,$CU11,AK$57),"")=0,"",IF(LEN(IFERROR(INDEX(醫師週班表!$C$5:$T$44,$CU11,AK$57),""))=4,MID(IFERROR(INDEX(醫師週班表!$C$5:$T$44,$CU11,AK$57),""),1+AK$58*2,1),IF(LEN(IFERROR(INDEX(醫師週班表!$C$5:$T$44,$CU11,AK$57),""))=2,IF(AND(RIGHT(IFERROR(INDEX(醫師週班表!$C$5:$T$44,$CU11,AK$57),""),1)="~",AK$58=1),"",LEFT(IFERROR(INDEX(醫師週班表!$C$5:$T$44,$CU11,AK$57),""),1)),IFERROR(INDEX(醫師週班表!$C$5:$T$44,$CU11,AK$57),""))))))</f>
        <v/>
      </c>
      <c r="AL11" s="67">
        <f>IF(AL$59="X","",IF(AL$59&lt;&gt;"",AL$59,IF(IFERROR(INDEX(醫師週班表!$C$5:$T$44,$CU11,AL$57),"")=0,"",IF(LEN(IFERROR(INDEX(醫師週班表!$C$5:$T$44,$CU11,AL$57),""))=4,MID(IFERROR(INDEX(醫師週班表!$C$5:$T$44,$CU11,AL$57),""),1+AL$58*2,1),IF(LEN(IFERROR(INDEX(醫師週班表!$C$5:$T$44,$CU11,AL$57),""))=2,IF(AND(RIGHT(IFERROR(INDEX(醫師週班表!$C$5:$T$44,$CU11,AL$57),""),1)="~",AL$58=1),"",LEFT(IFERROR(INDEX(醫師週班表!$C$5:$T$44,$CU11,AL$57),""),1)),IFERROR(INDEX(醫師週班表!$C$5:$T$44,$CU11,AL$57),""))))))</f>
        <v/>
      </c>
      <c r="AM11" s="68">
        <f>IF(AM$59="X","",IF(AM$59&lt;&gt;"",AM$59,IF(IFERROR(INDEX(醫師週班表!$C$5:$T$44,$CU11,AM$57),"")=0,"",IF(LEN(IFERROR(INDEX(醫師週班表!$C$5:$T$44,$CU11,AM$57),""))=4,MID(IFERROR(INDEX(醫師週班表!$C$5:$T$44,$CU11,AM$57),""),1+AM$58*2,1),IF(LEN(IFERROR(INDEX(醫師週班表!$C$5:$T$44,$CU11,AM$57),""))=2,IF(AND(RIGHT(IFERROR(INDEX(醫師週班表!$C$5:$T$44,$CU11,AM$57),""),1)="~",AM$58=1),"",LEFT(IFERROR(INDEX(醫師週班表!$C$5:$T$44,$CU11,AM$57),""),1)),IFERROR(INDEX(醫師週班表!$C$5:$T$44,$CU11,AM$57),""))))))</f>
        <v/>
      </c>
      <c r="AN11" s="68">
        <f>IF(AN$59="X","",IF(AN$59&lt;&gt;"",AN$59,IF(IFERROR(INDEX(醫師週班表!$C$5:$T$44,$CU11,AN$57),"")=0,"",IF(LEN(IFERROR(INDEX(醫師週班表!$C$5:$T$44,$CU11,AN$57),""))=4,MID(IFERROR(INDEX(醫師週班表!$C$5:$T$44,$CU11,AN$57),""),1+AN$58*2,1),IF(LEN(IFERROR(INDEX(醫師週班表!$C$5:$T$44,$CU11,AN$57),""))=2,IF(AND(RIGHT(IFERROR(INDEX(醫師週班表!$C$5:$T$44,$CU11,AN$57),""),1)="~",AN$58=1),"",LEFT(IFERROR(INDEX(醫師週班表!$C$5:$T$44,$CU11,AN$57),""),1)),IFERROR(INDEX(醫師週班表!$C$5:$T$44,$CU11,AN$57),""))))))</f>
        <v/>
      </c>
      <c r="AO11" s="67">
        <f>IF(AO$59="X","",IF(AO$59&lt;&gt;"",AO$59,IF(IFERROR(INDEX(醫師週班表!$C$5:$T$44,$CU11,AO$57),"")=0,"",IF(LEN(IFERROR(INDEX(醫師週班表!$C$5:$T$44,$CU11,AO$57),""))=4,MID(IFERROR(INDEX(醫師週班表!$C$5:$T$44,$CU11,AO$57),""),1+AO$58*2,1),IF(LEN(IFERROR(INDEX(醫師週班表!$C$5:$T$44,$CU11,AO$57),""))=2,IF(AND(RIGHT(IFERROR(INDEX(醫師週班表!$C$5:$T$44,$CU11,AO$57),""),1)="~",AO$58=1),"",LEFT(IFERROR(INDEX(醫師週班表!$C$5:$T$44,$CU11,AO$57),""),1)),IFERROR(INDEX(醫師週班表!$C$5:$T$44,$CU11,AO$57),""))))))</f>
        <v/>
      </c>
      <c r="AP11" s="68">
        <f>IF(AP$59="X","",IF(AP$59&lt;&gt;"",AP$59,IF(IFERROR(INDEX(醫師週班表!$C$5:$T$44,$CU11,AP$57),"")=0,"",IF(LEN(IFERROR(INDEX(醫師週班表!$C$5:$T$44,$CU11,AP$57),""))=4,MID(IFERROR(INDEX(醫師週班表!$C$5:$T$44,$CU11,AP$57),""),1+AP$58*2,1),IF(LEN(IFERROR(INDEX(醫師週班表!$C$5:$T$44,$CU11,AP$57),""))=2,IF(AND(RIGHT(IFERROR(INDEX(醫師週班表!$C$5:$T$44,$CU11,AP$57),""),1)="~",AP$58=1),"",LEFT(IFERROR(INDEX(醫師週班表!$C$5:$T$44,$CU11,AP$57),""),1)),IFERROR(INDEX(醫師週班表!$C$5:$T$44,$CU11,AP$57),""))))))</f>
        <v/>
      </c>
      <c r="AQ11" s="68">
        <f>IF(AQ$59="X","",IF(AQ$59&lt;&gt;"",AQ$59,IF(IFERROR(INDEX(醫師週班表!$C$5:$T$44,$CU11,AQ$57),"")=0,"",IF(LEN(IFERROR(INDEX(醫師週班表!$C$5:$T$44,$CU11,AQ$57),""))=4,MID(IFERROR(INDEX(醫師週班表!$C$5:$T$44,$CU11,AQ$57),""),1+AQ$58*2,1),IF(LEN(IFERROR(INDEX(醫師週班表!$C$5:$T$44,$CU11,AQ$57),""))=2,IF(AND(RIGHT(IFERROR(INDEX(醫師週班表!$C$5:$T$44,$CU11,AQ$57),""),1)="~",AQ$58=1),"",LEFT(IFERROR(INDEX(醫師週班表!$C$5:$T$44,$CU11,AQ$57),""),1)),IFERROR(INDEX(醫師週班表!$C$5:$T$44,$CU11,AQ$57),""))))))</f>
        <v/>
      </c>
      <c r="AR11" s="67">
        <f>IF(AR$59="X","",IF(AR$59&lt;&gt;"",AR$59,IF(IFERROR(INDEX(醫師週班表!$C$5:$T$44,$CU11,AR$57),"")=0,"",IF(LEN(IFERROR(INDEX(醫師週班表!$C$5:$T$44,$CU11,AR$57),""))=4,MID(IFERROR(INDEX(醫師週班表!$C$5:$T$44,$CU11,AR$57),""),1+AR$58*2,1),IF(LEN(IFERROR(INDEX(醫師週班表!$C$5:$T$44,$CU11,AR$57),""))=2,IF(AND(RIGHT(IFERROR(INDEX(醫師週班表!$C$5:$T$44,$CU11,AR$57),""),1)="~",AR$58=1),"",LEFT(IFERROR(INDEX(醫師週班表!$C$5:$T$44,$CU11,AR$57),""),1)),IFERROR(INDEX(醫師週班表!$C$5:$T$44,$CU11,AR$57),""))))))</f>
        <v/>
      </c>
      <c r="AS11" s="68">
        <f>IF(AS$59="X","",IF(AS$59&lt;&gt;"",AS$59,IF(IFERROR(INDEX(醫師週班表!$C$5:$T$44,$CU11,AS$57),"")=0,"",IF(LEN(IFERROR(INDEX(醫師週班表!$C$5:$T$44,$CU11,AS$57),""))=4,MID(IFERROR(INDEX(醫師週班表!$C$5:$T$44,$CU11,AS$57),""),1+AS$58*2,1),IF(LEN(IFERROR(INDEX(醫師週班表!$C$5:$T$44,$CU11,AS$57),""))=2,IF(AND(RIGHT(IFERROR(INDEX(醫師週班表!$C$5:$T$44,$CU11,AS$57),""),1)="~",AS$58=1),"",LEFT(IFERROR(INDEX(醫師週班表!$C$5:$T$44,$CU11,AS$57),""),1)),IFERROR(INDEX(醫師週班表!$C$5:$T$44,$CU11,AS$57),""))))))</f>
        <v/>
      </c>
      <c r="AT11" s="68">
        <f>IF(AT$59="X","",IF(AT$59&lt;&gt;"",AT$59,IF(IFERROR(INDEX(醫師週班表!$C$5:$T$44,$CU11,AT$57),"")=0,"",IF(LEN(IFERROR(INDEX(醫師週班表!$C$5:$T$44,$CU11,AT$57),""))=4,MID(IFERROR(INDEX(醫師週班表!$C$5:$T$44,$CU11,AT$57),""),1+AT$58*2,1),IF(LEN(IFERROR(INDEX(醫師週班表!$C$5:$T$44,$CU11,AT$57),""))=2,IF(AND(RIGHT(IFERROR(INDEX(醫師週班表!$C$5:$T$44,$CU11,AT$57),""),1)="~",AT$58=1),"",LEFT(IFERROR(INDEX(醫師週班表!$C$5:$T$44,$CU11,AT$57),""),1)),IFERROR(INDEX(醫師週班表!$C$5:$T$44,$CU11,AT$57),""))))))</f>
        <v/>
      </c>
      <c r="AU11" s="67">
        <f>IF(AU$59="X","",IF(AU$59&lt;&gt;"",AU$59,IF(IFERROR(INDEX(醫師週班表!$C$5:$T$44,$CU11,AU$57),"")=0,"",IF(LEN(IFERROR(INDEX(醫師週班表!$C$5:$T$44,$CU11,AU$57),""))=4,MID(IFERROR(INDEX(醫師週班表!$C$5:$T$44,$CU11,AU$57),""),1+AU$58*2,1),IF(LEN(IFERROR(INDEX(醫師週班表!$C$5:$T$44,$CU11,AU$57),""))=2,IF(AND(RIGHT(IFERROR(INDEX(醫師週班表!$C$5:$T$44,$CU11,AU$57),""),1)="~",AU$58=1),"",LEFT(IFERROR(INDEX(醫師週班表!$C$5:$T$44,$CU11,AU$57),""),1)),IFERROR(INDEX(醫師週班表!$C$5:$T$44,$CU11,AU$57),""))))))</f>
        <v/>
      </c>
      <c r="AV11" s="68">
        <f>IF(AV$59="X","",IF(AV$59&lt;&gt;"",AV$59,IF(IFERROR(INDEX(醫師週班表!$C$5:$T$44,$CU11,AV$57),"")=0,"",IF(LEN(IFERROR(INDEX(醫師週班表!$C$5:$T$44,$CU11,AV$57),""))=4,MID(IFERROR(INDEX(醫師週班表!$C$5:$T$44,$CU11,AV$57),""),1+AV$58*2,1),IF(LEN(IFERROR(INDEX(醫師週班表!$C$5:$T$44,$CU11,AV$57),""))=2,IF(AND(RIGHT(IFERROR(INDEX(醫師週班表!$C$5:$T$44,$CU11,AV$57),""),1)="~",AV$58=1),"",LEFT(IFERROR(INDEX(醫師週班表!$C$5:$T$44,$CU11,AV$57),""),1)),IFERROR(INDEX(醫師週班表!$C$5:$T$44,$CU11,AV$57),""))))))</f>
        <v/>
      </c>
      <c r="AW11" s="68">
        <f>IF(AW$59="X","",IF(AW$59&lt;&gt;"",AW$59,IF(IFERROR(INDEX(醫師週班表!$C$5:$T$44,$CU11,AW$57),"")=0,"",IF(LEN(IFERROR(INDEX(醫師週班表!$C$5:$T$44,$CU11,AW$57),""))=4,MID(IFERROR(INDEX(醫師週班表!$C$5:$T$44,$CU11,AW$57),""),1+AW$58*2,1),IF(LEN(IFERROR(INDEX(醫師週班表!$C$5:$T$44,$CU11,AW$57),""))=2,IF(AND(RIGHT(IFERROR(INDEX(醫師週班表!$C$5:$T$44,$CU11,AW$57),""),1)="~",AW$58=1),"",LEFT(IFERROR(INDEX(醫師週班表!$C$5:$T$44,$CU11,AW$57),""),1)),IFERROR(INDEX(醫師週班表!$C$5:$T$44,$CU11,AW$57),""))))))</f>
        <v/>
      </c>
      <c r="AX11" s="67">
        <f>IF(AX$59="X","",IF(AX$59&lt;&gt;"",AX$59,IF(IFERROR(INDEX(醫師週班表!$C$5:$T$44,$CU11,AX$57),"")=0,"",IF(LEN(IFERROR(INDEX(醫師週班表!$C$5:$T$44,$CU11,AX$57),""))=4,MID(IFERROR(INDEX(醫師週班表!$C$5:$T$44,$CU11,AX$57),""),1+AX$58*2,1),IF(LEN(IFERROR(INDEX(醫師週班表!$C$5:$T$44,$CU11,AX$57),""))=2,IF(AND(RIGHT(IFERROR(INDEX(醫師週班表!$C$5:$T$44,$CU11,AX$57),""),1)="~",AX$58=1),"",LEFT(IFERROR(INDEX(醫師週班表!$C$5:$T$44,$CU11,AX$57),""),1)),IFERROR(INDEX(醫師週班表!$C$5:$T$44,$CU11,AX$57),""))))))</f>
        <v/>
      </c>
      <c r="AY11" s="68">
        <f>IF(AY$59="X","",IF(AY$59&lt;&gt;"",AY$59,IF(IFERROR(INDEX(醫師週班表!$C$5:$T$44,$CU11,AY$57),"")=0,"",IF(LEN(IFERROR(INDEX(醫師週班表!$C$5:$T$44,$CU11,AY$57),""))=4,MID(IFERROR(INDEX(醫師週班表!$C$5:$T$44,$CU11,AY$57),""),1+AY$58*2,1),IF(LEN(IFERROR(INDEX(醫師週班表!$C$5:$T$44,$CU11,AY$57),""))=2,IF(AND(RIGHT(IFERROR(INDEX(醫師週班表!$C$5:$T$44,$CU11,AY$57),""),1)="~",AY$58=1),"",LEFT(IFERROR(INDEX(醫師週班表!$C$5:$T$44,$CU11,AY$57),""),1)),IFERROR(INDEX(醫師週班表!$C$5:$T$44,$CU11,AY$57),""))))))</f>
        <v/>
      </c>
      <c r="AZ11" s="68">
        <f>IF(AZ$59="X","",IF(AZ$59&lt;&gt;"",AZ$59,IF(IFERROR(INDEX(醫師週班表!$C$5:$T$44,$CU11,AZ$57),"")=0,"",IF(LEN(IFERROR(INDEX(醫師週班表!$C$5:$T$44,$CU11,AZ$57),""))=4,MID(IFERROR(INDEX(醫師週班表!$C$5:$T$44,$CU11,AZ$57),""),1+AZ$58*2,1),IF(LEN(IFERROR(INDEX(醫師週班表!$C$5:$T$44,$CU11,AZ$57),""))=2,IF(AND(RIGHT(IFERROR(INDEX(醫師週班表!$C$5:$T$44,$CU11,AZ$57),""),1)="~",AZ$58=1),"",LEFT(IFERROR(INDEX(醫師週班表!$C$5:$T$44,$CU11,AZ$57),""),1)),IFERROR(INDEX(醫師週班表!$C$5:$T$44,$CU11,AZ$57),""))))))</f>
        <v/>
      </c>
      <c r="BA11" s="67">
        <f>IF(BA$59="X","",IF(BA$59&lt;&gt;"",BA$59,IF(IFERROR(INDEX(醫師週班表!$C$5:$T$44,$CU11,BA$57),"")=0,"",IF(LEN(IFERROR(INDEX(醫師週班表!$C$5:$T$44,$CU11,BA$57),""))=4,MID(IFERROR(INDEX(醫師週班表!$C$5:$T$44,$CU11,BA$57),""),1+BA$58*2,1),IF(LEN(IFERROR(INDEX(醫師週班表!$C$5:$T$44,$CU11,BA$57),""))=2,IF(AND(RIGHT(IFERROR(INDEX(醫師週班表!$C$5:$T$44,$CU11,BA$57),""),1)="~",BA$58=1),"",LEFT(IFERROR(INDEX(醫師週班表!$C$5:$T$44,$CU11,BA$57),""),1)),IFERROR(INDEX(醫師週班表!$C$5:$T$44,$CU11,BA$57),""))))))</f>
        <v/>
      </c>
      <c r="BB11" s="68">
        <f>IF(BB$59="X","",IF(BB$59&lt;&gt;"",BB$59,IF(IFERROR(INDEX(醫師週班表!$C$5:$T$44,$CU11,BB$57),"")=0,"",IF(LEN(IFERROR(INDEX(醫師週班表!$C$5:$T$44,$CU11,BB$57),""))=4,MID(IFERROR(INDEX(醫師週班表!$C$5:$T$44,$CU11,BB$57),""),1+BB$58*2,1),IF(LEN(IFERROR(INDEX(醫師週班表!$C$5:$T$44,$CU11,BB$57),""))=2,IF(AND(RIGHT(IFERROR(INDEX(醫師週班表!$C$5:$T$44,$CU11,BB$57),""),1)="~",BB$58=1),"",LEFT(IFERROR(INDEX(醫師週班表!$C$5:$T$44,$CU11,BB$57),""),1)),IFERROR(INDEX(醫師週班表!$C$5:$T$44,$CU11,BB$57),""))))))</f>
        <v/>
      </c>
      <c r="BC11" s="68">
        <f>IF(BC$59="X","",IF(BC$59&lt;&gt;"",BC$59,IF(IFERROR(INDEX(醫師週班表!$C$5:$T$44,$CU11,BC$57),"")=0,"",IF(LEN(IFERROR(INDEX(醫師週班表!$C$5:$T$44,$CU11,BC$57),""))=4,MID(IFERROR(INDEX(醫師週班表!$C$5:$T$44,$CU11,BC$57),""),1+BC$58*2,1),IF(LEN(IFERROR(INDEX(醫師週班表!$C$5:$T$44,$CU11,BC$57),""))=2,IF(AND(RIGHT(IFERROR(INDEX(醫師週班表!$C$5:$T$44,$CU11,BC$57),""),1)="~",BC$58=1),"",LEFT(IFERROR(INDEX(醫師週班表!$C$5:$T$44,$CU11,BC$57),""),1)),IFERROR(INDEX(醫師週班表!$C$5:$T$44,$CU11,BC$57),""))))))</f>
        <v/>
      </c>
      <c r="BD11" s="67">
        <f>IF(BD$59="X","",IF(BD$59&lt;&gt;"",BD$59,IF(IFERROR(INDEX(醫師週班表!$C$5:$T$44,$CU11,BD$57),"")=0,"",IF(LEN(IFERROR(INDEX(醫師週班表!$C$5:$T$44,$CU11,BD$57),""))=4,MID(IFERROR(INDEX(醫師週班表!$C$5:$T$44,$CU11,BD$57),""),1+BD$58*2,1),IF(LEN(IFERROR(INDEX(醫師週班表!$C$5:$T$44,$CU11,BD$57),""))=2,IF(AND(RIGHT(IFERROR(INDEX(醫師週班表!$C$5:$T$44,$CU11,BD$57),""),1)="~",BD$58=1),"",LEFT(IFERROR(INDEX(醫師週班表!$C$5:$T$44,$CU11,BD$57),""),1)),IFERROR(INDEX(醫師週班表!$C$5:$T$44,$CU11,BD$57),""))))))</f>
        <v/>
      </c>
      <c r="BE11" s="68">
        <f>IF(BE$59="X","",IF(BE$59&lt;&gt;"",BE$59,IF(IFERROR(INDEX(醫師週班表!$C$5:$T$44,$CU11,BE$57),"")=0,"",IF(LEN(IFERROR(INDEX(醫師週班表!$C$5:$T$44,$CU11,BE$57),""))=4,MID(IFERROR(INDEX(醫師週班表!$C$5:$T$44,$CU11,BE$57),""),1+BE$58*2,1),IF(LEN(IFERROR(INDEX(醫師週班表!$C$5:$T$44,$CU11,BE$57),""))=2,IF(AND(RIGHT(IFERROR(INDEX(醫師週班表!$C$5:$T$44,$CU11,BE$57),""),1)="~",BE$58=1),"",LEFT(IFERROR(INDEX(醫師週班表!$C$5:$T$44,$CU11,BE$57),""),1)),IFERROR(INDEX(醫師週班表!$C$5:$T$44,$CU11,BE$57),""))))))</f>
        <v/>
      </c>
      <c r="BF11" s="68">
        <f>IF(BF$59="X","",IF(BF$59&lt;&gt;"",BF$59,IF(IFERROR(INDEX(醫師週班表!$C$5:$T$44,$CU11,BF$57),"")=0,"",IF(LEN(IFERROR(INDEX(醫師週班表!$C$5:$T$44,$CU11,BF$57),""))=4,MID(IFERROR(INDEX(醫師週班表!$C$5:$T$44,$CU11,BF$57),""),1+BF$58*2,1),IF(LEN(IFERROR(INDEX(醫師週班表!$C$5:$T$44,$CU11,BF$57),""))=2,IF(AND(RIGHT(IFERROR(INDEX(醫師週班表!$C$5:$T$44,$CU11,BF$57),""),1)="~",BF$58=1),"",LEFT(IFERROR(INDEX(醫師週班表!$C$5:$T$44,$CU11,BF$57),""),1)),IFERROR(INDEX(醫師週班表!$C$5:$T$44,$CU11,BF$57),""))))))</f>
        <v/>
      </c>
      <c r="BG11" s="67">
        <f>IF(BG$59="X","",IF(BG$59&lt;&gt;"",BG$59,IF(IFERROR(INDEX(醫師週班表!$C$5:$T$44,$CU11,BG$57),"")=0,"",IF(LEN(IFERROR(INDEX(醫師週班表!$C$5:$T$44,$CU11,BG$57),""))=4,MID(IFERROR(INDEX(醫師週班表!$C$5:$T$44,$CU11,BG$57),""),1+BG$58*2,1),IF(LEN(IFERROR(INDEX(醫師週班表!$C$5:$T$44,$CU11,BG$57),""))=2,IF(AND(RIGHT(IFERROR(INDEX(醫師週班表!$C$5:$T$44,$CU11,BG$57),""),1)="~",BG$58=1),"",LEFT(IFERROR(INDEX(醫師週班表!$C$5:$T$44,$CU11,BG$57),""),1)),IFERROR(INDEX(醫師週班表!$C$5:$T$44,$CU11,BG$57),""))))))</f>
        <v/>
      </c>
      <c r="BH11" s="68">
        <f>IF(BH$59="X","",IF(BH$59&lt;&gt;"",BH$59,IF(IFERROR(INDEX(醫師週班表!$C$5:$T$44,$CU11,BH$57),"")=0,"",IF(LEN(IFERROR(INDEX(醫師週班表!$C$5:$T$44,$CU11,BH$57),""))=4,MID(IFERROR(INDEX(醫師週班表!$C$5:$T$44,$CU11,BH$57),""),1+BH$58*2,1),IF(LEN(IFERROR(INDEX(醫師週班表!$C$5:$T$44,$CU11,BH$57),""))=2,IF(AND(RIGHT(IFERROR(INDEX(醫師週班表!$C$5:$T$44,$CU11,BH$57),""),1)="~",BH$58=1),"",LEFT(IFERROR(INDEX(醫師週班表!$C$5:$T$44,$CU11,BH$57),""),1)),IFERROR(INDEX(醫師週班表!$C$5:$T$44,$CU11,BH$57),""))))))</f>
        <v/>
      </c>
      <c r="BI11" s="68">
        <f>IF(BI$59="X","",IF(BI$59&lt;&gt;"",BI$59,IF(IFERROR(INDEX(醫師週班表!$C$5:$T$44,$CU11,BI$57),"")=0,"",IF(LEN(IFERROR(INDEX(醫師週班表!$C$5:$T$44,$CU11,BI$57),""))=4,MID(IFERROR(INDEX(醫師週班表!$C$5:$T$44,$CU11,BI$57),""),1+BI$58*2,1),IF(LEN(IFERROR(INDEX(醫師週班表!$C$5:$T$44,$CU11,BI$57),""))=2,IF(AND(RIGHT(IFERROR(INDEX(醫師週班表!$C$5:$T$44,$CU11,BI$57),""),1)="~",BI$58=1),"",LEFT(IFERROR(INDEX(醫師週班表!$C$5:$T$44,$CU11,BI$57),""),1)),IFERROR(INDEX(醫師週班表!$C$5:$T$44,$CU11,BI$57),""))))))</f>
        <v/>
      </c>
      <c r="BJ11" s="67">
        <f>IF(BJ$59="X","",IF(BJ$59&lt;&gt;"",BJ$59,IF(IFERROR(INDEX(醫師週班表!$C$5:$T$44,$CU11,BJ$57),"")=0,"",IF(LEN(IFERROR(INDEX(醫師週班表!$C$5:$T$44,$CU11,BJ$57),""))=4,MID(IFERROR(INDEX(醫師週班表!$C$5:$T$44,$CU11,BJ$57),""),1+BJ$58*2,1),IF(LEN(IFERROR(INDEX(醫師週班表!$C$5:$T$44,$CU11,BJ$57),""))=2,IF(AND(RIGHT(IFERROR(INDEX(醫師週班表!$C$5:$T$44,$CU11,BJ$57),""),1)="~",BJ$58=1),"",LEFT(IFERROR(INDEX(醫師週班表!$C$5:$T$44,$CU11,BJ$57),""),1)),IFERROR(INDEX(醫師週班表!$C$5:$T$44,$CU11,BJ$57),""))))))</f>
        <v/>
      </c>
      <c r="BK11" s="68">
        <f>IF(BK$59="X","",IF(BK$59&lt;&gt;"",BK$59,IF(IFERROR(INDEX(醫師週班表!$C$5:$T$44,$CU11,BK$57),"")=0,"",IF(LEN(IFERROR(INDEX(醫師週班表!$C$5:$T$44,$CU11,BK$57),""))=4,MID(IFERROR(INDEX(醫師週班表!$C$5:$T$44,$CU11,BK$57),""),1+BK$58*2,1),IF(LEN(IFERROR(INDEX(醫師週班表!$C$5:$T$44,$CU11,BK$57),""))=2,IF(AND(RIGHT(IFERROR(INDEX(醫師週班表!$C$5:$T$44,$CU11,BK$57),""),1)="~",BK$58=1),"",LEFT(IFERROR(INDEX(醫師週班表!$C$5:$T$44,$CU11,BK$57),""),1)),IFERROR(INDEX(醫師週班表!$C$5:$T$44,$CU11,BK$57),""))))))</f>
        <v/>
      </c>
      <c r="BL11" s="68">
        <f>IF(BL$59="X","",IF(BL$59&lt;&gt;"",BL$59,IF(IFERROR(INDEX(醫師週班表!$C$5:$T$44,$CU11,BL$57),"")=0,"",IF(LEN(IFERROR(INDEX(醫師週班表!$C$5:$T$44,$CU11,BL$57),""))=4,MID(IFERROR(INDEX(醫師週班表!$C$5:$T$44,$CU11,BL$57),""),1+BL$58*2,1),IF(LEN(IFERROR(INDEX(醫師週班表!$C$5:$T$44,$CU11,BL$57),""))=2,IF(AND(RIGHT(IFERROR(INDEX(醫師週班表!$C$5:$T$44,$CU11,BL$57),""),1)="~",BL$58=1),"",LEFT(IFERROR(INDEX(醫師週班表!$C$5:$T$44,$CU11,BL$57),""),1)),IFERROR(INDEX(醫師週班表!$C$5:$T$44,$CU11,BL$57),""))))))</f>
        <v/>
      </c>
      <c r="BM11" s="67">
        <f>IF(BM$59="X","",IF(BM$59&lt;&gt;"",BM$59,IF(IFERROR(INDEX(醫師週班表!$C$5:$T$44,$CU11,BM$57),"")=0,"",IF(LEN(IFERROR(INDEX(醫師週班表!$C$5:$T$44,$CU11,BM$57),""))=4,MID(IFERROR(INDEX(醫師週班表!$C$5:$T$44,$CU11,BM$57),""),1+BM$58*2,1),IF(LEN(IFERROR(INDEX(醫師週班表!$C$5:$T$44,$CU11,BM$57),""))=2,IF(AND(RIGHT(IFERROR(INDEX(醫師週班表!$C$5:$T$44,$CU11,BM$57),""),1)="~",BM$58=1),"",LEFT(IFERROR(INDEX(醫師週班表!$C$5:$T$44,$CU11,BM$57),""),1)),IFERROR(INDEX(醫師週班表!$C$5:$T$44,$CU11,BM$57),""))))))</f>
        <v/>
      </c>
      <c r="BN11" s="68">
        <f>IF(BN$59="X","",IF(BN$59&lt;&gt;"",BN$59,IF(IFERROR(INDEX(醫師週班表!$C$5:$T$44,$CU11,BN$57),"")=0,"",IF(LEN(IFERROR(INDEX(醫師週班表!$C$5:$T$44,$CU11,BN$57),""))=4,MID(IFERROR(INDEX(醫師週班表!$C$5:$T$44,$CU11,BN$57),""),1+BN$58*2,1),IF(LEN(IFERROR(INDEX(醫師週班表!$C$5:$T$44,$CU11,BN$57),""))=2,IF(AND(RIGHT(IFERROR(INDEX(醫師週班表!$C$5:$T$44,$CU11,BN$57),""),1)="~",BN$58=1),"",LEFT(IFERROR(INDEX(醫師週班表!$C$5:$T$44,$CU11,BN$57),""),1)),IFERROR(INDEX(醫師週班表!$C$5:$T$44,$CU11,BN$57),""))))))</f>
        <v/>
      </c>
      <c r="BO11" s="68">
        <f>IF(BO$59="X","",IF(BO$59&lt;&gt;"",BO$59,IF(IFERROR(INDEX(醫師週班表!$C$5:$T$44,$CU11,BO$57),"")=0,"",IF(LEN(IFERROR(INDEX(醫師週班表!$C$5:$T$44,$CU11,BO$57),""))=4,MID(IFERROR(INDEX(醫師週班表!$C$5:$T$44,$CU11,BO$57),""),1+BO$58*2,1),IF(LEN(IFERROR(INDEX(醫師週班表!$C$5:$T$44,$CU11,BO$57),""))=2,IF(AND(RIGHT(IFERROR(INDEX(醫師週班表!$C$5:$T$44,$CU11,BO$57),""),1)="~",BO$58=1),"",LEFT(IFERROR(INDEX(醫師週班表!$C$5:$T$44,$CU11,BO$57),""),1)),IFERROR(INDEX(醫師週班表!$C$5:$T$44,$CU11,BO$57),""))))))</f>
        <v/>
      </c>
      <c r="BP11" s="67">
        <f>IF(BP$59="X","",IF(BP$59&lt;&gt;"",BP$59,IF(IFERROR(INDEX(醫師週班表!$C$5:$T$44,$CU11,BP$57),"")=0,"",IF(LEN(IFERROR(INDEX(醫師週班表!$C$5:$T$44,$CU11,BP$57),""))=4,MID(IFERROR(INDEX(醫師週班表!$C$5:$T$44,$CU11,BP$57),""),1+BP$58*2,1),IF(LEN(IFERROR(INDEX(醫師週班表!$C$5:$T$44,$CU11,BP$57),""))=2,IF(AND(RIGHT(IFERROR(INDEX(醫師週班表!$C$5:$T$44,$CU11,BP$57),""),1)="~",BP$58=1),"",LEFT(IFERROR(INDEX(醫師週班表!$C$5:$T$44,$CU11,BP$57),""),1)),IFERROR(INDEX(醫師週班表!$C$5:$T$44,$CU11,BP$57),""))))))</f>
        <v/>
      </c>
      <c r="BQ11" s="68">
        <f>IF(BQ$59="X","",IF(BQ$59&lt;&gt;"",BQ$59,IF(IFERROR(INDEX(醫師週班表!$C$5:$T$44,$CU11,BQ$57),"")=0,"",IF(LEN(IFERROR(INDEX(醫師週班表!$C$5:$T$44,$CU11,BQ$57),""))=4,MID(IFERROR(INDEX(醫師週班表!$C$5:$T$44,$CU11,BQ$57),""),1+BQ$58*2,1),IF(LEN(IFERROR(INDEX(醫師週班表!$C$5:$T$44,$CU11,BQ$57),""))=2,IF(AND(RIGHT(IFERROR(INDEX(醫師週班表!$C$5:$T$44,$CU11,BQ$57),""),1)="~",BQ$58=1),"",LEFT(IFERROR(INDEX(醫師週班表!$C$5:$T$44,$CU11,BQ$57),""),1)),IFERROR(INDEX(醫師週班表!$C$5:$T$44,$CU11,BQ$57),""))))))</f>
        <v/>
      </c>
      <c r="BR11" s="68">
        <f>IF(BR$59="X","",IF(BR$59&lt;&gt;"",BR$59,IF(IFERROR(INDEX(醫師週班表!$C$5:$T$44,$CU11,BR$57),"")=0,"",IF(LEN(IFERROR(INDEX(醫師週班表!$C$5:$T$44,$CU11,BR$57),""))=4,MID(IFERROR(INDEX(醫師週班表!$C$5:$T$44,$CU11,BR$57),""),1+BR$58*2,1),IF(LEN(IFERROR(INDEX(醫師週班表!$C$5:$T$44,$CU11,BR$57),""))=2,IF(AND(RIGHT(IFERROR(INDEX(醫師週班表!$C$5:$T$44,$CU11,BR$57),""),1)="~",BR$58=1),"",LEFT(IFERROR(INDEX(醫師週班表!$C$5:$T$44,$CU11,BR$57),""),1)),IFERROR(INDEX(醫師週班表!$C$5:$T$44,$CU11,BR$57),""))))))</f>
        <v/>
      </c>
      <c r="BS11" s="67">
        <f>IF(BS$59="X","",IF(BS$59&lt;&gt;"",BS$59,IF(IFERROR(INDEX(醫師週班表!$C$5:$T$44,$CU11,BS$57),"")=0,"",IF(LEN(IFERROR(INDEX(醫師週班表!$C$5:$T$44,$CU11,BS$57),""))=4,MID(IFERROR(INDEX(醫師週班表!$C$5:$T$44,$CU11,BS$57),""),1+BS$58*2,1),IF(LEN(IFERROR(INDEX(醫師週班表!$C$5:$T$44,$CU11,BS$57),""))=2,IF(AND(RIGHT(IFERROR(INDEX(醫師週班表!$C$5:$T$44,$CU11,BS$57),""),1)="~",BS$58=1),"",LEFT(IFERROR(INDEX(醫師週班表!$C$5:$T$44,$CU11,BS$57),""),1)),IFERROR(INDEX(醫師週班表!$C$5:$T$44,$CU11,BS$57),""))))))</f>
        <v/>
      </c>
      <c r="BT11" s="68">
        <f>IF(BT$59="X","",IF(BT$59&lt;&gt;"",BT$59,IF(IFERROR(INDEX(醫師週班表!$C$5:$T$44,$CU11,BT$57),"")=0,"",IF(LEN(IFERROR(INDEX(醫師週班表!$C$5:$T$44,$CU11,BT$57),""))=4,MID(IFERROR(INDEX(醫師週班表!$C$5:$T$44,$CU11,BT$57),""),1+BT$58*2,1),IF(LEN(IFERROR(INDEX(醫師週班表!$C$5:$T$44,$CU11,BT$57),""))=2,IF(AND(RIGHT(IFERROR(INDEX(醫師週班表!$C$5:$T$44,$CU11,BT$57),""),1)="~",BT$58=1),"",LEFT(IFERROR(INDEX(醫師週班表!$C$5:$T$44,$CU11,BT$57),""),1)),IFERROR(INDEX(醫師週班表!$C$5:$T$44,$CU11,BT$57),""))))))</f>
        <v/>
      </c>
      <c r="BU11" s="68">
        <f>IF(BU$59="X","",IF(BU$59&lt;&gt;"",BU$59,IF(IFERROR(INDEX(醫師週班表!$C$5:$T$44,$CU11,BU$57),"")=0,"",IF(LEN(IFERROR(INDEX(醫師週班表!$C$5:$T$44,$CU11,BU$57),""))=4,MID(IFERROR(INDEX(醫師週班表!$C$5:$T$44,$CU11,BU$57),""),1+BU$58*2,1),IF(LEN(IFERROR(INDEX(醫師週班表!$C$5:$T$44,$CU11,BU$57),""))=2,IF(AND(RIGHT(IFERROR(INDEX(醫師週班表!$C$5:$T$44,$CU11,BU$57),""),1)="~",BU$58=1),"",LEFT(IFERROR(INDEX(醫師週班表!$C$5:$T$44,$CU11,BU$57),""),1)),IFERROR(INDEX(醫師週班表!$C$5:$T$44,$CU11,BU$57),""))))))</f>
        <v/>
      </c>
      <c r="BV11" s="67">
        <f>IF(BV$59="X","",IF(BV$59&lt;&gt;"",BV$59,IF(IFERROR(INDEX(醫師週班表!$C$5:$T$44,$CU11,BV$57),"")=0,"",IF(LEN(IFERROR(INDEX(醫師週班表!$C$5:$T$44,$CU11,BV$57),""))=4,MID(IFERROR(INDEX(醫師週班表!$C$5:$T$44,$CU11,BV$57),""),1+BV$58*2,1),IF(LEN(IFERROR(INDEX(醫師週班表!$C$5:$T$44,$CU11,BV$57),""))=2,IF(AND(RIGHT(IFERROR(INDEX(醫師週班表!$C$5:$T$44,$CU11,BV$57),""),1)="~",BV$58=1),"",LEFT(IFERROR(INDEX(醫師週班表!$C$5:$T$44,$CU11,BV$57),""),1)),IFERROR(INDEX(醫師週班表!$C$5:$T$44,$CU11,BV$57),""))))))</f>
        <v/>
      </c>
      <c r="BW11" s="68">
        <f>IF(BW$59="X","",IF(BW$59&lt;&gt;"",BW$59,IF(IFERROR(INDEX(醫師週班表!$C$5:$T$44,$CU11,BW$57),"")=0,"",IF(LEN(IFERROR(INDEX(醫師週班表!$C$5:$T$44,$CU11,BW$57),""))=4,MID(IFERROR(INDEX(醫師週班表!$C$5:$T$44,$CU11,BW$57),""),1+BW$58*2,1),IF(LEN(IFERROR(INDEX(醫師週班表!$C$5:$T$44,$CU11,BW$57),""))=2,IF(AND(RIGHT(IFERROR(INDEX(醫師週班表!$C$5:$T$44,$CU11,BW$57),""),1)="~",BW$58=1),"",LEFT(IFERROR(INDEX(醫師週班表!$C$5:$T$44,$CU11,BW$57),""),1)),IFERROR(INDEX(醫師週班表!$C$5:$T$44,$CU11,BW$57),""))))))</f>
        <v/>
      </c>
      <c r="BX11" s="68">
        <f>IF(BX$59="X","",IF(BX$59&lt;&gt;"",BX$59,IF(IFERROR(INDEX(醫師週班表!$C$5:$T$44,$CU11,BX$57),"")=0,"",IF(LEN(IFERROR(INDEX(醫師週班表!$C$5:$T$44,$CU11,BX$57),""))=4,MID(IFERROR(INDEX(醫師週班表!$C$5:$T$44,$CU11,BX$57),""),1+BX$58*2,1),IF(LEN(IFERROR(INDEX(醫師週班表!$C$5:$T$44,$CU11,BX$57),""))=2,IF(AND(RIGHT(IFERROR(INDEX(醫師週班表!$C$5:$T$44,$CU11,BX$57),""),1)="~",BX$58=1),"",LEFT(IFERROR(INDEX(醫師週班表!$C$5:$T$44,$CU11,BX$57),""),1)),IFERROR(INDEX(醫師週班表!$C$5:$T$44,$CU11,BX$57),""))))))</f>
        <v/>
      </c>
      <c r="BY11" s="67">
        <f>IF(BY$59="X","",IF(BY$59&lt;&gt;"",BY$59,IF(IFERROR(INDEX(醫師週班表!$C$5:$T$44,$CU11,BY$57),"")=0,"",IF(LEN(IFERROR(INDEX(醫師週班表!$C$5:$T$44,$CU11,BY$57),""))=4,MID(IFERROR(INDEX(醫師週班表!$C$5:$T$44,$CU11,BY$57),""),1+BY$58*2,1),IF(LEN(IFERROR(INDEX(醫師週班表!$C$5:$T$44,$CU11,BY$57),""))=2,IF(AND(RIGHT(IFERROR(INDEX(醫師週班表!$C$5:$T$44,$CU11,BY$57),""),1)="~",BY$58=1),"",LEFT(IFERROR(INDEX(醫師週班表!$C$5:$T$44,$CU11,BY$57),""),1)),IFERROR(INDEX(醫師週班表!$C$5:$T$44,$CU11,BY$57),""))))))</f>
        <v/>
      </c>
      <c r="BZ11" s="68">
        <f>IF(BZ$59="X","",IF(BZ$59&lt;&gt;"",BZ$59,IF(IFERROR(INDEX(醫師週班表!$C$5:$T$44,$CU11,BZ$57),"")=0,"",IF(LEN(IFERROR(INDEX(醫師週班表!$C$5:$T$44,$CU11,BZ$57),""))=4,MID(IFERROR(INDEX(醫師週班表!$C$5:$T$44,$CU11,BZ$57),""),1+BZ$58*2,1),IF(LEN(IFERROR(INDEX(醫師週班表!$C$5:$T$44,$CU11,BZ$57),""))=2,IF(AND(RIGHT(IFERROR(INDEX(醫師週班表!$C$5:$T$44,$CU11,BZ$57),""),1)="~",BZ$58=1),"",LEFT(IFERROR(INDEX(醫師週班表!$C$5:$T$44,$CU11,BZ$57),""),1)),IFERROR(INDEX(醫師週班表!$C$5:$T$44,$CU11,BZ$57),""))))))</f>
        <v/>
      </c>
      <c r="CA11" s="68">
        <f>IF(CA$59="X","",IF(CA$59&lt;&gt;"",CA$59,IF(IFERROR(INDEX(醫師週班表!$C$5:$T$44,$CU11,CA$57),"")=0,"",IF(LEN(IFERROR(INDEX(醫師週班表!$C$5:$T$44,$CU11,CA$57),""))=4,MID(IFERROR(INDEX(醫師週班表!$C$5:$T$44,$CU11,CA$57),""),1+CA$58*2,1),IF(LEN(IFERROR(INDEX(醫師週班表!$C$5:$T$44,$CU11,CA$57),""))=2,IF(AND(RIGHT(IFERROR(INDEX(醫師週班表!$C$5:$T$44,$CU11,CA$57),""),1)="~",CA$58=1),"",LEFT(IFERROR(INDEX(醫師週班表!$C$5:$T$44,$CU11,CA$57),""),1)),IFERROR(INDEX(醫師週班表!$C$5:$T$44,$CU11,CA$57),""))))))</f>
        <v/>
      </c>
      <c r="CB11" s="67">
        <f>IF(CB$59="X","",IF(CB$59&lt;&gt;"",CB$59,IF(IFERROR(INDEX(醫師週班表!$C$5:$T$44,$CU11,CB$57),"")=0,"",IF(LEN(IFERROR(INDEX(醫師週班表!$C$5:$T$44,$CU11,CB$57),""))=4,MID(IFERROR(INDEX(醫師週班表!$C$5:$T$44,$CU11,CB$57),""),1+CB$58*2,1),IF(LEN(IFERROR(INDEX(醫師週班表!$C$5:$T$44,$CU11,CB$57),""))=2,IF(AND(RIGHT(IFERROR(INDEX(醫師週班表!$C$5:$T$44,$CU11,CB$57),""),1)="~",CB$58=1),"",LEFT(IFERROR(INDEX(醫師週班表!$C$5:$T$44,$CU11,CB$57),""),1)),IFERROR(INDEX(醫師週班表!$C$5:$T$44,$CU11,CB$57),""))))))</f>
        <v/>
      </c>
      <c r="CC11" s="68">
        <f>IF(CC$59="X","",IF(CC$59&lt;&gt;"",CC$59,IF(IFERROR(INDEX(醫師週班表!$C$5:$T$44,$CU11,CC$57),"")=0,"",IF(LEN(IFERROR(INDEX(醫師週班表!$C$5:$T$44,$CU11,CC$57),""))=4,MID(IFERROR(INDEX(醫師週班表!$C$5:$T$44,$CU11,CC$57),""),1+CC$58*2,1),IF(LEN(IFERROR(INDEX(醫師週班表!$C$5:$T$44,$CU11,CC$57),""))=2,IF(AND(RIGHT(IFERROR(INDEX(醫師週班表!$C$5:$T$44,$CU11,CC$57),""),1)="~",CC$58=1),"",LEFT(IFERROR(INDEX(醫師週班表!$C$5:$T$44,$CU11,CC$57),""),1)),IFERROR(INDEX(醫師週班表!$C$5:$T$44,$CU11,CC$57),""))))))</f>
        <v/>
      </c>
      <c r="CD11" s="68">
        <f>IF(CD$59="X","",IF(CD$59&lt;&gt;"",CD$59,IF(IFERROR(INDEX(醫師週班表!$C$5:$T$44,$CU11,CD$57),"")=0,"",IF(LEN(IFERROR(INDEX(醫師週班表!$C$5:$T$44,$CU11,CD$57),""))=4,MID(IFERROR(INDEX(醫師週班表!$C$5:$T$44,$CU11,CD$57),""),1+CD$58*2,1),IF(LEN(IFERROR(INDEX(醫師週班表!$C$5:$T$44,$CU11,CD$57),""))=2,IF(AND(RIGHT(IFERROR(INDEX(醫師週班表!$C$5:$T$44,$CU11,CD$57),""),1)="~",CD$58=1),"",LEFT(IFERROR(INDEX(醫師週班表!$C$5:$T$44,$CU11,CD$57),""),1)),IFERROR(INDEX(醫師週班表!$C$5:$T$44,$CU11,CD$57),""))))))</f>
        <v/>
      </c>
      <c r="CE11" s="67">
        <f>IF(CE$59="X","",IF(CE$59&lt;&gt;"",CE$59,IF(IFERROR(INDEX(醫師週班表!$C$5:$T$44,$CU11,CE$57),"")=0,"",IF(LEN(IFERROR(INDEX(醫師週班表!$C$5:$T$44,$CU11,CE$57),""))=4,MID(IFERROR(INDEX(醫師週班表!$C$5:$T$44,$CU11,CE$57),""),1+CE$58*2,1),IF(LEN(IFERROR(INDEX(醫師週班表!$C$5:$T$44,$CU11,CE$57),""))=2,IF(AND(RIGHT(IFERROR(INDEX(醫師週班表!$C$5:$T$44,$CU11,CE$57),""),1)="~",CE$58=1),"",LEFT(IFERROR(INDEX(醫師週班表!$C$5:$T$44,$CU11,CE$57),""),1)),IFERROR(INDEX(醫師週班表!$C$5:$T$44,$CU11,CE$57),""))))))</f>
        <v/>
      </c>
      <c r="CF11" s="68">
        <f>IF(CF$59="X","",IF(CF$59&lt;&gt;"",CF$59,IF(IFERROR(INDEX(醫師週班表!$C$5:$T$44,$CU11,CF$57),"")=0,"",IF(LEN(IFERROR(INDEX(醫師週班表!$C$5:$T$44,$CU11,CF$57),""))=4,MID(IFERROR(INDEX(醫師週班表!$C$5:$T$44,$CU11,CF$57),""),1+CF$58*2,1),IF(LEN(IFERROR(INDEX(醫師週班表!$C$5:$T$44,$CU11,CF$57),""))=2,IF(AND(RIGHT(IFERROR(INDEX(醫師週班表!$C$5:$T$44,$CU11,CF$57),""),1)="~",CF$58=1),"",LEFT(IFERROR(INDEX(醫師週班表!$C$5:$T$44,$CU11,CF$57),""),1)),IFERROR(INDEX(醫師週班表!$C$5:$T$44,$CU11,CF$57),""))))))</f>
        <v/>
      </c>
      <c r="CG11" s="68">
        <f>IF(CG$59="X","",IF(CG$59&lt;&gt;"",CG$59,IF(IFERROR(INDEX(醫師週班表!$C$5:$T$44,$CU11,CG$57),"")=0,"",IF(LEN(IFERROR(INDEX(醫師週班表!$C$5:$T$44,$CU11,CG$57),""))=4,MID(IFERROR(INDEX(醫師週班表!$C$5:$T$44,$CU11,CG$57),""),1+CG$58*2,1),IF(LEN(IFERROR(INDEX(醫師週班表!$C$5:$T$44,$CU11,CG$57),""))=2,IF(AND(RIGHT(IFERROR(INDEX(醫師週班表!$C$5:$T$44,$CU11,CG$57),""),1)="~",CG$58=1),"",LEFT(IFERROR(INDEX(醫師週班表!$C$5:$T$44,$CU11,CG$57),""),1)),IFERROR(INDEX(醫師週班表!$C$5:$T$44,$CU11,CG$57),""))))))</f>
        <v/>
      </c>
      <c r="CH11" s="67">
        <f>IF(CH$59="X","",IF(CH$59&lt;&gt;"",CH$59,IF(IFERROR(INDEX(醫師週班表!$C$5:$T$44,$CU11,CH$57),"")=0,"",IF(LEN(IFERROR(INDEX(醫師週班表!$C$5:$T$44,$CU11,CH$57),""))=4,MID(IFERROR(INDEX(醫師週班表!$C$5:$T$44,$CU11,CH$57),""),1+CH$58*2,1),IF(LEN(IFERROR(INDEX(醫師週班表!$C$5:$T$44,$CU11,CH$57),""))=2,IF(AND(RIGHT(IFERROR(INDEX(醫師週班表!$C$5:$T$44,$CU11,CH$57),""),1)="~",CH$58=1),"",LEFT(IFERROR(INDEX(醫師週班表!$C$5:$T$44,$CU11,CH$57),""),1)),IFERROR(INDEX(醫師週班表!$C$5:$T$44,$CU11,CH$57),""))))))</f>
        <v/>
      </c>
      <c r="CI11" s="68">
        <f>IF(CI$59="X","",IF(CI$59&lt;&gt;"",CI$59,IF(IFERROR(INDEX(醫師週班表!$C$5:$T$44,$CU11,CI$57),"")=0,"",IF(LEN(IFERROR(INDEX(醫師週班表!$C$5:$T$44,$CU11,CI$57),""))=4,MID(IFERROR(INDEX(醫師週班表!$C$5:$T$44,$CU11,CI$57),""),1+CI$58*2,1),IF(LEN(IFERROR(INDEX(醫師週班表!$C$5:$T$44,$CU11,CI$57),""))=2,IF(AND(RIGHT(IFERROR(INDEX(醫師週班表!$C$5:$T$44,$CU11,CI$57),""),1)="~",CI$58=1),"",LEFT(IFERROR(INDEX(醫師週班表!$C$5:$T$44,$CU11,CI$57),""),1)),IFERROR(INDEX(醫師週班表!$C$5:$T$44,$CU11,CI$57),""))))))</f>
        <v/>
      </c>
      <c r="CJ11" s="68">
        <f>IF(CJ$59="X","",IF(CJ$59&lt;&gt;"",CJ$59,IF(IFERROR(INDEX(醫師週班表!$C$5:$T$44,$CU11,CJ$57),"")=0,"",IF(LEN(IFERROR(INDEX(醫師週班表!$C$5:$T$44,$CU11,CJ$57),""))=4,MID(IFERROR(INDEX(醫師週班表!$C$5:$T$44,$CU11,CJ$57),""),1+CJ$58*2,1),IF(LEN(IFERROR(INDEX(醫師週班表!$C$5:$T$44,$CU11,CJ$57),""))=2,IF(AND(RIGHT(IFERROR(INDEX(醫師週班表!$C$5:$T$44,$CU11,CJ$57),""),1)="~",CJ$58=1),"",LEFT(IFERROR(INDEX(醫師週班表!$C$5:$T$44,$CU11,CJ$57),""),1)),IFERROR(INDEX(醫師週班表!$C$5:$T$44,$CU11,CJ$57),""))))))</f>
        <v/>
      </c>
      <c r="CK11" s="67">
        <f>IF(CK$59="X","",IF(CK$59&lt;&gt;"",CK$59,IF(IFERROR(INDEX(醫師週班表!$C$5:$T$44,$CU11,CK$57),"")=0,"",IF(LEN(IFERROR(INDEX(醫師週班表!$C$5:$T$44,$CU11,CK$57),""))=4,MID(IFERROR(INDEX(醫師週班表!$C$5:$T$44,$CU11,CK$57),""),1+CK$58*2,1),IF(LEN(IFERROR(INDEX(醫師週班表!$C$5:$T$44,$CU11,CK$57),""))=2,IF(AND(RIGHT(IFERROR(INDEX(醫師週班表!$C$5:$T$44,$CU11,CK$57),""),1)="~",CK$58=1),"",LEFT(IFERROR(INDEX(醫師週班表!$C$5:$T$44,$CU11,CK$57),""),1)),IFERROR(INDEX(醫師週班表!$C$5:$T$44,$CU11,CK$57),""))))))</f>
        <v/>
      </c>
      <c r="CL11" s="68">
        <f>IF(CL$59="X","",IF(CL$59&lt;&gt;"",CL$59,IF(IFERROR(INDEX(醫師週班表!$C$5:$T$44,$CU11,CL$57),"")=0,"",IF(LEN(IFERROR(INDEX(醫師週班表!$C$5:$T$44,$CU11,CL$57),""))=4,MID(IFERROR(INDEX(醫師週班表!$C$5:$T$44,$CU11,CL$57),""),1+CL$58*2,1),IF(LEN(IFERROR(INDEX(醫師週班表!$C$5:$T$44,$CU11,CL$57),""))=2,IF(AND(RIGHT(IFERROR(INDEX(醫師週班表!$C$5:$T$44,$CU11,CL$57),""),1)="~",CL$58=1),"",LEFT(IFERROR(INDEX(醫師週班表!$C$5:$T$44,$CU11,CL$57),""),1)),IFERROR(INDEX(醫師週班表!$C$5:$T$44,$CU11,CL$57),""))))))</f>
        <v/>
      </c>
      <c r="CM11" s="68">
        <f>IF(CM$59="X","",IF(CM$59&lt;&gt;"",CM$59,IF(IFERROR(INDEX(醫師週班表!$C$5:$T$44,$CU11,CM$57),"")=0,"",IF(LEN(IFERROR(INDEX(醫師週班表!$C$5:$T$44,$CU11,CM$57),""))=4,MID(IFERROR(INDEX(醫師週班表!$C$5:$T$44,$CU11,CM$57),""),1+CM$58*2,1),IF(LEN(IFERROR(INDEX(醫師週班表!$C$5:$T$44,$CU11,CM$57),""))=2,IF(AND(RIGHT(IFERROR(INDEX(醫師週班表!$C$5:$T$44,$CU11,CM$57),""),1)="~",CM$58=1),"",LEFT(IFERROR(INDEX(醫師週班表!$C$5:$T$44,$CU11,CM$57),""),1)),IFERROR(INDEX(醫師週班表!$C$5:$T$44,$CU11,CM$57),""))))))</f>
        <v/>
      </c>
      <c r="CN11" s="67">
        <f>IF(CN$59="X","",IF(CN$59&lt;&gt;"",CN$59,IF(IFERROR(INDEX(醫師週班表!$C$5:$T$44,$CU11,CN$57),"")=0,"",IF(LEN(IFERROR(INDEX(醫師週班表!$C$5:$T$44,$CU11,CN$57),""))=4,MID(IFERROR(INDEX(醫師週班表!$C$5:$T$44,$CU11,CN$57),""),1+CN$58*2,1),IF(LEN(IFERROR(INDEX(醫師週班表!$C$5:$T$44,$CU11,CN$57),""))=2,IF(AND(RIGHT(IFERROR(INDEX(醫師週班表!$C$5:$T$44,$CU11,CN$57),""),1)="~",CN$58=1),"",LEFT(IFERROR(INDEX(醫師週班表!$C$5:$T$44,$CU11,CN$57),""),1)),IFERROR(INDEX(醫師週班表!$C$5:$T$44,$CU11,CN$57),""))))))</f>
        <v/>
      </c>
      <c r="CO11" s="68">
        <f>IF(CO$59="X","",IF(CO$59&lt;&gt;"",CO$59,IF(IFERROR(INDEX(醫師週班表!$C$5:$T$44,$CU11,CO$57),"")=0,"",IF(LEN(IFERROR(INDEX(醫師週班表!$C$5:$T$44,$CU11,CO$57),""))=4,MID(IFERROR(INDEX(醫師週班表!$C$5:$T$44,$CU11,CO$57),""),1+CO$58*2,1),IF(LEN(IFERROR(INDEX(醫師週班表!$C$5:$T$44,$CU11,CO$57),""))=2,IF(AND(RIGHT(IFERROR(INDEX(醫師週班表!$C$5:$T$44,$CU11,CO$57),""),1)="~",CO$58=1),"",LEFT(IFERROR(INDEX(醫師週班表!$C$5:$T$44,$CU11,CO$57),""),1)),IFERROR(INDEX(醫師週班表!$C$5:$T$44,$CU11,CO$57),""))))))</f>
        <v/>
      </c>
      <c r="CP11" s="68">
        <f>IF(CP$59="X","",IF(CP$59&lt;&gt;"",CP$59,IF(IFERROR(INDEX(醫師週班表!$C$5:$T$44,$CU11,CP$57),"")=0,"",IF(LEN(IFERROR(INDEX(醫師週班表!$C$5:$T$44,$CU11,CP$57),""))=4,MID(IFERROR(INDEX(醫師週班表!$C$5:$T$44,$CU11,CP$57),""),1+CP$58*2,1),IF(LEN(IFERROR(INDEX(醫師週班表!$C$5:$T$44,$CU11,CP$57),""))=2,IF(AND(RIGHT(IFERROR(INDEX(醫師週班表!$C$5:$T$44,$CU11,CP$57),""),1)="~",CP$58=1),"",LEFT(IFERROR(INDEX(醫師週班表!$C$5:$T$44,$CU11,CP$57),""),1)),IFERROR(INDEX(醫師週班表!$C$5:$T$44,$CU11,CP$57),""))))))</f>
        <v/>
      </c>
      <c r="CQ11" s="67">
        <f>IF(CQ$59="X","",IF(CQ$59&lt;&gt;"",CQ$59,IF(IFERROR(INDEX(醫師週班表!$C$5:$T$44,$CU11,CQ$57),"")=0,"",IF(LEN(IFERROR(INDEX(醫師週班表!$C$5:$T$44,$CU11,CQ$57),""))=4,MID(IFERROR(INDEX(醫師週班表!$C$5:$T$44,$CU11,CQ$57),""),1+CQ$58*2,1),IF(LEN(IFERROR(INDEX(醫師週班表!$C$5:$T$44,$CU11,CQ$57),""))=2,IF(AND(RIGHT(IFERROR(INDEX(醫師週班表!$C$5:$T$44,$CU11,CQ$57),""),1)="~",CQ$58=1),"",LEFT(IFERROR(INDEX(醫師週班表!$C$5:$T$44,$CU11,CQ$57),""),1)),IFERROR(INDEX(醫師週班表!$C$5:$T$44,$CU11,CQ$57),""))))))</f>
        <v/>
      </c>
      <c r="CR11" s="68">
        <f>IF(CR$59="X","",IF(CR$59&lt;&gt;"",CR$59,IF(IFERROR(INDEX(醫師週班表!$C$5:$T$44,$CU11,CR$57),"")=0,"",IF(LEN(IFERROR(INDEX(醫師週班表!$C$5:$T$44,$CU11,CR$57),""))=4,MID(IFERROR(INDEX(醫師週班表!$C$5:$T$44,$CU11,CR$57),""),1+CR$58*2,1),IF(LEN(IFERROR(INDEX(醫師週班表!$C$5:$T$44,$CU11,CR$57),""))=2,IF(AND(RIGHT(IFERROR(INDEX(醫師週班表!$C$5:$T$44,$CU11,CR$57),""),1)="~",CR$58=1),"",LEFT(IFERROR(INDEX(醫師週班表!$C$5:$T$44,$CU11,CR$57),""),1)),IFERROR(INDEX(醫師週班表!$C$5:$T$44,$CU11,CR$57),""))))))</f>
        <v/>
      </c>
      <c r="CS11" s="68">
        <f>IF(CS$59="X","",IF(CS$59&lt;&gt;"",CS$59,IF(IFERROR(INDEX(醫師週班表!$C$5:$T$44,$CU11,CS$57),"")=0,"",IF(LEN(IFERROR(INDEX(醫師週班表!$C$5:$T$44,$CU11,CS$57),""))=4,MID(IFERROR(INDEX(醫師週班表!$C$5:$T$44,$CU11,CS$57),""),1+CS$58*2,1),IF(LEN(IFERROR(INDEX(醫師週班表!$C$5:$T$44,$CU11,CS$57),""))=2,IF(AND(RIGHT(IFERROR(INDEX(醫師週班表!$C$5:$T$44,$CU11,CS$57),""),1)="~",CS$58=1),"",LEFT(IFERROR(INDEX(醫師週班表!$C$5:$T$44,$CU11,CS$57),""),1)),IFERROR(INDEX(醫師週班表!$C$5:$T$44,$CU11,CS$57),""))))))</f>
        <v/>
      </c>
      <c r="CU11" s="69">
        <f>IFERROR(MATCH($A11,醫師週班表!$A$5:$A$44,0),0)</f>
        <v/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IFERROR(INDEX(醫師週班表!$C$5:$T$44,$CU12,E$57),"")=0,"",IF(LEN(IFERROR(INDEX(醫師週班表!$C$5:$T$44,$CU12,E$57),""))=4,MID(IFERROR(INDEX(醫師週班表!$C$5:$T$44,$CU12,E$57),""),1+E$58*2,1),IF(LEN(IFERROR(INDEX(醫師週班表!$C$5:$T$44,$CU12,E$57),""))=2,IF(AND(RIGHT(IFERROR(INDEX(醫師週班表!$C$5:$T$44,$CU12,E$57),""),1)="~",E$58=1),"",LEFT(IFERROR(INDEX(醫師週班表!$C$5:$T$44,$CU12,E$57),""),1)),IFERROR(INDEX(醫師週班表!$C$5:$T$44,$CU12,E$57),""))))))</f>
        <v/>
      </c>
      <c r="F12" s="68">
        <f>IF(F$59="X","",IF(F$59&lt;&gt;"",F$59,IF(IFERROR(INDEX(醫師週班表!$C$5:$T$44,$CU12,F$57),"")=0,"",IF(LEN(IFERROR(INDEX(醫師週班表!$C$5:$T$44,$CU12,F$57),""))=4,MID(IFERROR(INDEX(醫師週班表!$C$5:$T$44,$CU12,F$57),""),1+F$58*2,1),IF(LEN(IFERROR(INDEX(醫師週班表!$C$5:$T$44,$CU12,F$57),""))=2,IF(AND(RIGHT(IFERROR(INDEX(醫師週班表!$C$5:$T$44,$CU12,F$57),""),1)="~",F$58=1),"",LEFT(IFERROR(INDEX(醫師週班表!$C$5:$T$44,$CU12,F$57),""),1)),IFERROR(INDEX(醫師週班表!$C$5:$T$44,$CU12,F$57),""))))))</f>
        <v/>
      </c>
      <c r="G12" s="68">
        <f>IF(G$59="X","",IF(G$59&lt;&gt;"",G$59,IF(IFERROR(INDEX(醫師週班表!$C$5:$T$44,$CU12,G$57),"")=0,"",IF(LEN(IFERROR(INDEX(醫師週班表!$C$5:$T$44,$CU12,G$57),""))=4,MID(IFERROR(INDEX(醫師週班表!$C$5:$T$44,$CU12,G$57),""),1+G$58*2,1),IF(LEN(IFERROR(INDEX(醫師週班表!$C$5:$T$44,$CU12,G$57),""))=2,IF(AND(RIGHT(IFERROR(INDEX(醫師週班表!$C$5:$T$44,$CU12,G$57),""),1)="~",G$58=1),"",LEFT(IFERROR(INDEX(醫師週班表!$C$5:$T$44,$CU12,G$57),""),1)),IFERROR(INDEX(醫師週班表!$C$5:$T$44,$CU12,G$57),""))))))</f>
        <v/>
      </c>
      <c r="H12" s="67">
        <f>IF(H$59="X","",IF(H$59&lt;&gt;"",H$59,IF(IFERROR(INDEX(醫師週班表!$C$5:$T$44,$CU12,H$57),"")=0,"",IF(LEN(IFERROR(INDEX(醫師週班表!$C$5:$T$44,$CU12,H$57),""))=4,MID(IFERROR(INDEX(醫師週班表!$C$5:$T$44,$CU12,H$57),""),1+H$58*2,1),IF(LEN(IFERROR(INDEX(醫師週班表!$C$5:$T$44,$CU12,H$57),""))=2,IF(AND(RIGHT(IFERROR(INDEX(醫師週班表!$C$5:$T$44,$CU12,H$57),""),1)="~",H$58=1),"",LEFT(IFERROR(INDEX(醫師週班表!$C$5:$T$44,$CU12,H$57),""),1)),IFERROR(INDEX(醫師週班表!$C$5:$T$44,$CU12,H$57),""))))))</f>
        <v/>
      </c>
      <c r="I12" s="68">
        <f>IF(I$59="X","",IF(I$59&lt;&gt;"",I$59,IF(IFERROR(INDEX(醫師週班表!$C$5:$T$44,$CU12,I$57),"")=0,"",IF(LEN(IFERROR(INDEX(醫師週班表!$C$5:$T$44,$CU12,I$57),""))=4,MID(IFERROR(INDEX(醫師週班表!$C$5:$T$44,$CU12,I$57),""),1+I$58*2,1),IF(LEN(IFERROR(INDEX(醫師週班表!$C$5:$T$44,$CU12,I$57),""))=2,IF(AND(RIGHT(IFERROR(INDEX(醫師週班表!$C$5:$T$44,$CU12,I$57),""),1)="~",I$58=1),"",LEFT(IFERROR(INDEX(醫師週班表!$C$5:$T$44,$CU12,I$57),""),1)),IFERROR(INDEX(醫師週班表!$C$5:$T$44,$CU12,I$57),""))))))</f>
        <v/>
      </c>
      <c r="J12" s="68">
        <f>IF(J$59="X","",IF(J$59&lt;&gt;"",J$59,IF(IFERROR(INDEX(醫師週班表!$C$5:$T$44,$CU12,J$57),"")=0,"",IF(LEN(IFERROR(INDEX(醫師週班表!$C$5:$T$44,$CU12,J$57),""))=4,MID(IFERROR(INDEX(醫師週班表!$C$5:$T$44,$CU12,J$57),""),1+J$58*2,1),IF(LEN(IFERROR(INDEX(醫師週班表!$C$5:$T$44,$CU12,J$57),""))=2,IF(AND(RIGHT(IFERROR(INDEX(醫師週班表!$C$5:$T$44,$CU12,J$57),""),1)="~",J$58=1),"",LEFT(IFERROR(INDEX(醫師週班表!$C$5:$T$44,$CU12,J$57),""),1)),IFERROR(INDEX(醫師週班表!$C$5:$T$44,$CU12,J$57),""))))))</f>
        <v/>
      </c>
      <c r="K12" s="67">
        <f>IF(K$59="X","",IF(K$59&lt;&gt;"",K$59,IF(IFERROR(INDEX(醫師週班表!$C$5:$T$44,$CU12,K$57),"")=0,"",IF(LEN(IFERROR(INDEX(醫師週班表!$C$5:$T$44,$CU12,K$57),""))=4,MID(IFERROR(INDEX(醫師週班表!$C$5:$T$44,$CU12,K$57),""),1+K$58*2,1),IF(LEN(IFERROR(INDEX(醫師週班表!$C$5:$T$44,$CU12,K$57),""))=2,IF(AND(RIGHT(IFERROR(INDEX(醫師週班表!$C$5:$T$44,$CU12,K$57),""),1)="~",K$58=1),"",LEFT(IFERROR(INDEX(醫師週班表!$C$5:$T$44,$CU12,K$57),""),1)),IFERROR(INDEX(醫師週班表!$C$5:$T$44,$CU12,K$57),""))))))</f>
        <v/>
      </c>
      <c r="L12" s="68">
        <f>IF(L$59="X","",IF(L$59&lt;&gt;"",L$59,IF(IFERROR(INDEX(醫師週班表!$C$5:$T$44,$CU12,L$57),"")=0,"",IF(LEN(IFERROR(INDEX(醫師週班表!$C$5:$T$44,$CU12,L$57),""))=4,MID(IFERROR(INDEX(醫師週班表!$C$5:$T$44,$CU12,L$57),""),1+L$58*2,1),IF(LEN(IFERROR(INDEX(醫師週班表!$C$5:$T$44,$CU12,L$57),""))=2,IF(AND(RIGHT(IFERROR(INDEX(醫師週班表!$C$5:$T$44,$CU12,L$57),""),1)="~",L$58=1),"",LEFT(IFERROR(INDEX(醫師週班表!$C$5:$T$44,$CU12,L$57),""),1)),IFERROR(INDEX(醫師週班表!$C$5:$T$44,$CU12,L$57),""))))))</f>
        <v/>
      </c>
      <c r="M12" s="68">
        <f>IF(M$59="X","",IF(M$59&lt;&gt;"",M$59,IF(IFERROR(INDEX(醫師週班表!$C$5:$T$44,$CU12,M$57),"")=0,"",IF(LEN(IFERROR(INDEX(醫師週班表!$C$5:$T$44,$CU12,M$57),""))=4,MID(IFERROR(INDEX(醫師週班表!$C$5:$T$44,$CU12,M$57),""),1+M$58*2,1),IF(LEN(IFERROR(INDEX(醫師週班表!$C$5:$T$44,$CU12,M$57),""))=2,IF(AND(RIGHT(IFERROR(INDEX(醫師週班表!$C$5:$T$44,$CU12,M$57),""),1)="~",M$58=1),"",LEFT(IFERROR(INDEX(醫師週班表!$C$5:$T$44,$CU12,M$57),""),1)),IFERROR(INDEX(醫師週班表!$C$5:$T$44,$CU12,M$57),""))))))</f>
        <v/>
      </c>
      <c r="N12" s="67">
        <f>IF(N$59="X","",IF(N$59&lt;&gt;"",N$59,IF(IFERROR(INDEX(醫師週班表!$C$5:$T$44,$CU12,N$57),"")=0,"",IF(LEN(IFERROR(INDEX(醫師週班表!$C$5:$T$44,$CU12,N$57),""))=4,MID(IFERROR(INDEX(醫師週班表!$C$5:$T$44,$CU12,N$57),""),1+N$58*2,1),IF(LEN(IFERROR(INDEX(醫師週班表!$C$5:$T$44,$CU12,N$57),""))=2,IF(AND(RIGHT(IFERROR(INDEX(醫師週班表!$C$5:$T$44,$CU12,N$57),""),1)="~",N$58=1),"",LEFT(IFERROR(INDEX(醫師週班表!$C$5:$T$44,$CU12,N$57),""),1)),IFERROR(INDEX(醫師週班表!$C$5:$T$44,$CU12,N$57),""))))))</f>
        <v/>
      </c>
      <c r="O12" s="68">
        <f>IF(O$59="X","",IF(O$59&lt;&gt;"",O$59,IF(IFERROR(INDEX(醫師週班表!$C$5:$T$44,$CU12,O$57),"")=0,"",IF(LEN(IFERROR(INDEX(醫師週班表!$C$5:$T$44,$CU12,O$57),""))=4,MID(IFERROR(INDEX(醫師週班表!$C$5:$T$44,$CU12,O$57),""),1+O$58*2,1),IF(LEN(IFERROR(INDEX(醫師週班表!$C$5:$T$44,$CU12,O$57),""))=2,IF(AND(RIGHT(IFERROR(INDEX(醫師週班表!$C$5:$T$44,$CU12,O$57),""),1)="~",O$58=1),"",LEFT(IFERROR(INDEX(醫師週班表!$C$5:$T$44,$CU12,O$57),""),1)),IFERROR(INDEX(醫師週班表!$C$5:$T$44,$CU12,O$57),""))))))</f>
        <v/>
      </c>
      <c r="P12" s="68">
        <f>IF(P$59="X","",IF(P$59&lt;&gt;"",P$59,IF(IFERROR(INDEX(醫師週班表!$C$5:$T$44,$CU12,P$57),"")=0,"",IF(LEN(IFERROR(INDEX(醫師週班表!$C$5:$T$44,$CU12,P$57),""))=4,MID(IFERROR(INDEX(醫師週班表!$C$5:$T$44,$CU12,P$57),""),1+P$58*2,1),IF(LEN(IFERROR(INDEX(醫師週班表!$C$5:$T$44,$CU12,P$57),""))=2,IF(AND(RIGHT(IFERROR(INDEX(醫師週班表!$C$5:$T$44,$CU12,P$57),""),1)="~",P$58=1),"",LEFT(IFERROR(INDEX(醫師週班表!$C$5:$T$44,$CU12,P$57),""),1)),IFERROR(INDEX(醫師週班表!$C$5:$T$44,$CU12,P$57),""))))))</f>
        <v/>
      </c>
      <c r="Q12" s="67">
        <f>IF(Q$59="X","",IF(Q$59&lt;&gt;"",Q$59,IF(IFERROR(INDEX(醫師週班表!$C$5:$T$44,$CU12,Q$57),"")=0,"",IF(LEN(IFERROR(INDEX(醫師週班表!$C$5:$T$44,$CU12,Q$57),""))=4,MID(IFERROR(INDEX(醫師週班表!$C$5:$T$44,$CU12,Q$57),""),1+Q$58*2,1),IF(LEN(IFERROR(INDEX(醫師週班表!$C$5:$T$44,$CU12,Q$57),""))=2,IF(AND(RIGHT(IFERROR(INDEX(醫師週班表!$C$5:$T$44,$CU12,Q$57),""),1)="~",Q$58=1),"",LEFT(IFERROR(INDEX(醫師週班表!$C$5:$T$44,$CU12,Q$57),""),1)),IFERROR(INDEX(醫師週班表!$C$5:$T$44,$CU12,Q$57),""))))))</f>
        <v/>
      </c>
      <c r="R12" s="68">
        <f>IF(R$59="X","",IF(R$59&lt;&gt;"",R$59,IF(IFERROR(INDEX(醫師週班表!$C$5:$T$44,$CU12,R$57),"")=0,"",IF(LEN(IFERROR(INDEX(醫師週班表!$C$5:$T$44,$CU12,R$57),""))=4,MID(IFERROR(INDEX(醫師週班表!$C$5:$T$44,$CU12,R$57),""),1+R$58*2,1),IF(LEN(IFERROR(INDEX(醫師週班表!$C$5:$T$44,$CU12,R$57),""))=2,IF(AND(RIGHT(IFERROR(INDEX(醫師週班表!$C$5:$T$44,$CU12,R$57),""),1)="~",R$58=1),"",LEFT(IFERROR(INDEX(醫師週班表!$C$5:$T$44,$CU12,R$57),""),1)),IFERROR(INDEX(醫師週班表!$C$5:$T$44,$CU12,R$57),""))))))</f>
        <v/>
      </c>
      <c r="S12" s="68">
        <f>IF(S$59="X","",IF(S$59&lt;&gt;"",S$59,IF(IFERROR(INDEX(醫師週班表!$C$5:$T$44,$CU12,S$57),"")=0,"",IF(LEN(IFERROR(INDEX(醫師週班表!$C$5:$T$44,$CU12,S$57),""))=4,MID(IFERROR(INDEX(醫師週班表!$C$5:$T$44,$CU12,S$57),""),1+S$58*2,1),IF(LEN(IFERROR(INDEX(醫師週班表!$C$5:$T$44,$CU12,S$57),""))=2,IF(AND(RIGHT(IFERROR(INDEX(醫師週班表!$C$5:$T$44,$CU12,S$57),""),1)="~",S$58=1),"",LEFT(IFERROR(INDEX(醫師週班表!$C$5:$T$44,$CU12,S$57),""),1)),IFERROR(INDEX(醫師週班表!$C$5:$T$44,$CU12,S$57),""))))))</f>
        <v/>
      </c>
      <c r="T12" s="67">
        <f>IF(T$59="X","",IF(T$59&lt;&gt;"",T$59,IF(IFERROR(INDEX(醫師週班表!$C$5:$T$44,$CU12,T$57),"")=0,"",IF(LEN(IFERROR(INDEX(醫師週班表!$C$5:$T$44,$CU12,T$57),""))=4,MID(IFERROR(INDEX(醫師週班表!$C$5:$T$44,$CU12,T$57),""),1+T$58*2,1),IF(LEN(IFERROR(INDEX(醫師週班表!$C$5:$T$44,$CU12,T$57),""))=2,IF(AND(RIGHT(IFERROR(INDEX(醫師週班表!$C$5:$T$44,$CU12,T$57),""),1)="~",T$58=1),"",LEFT(IFERROR(INDEX(醫師週班表!$C$5:$T$44,$CU12,T$57),""),1)),IFERROR(INDEX(醫師週班表!$C$5:$T$44,$CU12,T$57),""))))))</f>
        <v/>
      </c>
      <c r="U12" s="68">
        <f>IF(U$59="X","",IF(U$59&lt;&gt;"",U$59,IF(IFERROR(INDEX(醫師週班表!$C$5:$T$44,$CU12,U$57),"")=0,"",IF(LEN(IFERROR(INDEX(醫師週班表!$C$5:$T$44,$CU12,U$57),""))=4,MID(IFERROR(INDEX(醫師週班表!$C$5:$T$44,$CU12,U$57),""),1+U$58*2,1),IF(LEN(IFERROR(INDEX(醫師週班表!$C$5:$T$44,$CU12,U$57),""))=2,IF(AND(RIGHT(IFERROR(INDEX(醫師週班表!$C$5:$T$44,$CU12,U$57),""),1)="~",U$58=1),"",LEFT(IFERROR(INDEX(醫師週班表!$C$5:$T$44,$CU12,U$57),""),1)),IFERROR(INDEX(醫師週班表!$C$5:$T$44,$CU12,U$57),""))))))</f>
        <v/>
      </c>
      <c r="V12" s="68">
        <f>IF(V$59="X","",IF(V$59&lt;&gt;"",V$59,IF(IFERROR(INDEX(醫師週班表!$C$5:$T$44,$CU12,V$57),"")=0,"",IF(LEN(IFERROR(INDEX(醫師週班表!$C$5:$T$44,$CU12,V$57),""))=4,MID(IFERROR(INDEX(醫師週班表!$C$5:$T$44,$CU12,V$57),""),1+V$58*2,1),IF(LEN(IFERROR(INDEX(醫師週班表!$C$5:$T$44,$CU12,V$57),""))=2,IF(AND(RIGHT(IFERROR(INDEX(醫師週班表!$C$5:$T$44,$CU12,V$57),""),1)="~",V$58=1),"",LEFT(IFERROR(INDEX(醫師週班表!$C$5:$T$44,$CU12,V$57),""),1)),IFERROR(INDEX(醫師週班表!$C$5:$T$44,$CU12,V$57),""))))))</f>
        <v/>
      </c>
      <c r="W12" s="67">
        <f>IF(W$59="X","",IF(W$59&lt;&gt;"",W$59,IF(IFERROR(INDEX(醫師週班表!$C$5:$T$44,$CU12,W$57),"")=0,"",IF(LEN(IFERROR(INDEX(醫師週班表!$C$5:$T$44,$CU12,W$57),""))=4,MID(IFERROR(INDEX(醫師週班表!$C$5:$T$44,$CU12,W$57),""),1+W$58*2,1),IF(LEN(IFERROR(INDEX(醫師週班表!$C$5:$T$44,$CU12,W$57),""))=2,IF(AND(RIGHT(IFERROR(INDEX(醫師週班表!$C$5:$T$44,$CU12,W$57),""),1)="~",W$58=1),"",LEFT(IFERROR(INDEX(醫師週班表!$C$5:$T$44,$CU12,W$57),""),1)),IFERROR(INDEX(醫師週班表!$C$5:$T$44,$CU12,W$57),""))))))</f>
        <v/>
      </c>
      <c r="X12" s="68">
        <f>IF(X$59="X","",IF(X$59&lt;&gt;"",X$59,IF(IFERROR(INDEX(醫師週班表!$C$5:$T$44,$CU12,X$57),"")=0,"",IF(LEN(IFERROR(INDEX(醫師週班表!$C$5:$T$44,$CU12,X$57),""))=4,MID(IFERROR(INDEX(醫師週班表!$C$5:$T$44,$CU12,X$57),""),1+X$58*2,1),IF(LEN(IFERROR(INDEX(醫師週班表!$C$5:$T$44,$CU12,X$57),""))=2,IF(AND(RIGHT(IFERROR(INDEX(醫師週班表!$C$5:$T$44,$CU12,X$57),""),1)="~",X$58=1),"",LEFT(IFERROR(INDEX(醫師週班表!$C$5:$T$44,$CU12,X$57),""),1)),IFERROR(INDEX(醫師週班表!$C$5:$T$44,$CU12,X$57),""))))))</f>
        <v/>
      </c>
      <c r="Y12" s="68">
        <f>IF(Y$59="X","",IF(Y$59&lt;&gt;"",Y$59,IF(IFERROR(INDEX(醫師週班表!$C$5:$T$44,$CU12,Y$57),"")=0,"",IF(LEN(IFERROR(INDEX(醫師週班表!$C$5:$T$44,$CU12,Y$57),""))=4,MID(IFERROR(INDEX(醫師週班表!$C$5:$T$44,$CU12,Y$57),""),1+Y$58*2,1),IF(LEN(IFERROR(INDEX(醫師週班表!$C$5:$T$44,$CU12,Y$57),""))=2,IF(AND(RIGHT(IFERROR(INDEX(醫師週班表!$C$5:$T$44,$CU12,Y$57),""),1)="~",Y$58=1),"",LEFT(IFERROR(INDEX(醫師週班表!$C$5:$T$44,$CU12,Y$57),""),1)),IFERROR(INDEX(醫師週班表!$C$5:$T$44,$CU12,Y$57),""))))))</f>
        <v/>
      </c>
      <c r="Z12" s="67">
        <f>IF(Z$59="X","",IF(Z$59&lt;&gt;"",Z$59,IF(IFERROR(INDEX(醫師週班表!$C$5:$T$44,$CU12,Z$57),"")=0,"",IF(LEN(IFERROR(INDEX(醫師週班表!$C$5:$T$44,$CU12,Z$57),""))=4,MID(IFERROR(INDEX(醫師週班表!$C$5:$T$44,$CU12,Z$57),""),1+Z$58*2,1),IF(LEN(IFERROR(INDEX(醫師週班表!$C$5:$T$44,$CU12,Z$57),""))=2,IF(AND(RIGHT(IFERROR(INDEX(醫師週班表!$C$5:$T$44,$CU12,Z$57),""),1)="~",Z$58=1),"",LEFT(IFERROR(INDEX(醫師週班表!$C$5:$T$44,$CU12,Z$57),""),1)),IFERROR(INDEX(醫師週班表!$C$5:$T$44,$CU12,Z$57),""))))))</f>
        <v/>
      </c>
      <c r="AA12" s="68">
        <f>IF(AA$59="X","",IF(AA$59&lt;&gt;"",AA$59,IF(IFERROR(INDEX(醫師週班表!$C$5:$T$44,$CU12,AA$57),"")=0,"",IF(LEN(IFERROR(INDEX(醫師週班表!$C$5:$T$44,$CU12,AA$57),""))=4,MID(IFERROR(INDEX(醫師週班表!$C$5:$T$44,$CU12,AA$57),""),1+AA$58*2,1),IF(LEN(IFERROR(INDEX(醫師週班表!$C$5:$T$44,$CU12,AA$57),""))=2,IF(AND(RIGHT(IFERROR(INDEX(醫師週班表!$C$5:$T$44,$CU12,AA$57),""),1)="~",AA$58=1),"",LEFT(IFERROR(INDEX(醫師週班表!$C$5:$T$44,$CU12,AA$57),""),1)),IFERROR(INDEX(醫師週班表!$C$5:$T$44,$CU12,AA$57),""))))))</f>
        <v/>
      </c>
      <c r="AB12" s="68">
        <f>IF(AB$59="X","",IF(AB$59&lt;&gt;"",AB$59,IF(IFERROR(INDEX(醫師週班表!$C$5:$T$44,$CU12,AB$57),"")=0,"",IF(LEN(IFERROR(INDEX(醫師週班表!$C$5:$T$44,$CU12,AB$57),""))=4,MID(IFERROR(INDEX(醫師週班表!$C$5:$T$44,$CU12,AB$57),""),1+AB$58*2,1),IF(LEN(IFERROR(INDEX(醫師週班表!$C$5:$T$44,$CU12,AB$57),""))=2,IF(AND(RIGHT(IFERROR(INDEX(醫師週班表!$C$5:$T$44,$CU12,AB$57),""),1)="~",AB$58=1),"",LEFT(IFERROR(INDEX(醫師週班表!$C$5:$T$44,$CU12,AB$57),""),1)),IFERROR(INDEX(醫師週班表!$C$5:$T$44,$CU12,AB$57),""))))))</f>
        <v/>
      </c>
      <c r="AC12" s="67">
        <f>IF(AC$59="X","",IF(AC$59&lt;&gt;"",AC$59,IF(IFERROR(INDEX(醫師週班表!$C$5:$T$44,$CU12,AC$57),"")=0,"",IF(LEN(IFERROR(INDEX(醫師週班表!$C$5:$T$44,$CU12,AC$57),""))=4,MID(IFERROR(INDEX(醫師週班表!$C$5:$T$44,$CU12,AC$57),""),1+AC$58*2,1),IF(LEN(IFERROR(INDEX(醫師週班表!$C$5:$T$44,$CU12,AC$57),""))=2,IF(AND(RIGHT(IFERROR(INDEX(醫師週班表!$C$5:$T$44,$CU12,AC$57),""),1)="~",AC$58=1),"",LEFT(IFERROR(INDEX(醫師週班表!$C$5:$T$44,$CU12,AC$57),""),1)),IFERROR(INDEX(醫師週班表!$C$5:$T$44,$CU12,AC$57),""))))))</f>
        <v/>
      </c>
      <c r="AD12" s="68">
        <f>IF(AD$59="X","",IF(AD$59&lt;&gt;"",AD$59,IF(IFERROR(INDEX(醫師週班表!$C$5:$T$44,$CU12,AD$57),"")=0,"",IF(LEN(IFERROR(INDEX(醫師週班表!$C$5:$T$44,$CU12,AD$57),""))=4,MID(IFERROR(INDEX(醫師週班表!$C$5:$T$44,$CU12,AD$57),""),1+AD$58*2,1),IF(LEN(IFERROR(INDEX(醫師週班表!$C$5:$T$44,$CU12,AD$57),""))=2,IF(AND(RIGHT(IFERROR(INDEX(醫師週班表!$C$5:$T$44,$CU12,AD$57),""),1)="~",AD$58=1),"",LEFT(IFERROR(INDEX(醫師週班表!$C$5:$T$44,$CU12,AD$57),""),1)),IFERROR(INDEX(醫師週班表!$C$5:$T$44,$CU12,AD$57),""))))))</f>
        <v/>
      </c>
      <c r="AE12" s="68">
        <f>IF(AE$59="X","",IF(AE$59&lt;&gt;"",AE$59,IF(IFERROR(INDEX(醫師週班表!$C$5:$T$44,$CU12,AE$57),"")=0,"",IF(LEN(IFERROR(INDEX(醫師週班表!$C$5:$T$44,$CU12,AE$57),""))=4,MID(IFERROR(INDEX(醫師週班表!$C$5:$T$44,$CU12,AE$57),""),1+AE$58*2,1),IF(LEN(IFERROR(INDEX(醫師週班表!$C$5:$T$44,$CU12,AE$57),""))=2,IF(AND(RIGHT(IFERROR(INDEX(醫師週班表!$C$5:$T$44,$CU12,AE$57),""),1)="~",AE$58=1),"",LEFT(IFERROR(INDEX(醫師週班表!$C$5:$T$44,$CU12,AE$57),""),1)),IFERROR(INDEX(醫師週班表!$C$5:$T$44,$CU12,AE$57),""))))))</f>
        <v/>
      </c>
      <c r="AF12" s="67">
        <f>IF(AF$59="X","",IF(AF$59&lt;&gt;"",AF$59,IF(IFERROR(INDEX(醫師週班表!$C$5:$T$44,$CU12,AF$57),"")=0,"",IF(LEN(IFERROR(INDEX(醫師週班表!$C$5:$T$44,$CU12,AF$57),""))=4,MID(IFERROR(INDEX(醫師週班表!$C$5:$T$44,$CU12,AF$57),""),1+AF$58*2,1),IF(LEN(IFERROR(INDEX(醫師週班表!$C$5:$T$44,$CU12,AF$57),""))=2,IF(AND(RIGHT(IFERROR(INDEX(醫師週班表!$C$5:$T$44,$CU12,AF$57),""),1)="~",AF$58=1),"",LEFT(IFERROR(INDEX(醫師週班表!$C$5:$T$44,$CU12,AF$57),""),1)),IFERROR(INDEX(醫師週班表!$C$5:$T$44,$CU12,AF$57),""))))))</f>
        <v/>
      </c>
      <c r="AG12" s="68">
        <f>IF(AG$59="X","",IF(AG$59&lt;&gt;"",AG$59,IF(IFERROR(INDEX(醫師週班表!$C$5:$T$44,$CU12,AG$57),"")=0,"",IF(LEN(IFERROR(INDEX(醫師週班表!$C$5:$T$44,$CU12,AG$57),""))=4,MID(IFERROR(INDEX(醫師週班表!$C$5:$T$44,$CU12,AG$57),""),1+AG$58*2,1),IF(LEN(IFERROR(INDEX(醫師週班表!$C$5:$T$44,$CU12,AG$57),""))=2,IF(AND(RIGHT(IFERROR(INDEX(醫師週班表!$C$5:$T$44,$CU12,AG$57),""),1)="~",AG$58=1),"",LEFT(IFERROR(INDEX(醫師週班表!$C$5:$T$44,$CU12,AG$57),""),1)),IFERROR(INDEX(醫師週班表!$C$5:$T$44,$CU12,AG$57),""))))))</f>
        <v/>
      </c>
      <c r="AH12" s="68">
        <f>IF(AH$59="X","",IF(AH$59&lt;&gt;"",AH$59,IF(IFERROR(INDEX(醫師週班表!$C$5:$T$44,$CU12,AH$57),"")=0,"",IF(LEN(IFERROR(INDEX(醫師週班表!$C$5:$T$44,$CU12,AH$57),""))=4,MID(IFERROR(INDEX(醫師週班表!$C$5:$T$44,$CU12,AH$57),""),1+AH$58*2,1),IF(LEN(IFERROR(INDEX(醫師週班表!$C$5:$T$44,$CU12,AH$57),""))=2,IF(AND(RIGHT(IFERROR(INDEX(醫師週班表!$C$5:$T$44,$CU12,AH$57),""),1)="~",AH$58=1),"",LEFT(IFERROR(INDEX(醫師週班表!$C$5:$T$44,$CU12,AH$57),""),1)),IFERROR(INDEX(醫師週班表!$C$5:$T$44,$CU12,AH$57),""))))))</f>
        <v/>
      </c>
      <c r="AI12" s="67">
        <f>IF(AI$59="X","",IF(AI$59&lt;&gt;"",AI$59,IF(IFERROR(INDEX(醫師週班表!$C$5:$T$44,$CU12,AI$57),"")=0,"",IF(LEN(IFERROR(INDEX(醫師週班表!$C$5:$T$44,$CU12,AI$57),""))=4,MID(IFERROR(INDEX(醫師週班表!$C$5:$T$44,$CU12,AI$57),""),1+AI$58*2,1),IF(LEN(IFERROR(INDEX(醫師週班表!$C$5:$T$44,$CU12,AI$57),""))=2,IF(AND(RIGHT(IFERROR(INDEX(醫師週班表!$C$5:$T$44,$CU12,AI$57),""),1)="~",AI$58=1),"",LEFT(IFERROR(INDEX(醫師週班表!$C$5:$T$44,$CU12,AI$57),""),1)),IFERROR(INDEX(醫師週班表!$C$5:$T$44,$CU12,AI$57),""))))))</f>
        <v/>
      </c>
      <c r="AJ12" s="68">
        <f>IF(AJ$59="X","",IF(AJ$59&lt;&gt;"",AJ$59,IF(IFERROR(INDEX(醫師週班表!$C$5:$T$44,$CU12,AJ$57),"")=0,"",IF(LEN(IFERROR(INDEX(醫師週班表!$C$5:$T$44,$CU12,AJ$57),""))=4,MID(IFERROR(INDEX(醫師週班表!$C$5:$T$44,$CU12,AJ$57),""),1+AJ$58*2,1),IF(LEN(IFERROR(INDEX(醫師週班表!$C$5:$T$44,$CU12,AJ$57),""))=2,IF(AND(RIGHT(IFERROR(INDEX(醫師週班表!$C$5:$T$44,$CU12,AJ$57),""),1)="~",AJ$58=1),"",LEFT(IFERROR(INDEX(醫師週班表!$C$5:$T$44,$CU12,AJ$57),""),1)),IFERROR(INDEX(醫師週班表!$C$5:$T$44,$CU12,AJ$57),""))))))</f>
        <v/>
      </c>
      <c r="AK12" s="68">
        <f>IF(AK$59="X","",IF(AK$59&lt;&gt;"",AK$59,IF(IFERROR(INDEX(醫師週班表!$C$5:$T$44,$CU12,AK$57),"")=0,"",IF(LEN(IFERROR(INDEX(醫師週班表!$C$5:$T$44,$CU12,AK$57),""))=4,MID(IFERROR(INDEX(醫師週班表!$C$5:$T$44,$CU12,AK$57),""),1+AK$58*2,1),IF(LEN(IFERROR(INDEX(醫師週班表!$C$5:$T$44,$CU12,AK$57),""))=2,IF(AND(RIGHT(IFERROR(INDEX(醫師週班表!$C$5:$T$44,$CU12,AK$57),""),1)="~",AK$58=1),"",LEFT(IFERROR(INDEX(醫師週班表!$C$5:$T$44,$CU12,AK$57),""),1)),IFERROR(INDEX(醫師週班表!$C$5:$T$44,$CU12,AK$57),""))))))</f>
        <v/>
      </c>
      <c r="AL12" s="67">
        <f>IF(AL$59="X","",IF(AL$59&lt;&gt;"",AL$59,IF(IFERROR(INDEX(醫師週班表!$C$5:$T$44,$CU12,AL$57),"")=0,"",IF(LEN(IFERROR(INDEX(醫師週班表!$C$5:$T$44,$CU12,AL$57),""))=4,MID(IFERROR(INDEX(醫師週班表!$C$5:$T$44,$CU12,AL$57),""),1+AL$58*2,1),IF(LEN(IFERROR(INDEX(醫師週班表!$C$5:$T$44,$CU12,AL$57),""))=2,IF(AND(RIGHT(IFERROR(INDEX(醫師週班表!$C$5:$T$44,$CU12,AL$57),""),1)="~",AL$58=1),"",LEFT(IFERROR(INDEX(醫師週班表!$C$5:$T$44,$CU12,AL$57),""),1)),IFERROR(INDEX(醫師週班表!$C$5:$T$44,$CU12,AL$57),""))))))</f>
        <v/>
      </c>
      <c r="AM12" s="68">
        <f>IF(AM$59="X","",IF(AM$59&lt;&gt;"",AM$59,IF(IFERROR(INDEX(醫師週班表!$C$5:$T$44,$CU12,AM$57),"")=0,"",IF(LEN(IFERROR(INDEX(醫師週班表!$C$5:$T$44,$CU12,AM$57),""))=4,MID(IFERROR(INDEX(醫師週班表!$C$5:$T$44,$CU12,AM$57),""),1+AM$58*2,1),IF(LEN(IFERROR(INDEX(醫師週班表!$C$5:$T$44,$CU12,AM$57),""))=2,IF(AND(RIGHT(IFERROR(INDEX(醫師週班表!$C$5:$T$44,$CU12,AM$57),""),1)="~",AM$58=1),"",LEFT(IFERROR(INDEX(醫師週班表!$C$5:$T$44,$CU12,AM$57),""),1)),IFERROR(INDEX(醫師週班表!$C$5:$T$44,$CU12,AM$57),""))))))</f>
        <v/>
      </c>
      <c r="AN12" s="68">
        <f>IF(AN$59="X","",IF(AN$59&lt;&gt;"",AN$59,IF(IFERROR(INDEX(醫師週班表!$C$5:$T$44,$CU12,AN$57),"")=0,"",IF(LEN(IFERROR(INDEX(醫師週班表!$C$5:$T$44,$CU12,AN$57),""))=4,MID(IFERROR(INDEX(醫師週班表!$C$5:$T$44,$CU12,AN$57),""),1+AN$58*2,1),IF(LEN(IFERROR(INDEX(醫師週班表!$C$5:$T$44,$CU12,AN$57),""))=2,IF(AND(RIGHT(IFERROR(INDEX(醫師週班表!$C$5:$T$44,$CU12,AN$57),""),1)="~",AN$58=1),"",LEFT(IFERROR(INDEX(醫師週班表!$C$5:$T$44,$CU12,AN$57),""),1)),IFERROR(INDEX(醫師週班表!$C$5:$T$44,$CU12,AN$57),""))))))</f>
        <v/>
      </c>
      <c r="AO12" s="67">
        <f>IF(AO$59="X","",IF(AO$59&lt;&gt;"",AO$59,IF(IFERROR(INDEX(醫師週班表!$C$5:$T$44,$CU12,AO$57),"")=0,"",IF(LEN(IFERROR(INDEX(醫師週班表!$C$5:$T$44,$CU12,AO$57),""))=4,MID(IFERROR(INDEX(醫師週班表!$C$5:$T$44,$CU12,AO$57),""),1+AO$58*2,1),IF(LEN(IFERROR(INDEX(醫師週班表!$C$5:$T$44,$CU12,AO$57),""))=2,IF(AND(RIGHT(IFERROR(INDEX(醫師週班表!$C$5:$T$44,$CU12,AO$57),""),1)="~",AO$58=1),"",LEFT(IFERROR(INDEX(醫師週班表!$C$5:$T$44,$CU12,AO$57),""),1)),IFERROR(INDEX(醫師週班表!$C$5:$T$44,$CU12,AO$57),""))))))</f>
        <v/>
      </c>
      <c r="AP12" s="68">
        <f>IF(AP$59="X","",IF(AP$59&lt;&gt;"",AP$59,IF(IFERROR(INDEX(醫師週班表!$C$5:$T$44,$CU12,AP$57),"")=0,"",IF(LEN(IFERROR(INDEX(醫師週班表!$C$5:$T$44,$CU12,AP$57),""))=4,MID(IFERROR(INDEX(醫師週班表!$C$5:$T$44,$CU12,AP$57),""),1+AP$58*2,1),IF(LEN(IFERROR(INDEX(醫師週班表!$C$5:$T$44,$CU12,AP$57),""))=2,IF(AND(RIGHT(IFERROR(INDEX(醫師週班表!$C$5:$T$44,$CU12,AP$57),""),1)="~",AP$58=1),"",LEFT(IFERROR(INDEX(醫師週班表!$C$5:$T$44,$CU12,AP$57),""),1)),IFERROR(INDEX(醫師週班表!$C$5:$T$44,$CU12,AP$57),""))))))</f>
        <v/>
      </c>
      <c r="AQ12" s="68">
        <f>IF(AQ$59="X","",IF(AQ$59&lt;&gt;"",AQ$59,IF(IFERROR(INDEX(醫師週班表!$C$5:$T$44,$CU12,AQ$57),"")=0,"",IF(LEN(IFERROR(INDEX(醫師週班表!$C$5:$T$44,$CU12,AQ$57),""))=4,MID(IFERROR(INDEX(醫師週班表!$C$5:$T$44,$CU12,AQ$57),""),1+AQ$58*2,1),IF(LEN(IFERROR(INDEX(醫師週班表!$C$5:$T$44,$CU12,AQ$57),""))=2,IF(AND(RIGHT(IFERROR(INDEX(醫師週班表!$C$5:$T$44,$CU12,AQ$57),""),1)="~",AQ$58=1),"",LEFT(IFERROR(INDEX(醫師週班表!$C$5:$T$44,$CU12,AQ$57),""),1)),IFERROR(INDEX(醫師週班表!$C$5:$T$44,$CU12,AQ$57),""))))))</f>
        <v/>
      </c>
      <c r="AR12" s="67">
        <f>IF(AR$59="X","",IF(AR$59&lt;&gt;"",AR$59,IF(IFERROR(INDEX(醫師週班表!$C$5:$T$44,$CU12,AR$57),"")=0,"",IF(LEN(IFERROR(INDEX(醫師週班表!$C$5:$T$44,$CU12,AR$57),""))=4,MID(IFERROR(INDEX(醫師週班表!$C$5:$T$44,$CU12,AR$57),""),1+AR$58*2,1),IF(LEN(IFERROR(INDEX(醫師週班表!$C$5:$T$44,$CU12,AR$57),""))=2,IF(AND(RIGHT(IFERROR(INDEX(醫師週班表!$C$5:$T$44,$CU12,AR$57),""),1)="~",AR$58=1),"",LEFT(IFERROR(INDEX(醫師週班表!$C$5:$T$44,$CU12,AR$57),""),1)),IFERROR(INDEX(醫師週班表!$C$5:$T$44,$CU12,AR$57),""))))))</f>
        <v/>
      </c>
      <c r="AS12" s="68">
        <f>IF(AS$59="X","",IF(AS$59&lt;&gt;"",AS$59,IF(IFERROR(INDEX(醫師週班表!$C$5:$T$44,$CU12,AS$57),"")=0,"",IF(LEN(IFERROR(INDEX(醫師週班表!$C$5:$T$44,$CU12,AS$57),""))=4,MID(IFERROR(INDEX(醫師週班表!$C$5:$T$44,$CU12,AS$57),""),1+AS$58*2,1),IF(LEN(IFERROR(INDEX(醫師週班表!$C$5:$T$44,$CU12,AS$57),""))=2,IF(AND(RIGHT(IFERROR(INDEX(醫師週班表!$C$5:$T$44,$CU12,AS$57),""),1)="~",AS$58=1),"",LEFT(IFERROR(INDEX(醫師週班表!$C$5:$T$44,$CU12,AS$57),""),1)),IFERROR(INDEX(醫師週班表!$C$5:$T$44,$CU12,AS$57),""))))))</f>
        <v/>
      </c>
      <c r="AT12" s="68">
        <f>IF(AT$59="X","",IF(AT$59&lt;&gt;"",AT$59,IF(IFERROR(INDEX(醫師週班表!$C$5:$T$44,$CU12,AT$57),"")=0,"",IF(LEN(IFERROR(INDEX(醫師週班表!$C$5:$T$44,$CU12,AT$57),""))=4,MID(IFERROR(INDEX(醫師週班表!$C$5:$T$44,$CU12,AT$57),""),1+AT$58*2,1),IF(LEN(IFERROR(INDEX(醫師週班表!$C$5:$T$44,$CU12,AT$57),""))=2,IF(AND(RIGHT(IFERROR(INDEX(醫師週班表!$C$5:$T$44,$CU12,AT$57),""),1)="~",AT$58=1),"",LEFT(IFERROR(INDEX(醫師週班表!$C$5:$T$44,$CU12,AT$57),""),1)),IFERROR(INDEX(醫師週班表!$C$5:$T$44,$CU12,AT$57),""))))))</f>
        <v/>
      </c>
      <c r="AU12" s="67">
        <f>IF(AU$59="X","",IF(AU$59&lt;&gt;"",AU$59,IF(IFERROR(INDEX(醫師週班表!$C$5:$T$44,$CU12,AU$57),"")=0,"",IF(LEN(IFERROR(INDEX(醫師週班表!$C$5:$T$44,$CU12,AU$57),""))=4,MID(IFERROR(INDEX(醫師週班表!$C$5:$T$44,$CU12,AU$57),""),1+AU$58*2,1),IF(LEN(IFERROR(INDEX(醫師週班表!$C$5:$T$44,$CU12,AU$57),""))=2,IF(AND(RIGHT(IFERROR(INDEX(醫師週班表!$C$5:$T$44,$CU12,AU$57),""),1)="~",AU$58=1),"",LEFT(IFERROR(INDEX(醫師週班表!$C$5:$T$44,$CU12,AU$57),""),1)),IFERROR(INDEX(醫師週班表!$C$5:$T$44,$CU12,AU$57),""))))))</f>
        <v/>
      </c>
      <c r="AV12" s="68">
        <f>IF(AV$59="X","",IF(AV$59&lt;&gt;"",AV$59,IF(IFERROR(INDEX(醫師週班表!$C$5:$T$44,$CU12,AV$57),"")=0,"",IF(LEN(IFERROR(INDEX(醫師週班表!$C$5:$T$44,$CU12,AV$57),""))=4,MID(IFERROR(INDEX(醫師週班表!$C$5:$T$44,$CU12,AV$57),""),1+AV$58*2,1),IF(LEN(IFERROR(INDEX(醫師週班表!$C$5:$T$44,$CU12,AV$57),""))=2,IF(AND(RIGHT(IFERROR(INDEX(醫師週班表!$C$5:$T$44,$CU12,AV$57),""),1)="~",AV$58=1),"",LEFT(IFERROR(INDEX(醫師週班表!$C$5:$T$44,$CU12,AV$57),""),1)),IFERROR(INDEX(醫師週班表!$C$5:$T$44,$CU12,AV$57),""))))))</f>
        <v/>
      </c>
      <c r="AW12" s="68">
        <f>IF(AW$59="X","",IF(AW$59&lt;&gt;"",AW$59,IF(IFERROR(INDEX(醫師週班表!$C$5:$T$44,$CU12,AW$57),"")=0,"",IF(LEN(IFERROR(INDEX(醫師週班表!$C$5:$T$44,$CU12,AW$57),""))=4,MID(IFERROR(INDEX(醫師週班表!$C$5:$T$44,$CU12,AW$57),""),1+AW$58*2,1),IF(LEN(IFERROR(INDEX(醫師週班表!$C$5:$T$44,$CU12,AW$57),""))=2,IF(AND(RIGHT(IFERROR(INDEX(醫師週班表!$C$5:$T$44,$CU12,AW$57),""),1)="~",AW$58=1),"",LEFT(IFERROR(INDEX(醫師週班表!$C$5:$T$44,$CU12,AW$57),""),1)),IFERROR(INDEX(醫師週班表!$C$5:$T$44,$CU12,AW$57),""))))))</f>
        <v/>
      </c>
      <c r="AX12" s="67">
        <f>IF(AX$59="X","",IF(AX$59&lt;&gt;"",AX$59,IF(IFERROR(INDEX(醫師週班表!$C$5:$T$44,$CU12,AX$57),"")=0,"",IF(LEN(IFERROR(INDEX(醫師週班表!$C$5:$T$44,$CU12,AX$57),""))=4,MID(IFERROR(INDEX(醫師週班表!$C$5:$T$44,$CU12,AX$57),""),1+AX$58*2,1),IF(LEN(IFERROR(INDEX(醫師週班表!$C$5:$T$44,$CU12,AX$57),""))=2,IF(AND(RIGHT(IFERROR(INDEX(醫師週班表!$C$5:$T$44,$CU12,AX$57),""),1)="~",AX$58=1),"",LEFT(IFERROR(INDEX(醫師週班表!$C$5:$T$44,$CU12,AX$57),""),1)),IFERROR(INDEX(醫師週班表!$C$5:$T$44,$CU12,AX$57),""))))))</f>
        <v/>
      </c>
      <c r="AY12" s="68">
        <f>IF(AY$59="X","",IF(AY$59&lt;&gt;"",AY$59,IF(IFERROR(INDEX(醫師週班表!$C$5:$T$44,$CU12,AY$57),"")=0,"",IF(LEN(IFERROR(INDEX(醫師週班表!$C$5:$T$44,$CU12,AY$57),""))=4,MID(IFERROR(INDEX(醫師週班表!$C$5:$T$44,$CU12,AY$57),""),1+AY$58*2,1),IF(LEN(IFERROR(INDEX(醫師週班表!$C$5:$T$44,$CU12,AY$57),""))=2,IF(AND(RIGHT(IFERROR(INDEX(醫師週班表!$C$5:$T$44,$CU12,AY$57),""),1)="~",AY$58=1),"",LEFT(IFERROR(INDEX(醫師週班表!$C$5:$T$44,$CU12,AY$57),""),1)),IFERROR(INDEX(醫師週班表!$C$5:$T$44,$CU12,AY$57),""))))))</f>
        <v/>
      </c>
      <c r="AZ12" s="68">
        <f>IF(AZ$59="X","",IF(AZ$59&lt;&gt;"",AZ$59,IF(IFERROR(INDEX(醫師週班表!$C$5:$T$44,$CU12,AZ$57),"")=0,"",IF(LEN(IFERROR(INDEX(醫師週班表!$C$5:$T$44,$CU12,AZ$57),""))=4,MID(IFERROR(INDEX(醫師週班表!$C$5:$T$44,$CU12,AZ$57),""),1+AZ$58*2,1),IF(LEN(IFERROR(INDEX(醫師週班表!$C$5:$T$44,$CU12,AZ$57),""))=2,IF(AND(RIGHT(IFERROR(INDEX(醫師週班表!$C$5:$T$44,$CU12,AZ$57),""),1)="~",AZ$58=1),"",LEFT(IFERROR(INDEX(醫師週班表!$C$5:$T$44,$CU12,AZ$57),""),1)),IFERROR(INDEX(醫師週班表!$C$5:$T$44,$CU12,AZ$57),""))))))</f>
        <v/>
      </c>
      <c r="BA12" s="67">
        <f>IF(BA$59="X","",IF(BA$59&lt;&gt;"",BA$59,IF(IFERROR(INDEX(醫師週班表!$C$5:$T$44,$CU12,BA$57),"")=0,"",IF(LEN(IFERROR(INDEX(醫師週班表!$C$5:$T$44,$CU12,BA$57),""))=4,MID(IFERROR(INDEX(醫師週班表!$C$5:$T$44,$CU12,BA$57),""),1+BA$58*2,1),IF(LEN(IFERROR(INDEX(醫師週班表!$C$5:$T$44,$CU12,BA$57),""))=2,IF(AND(RIGHT(IFERROR(INDEX(醫師週班表!$C$5:$T$44,$CU12,BA$57),""),1)="~",BA$58=1),"",LEFT(IFERROR(INDEX(醫師週班表!$C$5:$T$44,$CU12,BA$57),""),1)),IFERROR(INDEX(醫師週班表!$C$5:$T$44,$CU12,BA$57),""))))))</f>
        <v/>
      </c>
      <c r="BB12" s="68">
        <f>IF(BB$59="X","",IF(BB$59&lt;&gt;"",BB$59,IF(IFERROR(INDEX(醫師週班表!$C$5:$T$44,$CU12,BB$57),"")=0,"",IF(LEN(IFERROR(INDEX(醫師週班表!$C$5:$T$44,$CU12,BB$57),""))=4,MID(IFERROR(INDEX(醫師週班表!$C$5:$T$44,$CU12,BB$57),""),1+BB$58*2,1),IF(LEN(IFERROR(INDEX(醫師週班表!$C$5:$T$44,$CU12,BB$57),""))=2,IF(AND(RIGHT(IFERROR(INDEX(醫師週班表!$C$5:$T$44,$CU12,BB$57),""),1)="~",BB$58=1),"",LEFT(IFERROR(INDEX(醫師週班表!$C$5:$T$44,$CU12,BB$57),""),1)),IFERROR(INDEX(醫師週班表!$C$5:$T$44,$CU12,BB$57),""))))))</f>
        <v/>
      </c>
      <c r="BC12" s="68">
        <f>IF(BC$59="X","",IF(BC$59&lt;&gt;"",BC$59,IF(IFERROR(INDEX(醫師週班表!$C$5:$T$44,$CU12,BC$57),"")=0,"",IF(LEN(IFERROR(INDEX(醫師週班表!$C$5:$T$44,$CU12,BC$57),""))=4,MID(IFERROR(INDEX(醫師週班表!$C$5:$T$44,$CU12,BC$57),""),1+BC$58*2,1),IF(LEN(IFERROR(INDEX(醫師週班表!$C$5:$T$44,$CU12,BC$57),""))=2,IF(AND(RIGHT(IFERROR(INDEX(醫師週班表!$C$5:$T$44,$CU12,BC$57),""),1)="~",BC$58=1),"",LEFT(IFERROR(INDEX(醫師週班表!$C$5:$T$44,$CU12,BC$57),""),1)),IFERROR(INDEX(醫師週班表!$C$5:$T$44,$CU12,BC$57),""))))))</f>
        <v/>
      </c>
      <c r="BD12" s="67">
        <f>IF(BD$59="X","",IF(BD$59&lt;&gt;"",BD$59,IF(IFERROR(INDEX(醫師週班表!$C$5:$T$44,$CU12,BD$57),"")=0,"",IF(LEN(IFERROR(INDEX(醫師週班表!$C$5:$T$44,$CU12,BD$57),""))=4,MID(IFERROR(INDEX(醫師週班表!$C$5:$T$44,$CU12,BD$57),""),1+BD$58*2,1),IF(LEN(IFERROR(INDEX(醫師週班表!$C$5:$T$44,$CU12,BD$57),""))=2,IF(AND(RIGHT(IFERROR(INDEX(醫師週班表!$C$5:$T$44,$CU12,BD$57),""),1)="~",BD$58=1),"",LEFT(IFERROR(INDEX(醫師週班表!$C$5:$T$44,$CU12,BD$57),""),1)),IFERROR(INDEX(醫師週班表!$C$5:$T$44,$CU12,BD$57),""))))))</f>
        <v/>
      </c>
      <c r="BE12" s="68">
        <f>IF(BE$59="X","",IF(BE$59&lt;&gt;"",BE$59,IF(IFERROR(INDEX(醫師週班表!$C$5:$T$44,$CU12,BE$57),"")=0,"",IF(LEN(IFERROR(INDEX(醫師週班表!$C$5:$T$44,$CU12,BE$57),""))=4,MID(IFERROR(INDEX(醫師週班表!$C$5:$T$44,$CU12,BE$57),""),1+BE$58*2,1),IF(LEN(IFERROR(INDEX(醫師週班表!$C$5:$T$44,$CU12,BE$57),""))=2,IF(AND(RIGHT(IFERROR(INDEX(醫師週班表!$C$5:$T$44,$CU12,BE$57),""),1)="~",BE$58=1),"",LEFT(IFERROR(INDEX(醫師週班表!$C$5:$T$44,$CU12,BE$57),""),1)),IFERROR(INDEX(醫師週班表!$C$5:$T$44,$CU12,BE$57),""))))))</f>
        <v/>
      </c>
      <c r="BF12" s="68">
        <f>IF(BF$59="X","",IF(BF$59&lt;&gt;"",BF$59,IF(IFERROR(INDEX(醫師週班表!$C$5:$T$44,$CU12,BF$57),"")=0,"",IF(LEN(IFERROR(INDEX(醫師週班表!$C$5:$T$44,$CU12,BF$57),""))=4,MID(IFERROR(INDEX(醫師週班表!$C$5:$T$44,$CU12,BF$57),""),1+BF$58*2,1),IF(LEN(IFERROR(INDEX(醫師週班表!$C$5:$T$44,$CU12,BF$57),""))=2,IF(AND(RIGHT(IFERROR(INDEX(醫師週班表!$C$5:$T$44,$CU12,BF$57),""),1)="~",BF$58=1),"",LEFT(IFERROR(INDEX(醫師週班表!$C$5:$T$44,$CU12,BF$57),""),1)),IFERROR(INDEX(醫師週班表!$C$5:$T$44,$CU12,BF$57),""))))))</f>
        <v/>
      </c>
      <c r="BG12" s="67">
        <f>IF(BG$59="X","",IF(BG$59&lt;&gt;"",BG$59,IF(IFERROR(INDEX(醫師週班表!$C$5:$T$44,$CU12,BG$57),"")=0,"",IF(LEN(IFERROR(INDEX(醫師週班表!$C$5:$T$44,$CU12,BG$57),""))=4,MID(IFERROR(INDEX(醫師週班表!$C$5:$T$44,$CU12,BG$57),""),1+BG$58*2,1),IF(LEN(IFERROR(INDEX(醫師週班表!$C$5:$T$44,$CU12,BG$57),""))=2,IF(AND(RIGHT(IFERROR(INDEX(醫師週班表!$C$5:$T$44,$CU12,BG$57),""),1)="~",BG$58=1),"",LEFT(IFERROR(INDEX(醫師週班表!$C$5:$T$44,$CU12,BG$57),""),1)),IFERROR(INDEX(醫師週班表!$C$5:$T$44,$CU12,BG$57),""))))))</f>
        <v/>
      </c>
      <c r="BH12" s="68">
        <f>IF(BH$59="X","",IF(BH$59&lt;&gt;"",BH$59,IF(IFERROR(INDEX(醫師週班表!$C$5:$T$44,$CU12,BH$57),"")=0,"",IF(LEN(IFERROR(INDEX(醫師週班表!$C$5:$T$44,$CU12,BH$57),""))=4,MID(IFERROR(INDEX(醫師週班表!$C$5:$T$44,$CU12,BH$57),""),1+BH$58*2,1),IF(LEN(IFERROR(INDEX(醫師週班表!$C$5:$T$44,$CU12,BH$57),""))=2,IF(AND(RIGHT(IFERROR(INDEX(醫師週班表!$C$5:$T$44,$CU12,BH$57),""),1)="~",BH$58=1),"",LEFT(IFERROR(INDEX(醫師週班表!$C$5:$T$44,$CU12,BH$57),""),1)),IFERROR(INDEX(醫師週班表!$C$5:$T$44,$CU12,BH$57),""))))))</f>
        <v/>
      </c>
      <c r="BI12" s="68">
        <f>IF(BI$59="X","",IF(BI$59&lt;&gt;"",BI$59,IF(IFERROR(INDEX(醫師週班表!$C$5:$T$44,$CU12,BI$57),"")=0,"",IF(LEN(IFERROR(INDEX(醫師週班表!$C$5:$T$44,$CU12,BI$57),""))=4,MID(IFERROR(INDEX(醫師週班表!$C$5:$T$44,$CU12,BI$57),""),1+BI$58*2,1),IF(LEN(IFERROR(INDEX(醫師週班表!$C$5:$T$44,$CU12,BI$57),""))=2,IF(AND(RIGHT(IFERROR(INDEX(醫師週班表!$C$5:$T$44,$CU12,BI$57),""),1)="~",BI$58=1),"",LEFT(IFERROR(INDEX(醫師週班表!$C$5:$T$44,$CU12,BI$57),""),1)),IFERROR(INDEX(醫師週班表!$C$5:$T$44,$CU12,BI$57),""))))))</f>
        <v/>
      </c>
      <c r="BJ12" s="67">
        <f>IF(BJ$59="X","",IF(BJ$59&lt;&gt;"",BJ$59,IF(IFERROR(INDEX(醫師週班表!$C$5:$T$44,$CU12,BJ$57),"")=0,"",IF(LEN(IFERROR(INDEX(醫師週班表!$C$5:$T$44,$CU12,BJ$57),""))=4,MID(IFERROR(INDEX(醫師週班表!$C$5:$T$44,$CU12,BJ$57),""),1+BJ$58*2,1),IF(LEN(IFERROR(INDEX(醫師週班表!$C$5:$T$44,$CU12,BJ$57),""))=2,IF(AND(RIGHT(IFERROR(INDEX(醫師週班表!$C$5:$T$44,$CU12,BJ$57),""),1)="~",BJ$58=1),"",LEFT(IFERROR(INDEX(醫師週班表!$C$5:$T$44,$CU12,BJ$57),""),1)),IFERROR(INDEX(醫師週班表!$C$5:$T$44,$CU12,BJ$57),""))))))</f>
        <v/>
      </c>
      <c r="BK12" s="68">
        <f>IF(BK$59="X","",IF(BK$59&lt;&gt;"",BK$59,IF(IFERROR(INDEX(醫師週班表!$C$5:$T$44,$CU12,BK$57),"")=0,"",IF(LEN(IFERROR(INDEX(醫師週班表!$C$5:$T$44,$CU12,BK$57),""))=4,MID(IFERROR(INDEX(醫師週班表!$C$5:$T$44,$CU12,BK$57),""),1+BK$58*2,1),IF(LEN(IFERROR(INDEX(醫師週班表!$C$5:$T$44,$CU12,BK$57),""))=2,IF(AND(RIGHT(IFERROR(INDEX(醫師週班表!$C$5:$T$44,$CU12,BK$57),""),1)="~",BK$58=1),"",LEFT(IFERROR(INDEX(醫師週班表!$C$5:$T$44,$CU12,BK$57),""),1)),IFERROR(INDEX(醫師週班表!$C$5:$T$44,$CU12,BK$57),""))))))</f>
        <v/>
      </c>
      <c r="BL12" s="68">
        <f>IF(BL$59="X","",IF(BL$59&lt;&gt;"",BL$59,IF(IFERROR(INDEX(醫師週班表!$C$5:$T$44,$CU12,BL$57),"")=0,"",IF(LEN(IFERROR(INDEX(醫師週班表!$C$5:$T$44,$CU12,BL$57),""))=4,MID(IFERROR(INDEX(醫師週班表!$C$5:$T$44,$CU12,BL$57),""),1+BL$58*2,1),IF(LEN(IFERROR(INDEX(醫師週班表!$C$5:$T$44,$CU12,BL$57),""))=2,IF(AND(RIGHT(IFERROR(INDEX(醫師週班表!$C$5:$T$44,$CU12,BL$57),""),1)="~",BL$58=1),"",LEFT(IFERROR(INDEX(醫師週班表!$C$5:$T$44,$CU12,BL$57),""),1)),IFERROR(INDEX(醫師週班表!$C$5:$T$44,$CU12,BL$57),""))))))</f>
        <v/>
      </c>
      <c r="BM12" s="67">
        <f>IF(BM$59="X","",IF(BM$59&lt;&gt;"",BM$59,IF(IFERROR(INDEX(醫師週班表!$C$5:$T$44,$CU12,BM$57),"")=0,"",IF(LEN(IFERROR(INDEX(醫師週班表!$C$5:$T$44,$CU12,BM$57),""))=4,MID(IFERROR(INDEX(醫師週班表!$C$5:$T$44,$CU12,BM$57),""),1+BM$58*2,1),IF(LEN(IFERROR(INDEX(醫師週班表!$C$5:$T$44,$CU12,BM$57),""))=2,IF(AND(RIGHT(IFERROR(INDEX(醫師週班表!$C$5:$T$44,$CU12,BM$57),""),1)="~",BM$58=1),"",LEFT(IFERROR(INDEX(醫師週班表!$C$5:$T$44,$CU12,BM$57),""),1)),IFERROR(INDEX(醫師週班表!$C$5:$T$44,$CU12,BM$57),""))))))</f>
        <v/>
      </c>
      <c r="BN12" s="68">
        <f>IF(BN$59="X","",IF(BN$59&lt;&gt;"",BN$59,IF(IFERROR(INDEX(醫師週班表!$C$5:$T$44,$CU12,BN$57),"")=0,"",IF(LEN(IFERROR(INDEX(醫師週班表!$C$5:$T$44,$CU12,BN$57),""))=4,MID(IFERROR(INDEX(醫師週班表!$C$5:$T$44,$CU12,BN$57),""),1+BN$58*2,1),IF(LEN(IFERROR(INDEX(醫師週班表!$C$5:$T$44,$CU12,BN$57),""))=2,IF(AND(RIGHT(IFERROR(INDEX(醫師週班表!$C$5:$T$44,$CU12,BN$57),""),1)="~",BN$58=1),"",LEFT(IFERROR(INDEX(醫師週班表!$C$5:$T$44,$CU12,BN$57),""),1)),IFERROR(INDEX(醫師週班表!$C$5:$T$44,$CU12,BN$57),""))))))</f>
        <v/>
      </c>
      <c r="BO12" s="68">
        <f>IF(BO$59="X","",IF(BO$59&lt;&gt;"",BO$59,IF(IFERROR(INDEX(醫師週班表!$C$5:$T$44,$CU12,BO$57),"")=0,"",IF(LEN(IFERROR(INDEX(醫師週班表!$C$5:$T$44,$CU12,BO$57),""))=4,MID(IFERROR(INDEX(醫師週班表!$C$5:$T$44,$CU12,BO$57),""),1+BO$58*2,1),IF(LEN(IFERROR(INDEX(醫師週班表!$C$5:$T$44,$CU12,BO$57),""))=2,IF(AND(RIGHT(IFERROR(INDEX(醫師週班表!$C$5:$T$44,$CU12,BO$57),""),1)="~",BO$58=1),"",LEFT(IFERROR(INDEX(醫師週班表!$C$5:$T$44,$CU12,BO$57),""),1)),IFERROR(INDEX(醫師週班表!$C$5:$T$44,$CU12,BO$57),""))))))</f>
        <v/>
      </c>
      <c r="BP12" s="67">
        <f>IF(BP$59="X","",IF(BP$59&lt;&gt;"",BP$59,IF(IFERROR(INDEX(醫師週班表!$C$5:$T$44,$CU12,BP$57),"")=0,"",IF(LEN(IFERROR(INDEX(醫師週班表!$C$5:$T$44,$CU12,BP$57),""))=4,MID(IFERROR(INDEX(醫師週班表!$C$5:$T$44,$CU12,BP$57),""),1+BP$58*2,1),IF(LEN(IFERROR(INDEX(醫師週班表!$C$5:$T$44,$CU12,BP$57),""))=2,IF(AND(RIGHT(IFERROR(INDEX(醫師週班表!$C$5:$T$44,$CU12,BP$57),""),1)="~",BP$58=1),"",LEFT(IFERROR(INDEX(醫師週班表!$C$5:$T$44,$CU12,BP$57),""),1)),IFERROR(INDEX(醫師週班表!$C$5:$T$44,$CU12,BP$57),""))))))</f>
        <v/>
      </c>
      <c r="BQ12" s="68">
        <f>IF(BQ$59="X","",IF(BQ$59&lt;&gt;"",BQ$59,IF(IFERROR(INDEX(醫師週班表!$C$5:$T$44,$CU12,BQ$57),"")=0,"",IF(LEN(IFERROR(INDEX(醫師週班表!$C$5:$T$44,$CU12,BQ$57),""))=4,MID(IFERROR(INDEX(醫師週班表!$C$5:$T$44,$CU12,BQ$57),""),1+BQ$58*2,1),IF(LEN(IFERROR(INDEX(醫師週班表!$C$5:$T$44,$CU12,BQ$57),""))=2,IF(AND(RIGHT(IFERROR(INDEX(醫師週班表!$C$5:$T$44,$CU12,BQ$57),""),1)="~",BQ$58=1),"",LEFT(IFERROR(INDEX(醫師週班表!$C$5:$T$44,$CU12,BQ$57),""),1)),IFERROR(INDEX(醫師週班表!$C$5:$T$44,$CU12,BQ$57),""))))))</f>
        <v/>
      </c>
      <c r="BR12" s="68">
        <f>IF(BR$59="X","",IF(BR$59&lt;&gt;"",BR$59,IF(IFERROR(INDEX(醫師週班表!$C$5:$T$44,$CU12,BR$57),"")=0,"",IF(LEN(IFERROR(INDEX(醫師週班表!$C$5:$T$44,$CU12,BR$57),""))=4,MID(IFERROR(INDEX(醫師週班表!$C$5:$T$44,$CU12,BR$57),""),1+BR$58*2,1),IF(LEN(IFERROR(INDEX(醫師週班表!$C$5:$T$44,$CU12,BR$57),""))=2,IF(AND(RIGHT(IFERROR(INDEX(醫師週班表!$C$5:$T$44,$CU12,BR$57),""),1)="~",BR$58=1),"",LEFT(IFERROR(INDEX(醫師週班表!$C$5:$T$44,$CU12,BR$57),""),1)),IFERROR(INDEX(醫師週班表!$C$5:$T$44,$CU12,BR$57),""))))))</f>
        <v/>
      </c>
      <c r="BS12" s="67">
        <f>IF(BS$59="X","",IF(BS$59&lt;&gt;"",BS$59,IF(IFERROR(INDEX(醫師週班表!$C$5:$T$44,$CU12,BS$57),"")=0,"",IF(LEN(IFERROR(INDEX(醫師週班表!$C$5:$T$44,$CU12,BS$57),""))=4,MID(IFERROR(INDEX(醫師週班表!$C$5:$T$44,$CU12,BS$57),""),1+BS$58*2,1),IF(LEN(IFERROR(INDEX(醫師週班表!$C$5:$T$44,$CU12,BS$57),""))=2,IF(AND(RIGHT(IFERROR(INDEX(醫師週班表!$C$5:$T$44,$CU12,BS$57),""),1)="~",BS$58=1),"",LEFT(IFERROR(INDEX(醫師週班表!$C$5:$T$44,$CU12,BS$57),""),1)),IFERROR(INDEX(醫師週班表!$C$5:$T$44,$CU12,BS$57),""))))))</f>
        <v/>
      </c>
      <c r="BT12" s="68">
        <f>IF(BT$59="X","",IF(BT$59&lt;&gt;"",BT$59,IF(IFERROR(INDEX(醫師週班表!$C$5:$T$44,$CU12,BT$57),"")=0,"",IF(LEN(IFERROR(INDEX(醫師週班表!$C$5:$T$44,$CU12,BT$57),""))=4,MID(IFERROR(INDEX(醫師週班表!$C$5:$T$44,$CU12,BT$57),""),1+BT$58*2,1),IF(LEN(IFERROR(INDEX(醫師週班表!$C$5:$T$44,$CU12,BT$57),""))=2,IF(AND(RIGHT(IFERROR(INDEX(醫師週班表!$C$5:$T$44,$CU12,BT$57),""),1)="~",BT$58=1),"",LEFT(IFERROR(INDEX(醫師週班表!$C$5:$T$44,$CU12,BT$57),""),1)),IFERROR(INDEX(醫師週班表!$C$5:$T$44,$CU12,BT$57),""))))))</f>
        <v/>
      </c>
      <c r="BU12" s="68">
        <f>IF(BU$59="X","",IF(BU$59&lt;&gt;"",BU$59,IF(IFERROR(INDEX(醫師週班表!$C$5:$T$44,$CU12,BU$57),"")=0,"",IF(LEN(IFERROR(INDEX(醫師週班表!$C$5:$T$44,$CU12,BU$57),""))=4,MID(IFERROR(INDEX(醫師週班表!$C$5:$T$44,$CU12,BU$57),""),1+BU$58*2,1),IF(LEN(IFERROR(INDEX(醫師週班表!$C$5:$T$44,$CU12,BU$57),""))=2,IF(AND(RIGHT(IFERROR(INDEX(醫師週班表!$C$5:$T$44,$CU12,BU$57),""),1)="~",BU$58=1),"",LEFT(IFERROR(INDEX(醫師週班表!$C$5:$T$44,$CU12,BU$57),""),1)),IFERROR(INDEX(醫師週班表!$C$5:$T$44,$CU12,BU$57),""))))))</f>
        <v/>
      </c>
      <c r="BV12" s="67">
        <f>IF(BV$59="X","",IF(BV$59&lt;&gt;"",BV$59,IF(IFERROR(INDEX(醫師週班表!$C$5:$T$44,$CU12,BV$57),"")=0,"",IF(LEN(IFERROR(INDEX(醫師週班表!$C$5:$T$44,$CU12,BV$57),""))=4,MID(IFERROR(INDEX(醫師週班表!$C$5:$T$44,$CU12,BV$57),""),1+BV$58*2,1),IF(LEN(IFERROR(INDEX(醫師週班表!$C$5:$T$44,$CU12,BV$57),""))=2,IF(AND(RIGHT(IFERROR(INDEX(醫師週班表!$C$5:$T$44,$CU12,BV$57),""),1)="~",BV$58=1),"",LEFT(IFERROR(INDEX(醫師週班表!$C$5:$T$44,$CU12,BV$57),""),1)),IFERROR(INDEX(醫師週班表!$C$5:$T$44,$CU12,BV$57),""))))))</f>
        <v/>
      </c>
      <c r="BW12" s="68">
        <f>IF(BW$59="X","",IF(BW$59&lt;&gt;"",BW$59,IF(IFERROR(INDEX(醫師週班表!$C$5:$T$44,$CU12,BW$57),"")=0,"",IF(LEN(IFERROR(INDEX(醫師週班表!$C$5:$T$44,$CU12,BW$57),""))=4,MID(IFERROR(INDEX(醫師週班表!$C$5:$T$44,$CU12,BW$57),""),1+BW$58*2,1),IF(LEN(IFERROR(INDEX(醫師週班表!$C$5:$T$44,$CU12,BW$57),""))=2,IF(AND(RIGHT(IFERROR(INDEX(醫師週班表!$C$5:$T$44,$CU12,BW$57),""),1)="~",BW$58=1),"",LEFT(IFERROR(INDEX(醫師週班表!$C$5:$T$44,$CU12,BW$57),""),1)),IFERROR(INDEX(醫師週班表!$C$5:$T$44,$CU12,BW$57),""))))))</f>
        <v/>
      </c>
      <c r="BX12" s="68">
        <f>IF(BX$59="X","",IF(BX$59&lt;&gt;"",BX$59,IF(IFERROR(INDEX(醫師週班表!$C$5:$T$44,$CU12,BX$57),"")=0,"",IF(LEN(IFERROR(INDEX(醫師週班表!$C$5:$T$44,$CU12,BX$57),""))=4,MID(IFERROR(INDEX(醫師週班表!$C$5:$T$44,$CU12,BX$57),""),1+BX$58*2,1),IF(LEN(IFERROR(INDEX(醫師週班表!$C$5:$T$44,$CU12,BX$57),""))=2,IF(AND(RIGHT(IFERROR(INDEX(醫師週班表!$C$5:$T$44,$CU12,BX$57),""),1)="~",BX$58=1),"",LEFT(IFERROR(INDEX(醫師週班表!$C$5:$T$44,$CU12,BX$57),""),1)),IFERROR(INDEX(醫師週班表!$C$5:$T$44,$CU12,BX$57),""))))))</f>
        <v/>
      </c>
      <c r="BY12" s="67">
        <f>IF(BY$59="X","",IF(BY$59&lt;&gt;"",BY$59,IF(IFERROR(INDEX(醫師週班表!$C$5:$T$44,$CU12,BY$57),"")=0,"",IF(LEN(IFERROR(INDEX(醫師週班表!$C$5:$T$44,$CU12,BY$57),""))=4,MID(IFERROR(INDEX(醫師週班表!$C$5:$T$44,$CU12,BY$57),""),1+BY$58*2,1),IF(LEN(IFERROR(INDEX(醫師週班表!$C$5:$T$44,$CU12,BY$57),""))=2,IF(AND(RIGHT(IFERROR(INDEX(醫師週班表!$C$5:$T$44,$CU12,BY$57),""),1)="~",BY$58=1),"",LEFT(IFERROR(INDEX(醫師週班表!$C$5:$T$44,$CU12,BY$57),""),1)),IFERROR(INDEX(醫師週班表!$C$5:$T$44,$CU12,BY$57),""))))))</f>
        <v/>
      </c>
      <c r="BZ12" s="68">
        <f>IF(BZ$59="X","",IF(BZ$59&lt;&gt;"",BZ$59,IF(IFERROR(INDEX(醫師週班表!$C$5:$T$44,$CU12,BZ$57),"")=0,"",IF(LEN(IFERROR(INDEX(醫師週班表!$C$5:$T$44,$CU12,BZ$57),""))=4,MID(IFERROR(INDEX(醫師週班表!$C$5:$T$44,$CU12,BZ$57),""),1+BZ$58*2,1),IF(LEN(IFERROR(INDEX(醫師週班表!$C$5:$T$44,$CU12,BZ$57),""))=2,IF(AND(RIGHT(IFERROR(INDEX(醫師週班表!$C$5:$T$44,$CU12,BZ$57),""),1)="~",BZ$58=1),"",LEFT(IFERROR(INDEX(醫師週班表!$C$5:$T$44,$CU12,BZ$57),""),1)),IFERROR(INDEX(醫師週班表!$C$5:$T$44,$CU12,BZ$57),""))))))</f>
        <v/>
      </c>
      <c r="CA12" s="68">
        <f>IF(CA$59="X","",IF(CA$59&lt;&gt;"",CA$59,IF(IFERROR(INDEX(醫師週班表!$C$5:$T$44,$CU12,CA$57),"")=0,"",IF(LEN(IFERROR(INDEX(醫師週班表!$C$5:$T$44,$CU12,CA$57),""))=4,MID(IFERROR(INDEX(醫師週班表!$C$5:$T$44,$CU12,CA$57),""),1+CA$58*2,1),IF(LEN(IFERROR(INDEX(醫師週班表!$C$5:$T$44,$CU12,CA$57),""))=2,IF(AND(RIGHT(IFERROR(INDEX(醫師週班表!$C$5:$T$44,$CU12,CA$57),""),1)="~",CA$58=1),"",LEFT(IFERROR(INDEX(醫師週班表!$C$5:$T$44,$CU12,CA$57),""),1)),IFERROR(INDEX(醫師週班表!$C$5:$T$44,$CU12,CA$57),""))))))</f>
        <v/>
      </c>
      <c r="CB12" s="67">
        <f>IF(CB$59="X","",IF(CB$59&lt;&gt;"",CB$59,IF(IFERROR(INDEX(醫師週班表!$C$5:$T$44,$CU12,CB$57),"")=0,"",IF(LEN(IFERROR(INDEX(醫師週班表!$C$5:$T$44,$CU12,CB$57),""))=4,MID(IFERROR(INDEX(醫師週班表!$C$5:$T$44,$CU12,CB$57),""),1+CB$58*2,1),IF(LEN(IFERROR(INDEX(醫師週班表!$C$5:$T$44,$CU12,CB$57),""))=2,IF(AND(RIGHT(IFERROR(INDEX(醫師週班表!$C$5:$T$44,$CU12,CB$57),""),1)="~",CB$58=1),"",LEFT(IFERROR(INDEX(醫師週班表!$C$5:$T$44,$CU12,CB$57),""),1)),IFERROR(INDEX(醫師週班表!$C$5:$T$44,$CU12,CB$57),""))))))</f>
        <v/>
      </c>
      <c r="CC12" s="68">
        <f>IF(CC$59="X","",IF(CC$59&lt;&gt;"",CC$59,IF(IFERROR(INDEX(醫師週班表!$C$5:$T$44,$CU12,CC$57),"")=0,"",IF(LEN(IFERROR(INDEX(醫師週班表!$C$5:$T$44,$CU12,CC$57),""))=4,MID(IFERROR(INDEX(醫師週班表!$C$5:$T$44,$CU12,CC$57),""),1+CC$58*2,1),IF(LEN(IFERROR(INDEX(醫師週班表!$C$5:$T$44,$CU12,CC$57),""))=2,IF(AND(RIGHT(IFERROR(INDEX(醫師週班表!$C$5:$T$44,$CU12,CC$57),""),1)="~",CC$58=1),"",LEFT(IFERROR(INDEX(醫師週班表!$C$5:$T$44,$CU12,CC$57),""),1)),IFERROR(INDEX(醫師週班表!$C$5:$T$44,$CU12,CC$57),""))))))</f>
        <v/>
      </c>
      <c r="CD12" s="68">
        <f>IF(CD$59="X","",IF(CD$59&lt;&gt;"",CD$59,IF(IFERROR(INDEX(醫師週班表!$C$5:$T$44,$CU12,CD$57),"")=0,"",IF(LEN(IFERROR(INDEX(醫師週班表!$C$5:$T$44,$CU12,CD$57),""))=4,MID(IFERROR(INDEX(醫師週班表!$C$5:$T$44,$CU12,CD$57),""),1+CD$58*2,1),IF(LEN(IFERROR(INDEX(醫師週班表!$C$5:$T$44,$CU12,CD$57),""))=2,IF(AND(RIGHT(IFERROR(INDEX(醫師週班表!$C$5:$T$44,$CU12,CD$57),""),1)="~",CD$58=1),"",LEFT(IFERROR(INDEX(醫師週班表!$C$5:$T$44,$CU12,CD$57),""),1)),IFERROR(INDEX(醫師週班表!$C$5:$T$44,$CU12,CD$57),""))))))</f>
        <v/>
      </c>
      <c r="CE12" s="67">
        <f>IF(CE$59="X","",IF(CE$59&lt;&gt;"",CE$59,IF(IFERROR(INDEX(醫師週班表!$C$5:$T$44,$CU12,CE$57),"")=0,"",IF(LEN(IFERROR(INDEX(醫師週班表!$C$5:$T$44,$CU12,CE$57),""))=4,MID(IFERROR(INDEX(醫師週班表!$C$5:$T$44,$CU12,CE$57),""),1+CE$58*2,1),IF(LEN(IFERROR(INDEX(醫師週班表!$C$5:$T$44,$CU12,CE$57),""))=2,IF(AND(RIGHT(IFERROR(INDEX(醫師週班表!$C$5:$T$44,$CU12,CE$57),""),1)="~",CE$58=1),"",LEFT(IFERROR(INDEX(醫師週班表!$C$5:$T$44,$CU12,CE$57),""),1)),IFERROR(INDEX(醫師週班表!$C$5:$T$44,$CU12,CE$57),""))))))</f>
        <v/>
      </c>
      <c r="CF12" s="68">
        <f>IF(CF$59="X","",IF(CF$59&lt;&gt;"",CF$59,IF(IFERROR(INDEX(醫師週班表!$C$5:$T$44,$CU12,CF$57),"")=0,"",IF(LEN(IFERROR(INDEX(醫師週班表!$C$5:$T$44,$CU12,CF$57),""))=4,MID(IFERROR(INDEX(醫師週班表!$C$5:$T$44,$CU12,CF$57),""),1+CF$58*2,1),IF(LEN(IFERROR(INDEX(醫師週班表!$C$5:$T$44,$CU12,CF$57),""))=2,IF(AND(RIGHT(IFERROR(INDEX(醫師週班表!$C$5:$T$44,$CU12,CF$57),""),1)="~",CF$58=1),"",LEFT(IFERROR(INDEX(醫師週班表!$C$5:$T$44,$CU12,CF$57),""),1)),IFERROR(INDEX(醫師週班表!$C$5:$T$44,$CU12,CF$57),""))))))</f>
        <v/>
      </c>
      <c r="CG12" s="68">
        <f>IF(CG$59="X","",IF(CG$59&lt;&gt;"",CG$59,IF(IFERROR(INDEX(醫師週班表!$C$5:$T$44,$CU12,CG$57),"")=0,"",IF(LEN(IFERROR(INDEX(醫師週班表!$C$5:$T$44,$CU12,CG$57),""))=4,MID(IFERROR(INDEX(醫師週班表!$C$5:$T$44,$CU12,CG$57),""),1+CG$58*2,1),IF(LEN(IFERROR(INDEX(醫師週班表!$C$5:$T$44,$CU12,CG$57),""))=2,IF(AND(RIGHT(IFERROR(INDEX(醫師週班表!$C$5:$T$44,$CU12,CG$57),""),1)="~",CG$58=1),"",LEFT(IFERROR(INDEX(醫師週班表!$C$5:$T$44,$CU12,CG$57),""),1)),IFERROR(INDEX(醫師週班表!$C$5:$T$44,$CU12,CG$57),""))))))</f>
        <v/>
      </c>
      <c r="CH12" s="67">
        <f>IF(CH$59="X","",IF(CH$59&lt;&gt;"",CH$59,IF(IFERROR(INDEX(醫師週班表!$C$5:$T$44,$CU12,CH$57),"")=0,"",IF(LEN(IFERROR(INDEX(醫師週班表!$C$5:$T$44,$CU12,CH$57),""))=4,MID(IFERROR(INDEX(醫師週班表!$C$5:$T$44,$CU12,CH$57),""),1+CH$58*2,1),IF(LEN(IFERROR(INDEX(醫師週班表!$C$5:$T$44,$CU12,CH$57),""))=2,IF(AND(RIGHT(IFERROR(INDEX(醫師週班表!$C$5:$T$44,$CU12,CH$57),""),1)="~",CH$58=1),"",LEFT(IFERROR(INDEX(醫師週班表!$C$5:$T$44,$CU12,CH$57),""),1)),IFERROR(INDEX(醫師週班表!$C$5:$T$44,$CU12,CH$57),""))))))</f>
        <v/>
      </c>
      <c r="CI12" s="68">
        <f>IF(CI$59="X","",IF(CI$59&lt;&gt;"",CI$59,IF(IFERROR(INDEX(醫師週班表!$C$5:$T$44,$CU12,CI$57),"")=0,"",IF(LEN(IFERROR(INDEX(醫師週班表!$C$5:$T$44,$CU12,CI$57),""))=4,MID(IFERROR(INDEX(醫師週班表!$C$5:$T$44,$CU12,CI$57),""),1+CI$58*2,1),IF(LEN(IFERROR(INDEX(醫師週班表!$C$5:$T$44,$CU12,CI$57),""))=2,IF(AND(RIGHT(IFERROR(INDEX(醫師週班表!$C$5:$T$44,$CU12,CI$57),""),1)="~",CI$58=1),"",LEFT(IFERROR(INDEX(醫師週班表!$C$5:$T$44,$CU12,CI$57),""),1)),IFERROR(INDEX(醫師週班表!$C$5:$T$44,$CU12,CI$57),""))))))</f>
        <v/>
      </c>
      <c r="CJ12" s="68">
        <f>IF(CJ$59="X","",IF(CJ$59&lt;&gt;"",CJ$59,IF(IFERROR(INDEX(醫師週班表!$C$5:$T$44,$CU12,CJ$57),"")=0,"",IF(LEN(IFERROR(INDEX(醫師週班表!$C$5:$T$44,$CU12,CJ$57),""))=4,MID(IFERROR(INDEX(醫師週班表!$C$5:$T$44,$CU12,CJ$57),""),1+CJ$58*2,1),IF(LEN(IFERROR(INDEX(醫師週班表!$C$5:$T$44,$CU12,CJ$57),""))=2,IF(AND(RIGHT(IFERROR(INDEX(醫師週班表!$C$5:$T$44,$CU12,CJ$57),""),1)="~",CJ$58=1),"",LEFT(IFERROR(INDEX(醫師週班表!$C$5:$T$44,$CU12,CJ$57),""),1)),IFERROR(INDEX(醫師週班表!$C$5:$T$44,$CU12,CJ$57),""))))))</f>
        <v/>
      </c>
      <c r="CK12" s="67">
        <f>IF(CK$59="X","",IF(CK$59&lt;&gt;"",CK$59,IF(IFERROR(INDEX(醫師週班表!$C$5:$T$44,$CU12,CK$57),"")=0,"",IF(LEN(IFERROR(INDEX(醫師週班表!$C$5:$T$44,$CU12,CK$57),""))=4,MID(IFERROR(INDEX(醫師週班表!$C$5:$T$44,$CU12,CK$57),""),1+CK$58*2,1),IF(LEN(IFERROR(INDEX(醫師週班表!$C$5:$T$44,$CU12,CK$57),""))=2,IF(AND(RIGHT(IFERROR(INDEX(醫師週班表!$C$5:$T$44,$CU12,CK$57),""),1)="~",CK$58=1),"",LEFT(IFERROR(INDEX(醫師週班表!$C$5:$T$44,$CU12,CK$57),""),1)),IFERROR(INDEX(醫師週班表!$C$5:$T$44,$CU12,CK$57),""))))))</f>
        <v/>
      </c>
      <c r="CL12" s="68">
        <f>IF(CL$59="X","",IF(CL$59&lt;&gt;"",CL$59,IF(IFERROR(INDEX(醫師週班表!$C$5:$T$44,$CU12,CL$57),"")=0,"",IF(LEN(IFERROR(INDEX(醫師週班表!$C$5:$T$44,$CU12,CL$57),""))=4,MID(IFERROR(INDEX(醫師週班表!$C$5:$T$44,$CU12,CL$57),""),1+CL$58*2,1),IF(LEN(IFERROR(INDEX(醫師週班表!$C$5:$T$44,$CU12,CL$57),""))=2,IF(AND(RIGHT(IFERROR(INDEX(醫師週班表!$C$5:$T$44,$CU12,CL$57),""),1)="~",CL$58=1),"",LEFT(IFERROR(INDEX(醫師週班表!$C$5:$T$44,$CU12,CL$57),""),1)),IFERROR(INDEX(醫師週班表!$C$5:$T$44,$CU12,CL$57),""))))))</f>
        <v/>
      </c>
      <c r="CM12" s="68">
        <f>IF(CM$59="X","",IF(CM$59&lt;&gt;"",CM$59,IF(IFERROR(INDEX(醫師週班表!$C$5:$T$44,$CU12,CM$57),"")=0,"",IF(LEN(IFERROR(INDEX(醫師週班表!$C$5:$T$44,$CU12,CM$57),""))=4,MID(IFERROR(INDEX(醫師週班表!$C$5:$T$44,$CU12,CM$57),""),1+CM$58*2,1),IF(LEN(IFERROR(INDEX(醫師週班表!$C$5:$T$44,$CU12,CM$57),""))=2,IF(AND(RIGHT(IFERROR(INDEX(醫師週班表!$C$5:$T$44,$CU12,CM$57),""),1)="~",CM$58=1),"",LEFT(IFERROR(INDEX(醫師週班表!$C$5:$T$44,$CU12,CM$57),""),1)),IFERROR(INDEX(醫師週班表!$C$5:$T$44,$CU12,CM$57),""))))))</f>
        <v/>
      </c>
      <c r="CN12" s="67">
        <f>IF(CN$59="X","",IF(CN$59&lt;&gt;"",CN$59,IF(IFERROR(INDEX(醫師週班表!$C$5:$T$44,$CU12,CN$57),"")=0,"",IF(LEN(IFERROR(INDEX(醫師週班表!$C$5:$T$44,$CU12,CN$57),""))=4,MID(IFERROR(INDEX(醫師週班表!$C$5:$T$44,$CU12,CN$57),""),1+CN$58*2,1),IF(LEN(IFERROR(INDEX(醫師週班表!$C$5:$T$44,$CU12,CN$57),""))=2,IF(AND(RIGHT(IFERROR(INDEX(醫師週班表!$C$5:$T$44,$CU12,CN$57),""),1)="~",CN$58=1),"",LEFT(IFERROR(INDEX(醫師週班表!$C$5:$T$44,$CU12,CN$57),""),1)),IFERROR(INDEX(醫師週班表!$C$5:$T$44,$CU12,CN$57),""))))))</f>
        <v/>
      </c>
      <c r="CO12" s="68">
        <f>IF(CO$59="X","",IF(CO$59&lt;&gt;"",CO$59,IF(IFERROR(INDEX(醫師週班表!$C$5:$T$44,$CU12,CO$57),"")=0,"",IF(LEN(IFERROR(INDEX(醫師週班表!$C$5:$T$44,$CU12,CO$57),""))=4,MID(IFERROR(INDEX(醫師週班表!$C$5:$T$44,$CU12,CO$57),""),1+CO$58*2,1),IF(LEN(IFERROR(INDEX(醫師週班表!$C$5:$T$44,$CU12,CO$57),""))=2,IF(AND(RIGHT(IFERROR(INDEX(醫師週班表!$C$5:$T$44,$CU12,CO$57),""),1)="~",CO$58=1),"",LEFT(IFERROR(INDEX(醫師週班表!$C$5:$T$44,$CU12,CO$57),""),1)),IFERROR(INDEX(醫師週班表!$C$5:$T$44,$CU12,CO$57),""))))))</f>
        <v/>
      </c>
      <c r="CP12" s="68">
        <f>IF(CP$59="X","",IF(CP$59&lt;&gt;"",CP$59,IF(IFERROR(INDEX(醫師週班表!$C$5:$T$44,$CU12,CP$57),"")=0,"",IF(LEN(IFERROR(INDEX(醫師週班表!$C$5:$T$44,$CU12,CP$57),""))=4,MID(IFERROR(INDEX(醫師週班表!$C$5:$T$44,$CU12,CP$57),""),1+CP$58*2,1),IF(LEN(IFERROR(INDEX(醫師週班表!$C$5:$T$44,$CU12,CP$57),""))=2,IF(AND(RIGHT(IFERROR(INDEX(醫師週班表!$C$5:$T$44,$CU12,CP$57),""),1)="~",CP$58=1),"",LEFT(IFERROR(INDEX(醫師週班表!$C$5:$T$44,$CU12,CP$57),""),1)),IFERROR(INDEX(醫師週班表!$C$5:$T$44,$CU12,CP$57),""))))))</f>
        <v/>
      </c>
      <c r="CQ12" s="67">
        <f>IF(CQ$59="X","",IF(CQ$59&lt;&gt;"",CQ$59,IF(IFERROR(INDEX(醫師週班表!$C$5:$T$44,$CU12,CQ$57),"")=0,"",IF(LEN(IFERROR(INDEX(醫師週班表!$C$5:$T$44,$CU12,CQ$57),""))=4,MID(IFERROR(INDEX(醫師週班表!$C$5:$T$44,$CU12,CQ$57),""),1+CQ$58*2,1),IF(LEN(IFERROR(INDEX(醫師週班表!$C$5:$T$44,$CU12,CQ$57),""))=2,IF(AND(RIGHT(IFERROR(INDEX(醫師週班表!$C$5:$T$44,$CU12,CQ$57),""),1)="~",CQ$58=1),"",LEFT(IFERROR(INDEX(醫師週班表!$C$5:$T$44,$CU12,CQ$57),""),1)),IFERROR(INDEX(醫師週班表!$C$5:$T$44,$CU12,CQ$57),""))))))</f>
        <v/>
      </c>
      <c r="CR12" s="68">
        <f>IF(CR$59="X","",IF(CR$59&lt;&gt;"",CR$59,IF(IFERROR(INDEX(醫師週班表!$C$5:$T$44,$CU12,CR$57),"")=0,"",IF(LEN(IFERROR(INDEX(醫師週班表!$C$5:$T$44,$CU12,CR$57),""))=4,MID(IFERROR(INDEX(醫師週班表!$C$5:$T$44,$CU12,CR$57),""),1+CR$58*2,1),IF(LEN(IFERROR(INDEX(醫師週班表!$C$5:$T$44,$CU12,CR$57),""))=2,IF(AND(RIGHT(IFERROR(INDEX(醫師週班表!$C$5:$T$44,$CU12,CR$57),""),1)="~",CR$58=1),"",LEFT(IFERROR(INDEX(醫師週班表!$C$5:$T$44,$CU12,CR$57),""),1)),IFERROR(INDEX(醫師週班表!$C$5:$T$44,$CU12,CR$57),""))))))</f>
        <v/>
      </c>
      <c r="CS12" s="68">
        <f>IF(CS$59="X","",IF(CS$59&lt;&gt;"",CS$59,IF(IFERROR(INDEX(醫師週班表!$C$5:$T$44,$CU12,CS$57),"")=0,"",IF(LEN(IFERROR(INDEX(醫師週班表!$C$5:$T$44,$CU12,CS$57),""))=4,MID(IFERROR(INDEX(醫師週班表!$C$5:$T$44,$CU12,CS$57),""),1+CS$58*2,1),IF(LEN(IFERROR(INDEX(醫師週班表!$C$5:$T$44,$CU12,CS$57),""))=2,IF(AND(RIGHT(IFERROR(INDEX(醫師週班表!$C$5:$T$44,$CU12,CS$57),""),1)="~",CS$58=1),"",LEFT(IFERROR(INDEX(醫師週班表!$C$5:$T$44,$CU12,CS$57),""),1)),IFERROR(INDEX(醫師週班表!$C$5:$T$44,$CU12,CS$57),""))))))</f>
        <v/>
      </c>
      <c r="CU12" s="69">
        <f>IFERROR(MATCH($A12,醫師週班表!$A$5:$A$44,0),0)</f>
        <v/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IFERROR(INDEX(醫師週班表!$C$5:$T$44,$CU13,E$57),"")=0,"",IF(LEN(IFERROR(INDEX(醫師週班表!$C$5:$T$44,$CU13,E$57),""))=4,MID(IFERROR(INDEX(醫師週班表!$C$5:$T$44,$CU13,E$57),""),1+E$58*2,1),IF(LEN(IFERROR(INDEX(醫師週班表!$C$5:$T$44,$CU13,E$57),""))=2,IF(AND(RIGHT(IFERROR(INDEX(醫師週班表!$C$5:$T$44,$CU13,E$57),""),1)="~",E$58=1),"",LEFT(IFERROR(INDEX(醫師週班表!$C$5:$T$44,$CU13,E$57),""),1)),IFERROR(INDEX(醫師週班表!$C$5:$T$44,$CU13,E$57),""))))))</f>
        <v/>
      </c>
      <c r="F13" s="68">
        <f>IF(F$59="X","",IF(F$59&lt;&gt;"",F$59,IF(IFERROR(INDEX(醫師週班表!$C$5:$T$44,$CU13,F$57),"")=0,"",IF(LEN(IFERROR(INDEX(醫師週班表!$C$5:$T$44,$CU13,F$57),""))=4,MID(IFERROR(INDEX(醫師週班表!$C$5:$T$44,$CU13,F$57),""),1+F$58*2,1),IF(LEN(IFERROR(INDEX(醫師週班表!$C$5:$T$44,$CU13,F$57),""))=2,IF(AND(RIGHT(IFERROR(INDEX(醫師週班表!$C$5:$T$44,$CU13,F$57),""),1)="~",F$58=1),"",LEFT(IFERROR(INDEX(醫師週班表!$C$5:$T$44,$CU13,F$57),""),1)),IFERROR(INDEX(醫師週班表!$C$5:$T$44,$CU13,F$57),""))))))</f>
        <v/>
      </c>
      <c r="G13" s="68">
        <f>IF(G$59="X","",IF(G$59&lt;&gt;"",G$59,IF(IFERROR(INDEX(醫師週班表!$C$5:$T$44,$CU13,G$57),"")=0,"",IF(LEN(IFERROR(INDEX(醫師週班表!$C$5:$T$44,$CU13,G$57),""))=4,MID(IFERROR(INDEX(醫師週班表!$C$5:$T$44,$CU13,G$57),""),1+G$58*2,1),IF(LEN(IFERROR(INDEX(醫師週班表!$C$5:$T$44,$CU13,G$57),""))=2,IF(AND(RIGHT(IFERROR(INDEX(醫師週班表!$C$5:$T$44,$CU13,G$57),""),1)="~",G$58=1),"",LEFT(IFERROR(INDEX(醫師週班表!$C$5:$T$44,$CU13,G$57),""),1)),IFERROR(INDEX(醫師週班表!$C$5:$T$44,$CU13,G$57),""))))))</f>
        <v/>
      </c>
      <c r="H13" s="67">
        <f>IF(H$59="X","",IF(H$59&lt;&gt;"",H$59,IF(IFERROR(INDEX(醫師週班表!$C$5:$T$44,$CU13,H$57),"")=0,"",IF(LEN(IFERROR(INDEX(醫師週班表!$C$5:$T$44,$CU13,H$57),""))=4,MID(IFERROR(INDEX(醫師週班表!$C$5:$T$44,$CU13,H$57),""),1+H$58*2,1),IF(LEN(IFERROR(INDEX(醫師週班表!$C$5:$T$44,$CU13,H$57),""))=2,IF(AND(RIGHT(IFERROR(INDEX(醫師週班表!$C$5:$T$44,$CU13,H$57),""),1)="~",H$58=1),"",LEFT(IFERROR(INDEX(醫師週班表!$C$5:$T$44,$CU13,H$57),""),1)),IFERROR(INDEX(醫師週班表!$C$5:$T$44,$CU13,H$57),""))))))</f>
        <v/>
      </c>
      <c r="I13" s="68">
        <f>IF(I$59="X","",IF(I$59&lt;&gt;"",I$59,IF(IFERROR(INDEX(醫師週班表!$C$5:$T$44,$CU13,I$57),"")=0,"",IF(LEN(IFERROR(INDEX(醫師週班表!$C$5:$T$44,$CU13,I$57),""))=4,MID(IFERROR(INDEX(醫師週班表!$C$5:$T$44,$CU13,I$57),""),1+I$58*2,1),IF(LEN(IFERROR(INDEX(醫師週班表!$C$5:$T$44,$CU13,I$57),""))=2,IF(AND(RIGHT(IFERROR(INDEX(醫師週班表!$C$5:$T$44,$CU13,I$57),""),1)="~",I$58=1),"",LEFT(IFERROR(INDEX(醫師週班表!$C$5:$T$44,$CU13,I$57),""),1)),IFERROR(INDEX(醫師週班表!$C$5:$T$44,$CU13,I$57),""))))))</f>
        <v/>
      </c>
      <c r="J13" s="68">
        <f>IF(J$59="X","",IF(J$59&lt;&gt;"",J$59,IF(IFERROR(INDEX(醫師週班表!$C$5:$T$44,$CU13,J$57),"")=0,"",IF(LEN(IFERROR(INDEX(醫師週班表!$C$5:$T$44,$CU13,J$57),""))=4,MID(IFERROR(INDEX(醫師週班表!$C$5:$T$44,$CU13,J$57),""),1+J$58*2,1),IF(LEN(IFERROR(INDEX(醫師週班表!$C$5:$T$44,$CU13,J$57),""))=2,IF(AND(RIGHT(IFERROR(INDEX(醫師週班表!$C$5:$T$44,$CU13,J$57),""),1)="~",J$58=1),"",LEFT(IFERROR(INDEX(醫師週班表!$C$5:$T$44,$CU13,J$57),""),1)),IFERROR(INDEX(醫師週班表!$C$5:$T$44,$CU13,J$57),""))))))</f>
        <v/>
      </c>
      <c r="K13" s="67">
        <f>IF(K$59="X","",IF(K$59&lt;&gt;"",K$59,IF(IFERROR(INDEX(醫師週班表!$C$5:$T$44,$CU13,K$57),"")=0,"",IF(LEN(IFERROR(INDEX(醫師週班表!$C$5:$T$44,$CU13,K$57),""))=4,MID(IFERROR(INDEX(醫師週班表!$C$5:$T$44,$CU13,K$57),""),1+K$58*2,1),IF(LEN(IFERROR(INDEX(醫師週班表!$C$5:$T$44,$CU13,K$57),""))=2,IF(AND(RIGHT(IFERROR(INDEX(醫師週班表!$C$5:$T$44,$CU13,K$57),""),1)="~",K$58=1),"",LEFT(IFERROR(INDEX(醫師週班表!$C$5:$T$44,$CU13,K$57),""),1)),IFERROR(INDEX(醫師週班表!$C$5:$T$44,$CU13,K$57),""))))))</f>
        <v/>
      </c>
      <c r="L13" s="68">
        <f>IF(L$59="X","",IF(L$59&lt;&gt;"",L$59,IF(IFERROR(INDEX(醫師週班表!$C$5:$T$44,$CU13,L$57),"")=0,"",IF(LEN(IFERROR(INDEX(醫師週班表!$C$5:$T$44,$CU13,L$57),""))=4,MID(IFERROR(INDEX(醫師週班表!$C$5:$T$44,$CU13,L$57),""),1+L$58*2,1),IF(LEN(IFERROR(INDEX(醫師週班表!$C$5:$T$44,$CU13,L$57),""))=2,IF(AND(RIGHT(IFERROR(INDEX(醫師週班表!$C$5:$T$44,$CU13,L$57),""),1)="~",L$58=1),"",LEFT(IFERROR(INDEX(醫師週班表!$C$5:$T$44,$CU13,L$57),""),1)),IFERROR(INDEX(醫師週班表!$C$5:$T$44,$CU13,L$57),""))))))</f>
        <v/>
      </c>
      <c r="M13" s="68">
        <f>IF(M$59="X","",IF(M$59&lt;&gt;"",M$59,IF(IFERROR(INDEX(醫師週班表!$C$5:$T$44,$CU13,M$57),"")=0,"",IF(LEN(IFERROR(INDEX(醫師週班表!$C$5:$T$44,$CU13,M$57),""))=4,MID(IFERROR(INDEX(醫師週班表!$C$5:$T$44,$CU13,M$57),""),1+M$58*2,1),IF(LEN(IFERROR(INDEX(醫師週班表!$C$5:$T$44,$CU13,M$57),""))=2,IF(AND(RIGHT(IFERROR(INDEX(醫師週班表!$C$5:$T$44,$CU13,M$57),""),1)="~",M$58=1),"",LEFT(IFERROR(INDEX(醫師週班表!$C$5:$T$44,$CU13,M$57),""),1)),IFERROR(INDEX(醫師週班表!$C$5:$T$44,$CU13,M$57),""))))))</f>
        <v/>
      </c>
      <c r="N13" s="67">
        <f>IF(N$59="X","",IF(N$59&lt;&gt;"",N$59,IF(IFERROR(INDEX(醫師週班表!$C$5:$T$44,$CU13,N$57),"")=0,"",IF(LEN(IFERROR(INDEX(醫師週班表!$C$5:$T$44,$CU13,N$57),""))=4,MID(IFERROR(INDEX(醫師週班表!$C$5:$T$44,$CU13,N$57),""),1+N$58*2,1),IF(LEN(IFERROR(INDEX(醫師週班表!$C$5:$T$44,$CU13,N$57),""))=2,IF(AND(RIGHT(IFERROR(INDEX(醫師週班表!$C$5:$T$44,$CU13,N$57),""),1)="~",N$58=1),"",LEFT(IFERROR(INDEX(醫師週班表!$C$5:$T$44,$CU13,N$57),""),1)),IFERROR(INDEX(醫師週班表!$C$5:$T$44,$CU13,N$57),""))))))</f>
        <v/>
      </c>
      <c r="O13" s="68">
        <f>IF(O$59="X","",IF(O$59&lt;&gt;"",O$59,IF(IFERROR(INDEX(醫師週班表!$C$5:$T$44,$CU13,O$57),"")=0,"",IF(LEN(IFERROR(INDEX(醫師週班表!$C$5:$T$44,$CU13,O$57),""))=4,MID(IFERROR(INDEX(醫師週班表!$C$5:$T$44,$CU13,O$57),""),1+O$58*2,1),IF(LEN(IFERROR(INDEX(醫師週班表!$C$5:$T$44,$CU13,O$57),""))=2,IF(AND(RIGHT(IFERROR(INDEX(醫師週班表!$C$5:$T$44,$CU13,O$57),""),1)="~",O$58=1),"",LEFT(IFERROR(INDEX(醫師週班表!$C$5:$T$44,$CU13,O$57),""),1)),IFERROR(INDEX(醫師週班表!$C$5:$T$44,$CU13,O$57),""))))))</f>
        <v/>
      </c>
      <c r="P13" s="68">
        <f>IF(P$59="X","",IF(P$59&lt;&gt;"",P$59,IF(IFERROR(INDEX(醫師週班表!$C$5:$T$44,$CU13,P$57),"")=0,"",IF(LEN(IFERROR(INDEX(醫師週班表!$C$5:$T$44,$CU13,P$57),""))=4,MID(IFERROR(INDEX(醫師週班表!$C$5:$T$44,$CU13,P$57),""),1+P$58*2,1),IF(LEN(IFERROR(INDEX(醫師週班表!$C$5:$T$44,$CU13,P$57),""))=2,IF(AND(RIGHT(IFERROR(INDEX(醫師週班表!$C$5:$T$44,$CU13,P$57),""),1)="~",P$58=1),"",LEFT(IFERROR(INDEX(醫師週班表!$C$5:$T$44,$CU13,P$57),""),1)),IFERROR(INDEX(醫師週班表!$C$5:$T$44,$CU13,P$57),""))))))</f>
        <v/>
      </c>
      <c r="Q13" s="67">
        <f>IF(Q$59="X","",IF(Q$59&lt;&gt;"",Q$59,IF(IFERROR(INDEX(醫師週班表!$C$5:$T$44,$CU13,Q$57),"")=0,"",IF(LEN(IFERROR(INDEX(醫師週班表!$C$5:$T$44,$CU13,Q$57),""))=4,MID(IFERROR(INDEX(醫師週班表!$C$5:$T$44,$CU13,Q$57),""),1+Q$58*2,1),IF(LEN(IFERROR(INDEX(醫師週班表!$C$5:$T$44,$CU13,Q$57),""))=2,IF(AND(RIGHT(IFERROR(INDEX(醫師週班表!$C$5:$T$44,$CU13,Q$57),""),1)="~",Q$58=1),"",LEFT(IFERROR(INDEX(醫師週班表!$C$5:$T$44,$CU13,Q$57),""),1)),IFERROR(INDEX(醫師週班表!$C$5:$T$44,$CU13,Q$57),""))))))</f>
        <v/>
      </c>
      <c r="R13" s="68">
        <f>IF(R$59="X","",IF(R$59&lt;&gt;"",R$59,IF(IFERROR(INDEX(醫師週班表!$C$5:$T$44,$CU13,R$57),"")=0,"",IF(LEN(IFERROR(INDEX(醫師週班表!$C$5:$T$44,$CU13,R$57),""))=4,MID(IFERROR(INDEX(醫師週班表!$C$5:$T$44,$CU13,R$57),""),1+R$58*2,1),IF(LEN(IFERROR(INDEX(醫師週班表!$C$5:$T$44,$CU13,R$57),""))=2,IF(AND(RIGHT(IFERROR(INDEX(醫師週班表!$C$5:$T$44,$CU13,R$57),""),1)="~",R$58=1),"",LEFT(IFERROR(INDEX(醫師週班表!$C$5:$T$44,$CU13,R$57),""),1)),IFERROR(INDEX(醫師週班表!$C$5:$T$44,$CU13,R$57),""))))))</f>
        <v/>
      </c>
      <c r="S13" s="68">
        <f>IF(S$59="X","",IF(S$59&lt;&gt;"",S$59,IF(IFERROR(INDEX(醫師週班表!$C$5:$T$44,$CU13,S$57),"")=0,"",IF(LEN(IFERROR(INDEX(醫師週班表!$C$5:$T$44,$CU13,S$57),""))=4,MID(IFERROR(INDEX(醫師週班表!$C$5:$T$44,$CU13,S$57),""),1+S$58*2,1),IF(LEN(IFERROR(INDEX(醫師週班表!$C$5:$T$44,$CU13,S$57),""))=2,IF(AND(RIGHT(IFERROR(INDEX(醫師週班表!$C$5:$T$44,$CU13,S$57),""),1)="~",S$58=1),"",LEFT(IFERROR(INDEX(醫師週班表!$C$5:$T$44,$CU13,S$57),""),1)),IFERROR(INDEX(醫師週班表!$C$5:$T$44,$CU13,S$57),""))))))</f>
        <v/>
      </c>
      <c r="T13" s="67">
        <f>IF(T$59="X","",IF(T$59&lt;&gt;"",T$59,IF(IFERROR(INDEX(醫師週班表!$C$5:$T$44,$CU13,T$57),"")=0,"",IF(LEN(IFERROR(INDEX(醫師週班表!$C$5:$T$44,$CU13,T$57),""))=4,MID(IFERROR(INDEX(醫師週班表!$C$5:$T$44,$CU13,T$57),""),1+T$58*2,1),IF(LEN(IFERROR(INDEX(醫師週班表!$C$5:$T$44,$CU13,T$57),""))=2,IF(AND(RIGHT(IFERROR(INDEX(醫師週班表!$C$5:$T$44,$CU13,T$57),""),1)="~",T$58=1),"",LEFT(IFERROR(INDEX(醫師週班表!$C$5:$T$44,$CU13,T$57),""),1)),IFERROR(INDEX(醫師週班表!$C$5:$T$44,$CU13,T$57),""))))))</f>
        <v/>
      </c>
      <c r="U13" s="68">
        <f>IF(U$59="X","",IF(U$59&lt;&gt;"",U$59,IF(IFERROR(INDEX(醫師週班表!$C$5:$T$44,$CU13,U$57),"")=0,"",IF(LEN(IFERROR(INDEX(醫師週班表!$C$5:$T$44,$CU13,U$57),""))=4,MID(IFERROR(INDEX(醫師週班表!$C$5:$T$44,$CU13,U$57),""),1+U$58*2,1),IF(LEN(IFERROR(INDEX(醫師週班表!$C$5:$T$44,$CU13,U$57),""))=2,IF(AND(RIGHT(IFERROR(INDEX(醫師週班表!$C$5:$T$44,$CU13,U$57),""),1)="~",U$58=1),"",LEFT(IFERROR(INDEX(醫師週班表!$C$5:$T$44,$CU13,U$57),""),1)),IFERROR(INDEX(醫師週班表!$C$5:$T$44,$CU13,U$57),""))))))</f>
        <v/>
      </c>
      <c r="V13" s="68">
        <f>IF(V$59="X","",IF(V$59&lt;&gt;"",V$59,IF(IFERROR(INDEX(醫師週班表!$C$5:$T$44,$CU13,V$57),"")=0,"",IF(LEN(IFERROR(INDEX(醫師週班表!$C$5:$T$44,$CU13,V$57),""))=4,MID(IFERROR(INDEX(醫師週班表!$C$5:$T$44,$CU13,V$57),""),1+V$58*2,1),IF(LEN(IFERROR(INDEX(醫師週班表!$C$5:$T$44,$CU13,V$57),""))=2,IF(AND(RIGHT(IFERROR(INDEX(醫師週班表!$C$5:$T$44,$CU13,V$57),""),1)="~",V$58=1),"",LEFT(IFERROR(INDEX(醫師週班表!$C$5:$T$44,$CU13,V$57),""),1)),IFERROR(INDEX(醫師週班表!$C$5:$T$44,$CU13,V$57),""))))))</f>
        <v/>
      </c>
      <c r="W13" s="67">
        <f>IF(W$59="X","",IF(W$59&lt;&gt;"",W$59,IF(IFERROR(INDEX(醫師週班表!$C$5:$T$44,$CU13,W$57),"")=0,"",IF(LEN(IFERROR(INDEX(醫師週班表!$C$5:$T$44,$CU13,W$57),""))=4,MID(IFERROR(INDEX(醫師週班表!$C$5:$T$44,$CU13,W$57),""),1+W$58*2,1),IF(LEN(IFERROR(INDEX(醫師週班表!$C$5:$T$44,$CU13,W$57),""))=2,IF(AND(RIGHT(IFERROR(INDEX(醫師週班表!$C$5:$T$44,$CU13,W$57),""),1)="~",W$58=1),"",LEFT(IFERROR(INDEX(醫師週班表!$C$5:$T$44,$CU13,W$57),""),1)),IFERROR(INDEX(醫師週班表!$C$5:$T$44,$CU13,W$57),""))))))</f>
        <v/>
      </c>
      <c r="X13" s="68">
        <f>IF(X$59="X","",IF(X$59&lt;&gt;"",X$59,IF(IFERROR(INDEX(醫師週班表!$C$5:$T$44,$CU13,X$57),"")=0,"",IF(LEN(IFERROR(INDEX(醫師週班表!$C$5:$T$44,$CU13,X$57),""))=4,MID(IFERROR(INDEX(醫師週班表!$C$5:$T$44,$CU13,X$57),""),1+X$58*2,1),IF(LEN(IFERROR(INDEX(醫師週班表!$C$5:$T$44,$CU13,X$57),""))=2,IF(AND(RIGHT(IFERROR(INDEX(醫師週班表!$C$5:$T$44,$CU13,X$57),""),1)="~",X$58=1),"",LEFT(IFERROR(INDEX(醫師週班表!$C$5:$T$44,$CU13,X$57),""),1)),IFERROR(INDEX(醫師週班表!$C$5:$T$44,$CU13,X$57),""))))))</f>
        <v/>
      </c>
      <c r="Y13" s="68">
        <f>IF(Y$59="X","",IF(Y$59&lt;&gt;"",Y$59,IF(IFERROR(INDEX(醫師週班表!$C$5:$T$44,$CU13,Y$57),"")=0,"",IF(LEN(IFERROR(INDEX(醫師週班表!$C$5:$T$44,$CU13,Y$57),""))=4,MID(IFERROR(INDEX(醫師週班表!$C$5:$T$44,$CU13,Y$57),""),1+Y$58*2,1),IF(LEN(IFERROR(INDEX(醫師週班表!$C$5:$T$44,$CU13,Y$57),""))=2,IF(AND(RIGHT(IFERROR(INDEX(醫師週班表!$C$5:$T$44,$CU13,Y$57),""),1)="~",Y$58=1),"",LEFT(IFERROR(INDEX(醫師週班表!$C$5:$T$44,$CU13,Y$57),""),1)),IFERROR(INDEX(醫師週班表!$C$5:$T$44,$CU13,Y$57),""))))))</f>
        <v/>
      </c>
      <c r="Z13" s="67">
        <f>IF(Z$59="X","",IF(Z$59&lt;&gt;"",Z$59,IF(IFERROR(INDEX(醫師週班表!$C$5:$T$44,$CU13,Z$57),"")=0,"",IF(LEN(IFERROR(INDEX(醫師週班表!$C$5:$T$44,$CU13,Z$57),""))=4,MID(IFERROR(INDEX(醫師週班表!$C$5:$T$44,$CU13,Z$57),""),1+Z$58*2,1),IF(LEN(IFERROR(INDEX(醫師週班表!$C$5:$T$44,$CU13,Z$57),""))=2,IF(AND(RIGHT(IFERROR(INDEX(醫師週班表!$C$5:$T$44,$CU13,Z$57),""),1)="~",Z$58=1),"",LEFT(IFERROR(INDEX(醫師週班表!$C$5:$T$44,$CU13,Z$57),""),1)),IFERROR(INDEX(醫師週班表!$C$5:$T$44,$CU13,Z$57),""))))))</f>
        <v/>
      </c>
      <c r="AA13" s="68">
        <f>IF(AA$59="X","",IF(AA$59&lt;&gt;"",AA$59,IF(IFERROR(INDEX(醫師週班表!$C$5:$T$44,$CU13,AA$57),"")=0,"",IF(LEN(IFERROR(INDEX(醫師週班表!$C$5:$T$44,$CU13,AA$57),""))=4,MID(IFERROR(INDEX(醫師週班表!$C$5:$T$44,$CU13,AA$57),""),1+AA$58*2,1),IF(LEN(IFERROR(INDEX(醫師週班表!$C$5:$T$44,$CU13,AA$57),""))=2,IF(AND(RIGHT(IFERROR(INDEX(醫師週班表!$C$5:$T$44,$CU13,AA$57),""),1)="~",AA$58=1),"",LEFT(IFERROR(INDEX(醫師週班表!$C$5:$T$44,$CU13,AA$57),""),1)),IFERROR(INDEX(醫師週班表!$C$5:$T$44,$CU13,AA$57),""))))))</f>
        <v/>
      </c>
      <c r="AB13" s="68">
        <f>IF(AB$59="X","",IF(AB$59&lt;&gt;"",AB$59,IF(IFERROR(INDEX(醫師週班表!$C$5:$T$44,$CU13,AB$57),"")=0,"",IF(LEN(IFERROR(INDEX(醫師週班表!$C$5:$T$44,$CU13,AB$57),""))=4,MID(IFERROR(INDEX(醫師週班表!$C$5:$T$44,$CU13,AB$57),""),1+AB$58*2,1),IF(LEN(IFERROR(INDEX(醫師週班表!$C$5:$T$44,$CU13,AB$57),""))=2,IF(AND(RIGHT(IFERROR(INDEX(醫師週班表!$C$5:$T$44,$CU13,AB$57),""),1)="~",AB$58=1),"",LEFT(IFERROR(INDEX(醫師週班表!$C$5:$T$44,$CU13,AB$57),""),1)),IFERROR(INDEX(醫師週班表!$C$5:$T$44,$CU13,AB$57),""))))))</f>
        <v/>
      </c>
      <c r="AC13" s="67">
        <f>IF(AC$59="X","",IF(AC$59&lt;&gt;"",AC$59,IF(IFERROR(INDEX(醫師週班表!$C$5:$T$44,$CU13,AC$57),"")=0,"",IF(LEN(IFERROR(INDEX(醫師週班表!$C$5:$T$44,$CU13,AC$57),""))=4,MID(IFERROR(INDEX(醫師週班表!$C$5:$T$44,$CU13,AC$57),""),1+AC$58*2,1),IF(LEN(IFERROR(INDEX(醫師週班表!$C$5:$T$44,$CU13,AC$57),""))=2,IF(AND(RIGHT(IFERROR(INDEX(醫師週班表!$C$5:$T$44,$CU13,AC$57),""),1)="~",AC$58=1),"",LEFT(IFERROR(INDEX(醫師週班表!$C$5:$T$44,$CU13,AC$57),""),1)),IFERROR(INDEX(醫師週班表!$C$5:$T$44,$CU13,AC$57),""))))))</f>
        <v/>
      </c>
      <c r="AD13" s="68">
        <f>IF(AD$59="X","",IF(AD$59&lt;&gt;"",AD$59,IF(IFERROR(INDEX(醫師週班表!$C$5:$T$44,$CU13,AD$57),"")=0,"",IF(LEN(IFERROR(INDEX(醫師週班表!$C$5:$T$44,$CU13,AD$57),""))=4,MID(IFERROR(INDEX(醫師週班表!$C$5:$T$44,$CU13,AD$57),""),1+AD$58*2,1),IF(LEN(IFERROR(INDEX(醫師週班表!$C$5:$T$44,$CU13,AD$57),""))=2,IF(AND(RIGHT(IFERROR(INDEX(醫師週班表!$C$5:$T$44,$CU13,AD$57),""),1)="~",AD$58=1),"",LEFT(IFERROR(INDEX(醫師週班表!$C$5:$T$44,$CU13,AD$57),""),1)),IFERROR(INDEX(醫師週班表!$C$5:$T$44,$CU13,AD$57),""))))))</f>
        <v/>
      </c>
      <c r="AE13" s="68">
        <f>IF(AE$59="X","",IF(AE$59&lt;&gt;"",AE$59,IF(IFERROR(INDEX(醫師週班表!$C$5:$T$44,$CU13,AE$57),"")=0,"",IF(LEN(IFERROR(INDEX(醫師週班表!$C$5:$T$44,$CU13,AE$57),""))=4,MID(IFERROR(INDEX(醫師週班表!$C$5:$T$44,$CU13,AE$57),""),1+AE$58*2,1),IF(LEN(IFERROR(INDEX(醫師週班表!$C$5:$T$44,$CU13,AE$57),""))=2,IF(AND(RIGHT(IFERROR(INDEX(醫師週班表!$C$5:$T$44,$CU13,AE$57),""),1)="~",AE$58=1),"",LEFT(IFERROR(INDEX(醫師週班表!$C$5:$T$44,$CU13,AE$57),""),1)),IFERROR(INDEX(醫師週班表!$C$5:$T$44,$CU13,AE$57),""))))))</f>
        <v/>
      </c>
      <c r="AF13" s="67">
        <f>IF(AF$59="X","",IF(AF$59&lt;&gt;"",AF$59,IF(IFERROR(INDEX(醫師週班表!$C$5:$T$44,$CU13,AF$57),"")=0,"",IF(LEN(IFERROR(INDEX(醫師週班表!$C$5:$T$44,$CU13,AF$57),""))=4,MID(IFERROR(INDEX(醫師週班表!$C$5:$T$44,$CU13,AF$57),""),1+AF$58*2,1),IF(LEN(IFERROR(INDEX(醫師週班表!$C$5:$T$44,$CU13,AF$57),""))=2,IF(AND(RIGHT(IFERROR(INDEX(醫師週班表!$C$5:$T$44,$CU13,AF$57),""),1)="~",AF$58=1),"",LEFT(IFERROR(INDEX(醫師週班表!$C$5:$T$44,$CU13,AF$57),""),1)),IFERROR(INDEX(醫師週班表!$C$5:$T$44,$CU13,AF$57),""))))))</f>
        <v/>
      </c>
      <c r="AG13" s="68">
        <f>IF(AG$59="X","",IF(AG$59&lt;&gt;"",AG$59,IF(IFERROR(INDEX(醫師週班表!$C$5:$T$44,$CU13,AG$57),"")=0,"",IF(LEN(IFERROR(INDEX(醫師週班表!$C$5:$T$44,$CU13,AG$57),""))=4,MID(IFERROR(INDEX(醫師週班表!$C$5:$T$44,$CU13,AG$57),""),1+AG$58*2,1),IF(LEN(IFERROR(INDEX(醫師週班表!$C$5:$T$44,$CU13,AG$57),""))=2,IF(AND(RIGHT(IFERROR(INDEX(醫師週班表!$C$5:$T$44,$CU13,AG$57),""),1)="~",AG$58=1),"",LEFT(IFERROR(INDEX(醫師週班表!$C$5:$T$44,$CU13,AG$57),""),1)),IFERROR(INDEX(醫師週班表!$C$5:$T$44,$CU13,AG$57),""))))))</f>
        <v/>
      </c>
      <c r="AH13" s="68">
        <f>IF(AH$59="X","",IF(AH$59&lt;&gt;"",AH$59,IF(IFERROR(INDEX(醫師週班表!$C$5:$T$44,$CU13,AH$57),"")=0,"",IF(LEN(IFERROR(INDEX(醫師週班表!$C$5:$T$44,$CU13,AH$57),""))=4,MID(IFERROR(INDEX(醫師週班表!$C$5:$T$44,$CU13,AH$57),""),1+AH$58*2,1),IF(LEN(IFERROR(INDEX(醫師週班表!$C$5:$T$44,$CU13,AH$57),""))=2,IF(AND(RIGHT(IFERROR(INDEX(醫師週班表!$C$5:$T$44,$CU13,AH$57),""),1)="~",AH$58=1),"",LEFT(IFERROR(INDEX(醫師週班表!$C$5:$T$44,$CU13,AH$57),""),1)),IFERROR(INDEX(醫師週班表!$C$5:$T$44,$CU13,AH$57),""))))))</f>
        <v/>
      </c>
      <c r="AI13" s="67">
        <f>IF(AI$59="X","",IF(AI$59&lt;&gt;"",AI$59,IF(IFERROR(INDEX(醫師週班表!$C$5:$T$44,$CU13,AI$57),"")=0,"",IF(LEN(IFERROR(INDEX(醫師週班表!$C$5:$T$44,$CU13,AI$57),""))=4,MID(IFERROR(INDEX(醫師週班表!$C$5:$T$44,$CU13,AI$57),""),1+AI$58*2,1),IF(LEN(IFERROR(INDEX(醫師週班表!$C$5:$T$44,$CU13,AI$57),""))=2,IF(AND(RIGHT(IFERROR(INDEX(醫師週班表!$C$5:$T$44,$CU13,AI$57),""),1)="~",AI$58=1),"",LEFT(IFERROR(INDEX(醫師週班表!$C$5:$T$44,$CU13,AI$57),""),1)),IFERROR(INDEX(醫師週班表!$C$5:$T$44,$CU13,AI$57),""))))))</f>
        <v/>
      </c>
      <c r="AJ13" s="68">
        <f>IF(AJ$59="X","",IF(AJ$59&lt;&gt;"",AJ$59,IF(IFERROR(INDEX(醫師週班表!$C$5:$T$44,$CU13,AJ$57),"")=0,"",IF(LEN(IFERROR(INDEX(醫師週班表!$C$5:$T$44,$CU13,AJ$57),""))=4,MID(IFERROR(INDEX(醫師週班表!$C$5:$T$44,$CU13,AJ$57),""),1+AJ$58*2,1),IF(LEN(IFERROR(INDEX(醫師週班表!$C$5:$T$44,$CU13,AJ$57),""))=2,IF(AND(RIGHT(IFERROR(INDEX(醫師週班表!$C$5:$T$44,$CU13,AJ$57),""),1)="~",AJ$58=1),"",LEFT(IFERROR(INDEX(醫師週班表!$C$5:$T$44,$CU13,AJ$57),""),1)),IFERROR(INDEX(醫師週班表!$C$5:$T$44,$CU13,AJ$57),""))))))</f>
        <v/>
      </c>
      <c r="AK13" s="68">
        <f>IF(AK$59="X","",IF(AK$59&lt;&gt;"",AK$59,IF(IFERROR(INDEX(醫師週班表!$C$5:$T$44,$CU13,AK$57),"")=0,"",IF(LEN(IFERROR(INDEX(醫師週班表!$C$5:$T$44,$CU13,AK$57),""))=4,MID(IFERROR(INDEX(醫師週班表!$C$5:$T$44,$CU13,AK$57),""),1+AK$58*2,1),IF(LEN(IFERROR(INDEX(醫師週班表!$C$5:$T$44,$CU13,AK$57),""))=2,IF(AND(RIGHT(IFERROR(INDEX(醫師週班表!$C$5:$T$44,$CU13,AK$57),""),1)="~",AK$58=1),"",LEFT(IFERROR(INDEX(醫師週班表!$C$5:$T$44,$CU13,AK$57),""),1)),IFERROR(INDEX(醫師週班表!$C$5:$T$44,$CU13,AK$57),""))))))</f>
        <v/>
      </c>
      <c r="AL13" s="67">
        <f>IF(AL$59="X","",IF(AL$59&lt;&gt;"",AL$59,IF(IFERROR(INDEX(醫師週班表!$C$5:$T$44,$CU13,AL$57),"")=0,"",IF(LEN(IFERROR(INDEX(醫師週班表!$C$5:$T$44,$CU13,AL$57),""))=4,MID(IFERROR(INDEX(醫師週班表!$C$5:$T$44,$CU13,AL$57),""),1+AL$58*2,1),IF(LEN(IFERROR(INDEX(醫師週班表!$C$5:$T$44,$CU13,AL$57),""))=2,IF(AND(RIGHT(IFERROR(INDEX(醫師週班表!$C$5:$T$44,$CU13,AL$57),""),1)="~",AL$58=1),"",LEFT(IFERROR(INDEX(醫師週班表!$C$5:$T$44,$CU13,AL$57),""),1)),IFERROR(INDEX(醫師週班表!$C$5:$T$44,$CU13,AL$57),""))))))</f>
        <v/>
      </c>
      <c r="AM13" s="68">
        <f>IF(AM$59="X","",IF(AM$59&lt;&gt;"",AM$59,IF(IFERROR(INDEX(醫師週班表!$C$5:$T$44,$CU13,AM$57),"")=0,"",IF(LEN(IFERROR(INDEX(醫師週班表!$C$5:$T$44,$CU13,AM$57),""))=4,MID(IFERROR(INDEX(醫師週班表!$C$5:$T$44,$CU13,AM$57),""),1+AM$58*2,1),IF(LEN(IFERROR(INDEX(醫師週班表!$C$5:$T$44,$CU13,AM$57),""))=2,IF(AND(RIGHT(IFERROR(INDEX(醫師週班表!$C$5:$T$44,$CU13,AM$57),""),1)="~",AM$58=1),"",LEFT(IFERROR(INDEX(醫師週班表!$C$5:$T$44,$CU13,AM$57),""),1)),IFERROR(INDEX(醫師週班表!$C$5:$T$44,$CU13,AM$57),""))))))</f>
        <v/>
      </c>
      <c r="AN13" s="68">
        <f>IF(AN$59="X","",IF(AN$59&lt;&gt;"",AN$59,IF(IFERROR(INDEX(醫師週班表!$C$5:$T$44,$CU13,AN$57),"")=0,"",IF(LEN(IFERROR(INDEX(醫師週班表!$C$5:$T$44,$CU13,AN$57),""))=4,MID(IFERROR(INDEX(醫師週班表!$C$5:$T$44,$CU13,AN$57),""),1+AN$58*2,1),IF(LEN(IFERROR(INDEX(醫師週班表!$C$5:$T$44,$CU13,AN$57),""))=2,IF(AND(RIGHT(IFERROR(INDEX(醫師週班表!$C$5:$T$44,$CU13,AN$57),""),1)="~",AN$58=1),"",LEFT(IFERROR(INDEX(醫師週班表!$C$5:$T$44,$CU13,AN$57),""),1)),IFERROR(INDEX(醫師週班表!$C$5:$T$44,$CU13,AN$57),""))))))</f>
        <v/>
      </c>
      <c r="AO13" s="67">
        <f>IF(AO$59="X","",IF(AO$59&lt;&gt;"",AO$59,IF(IFERROR(INDEX(醫師週班表!$C$5:$T$44,$CU13,AO$57),"")=0,"",IF(LEN(IFERROR(INDEX(醫師週班表!$C$5:$T$44,$CU13,AO$57),""))=4,MID(IFERROR(INDEX(醫師週班表!$C$5:$T$44,$CU13,AO$57),""),1+AO$58*2,1),IF(LEN(IFERROR(INDEX(醫師週班表!$C$5:$T$44,$CU13,AO$57),""))=2,IF(AND(RIGHT(IFERROR(INDEX(醫師週班表!$C$5:$T$44,$CU13,AO$57),""),1)="~",AO$58=1),"",LEFT(IFERROR(INDEX(醫師週班表!$C$5:$T$44,$CU13,AO$57),""),1)),IFERROR(INDEX(醫師週班表!$C$5:$T$44,$CU13,AO$57),""))))))</f>
        <v/>
      </c>
      <c r="AP13" s="68">
        <f>IF(AP$59="X","",IF(AP$59&lt;&gt;"",AP$59,IF(IFERROR(INDEX(醫師週班表!$C$5:$T$44,$CU13,AP$57),"")=0,"",IF(LEN(IFERROR(INDEX(醫師週班表!$C$5:$T$44,$CU13,AP$57),""))=4,MID(IFERROR(INDEX(醫師週班表!$C$5:$T$44,$CU13,AP$57),""),1+AP$58*2,1),IF(LEN(IFERROR(INDEX(醫師週班表!$C$5:$T$44,$CU13,AP$57),""))=2,IF(AND(RIGHT(IFERROR(INDEX(醫師週班表!$C$5:$T$44,$CU13,AP$57),""),1)="~",AP$58=1),"",LEFT(IFERROR(INDEX(醫師週班表!$C$5:$T$44,$CU13,AP$57),""),1)),IFERROR(INDEX(醫師週班表!$C$5:$T$44,$CU13,AP$57),""))))))</f>
        <v/>
      </c>
      <c r="AQ13" s="68">
        <f>IF(AQ$59="X","",IF(AQ$59&lt;&gt;"",AQ$59,IF(IFERROR(INDEX(醫師週班表!$C$5:$T$44,$CU13,AQ$57),"")=0,"",IF(LEN(IFERROR(INDEX(醫師週班表!$C$5:$T$44,$CU13,AQ$57),""))=4,MID(IFERROR(INDEX(醫師週班表!$C$5:$T$44,$CU13,AQ$57),""),1+AQ$58*2,1),IF(LEN(IFERROR(INDEX(醫師週班表!$C$5:$T$44,$CU13,AQ$57),""))=2,IF(AND(RIGHT(IFERROR(INDEX(醫師週班表!$C$5:$T$44,$CU13,AQ$57),""),1)="~",AQ$58=1),"",LEFT(IFERROR(INDEX(醫師週班表!$C$5:$T$44,$CU13,AQ$57),""),1)),IFERROR(INDEX(醫師週班表!$C$5:$T$44,$CU13,AQ$57),""))))))</f>
        <v/>
      </c>
      <c r="AR13" s="67">
        <f>IF(AR$59="X","",IF(AR$59&lt;&gt;"",AR$59,IF(IFERROR(INDEX(醫師週班表!$C$5:$T$44,$CU13,AR$57),"")=0,"",IF(LEN(IFERROR(INDEX(醫師週班表!$C$5:$T$44,$CU13,AR$57),""))=4,MID(IFERROR(INDEX(醫師週班表!$C$5:$T$44,$CU13,AR$57),""),1+AR$58*2,1),IF(LEN(IFERROR(INDEX(醫師週班表!$C$5:$T$44,$CU13,AR$57),""))=2,IF(AND(RIGHT(IFERROR(INDEX(醫師週班表!$C$5:$T$44,$CU13,AR$57),""),1)="~",AR$58=1),"",LEFT(IFERROR(INDEX(醫師週班表!$C$5:$T$44,$CU13,AR$57),""),1)),IFERROR(INDEX(醫師週班表!$C$5:$T$44,$CU13,AR$57),""))))))</f>
        <v/>
      </c>
      <c r="AS13" s="68">
        <f>IF(AS$59="X","",IF(AS$59&lt;&gt;"",AS$59,IF(IFERROR(INDEX(醫師週班表!$C$5:$T$44,$CU13,AS$57),"")=0,"",IF(LEN(IFERROR(INDEX(醫師週班表!$C$5:$T$44,$CU13,AS$57),""))=4,MID(IFERROR(INDEX(醫師週班表!$C$5:$T$44,$CU13,AS$57),""),1+AS$58*2,1),IF(LEN(IFERROR(INDEX(醫師週班表!$C$5:$T$44,$CU13,AS$57),""))=2,IF(AND(RIGHT(IFERROR(INDEX(醫師週班表!$C$5:$T$44,$CU13,AS$57),""),1)="~",AS$58=1),"",LEFT(IFERROR(INDEX(醫師週班表!$C$5:$T$44,$CU13,AS$57),""),1)),IFERROR(INDEX(醫師週班表!$C$5:$T$44,$CU13,AS$57),""))))))</f>
        <v/>
      </c>
      <c r="AT13" s="68">
        <f>IF(AT$59="X","",IF(AT$59&lt;&gt;"",AT$59,IF(IFERROR(INDEX(醫師週班表!$C$5:$T$44,$CU13,AT$57),"")=0,"",IF(LEN(IFERROR(INDEX(醫師週班表!$C$5:$T$44,$CU13,AT$57),""))=4,MID(IFERROR(INDEX(醫師週班表!$C$5:$T$44,$CU13,AT$57),""),1+AT$58*2,1),IF(LEN(IFERROR(INDEX(醫師週班表!$C$5:$T$44,$CU13,AT$57),""))=2,IF(AND(RIGHT(IFERROR(INDEX(醫師週班表!$C$5:$T$44,$CU13,AT$57),""),1)="~",AT$58=1),"",LEFT(IFERROR(INDEX(醫師週班表!$C$5:$T$44,$CU13,AT$57),""),1)),IFERROR(INDEX(醫師週班表!$C$5:$T$44,$CU13,AT$57),""))))))</f>
        <v/>
      </c>
      <c r="AU13" s="67">
        <f>IF(AU$59="X","",IF(AU$59&lt;&gt;"",AU$59,IF(IFERROR(INDEX(醫師週班表!$C$5:$T$44,$CU13,AU$57),"")=0,"",IF(LEN(IFERROR(INDEX(醫師週班表!$C$5:$T$44,$CU13,AU$57),""))=4,MID(IFERROR(INDEX(醫師週班表!$C$5:$T$44,$CU13,AU$57),""),1+AU$58*2,1),IF(LEN(IFERROR(INDEX(醫師週班表!$C$5:$T$44,$CU13,AU$57),""))=2,IF(AND(RIGHT(IFERROR(INDEX(醫師週班表!$C$5:$T$44,$CU13,AU$57),""),1)="~",AU$58=1),"",LEFT(IFERROR(INDEX(醫師週班表!$C$5:$T$44,$CU13,AU$57),""),1)),IFERROR(INDEX(醫師週班表!$C$5:$T$44,$CU13,AU$57),""))))))</f>
        <v/>
      </c>
      <c r="AV13" s="68">
        <f>IF(AV$59="X","",IF(AV$59&lt;&gt;"",AV$59,IF(IFERROR(INDEX(醫師週班表!$C$5:$T$44,$CU13,AV$57),"")=0,"",IF(LEN(IFERROR(INDEX(醫師週班表!$C$5:$T$44,$CU13,AV$57),""))=4,MID(IFERROR(INDEX(醫師週班表!$C$5:$T$44,$CU13,AV$57),""),1+AV$58*2,1),IF(LEN(IFERROR(INDEX(醫師週班表!$C$5:$T$44,$CU13,AV$57),""))=2,IF(AND(RIGHT(IFERROR(INDEX(醫師週班表!$C$5:$T$44,$CU13,AV$57),""),1)="~",AV$58=1),"",LEFT(IFERROR(INDEX(醫師週班表!$C$5:$T$44,$CU13,AV$57),""),1)),IFERROR(INDEX(醫師週班表!$C$5:$T$44,$CU13,AV$57),""))))))</f>
        <v/>
      </c>
      <c r="AW13" s="68">
        <f>IF(AW$59="X","",IF(AW$59&lt;&gt;"",AW$59,IF(IFERROR(INDEX(醫師週班表!$C$5:$T$44,$CU13,AW$57),"")=0,"",IF(LEN(IFERROR(INDEX(醫師週班表!$C$5:$T$44,$CU13,AW$57),""))=4,MID(IFERROR(INDEX(醫師週班表!$C$5:$T$44,$CU13,AW$57),""),1+AW$58*2,1),IF(LEN(IFERROR(INDEX(醫師週班表!$C$5:$T$44,$CU13,AW$57),""))=2,IF(AND(RIGHT(IFERROR(INDEX(醫師週班表!$C$5:$T$44,$CU13,AW$57),""),1)="~",AW$58=1),"",LEFT(IFERROR(INDEX(醫師週班表!$C$5:$T$44,$CU13,AW$57),""),1)),IFERROR(INDEX(醫師週班表!$C$5:$T$44,$CU13,AW$57),""))))))</f>
        <v/>
      </c>
      <c r="AX13" s="67">
        <f>IF(AX$59="X","",IF(AX$59&lt;&gt;"",AX$59,IF(IFERROR(INDEX(醫師週班表!$C$5:$T$44,$CU13,AX$57),"")=0,"",IF(LEN(IFERROR(INDEX(醫師週班表!$C$5:$T$44,$CU13,AX$57),""))=4,MID(IFERROR(INDEX(醫師週班表!$C$5:$T$44,$CU13,AX$57),""),1+AX$58*2,1),IF(LEN(IFERROR(INDEX(醫師週班表!$C$5:$T$44,$CU13,AX$57),""))=2,IF(AND(RIGHT(IFERROR(INDEX(醫師週班表!$C$5:$T$44,$CU13,AX$57),""),1)="~",AX$58=1),"",LEFT(IFERROR(INDEX(醫師週班表!$C$5:$T$44,$CU13,AX$57),""),1)),IFERROR(INDEX(醫師週班表!$C$5:$T$44,$CU13,AX$57),""))))))</f>
        <v/>
      </c>
      <c r="AY13" s="68">
        <f>IF(AY$59="X","",IF(AY$59&lt;&gt;"",AY$59,IF(IFERROR(INDEX(醫師週班表!$C$5:$T$44,$CU13,AY$57),"")=0,"",IF(LEN(IFERROR(INDEX(醫師週班表!$C$5:$T$44,$CU13,AY$57),""))=4,MID(IFERROR(INDEX(醫師週班表!$C$5:$T$44,$CU13,AY$57),""),1+AY$58*2,1),IF(LEN(IFERROR(INDEX(醫師週班表!$C$5:$T$44,$CU13,AY$57),""))=2,IF(AND(RIGHT(IFERROR(INDEX(醫師週班表!$C$5:$T$44,$CU13,AY$57),""),1)="~",AY$58=1),"",LEFT(IFERROR(INDEX(醫師週班表!$C$5:$T$44,$CU13,AY$57),""),1)),IFERROR(INDEX(醫師週班表!$C$5:$T$44,$CU13,AY$57),""))))))</f>
        <v/>
      </c>
      <c r="AZ13" s="68">
        <f>IF(AZ$59="X","",IF(AZ$59&lt;&gt;"",AZ$59,IF(IFERROR(INDEX(醫師週班表!$C$5:$T$44,$CU13,AZ$57),"")=0,"",IF(LEN(IFERROR(INDEX(醫師週班表!$C$5:$T$44,$CU13,AZ$57),""))=4,MID(IFERROR(INDEX(醫師週班表!$C$5:$T$44,$CU13,AZ$57),""),1+AZ$58*2,1),IF(LEN(IFERROR(INDEX(醫師週班表!$C$5:$T$44,$CU13,AZ$57),""))=2,IF(AND(RIGHT(IFERROR(INDEX(醫師週班表!$C$5:$T$44,$CU13,AZ$57),""),1)="~",AZ$58=1),"",LEFT(IFERROR(INDEX(醫師週班表!$C$5:$T$44,$CU13,AZ$57),""),1)),IFERROR(INDEX(醫師週班表!$C$5:$T$44,$CU13,AZ$57),""))))))</f>
        <v/>
      </c>
      <c r="BA13" s="67">
        <f>IF(BA$59="X","",IF(BA$59&lt;&gt;"",BA$59,IF(IFERROR(INDEX(醫師週班表!$C$5:$T$44,$CU13,BA$57),"")=0,"",IF(LEN(IFERROR(INDEX(醫師週班表!$C$5:$T$44,$CU13,BA$57),""))=4,MID(IFERROR(INDEX(醫師週班表!$C$5:$T$44,$CU13,BA$57),""),1+BA$58*2,1),IF(LEN(IFERROR(INDEX(醫師週班表!$C$5:$T$44,$CU13,BA$57),""))=2,IF(AND(RIGHT(IFERROR(INDEX(醫師週班表!$C$5:$T$44,$CU13,BA$57),""),1)="~",BA$58=1),"",LEFT(IFERROR(INDEX(醫師週班表!$C$5:$T$44,$CU13,BA$57),""),1)),IFERROR(INDEX(醫師週班表!$C$5:$T$44,$CU13,BA$57),""))))))</f>
        <v/>
      </c>
      <c r="BB13" s="68">
        <f>IF(BB$59="X","",IF(BB$59&lt;&gt;"",BB$59,IF(IFERROR(INDEX(醫師週班表!$C$5:$T$44,$CU13,BB$57),"")=0,"",IF(LEN(IFERROR(INDEX(醫師週班表!$C$5:$T$44,$CU13,BB$57),""))=4,MID(IFERROR(INDEX(醫師週班表!$C$5:$T$44,$CU13,BB$57),""),1+BB$58*2,1),IF(LEN(IFERROR(INDEX(醫師週班表!$C$5:$T$44,$CU13,BB$57),""))=2,IF(AND(RIGHT(IFERROR(INDEX(醫師週班表!$C$5:$T$44,$CU13,BB$57),""),1)="~",BB$58=1),"",LEFT(IFERROR(INDEX(醫師週班表!$C$5:$T$44,$CU13,BB$57),""),1)),IFERROR(INDEX(醫師週班表!$C$5:$T$44,$CU13,BB$57),""))))))</f>
        <v/>
      </c>
      <c r="BC13" s="68">
        <f>IF(BC$59="X","",IF(BC$59&lt;&gt;"",BC$59,IF(IFERROR(INDEX(醫師週班表!$C$5:$T$44,$CU13,BC$57),"")=0,"",IF(LEN(IFERROR(INDEX(醫師週班表!$C$5:$T$44,$CU13,BC$57),""))=4,MID(IFERROR(INDEX(醫師週班表!$C$5:$T$44,$CU13,BC$57),""),1+BC$58*2,1),IF(LEN(IFERROR(INDEX(醫師週班表!$C$5:$T$44,$CU13,BC$57),""))=2,IF(AND(RIGHT(IFERROR(INDEX(醫師週班表!$C$5:$T$44,$CU13,BC$57),""),1)="~",BC$58=1),"",LEFT(IFERROR(INDEX(醫師週班表!$C$5:$T$44,$CU13,BC$57),""),1)),IFERROR(INDEX(醫師週班表!$C$5:$T$44,$CU13,BC$57),""))))))</f>
        <v/>
      </c>
      <c r="BD13" s="67">
        <f>IF(BD$59="X","",IF(BD$59&lt;&gt;"",BD$59,IF(IFERROR(INDEX(醫師週班表!$C$5:$T$44,$CU13,BD$57),"")=0,"",IF(LEN(IFERROR(INDEX(醫師週班表!$C$5:$T$44,$CU13,BD$57),""))=4,MID(IFERROR(INDEX(醫師週班表!$C$5:$T$44,$CU13,BD$57),""),1+BD$58*2,1),IF(LEN(IFERROR(INDEX(醫師週班表!$C$5:$T$44,$CU13,BD$57),""))=2,IF(AND(RIGHT(IFERROR(INDEX(醫師週班表!$C$5:$T$44,$CU13,BD$57),""),1)="~",BD$58=1),"",LEFT(IFERROR(INDEX(醫師週班表!$C$5:$T$44,$CU13,BD$57),""),1)),IFERROR(INDEX(醫師週班表!$C$5:$T$44,$CU13,BD$57),""))))))</f>
        <v/>
      </c>
      <c r="BE13" s="68">
        <f>IF(BE$59="X","",IF(BE$59&lt;&gt;"",BE$59,IF(IFERROR(INDEX(醫師週班表!$C$5:$T$44,$CU13,BE$57),"")=0,"",IF(LEN(IFERROR(INDEX(醫師週班表!$C$5:$T$44,$CU13,BE$57),""))=4,MID(IFERROR(INDEX(醫師週班表!$C$5:$T$44,$CU13,BE$57),""),1+BE$58*2,1),IF(LEN(IFERROR(INDEX(醫師週班表!$C$5:$T$44,$CU13,BE$57),""))=2,IF(AND(RIGHT(IFERROR(INDEX(醫師週班表!$C$5:$T$44,$CU13,BE$57),""),1)="~",BE$58=1),"",LEFT(IFERROR(INDEX(醫師週班表!$C$5:$T$44,$CU13,BE$57),""),1)),IFERROR(INDEX(醫師週班表!$C$5:$T$44,$CU13,BE$57),""))))))</f>
        <v/>
      </c>
      <c r="BF13" s="68">
        <f>IF(BF$59="X","",IF(BF$59&lt;&gt;"",BF$59,IF(IFERROR(INDEX(醫師週班表!$C$5:$T$44,$CU13,BF$57),"")=0,"",IF(LEN(IFERROR(INDEX(醫師週班表!$C$5:$T$44,$CU13,BF$57),""))=4,MID(IFERROR(INDEX(醫師週班表!$C$5:$T$44,$CU13,BF$57),""),1+BF$58*2,1),IF(LEN(IFERROR(INDEX(醫師週班表!$C$5:$T$44,$CU13,BF$57),""))=2,IF(AND(RIGHT(IFERROR(INDEX(醫師週班表!$C$5:$T$44,$CU13,BF$57),""),1)="~",BF$58=1),"",LEFT(IFERROR(INDEX(醫師週班表!$C$5:$T$44,$CU13,BF$57),""),1)),IFERROR(INDEX(醫師週班表!$C$5:$T$44,$CU13,BF$57),""))))))</f>
        <v/>
      </c>
      <c r="BG13" s="67">
        <f>IF(BG$59="X","",IF(BG$59&lt;&gt;"",BG$59,IF(IFERROR(INDEX(醫師週班表!$C$5:$T$44,$CU13,BG$57),"")=0,"",IF(LEN(IFERROR(INDEX(醫師週班表!$C$5:$T$44,$CU13,BG$57),""))=4,MID(IFERROR(INDEX(醫師週班表!$C$5:$T$44,$CU13,BG$57),""),1+BG$58*2,1),IF(LEN(IFERROR(INDEX(醫師週班表!$C$5:$T$44,$CU13,BG$57),""))=2,IF(AND(RIGHT(IFERROR(INDEX(醫師週班表!$C$5:$T$44,$CU13,BG$57),""),1)="~",BG$58=1),"",LEFT(IFERROR(INDEX(醫師週班表!$C$5:$T$44,$CU13,BG$57),""),1)),IFERROR(INDEX(醫師週班表!$C$5:$T$44,$CU13,BG$57),""))))))</f>
        <v/>
      </c>
      <c r="BH13" s="68">
        <f>IF(BH$59="X","",IF(BH$59&lt;&gt;"",BH$59,IF(IFERROR(INDEX(醫師週班表!$C$5:$T$44,$CU13,BH$57),"")=0,"",IF(LEN(IFERROR(INDEX(醫師週班表!$C$5:$T$44,$CU13,BH$57),""))=4,MID(IFERROR(INDEX(醫師週班表!$C$5:$T$44,$CU13,BH$57),""),1+BH$58*2,1),IF(LEN(IFERROR(INDEX(醫師週班表!$C$5:$T$44,$CU13,BH$57),""))=2,IF(AND(RIGHT(IFERROR(INDEX(醫師週班表!$C$5:$T$44,$CU13,BH$57),""),1)="~",BH$58=1),"",LEFT(IFERROR(INDEX(醫師週班表!$C$5:$T$44,$CU13,BH$57),""),1)),IFERROR(INDEX(醫師週班表!$C$5:$T$44,$CU13,BH$57),""))))))</f>
        <v/>
      </c>
      <c r="BI13" s="68">
        <f>IF(BI$59="X","",IF(BI$59&lt;&gt;"",BI$59,IF(IFERROR(INDEX(醫師週班表!$C$5:$T$44,$CU13,BI$57),"")=0,"",IF(LEN(IFERROR(INDEX(醫師週班表!$C$5:$T$44,$CU13,BI$57),""))=4,MID(IFERROR(INDEX(醫師週班表!$C$5:$T$44,$CU13,BI$57),""),1+BI$58*2,1),IF(LEN(IFERROR(INDEX(醫師週班表!$C$5:$T$44,$CU13,BI$57),""))=2,IF(AND(RIGHT(IFERROR(INDEX(醫師週班表!$C$5:$T$44,$CU13,BI$57),""),1)="~",BI$58=1),"",LEFT(IFERROR(INDEX(醫師週班表!$C$5:$T$44,$CU13,BI$57),""),1)),IFERROR(INDEX(醫師週班表!$C$5:$T$44,$CU13,BI$57),""))))))</f>
        <v/>
      </c>
      <c r="BJ13" s="67">
        <f>IF(BJ$59="X","",IF(BJ$59&lt;&gt;"",BJ$59,IF(IFERROR(INDEX(醫師週班表!$C$5:$T$44,$CU13,BJ$57),"")=0,"",IF(LEN(IFERROR(INDEX(醫師週班表!$C$5:$T$44,$CU13,BJ$57),""))=4,MID(IFERROR(INDEX(醫師週班表!$C$5:$T$44,$CU13,BJ$57),""),1+BJ$58*2,1),IF(LEN(IFERROR(INDEX(醫師週班表!$C$5:$T$44,$CU13,BJ$57),""))=2,IF(AND(RIGHT(IFERROR(INDEX(醫師週班表!$C$5:$T$44,$CU13,BJ$57),""),1)="~",BJ$58=1),"",LEFT(IFERROR(INDEX(醫師週班表!$C$5:$T$44,$CU13,BJ$57),""),1)),IFERROR(INDEX(醫師週班表!$C$5:$T$44,$CU13,BJ$57),""))))))</f>
        <v/>
      </c>
      <c r="BK13" s="68">
        <f>IF(BK$59="X","",IF(BK$59&lt;&gt;"",BK$59,IF(IFERROR(INDEX(醫師週班表!$C$5:$T$44,$CU13,BK$57),"")=0,"",IF(LEN(IFERROR(INDEX(醫師週班表!$C$5:$T$44,$CU13,BK$57),""))=4,MID(IFERROR(INDEX(醫師週班表!$C$5:$T$44,$CU13,BK$57),""),1+BK$58*2,1),IF(LEN(IFERROR(INDEX(醫師週班表!$C$5:$T$44,$CU13,BK$57),""))=2,IF(AND(RIGHT(IFERROR(INDEX(醫師週班表!$C$5:$T$44,$CU13,BK$57),""),1)="~",BK$58=1),"",LEFT(IFERROR(INDEX(醫師週班表!$C$5:$T$44,$CU13,BK$57),""),1)),IFERROR(INDEX(醫師週班表!$C$5:$T$44,$CU13,BK$57),""))))))</f>
        <v/>
      </c>
      <c r="BL13" s="68">
        <f>IF(BL$59="X","",IF(BL$59&lt;&gt;"",BL$59,IF(IFERROR(INDEX(醫師週班表!$C$5:$T$44,$CU13,BL$57),"")=0,"",IF(LEN(IFERROR(INDEX(醫師週班表!$C$5:$T$44,$CU13,BL$57),""))=4,MID(IFERROR(INDEX(醫師週班表!$C$5:$T$44,$CU13,BL$57),""),1+BL$58*2,1),IF(LEN(IFERROR(INDEX(醫師週班表!$C$5:$T$44,$CU13,BL$57),""))=2,IF(AND(RIGHT(IFERROR(INDEX(醫師週班表!$C$5:$T$44,$CU13,BL$57),""),1)="~",BL$58=1),"",LEFT(IFERROR(INDEX(醫師週班表!$C$5:$T$44,$CU13,BL$57),""),1)),IFERROR(INDEX(醫師週班表!$C$5:$T$44,$CU13,BL$57),""))))))</f>
        <v/>
      </c>
      <c r="BM13" s="67">
        <f>IF(BM$59="X","",IF(BM$59&lt;&gt;"",BM$59,IF(IFERROR(INDEX(醫師週班表!$C$5:$T$44,$CU13,BM$57),"")=0,"",IF(LEN(IFERROR(INDEX(醫師週班表!$C$5:$T$44,$CU13,BM$57),""))=4,MID(IFERROR(INDEX(醫師週班表!$C$5:$T$44,$CU13,BM$57),""),1+BM$58*2,1),IF(LEN(IFERROR(INDEX(醫師週班表!$C$5:$T$44,$CU13,BM$57),""))=2,IF(AND(RIGHT(IFERROR(INDEX(醫師週班表!$C$5:$T$44,$CU13,BM$57),""),1)="~",BM$58=1),"",LEFT(IFERROR(INDEX(醫師週班表!$C$5:$T$44,$CU13,BM$57),""),1)),IFERROR(INDEX(醫師週班表!$C$5:$T$44,$CU13,BM$57),""))))))</f>
        <v/>
      </c>
      <c r="BN13" s="68">
        <f>IF(BN$59="X","",IF(BN$59&lt;&gt;"",BN$59,IF(IFERROR(INDEX(醫師週班表!$C$5:$T$44,$CU13,BN$57),"")=0,"",IF(LEN(IFERROR(INDEX(醫師週班表!$C$5:$T$44,$CU13,BN$57),""))=4,MID(IFERROR(INDEX(醫師週班表!$C$5:$T$44,$CU13,BN$57),""),1+BN$58*2,1),IF(LEN(IFERROR(INDEX(醫師週班表!$C$5:$T$44,$CU13,BN$57),""))=2,IF(AND(RIGHT(IFERROR(INDEX(醫師週班表!$C$5:$T$44,$CU13,BN$57),""),1)="~",BN$58=1),"",LEFT(IFERROR(INDEX(醫師週班表!$C$5:$T$44,$CU13,BN$57),""),1)),IFERROR(INDEX(醫師週班表!$C$5:$T$44,$CU13,BN$57),""))))))</f>
        <v/>
      </c>
      <c r="BO13" s="68">
        <f>IF(BO$59="X","",IF(BO$59&lt;&gt;"",BO$59,IF(IFERROR(INDEX(醫師週班表!$C$5:$T$44,$CU13,BO$57),"")=0,"",IF(LEN(IFERROR(INDEX(醫師週班表!$C$5:$T$44,$CU13,BO$57),""))=4,MID(IFERROR(INDEX(醫師週班表!$C$5:$T$44,$CU13,BO$57),""),1+BO$58*2,1),IF(LEN(IFERROR(INDEX(醫師週班表!$C$5:$T$44,$CU13,BO$57),""))=2,IF(AND(RIGHT(IFERROR(INDEX(醫師週班表!$C$5:$T$44,$CU13,BO$57),""),1)="~",BO$58=1),"",LEFT(IFERROR(INDEX(醫師週班表!$C$5:$T$44,$CU13,BO$57),""),1)),IFERROR(INDEX(醫師週班表!$C$5:$T$44,$CU13,BO$57),""))))))</f>
        <v/>
      </c>
      <c r="BP13" s="67">
        <f>IF(BP$59="X","",IF(BP$59&lt;&gt;"",BP$59,IF(IFERROR(INDEX(醫師週班表!$C$5:$T$44,$CU13,BP$57),"")=0,"",IF(LEN(IFERROR(INDEX(醫師週班表!$C$5:$T$44,$CU13,BP$57),""))=4,MID(IFERROR(INDEX(醫師週班表!$C$5:$T$44,$CU13,BP$57),""),1+BP$58*2,1),IF(LEN(IFERROR(INDEX(醫師週班表!$C$5:$T$44,$CU13,BP$57),""))=2,IF(AND(RIGHT(IFERROR(INDEX(醫師週班表!$C$5:$T$44,$CU13,BP$57),""),1)="~",BP$58=1),"",LEFT(IFERROR(INDEX(醫師週班表!$C$5:$T$44,$CU13,BP$57),""),1)),IFERROR(INDEX(醫師週班表!$C$5:$T$44,$CU13,BP$57),""))))))</f>
        <v/>
      </c>
      <c r="BQ13" s="68">
        <f>IF(BQ$59="X","",IF(BQ$59&lt;&gt;"",BQ$59,IF(IFERROR(INDEX(醫師週班表!$C$5:$T$44,$CU13,BQ$57),"")=0,"",IF(LEN(IFERROR(INDEX(醫師週班表!$C$5:$T$44,$CU13,BQ$57),""))=4,MID(IFERROR(INDEX(醫師週班表!$C$5:$T$44,$CU13,BQ$57),""),1+BQ$58*2,1),IF(LEN(IFERROR(INDEX(醫師週班表!$C$5:$T$44,$CU13,BQ$57),""))=2,IF(AND(RIGHT(IFERROR(INDEX(醫師週班表!$C$5:$T$44,$CU13,BQ$57),""),1)="~",BQ$58=1),"",LEFT(IFERROR(INDEX(醫師週班表!$C$5:$T$44,$CU13,BQ$57),""),1)),IFERROR(INDEX(醫師週班表!$C$5:$T$44,$CU13,BQ$57),""))))))</f>
        <v/>
      </c>
      <c r="BR13" s="68">
        <f>IF(BR$59="X","",IF(BR$59&lt;&gt;"",BR$59,IF(IFERROR(INDEX(醫師週班表!$C$5:$T$44,$CU13,BR$57),"")=0,"",IF(LEN(IFERROR(INDEX(醫師週班表!$C$5:$T$44,$CU13,BR$57),""))=4,MID(IFERROR(INDEX(醫師週班表!$C$5:$T$44,$CU13,BR$57),""),1+BR$58*2,1),IF(LEN(IFERROR(INDEX(醫師週班表!$C$5:$T$44,$CU13,BR$57),""))=2,IF(AND(RIGHT(IFERROR(INDEX(醫師週班表!$C$5:$T$44,$CU13,BR$57),""),1)="~",BR$58=1),"",LEFT(IFERROR(INDEX(醫師週班表!$C$5:$T$44,$CU13,BR$57),""),1)),IFERROR(INDEX(醫師週班表!$C$5:$T$44,$CU13,BR$57),""))))))</f>
        <v/>
      </c>
      <c r="BS13" s="67">
        <f>IF(BS$59="X","",IF(BS$59&lt;&gt;"",BS$59,IF(IFERROR(INDEX(醫師週班表!$C$5:$T$44,$CU13,BS$57),"")=0,"",IF(LEN(IFERROR(INDEX(醫師週班表!$C$5:$T$44,$CU13,BS$57),""))=4,MID(IFERROR(INDEX(醫師週班表!$C$5:$T$44,$CU13,BS$57),""),1+BS$58*2,1),IF(LEN(IFERROR(INDEX(醫師週班表!$C$5:$T$44,$CU13,BS$57),""))=2,IF(AND(RIGHT(IFERROR(INDEX(醫師週班表!$C$5:$T$44,$CU13,BS$57),""),1)="~",BS$58=1),"",LEFT(IFERROR(INDEX(醫師週班表!$C$5:$T$44,$CU13,BS$57),""),1)),IFERROR(INDEX(醫師週班表!$C$5:$T$44,$CU13,BS$57),""))))))</f>
        <v/>
      </c>
      <c r="BT13" s="68">
        <f>IF(BT$59="X","",IF(BT$59&lt;&gt;"",BT$59,IF(IFERROR(INDEX(醫師週班表!$C$5:$T$44,$CU13,BT$57),"")=0,"",IF(LEN(IFERROR(INDEX(醫師週班表!$C$5:$T$44,$CU13,BT$57),""))=4,MID(IFERROR(INDEX(醫師週班表!$C$5:$T$44,$CU13,BT$57),""),1+BT$58*2,1),IF(LEN(IFERROR(INDEX(醫師週班表!$C$5:$T$44,$CU13,BT$57),""))=2,IF(AND(RIGHT(IFERROR(INDEX(醫師週班表!$C$5:$T$44,$CU13,BT$57),""),1)="~",BT$58=1),"",LEFT(IFERROR(INDEX(醫師週班表!$C$5:$T$44,$CU13,BT$57),""),1)),IFERROR(INDEX(醫師週班表!$C$5:$T$44,$CU13,BT$57),""))))))</f>
        <v/>
      </c>
      <c r="BU13" s="68">
        <f>IF(BU$59="X","",IF(BU$59&lt;&gt;"",BU$59,IF(IFERROR(INDEX(醫師週班表!$C$5:$T$44,$CU13,BU$57),"")=0,"",IF(LEN(IFERROR(INDEX(醫師週班表!$C$5:$T$44,$CU13,BU$57),""))=4,MID(IFERROR(INDEX(醫師週班表!$C$5:$T$44,$CU13,BU$57),""),1+BU$58*2,1),IF(LEN(IFERROR(INDEX(醫師週班表!$C$5:$T$44,$CU13,BU$57),""))=2,IF(AND(RIGHT(IFERROR(INDEX(醫師週班表!$C$5:$T$44,$CU13,BU$57),""),1)="~",BU$58=1),"",LEFT(IFERROR(INDEX(醫師週班表!$C$5:$T$44,$CU13,BU$57),""),1)),IFERROR(INDEX(醫師週班表!$C$5:$T$44,$CU13,BU$57),""))))))</f>
        <v/>
      </c>
      <c r="BV13" s="67">
        <f>IF(BV$59="X","",IF(BV$59&lt;&gt;"",BV$59,IF(IFERROR(INDEX(醫師週班表!$C$5:$T$44,$CU13,BV$57),"")=0,"",IF(LEN(IFERROR(INDEX(醫師週班表!$C$5:$T$44,$CU13,BV$57),""))=4,MID(IFERROR(INDEX(醫師週班表!$C$5:$T$44,$CU13,BV$57),""),1+BV$58*2,1),IF(LEN(IFERROR(INDEX(醫師週班表!$C$5:$T$44,$CU13,BV$57),""))=2,IF(AND(RIGHT(IFERROR(INDEX(醫師週班表!$C$5:$T$44,$CU13,BV$57),""),1)="~",BV$58=1),"",LEFT(IFERROR(INDEX(醫師週班表!$C$5:$T$44,$CU13,BV$57),""),1)),IFERROR(INDEX(醫師週班表!$C$5:$T$44,$CU13,BV$57),""))))))</f>
        <v/>
      </c>
      <c r="BW13" s="68">
        <f>IF(BW$59="X","",IF(BW$59&lt;&gt;"",BW$59,IF(IFERROR(INDEX(醫師週班表!$C$5:$T$44,$CU13,BW$57),"")=0,"",IF(LEN(IFERROR(INDEX(醫師週班表!$C$5:$T$44,$CU13,BW$57),""))=4,MID(IFERROR(INDEX(醫師週班表!$C$5:$T$44,$CU13,BW$57),""),1+BW$58*2,1),IF(LEN(IFERROR(INDEX(醫師週班表!$C$5:$T$44,$CU13,BW$57),""))=2,IF(AND(RIGHT(IFERROR(INDEX(醫師週班表!$C$5:$T$44,$CU13,BW$57),""),1)="~",BW$58=1),"",LEFT(IFERROR(INDEX(醫師週班表!$C$5:$T$44,$CU13,BW$57),""),1)),IFERROR(INDEX(醫師週班表!$C$5:$T$44,$CU13,BW$57),""))))))</f>
        <v/>
      </c>
      <c r="BX13" s="68">
        <f>IF(BX$59="X","",IF(BX$59&lt;&gt;"",BX$59,IF(IFERROR(INDEX(醫師週班表!$C$5:$T$44,$CU13,BX$57),"")=0,"",IF(LEN(IFERROR(INDEX(醫師週班表!$C$5:$T$44,$CU13,BX$57),""))=4,MID(IFERROR(INDEX(醫師週班表!$C$5:$T$44,$CU13,BX$57),""),1+BX$58*2,1),IF(LEN(IFERROR(INDEX(醫師週班表!$C$5:$T$44,$CU13,BX$57),""))=2,IF(AND(RIGHT(IFERROR(INDEX(醫師週班表!$C$5:$T$44,$CU13,BX$57),""),1)="~",BX$58=1),"",LEFT(IFERROR(INDEX(醫師週班表!$C$5:$T$44,$CU13,BX$57),""),1)),IFERROR(INDEX(醫師週班表!$C$5:$T$44,$CU13,BX$57),""))))))</f>
        <v/>
      </c>
      <c r="BY13" s="67">
        <f>IF(BY$59="X","",IF(BY$59&lt;&gt;"",BY$59,IF(IFERROR(INDEX(醫師週班表!$C$5:$T$44,$CU13,BY$57),"")=0,"",IF(LEN(IFERROR(INDEX(醫師週班表!$C$5:$T$44,$CU13,BY$57),""))=4,MID(IFERROR(INDEX(醫師週班表!$C$5:$T$44,$CU13,BY$57),""),1+BY$58*2,1),IF(LEN(IFERROR(INDEX(醫師週班表!$C$5:$T$44,$CU13,BY$57),""))=2,IF(AND(RIGHT(IFERROR(INDEX(醫師週班表!$C$5:$T$44,$CU13,BY$57),""),1)="~",BY$58=1),"",LEFT(IFERROR(INDEX(醫師週班表!$C$5:$T$44,$CU13,BY$57),""),1)),IFERROR(INDEX(醫師週班表!$C$5:$T$44,$CU13,BY$57),""))))))</f>
        <v/>
      </c>
      <c r="BZ13" s="68">
        <f>IF(BZ$59="X","",IF(BZ$59&lt;&gt;"",BZ$59,IF(IFERROR(INDEX(醫師週班表!$C$5:$T$44,$CU13,BZ$57),"")=0,"",IF(LEN(IFERROR(INDEX(醫師週班表!$C$5:$T$44,$CU13,BZ$57),""))=4,MID(IFERROR(INDEX(醫師週班表!$C$5:$T$44,$CU13,BZ$57),""),1+BZ$58*2,1),IF(LEN(IFERROR(INDEX(醫師週班表!$C$5:$T$44,$CU13,BZ$57),""))=2,IF(AND(RIGHT(IFERROR(INDEX(醫師週班表!$C$5:$T$44,$CU13,BZ$57),""),1)="~",BZ$58=1),"",LEFT(IFERROR(INDEX(醫師週班表!$C$5:$T$44,$CU13,BZ$57),""),1)),IFERROR(INDEX(醫師週班表!$C$5:$T$44,$CU13,BZ$57),""))))))</f>
        <v/>
      </c>
      <c r="CA13" s="68">
        <f>IF(CA$59="X","",IF(CA$59&lt;&gt;"",CA$59,IF(IFERROR(INDEX(醫師週班表!$C$5:$T$44,$CU13,CA$57),"")=0,"",IF(LEN(IFERROR(INDEX(醫師週班表!$C$5:$T$44,$CU13,CA$57),""))=4,MID(IFERROR(INDEX(醫師週班表!$C$5:$T$44,$CU13,CA$57),""),1+CA$58*2,1),IF(LEN(IFERROR(INDEX(醫師週班表!$C$5:$T$44,$CU13,CA$57),""))=2,IF(AND(RIGHT(IFERROR(INDEX(醫師週班表!$C$5:$T$44,$CU13,CA$57),""),1)="~",CA$58=1),"",LEFT(IFERROR(INDEX(醫師週班表!$C$5:$T$44,$CU13,CA$57),""),1)),IFERROR(INDEX(醫師週班表!$C$5:$T$44,$CU13,CA$57),""))))))</f>
        <v/>
      </c>
      <c r="CB13" s="67">
        <f>IF(CB$59="X","",IF(CB$59&lt;&gt;"",CB$59,IF(IFERROR(INDEX(醫師週班表!$C$5:$T$44,$CU13,CB$57),"")=0,"",IF(LEN(IFERROR(INDEX(醫師週班表!$C$5:$T$44,$CU13,CB$57),""))=4,MID(IFERROR(INDEX(醫師週班表!$C$5:$T$44,$CU13,CB$57),""),1+CB$58*2,1),IF(LEN(IFERROR(INDEX(醫師週班表!$C$5:$T$44,$CU13,CB$57),""))=2,IF(AND(RIGHT(IFERROR(INDEX(醫師週班表!$C$5:$T$44,$CU13,CB$57),""),1)="~",CB$58=1),"",LEFT(IFERROR(INDEX(醫師週班表!$C$5:$T$44,$CU13,CB$57),""),1)),IFERROR(INDEX(醫師週班表!$C$5:$T$44,$CU13,CB$57),""))))))</f>
        <v/>
      </c>
      <c r="CC13" s="68">
        <f>IF(CC$59="X","",IF(CC$59&lt;&gt;"",CC$59,IF(IFERROR(INDEX(醫師週班表!$C$5:$T$44,$CU13,CC$57),"")=0,"",IF(LEN(IFERROR(INDEX(醫師週班表!$C$5:$T$44,$CU13,CC$57),""))=4,MID(IFERROR(INDEX(醫師週班表!$C$5:$T$44,$CU13,CC$57),""),1+CC$58*2,1),IF(LEN(IFERROR(INDEX(醫師週班表!$C$5:$T$44,$CU13,CC$57),""))=2,IF(AND(RIGHT(IFERROR(INDEX(醫師週班表!$C$5:$T$44,$CU13,CC$57),""),1)="~",CC$58=1),"",LEFT(IFERROR(INDEX(醫師週班表!$C$5:$T$44,$CU13,CC$57),""),1)),IFERROR(INDEX(醫師週班表!$C$5:$T$44,$CU13,CC$57),""))))))</f>
        <v/>
      </c>
      <c r="CD13" s="68">
        <f>IF(CD$59="X","",IF(CD$59&lt;&gt;"",CD$59,IF(IFERROR(INDEX(醫師週班表!$C$5:$T$44,$CU13,CD$57),"")=0,"",IF(LEN(IFERROR(INDEX(醫師週班表!$C$5:$T$44,$CU13,CD$57),""))=4,MID(IFERROR(INDEX(醫師週班表!$C$5:$T$44,$CU13,CD$57),""),1+CD$58*2,1),IF(LEN(IFERROR(INDEX(醫師週班表!$C$5:$T$44,$CU13,CD$57),""))=2,IF(AND(RIGHT(IFERROR(INDEX(醫師週班表!$C$5:$T$44,$CU13,CD$57),""),1)="~",CD$58=1),"",LEFT(IFERROR(INDEX(醫師週班表!$C$5:$T$44,$CU13,CD$57),""),1)),IFERROR(INDEX(醫師週班表!$C$5:$T$44,$CU13,CD$57),""))))))</f>
        <v/>
      </c>
      <c r="CE13" s="67">
        <f>IF(CE$59="X","",IF(CE$59&lt;&gt;"",CE$59,IF(IFERROR(INDEX(醫師週班表!$C$5:$T$44,$CU13,CE$57),"")=0,"",IF(LEN(IFERROR(INDEX(醫師週班表!$C$5:$T$44,$CU13,CE$57),""))=4,MID(IFERROR(INDEX(醫師週班表!$C$5:$T$44,$CU13,CE$57),""),1+CE$58*2,1),IF(LEN(IFERROR(INDEX(醫師週班表!$C$5:$T$44,$CU13,CE$57),""))=2,IF(AND(RIGHT(IFERROR(INDEX(醫師週班表!$C$5:$T$44,$CU13,CE$57),""),1)="~",CE$58=1),"",LEFT(IFERROR(INDEX(醫師週班表!$C$5:$T$44,$CU13,CE$57),""),1)),IFERROR(INDEX(醫師週班表!$C$5:$T$44,$CU13,CE$57),""))))))</f>
        <v/>
      </c>
      <c r="CF13" s="68">
        <f>IF(CF$59="X","",IF(CF$59&lt;&gt;"",CF$59,IF(IFERROR(INDEX(醫師週班表!$C$5:$T$44,$CU13,CF$57),"")=0,"",IF(LEN(IFERROR(INDEX(醫師週班表!$C$5:$T$44,$CU13,CF$57),""))=4,MID(IFERROR(INDEX(醫師週班表!$C$5:$T$44,$CU13,CF$57),""),1+CF$58*2,1),IF(LEN(IFERROR(INDEX(醫師週班表!$C$5:$T$44,$CU13,CF$57),""))=2,IF(AND(RIGHT(IFERROR(INDEX(醫師週班表!$C$5:$T$44,$CU13,CF$57),""),1)="~",CF$58=1),"",LEFT(IFERROR(INDEX(醫師週班表!$C$5:$T$44,$CU13,CF$57),""),1)),IFERROR(INDEX(醫師週班表!$C$5:$T$44,$CU13,CF$57),""))))))</f>
        <v/>
      </c>
      <c r="CG13" s="68">
        <f>IF(CG$59="X","",IF(CG$59&lt;&gt;"",CG$59,IF(IFERROR(INDEX(醫師週班表!$C$5:$T$44,$CU13,CG$57),"")=0,"",IF(LEN(IFERROR(INDEX(醫師週班表!$C$5:$T$44,$CU13,CG$57),""))=4,MID(IFERROR(INDEX(醫師週班表!$C$5:$T$44,$CU13,CG$57),""),1+CG$58*2,1),IF(LEN(IFERROR(INDEX(醫師週班表!$C$5:$T$44,$CU13,CG$57),""))=2,IF(AND(RIGHT(IFERROR(INDEX(醫師週班表!$C$5:$T$44,$CU13,CG$57),""),1)="~",CG$58=1),"",LEFT(IFERROR(INDEX(醫師週班表!$C$5:$T$44,$CU13,CG$57),""),1)),IFERROR(INDEX(醫師週班表!$C$5:$T$44,$CU13,CG$57),""))))))</f>
        <v/>
      </c>
      <c r="CH13" s="67">
        <f>IF(CH$59="X","",IF(CH$59&lt;&gt;"",CH$59,IF(IFERROR(INDEX(醫師週班表!$C$5:$T$44,$CU13,CH$57),"")=0,"",IF(LEN(IFERROR(INDEX(醫師週班表!$C$5:$T$44,$CU13,CH$57),""))=4,MID(IFERROR(INDEX(醫師週班表!$C$5:$T$44,$CU13,CH$57),""),1+CH$58*2,1),IF(LEN(IFERROR(INDEX(醫師週班表!$C$5:$T$44,$CU13,CH$57),""))=2,IF(AND(RIGHT(IFERROR(INDEX(醫師週班表!$C$5:$T$44,$CU13,CH$57),""),1)="~",CH$58=1),"",LEFT(IFERROR(INDEX(醫師週班表!$C$5:$T$44,$CU13,CH$57),""),1)),IFERROR(INDEX(醫師週班表!$C$5:$T$44,$CU13,CH$57),""))))))</f>
        <v/>
      </c>
      <c r="CI13" s="68">
        <f>IF(CI$59="X","",IF(CI$59&lt;&gt;"",CI$59,IF(IFERROR(INDEX(醫師週班表!$C$5:$T$44,$CU13,CI$57),"")=0,"",IF(LEN(IFERROR(INDEX(醫師週班表!$C$5:$T$44,$CU13,CI$57),""))=4,MID(IFERROR(INDEX(醫師週班表!$C$5:$T$44,$CU13,CI$57),""),1+CI$58*2,1),IF(LEN(IFERROR(INDEX(醫師週班表!$C$5:$T$44,$CU13,CI$57),""))=2,IF(AND(RIGHT(IFERROR(INDEX(醫師週班表!$C$5:$T$44,$CU13,CI$57),""),1)="~",CI$58=1),"",LEFT(IFERROR(INDEX(醫師週班表!$C$5:$T$44,$CU13,CI$57),""),1)),IFERROR(INDEX(醫師週班表!$C$5:$T$44,$CU13,CI$57),""))))))</f>
        <v/>
      </c>
      <c r="CJ13" s="68">
        <f>IF(CJ$59="X","",IF(CJ$59&lt;&gt;"",CJ$59,IF(IFERROR(INDEX(醫師週班表!$C$5:$T$44,$CU13,CJ$57),"")=0,"",IF(LEN(IFERROR(INDEX(醫師週班表!$C$5:$T$44,$CU13,CJ$57),""))=4,MID(IFERROR(INDEX(醫師週班表!$C$5:$T$44,$CU13,CJ$57),""),1+CJ$58*2,1),IF(LEN(IFERROR(INDEX(醫師週班表!$C$5:$T$44,$CU13,CJ$57),""))=2,IF(AND(RIGHT(IFERROR(INDEX(醫師週班表!$C$5:$T$44,$CU13,CJ$57),""),1)="~",CJ$58=1),"",LEFT(IFERROR(INDEX(醫師週班表!$C$5:$T$44,$CU13,CJ$57),""),1)),IFERROR(INDEX(醫師週班表!$C$5:$T$44,$CU13,CJ$57),""))))))</f>
        <v/>
      </c>
      <c r="CK13" s="67">
        <f>IF(CK$59="X","",IF(CK$59&lt;&gt;"",CK$59,IF(IFERROR(INDEX(醫師週班表!$C$5:$T$44,$CU13,CK$57),"")=0,"",IF(LEN(IFERROR(INDEX(醫師週班表!$C$5:$T$44,$CU13,CK$57),""))=4,MID(IFERROR(INDEX(醫師週班表!$C$5:$T$44,$CU13,CK$57),""),1+CK$58*2,1),IF(LEN(IFERROR(INDEX(醫師週班表!$C$5:$T$44,$CU13,CK$57),""))=2,IF(AND(RIGHT(IFERROR(INDEX(醫師週班表!$C$5:$T$44,$CU13,CK$57),""),1)="~",CK$58=1),"",LEFT(IFERROR(INDEX(醫師週班表!$C$5:$T$44,$CU13,CK$57),""),1)),IFERROR(INDEX(醫師週班表!$C$5:$T$44,$CU13,CK$57),""))))))</f>
        <v/>
      </c>
      <c r="CL13" s="68">
        <f>IF(CL$59="X","",IF(CL$59&lt;&gt;"",CL$59,IF(IFERROR(INDEX(醫師週班表!$C$5:$T$44,$CU13,CL$57),"")=0,"",IF(LEN(IFERROR(INDEX(醫師週班表!$C$5:$T$44,$CU13,CL$57),""))=4,MID(IFERROR(INDEX(醫師週班表!$C$5:$T$44,$CU13,CL$57),""),1+CL$58*2,1),IF(LEN(IFERROR(INDEX(醫師週班表!$C$5:$T$44,$CU13,CL$57),""))=2,IF(AND(RIGHT(IFERROR(INDEX(醫師週班表!$C$5:$T$44,$CU13,CL$57),""),1)="~",CL$58=1),"",LEFT(IFERROR(INDEX(醫師週班表!$C$5:$T$44,$CU13,CL$57),""),1)),IFERROR(INDEX(醫師週班表!$C$5:$T$44,$CU13,CL$57),""))))))</f>
        <v/>
      </c>
      <c r="CM13" s="68">
        <f>IF(CM$59="X","",IF(CM$59&lt;&gt;"",CM$59,IF(IFERROR(INDEX(醫師週班表!$C$5:$T$44,$CU13,CM$57),"")=0,"",IF(LEN(IFERROR(INDEX(醫師週班表!$C$5:$T$44,$CU13,CM$57),""))=4,MID(IFERROR(INDEX(醫師週班表!$C$5:$T$44,$CU13,CM$57),""),1+CM$58*2,1),IF(LEN(IFERROR(INDEX(醫師週班表!$C$5:$T$44,$CU13,CM$57),""))=2,IF(AND(RIGHT(IFERROR(INDEX(醫師週班表!$C$5:$T$44,$CU13,CM$57),""),1)="~",CM$58=1),"",LEFT(IFERROR(INDEX(醫師週班表!$C$5:$T$44,$CU13,CM$57),""),1)),IFERROR(INDEX(醫師週班表!$C$5:$T$44,$CU13,CM$57),""))))))</f>
        <v/>
      </c>
      <c r="CN13" s="67">
        <f>IF(CN$59="X","",IF(CN$59&lt;&gt;"",CN$59,IF(IFERROR(INDEX(醫師週班表!$C$5:$T$44,$CU13,CN$57),"")=0,"",IF(LEN(IFERROR(INDEX(醫師週班表!$C$5:$T$44,$CU13,CN$57),""))=4,MID(IFERROR(INDEX(醫師週班表!$C$5:$T$44,$CU13,CN$57),""),1+CN$58*2,1),IF(LEN(IFERROR(INDEX(醫師週班表!$C$5:$T$44,$CU13,CN$57),""))=2,IF(AND(RIGHT(IFERROR(INDEX(醫師週班表!$C$5:$T$44,$CU13,CN$57),""),1)="~",CN$58=1),"",LEFT(IFERROR(INDEX(醫師週班表!$C$5:$T$44,$CU13,CN$57),""),1)),IFERROR(INDEX(醫師週班表!$C$5:$T$44,$CU13,CN$57),""))))))</f>
        <v/>
      </c>
      <c r="CO13" s="68">
        <f>IF(CO$59="X","",IF(CO$59&lt;&gt;"",CO$59,IF(IFERROR(INDEX(醫師週班表!$C$5:$T$44,$CU13,CO$57),"")=0,"",IF(LEN(IFERROR(INDEX(醫師週班表!$C$5:$T$44,$CU13,CO$57),""))=4,MID(IFERROR(INDEX(醫師週班表!$C$5:$T$44,$CU13,CO$57),""),1+CO$58*2,1),IF(LEN(IFERROR(INDEX(醫師週班表!$C$5:$T$44,$CU13,CO$57),""))=2,IF(AND(RIGHT(IFERROR(INDEX(醫師週班表!$C$5:$T$44,$CU13,CO$57),""),1)="~",CO$58=1),"",LEFT(IFERROR(INDEX(醫師週班表!$C$5:$T$44,$CU13,CO$57),""),1)),IFERROR(INDEX(醫師週班表!$C$5:$T$44,$CU13,CO$57),""))))))</f>
        <v/>
      </c>
      <c r="CP13" s="68">
        <f>IF(CP$59="X","",IF(CP$59&lt;&gt;"",CP$59,IF(IFERROR(INDEX(醫師週班表!$C$5:$T$44,$CU13,CP$57),"")=0,"",IF(LEN(IFERROR(INDEX(醫師週班表!$C$5:$T$44,$CU13,CP$57),""))=4,MID(IFERROR(INDEX(醫師週班表!$C$5:$T$44,$CU13,CP$57),""),1+CP$58*2,1),IF(LEN(IFERROR(INDEX(醫師週班表!$C$5:$T$44,$CU13,CP$57),""))=2,IF(AND(RIGHT(IFERROR(INDEX(醫師週班表!$C$5:$T$44,$CU13,CP$57),""),1)="~",CP$58=1),"",LEFT(IFERROR(INDEX(醫師週班表!$C$5:$T$44,$CU13,CP$57),""),1)),IFERROR(INDEX(醫師週班表!$C$5:$T$44,$CU13,CP$57),""))))))</f>
        <v/>
      </c>
      <c r="CQ13" s="67">
        <f>IF(CQ$59="X","",IF(CQ$59&lt;&gt;"",CQ$59,IF(IFERROR(INDEX(醫師週班表!$C$5:$T$44,$CU13,CQ$57),"")=0,"",IF(LEN(IFERROR(INDEX(醫師週班表!$C$5:$T$44,$CU13,CQ$57),""))=4,MID(IFERROR(INDEX(醫師週班表!$C$5:$T$44,$CU13,CQ$57),""),1+CQ$58*2,1),IF(LEN(IFERROR(INDEX(醫師週班表!$C$5:$T$44,$CU13,CQ$57),""))=2,IF(AND(RIGHT(IFERROR(INDEX(醫師週班表!$C$5:$T$44,$CU13,CQ$57),""),1)="~",CQ$58=1),"",LEFT(IFERROR(INDEX(醫師週班表!$C$5:$T$44,$CU13,CQ$57),""),1)),IFERROR(INDEX(醫師週班表!$C$5:$T$44,$CU13,CQ$57),""))))))</f>
        <v/>
      </c>
      <c r="CR13" s="68">
        <f>IF(CR$59="X","",IF(CR$59&lt;&gt;"",CR$59,IF(IFERROR(INDEX(醫師週班表!$C$5:$T$44,$CU13,CR$57),"")=0,"",IF(LEN(IFERROR(INDEX(醫師週班表!$C$5:$T$44,$CU13,CR$57),""))=4,MID(IFERROR(INDEX(醫師週班表!$C$5:$T$44,$CU13,CR$57),""),1+CR$58*2,1),IF(LEN(IFERROR(INDEX(醫師週班表!$C$5:$T$44,$CU13,CR$57),""))=2,IF(AND(RIGHT(IFERROR(INDEX(醫師週班表!$C$5:$T$44,$CU13,CR$57),""),1)="~",CR$58=1),"",LEFT(IFERROR(INDEX(醫師週班表!$C$5:$T$44,$CU13,CR$57),""),1)),IFERROR(INDEX(醫師週班表!$C$5:$T$44,$CU13,CR$57),""))))))</f>
        <v/>
      </c>
      <c r="CS13" s="68">
        <f>IF(CS$59="X","",IF(CS$59&lt;&gt;"",CS$59,IF(IFERROR(INDEX(醫師週班表!$C$5:$T$44,$CU13,CS$57),"")=0,"",IF(LEN(IFERROR(INDEX(醫師週班表!$C$5:$T$44,$CU13,CS$57),""))=4,MID(IFERROR(INDEX(醫師週班表!$C$5:$T$44,$CU13,CS$57),""),1+CS$58*2,1),IF(LEN(IFERROR(INDEX(醫師週班表!$C$5:$T$44,$CU13,CS$57),""))=2,IF(AND(RIGHT(IFERROR(INDEX(醫師週班表!$C$5:$T$44,$CU13,CS$57),""),1)="~",CS$58=1),"",LEFT(IFERROR(INDEX(醫師週班表!$C$5:$T$44,$CU13,CS$57),""),1)),IFERROR(INDEX(醫師週班表!$C$5:$T$44,$CU13,CS$57),""))))))</f>
        <v/>
      </c>
      <c r="CU13" s="69">
        <f>IFERROR(MATCH($A13,醫師週班表!$A$5:$A$44,0),0)</f>
        <v/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IFERROR(INDEX(醫師週班表!$C$5:$T$44,$CU14,E$57),"")=0,"",IF(LEN(IFERROR(INDEX(醫師週班表!$C$5:$T$44,$CU14,E$57),""))=4,MID(IFERROR(INDEX(醫師週班表!$C$5:$T$44,$CU14,E$57),""),1+E$58*2,1),IF(LEN(IFERROR(INDEX(醫師週班表!$C$5:$T$44,$CU14,E$57),""))=2,IF(AND(RIGHT(IFERROR(INDEX(醫師週班表!$C$5:$T$44,$CU14,E$57),""),1)="~",E$58=1),"",LEFT(IFERROR(INDEX(醫師週班表!$C$5:$T$44,$CU14,E$57),""),1)),IFERROR(INDEX(醫師週班表!$C$5:$T$44,$CU14,E$57),""))))))</f>
        <v/>
      </c>
      <c r="F14" s="68">
        <f>IF(F$59="X","",IF(F$59&lt;&gt;"",F$59,IF(IFERROR(INDEX(醫師週班表!$C$5:$T$44,$CU14,F$57),"")=0,"",IF(LEN(IFERROR(INDEX(醫師週班表!$C$5:$T$44,$CU14,F$57),""))=4,MID(IFERROR(INDEX(醫師週班表!$C$5:$T$44,$CU14,F$57),""),1+F$58*2,1),IF(LEN(IFERROR(INDEX(醫師週班表!$C$5:$T$44,$CU14,F$57),""))=2,IF(AND(RIGHT(IFERROR(INDEX(醫師週班表!$C$5:$T$44,$CU14,F$57),""),1)="~",F$58=1),"",LEFT(IFERROR(INDEX(醫師週班表!$C$5:$T$44,$CU14,F$57),""),1)),IFERROR(INDEX(醫師週班表!$C$5:$T$44,$CU14,F$57),""))))))</f>
        <v/>
      </c>
      <c r="G14" s="68">
        <f>IF(G$59="X","",IF(G$59&lt;&gt;"",G$59,IF(IFERROR(INDEX(醫師週班表!$C$5:$T$44,$CU14,G$57),"")=0,"",IF(LEN(IFERROR(INDEX(醫師週班表!$C$5:$T$44,$CU14,G$57),""))=4,MID(IFERROR(INDEX(醫師週班表!$C$5:$T$44,$CU14,G$57),""),1+G$58*2,1),IF(LEN(IFERROR(INDEX(醫師週班表!$C$5:$T$44,$CU14,G$57),""))=2,IF(AND(RIGHT(IFERROR(INDEX(醫師週班表!$C$5:$T$44,$CU14,G$57),""),1)="~",G$58=1),"",LEFT(IFERROR(INDEX(醫師週班表!$C$5:$T$44,$CU14,G$57),""),1)),IFERROR(INDEX(醫師週班表!$C$5:$T$44,$CU14,G$57),""))))))</f>
        <v/>
      </c>
      <c r="H14" s="67">
        <f>IF(H$59="X","",IF(H$59&lt;&gt;"",H$59,IF(IFERROR(INDEX(醫師週班表!$C$5:$T$44,$CU14,H$57),"")=0,"",IF(LEN(IFERROR(INDEX(醫師週班表!$C$5:$T$44,$CU14,H$57),""))=4,MID(IFERROR(INDEX(醫師週班表!$C$5:$T$44,$CU14,H$57),""),1+H$58*2,1),IF(LEN(IFERROR(INDEX(醫師週班表!$C$5:$T$44,$CU14,H$57),""))=2,IF(AND(RIGHT(IFERROR(INDEX(醫師週班表!$C$5:$T$44,$CU14,H$57),""),1)="~",H$58=1),"",LEFT(IFERROR(INDEX(醫師週班表!$C$5:$T$44,$CU14,H$57),""),1)),IFERROR(INDEX(醫師週班表!$C$5:$T$44,$CU14,H$57),""))))))</f>
        <v/>
      </c>
      <c r="I14" s="68">
        <f>IF(I$59="X","",IF(I$59&lt;&gt;"",I$59,IF(IFERROR(INDEX(醫師週班表!$C$5:$T$44,$CU14,I$57),"")=0,"",IF(LEN(IFERROR(INDEX(醫師週班表!$C$5:$T$44,$CU14,I$57),""))=4,MID(IFERROR(INDEX(醫師週班表!$C$5:$T$44,$CU14,I$57),""),1+I$58*2,1),IF(LEN(IFERROR(INDEX(醫師週班表!$C$5:$T$44,$CU14,I$57),""))=2,IF(AND(RIGHT(IFERROR(INDEX(醫師週班表!$C$5:$T$44,$CU14,I$57),""),1)="~",I$58=1),"",LEFT(IFERROR(INDEX(醫師週班表!$C$5:$T$44,$CU14,I$57),""),1)),IFERROR(INDEX(醫師週班表!$C$5:$T$44,$CU14,I$57),""))))))</f>
        <v/>
      </c>
      <c r="J14" s="68">
        <f>IF(J$59="X","",IF(J$59&lt;&gt;"",J$59,IF(IFERROR(INDEX(醫師週班表!$C$5:$T$44,$CU14,J$57),"")=0,"",IF(LEN(IFERROR(INDEX(醫師週班表!$C$5:$T$44,$CU14,J$57),""))=4,MID(IFERROR(INDEX(醫師週班表!$C$5:$T$44,$CU14,J$57),""),1+J$58*2,1),IF(LEN(IFERROR(INDEX(醫師週班表!$C$5:$T$44,$CU14,J$57),""))=2,IF(AND(RIGHT(IFERROR(INDEX(醫師週班表!$C$5:$T$44,$CU14,J$57),""),1)="~",J$58=1),"",LEFT(IFERROR(INDEX(醫師週班表!$C$5:$T$44,$CU14,J$57),""),1)),IFERROR(INDEX(醫師週班表!$C$5:$T$44,$CU14,J$57),""))))))</f>
        <v/>
      </c>
      <c r="K14" s="67">
        <f>IF(K$59="X","",IF(K$59&lt;&gt;"",K$59,IF(IFERROR(INDEX(醫師週班表!$C$5:$T$44,$CU14,K$57),"")=0,"",IF(LEN(IFERROR(INDEX(醫師週班表!$C$5:$T$44,$CU14,K$57),""))=4,MID(IFERROR(INDEX(醫師週班表!$C$5:$T$44,$CU14,K$57),""),1+K$58*2,1),IF(LEN(IFERROR(INDEX(醫師週班表!$C$5:$T$44,$CU14,K$57),""))=2,IF(AND(RIGHT(IFERROR(INDEX(醫師週班表!$C$5:$T$44,$CU14,K$57),""),1)="~",K$58=1),"",LEFT(IFERROR(INDEX(醫師週班表!$C$5:$T$44,$CU14,K$57),""),1)),IFERROR(INDEX(醫師週班表!$C$5:$T$44,$CU14,K$57),""))))))</f>
        <v/>
      </c>
      <c r="L14" s="68">
        <f>IF(L$59="X","",IF(L$59&lt;&gt;"",L$59,IF(IFERROR(INDEX(醫師週班表!$C$5:$T$44,$CU14,L$57),"")=0,"",IF(LEN(IFERROR(INDEX(醫師週班表!$C$5:$T$44,$CU14,L$57),""))=4,MID(IFERROR(INDEX(醫師週班表!$C$5:$T$44,$CU14,L$57),""),1+L$58*2,1),IF(LEN(IFERROR(INDEX(醫師週班表!$C$5:$T$44,$CU14,L$57),""))=2,IF(AND(RIGHT(IFERROR(INDEX(醫師週班表!$C$5:$T$44,$CU14,L$57),""),1)="~",L$58=1),"",LEFT(IFERROR(INDEX(醫師週班表!$C$5:$T$44,$CU14,L$57),""),1)),IFERROR(INDEX(醫師週班表!$C$5:$T$44,$CU14,L$57),""))))))</f>
        <v/>
      </c>
      <c r="M14" s="68">
        <f>IF(M$59="X","",IF(M$59&lt;&gt;"",M$59,IF(IFERROR(INDEX(醫師週班表!$C$5:$T$44,$CU14,M$57),"")=0,"",IF(LEN(IFERROR(INDEX(醫師週班表!$C$5:$T$44,$CU14,M$57),""))=4,MID(IFERROR(INDEX(醫師週班表!$C$5:$T$44,$CU14,M$57),""),1+M$58*2,1),IF(LEN(IFERROR(INDEX(醫師週班表!$C$5:$T$44,$CU14,M$57),""))=2,IF(AND(RIGHT(IFERROR(INDEX(醫師週班表!$C$5:$T$44,$CU14,M$57),""),1)="~",M$58=1),"",LEFT(IFERROR(INDEX(醫師週班表!$C$5:$T$44,$CU14,M$57),""),1)),IFERROR(INDEX(醫師週班表!$C$5:$T$44,$CU14,M$57),""))))))</f>
        <v/>
      </c>
      <c r="N14" s="67">
        <f>IF(N$59="X","",IF(N$59&lt;&gt;"",N$59,IF(IFERROR(INDEX(醫師週班表!$C$5:$T$44,$CU14,N$57),"")=0,"",IF(LEN(IFERROR(INDEX(醫師週班表!$C$5:$T$44,$CU14,N$57),""))=4,MID(IFERROR(INDEX(醫師週班表!$C$5:$T$44,$CU14,N$57),""),1+N$58*2,1),IF(LEN(IFERROR(INDEX(醫師週班表!$C$5:$T$44,$CU14,N$57),""))=2,IF(AND(RIGHT(IFERROR(INDEX(醫師週班表!$C$5:$T$44,$CU14,N$57),""),1)="~",N$58=1),"",LEFT(IFERROR(INDEX(醫師週班表!$C$5:$T$44,$CU14,N$57),""),1)),IFERROR(INDEX(醫師週班表!$C$5:$T$44,$CU14,N$57),""))))))</f>
        <v/>
      </c>
      <c r="O14" s="68">
        <f>IF(O$59="X","",IF(O$59&lt;&gt;"",O$59,IF(IFERROR(INDEX(醫師週班表!$C$5:$T$44,$CU14,O$57),"")=0,"",IF(LEN(IFERROR(INDEX(醫師週班表!$C$5:$T$44,$CU14,O$57),""))=4,MID(IFERROR(INDEX(醫師週班表!$C$5:$T$44,$CU14,O$57),""),1+O$58*2,1),IF(LEN(IFERROR(INDEX(醫師週班表!$C$5:$T$44,$CU14,O$57),""))=2,IF(AND(RIGHT(IFERROR(INDEX(醫師週班表!$C$5:$T$44,$CU14,O$57),""),1)="~",O$58=1),"",LEFT(IFERROR(INDEX(醫師週班表!$C$5:$T$44,$CU14,O$57),""),1)),IFERROR(INDEX(醫師週班表!$C$5:$T$44,$CU14,O$57),""))))))</f>
        <v/>
      </c>
      <c r="P14" s="68">
        <f>IF(P$59="X","",IF(P$59&lt;&gt;"",P$59,IF(IFERROR(INDEX(醫師週班表!$C$5:$T$44,$CU14,P$57),"")=0,"",IF(LEN(IFERROR(INDEX(醫師週班表!$C$5:$T$44,$CU14,P$57),""))=4,MID(IFERROR(INDEX(醫師週班表!$C$5:$T$44,$CU14,P$57),""),1+P$58*2,1),IF(LEN(IFERROR(INDEX(醫師週班表!$C$5:$T$44,$CU14,P$57),""))=2,IF(AND(RIGHT(IFERROR(INDEX(醫師週班表!$C$5:$T$44,$CU14,P$57),""),1)="~",P$58=1),"",LEFT(IFERROR(INDEX(醫師週班表!$C$5:$T$44,$CU14,P$57),""),1)),IFERROR(INDEX(醫師週班表!$C$5:$T$44,$CU14,P$57),""))))))</f>
        <v/>
      </c>
      <c r="Q14" s="67">
        <f>IF(Q$59="X","",IF(Q$59&lt;&gt;"",Q$59,IF(IFERROR(INDEX(醫師週班表!$C$5:$T$44,$CU14,Q$57),"")=0,"",IF(LEN(IFERROR(INDEX(醫師週班表!$C$5:$T$44,$CU14,Q$57),""))=4,MID(IFERROR(INDEX(醫師週班表!$C$5:$T$44,$CU14,Q$57),""),1+Q$58*2,1),IF(LEN(IFERROR(INDEX(醫師週班表!$C$5:$T$44,$CU14,Q$57),""))=2,IF(AND(RIGHT(IFERROR(INDEX(醫師週班表!$C$5:$T$44,$CU14,Q$57),""),1)="~",Q$58=1),"",LEFT(IFERROR(INDEX(醫師週班表!$C$5:$T$44,$CU14,Q$57),""),1)),IFERROR(INDEX(醫師週班表!$C$5:$T$44,$CU14,Q$57),""))))))</f>
        <v/>
      </c>
      <c r="R14" s="68">
        <f>IF(R$59="X","",IF(R$59&lt;&gt;"",R$59,IF(IFERROR(INDEX(醫師週班表!$C$5:$T$44,$CU14,R$57),"")=0,"",IF(LEN(IFERROR(INDEX(醫師週班表!$C$5:$T$44,$CU14,R$57),""))=4,MID(IFERROR(INDEX(醫師週班表!$C$5:$T$44,$CU14,R$57),""),1+R$58*2,1),IF(LEN(IFERROR(INDEX(醫師週班表!$C$5:$T$44,$CU14,R$57),""))=2,IF(AND(RIGHT(IFERROR(INDEX(醫師週班表!$C$5:$T$44,$CU14,R$57),""),1)="~",R$58=1),"",LEFT(IFERROR(INDEX(醫師週班表!$C$5:$T$44,$CU14,R$57),""),1)),IFERROR(INDEX(醫師週班表!$C$5:$T$44,$CU14,R$57),""))))))</f>
        <v/>
      </c>
      <c r="S14" s="68">
        <f>IF(S$59="X","",IF(S$59&lt;&gt;"",S$59,IF(IFERROR(INDEX(醫師週班表!$C$5:$T$44,$CU14,S$57),"")=0,"",IF(LEN(IFERROR(INDEX(醫師週班表!$C$5:$T$44,$CU14,S$57),""))=4,MID(IFERROR(INDEX(醫師週班表!$C$5:$T$44,$CU14,S$57),""),1+S$58*2,1),IF(LEN(IFERROR(INDEX(醫師週班表!$C$5:$T$44,$CU14,S$57),""))=2,IF(AND(RIGHT(IFERROR(INDEX(醫師週班表!$C$5:$T$44,$CU14,S$57),""),1)="~",S$58=1),"",LEFT(IFERROR(INDEX(醫師週班表!$C$5:$T$44,$CU14,S$57),""),1)),IFERROR(INDEX(醫師週班表!$C$5:$T$44,$CU14,S$57),""))))))</f>
        <v/>
      </c>
      <c r="T14" s="67">
        <f>IF(T$59="X","",IF(T$59&lt;&gt;"",T$59,IF(IFERROR(INDEX(醫師週班表!$C$5:$T$44,$CU14,T$57),"")=0,"",IF(LEN(IFERROR(INDEX(醫師週班表!$C$5:$T$44,$CU14,T$57),""))=4,MID(IFERROR(INDEX(醫師週班表!$C$5:$T$44,$CU14,T$57),""),1+T$58*2,1),IF(LEN(IFERROR(INDEX(醫師週班表!$C$5:$T$44,$CU14,T$57),""))=2,IF(AND(RIGHT(IFERROR(INDEX(醫師週班表!$C$5:$T$44,$CU14,T$57),""),1)="~",T$58=1),"",LEFT(IFERROR(INDEX(醫師週班表!$C$5:$T$44,$CU14,T$57),""),1)),IFERROR(INDEX(醫師週班表!$C$5:$T$44,$CU14,T$57),""))))))</f>
        <v/>
      </c>
      <c r="U14" s="68">
        <f>IF(U$59="X","",IF(U$59&lt;&gt;"",U$59,IF(IFERROR(INDEX(醫師週班表!$C$5:$T$44,$CU14,U$57),"")=0,"",IF(LEN(IFERROR(INDEX(醫師週班表!$C$5:$T$44,$CU14,U$57),""))=4,MID(IFERROR(INDEX(醫師週班表!$C$5:$T$44,$CU14,U$57),""),1+U$58*2,1),IF(LEN(IFERROR(INDEX(醫師週班表!$C$5:$T$44,$CU14,U$57),""))=2,IF(AND(RIGHT(IFERROR(INDEX(醫師週班表!$C$5:$T$44,$CU14,U$57),""),1)="~",U$58=1),"",LEFT(IFERROR(INDEX(醫師週班表!$C$5:$T$44,$CU14,U$57),""),1)),IFERROR(INDEX(醫師週班表!$C$5:$T$44,$CU14,U$57),""))))))</f>
        <v/>
      </c>
      <c r="V14" s="68">
        <f>IF(V$59="X","",IF(V$59&lt;&gt;"",V$59,IF(IFERROR(INDEX(醫師週班表!$C$5:$T$44,$CU14,V$57),"")=0,"",IF(LEN(IFERROR(INDEX(醫師週班表!$C$5:$T$44,$CU14,V$57),""))=4,MID(IFERROR(INDEX(醫師週班表!$C$5:$T$44,$CU14,V$57),""),1+V$58*2,1),IF(LEN(IFERROR(INDEX(醫師週班表!$C$5:$T$44,$CU14,V$57),""))=2,IF(AND(RIGHT(IFERROR(INDEX(醫師週班表!$C$5:$T$44,$CU14,V$57),""),1)="~",V$58=1),"",LEFT(IFERROR(INDEX(醫師週班表!$C$5:$T$44,$CU14,V$57),""),1)),IFERROR(INDEX(醫師週班表!$C$5:$T$44,$CU14,V$57),""))))))</f>
        <v/>
      </c>
      <c r="W14" s="67">
        <f>IF(W$59="X","",IF(W$59&lt;&gt;"",W$59,IF(IFERROR(INDEX(醫師週班表!$C$5:$T$44,$CU14,W$57),"")=0,"",IF(LEN(IFERROR(INDEX(醫師週班表!$C$5:$T$44,$CU14,W$57),""))=4,MID(IFERROR(INDEX(醫師週班表!$C$5:$T$44,$CU14,W$57),""),1+W$58*2,1),IF(LEN(IFERROR(INDEX(醫師週班表!$C$5:$T$44,$CU14,W$57),""))=2,IF(AND(RIGHT(IFERROR(INDEX(醫師週班表!$C$5:$T$44,$CU14,W$57),""),1)="~",W$58=1),"",LEFT(IFERROR(INDEX(醫師週班表!$C$5:$T$44,$CU14,W$57),""),1)),IFERROR(INDEX(醫師週班表!$C$5:$T$44,$CU14,W$57),""))))))</f>
        <v/>
      </c>
      <c r="X14" s="68">
        <f>IF(X$59="X","",IF(X$59&lt;&gt;"",X$59,IF(IFERROR(INDEX(醫師週班表!$C$5:$T$44,$CU14,X$57),"")=0,"",IF(LEN(IFERROR(INDEX(醫師週班表!$C$5:$T$44,$CU14,X$57),""))=4,MID(IFERROR(INDEX(醫師週班表!$C$5:$T$44,$CU14,X$57),""),1+X$58*2,1),IF(LEN(IFERROR(INDEX(醫師週班表!$C$5:$T$44,$CU14,X$57),""))=2,IF(AND(RIGHT(IFERROR(INDEX(醫師週班表!$C$5:$T$44,$CU14,X$57),""),1)="~",X$58=1),"",LEFT(IFERROR(INDEX(醫師週班表!$C$5:$T$44,$CU14,X$57),""),1)),IFERROR(INDEX(醫師週班表!$C$5:$T$44,$CU14,X$57),""))))))</f>
        <v/>
      </c>
      <c r="Y14" s="68">
        <f>IF(Y$59="X","",IF(Y$59&lt;&gt;"",Y$59,IF(IFERROR(INDEX(醫師週班表!$C$5:$T$44,$CU14,Y$57),"")=0,"",IF(LEN(IFERROR(INDEX(醫師週班表!$C$5:$T$44,$CU14,Y$57),""))=4,MID(IFERROR(INDEX(醫師週班表!$C$5:$T$44,$CU14,Y$57),""),1+Y$58*2,1),IF(LEN(IFERROR(INDEX(醫師週班表!$C$5:$T$44,$CU14,Y$57),""))=2,IF(AND(RIGHT(IFERROR(INDEX(醫師週班表!$C$5:$T$44,$CU14,Y$57),""),1)="~",Y$58=1),"",LEFT(IFERROR(INDEX(醫師週班表!$C$5:$T$44,$CU14,Y$57),""),1)),IFERROR(INDEX(醫師週班表!$C$5:$T$44,$CU14,Y$57),""))))))</f>
        <v/>
      </c>
      <c r="Z14" s="67">
        <f>IF(Z$59="X","",IF(Z$59&lt;&gt;"",Z$59,IF(IFERROR(INDEX(醫師週班表!$C$5:$T$44,$CU14,Z$57),"")=0,"",IF(LEN(IFERROR(INDEX(醫師週班表!$C$5:$T$44,$CU14,Z$57),""))=4,MID(IFERROR(INDEX(醫師週班表!$C$5:$T$44,$CU14,Z$57),""),1+Z$58*2,1),IF(LEN(IFERROR(INDEX(醫師週班表!$C$5:$T$44,$CU14,Z$57),""))=2,IF(AND(RIGHT(IFERROR(INDEX(醫師週班表!$C$5:$T$44,$CU14,Z$57),""),1)="~",Z$58=1),"",LEFT(IFERROR(INDEX(醫師週班表!$C$5:$T$44,$CU14,Z$57),""),1)),IFERROR(INDEX(醫師週班表!$C$5:$T$44,$CU14,Z$57),""))))))</f>
        <v/>
      </c>
      <c r="AA14" s="68">
        <f>IF(AA$59="X","",IF(AA$59&lt;&gt;"",AA$59,IF(IFERROR(INDEX(醫師週班表!$C$5:$T$44,$CU14,AA$57),"")=0,"",IF(LEN(IFERROR(INDEX(醫師週班表!$C$5:$T$44,$CU14,AA$57),""))=4,MID(IFERROR(INDEX(醫師週班表!$C$5:$T$44,$CU14,AA$57),""),1+AA$58*2,1),IF(LEN(IFERROR(INDEX(醫師週班表!$C$5:$T$44,$CU14,AA$57),""))=2,IF(AND(RIGHT(IFERROR(INDEX(醫師週班表!$C$5:$T$44,$CU14,AA$57),""),1)="~",AA$58=1),"",LEFT(IFERROR(INDEX(醫師週班表!$C$5:$T$44,$CU14,AA$57),""),1)),IFERROR(INDEX(醫師週班表!$C$5:$T$44,$CU14,AA$57),""))))))</f>
        <v/>
      </c>
      <c r="AB14" s="68">
        <f>IF(AB$59="X","",IF(AB$59&lt;&gt;"",AB$59,IF(IFERROR(INDEX(醫師週班表!$C$5:$T$44,$CU14,AB$57),"")=0,"",IF(LEN(IFERROR(INDEX(醫師週班表!$C$5:$T$44,$CU14,AB$57),""))=4,MID(IFERROR(INDEX(醫師週班表!$C$5:$T$44,$CU14,AB$57),""),1+AB$58*2,1),IF(LEN(IFERROR(INDEX(醫師週班表!$C$5:$T$44,$CU14,AB$57),""))=2,IF(AND(RIGHT(IFERROR(INDEX(醫師週班表!$C$5:$T$44,$CU14,AB$57),""),1)="~",AB$58=1),"",LEFT(IFERROR(INDEX(醫師週班表!$C$5:$T$44,$CU14,AB$57),""),1)),IFERROR(INDEX(醫師週班表!$C$5:$T$44,$CU14,AB$57),""))))))</f>
        <v/>
      </c>
      <c r="AC14" s="67">
        <f>IF(AC$59="X","",IF(AC$59&lt;&gt;"",AC$59,IF(IFERROR(INDEX(醫師週班表!$C$5:$T$44,$CU14,AC$57),"")=0,"",IF(LEN(IFERROR(INDEX(醫師週班表!$C$5:$T$44,$CU14,AC$57),""))=4,MID(IFERROR(INDEX(醫師週班表!$C$5:$T$44,$CU14,AC$57),""),1+AC$58*2,1),IF(LEN(IFERROR(INDEX(醫師週班表!$C$5:$T$44,$CU14,AC$57),""))=2,IF(AND(RIGHT(IFERROR(INDEX(醫師週班表!$C$5:$T$44,$CU14,AC$57),""),1)="~",AC$58=1),"",LEFT(IFERROR(INDEX(醫師週班表!$C$5:$T$44,$CU14,AC$57),""),1)),IFERROR(INDEX(醫師週班表!$C$5:$T$44,$CU14,AC$57),""))))))</f>
        <v/>
      </c>
      <c r="AD14" s="68">
        <f>IF(AD$59="X","",IF(AD$59&lt;&gt;"",AD$59,IF(IFERROR(INDEX(醫師週班表!$C$5:$T$44,$CU14,AD$57),"")=0,"",IF(LEN(IFERROR(INDEX(醫師週班表!$C$5:$T$44,$CU14,AD$57),""))=4,MID(IFERROR(INDEX(醫師週班表!$C$5:$T$44,$CU14,AD$57),""),1+AD$58*2,1),IF(LEN(IFERROR(INDEX(醫師週班表!$C$5:$T$44,$CU14,AD$57),""))=2,IF(AND(RIGHT(IFERROR(INDEX(醫師週班表!$C$5:$T$44,$CU14,AD$57),""),1)="~",AD$58=1),"",LEFT(IFERROR(INDEX(醫師週班表!$C$5:$T$44,$CU14,AD$57),""),1)),IFERROR(INDEX(醫師週班表!$C$5:$T$44,$CU14,AD$57),""))))))</f>
        <v/>
      </c>
      <c r="AE14" s="68">
        <f>IF(AE$59="X","",IF(AE$59&lt;&gt;"",AE$59,IF(IFERROR(INDEX(醫師週班表!$C$5:$T$44,$CU14,AE$57),"")=0,"",IF(LEN(IFERROR(INDEX(醫師週班表!$C$5:$T$44,$CU14,AE$57),""))=4,MID(IFERROR(INDEX(醫師週班表!$C$5:$T$44,$CU14,AE$57),""),1+AE$58*2,1),IF(LEN(IFERROR(INDEX(醫師週班表!$C$5:$T$44,$CU14,AE$57),""))=2,IF(AND(RIGHT(IFERROR(INDEX(醫師週班表!$C$5:$T$44,$CU14,AE$57),""),1)="~",AE$58=1),"",LEFT(IFERROR(INDEX(醫師週班表!$C$5:$T$44,$CU14,AE$57),""),1)),IFERROR(INDEX(醫師週班表!$C$5:$T$44,$CU14,AE$57),""))))))</f>
        <v/>
      </c>
      <c r="AF14" s="67">
        <f>IF(AF$59="X","",IF(AF$59&lt;&gt;"",AF$59,IF(IFERROR(INDEX(醫師週班表!$C$5:$T$44,$CU14,AF$57),"")=0,"",IF(LEN(IFERROR(INDEX(醫師週班表!$C$5:$T$44,$CU14,AF$57),""))=4,MID(IFERROR(INDEX(醫師週班表!$C$5:$T$44,$CU14,AF$57),""),1+AF$58*2,1),IF(LEN(IFERROR(INDEX(醫師週班表!$C$5:$T$44,$CU14,AF$57),""))=2,IF(AND(RIGHT(IFERROR(INDEX(醫師週班表!$C$5:$T$44,$CU14,AF$57),""),1)="~",AF$58=1),"",LEFT(IFERROR(INDEX(醫師週班表!$C$5:$T$44,$CU14,AF$57),""),1)),IFERROR(INDEX(醫師週班表!$C$5:$T$44,$CU14,AF$57),""))))))</f>
        <v/>
      </c>
      <c r="AG14" s="68">
        <f>IF(AG$59="X","",IF(AG$59&lt;&gt;"",AG$59,IF(IFERROR(INDEX(醫師週班表!$C$5:$T$44,$CU14,AG$57),"")=0,"",IF(LEN(IFERROR(INDEX(醫師週班表!$C$5:$T$44,$CU14,AG$57),""))=4,MID(IFERROR(INDEX(醫師週班表!$C$5:$T$44,$CU14,AG$57),""),1+AG$58*2,1),IF(LEN(IFERROR(INDEX(醫師週班表!$C$5:$T$44,$CU14,AG$57),""))=2,IF(AND(RIGHT(IFERROR(INDEX(醫師週班表!$C$5:$T$44,$CU14,AG$57),""),1)="~",AG$58=1),"",LEFT(IFERROR(INDEX(醫師週班表!$C$5:$T$44,$CU14,AG$57),""),1)),IFERROR(INDEX(醫師週班表!$C$5:$T$44,$CU14,AG$57),""))))))</f>
        <v/>
      </c>
      <c r="AH14" s="68">
        <f>IF(AH$59="X","",IF(AH$59&lt;&gt;"",AH$59,IF(IFERROR(INDEX(醫師週班表!$C$5:$T$44,$CU14,AH$57),"")=0,"",IF(LEN(IFERROR(INDEX(醫師週班表!$C$5:$T$44,$CU14,AH$57),""))=4,MID(IFERROR(INDEX(醫師週班表!$C$5:$T$44,$CU14,AH$57),""),1+AH$58*2,1),IF(LEN(IFERROR(INDEX(醫師週班表!$C$5:$T$44,$CU14,AH$57),""))=2,IF(AND(RIGHT(IFERROR(INDEX(醫師週班表!$C$5:$T$44,$CU14,AH$57),""),1)="~",AH$58=1),"",LEFT(IFERROR(INDEX(醫師週班表!$C$5:$T$44,$CU14,AH$57),""),1)),IFERROR(INDEX(醫師週班表!$C$5:$T$44,$CU14,AH$57),""))))))</f>
        <v/>
      </c>
      <c r="AI14" s="67">
        <f>IF(AI$59="X","",IF(AI$59&lt;&gt;"",AI$59,IF(IFERROR(INDEX(醫師週班表!$C$5:$T$44,$CU14,AI$57),"")=0,"",IF(LEN(IFERROR(INDEX(醫師週班表!$C$5:$T$44,$CU14,AI$57),""))=4,MID(IFERROR(INDEX(醫師週班表!$C$5:$T$44,$CU14,AI$57),""),1+AI$58*2,1),IF(LEN(IFERROR(INDEX(醫師週班表!$C$5:$T$44,$CU14,AI$57),""))=2,IF(AND(RIGHT(IFERROR(INDEX(醫師週班表!$C$5:$T$44,$CU14,AI$57),""),1)="~",AI$58=1),"",LEFT(IFERROR(INDEX(醫師週班表!$C$5:$T$44,$CU14,AI$57),""),1)),IFERROR(INDEX(醫師週班表!$C$5:$T$44,$CU14,AI$57),""))))))</f>
        <v/>
      </c>
      <c r="AJ14" s="68">
        <f>IF(AJ$59="X","",IF(AJ$59&lt;&gt;"",AJ$59,IF(IFERROR(INDEX(醫師週班表!$C$5:$T$44,$CU14,AJ$57),"")=0,"",IF(LEN(IFERROR(INDEX(醫師週班表!$C$5:$T$44,$CU14,AJ$57),""))=4,MID(IFERROR(INDEX(醫師週班表!$C$5:$T$44,$CU14,AJ$57),""),1+AJ$58*2,1),IF(LEN(IFERROR(INDEX(醫師週班表!$C$5:$T$44,$CU14,AJ$57),""))=2,IF(AND(RIGHT(IFERROR(INDEX(醫師週班表!$C$5:$T$44,$CU14,AJ$57),""),1)="~",AJ$58=1),"",LEFT(IFERROR(INDEX(醫師週班表!$C$5:$T$44,$CU14,AJ$57),""),1)),IFERROR(INDEX(醫師週班表!$C$5:$T$44,$CU14,AJ$57),""))))))</f>
        <v/>
      </c>
      <c r="AK14" s="68">
        <f>IF(AK$59="X","",IF(AK$59&lt;&gt;"",AK$59,IF(IFERROR(INDEX(醫師週班表!$C$5:$T$44,$CU14,AK$57),"")=0,"",IF(LEN(IFERROR(INDEX(醫師週班表!$C$5:$T$44,$CU14,AK$57),""))=4,MID(IFERROR(INDEX(醫師週班表!$C$5:$T$44,$CU14,AK$57),""),1+AK$58*2,1),IF(LEN(IFERROR(INDEX(醫師週班表!$C$5:$T$44,$CU14,AK$57),""))=2,IF(AND(RIGHT(IFERROR(INDEX(醫師週班表!$C$5:$T$44,$CU14,AK$57),""),1)="~",AK$58=1),"",LEFT(IFERROR(INDEX(醫師週班表!$C$5:$T$44,$CU14,AK$57),""),1)),IFERROR(INDEX(醫師週班表!$C$5:$T$44,$CU14,AK$57),""))))))</f>
        <v/>
      </c>
      <c r="AL14" s="67">
        <f>IF(AL$59="X","",IF(AL$59&lt;&gt;"",AL$59,IF(IFERROR(INDEX(醫師週班表!$C$5:$T$44,$CU14,AL$57),"")=0,"",IF(LEN(IFERROR(INDEX(醫師週班表!$C$5:$T$44,$CU14,AL$57),""))=4,MID(IFERROR(INDEX(醫師週班表!$C$5:$T$44,$CU14,AL$57),""),1+AL$58*2,1),IF(LEN(IFERROR(INDEX(醫師週班表!$C$5:$T$44,$CU14,AL$57),""))=2,IF(AND(RIGHT(IFERROR(INDEX(醫師週班表!$C$5:$T$44,$CU14,AL$57),""),1)="~",AL$58=1),"",LEFT(IFERROR(INDEX(醫師週班表!$C$5:$T$44,$CU14,AL$57),""),1)),IFERROR(INDEX(醫師週班表!$C$5:$T$44,$CU14,AL$57),""))))))</f>
        <v/>
      </c>
      <c r="AM14" s="68">
        <f>IF(AM$59="X","",IF(AM$59&lt;&gt;"",AM$59,IF(IFERROR(INDEX(醫師週班表!$C$5:$T$44,$CU14,AM$57),"")=0,"",IF(LEN(IFERROR(INDEX(醫師週班表!$C$5:$T$44,$CU14,AM$57),""))=4,MID(IFERROR(INDEX(醫師週班表!$C$5:$T$44,$CU14,AM$57),""),1+AM$58*2,1),IF(LEN(IFERROR(INDEX(醫師週班表!$C$5:$T$44,$CU14,AM$57),""))=2,IF(AND(RIGHT(IFERROR(INDEX(醫師週班表!$C$5:$T$44,$CU14,AM$57),""),1)="~",AM$58=1),"",LEFT(IFERROR(INDEX(醫師週班表!$C$5:$T$44,$CU14,AM$57),""),1)),IFERROR(INDEX(醫師週班表!$C$5:$T$44,$CU14,AM$57),""))))))</f>
        <v/>
      </c>
      <c r="AN14" s="68">
        <f>IF(AN$59="X","",IF(AN$59&lt;&gt;"",AN$59,IF(IFERROR(INDEX(醫師週班表!$C$5:$T$44,$CU14,AN$57),"")=0,"",IF(LEN(IFERROR(INDEX(醫師週班表!$C$5:$T$44,$CU14,AN$57),""))=4,MID(IFERROR(INDEX(醫師週班表!$C$5:$T$44,$CU14,AN$57),""),1+AN$58*2,1),IF(LEN(IFERROR(INDEX(醫師週班表!$C$5:$T$44,$CU14,AN$57),""))=2,IF(AND(RIGHT(IFERROR(INDEX(醫師週班表!$C$5:$T$44,$CU14,AN$57),""),1)="~",AN$58=1),"",LEFT(IFERROR(INDEX(醫師週班表!$C$5:$T$44,$CU14,AN$57),""),1)),IFERROR(INDEX(醫師週班表!$C$5:$T$44,$CU14,AN$57),""))))))</f>
        <v/>
      </c>
      <c r="AO14" s="67">
        <f>IF(AO$59="X","",IF(AO$59&lt;&gt;"",AO$59,IF(IFERROR(INDEX(醫師週班表!$C$5:$T$44,$CU14,AO$57),"")=0,"",IF(LEN(IFERROR(INDEX(醫師週班表!$C$5:$T$44,$CU14,AO$57),""))=4,MID(IFERROR(INDEX(醫師週班表!$C$5:$T$44,$CU14,AO$57),""),1+AO$58*2,1),IF(LEN(IFERROR(INDEX(醫師週班表!$C$5:$T$44,$CU14,AO$57),""))=2,IF(AND(RIGHT(IFERROR(INDEX(醫師週班表!$C$5:$T$44,$CU14,AO$57),""),1)="~",AO$58=1),"",LEFT(IFERROR(INDEX(醫師週班表!$C$5:$T$44,$CU14,AO$57),""),1)),IFERROR(INDEX(醫師週班表!$C$5:$T$44,$CU14,AO$57),""))))))</f>
        <v/>
      </c>
      <c r="AP14" s="68">
        <f>IF(AP$59="X","",IF(AP$59&lt;&gt;"",AP$59,IF(IFERROR(INDEX(醫師週班表!$C$5:$T$44,$CU14,AP$57),"")=0,"",IF(LEN(IFERROR(INDEX(醫師週班表!$C$5:$T$44,$CU14,AP$57),""))=4,MID(IFERROR(INDEX(醫師週班表!$C$5:$T$44,$CU14,AP$57),""),1+AP$58*2,1),IF(LEN(IFERROR(INDEX(醫師週班表!$C$5:$T$44,$CU14,AP$57),""))=2,IF(AND(RIGHT(IFERROR(INDEX(醫師週班表!$C$5:$T$44,$CU14,AP$57),""),1)="~",AP$58=1),"",LEFT(IFERROR(INDEX(醫師週班表!$C$5:$T$44,$CU14,AP$57),""),1)),IFERROR(INDEX(醫師週班表!$C$5:$T$44,$CU14,AP$57),""))))))</f>
        <v/>
      </c>
      <c r="AQ14" s="68">
        <f>IF(AQ$59="X","",IF(AQ$59&lt;&gt;"",AQ$59,IF(IFERROR(INDEX(醫師週班表!$C$5:$T$44,$CU14,AQ$57),"")=0,"",IF(LEN(IFERROR(INDEX(醫師週班表!$C$5:$T$44,$CU14,AQ$57),""))=4,MID(IFERROR(INDEX(醫師週班表!$C$5:$T$44,$CU14,AQ$57),""),1+AQ$58*2,1),IF(LEN(IFERROR(INDEX(醫師週班表!$C$5:$T$44,$CU14,AQ$57),""))=2,IF(AND(RIGHT(IFERROR(INDEX(醫師週班表!$C$5:$T$44,$CU14,AQ$57),""),1)="~",AQ$58=1),"",LEFT(IFERROR(INDEX(醫師週班表!$C$5:$T$44,$CU14,AQ$57),""),1)),IFERROR(INDEX(醫師週班表!$C$5:$T$44,$CU14,AQ$57),""))))))</f>
        <v/>
      </c>
      <c r="AR14" s="67">
        <f>IF(AR$59="X","",IF(AR$59&lt;&gt;"",AR$59,IF(IFERROR(INDEX(醫師週班表!$C$5:$T$44,$CU14,AR$57),"")=0,"",IF(LEN(IFERROR(INDEX(醫師週班表!$C$5:$T$44,$CU14,AR$57),""))=4,MID(IFERROR(INDEX(醫師週班表!$C$5:$T$44,$CU14,AR$57),""),1+AR$58*2,1),IF(LEN(IFERROR(INDEX(醫師週班表!$C$5:$T$44,$CU14,AR$57),""))=2,IF(AND(RIGHT(IFERROR(INDEX(醫師週班表!$C$5:$T$44,$CU14,AR$57),""),1)="~",AR$58=1),"",LEFT(IFERROR(INDEX(醫師週班表!$C$5:$T$44,$CU14,AR$57),""),1)),IFERROR(INDEX(醫師週班表!$C$5:$T$44,$CU14,AR$57),""))))))</f>
        <v/>
      </c>
      <c r="AS14" s="68">
        <f>IF(AS$59="X","",IF(AS$59&lt;&gt;"",AS$59,IF(IFERROR(INDEX(醫師週班表!$C$5:$T$44,$CU14,AS$57),"")=0,"",IF(LEN(IFERROR(INDEX(醫師週班表!$C$5:$T$44,$CU14,AS$57),""))=4,MID(IFERROR(INDEX(醫師週班表!$C$5:$T$44,$CU14,AS$57),""),1+AS$58*2,1),IF(LEN(IFERROR(INDEX(醫師週班表!$C$5:$T$44,$CU14,AS$57),""))=2,IF(AND(RIGHT(IFERROR(INDEX(醫師週班表!$C$5:$T$44,$CU14,AS$57),""),1)="~",AS$58=1),"",LEFT(IFERROR(INDEX(醫師週班表!$C$5:$T$44,$CU14,AS$57),""),1)),IFERROR(INDEX(醫師週班表!$C$5:$T$44,$CU14,AS$57),""))))))</f>
        <v/>
      </c>
      <c r="AT14" s="68">
        <f>IF(AT$59="X","",IF(AT$59&lt;&gt;"",AT$59,IF(IFERROR(INDEX(醫師週班表!$C$5:$T$44,$CU14,AT$57),"")=0,"",IF(LEN(IFERROR(INDEX(醫師週班表!$C$5:$T$44,$CU14,AT$57),""))=4,MID(IFERROR(INDEX(醫師週班表!$C$5:$T$44,$CU14,AT$57),""),1+AT$58*2,1),IF(LEN(IFERROR(INDEX(醫師週班表!$C$5:$T$44,$CU14,AT$57),""))=2,IF(AND(RIGHT(IFERROR(INDEX(醫師週班表!$C$5:$T$44,$CU14,AT$57),""),1)="~",AT$58=1),"",LEFT(IFERROR(INDEX(醫師週班表!$C$5:$T$44,$CU14,AT$57),""),1)),IFERROR(INDEX(醫師週班表!$C$5:$T$44,$CU14,AT$57),""))))))</f>
        <v/>
      </c>
      <c r="AU14" s="67">
        <f>IF(AU$59="X","",IF(AU$59&lt;&gt;"",AU$59,IF(IFERROR(INDEX(醫師週班表!$C$5:$T$44,$CU14,AU$57),"")=0,"",IF(LEN(IFERROR(INDEX(醫師週班表!$C$5:$T$44,$CU14,AU$57),""))=4,MID(IFERROR(INDEX(醫師週班表!$C$5:$T$44,$CU14,AU$57),""),1+AU$58*2,1),IF(LEN(IFERROR(INDEX(醫師週班表!$C$5:$T$44,$CU14,AU$57),""))=2,IF(AND(RIGHT(IFERROR(INDEX(醫師週班表!$C$5:$T$44,$CU14,AU$57),""),1)="~",AU$58=1),"",LEFT(IFERROR(INDEX(醫師週班表!$C$5:$T$44,$CU14,AU$57),""),1)),IFERROR(INDEX(醫師週班表!$C$5:$T$44,$CU14,AU$57),""))))))</f>
        <v/>
      </c>
      <c r="AV14" s="68">
        <f>IF(AV$59="X","",IF(AV$59&lt;&gt;"",AV$59,IF(IFERROR(INDEX(醫師週班表!$C$5:$T$44,$CU14,AV$57),"")=0,"",IF(LEN(IFERROR(INDEX(醫師週班表!$C$5:$T$44,$CU14,AV$57),""))=4,MID(IFERROR(INDEX(醫師週班表!$C$5:$T$44,$CU14,AV$57),""),1+AV$58*2,1),IF(LEN(IFERROR(INDEX(醫師週班表!$C$5:$T$44,$CU14,AV$57),""))=2,IF(AND(RIGHT(IFERROR(INDEX(醫師週班表!$C$5:$T$44,$CU14,AV$57),""),1)="~",AV$58=1),"",LEFT(IFERROR(INDEX(醫師週班表!$C$5:$T$44,$CU14,AV$57),""),1)),IFERROR(INDEX(醫師週班表!$C$5:$T$44,$CU14,AV$57),""))))))</f>
        <v/>
      </c>
      <c r="AW14" s="68">
        <f>IF(AW$59="X","",IF(AW$59&lt;&gt;"",AW$59,IF(IFERROR(INDEX(醫師週班表!$C$5:$T$44,$CU14,AW$57),"")=0,"",IF(LEN(IFERROR(INDEX(醫師週班表!$C$5:$T$44,$CU14,AW$57),""))=4,MID(IFERROR(INDEX(醫師週班表!$C$5:$T$44,$CU14,AW$57),""),1+AW$58*2,1),IF(LEN(IFERROR(INDEX(醫師週班表!$C$5:$T$44,$CU14,AW$57),""))=2,IF(AND(RIGHT(IFERROR(INDEX(醫師週班表!$C$5:$T$44,$CU14,AW$57),""),1)="~",AW$58=1),"",LEFT(IFERROR(INDEX(醫師週班表!$C$5:$T$44,$CU14,AW$57),""),1)),IFERROR(INDEX(醫師週班表!$C$5:$T$44,$CU14,AW$57),""))))))</f>
        <v/>
      </c>
      <c r="AX14" s="67">
        <f>IF(AX$59="X","",IF(AX$59&lt;&gt;"",AX$59,IF(IFERROR(INDEX(醫師週班表!$C$5:$T$44,$CU14,AX$57),"")=0,"",IF(LEN(IFERROR(INDEX(醫師週班表!$C$5:$T$44,$CU14,AX$57),""))=4,MID(IFERROR(INDEX(醫師週班表!$C$5:$T$44,$CU14,AX$57),""),1+AX$58*2,1),IF(LEN(IFERROR(INDEX(醫師週班表!$C$5:$T$44,$CU14,AX$57),""))=2,IF(AND(RIGHT(IFERROR(INDEX(醫師週班表!$C$5:$T$44,$CU14,AX$57),""),1)="~",AX$58=1),"",LEFT(IFERROR(INDEX(醫師週班表!$C$5:$T$44,$CU14,AX$57),""),1)),IFERROR(INDEX(醫師週班表!$C$5:$T$44,$CU14,AX$57),""))))))</f>
        <v/>
      </c>
      <c r="AY14" s="68">
        <f>IF(AY$59="X","",IF(AY$59&lt;&gt;"",AY$59,IF(IFERROR(INDEX(醫師週班表!$C$5:$T$44,$CU14,AY$57),"")=0,"",IF(LEN(IFERROR(INDEX(醫師週班表!$C$5:$T$44,$CU14,AY$57),""))=4,MID(IFERROR(INDEX(醫師週班表!$C$5:$T$44,$CU14,AY$57),""),1+AY$58*2,1),IF(LEN(IFERROR(INDEX(醫師週班表!$C$5:$T$44,$CU14,AY$57),""))=2,IF(AND(RIGHT(IFERROR(INDEX(醫師週班表!$C$5:$T$44,$CU14,AY$57),""),1)="~",AY$58=1),"",LEFT(IFERROR(INDEX(醫師週班表!$C$5:$T$44,$CU14,AY$57),""),1)),IFERROR(INDEX(醫師週班表!$C$5:$T$44,$CU14,AY$57),""))))))</f>
        <v/>
      </c>
      <c r="AZ14" s="68">
        <f>IF(AZ$59="X","",IF(AZ$59&lt;&gt;"",AZ$59,IF(IFERROR(INDEX(醫師週班表!$C$5:$T$44,$CU14,AZ$57),"")=0,"",IF(LEN(IFERROR(INDEX(醫師週班表!$C$5:$T$44,$CU14,AZ$57),""))=4,MID(IFERROR(INDEX(醫師週班表!$C$5:$T$44,$CU14,AZ$57),""),1+AZ$58*2,1),IF(LEN(IFERROR(INDEX(醫師週班表!$C$5:$T$44,$CU14,AZ$57),""))=2,IF(AND(RIGHT(IFERROR(INDEX(醫師週班表!$C$5:$T$44,$CU14,AZ$57),""),1)="~",AZ$58=1),"",LEFT(IFERROR(INDEX(醫師週班表!$C$5:$T$44,$CU14,AZ$57),""),1)),IFERROR(INDEX(醫師週班表!$C$5:$T$44,$CU14,AZ$57),""))))))</f>
        <v/>
      </c>
      <c r="BA14" s="67">
        <f>IF(BA$59="X","",IF(BA$59&lt;&gt;"",BA$59,IF(IFERROR(INDEX(醫師週班表!$C$5:$T$44,$CU14,BA$57),"")=0,"",IF(LEN(IFERROR(INDEX(醫師週班表!$C$5:$T$44,$CU14,BA$57),""))=4,MID(IFERROR(INDEX(醫師週班表!$C$5:$T$44,$CU14,BA$57),""),1+BA$58*2,1),IF(LEN(IFERROR(INDEX(醫師週班表!$C$5:$T$44,$CU14,BA$57),""))=2,IF(AND(RIGHT(IFERROR(INDEX(醫師週班表!$C$5:$T$44,$CU14,BA$57),""),1)="~",BA$58=1),"",LEFT(IFERROR(INDEX(醫師週班表!$C$5:$T$44,$CU14,BA$57),""),1)),IFERROR(INDEX(醫師週班表!$C$5:$T$44,$CU14,BA$57),""))))))</f>
        <v/>
      </c>
      <c r="BB14" s="68">
        <f>IF(BB$59="X","",IF(BB$59&lt;&gt;"",BB$59,IF(IFERROR(INDEX(醫師週班表!$C$5:$T$44,$CU14,BB$57),"")=0,"",IF(LEN(IFERROR(INDEX(醫師週班表!$C$5:$T$44,$CU14,BB$57),""))=4,MID(IFERROR(INDEX(醫師週班表!$C$5:$T$44,$CU14,BB$57),""),1+BB$58*2,1),IF(LEN(IFERROR(INDEX(醫師週班表!$C$5:$T$44,$CU14,BB$57),""))=2,IF(AND(RIGHT(IFERROR(INDEX(醫師週班表!$C$5:$T$44,$CU14,BB$57),""),1)="~",BB$58=1),"",LEFT(IFERROR(INDEX(醫師週班表!$C$5:$T$44,$CU14,BB$57),""),1)),IFERROR(INDEX(醫師週班表!$C$5:$T$44,$CU14,BB$57),""))))))</f>
        <v/>
      </c>
      <c r="BC14" s="68">
        <f>IF(BC$59="X","",IF(BC$59&lt;&gt;"",BC$59,IF(IFERROR(INDEX(醫師週班表!$C$5:$T$44,$CU14,BC$57),"")=0,"",IF(LEN(IFERROR(INDEX(醫師週班表!$C$5:$T$44,$CU14,BC$57),""))=4,MID(IFERROR(INDEX(醫師週班表!$C$5:$T$44,$CU14,BC$57),""),1+BC$58*2,1),IF(LEN(IFERROR(INDEX(醫師週班表!$C$5:$T$44,$CU14,BC$57),""))=2,IF(AND(RIGHT(IFERROR(INDEX(醫師週班表!$C$5:$T$44,$CU14,BC$57),""),1)="~",BC$58=1),"",LEFT(IFERROR(INDEX(醫師週班表!$C$5:$T$44,$CU14,BC$57),""),1)),IFERROR(INDEX(醫師週班表!$C$5:$T$44,$CU14,BC$57),""))))))</f>
        <v/>
      </c>
      <c r="BD14" s="67">
        <f>IF(BD$59="X","",IF(BD$59&lt;&gt;"",BD$59,IF(IFERROR(INDEX(醫師週班表!$C$5:$T$44,$CU14,BD$57),"")=0,"",IF(LEN(IFERROR(INDEX(醫師週班表!$C$5:$T$44,$CU14,BD$57),""))=4,MID(IFERROR(INDEX(醫師週班表!$C$5:$T$44,$CU14,BD$57),""),1+BD$58*2,1),IF(LEN(IFERROR(INDEX(醫師週班表!$C$5:$T$44,$CU14,BD$57),""))=2,IF(AND(RIGHT(IFERROR(INDEX(醫師週班表!$C$5:$T$44,$CU14,BD$57),""),1)="~",BD$58=1),"",LEFT(IFERROR(INDEX(醫師週班表!$C$5:$T$44,$CU14,BD$57),""),1)),IFERROR(INDEX(醫師週班表!$C$5:$T$44,$CU14,BD$57),""))))))</f>
        <v/>
      </c>
      <c r="BE14" s="68">
        <f>IF(BE$59="X","",IF(BE$59&lt;&gt;"",BE$59,IF(IFERROR(INDEX(醫師週班表!$C$5:$T$44,$CU14,BE$57),"")=0,"",IF(LEN(IFERROR(INDEX(醫師週班表!$C$5:$T$44,$CU14,BE$57),""))=4,MID(IFERROR(INDEX(醫師週班表!$C$5:$T$44,$CU14,BE$57),""),1+BE$58*2,1),IF(LEN(IFERROR(INDEX(醫師週班表!$C$5:$T$44,$CU14,BE$57),""))=2,IF(AND(RIGHT(IFERROR(INDEX(醫師週班表!$C$5:$T$44,$CU14,BE$57),""),1)="~",BE$58=1),"",LEFT(IFERROR(INDEX(醫師週班表!$C$5:$T$44,$CU14,BE$57),""),1)),IFERROR(INDEX(醫師週班表!$C$5:$T$44,$CU14,BE$57),""))))))</f>
        <v/>
      </c>
      <c r="BF14" s="68">
        <f>IF(BF$59="X","",IF(BF$59&lt;&gt;"",BF$59,IF(IFERROR(INDEX(醫師週班表!$C$5:$T$44,$CU14,BF$57),"")=0,"",IF(LEN(IFERROR(INDEX(醫師週班表!$C$5:$T$44,$CU14,BF$57),""))=4,MID(IFERROR(INDEX(醫師週班表!$C$5:$T$44,$CU14,BF$57),""),1+BF$58*2,1),IF(LEN(IFERROR(INDEX(醫師週班表!$C$5:$T$44,$CU14,BF$57),""))=2,IF(AND(RIGHT(IFERROR(INDEX(醫師週班表!$C$5:$T$44,$CU14,BF$57),""),1)="~",BF$58=1),"",LEFT(IFERROR(INDEX(醫師週班表!$C$5:$T$44,$CU14,BF$57),""),1)),IFERROR(INDEX(醫師週班表!$C$5:$T$44,$CU14,BF$57),""))))))</f>
        <v/>
      </c>
      <c r="BG14" s="67">
        <f>IF(BG$59="X","",IF(BG$59&lt;&gt;"",BG$59,IF(IFERROR(INDEX(醫師週班表!$C$5:$T$44,$CU14,BG$57),"")=0,"",IF(LEN(IFERROR(INDEX(醫師週班表!$C$5:$T$44,$CU14,BG$57),""))=4,MID(IFERROR(INDEX(醫師週班表!$C$5:$T$44,$CU14,BG$57),""),1+BG$58*2,1),IF(LEN(IFERROR(INDEX(醫師週班表!$C$5:$T$44,$CU14,BG$57),""))=2,IF(AND(RIGHT(IFERROR(INDEX(醫師週班表!$C$5:$T$44,$CU14,BG$57),""),1)="~",BG$58=1),"",LEFT(IFERROR(INDEX(醫師週班表!$C$5:$T$44,$CU14,BG$57),""),1)),IFERROR(INDEX(醫師週班表!$C$5:$T$44,$CU14,BG$57),""))))))</f>
        <v/>
      </c>
      <c r="BH14" s="68">
        <f>IF(BH$59="X","",IF(BH$59&lt;&gt;"",BH$59,IF(IFERROR(INDEX(醫師週班表!$C$5:$T$44,$CU14,BH$57),"")=0,"",IF(LEN(IFERROR(INDEX(醫師週班表!$C$5:$T$44,$CU14,BH$57),""))=4,MID(IFERROR(INDEX(醫師週班表!$C$5:$T$44,$CU14,BH$57),""),1+BH$58*2,1),IF(LEN(IFERROR(INDEX(醫師週班表!$C$5:$T$44,$CU14,BH$57),""))=2,IF(AND(RIGHT(IFERROR(INDEX(醫師週班表!$C$5:$T$44,$CU14,BH$57),""),1)="~",BH$58=1),"",LEFT(IFERROR(INDEX(醫師週班表!$C$5:$T$44,$CU14,BH$57),""),1)),IFERROR(INDEX(醫師週班表!$C$5:$T$44,$CU14,BH$57),""))))))</f>
        <v/>
      </c>
      <c r="BI14" s="68">
        <f>IF(BI$59="X","",IF(BI$59&lt;&gt;"",BI$59,IF(IFERROR(INDEX(醫師週班表!$C$5:$T$44,$CU14,BI$57),"")=0,"",IF(LEN(IFERROR(INDEX(醫師週班表!$C$5:$T$44,$CU14,BI$57),""))=4,MID(IFERROR(INDEX(醫師週班表!$C$5:$T$44,$CU14,BI$57),""),1+BI$58*2,1),IF(LEN(IFERROR(INDEX(醫師週班表!$C$5:$T$44,$CU14,BI$57),""))=2,IF(AND(RIGHT(IFERROR(INDEX(醫師週班表!$C$5:$T$44,$CU14,BI$57),""),1)="~",BI$58=1),"",LEFT(IFERROR(INDEX(醫師週班表!$C$5:$T$44,$CU14,BI$57),""),1)),IFERROR(INDEX(醫師週班表!$C$5:$T$44,$CU14,BI$57),""))))))</f>
        <v/>
      </c>
      <c r="BJ14" s="67">
        <f>IF(BJ$59="X","",IF(BJ$59&lt;&gt;"",BJ$59,IF(IFERROR(INDEX(醫師週班表!$C$5:$T$44,$CU14,BJ$57),"")=0,"",IF(LEN(IFERROR(INDEX(醫師週班表!$C$5:$T$44,$CU14,BJ$57),""))=4,MID(IFERROR(INDEX(醫師週班表!$C$5:$T$44,$CU14,BJ$57),""),1+BJ$58*2,1),IF(LEN(IFERROR(INDEX(醫師週班表!$C$5:$T$44,$CU14,BJ$57),""))=2,IF(AND(RIGHT(IFERROR(INDEX(醫師週班表!$C$5:$T$44,$CU14,BJ$57),""),1)="~",BJ$58=1),"",LEFT(IFERROR(INDEX(醫師週班表!$C$5:$T$44,$CU14,BJ$57),""),1)),IFERROR(INDEX(醫師週班表!$C$5:$T$44,$CU14,BJ$57),""))))))</f>
        <v/>
      </c>
      <c r="BK14" s="68">
        <f>IF(BK$59="X","",IF(BK$59&lt;&gt;"",BK$59,IF(IFERROR(INDEX(醫師週班表!$C$5:$T$44,$CU14,BK$57),"")=0,"",IF(LEN(IFERROR(INDEX(醫師週班表!$C$5:$T$44,$CU14,BK$57),""))=4,MID(IFERROR(INDEX(醫師週班表!$C$5:$T$44,$CU14,BK$57),""),1+BK$58*2,1),IF(LEN(IFERROR(INDEX(醫師週班表!$C$5:$T$44,$CU14,BK$57),""))=2,IF(AND(RIGHT(IFERROR(INDEX(醫師週班表!$C$5:$T$44,$CU14,BK$57),""),1)="~",BK$58=1),"",LEFT(IFERROR(INDEX(醫師週班表!$C$5:$T$44,$CU14,BK$57),""),1)),IFERROR(INDEX(醫師週班表!$C$5:$T$44,$CU14,BK$57),""))))))</f>
        <v/>
      </c>
      <c r="BL14" s="68">
        <f>IF(BL$59="X","",IF(BL$59&lt;&gt;"",BL$59,IF(IFERROR(INDEX(醫師週班表!$C$5:$T$44,$CU14,BL$57),"")=0,"",IF(LEN(IFERROR(INDEX(醫師週班表!$C$5:$T$44,$CU14,BL$57),""))=4,MID(IFERROR(INDEX(醫師週班表!$C$5:$T$44,$CU14,BL$57),""),1+BL$58*2,1),IF(LEN(IFERROR(INDEX(醫師週班表!$C$5:$T$44,$CU14,BL$57),""))=2,IF(AND(RIGHT(IFERROR(INDEX(醫師週班表!$C$5:$T$44,$CU14,BL$57),""),1)="~",BL$58=1),"",LEFT(IFERROR(INDEX(醫師週班表!$C$5:$T$44,$CU14,BL$57),""),1)),IFERROR(INDEX(醫師週班表!$C$5:$T$44,$CU14,BL$57),""))))))</f>
        <v/>
      </c>
      <c r="BM14" s="67">
        <f>IF(BM$59="X","",IF(BM$59&lt;&gt;"",BM$59,IF(IFERROR(INDEX(醫師週班表!$C$5:$T$44,$CU14,BM$57),"")=0,"",IF(LEN(IFERROR(INDEX(醫師週班表!$C$5:$T$44,$CU14,BM$57),""))=4,MID(IFERROR(INDEX(醫師週班表!$C$5:$T$44,$CU14,BM$57),""),1+BM$58*2,1),IF(LEN(IFERROR(INDEX(醫師週班表!$C$5:$T$44,$CU14,BM$57),""))=2,IF(AND(RIGHT(IFERROR(INDEX(醫師週班表!$C$5:$T$44,$CU14,BM$57),""),1)="~",BM$58=1),"",LEFT(IFERROR(INDEX(醫師週班表!$C$5:$T$44,$CU14,BM$57),""),1)),IFERROR(INDEX(醫師週班表!$C$5:$T$44,$CU14,BM$57),""))))))</f>
        <v/>
      </c>
      <c r="BN14" s="68">
        <f>IF(BN$59="X","",IF(BN$59&lt;&gt;"",BN$59,IF(IFERROR(INDEX(醫師週班表!$C$5:$T$44,$CU14,BN$57),"")=0,"",IF(LEN(IFERROR(INDEX(醫師週班表!$C$5:$T$44,$CU14,BN$57),""))=4,MID(IFERROR(INDEX(醫師週班表!$C$5:$T$44,$CU14,BN$57),""),1+BN$58*2,1),IF(LEN(IFERROR(INDEX(醫師週班表!$C$5:$T$44,$CU14,BN$57),""))=2,IF(AND(RIGHT(IFERROR(INDEX(醫師週班表!$C$5:$T$44,$CU14,BN$57),""),1)="~",BN$58=1),"",LEFT(IFERROR(INDEX(醫師週班表!$C$5:$T$44,$CU14,BN$57),""),1)),IFERROR(INDEX(醫師週班表!$C$5:$T$44,$CU14,BN$57),""))))))</f>
        <v/>
      </c>
      <c r="BO14" s="68">
        <f>IF(BO$59="X","",IF(BO$59&lt;&gt;"",BO$59,IF(IFERROR(INDEX(醫師週班表!$C$5:$T$44,$CU14,BO$57),"")=0,"",IF(LEN(IFERROR(INDEX(醫師週班表!$C$5:$T$44,$CU14,BO$57),""))=4,MID(IFERROR(INDEX(醫師週班表!$C$5:$T$44,$CU14,BO$57),""),1+BO$58*2,1),IF(LEN(IFERROR(INDEX(醫師週班表!$C$5:$T$44,$CU14,BO$57),""))=2,IF(AND(RIGHT(IFERROR(INDEX(醫師週班表!$C$5:$T$44,$CU14,BO$57),""),1)="~",BO$58=1),"",LEFT(IFERROR(INDEX(醫師週班表!$C$5:$T$44,$CU14,BO$57),""),1)),IFERROR(INDEX(醫師週班表!$C$5:$T$44,$CU14,BO$57),""))))))</f>
        <v/>
      </c>
      <c r="BP14" s="67">
        <f>IF(BP$59="X","",IF(BP$59&lt;&gt;"",BP$59,IF(IFERROR(INDEX(醫師週班表!$C$5:$T$44,$CU14,BP$57),"")=0,"",IF(LEN(IFERROR(INDEX(醫師週班表!$C$5:$T$44,$CU14,BP$57),""))=4,MID(IFERROR(INDEX(醫師週班表!$C$5:$T$44,$CU14,BP$57),""),1+BP$58*2,1),IF(LEN(IFERROR(INDEX(醫師週班表!$C$5:$T$44,$CU14,BP$57),""))=2,IF(AND(RIGHT(IFERROR(INDEX(醫師週班表!$C$5:$T$44,$CU14,BP$57),""),1)="~",BP$58=1),"",LEFT(IFERROR(INDEX(醫師週班表!$C$5:$T$44,$CU14,BP$57),""),1)),IFERROR(INDEX(醫師週班表!$C$5:$T$44,$CU14,BP$57),""))))))</f>
        <v/>
      </c>
      <c r="BQ14" s="68">
        <f>IF(BQ$59="X","",IF(BQ$59&lt;&gt;"",BQ$59,IF(IFERROR(INDEX(醫師週班表!$C$5:$T$44,$CU14,BQ$57),"")=0,"",IF(LEN(IFERROR(INDEX(醫師週班表!$C$5:$T$44,$CU14,BQ$57),""))=4,MID(IFERROR(INDEX(醫師週班表!$C$5:$T$44,$CU14,BQ$57),""),1+BQ$58*2,1),IF(LEN(IFERROR(INDEX(醫師週班表!$C$5:$T$44,$CU14,BQ$57),""))=2,IF(AND(RIGHT(IFERROR(INDEX(醫師週班表!$C$5:$T$44,$CU14,BQ$57),""),1)="~",BQ$58=1),"",LEFT(IFERROR(INDEX(醫師週班表!$C$5:$T$44,$CU14,BQ$57),""),1)),IFERROR(INDEX(醫師週班表!$C$5:$T$44,$CU14,BQ$57),""))))))</f>
        <v/>
      </c>
      <c r="BR14" s="68">
        <f>IF(BR$59="X","",IF(BR$59&lt;&gt;"",BR$59,IF(IFERROR(INDEX(醫師週班表!$C$5:$T$44,$CU14,BR$57),"")=0,"",IF(LEN(IFERROR(INDEX(醫師週班表!$C$5:$T$44,$CU14,BR$57),""))=4,MID(IFERROR(INDEX(醫師週班表!$C$5:$T$44,$CU14,BR$57),""),1+BR$58*2,1),IF(LEN(IFERROR(INDEX(醫師週班表!$C$5:$T$44,$CU14,BR$57),""))=2,IF(AND(RIGHT(IFERROR(INDEX(醫師週班表!$C$5:$T$44,$CU14,BR$57),""),1)="~",BR$58=1),"",LEFT(IFERROR(INDEX(醫師週班表!$C$5:$T$44,$CU14,BR$57),""),1)),IFERROR(INDEX(醫師週班表!$C$5:$T$44,$CU14,BR$57),""))))))</f>
        <v/>
      </c>
      <c r="BS14" s="67">
        <f>IF(BS$59="X","",IF(BS$59&lt;&gt;"",BS$59,IF(IFERROR(INDEX(醫師週班表!$C$5:$T$44,$CU14,BS$57),"")=0,"",IF(LEN(IFERROR(INDEX(醫師週班表!$C$5:$T$44,$CU14,BS$57),""))=4,MID(IFERROR(INDEX(醫師週班表!$C$5:$T$44,$CU14,BS$57),""),1+BS$58*2,1),IF(LEN(IFERROR(INDEX(醫師週班表!$C$5:$T$44,$CU14,BS$57),""))=2,IF(AND(RIGHT(IFERROR(INDEX(醫師週班表!$C$5:$T$44,$CU14,BS$57),""),1)="~",BS$58=1),"",LEFT(IFERROR(INDEX(醫師週班表!$C$5:$T$44,$CU14,BS$57),""),1)),IFERROR(INDEX(醫師週班表!$C$5:$T$44,$CU14,BS$57),""))))))</f>
        <v/>
      </c>
      <c r="BT14" s="68">
        <f>IF(BT$59="X","",IF(BT$59&lt;&gt;"",BT$59,IF(IFERROR(INDEX(醫師週班表!$C$5:$T$44,$CU14,BT$57),"")=0,"",IF(LEN(IFERROR(INDEX(醫師週班表!$C$5:$T$44,$CU14,BT$57),""))=4,MID(IFERROR(INDEX(醫師週班表!$C$5:$T$44,$CU14,BT$57),""),1+BT$58*2,1),IF(LEN(IFERROR(INDEX(醫師週班表!$C$5:$T$44,$CU14,BT$57),""))=2,IF(AND(RIGHT(IFERROR(INDEX(醫師週班表!$C$5:$T$44,$CU14,BT$57),""),1)="~",BT$58=1),"",LEFT(IFERROR(INDEX(醫師週班表!$C$5:$T$44,$CU14,BT$57),""),1)),IFERROR(INDEX(醫師週班表!$C$5:$T$44,$CU14,BT$57),""))))))</f>
        <v/>
      </c>
      <c r="BU14" s="68">
        <f>IF(BU$59="X","",IF(BU$59&lt;&gt;"",BU$59,IF(IFERROR(INDEX(醫師週班表!$C$5:$T$44,$CU14,BU$57),"")=0,"",IF(LEN(IFERROR(INDEX(醫師週班表!$C$5:$T$44,$CU14,BU$57),""))=4,MID(IFERROR(INDEX(醫師週班表!$C$5:$T$44,$CU14,BU$57),""),1+BU$58*2,1),IF(LEN(IFERROR(INDEX(醫師週班表!$C$5:$T$44,$CU14,BU$57),""))=2,IF(AND(RIGHT(IFERROR(INDEX(醫師週班表!$C$5:$T$44,$CU14,BU$57),""),1)="~",BU$58=1),"",LEFT(IFERROR(INDEX(醫師週班表!$C$5:$T$44,$CU14,BU$57),""),1)),IFERROR(INDEX(醫師週班表!$C$5:$T$44,$CU14,BU$57),""))))))</f>
        <v/>
      </c>
      <c r="BV14" s="67">
        <f>IF(BV$59="X","",IF(BV$59&lt;&gt;"",BV$59,IF(IFERROR(INDEX(醫師週班表!$C$5:$T$44,$CU14,BV$57),"")=0,"",IF(LEN(IFERROR(INDEX(醫師週班表!$C$5:$T$44,$CU14,BV$57),""))=4,MID(IFERROR(INDEX(醫師週班表!$C$5:$T$44,$CU14,BV$57),""),1+BV$58*2,1),IF(LEN(IFERROR(INDEX(醫師週班表!$C$5:$T$44,$CU14,BV$57),""))=2,IF(AND(RIGHT(IFERROR(INDEX(醫師週班表!$C$5:$T$44,$CU14,BV$57),""),1)="~",BV$58=1),"",LEFT(IFERROR(INDEX(醫師週班表!$C$5:$T$44,$CU14,BV$57),""),1)),IFERROR(INDEX(醫師週班表!$C$5:$T$44,$CU14,BV$57),""))))))</f>
        <v/>
      </c>
      <c r="BW14" s="68">
        <f>IF(BW$59="X","",IF(BW$59&lt;&gt;"",BW$59,IF(IFERROR(INDEX(醫師週班表!$C$5:$T$44,$CU14,BW$57),"")=0,"",IF(LEN(IFERROR(INDEX(醫師週班表!$C$5:$T$44,$CU14,BW$57),""))=4,MID(IFERROR(INDEX(醫師週班表!$C$5:$T$44,$CU14,BW$57),""),1+BW$58*2,1),IF(LEN(IFERROR(INDEX(醫師週班表!$C$5:$T$44,$CU14,BW$57),""))=2,IF(AND(RIGHT(IFERROR(INDEX(醫師週班表!$C$5:$T$44,$CU14,BW$57),""),1)="~",BW$58=1),"",LEFT(IFERROR(INDEX(醫師週班表!$C$5:$T$44,$CU14,BW$57),""),1)),IFERROR(INDEX(醫師週班表!$C$5:$T$44,$CU14,BW$57),""))))))</f>
        <v/>
      </c>
      <c r="BX14" s="68">
        <f>IF(BX$59="X","",IF(BX$59&lt;&gt;"",BX$59,IF(IFERROR(INDEX(醫師週班表!$C$5:$T$44,$CU14,BX$57),"")=0,"",IF(LEN(IFERROR(INDEX(醫師週班表!$C$5:$T$44,$CU14,BX$57),""))=4,MID(IFERROR(INDEX(醫師週班表!$C$5:$T$44,$CU14,BX$57),""),1+BX$58*2,1),IF(LEN(IFERROR(INDEX(醫師週班表!$C$5:$T$44,$CU14,BX$57),""))=2,IF(AND(RIGHT(IFERROR(INDEX(醫師週班表!$C$5:$T$44,$CU14,BX$57),""),1)="~",BX$58=1),"",LEFT(IFERROR(INDEX(醫師週班表!$C$5:$T$44,$CU14,BX$57),""),1)),IFERROR(INDEX(醫師週班表!$C$5:$T$44,$CU14,BX$57),""))))))</f>
        <v/>
      </c>
      <c r="BY14" s="67">
        <f>IF(BY$59="X","",IF(BY$59&lt;&gt;"",BY$59,IF(IFERROR(INDEX(醫師週班表!$C$5:$T$44,$CU14,BY$57),"")=0,"",IF(LEN(IFERROR(INDEX(醫師週班表!$C$5:$T$44,$CU14,BY$57),""))=4,MID(IFERROR(INDEX(醫師週班表!$C$5:$T$44,$CU14,BY$57),""),1+BY$58*2,1),IF(LEN(IFERROR(INDEX(醫師週班表!$C$5:$T$44,$CU14,BY$57),""))=2,IF(AND(RIGHT(IFERROR(INDEX(醫師週班表!$C$5:$T$44,$CU14,BY$57),""),1)="~",BY$58=1),"",LEFT(IFERROR(INDEX(醫師週班表!$C$5:$T$44,$CU14,BY$57),""),1)),IFERROR(INDEX(醫師週班表!$C$5:$T$44,$CU14,BY$57),""))))))</f>
        <v/>
      </c>
      <c r="BZ14" s="68">
        <f>IF(BZ$59="X","",IF(BZ$59&lt;&gt;"",BZ$59,IF(IFERROR(INDEX(醫師週班表!$C$5:$T$44,$CU14,BZ$57),"")=0,"",IF(LEN(IFERROR(INDEX(醫師週班表!$C$5:$T$44,$CU14,BZ$57),""))=4,MID(IFERROR(INDEX(醫師週班表!$C$5:$T$44,$CU14,BZ$57),""),1+BZ$58*2,1),IF(LEN(IFERROR(INDEX(醫師週班表!$C$5:$T$44,$CU14,BZ$57),""))=2,IF(AND(RIGHT(IFERROR(INDEX(醫師週班表!$C$5:$T$44,$CU14,BZ$57),""),1)="~",BZ$58=1),"",LEFT(IFERROR(INDEX(醫師週班表!$C$5:$T$44,$CU14,BZ$57),""),1)),IFERROR(INDEX(醫師週班表!$C$5:$T$44,$CU14,BZ$57),""))))))</f>
        <v/>
      </c>
      <c r="CA14" s="68">
        <f>IF(CA$59="X","",IF(CA$59&lt;&gt;"",CA$59,IF(IFERROR(INDEX(醫師週班表!$C$5:$T$44,$CU14,CA$57),"")=0,"",IF(LEN(IFERROR(INDEX(醫師週班表!$C$5:$T$44,$CU14,CA$57),""))=4,MID(IFERROR(INDEX(醫師週班表!$C$5:$T$44,$CU14,CA$57),""),1+CA$58*2,1),IF(LEN(IFERROR(INDEX(醫師週班表!$C$5:$T$44,$CU14,CA$57),""))=2,IF(AND(RIGHT(IFERROR(INDEX(醫師週班表!$C$5:$T$44,$CU14,CA$57),""),1)="~",CA$58=1),"",LEFT(IFERROR(INDEX(醫師週班表!$C$5:$T$44,$CU14,CA$57),""),1)),IFERROR(INDEX(醫師週班表!$C$5:$T$44,$CU14,CA$57),""))))))</f>
        <v/>
      </c>
      <c r="CB14" s="67">
        <f>IF(CB$59="X","",IF(CB$59&lt;&gt;"",CB$59,IF(IFERROR(INDEX(醫師週班表!$C$5:$T$44,$CU14,CB$57),"")=0,"",IF(LEN(IFERROR(INDEX(醫師週班表!$C$5:$T$44,$CU14,CB$57),""))=4,MID(IFERROR(INDEX(醫師週班表!$C$5:$T$44,$CU14,CB$57),""),1+CB$58*2,1),IF(LEN(IFERROR(INDEX(醫師週班表!$C$5:$T$44,$CU14,CB$57),""))=2,IF(AND(RIGHT(IFERROR(INDEX(醫師週班表!$C$5:$T$44,$CU14,CB$57),""),1)="~",CB$58=1),"",LEFT(IFERROR(INDEX(醫師週班表!$C$5:$T$44,$CU14,CB$57),""),1)),IFERROR(INDEX(醫師週班表!$C$5:$T$44,$CU14,CB$57),""))))))</f>
        <v/>
      </c>
      <c r="CC14" s="68">
        <f>IF(CC$59="X","",IF(CC$59&lt;&gt;"",CC$59,IF(IFERROR(INDEX(醫師週班表!$C$5:$T$44,$CU14,CC$57),"")=0,"",IF(LEN(IFERROR(INDEX(醫師週班表!$C$5:$T$44,$CU14,CC$57),""))=4,MID(IFERROR(INDEX(醫師週班表!$C$5:$T$44,$CU14,CC$57),""),1+CC$58*2,1),IF(LEN(IFERROR(INDEX(醫師週班表!$C$5:$T$44,$CU14,CC$57),""))=2,IF(AND(RIGHT(IFERROR(INDEX(醫師週班表!$C$5:$T$44,$CU14,CC$57),""),1)="~",CC$58=1),"",LEFT(IFERROR(INDEX(醫師週班表!$C$5:$T$44,$CU14,CC$57),""),1)),IFERROR(INDEX(醫師週班表!$C$5:$T$44,$CU14,CC$57),""))))))</f>
        <v/>
      </c>
      <c r="CD14" s="68">
        <f>IF(CD$59="X","",IF(CD$59&lt;&gt;"",CD$59,IF(IFERROR(INDEX(醫師週班表!$C$5:$T$44,$CU14,CD$57),"")=0,"",IF(LEN(IFERROR(INDEX(醫師週班表!$C$5:$T$44,$CU14,CD$57),""))=4,MID(IFERROR(INDEX(醫師週班表!$C$5:$T$44,$CU14,CD$57),""),1+CD$58*2,1),IF(LEN(IFERROR(INDEX(醫師週班表!$C$5:$T$44,$CU14,CD$57),""))=2,IF(AND(RIGHT(IFERROR(INDEX(醫師週班表!$C$5:$T$44,$CU14,CD$57),""),1)="~",CD$58=1),"",LEFT(IFERROR(INDEX(醫師週班表!$C$5:$T$44,$CU14,CD$57),""),1)),IFERROR(INDEX(醫師週班表!$C$5:$T$44,$CU14,CD$57),""))))))</f>
        <v/>
      </c>
      <c r="CE14" s="67">
        <f>IF(CE$59="X","",IF(CE$59&lt;&gt;"",CE$59,IF(IFERROR(INDEX(醫師週班表!$C$5:$T$44,$CU14,CE$57),"")=0,"",IF(LEN(IFERROR(INDEX(醫師週班表!$C$5:$T$44,$CU14,CE$57),""))=4,MID(IFERROR(INDEX(醫師週班表!$C$5:$T$44,$CU14,CE$57),""),1+CE$58*2,1),IF(LEN(IFERROR(INDEX(醫師週班表!$C$5:$T$44,$CU14,CE$57),""))=2,IF(AND(RIGHT(IFERROR(INDEX(醫師週班表!$C$5:$T$44,$CU14,CE$57),""),1)="~",CE$58=1),"",LEFT(IFERROR(INDEX(醫師週班表!$C$5:$T$44,$CU14,CE$57),""),1)),IFERROR(INDEX(醫師週班表!$C$5:$T$44,$CU14,CE$57),""))))))</f>
        <v/>
      </c>
      <c r="CF14" s="68">
        <f>IF(CF$59="X","",IF(CF$59&lt;&gt;"",CF$59,IF(IFERROR(INDEX(醫師週班表!$C$5:$T$44,$CU14,CF$57),"")=0,"",IF(LEN(IFERROR(INDEX(醫師週班表!$C$5:$T$44,$CU14,CF$57),""))=4,MID(IFERROR(INDEX(醫師週班表!$C$5:$T$44,$CU14,CF$57),""),1+CF$58*2,1),IF(LEN(IFERROR(INDEX(醫師週班表!$C$5:$T$44,$CU14,CF$57),""))=2,IF(AND(RIGHT(IFERROR(INDEX(醫師週班表!$C$5:$T$44,$CU14,CF$57),""),1)="~",CF$58=1),"",LEFT(IFERROR(INDEX(醫師週班表!$C$5:$T$44,$CU14,CF$57),""),1)),IFERROR(INDEX(醫師週班表!$C$5:$T$44,$CU14,CF$57),""))))))</f>
        <v/>
      </c>
      <c r="CG14" s="68">
        <f>IF(CG$59="X","",IF(CG$59&lt;&gt;"",CG$59,IF(IFERROR(INDEX(醫師週班表!$C$5:$T$44,$CU14,CG$57),"")=0,"",IF(LEN(IFERROR(INDEX(醫師週班表!$C$5:$T$44,$CU14,CG$57),""))=4,MID(IFERROR(INDEX(醫師週班表!$C$5:$T$44,$CU14,CG$57),""),1+CG$58*2,1),IF(LEN(IFERROR(INDEX(醫師週班表!$C$5:$T$44,$CU14,CG$57),""))=2,IF(AND(RIGHT(IFERROR(INDEX(醫師週班表!$C$5:$T$44,$CU14,CG$57),""),1)="~",CG$58=1),"",LEFT(IFERROR(INDEX(醫師週班表!$C$5:$T$44,$CU14,CG$57),""),1)),IFERROR(INDEX(醫師週班表!$C$5:$T$44,$CU14,CG$57),""))))))</f>
        <v/>
      </c>
      <c r="CH14" s="67">
        <f>IF(CH$59="X","",IF(CH$59&lt;&gt;"",CH$59,IF(IFERROR(INDEX(醫師週班表!$C$5:$T$44,$CU14,CH$57),"")=0,"",IF(LEN(IFERROR(INDEX(醫師週班表!$C$5:$T$44,$CU14,CH$57),""))=4,MID(IFERROR(INDEX(醫師週班表!$C$5:$T$44,$CU14,CH$57),""),1+CH$58*2,1),IF(LEN(IFERROR(INDEX(醫師週班表!$C$5:$T$44,$CU14,CH$57),""))=2,IF(AND(RIGHT(IFERROR(INDEX(醫師週班表!$C$5:$T$44,$CU14,CH$57),""),1)="~",CH$58=1),"",LEFT(IFERROR(INDEX(醫師週班表!$C$5:$T$44,$CU14,CH$57),""),1)),IFERROR(INDEX(醫師週班表!$C$5:$T$44,$CU14,CH$57),""))))))</f>
        <v/>
      </c>
      <c r="CI14" s="68">
        <f>IF(CI$59="X","",IF(CI$59&lt;&gt;"",CI$59,IF(IFERROR(INDEX(醫師週班表!$C$5:$T$44,$CU14,CI$57),"")=0,"",IF(LEN(IFERROR(INDEX(醫師週班表!$C$5:$T$44,$CU14,CI$57),""))=4,MID(IFERROR(INDEX(醫師週班表!$C$5:$T$44,$CU14,CI$57),""),1+CI$58*2,1),IF(LEN(IFERROR(INDEX(醫師週班表!$C$5:$T$44,$CU14,CI$57),""))=2,IF(AND(RIGHT(IFERROR(INDEX(醫師週班表!$C$5:$T$44,$CU14,CI$57),""),1)="~",CI$58=1),"",LEFT(IFERROR(INDEX(醫師週班表!$C$5:$T$44,$CU14,CI$57),""),1)),IFERROR(INDEX(醫師週班表!$C$5:$T$44,$CU14,CI$57),""))))))</f>
        <v/>
      </c>
      <c r="CJ14" s="68">
        <f>IF(CJ$59="X","",IF(CJ$59&lt;&gt;"",CJ$59,IF(IFERROR(INDEX(醫師週班表!$C$5:$T$44,$CU14,CJ$57),"")=0,"",IF(LEN(IFERROR(INDEX(醫師週班表!$C$5:$T$44,$CU14,CJ$57),""))=4,MID(IFERROR(INDEX(醫師週班表!$C$5:$T$44,$CU14,CJ$57),""),1+CJ$58*2,1),IF(LEN(IFERROR(INDEX(醫師週班表!$C$5:$T$44,$CU14,CJ$57),""))=2,IF(AND(RIGHT(IFERROR(INDEX(醫師週班表!$C$5:$T$44,$CU14,CJ$57),""),1)="~",CJ$58=1),"",LEFT(IFERROR(INDEX(醫師週班表!$C$5:$T$44,$CU14,CJ$57),""),1)),IFERROR(INDEX(醫師週班表!$C$5:$T$44,$CU14,CJ$57),""))))))</f>
        <v/>
      </c>
      <c r="CK14" s="67">
        <f>IF(CK$59="X","",IF(CK$59&lt;&gt;"",CK$59,IF(IFERROR(INDEX(醫師週班表!$C$5:$T$44,$CU14,CK$57),"")=0,"",IF(LEN(IFERROR(INDEX(醫師週班表!$C$5:$T$44,$CU14,CK$57),""))=4,MID(IFERROR(INDEX(醫師週班表!$C$5:$T$44,$CU14,CK$57),""),1+CK$58*2,1),IF(LEN(IFERROR(INDEX(醫師週班表!$C$5:$T$44,$CU14,CK$57),""))=2,IF(AND(RIGHT(IFERROR(INDEX(醫師週班表!$C$5:$T$44,$CU14,CK$57),""),1)="~",CK$58=1),"",LEFT(IFERROR(INDEX(醫師週班表!$C$5:$T$44,$CU14,CK$57),""),1)),IFERROR(INDEX(醫師週班表!$C$5:$T$44,$CU14,CK$57),""))))))</f>
        <v/>
      </c>
      <c r="CL14" s="68">
        <f>IF(CL$59="X","",IF(CL$59&lt;&gt;"",CL$59,IF(IFERROR(INDEX(醫師週班表!$C$5:$T$44,$CU14,CL$57),"")=0,"",IF(LEN(IFERROR(INDEX(醫師週班表!$C$5:$T$44,$CU14,CL$57),""))=4,MID(IFERROR(INDEX(醫師週班表!$C$5:$T$44,$CU14,CL$57),""),1+CL$58*2,1),IF(LEN(IFERROR(INDEX(醫師週班表!$C$5:$T$44,$CU14,CL$57),""))=2,IF(AND(RIGHT(IFERROR(INDEX(醫師週班表!$C$5:$T$44,$CU14,CL$57),""),1)="~",CL$58=1),"",LEFT(IFERROR(INDEX(醫師週班表!$C$5:$T$44,$CU14,CL$57),""),1)),IFERROR(INDEX(醫師週班表!$C$5:$T$44,$CU14,CL$57),""))))))</f>
        <v/>
      </c>
      <c r="CM14" s="68">
        <f>IF(CM$59="X","",IF(CM$59&lt;&gt;"",CM$59,IF(IFERROR(INDEX(醫師週班表!$C$5:$T$44,$CU14,CM$57),"")=0,"",IF(LEN(IFERROR(INDEX(醫師週班表!$C$5:$T$44,$CU14,CM$57),""))=4,MID(IFERROR(INDEX(醫師週班表!$C$5:$T$44,$CU14,CM$57),""),1+CM$58*2,1),IF(LEN(IFERROR(INDEX(醫師週班表!$C$5:$T$44,$CU14,CM$57),""))=2,IF(AND(RIGHT(IFERROR(INDEX(醫師週班表!$C$5:$T$44,$CU14,CM$57),""),1)="~",CM$58=1),"",LEFT(IFERROR(INDEX(醫師週班表!$C$5:$T$44,$CU14,CM$57),""),1)),IFERROR(INDEX(醫師週班表!$C$5:$T$44,$CU14,CM$57),""))))))</f>
        <v/>
      </c>
      <c r="CN14" s="67">
        <f>IF(CN$59="X","",IF(CN$59&lt;&gt;"",CN$59,IF(IFERROR(INDEX(醫師週班表!$C$5:$T$44,$CU14,CN$57),"")=0,"",IF(LEN(IFERROR(INDEX(醫師週班表!$C$5:$T$44,$CU14,CN$57),""))=4,MID(IFERROR(INDEX(醫師週班表!$C$5:$T$44,$CU14,CN$57),""),1+CN$58*2,1),IF(LEN(IFERROR(INDEX(醫師週班表!$C$5:$T$44,$CU14,CN$57),""))=2,IF(AND(RIGHT(IFERROR(INDEX(醫師週班表!$C$5:$T$44,$CU14,CN$57),""),1)="~",CN$58=1),"",LEFT(IFERROR(INDEX(醫師週班表!$C$5:$T$44,$CU14,CN$57),""),1)),IFERROR(INDEX(醫師週班表!$C$5:$T$44,$CU14,CN$57),""))))))</f>
        <v/>
      </c>
      <c r="CO14" s="68">
        <f>IF(CO$59="X","",IF(CO$59&lt;&gt;"",CO$59,IF(IFERROR(INDEX(醫師週班表!$C$5:$T$44,$CU14,CO$57),"")=0,"",IF(LEN(IFERROR(INDEX(醫師週班表!$C$5:$T$44,$CU14,CO$57),""))=4,MID(IFERROR(INDEX(醫師週班表!$C$5:$T$44,$CU14,CO$57),""),1+CO$58*2,1),IF(LEN(IFERROR(INDEX(醫師週班表!$C$5:$T$44,$CU14,CO$57),""))=2,IF(AND(RIGHT(IFERROR(INDEX(醫師週班表!$C$5:$T$44,$CU14,CO$57),""),1)="~",CO$58=1),"",LEFT(IFERROR(INDEX(醫師週班表!$C$5:$T$44,$CU14,CO$57),""),1)),IFERROR(INDEX(醫師週班表!$C$5:$T$44,$CU14,CO$57),""))))))</f>
        <v/>
      </c>
      <c r="CP14" s="68">
        <f>IF(CP$59="X","",IF(CP$59&lt;&gt;"",CP$59,IF(IFERROR(INDEX(醫師週班表!$C$5:$T$44,$CU14,CP$57),"")=0,"",IF(LEN(IFERROR(INDEX(醫師週班表!$C$5:$T$44,$CU14,CP$57),""))=4,MID(IFERROR(INDEX(醫師週班表!$C$5:$T$44,$CU14,CP$57),""),1+CP$58*2,1),IF(LEN(IFERROR(INDEX(醫師週班表!$C$5:$T$44,$CU14,CP$57),""))=2,IF(AND(RIGHT(IFERROR(INDEX(醫師週班表!$C$5:$T$44,$CU14,CP$57),""),1)="~",CP$58=1),"",LEFT(IFERROR(INDEX(醫師週班表!$C$5:$T$44,$CU14,CP$57),""),1)),IFERROR(INDEX(醫師週班表!$C$5:$T$44,$CU14,CP$57),""))))))</f>
        <v/>
      </c>
      <c r="CQ14" s="67">
        <f>IF(CQ$59="X","",IF(CQ$59&lt;&gt;"",CQ$59,IF(IFERROR(INDEX(醫師週班表!$C$5:$T$44,$CU14,CQ$57),"")=0,"",IF(LEN(IFERROR(INDEX(醫師週班表!$C$5:$T$44,$CU14,CQ$57),""))=4,MID(IFERROR(INDEX(醫師週班表!$C$5:$T$44,$CU14,CQ$57),""),1+CQ$58*2,1),IF(LEN(IFERROR(INDEX(醫師週班表!$C$5:$T$44,$CU14,CQ$57),""))=2,IF(AND(RIGHT(IFERROR(INDEX(醫師週班表!$C$5:$T$44,$CU14,CQ$57),""),1)="~",CQ$58=1),"",LEFT(IFERROR(INDEX(醫師週班表!$C$5:$T$44,$CU14,CQ$57),""),1)),IFERROR(INDEX(醫師週班表!$C$5:$T$44,$CU14,CQ$57),""))))))</f>
        <v/>
      </c>
      <c r="CR14" s="68">
        <f>IF(CR$59="X","",IF(CR$59&lt;&gt;"",CR$59,IF(IFERROR(INDEX(醫師週班表!$C$5:$T$44,$CU14,CR$57),"")=0,"",IF(LEN(IFERROR(INDEX(醫師週班表!$C$5:$T$44,$CU14,CR$57),""))=4,MID(IFERROR(INDEX(醫師週班表!$C$5:$T$44,$CU14,CR$57),""),1+CR$58*2,1),IF(LEN(IFERROR(INDEX(醫師週班表!$C$5:$T$44,$CU14,CR$57),""))=2,IF(AND(RIGHT(IFERROR(INDEX(醫師週班表!$C$5:$T$44,$CU14,CR$57),""),1)="~",CR$58=1),"",LEFT(IFERROR(INDEX(醫師週班表!$C$5:$T$44,$CU14,CR$57),""),1)),IFERROR(INDEX(醫師週班表!$C$5:$T$44,$CU14,CR$57),""))))))</f>
        <v/>
      </c>
      <c r="CS14" s="68">
        <f>IF(CS$59="X","",IF(CS$59&lt;&gt;"",CS$59,IF(IFERROR(INDEX(醫師週班表!$C$5:$T$44,$CU14,CS$57),"")=0,"",IF(LEN(IFERROR(INDEX(醫師週班表!$C$5:$T$44,$CU14,CS$57),""))=4,MID(IFERROR(INDEX(醫師週班表!$C$5:$T$44,$CU14,CS$57),""),1+CS$58*2,1),IF(LEN(IFERROR(INDEX(醫師週班表!$C$5:$T$44,$CU14,CS$57),""))=2,IF(AND(RIGHT(IFERROR(INDEX(醫師週班表!$C$5:$T$44,$CU14,CS$57),""),1)="~",CS$58=1),"",LEFT(IFERROR(INDEX(醫師週班表!$C$5:$T$44,$CU14,CS$57),""),1)),IFERROR(INDEX(醫師週班表!$C$5:$T$44,$CU14,CS$57),""))))))</f>
        <v/>
      </c>
      <c r="CU14" s="69">
        <f>IFERROR(MATCH($A14,醫師週班表!$A$5:$A$44,0),0)</f>
        <v/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IFERROR(INDEX(醫師週班表!$C$5:$T$44,$CU15,E$57),"")=0,"",IF(LEN(IFERROR(INDEX(醫師週班表!$C$5:$T$44,$CU15,E$57),""))=4,MID(IFERROR(INDEX(醫師週班表!$C$5:$T$44,$CU15,E$57),""),1+E$58*2,1),IF(LEN(IFERROR(INDEX(醫師週班表!$C$5:$T$44,$CU15,E$57),""))=2,IF(AND(RIGHT(IFERROR(INDEX(醫師週班表!$C$5:$T$44,$CU15,E$57),""),1)="~",E$58=1),"",LEFT(IFERROR(INDEX(醫師週班表!$C$5:$T$44,$CU15,E$57),""),1)),IFERROR(INDEX(醫師週班表!$C$5:$T$44,$CU15,E$57),""))))))</f>
        <v/>
      </c>
      <c r="F15" s="68">
        <f>IF(F$59="X","",IF(F$59&lt;&gt;"",F$59,IF(IFERROR(INDEX(醫師週班表!$C$5:$T$44,$CU15,F$57),"")=0,"",IF(LEN(IFERROR(INDEX(醫師週班表!$C$5:$T$44,$CU15,F$57),""))=4,MID(IFERROR(INDEX(醫師週班表!$C$5:$T$44,$CU15,F$57),""),1+F$58*2,1),IF(LEN(IFERROR(INDEX(醫師週班表!$C$5:$T$44,$CU15,F$57),""))=2,IF(AND(RIGHT(IFERROR(INDEX(醫師週班表!$C$5:$T$44,$CU15,F$57),""),1)="~",F$58=1),"",LEFT(IFERROR(INDEX(醫師週班表!$C$5:$T$44,$CU15,F$57),""),1)),IFERROR(INDEX(醫師週班表!$C$5:$T$44,$CU15,F$57),""))))))</f>
        <v/>
      </c>
      <c r="G15" s="68">
        <f>IF(G$59="X","",IF(G$59&lt;&gt;"",G$59,IF(IFERROR(INDEX(醫師週班表!$C$5:$T$44,$CU15,G$57),"")=0,"",IF(LEN(IFERROR(INDEX(醫師週班表!$C$5:$T$44,$CU15,G$57),""))=4,MID(IFERROR(INDEX(醫師週班表!$C$5:$T$44,$CU15,G$57),""),1+G$58*2,1),IF(LEN(IFERROR(INDEX(醫師週班表!$C$5:$T$44,$CU15,G$57),""))=2,IF(AND(RIGHT(IFERROR(INDEX(醫師週班表!$C$5:$T$44,$CU15,G$57),""),1)="~",G$58=1),"",LEFT(IFERROR(INDEX(醫師週班表!$C$5:$T$44,$CU15,G$57),""),1)),IFERROR(INDEX(醫師週班表!$C$5:$T$44,$CU15,G$57),""))))))</f>
        <v/>
      </c>
      <c r="H15" s="67">
        <f>IF(H$59="X","",IF(H$59&lt;&gt;"",H$59,IF(IFERROR(INDEX(醫師週班表!$C$5:$T$44,$CU15,H$57),"")=0,"",IF(LEN(IFERROR(INDEX(醫師週班表!$C$5:$T$44,$CU15,H$57),""))=4,MID(IFERROR(INDEX(醫師週班表!$C$5:$T$44,$CU15,H$57),""),1+H$58*2,1),IF(LEN(IFERROR(INDEX(醫師週班表!$C$5:$T$44,$CU15,H$57),""))=2,IF(AND(RIGHT(IFERROR(INDEX(醫師週班表!$C$5:$T$44,$CU15,H$57),""),1)="~",H$58=1),"",LEFT(IFERROR(INDEX(醫師週班表!$C$5:$T$44,$CU15,H$57),""),1)),IFERROR(INDEX(醫師週班表!$C$5:$T$44,$CU15,H$57),""))))))</f>
        <v/>
      </c>
      <c r="I15" s="68">
        <f>IF(I$59="X","",IF(I$59&lt;&gt;"",I$59,IF(IFERROR(INDEX(醫師週班表!$C$5:$T$44,$CU15,I$57),"")=0,"",IF(LEN(IFERROR(INDEX(醫師週班表!$C$5:$T$44,$CU15,I$57),""))=4,MID(IFERROR(INDEX(醫師週班表!$C$5:$T$44,$CU15,I$57),""),1+I$58*2,1),IF(LEN(IFERROR(INDEX(醫師週班表!$C$5:$T$44,$CU15,I$57),""))=2,IF(AND(RIGHT(IFERROR(INDEX(醫師週班表!$C$5:$T$44,$CU15,I$57),""),1)="~",I$58=1),"",LEFT(IFERROR(INDEX(醫師週班表!$C$5:$T$44,$CU15,I$57),""),1)),IFERROR(INDEX(醫師週班表!$C$5:$T$44,$CU15,I$57),""))))))</f>
        <v/>
      </c>
      <c r="J15" s="68">
        <f>IF(J$59="X","",IF(J$59&lt;&gt;"",J$59,IF(IFERROR(INDEX(醫師週班表!$C$5:$T$44,$CU15,J$57),"")=0,"",IF(LEN(IFERROR(INDEX(醫師週班表!$C$5:$T$44,$CU15,J$57),""))=4,MID(IFERROR(INDEX(醫師週班表!$C$5:$T$44,$CU15,J$57),""),1+J$58*2,1),IF(LEN(IFERROR(INDEX(醫師週班表!$C$5:$T$44,$CU15,J$57),""))=2,IF(AND(RIGHT(IFERROR(INDEX(醫師週班表!$C$5:$T$44,$CU15,J$57),""),1)="~",J$58=1),"",LEFT(IFERROR(INDEX(醫師週班表!$C$5:$T$44,$CU15,J$57),""),1)),IFERROR(INDEX(醫師週班表!$C$5:$T$44,$CU15,J$57),""))))))</f>
        <v/>
      </c>
      <c r="K15" s="67">
        <f>IF(K$59="X","",IF(K$59&lt;&gt;"",K$59,IF(IFERROR(INDEX(醫師週班表!$C$5:$T$44,$CU15,K$57),"")=0,"",IF(LEN(IFERROR(INDEX(醫師週班表!$C$5:$T$44,$CU15,K$57),""))=4,MID(IFERROR(INDEX(醫師週班表!$C$5:$T$44,$CU15,K$57),""),1+K$58*2,1),IF(LEN(IFERROR(INDEX(醫師週班表!$C$5:$T$44,$CU15,K$57),""))=2,IF(AND(RIGHT(IFERROR(INDEX(醫師週班表!$C$5:$T$44,$CU15,K$57),""),1)="~",K$58=1),"",LEFT(IFERROR(INDEX(醫師週班表!$C$5:$T$44,$CU15,K$57),""),1)),IFERROR(INDEX(醫師週班表!$C$5:$T$44,$CU15,K$57),""))))))</f>
        <v/>
      </c>
      <c r="L15" s="68">
        <f>IF(L$59="X","",IF(L$59&lt;&gt;"",L$59,IF(IFERROR(INDEX(醫師週班表!$C$5:$T$44,$CU15,L$57),"")=0,"",IF(LEN(IFERROR(INDEX(醫師週班表!$C$5:$T$44,$CU15,L$57),""))=4,MID(IFERROR(INDEX(醫師週班表!$C$5:$T$44,$CU15,L$57),""),1+L$58*2,1),IF(LEN(IFERROR(INDEX(醫師週班表!$C$5:$T$44,$CU15,L$57),""))=2,IF(AND(RIGHT(IFERROR(INDEX(醫師週班表!$C$5:$T$44,$CU15,L$57),""),1)="~",L$58=1),"",LEFT(IFERROR(INDEX(醫師週班表!$C$5:$T$44,$CU15,L$57),""),1)),IFERROR(INDEX(醫師週班表!$C$5:$T$44,$CU15,L$57),""))))))</f>
        <v/>
      </c>
      <c r="M15" s="68">
        <f>IF(M$59="X","",IF(M$59&lt;&gt;"",M$59,IF(IFERROR(INDEX(醫師週班表!$C$5:$T$44,$CU15,M$57),"")=0,"",IF(LEN(IFERROR(INDEX(醫師週班表!$C$5:$T$44,$CU15,M$57),""))=4,MID(IFERROR(INDEX(醫師週班表!$C$5:$T$44,$CU15,M$57),""),1+M$58*2,1),IF(LEN(IFERROR(INDEX(醫師週班表!$C$5:$T$44,$CU15,M$57),""))=2,IF(AND(RIGHT(IFERROR(INDEX(醫師週班表!$C$5:$T$44,$CU15,M$57),""),1)="~",M$58=1),"",LEFT(IFERROR(INDEX(醫師週班表!$C$5:$T$44,$CU15,M$57),""),1)),IFERROR(INDEX(醫師週班表!$C$5:$T$44,$CU15,M$57),""))))))</f>
        <v/>
      </c>
      <c r="N15" s="67">
        <f>IF(N$59="X","",IF(N$59&lt;&gt;"",N$59,IF(IFERROR(INDEX(醫師週班表!$C$5:$T$44,$CU15,N$57),"")=0,"",IF(LEN(IFERROR(INDEX(醫師週班表!$C$5:$T$44,$CU15,N$57),""))=4,MID(IFERROR(INDEX(醫師週班表!$C$5:$T$44,$CU15,N$57),""),1+N$58*2,1),IF(LEN(IFERROR(INDEX(醫師週班表!$C$5:$T$44,$CU15,N$57),""))=2,IF(AND(RIGHT(IFERROR(INDEX(醫師週班表!$C$5:$T$44,$CU15,N$57),""),1)="~",N$58=1),"",LEFT(IFERROR(INDEX(醫師週班表!$C$5:$T$44,$CU15,N$57),""),1)),IFERROR(INDEX(醫師週班表!$C$5:$T$44,$CU15,N$57),""))))))</f>
        <v/>
      </c>
      <c r="O15" s="68">
        <f>IF(O$59="X","",IF(O$59&lt;&gt;"",O$59,IF(IFERROR(INDEX(醫師週班表!$C$5:$T$44,$CU15,O$57),"")=0,"",IF(LEN(IFERROR(INDEX(醫師週班表!$C$5:$T$44,$CU15,O$57),""))=4,MID(IFERROR(INDEX(醫師週班表!$C$5:$T$44,$CU15,O$57),""),1+O$58*2,1),IF(LEN(IFERROR(INDEX(醫師週班表!$C$5:$T$44,$CU15,O$57),""))=2,IF(AND(RIGHT(IFERROR(INDEX(醫師週班表!$C$5:$T$44,$CU15,O$57),""),1)="~",O$58=1),"",LEFT(IFERROR(INDEX(醫師週班表!$C$5:$T$44,$CU15,O$57),""),1)),IFERROR(INDEX(醫師週班表!$C$5:$T$44,$CU15,O$57),""))))))</f>
        <v/>
      </c>
      <c r="P15" s="68">
        <f>IF(P$59="X","",IF(P$59&lt;&gt;"",P$59,IF(IFERROR(INDEX(醫師週班表!$C$5:$T$44,$CU15,P$57),"")=0,"",IF(LEN(IFERROR(INDEX(醫師週班表!$C$5:$T$44,$CU15,P$57),""))=4,MID(IFERROR(INDEX(醫師週班表!$C$5:$T$44,$CU15,P$57),""),1+P$58*2,1),IF(LEN(IFERROR(INDEX(醫師週班表!$C$5:$T$44,$CU15,P$57),""))=2,IF(AND(RIGHT(IFERROR(INDEX(醫師週班表!$C$5:$T$44,$CU15,P$57),""),1)="~",P$58=1),"",LEFT(IFERROR(INDEX(醫師週班表!$C$5:$T$44,$CU15,P$57),""),1)),IFERROR(INDEX(醫師週班表!$C$5:$T$44,$CU15,P$57),""))))))</f>
        <v/>
      </c>
      <c r="Q15" s="67">
        <f>IF(Q$59="X","",IF(Q$59&lt;&gt;"",Q$59,IF(IFERROR(INDEX(醫師週班表!$C$5:$T$44,$CU15,Q$57),"")=0,"",IF(LEN(IFERROR(INDEX(醫師週班表!$C$5:$T$44,$CU15,Q$57),""))=4,MID(IFERROR(INDEX(醫師週班表!$C$5:$T$44,$CU15,Q$57),""),1+Q$58*2,1),IF(LEN(IFERROR(INDEX(醫師週班表!$C$5:$T$44,$CU15,Q$57),""))=2,IF(AND(RIGHT(IFERROR(INDEX(醫師週班表!$C$5:$T$44,$CU15,Q$57),""),1)="~",Q$58=1),"",LEFT(IFERROR(INDEX(醫師週班表!$C$5:$T$44,$CU15,Q$57),""),1)),IFERROR(INDEX(醫師週班表!$C$5:$T$44,$CU15,Q$57),""))))))</f>
        <v/>
      </c>
      <c r="R15" s="68">
        <f>IF(R$59="X","",IF(R$59&lt;&gt;"",R$59,IF(IFERROR(INDEX(醫師週班表!$C$5:$T$44,$CU15,R$57),"")=0,"",IF(LEN(IFERROR(INDEX(醫師週班表!$C$5:$T$44,$CU15,R$57),""))=4,MID(IFERROR(INDEX(醫師週班表!$C$5:$T$44,$CU15,R$57),""),1+R$58*2,1),IF(LEN(IFERROR(INDEX(醫師週班表!$C$5:$T$44,$CU15,R$57),""))=2,IF(AND(RIGHT(IFERROR(INDEX(醫師週班表!$C$5:$T$44,$CU15,R$57),""),1)="~",R$58=1),"",LEFT(IFERROR(INDEX(醫師週班表!$C$5:$T$44,$CU15,R$57),""),1)),IFERROR(INDEX(醫師週班表!$C$5:$T$44,$CU15,R$57),""))))))</f>
        <v/>
      </c>
      <c r="S15" s="68">
        <f>IF(S$59="X","",IF(S$59&lt;&gt;"",S$59,IF(IFERROR(INDEX(醫師週班表!$C$5:$T$44,$CU15,S$57),"")=0,"",IF(LEN(IFERROR(INDEX(醫師週班表!$C$5:$T$44,$CU15,S$57),""))=4,MID(IFERROR(INDEX(醫師週班表!$C$5:$T$44,$CU15,S$57),""),1+S$58*2,1),IF(LEN(IFERROR(INDEX(醫師週班表!$C$5:$T$44,$CU15,S$57),""))=2,IF(AND(RIGHT(IFERROR(INDEX(醫師週班表!$C$5:$T$44,$CU15,S$57),""),1)="~",S$58=1),"",LEFT(IFERROR(INDEX(醫師週班表!$C$5:$T$44,$CU15,S$57),""),1)),IFERROR(INDEX(醫師週班表!$C$5:$T$44,$CU15,S$57),""))))))</f>
        <v/>
      </c>
      <c r="T15" s="67">
        <f>IF(T$59="X","",IF(T$59&lt;&gt;"",T$59,IF(IFERROR(INDEX(醫師週班表!$C$5:$T$44,$CU15,T$57),"")=0,"",IF(LEN(IFERROR(INDEX(醫師週班表!$C$5:$T$44,$CU15,T$57),""))=4,MID(IFERROR(INDEX(醫師週班表!$C$5:$T$44,$CU15,T$57),""),1+T$58*2,1),IF(LEN(IFERROR(INDEX(醫師週班表!$C$5:$T$44,$CU15,T$57),""))=2,IF(AND(RIGHT(IFERROR(INDEX(醫師週班表!$C$5:$T$44,$CU15,T$57),""),1)="~",T$58=1),"",LEFT(IFERROR(INDEX(醫師週班表!$C$5:$T$44,$CU15,T$57),""),1)),IFERROR(INDEX(醫師週班表!$C$5:$T$44,$CU15,T$57),""))))))</f>
        <v/>
      </c>
      <c r="U15" s="68">
        <f>IF(U$59="X","",IF(U$59&lt;&gt;"",U$59,IF(IFERROR(INDEX(醫師週班表!$C$5:$T$44,$CU15,U$57),"")=0,"",IF(LEN(IFERROR(INDEX(醫師週班表!$C$5:$T$44,$CU15,U$57),""))=4,MID(IFERROR(INDEX(醫師週班表!$C$5:$T$44,$CU15,U$57),""),1+U$58*2,1),IF(LEN(IFERROR(INDEX(醫師週班表!$C$5:$T$44,$CU15,U$57),""))=2,IF(AND(RIGHT(IFERROR(INDEX(醫師週班表!$C$5:$T$44,$CU15,U$57),""),1)="~",U$58=1),"",LEFT(IFERROR(INDEX(醫師週班表!$C$5:$T$44,$CU15,U$57),""),1)),IFERROR(INDEX(醫師週班表!$C$5:$T$44,$CU15,U$57),""))))))</f>
        <v/>
      </c>
      <c r="V15" s="68">
        <f>IF(V$59="X","",IF(V$59&lt;&gt;"",V$59,IF(IFERROR(INDEX(醫師週班表!$C$5:$T$44,$CU15,V$57),"")=0,"",IF(LEN(IFERROR(INDEX(醫師週班表!$C$5:$T$44,$CU15,V$57),""))=4,MID(IFERROR(INDEX(醫師週班表!$C$5:$T$44,$CU15,V$57),""),1+V$58*2,1),IF(LEN(IFERROR(INDEX(醫師週班表!$C$5:$T$44,$CU15,V$57),""))=2,IF(AND(RIGHT(IFERROR(INDEX(醫師週班表!$C$5:$T$44,$CU15,V$57),""),1)="~",V$58=1),"",LEFT(IFERROR(INDEX(醫師週班表!$C$5:$T$44,$CU15,V$57),""),1)),IFERROR(INDEX(醫師週班表!$C$5:$T$44,$CU15,V$57),""))))))</f>
        <v/>
      </c>
      <c r="W15" s="67">
        <f>IF(W$59="X","",IF(W$59&lt;&gt;"",W$59,IF(IFERROR(INDEX(醫師週班表!$C$5:$T$44,$CU15,W$57),"")=0,"",IF(LEN(IFERROR(INDEX(醫師週班表!$C$5:$T$44,$CU15,W$57),""))=4,MID(IFERROR(INDEX(醫師週班表!$C$5:$T$44,$CU15,W$57),""),1+W$58*2,1),IF(LEN(IFERROR(INDEX(醫師週班表!$C$5:$T$44,$CU15,W$57),""))=2,IF(AND(RIGHT(IFERROR(INDEX(醫師週班表!$C$5:$T$44,$CU15,W$57),""),1)="~",W$58=1),"",LEFT(IFERROR(INDEX(醫師週班表!$C$5:$T$44,$CU15,W$57),""),1)),IFERROR(INDEX(醫師週班表!$C$5:$T$44,$CU15,W$57),""))))))</f>
        <v/>
      </c>
      <c r="X15" s="68">
        <f>IF(X$59="X","",IF(X$59&lt;&gt;"",X$59,IF(IFERROR(INDEX(醫師週班表!$C$5:$T$44,$CU15,X$57),"")=0,"",IF(LEN(IFERROR(INDEX(醫師週班表!$C$5:$T$44,$CU15,X$57),""))=4,MID(IFERROR(INDEX(醫師週班表!$C$5:$T$44,$CU15,X$57),""),1+X$58*2,1),IF(LEN(IFERROR(INDEX(醫師週班表!$C$5:$T$44,$CU15,X$57),""))=2,IF(AND(RIGHT(IFERROR(INDEX(醫師週班表!$C$5:$T$44,$CU15,X$57),""),1)="~",X$58=1),"",LEFT(IFERROR(INDEX(醫師週班表!$C$5:$T$44,$CU15,X$57),""),1)),IFERROR(INDEX(醫師週班表!$C$5:$T$44,$CU15,X$57),""))))))</f>
        <v/>
      </c>
      <c r="Y15" s="68">
        <f>IF(Y$59="X","",IF(Y$59&lt;&gt;"",Y$59,IF(IFERROR(INDEX(醫師週班表!$C$5:$T$44,$CU15,Y$57),"")=0,"",IF(LEN(IFERROR(INDEX(醫師週班表!$C$5:$T$44,$CU15,Y$57),""))=4,MID(IFERROR(INDEX(醫師週班表!$C$5:$T$44,$CU15,Y$57),""),1+Y$58*2,1),IF(LEN(IFERROR(INDEX(醫師週班表!$C$5:$T$44,$CU15,Y$57),""))=2,IF(AND(RIGHT(IFERROR(INDEX(醫師週班表!$C$5:$T$44,$CU15,Y$57),""),1)="~",Y$58=1),"",LEFT(IFERROR(INDEX(醫師週班表!$C$5:$T$44,$CU15,Y$57),""),1)),IFERROR(INDEX(醫師週班表!$C$5:$T$44,$CU15,Y$57),""))))))</f>
        <v/>
      </c>
      <c r="Z15" s="67">
        <f>IF(Z$59="X","",IF(Z$59&lt;&gt;"",Z$59,IF(IFERROR(INDEX(醫師週班表!$C$5:$T$44,$CU15,Z$57),"")=0,"",IF(LEN(IFERROR(INDEX(醫師週班表!$C$5:$T$44,$CU15,Z$57),""))=4,MID(IFERROR(INDEX(醫師週班表!$C$5:$T$44,$CU15,Z$57),""),1+Z$58*2,1),IF(LEN(IFERROR(INDEX(醫師週班表!$C$5:$T$44,$CU15,Z$57),""))=2,IF(AND(RIGHT(IFERROR(INDEX(醫師週班表!$C$5:$T$44,$CU15,Z$57),""),1)="~",Z$58=1),"",LEFT(IFERROR(INDEX(醫師週班表!$C$5:$T$44,$CU15,Z$57),""),1)),IFERROR(INDEX(醫師週班表!$C$5:$T$44,$CU15,Z$57),""))))))</f>
        <v/>
      </c>
      <c r="AA15" s="68">
        <f>IF(AA$59="X","",IF(AA$59&lt;&gt;"",AA$59,IF(IFERROR(INDEX(醫師週班表!$C$5:$T$44,$CU15,AA$57),"")=0,"",IF(LEN(IFERROR(INDEX(醫師週班表!$C$5:$T$44,$CU15,AA$57),""))=4,MID(IFERROR(INDEX(醫師週班表!$C$5:$T$44,$CU15,AA$57),""),1+AA$58*2,1),IF(LEN(IFERROR(INDEX(醫師週班表!$C$5:$T$44,$CU15,AA$57),""))=2,IF(AND(RIGHT(IFERROR(INDEX(醫師週班表!$C$5:$T$44,$CU15,AA$57),""),1)="~",AA$58=1),"",LEFT(IFERROR(INDEX(醫師週班表!$C$5:$T$44,$CU15,AA$57),""),1)),IFERROR(INDEX(醫師週班表!$C$5:$T$44,$CU15,AA$57),""))))))</f>
        <v/>
      </c>
      <c r="AB15" s="68">
        <f>IF(AB$59="X","",IF(AB$59&lt;&gt;"",AB$59,IF(IFERROR(INDEX(醫師週班表!$C$5:$T$44,$CU15,AB$57),"")=0,"",IF(LEN(IFERROR(INDEX(醫師週班表!$C$5:$T$44,$CU15,AB$57),""))=4,MID(IFERROR(INDEX(醫師週班表!$C$5:$T$44,$CU15,AB$57),""),1+AB$58*2,1),IF(LEN(IFERROR(INDEX(醫師週班表!$C$5:$T$44,$CU15,AB$57),""))=2,IF(AND(RIGHT(IFERROR(INDEX(醫師週班表!$C$5:$T$44,$CU15,AB$57),""),1)="~",AB$58=1),"",LEFT(IFERROR(INDEX(醫師週班表!$C$5:$T$44,$CU15,AB$57),""),1)),IFERROR(INDEX(醫師週班表!$C$5:$T$44,$CU15,AB$57),""))))))</f>
        <v/>
      </c>
      <c r="AC15" s="67">
        <f>IF(AC$59="X","",IF(AC$59&lt;&gt;"",AC$59,IF(IFERROR(INDEX(醫師週班表!$C$5:$T$44,$CU15,AC$57),"")=0,"",IF(LEN(IFERROR(INDEX(醫師週班表!$C$5:$T$44,$CU15,AC$57),""))=4,MID(IFERROR(INDEX(醫師週班表!$C$5:$T$44,$CU15,AC$57),""),1+AC$58*2,1),IF(LEN(IFERROR(INDEX(醫師週班表!$C$5:$T$44,$CU15,AC$57),""))=2,IF(AND(RIGHT(IFERROR(INDEX(醫師週班表!$C$5:$T$44,$CU15,AC$57),""),1)="~",AC$58=1),"",LEFT(IFERROR(INDEX(醫師週班表!$C$5:$T$44,$CU15,AC$57),""),1)),IFERROR(INDEX(醫師週班表!$C$5:$T$44,$CU15,AC$57),""))))))</f>
        <v/>
      </c>
      <c r="AD15" s="68">
        <f>IF(AD$59="X","",IF(AD$59&lt;&gt;"",AD$59,IF(IFERROR(INDEX(醫師週班表!$C$5:$T$44,$CU15,AD$57),"")=0,"",IF(LEN(IFERROR(INDEX(醫師週班表!$C$5:$T$44,$CU15,AD$57),""))=4,MID(IFERROR(INDEX(醫師週班表!$C$5:$T$44,$CU15,AD$57),""),1+AD$58*2,1),IF(LEN(IFERROR(INDEX(醫師週班表!$C$5:$T$44,$CU15,AD$57),""))=2,IF(AND(RIGHT(IFERROR(INDEX(醫師週班表!$C$5:$T$44,$CU15,AD$57),""),1)="~",AD$58=1),"",LEFT(IFERROR(INDEX(醫師週班表!$C$5:$T$44,$CU15,AD$57),""),1)),IFERROR(INDEX(醫師週班表!$C$5:$T$44,$CU15,AD$57),""))))))</f>
        <v/>
      </c>
      <c r="AE15" s="68">
        <f>IF(AE$59="X","",IF(AE$59&lt;&gt;"",AE$59,IF(IFERROR(INDEX(醫師週班表!$C$5:$T$44,$CU15,AE$57),"")=0,"",IF(LEN(IFERROR(INDEX(醫師週班表!$C$5:$T$44,$CU15,AE$57),""))=4,MID(IFERROR(INDEX(醫師週班表!$C$5:$T$44,$CU15,AE$57),""),1+AE$58*2,1),IF(LEN(IFERROR(INDEX(醫師週班表!$C$5:$T$44,$CU15,AE$57),""))=2,IF(AND(RIGHT(IFERROR(INDEX(醫師週班表!$C$5:$T$44,$CU15,AE$57),""),1)="~",AE$58=1),"",LEFT(IFERROR(INDEX(醫師週班表!$C$5:$T$44,$CU15,AE$57),""),1)),IFERROR(INDEX(醫師週班表!$C$5:$T$44,$CU15,AE$57),""))))))</f>
        <v/>
      </c>
      <c r="AF15" s="67">
        <f>IF(AF$59="X","",IF(AF$59&lt;&gt;"",AF$59,IF(IFERROR(INDEX(醫師週班表!$C$5:$T$44,$CU15,AF$57),"")=0,"",IF(LEN(IFERROR(INDEX(醫師週班表!$C$5:$T$44,$CU15,AF$57),""))=4,MID(IFERROR(INDEX(醫師週班表!$C$5:$T$44,$CU15,AF$57),""),1+AF$58*2,1),IF(LEN(IFERROR(INDEX(醫師週班表!$C$5:$T$44,$CU15,AF$57),""))=2,IF(AND(RIGHT(IFERROR(INDEX(醫師週班表!$C$5:$T$44,$CU15,AF$57),""),1)="~",AF$58=1),"",LEFT(IFERROR(INDEX(醫師週班表!$C$5:$T$44,$CU15,AF$57),""),1)),IFERROR(INDEX(醫師週班表!$C$5:$T$44,$CU15,AF$57),""))))))</f>
        <v/>
      </c>
      <c r="AG15" s="68">
        <f>IF(AG$59="X","",IF(AG$59&lt;&gt;"",AG$59,IF(IFERROR(INDEX(醫師週班表!$C$5:$T$44,$CU15,AG$57),"")=0,"",IF(LEN(IFERROR(INDEX(醫師週班表!$C$5:$T$44,$CU15,AG$57),""))=4,MID(IFERROR(INDEX(醫師週班表!$C$5:$T$44,$CU15,AG$57),""),1+AG$58*2,1),IF(LEN(IFERROR(INDEX(醫師週班表!$C$5:$T$44,$CU15,AG$57),""))=2,IF(AND(RIGHT(IFERROR(INDEX(醫師週班表!$C$5:$T$44,$CU15,AG$57),""),1)="~",AG$58=1),"",LEFT(IFERROR(INDEX(醫師週班表!$C$5:$T$44,$CU15,AG$57),""),1)),IFERROR(INDEX(醫師週班表!$C$5:$T$44,$CU15,AG$57),""))))))</f>
        <v/>
      </c>
      <c r="AH15" s="68">
        <f>IF(AH$59="X","",IF(AH$59&lt;&gt;"",AH$59,IF(IFERROR(INDEX(醫師週班表!$C$5:$T$44,$CU15,AH$57),"")=0,"",IF(LEN(IFERROR(INDEX(醫師週班表!$C$5:$T$44,$CU15,AH$57),""))=4,MID(IFERROR(INDEX(醫師週班表!$C$5:$T$44,$CU15,AH$57),""),1+AH$58*2,1),IF(LEN(IFERROR(INDEX(醫師週班表!$C$5:$T$44,$CU15,AH$57),""))=2,IF(AND(RIGHT(IFERROR(INDEX(醫師週班表!$C$5:$T$44,$CU15,AH$57),""),1)="~",AH$58=1),"",LEFT(IFERROR(INDEX(醫師週班表!$C$5:$T$44,$CU15,AH$57),""),1)),IFERROR(INDEX(醫師週班表!$C$5:$T$44,$CU15,AH$57),""))))))</f>
        <v/>
      </c>
      <c r="AI15" s="67">
        <f>IF(AI$59="X","",IF(AI$59&lt;&gt;"",AI$59,IF(IFERROR(INDEX(醫師週班表!$C$5:$T$44,$CU15,AI$57),"")=0,"",IF(LEN(IFERROR(INDEX(醫師週班表!$C$5:$T$44,$CU15,AI$57),""))=4,MID(IFERROR(INDEX(醫師週班表!$C$5:$T$44,$CU15,AI$57),""),1+AI$58*2,1),IF(LEN(IFERROR(INDEX(醫師週班表!$C$5:$T$44,$CU15,AI$57),""))=2,IF(AND(RIGHT(IFERROR(INDEX(醫師週班表!$C$5:$T$44,$CU15,AI$57),""),1)="~",AI$58=1),"",LEFT(IFERROR(INDEX(醫師週班表!$C$5:$T$44,$CU15,AI$57),""),1)),IFERROR(INDEX(醫師週班表!$C$5:$T$44,$CU15,AI$57),""))))))</f>
        <v/>
      </c>
      <c r="AJ15" s="68">
        <f>IF(AJ$59="X","",IF(AJ$59&lt;&gt;"",AJ$59,IF(IFERROR(INDEX(醫師週班表!$C$5:$T$44,$CU15,AJ$57),"")=0,"",IF(LEN(IFERROR(INDEX(醫師週班表!$C$5:$T$44,$CU15,AJ$57),""))=4,MID(IFERROR(INDEX(醫師週班表!$C$5:$T$44,$CU15,AJ$57),""),1+AJ$58*2,1),IF(LEN(IFERROR(INDEX(醫師週班表!$C$5:$T$44,$CU15,AJ$57),""))=2,IF(AND(RIGHT(IFERROR(INDEX(醫師週班表!$C$5:$T$44,$CU15,AJ$57),""),1)="~",AJ$58=1),"",LEFT(IFERROR(INDEX(醫師週班表!$C$5:$T$44,$CU15,AJ$57),""),1)),IFERROR(INDEX(醫師週班表!$C$5:$T$44,$CU15,AJ$57),""))))))</f>
        <v/>
      </c>
      <c r="AK15" s="68">
        <f>IF(AK$59="X","",IF(AK$59&lt;&gt;"",AK$59,IF(IFERROR(INDEX(醫師週班表!$C$5:$T$44,$CU15,AK$57),"")=0,"",IF(LEN(IFERROR(INDEX(醫師週班表!$C$5:$T$44,$CU15,AK$57),""))=4,MID(IFERROR(INDEX(醫師週班表!$C$5:$T$44,$CU15,AK$57),""),1+AK$58*2,1),IF(LEN(IFERROR(INDEX(醫師週班表!$C$5:$T$44,$CU15,AK$57),""))=2,IF(AND(RIGHT(IFERROR(INDEX(醫師週班表!$C$5:$T$44,$CU15,AK$57),""),1)="~",AK$58=1),"",LEFT(IFERROR(INDEX(醫師週班表!$C$5:$T$44,$CU15,AK$57),""),1)),IFERROR(INDEX(醫師週班表!$C$5:$T$44,$CU15,AK$57),""))))))</f>
        <v/>
      </c>
      <c r="AL15" s="67">
        <f>IF(AL$59="X","",IF(AL$59&lt;&gt;"",AL$59,IF(IFERROR(INDEX(醫師週班表!$C$5:$T$44,$CU15,AL$57),"")=0,"",IF(LEN(IFERROR(INDEX(醫師週班表!$C$5:$T$44,$CU15,AL$57),""))=4,MID(IFERROR(INDEX(醫師週班表!$C$5:$T$44,$CU15,AL$57),""),1+AL$58*2,1),IF(LEN(IFERROR(INDEX(醫師週班表!$C$5:$T$44,$CU15,AL$57),""))=2,IF(AND(RIGHT(IFERROR(INDEX(醫師週班表!$C$5:$T$44,$CU15,AL$57),""),1)="~",AL$58=1),"",LEFT(IFERROR(INDEX(醫師週班表!$C$5:$T$44,$CU15,AL$57),""),1)),IFERROR(INDEX(醫師週班表!$C$5:$T$44,$CU15,AL$57),""))))))</f>
        <v/>
      </c>
      <c r="AM15" s="68">
        <f>IF(AM$59="X","",IF(AM$59&lt;&gt;"",AM$59,IF(IFERROR(INDEX(醫師週班表!$C$5:$T$44,$CU15,AM$57),"")=0,"",IF(LEN(IFERROR(INDEX(醫師週班表!$C$5:$T$44,$CU15,AM$57),""))=4,MID(IFERROR(INDEX(醫師週班表!$C$5:$T$44,$CU15,AM$57),""),1+AM$58*2,1),IF(LEN(IFERROR(INDEX(醫師週班表!$C$5:$T$44,$CU15,AM$57),""))=2,IF(AND(RIGHT(IFERROR(INDEX(醫師週班表!$C$5:$T$44,$CU15,AM$57),""),1)="~",AM$58=1),"",LEFT(IFERROR(INDEX(醫師週班表!$C$5:$T$44,$CU15,AM$57),""),1)),IFERROR(INDEX(醫師週班表!$C$5:$T$44,$CU15,AM$57),""))))))</f>
        <v/>
      </c>
      <c r="AN15" s="68">
        <f>IF(AN$59="X","",IF(AN$59&lt;&gt;"",AN$59,IF(IFERROR(INDEX(醫師週班表!$C$5:$T$44,$CU15,AN$57),"")=0,"",IF(LEN(IFERROR(INDEX(醫師週班表!$C$5:$T$44,$CU15,AN$57),""))=4,MID(IFERROR(INDEX(醫師週班表!$C$5:$T$44,$CU15,AN$57),""),1+AN$58*2,1),IF(LEN(IFERROR(INDEX(醫師週班表!$C$5:$T$44,$CU15,AN$57),""))=2,IF(AND(RIGHT(IFERROR(INDEX(醫師週班表!$C$5:$T$44,$CU15,AN$57),""),1)="~",AN$58=1),"",LEFT(IFERROR(INDEX(醫師週班表!$C$5:$T$44,$CU15,AN$57),""),1)),IFERROR(INDEX(醫師週班表!$C$5:$T$44,$CU15,AN$57),""))))))</f>
        <v/>
      </c>
      <c r="AO15" s="67">
        <f>IF(AO$59="X","",IF(AO$59&lt;&gt;"",AO$59,IF(IFERROR(INDEX(醫師週班表!$C$5:$T$44,$CU15,AO$57),"")=0,"",IF(LEN(IFERROR(INDEX(醫師週班表!$C$5:$T$44,$CU15,AO$57),""))=4,MID(IFERROR(INDEX(醫師週班表!$C$5:$T$44,$CU15,AO$57),""),1+AO$58*2,1),IF(LEN(IFERROR(INDEX(醫師週班表!$C$5:$T$44,$CU15,AO$57),""))=2,IF(AND(RIGHT(IFERROR(INDEX(醫師週班表!$C$5:$T$44,$CU15,AO$57),""),1)="~",AO$58=1),"",LEFT(IFERROR(INDEX(醫師週班表!$C$5:$T$44,$CU15,AO$57),""),1)),IFERROR(INDEX(醫師週班表!$C$5:$T$44,$CU15,AO$57),""))))))</f>
        <v/>
      </c>
      <c r="AP15" s="68">
        <f>IF(AP$59="X","",IF(AP$59&lt;&gt;"",AP$59,IF(IFERROR(INDEX(醫師週班表!$C$5:$T$44,$CU15,AP$57),"")=0,"",IF(LEN(IFERROR(INDEX(醫師週班表!$C$5:$T$44,$CU15,AP$57),""))=4,MID(IFERROR(INDEX(醫師週班表!$C$5:$T$44,$CU15,AP$57),""),1+AP$58*2,1),IF(LEN(IFERROR(INDEX(醫師週班表!$C$5:$T$44,$CU15,AP$57),""))=2,IF(AND(RIGHT(IFERROR(INDEX(醫師週班表!$C$5:$T$44,$CU15,AP$57),""),1)="~",AP$58=1),"",LEFT(IFERROR(INDEX(醫師週班表!$C$5:$T$44,$CU15,AP$57),""),1)),IFERROR(INDEX(醫師週班表!$C$5:$T$44,$CU15,AP$57),""))))))</f>
        <v/>
      </c>
      <c r="AQ15" s="68">
        <f>IF(AQ$59="X","",IF(AQ$59&lt;&gt;"",AQ$59,IF(IFERROR(INDEX(醫師週班表!$C$5:$T$44,$CU15,AQ$57),"")=0,"",IF(LEN(IFERROR(INDEX(醫師週班表!$C$5:$T$44,$CU15,AQ$57),""))=4,MID(IFERROR(INDEX(醫師週班表!$C$5:$T$44,$CU15,AQ$57),""),1+AQ$58*2,1),IF(LEN(IFERROR(INDEX(醫師週班表!$C$5:$T$44,$CU15,AQ$57),""))=2,IF(AND(RIGHT(IFERROR(INDEX(醫師週班表!$C$5:$T$44,$CU15,AQ$57),""),1)="~",AQ$58=1),"",LEFT(IFERROR(INDEX(醫師週班表!$C$5:$T$44,$CU15,AQ$57),""),1)),IFERROR(INDEX(醫師週班表!$C$5:$T$44,$CU15,AQ$57),""))))))</f>
        <v/>
      </c>
      <c r="AR15" s="67">
        <f>IF(AR$59="X","",IF(AR$59&lt;&gt;"",AR$59,IF(IFERROR(INDEX(醫師週班表!$C$5:$T$44,$CU15,AR$57),"")=0,"",IF(LEN(IFERROR(INDEX(醫師週班表!$C$5:$T$44,$CU15,AR$57),""))=4,MID(IFERROR(INDEX(醫師週班表!$C$5:$T$44,$CU15,AR$57),""),1+AR$58*2,1),IF(LEN(IFERROR(INDEX(醫師週班表!$C$5:$T$44,$CU15,AR$57),""))=2,IF(AND(RIGHT(IFERROR(INDEX(醫師週班表!$C$5:$T$44,$CU15,AR$57),""),1)="~",AR$58=1),"",LEFT(IFERROR(INDEX(醫師週班表!$C$5:$T$44,$CU15,AR$57),""),1)),IFERROR(INDEX(醫師週班表!$C$5:$T$44,$CU15,AR$57),""))))))</f>
        <v/>
      </c>
      <c r="AS15" s="68">
        <f>IF(AS$59="X","",IF(AS$59&lt;&gt;"",AS$59,IF(IFERROR(INDEX(醫師週班表!$C$5:$T$44,$CU15,AS$57),"")=0,"",IF(LEN(IFERROR(INDEX(醫師週班表!$C$5:$T$44,$CU15,AS$57),""))=4,MID(IFERROR(INDEX(醫師週班表!$C$5:$T$44,$CU15,AS$57),""),1+AS$58*2,1),IF(LEN(IFERROR(INDEX(醫師週班表!$C$5:$T$44,$CU15,AS$57),""))=2,IF(AND(RIGHT(IFERROR(INDEX(醫師週班表!$C$5:$T$44,$CU15,AS$57),""),1)="~",AS$58=1),"",LEFT(IFERROR(INDEX(醫師週班表!$C$5:$T$44,$CU15,AS$57),""),1)),IFERROR(INDEX(醫師週班表!$C$5:$T$44,$CU15,AS$57),""))))))</f>
        <v/>
      </c>
      <c r="AT15" s="68">
        <f>IF(AT$59="X","",IF(AT$59&lt;&gt;"",AT$59,IF(IFERROR(INDEX(醫師週班表!$C$5:$T$44,$CU15,AT$57),"")=0,"",IF(LEN(IFERROR(INDEX(醫師週班表!$C$5:$T$44,$CU15,AT$57),""))=4,MID(IFERROR(INDEX(醫師週班表!$C$5:$T$44,$CU15,AT$57),""),1+AT$58*2,1),IF(LEN(IFERROR(INDEX(醫師週班表!$C$5:$T$44,$CU15,AT$57),""))=2,IF(AND(RIGHT(IFERROR(INDEX(醫師週班表!$C$5:$T$44,$CU15,AT$57),""),1)="~",AT$58=1),"",LEFT(IFERROR(INDEX(醫師週班表!$C$5:$T$44,$CU15,AT$57),""),1)),IFERROR(INDEX(醫師週班表!$C$5:$T$44,$CU15,AT$57),""))))))</f>
        <v/>
      </c>
      <c r="AU15" s="67">
        <f>IF(AU$59="X","",IF(AU$59&lt;&gt;"",AU$59,IF(IFERROR(INDEX(醫師週班表!$C$5:$T$44,$CU15,AU$57),"")=0,"",IF(LEN(IFERROR(INDEX(醫師週班表!$C$5:$T$44,$CU15,AU$57),""))=4,MID(IFERROR(INDEX(醫師週班表!$C$5:$T$44,$CU15,AU$57),""),1+AU$58*2,1),IF(LEN(IFERROR(INDEX(醫師週班表!$C$5:$T$44,$CU15,AU$57),""))=2,IF(AND(RIGHT(IFERROR(INDEX(醫師週班表!$C$5:$T$44,$CU15,AU$57),""),1)="~",AU$58=1),"",LEFT(IFERROR(INDEX(醫師週班表!$C$5:$T$44,$CU15,AU$57),""),1)),IFERROR(INDEX(醫師週班表!$C$5:$T$44,$CU15,AU$57),""))))))</f>
        <v/>
      </c>
      <c r="AV15" s="68">
        <f>IF(AV$59="X","",IF(AV$59&lt;&gt;"",AV$59,IF(IFERROR(INDEX(醫師週班表!$C$5:$T$44,$CU15,AV$57),"")=0,"",IF(LEN(IFERROR(INDEX(醫師週班表!$C$5:$T$44,$CU15,AV$57),""))=4,MID(IFERROR(INDEX(醫師週班表!$C$5:$T$44,$CU15,AV$57),""),1+AV$58*2,1),IF(LEN(IFERROR(INDEX(醫師週班表!$C$5:$T$44,$CU15,AV$57),""))=2,IF(AND(RIGHT(IFERROR(INDEX(醫師週班表!$C$5:$T$44,$CU15,AV$57),""),1)="~",AV$58=1),"",LEFT(IFERROR(INDEX(醫師週班表!$C$5:$T$44,$CU15,AV$57),""),1)),IFERROR(INDEX(醫師週班表!$C$5:$T$44,$CU15,AV$57),""))))))</f>
        <v/>
      </c>
      <c r="AW15" s="68">
        <f>IF(AW$59="X","",IF(AW$59&lt;&gt;"",AW$59,IF(IFERROR(INDEX(醫師週班表!$C$5:$T$44,$CU15,AW$57),"")=0,"",IF(LEN(IFERROR(INDEX(醫師週班表!$C$5:$T$44,$CU15,AW$57),""))=4,MID(IFERROR(INDEX(醫師週班表!$C$5:$T$44,$CU15,AW$57),""),1+AW$58*2,1),IF(LEN(IFERROR(INDEX(醫師週班表!$C$5:$T$44,$CU15,AW$57),""))=2,IF(AND(RIGHT(IFERROR(INDEX(醫師週班表!$C$5:$T$44,$CU15,AW$57),""),1)="~",AW$58=1),"",LEFT(IFERROR(INDEX(醫師週班表!$C$5:$T$44,$CU15,AW$57),""),1)),IFERROR(INDEX(醫師週班表!$C$5:$T$44,$CU15,AW$57),""))))))</f>
        <v/>
      </c>
      <c r="AX15" s="67">
        <f>IF(AX$59="X","",IF(AX$59&lt;&gt;"",AX$59,IF(IFERROR(INDEX(醫師週班表!$C$5:$T$44,$CU15,AX$57),"")=0,"",IF(LEN(IFERROR(INDEX(醫師週班表!$C$5:$T$44,$CU15,AX$57),""))=4,MID(IFERROR(INDEX(醫師週班表!$C$5:$T$44,$CU15,AX$57),""),1+AX$58*2,1),IF(LEN(IFERROR(INDEX(醫師週班表!$C$5:$T$44,$CU15,AX$57),""))=2,IF(AND(RIGHT(IFERROR(INDEX(醫師週班表!$C$5:$T$44,$CU15,AX$57),""),1)="~",AX$58=1),"",LEFT(IFERROR(INDEX(醫師週班表!$C$5:$T$44,$CU15,AX$57),""),1)),IFERROR(INDEX(醫師週班表!$C$5:$T$44,$CU15,AX$57),""))))))</f>
        <v/>
      </c>
      <c r="AY15" s="68">
        <f>IF(AY$59="X","",IF(AY$59&lt;&gt;"",AY$59,IF(IFERROR(INDEX(醫師週班表!$C$5:$T$44,$CU15,AY$57),"")=0,"",IF(LEN(IFERROR(INDEX(醫師週班表!$C$5:$T$44,$CU15,AY$57),""))=4,MID(IFERROR(INDEX(醫師週班表!$C$5:$T$44,$CU15,AY$57),""),1+AY$58*2,1),IF(LEN(IFERROR(INDEX(醫師週班表!$C$5:$T$44,$CU15,AY$57),""))=2,IF(AND(RIGHT(IFERROR(INDEX(醫師週班表!$C$5:$T$44,$CU15,AY$57),""),1)="~",AY$58=1),"",LEFT(IFERROR(INDEX(醫師週班表!$C$5:$T$44,$CU15,AY$57),""),1)),IFERROR(INDEX(醫師週班表!$C$5:$T$44,$CU15,AY$57),""))))))</f>
        <v/>
      </c>
      <c r="AZ15" s="68">
        <f>IF(AZ$59="X","",IF(AZ$59&lt;&gt;"",AZ$59,IF(IFERROR(INDEX(醫師週班表!$C$5:$T$44,$CU15,AZ$57),"")=0,"",IF(LEN(IFERROR(INDEX(醫師週班表!$C$5:$T$44,$CU15,AZ$57),""))=4,MID(IFERROR(INDEX(醫師週班表!$C$5:$T$44,$CU15,AZ$57),""),1+AZ$58*2,1),IF(LEN(IFERROR(INDEX(醫師週班表!$C$5:$T$44,$CU15,AZ$57),""))=2,IF(AND(RIGHT(IFERROR(INDEX(醫師週班表!$C$5:$T$44,$CU15,AZ$57),""),1)="~",AZ$58=1),"",LEFT(IFERROR(INDEX(醫師週班表!$C$5:$T$44,$CU15,AZ$57),""),1)),IFERROR(INDEX(醫師週班表!$C$5:$T$44,$CU15,AZ$57),""))))))</f>
        <v/>
      </c>
      <c r="BA15" s="67">
        <f>IF(BA$59="X","",IF(BA$59&lt;&gt;"",BA$59,IF(IFERROR(INDEX(醫師週班表!$C$5:$T$44,$CU15,BA$57),"")=0,"",IF(LEN(IFERROR(INDEX(醫師週班表!$C$5:$T$44,$CU15,BA$57),""))=4,MID(IFERROR(INDEX(醫師週班表!$C$5:$T$44,$CU15,BA$57),""),1+BA$58*2,1),IF(LEN(IFERROR(INDEX(醫師週班表!$C$5:$T$44,$CU15,BA$57),""))=2,IF(AND(RIGHT(IFERROR(INDEX(醫師週班表!$C$5:$T$44,$CU15,BA$57),""),1)="~",BA$58=1),"",LEFT(IFERROR(INDEX(醫師週班表!$C$5:$T$44,$CU15,BA$57),""),1)),IFERROR(INDEX(醫師週班表!$C$5:$T$44,$CU15,BA$57),""))))))</f>
        <v/>
      </c>
      <c r="BB15" s="68">
        <f>IF(BB$59="X","",IF(BB$59&lt;&gt;"",BB$59,IF(IFERROR(INDEX(醫師週班表!$C$5:$T$44,$CU15,BB$57),"")=0,"",IF(LEN(IFERROR(INDEX(醫師週班表!$C$5:$T$44,$CU15,BB$57),""))=4,MID(IFERROR(INDEX(醫師週班表!$C$5:$T$44,$CU15,BB$57),""),1+BB$58*2,1),IF(LEN(IFERROR(INDEX(醫師週班表!$C$5:$T$44,$CU15,BB$57),""))=2,IF(AND(RIGHT(IFERROR(INDEX(醫師週班表!$C$5:$T$44,$CU15,BB$57),""),1)="~",BB$58=1),"",LEFT(IFERROR(INDEX(醫師週班表!$C$5:$T$44,$CU15,BB$57),""),1)),IFERROR(INDEX(醫師週班表!$C$5:$T$44,$CU15,BB$57),""))))))</f>
        <v/>
      </c>
      <c r="BC15" s="68">
        <f>IF(BC$59="X","",IF(BC$59&lt;&gt;"",BC$59,IF(IFERROR(INDEX(醫師週班表!$C$5:$T$44,$CU15,BC$57),"")=0,"",IF(LEN(IFERROR(INDEX(醫師週班表!$C$5:$T$44,$CU15,BC$57),""))=4,MID(IFERROR(INDEX(醫師週班表!$C$5:$T$44,$CU15,BC$57),""),1+BC$58*2,1),IF(LEN(IFERROR(INDEX(醫師週班表!$C$5:$T$44,$CU15,BC$57),""))=2,IF(AND(RIGHT(IFERROR(INDEX(醫師週班表!$C$5:$T$44,$CU15,BC$57),""),1)="~",BC$58=1),"",LEFT(IFERROR(INDEX(醫師週班表!$C$5:$T$44,$CU15,BC$57),""),1)),IFERROR(INDEX(醫師週班表!$C$5:$T$44,$CU15,BC$57),""))))))</f>
        <v/>
      </c>
      <c r="BD15" s="67">
        <f>IF(BD$59="X","",IF(BD$59&lt;&gt;"",BD$59,IF(IFERROR(INDEX(醫師週班表!$C$5:$T$44,$CU15,BD$57),"")=0,"",IF(LEN(IFERROR(INDEX(醫師週班表!$C$5:$T$44,$CU15,BD$57),""))=4,MID(IFERROR(INDEX(醫師週班表!$C$5:$T$44,$CU15,BD$57),""),1+BD$58*2,1),IF(LEN(IFERROR(INDEX(醫師週班表!$C$5:$T$44,$CU15,BD$57),""))=2,IF(AND(RIGHT(IFERROR(INDEX(醫師週班表!$C$5:$T$44,$CU15,BD$57),""),1)="~",BD$58=1),"",LEFT(IFERROR(INDEX(醫師週班表!$C$5:$T$44,$CU15,BD$57),""),1)),IFERROR(INDEX(醫師週班表!$C$5:$T$44,$CU15,BD$57),""))))))</f>
        <v/>
      </c>
      <c r="BE15" s="68">
        <f>IF(BE$59="X","",IF(BE$59&lt;&gt;"",BE$59,IF(IFERROR(INDEX(醫師週班表!$C$5:$T$44,$CU15,BE$57),"")=0,"",IF(LEN(IFERROR(INDEX(醫師週班表!$C$5:$T$44,$CU15,BE$57),""))=4,MID(IFERROR(INDEX(醫師週班表!$C$5:$T$44,$CU15,BE$57),""),1+BE$58*2,1),IF(LEN(IFERROR(INDEX(醫師週班表!$C$5:$T$44,$CU15,BE$57),""))=2,IF(AND(RIGHT(IFERROR(INDEX(醫師週班表!$C$5:$T$44,$CU15,BE$57),""),1)="~",BE$58=1),"",LEFT(IFERROR(INDEX(醫師週班表!$C$5:$T$44,$CU15,BE$57),""),1)),IFERROR(INDEX(醫師週班表!$C$5:$T$44,$CU15,BE$57),""))))))</f>
        <v/>
      </c>
      <c r="BF15" s="68">
        <f>IF(BF$59="X","",IF(BF$59&lt;&gt;"",BF$59,IF(IFERROR(INDEX(醫師週班表!$C$5:$T$44,$CU15,BF$57),"")=0,"",IF(LEN(IFERROR(INDEX(醫師週班表!$C$5:$T$44,$CU15,BF$57),""))=4,MID(IFERROR(INDEX(醫師週班表!$C$5:$T$44,$CU15,BF$57),""),1+BF$58*2,1),IF(LEN(IFERROR(INDEX(醫師週班表!$C$5:$T$44,$CU15,BF$57),""))=2,IF(AND(RIGHT(IFERROR(INDEX(醫師週班表!$C$5:$T$44,$CU15,BF$57),""),1)="~",BF$58=1),"",LEFT(IFERROR(INDEX(醫師週班表!$C$5:$T$44,$CU15,BF$57),""),1)),IFERROR(INDEX(醫師週班表!$C$5:$T$44,$CU15,BF$57),""))))))</f>
        <v/>
      </c>
      <c r="BG15" s="67">
        <f>IF(BG$59="X","",IF(BG$59&lt;&gt;"",BG$59,IF(IFERROR(INDEX(醫師週班表!$C$5:$T$44,$CU15,BG$57),"")=0,"",IF(LEN(IFERROR(INDEX(醫師週班表!$C$5:$T$44,$CU15,BG$57),""))=4,MID(IFERROR(INDEX(醫師週班表!$C$5:$T$44,$CU15,BG$57),""),1+BG$58*2,1),IF(LEN(IFERROR(INDEX(醫師週班表!$C$5:$T$44,$CU15,BG$57),""))=2,IF(AND(RIGHT(IFERROR(INDEX(醫師週班表!$C$5:$T$44,$CU15,BG$57),""),1)="~",BG$58=1),"",LEFT(IFERROR(INDEX(醫師週班表!$C$5:$T$44,$CU15,BG$57),""),1)),IFERROR(INDEX(醫師週班表!$C$5:$T$44,$CU15,BG$57),""))))))</f>
        <v/>
      </c>
      <c r="BH15" s="68">
        <f>IF(BH$59="X","",IF(BH$59&lt;&gt;"",BH$59,IF(IFERROR(INDEX(醫師週班表!$C$5:$T$44,$CU15,BH$57),"")=0,"",IF(LEN(IFERROR(INDEX(醫師週班表!$C$5:$T$44,$CU15,BH$57),""))=4,MID(IFERROR(INDEX(醫師週班表!$C$5:$T$44,$CU15,BH$57),""),1+BH$58*2,1),IF(LEN(IFERROR(INDEX(醫師週班表!$C$5:$T$44,$CU15,BH$57),""))=2,IF(AND(RIGHT(IFERROR(INDEX(醫師週班表!$C$5:$T$44,$CU15,BH$57),""),1)="~",BH$58=1),"",LEFT(IFERROR(INDEX(醫師週班表!$C$5:$T$44,$CU15,BH$57),""),1)),IFERROR(INDEX(醫師週班表!$C$5:$T$44,$CU15,BH$57),""))))))</f>
        <v/>
      </c>
      <c r="BI15" s="68">
        <f>IF(BI$59="X","",IF(BI$59&lt;&gt;"",BI$59,IF(IFERROR(INDEX(醫師週班表!$C$5:$T$44,$CU15,BI$57),"")=0,"",IF(LEN(IFERROR(INDEX(醫師週班表!$C$5:$T$44,$CU15,BI$57),""))=4,MID(IFERROR(INDEX(醫師週班表!$C$5:$T$44,$CU15,BI$57),""),1+BI$58*2,1),IF(LEN(IFERROR(INDEX(醫師週班表!$C$5:$T$44,$CU15,BI$57),""))=2,IF(AND(RIGHT(IFERROR(INDEX(醫師週班表!$C$5:$T$44,$CU15,BI$57),""),1)="~",BI$58=1),"",LEFT(IFERROR(INDEX(醫師週班表!$C$5:$T$44,$CU15,BI$57),""),1)),IFERROR(INDEX(醫師週班表!$C$5:$T$44,$CU15,BI$57),""))))))</f>
        <v/>
      </c>
      <c r="BJ15" s="67">
        <f>IF(BJ$59="X","",IF(BJ$59&lt;&gt;"",BJ$59,IF(IFERROR(INDEX(醫師週班表!$C$5:$T$44,$CU15,BJ$57),"")=0,"",IF(LEN(IFERROR(INDEX(醫師週班表!$C$5:$T$44,$CU15,BJ$57),""))=4,MID(IFERROR(INDEX(醫師週班表!$C$5:$T$44,$CU15,BJ$57),""),1+BJ$58*2,1),IF(LEN(IFERROR(INDEX(醫師週班表!$C$5:$T$44,$CU15,BJ$57),""))=2,IF(AND(RIGHT(IFERROR(INDEX(醫師週班表!$C$5:$T$44,$CU15,BJ$57),""),1)="~",BJ$58=1),"",LEFT(IFERROR(INDEX(醫師週班表!$C$5:$T$44,$CU15,BJ$57),""),1)),IFERROR(INDEX(醫師週班表!$C$5:$T$44,$CU15,BJ$57),""))))))</f>
        <v/>
      </c>
      <c r="BK15" s="68">
        <f>IF(BK$59="X","",IF(BK$59&lt;&gt;"",BK$59,IF(IFERROR(INDEX(醫師週班表!$C$5:$T$44,$CU15,BK$57),"")=0,"",IF(LEN(IFERROR(INDEX(醫師週班表!$C$5:$T$44,$CU15,BK$57),""))=4,MID(IFERROR(INDEX(醫師週班表!$C$5:$T$44,$CU15,BK$57),""),1+BK$58*2,1),IF(LEN(IFERROR(INDEX(醫師週班表!$C$5:$T$44,$CU15,BK$57),""))=2,IF(AND(RIGHT(IFERROR(INDEX(醫師週班表!$C$5:$T$44,$CU15,BK$57),""),1)="~",BK$58=1),"",LEFT(IFERROR(INDEX(醫師週班表!$C$5:$T$44,$CU15,BK$57),""),1)),IFERROR(INDEX(醫師週班表!$C$5:$T$44,$CU15,BK$57),""))))))</f>
        <v/>
      </c>
      <c r="BL15" s="68">
        <f>IF(BL$59="X","",IF(BL$59&lt;&gt;"",BL$59,IF(IFERROR(INDEX(醫師週班表!$C$5:$T$44,$CU15,BL$57),"")=0,"",IF(LEN(IFERROR(INDEX(醫師週班表!$C$5:$T$44,$CU15,BL$57),""))=4,MID(IFERROR(INDEX(醫師週班表!$C$5:$T$44,$CU15,BL$57),""),1+BL$58*2,1),IF(LEN(IFERROR(INDEX(醫師週班表!$C$5:$T$44,$CU15,BL$57),""))=2,IF(AND(RIGHT(IFERROR(INDEX(醫師週班表!$C$5:$T$44,$CU15,BL$57),""),1)="~",BL$58=1),"",LEFT(IFERROR(INDEX(醫師週班表!$C$5:$T$44,$CU15,BL$57),""),1)),IFERROR(INDEX(醫師週班表!$C$5:$T$44,$CU15,BL$57),""))))))</f>
        <v/>
      </c>
      <c r="BM15" s="67">
        <f>IF(BM$59="X","",IF(BM$59&lt;&gt;"",BM$59,IF(IFERROR(INDEX(醫師週班表!$C$5:$T$44,$CU15,BM$57),"")=0,"",IF(LEN(IFERROR(INDEX(醫師週班表!$C$5:$T$44,$CU15,BM$57),""))=4,MID(IFERROR(INDEX(醫師週班表!$C$5:$T$44,$CU15,BM$57),""),1+BM$58*2,1),IF(LEN(IFERROR(INDEX(醫師週班表!$C$5:$T$44,$CU15,BM$57),""))=2,IF(AND(RIGHT(IFERROR(INDEX(醫師週班表!$C$5:$T$44,$CU15,BM$57),""),1)="~",BM$58=1),"",LEFT(IFERROR(INDEX(醫師週班表!$C$5:$T$44,$CU15,BM$57),""),1)),IFERROR(INDEX(醫師週班表!$C$5:$T$44,$CU15,BM$57),""))))))</f>
        <v/>
      </c>
      <c r="BN15" s="68">
        <f>IF(BN$59="X","",IF(BN$59&lt;&gt;"",BN$59,IF(IFERROR(INDEX(醫師週班表!$C$5:$T$44,$CU15,BN$57),"")=0,"",IF(LEN(IFERROR(INDEX(醫師週班表!$C$5:$T$44,$CU15,BN$57),""))=4,MID(IFERROR(INDEX(醫師週班表!$C$5:$T$44,$CU15,BN$57),""),1+BN$58*2,1),IF(LEN(IFERROR(INDEX(醫師週班表!$C$5:$T$44,$CU15,BN$57),""))=2,IF(AND(RIGHT(IFERROR(INDEX(醫師週班表!$C$5:$T$44,$CU15,BN$57),""),1)="~",BN$58=1),"",LEFT(IFERROR(INDEX(醫師週班表!$C$5:$T$44,$CU15,BN$57),""),1)),IFERROR(INDEX(醫師週班表!$C$5:$T$44,$CU15,BN$57),""))))))</f>
        <v/>
      </c>
      <c r="BO15" s="68">
        <f>IF(BO$59="X","",IF(BO$59&lt;&gt;"",BO$59,IF(IFERROR(INDEX(醫師週班表!$C$5:$T$44,$CU15,BO$57),"")=0,"",IF(LEN(IFERROR(INDEX(醫師週班表!$C$5:$T$44,$CU15,BO$57),""))=4,MID(IFERROR(INDEX(醫師週班表!$C$5:$T$44,$CU15,BO$57),""),1+BO$58*2,1),IF(LEN(IFERROR(INDEX(醫師週班表!$C$5:$T$44,$CU15,BO$57),""))=2,IF(AND(RIGHT(IFERROR(INDEX(醫師週班表!$C$5:$T$44,$CU15,BO$57),""),1)="~",BO$58=1),"",LEFT(IFERROR(INDEX(醫師週班表!$C$5:$T$44,$CU15,BO$57),""),1)),IFERROR(INDEX(醫師週班表!$C$5:$T$44,$CU15,BO$57),""))))))</f>
        <v/>
      </c>
      <c r="BP15" s="67">
        <f>IF(BP$59="X","",IF(BP$59&lt;&gt;"",BP$59,IF(IFERROR(INDEX(醫師週班表!$C$5:$T$44,$CU15,BP$57),"")=0,"",IF(LEN(IFERROR(INDEX(醫師週班表!$C$5:$T$44,$CU15,BP$57),""))=4,MID(IFERROR(INDEX(醫師週班表!$C$5:$T$44,$CU15,BP$57),""),1+BP$58*2,1),IF(LEN(IFERROR(INDEX(醫師週班表!$C$5:$T$44,$CU15,BP$57),""))=2,IF(AND(RIGHT(IFERROR(INDEX(醫師週班表!$C$5:$T$44,$CU15,BP$57),""),1)="~",BP$58=1),"",LEFT(IFERROR(INDEX(醫師週班表!$C$5:$T$44,$CU15,BP$57),""),1)),IFERROR(INDEX(醫師週班表!$C$5:$T$44,$CU15,BP$57),""))))))</f>
        <v/>
      </c>
      <c r="BQ15" s="68">
        <f>IF(BQ$59="X","",IF(BQ$59&lt;&gt;"",BQ$59,IF(IFERROR(INDEX(醫師週班表!$C$5:$T$44,$CU15,BQ$57),"")=0,"",IF(LEN(IFERROR(INDEX(醫師週班表!$C$5:$T$44,$CU15,BQ$57),""))=4,MID(IFERROR(INDEX(醫師週班表!$C$5:$T$44,$CU15,BQ$57),""),1+BQ$58*2,1),IF(LEN(IFERROR(INDEX(醫師週班表!$C$5:$T$44,$CU15,BQ$57),""))=2,IF(AND(RIGHT(IFERROR(INDEX(醫師週班表!$C$5:$T$44,$CU15,BQ$57),""),1)="~",BQ$58=1),"",LEFT(IFERROR(INDEX(醫師週班表!$C$5:$T$44,$CU15,BQ$57),""),1)),IFERROR(INDEX(醫師週班表!$C$5:$T$44,$CU15,BQ$57),""))))))</f>
        <v/>
      </c>
      <c r="BR15" s="68">
        <f>IF(BR$59="X","",IF(BR$59&lt;&gt;"",BR$59,IF(IFERROR(INDEX(醫師週班表!$C$5:$T$44,$CU15,BR$57),"")=0,"",IF(LEN(IFERROR(INDEX(醫師週班表!$C$5:$T$44,$CU15,BR$57),""))=4,MID(IFERROR(INDEX(醫師週班表!$C$5:$T$44,$CU15,BR$57),""),1+BR$58*2,1),IF(LEN(IFERROR(INDEX(醫師週班表!$C$5:$T$44,$CU15,BR$57),""))=2,IF(AND(RIGHT(IFERROR(INDEX(醫師週班表!$C$5:$T$44,$CU15,BR$57),""),1)="~",BR$58=1),"",LEFT(IFERROR(INDEX(醫師週班表!$C$5:$T$44,$CU15,BR$57),""),1)),IFERROR(INDEX(醫師週班表!$C$5:$T$44,$CU15,BR$57),""))))))</f>
        <v/>
      </c>
      <c r="BS15" s="67">
        <f>IF(BS$59="X","",IF(BS$59&lt;&gt;"",BS$59,IF(IFERROR(INDEX(醫師週班表!$C$5:$T$44,$CU15,BS$57),"")=0,"",IF(LEN(IFERROR(INDEX(醫師週班表!$C$5:$T$44,$CU15,BS$57),""))=4,MID(IFERROR(INDEX(醫師週班表!$C$5:$T$44,$CU15,BS$57),""),1+BS$58*2,1),IF(LEN(IFERROR(INDEX(醫師週班表!$C$5:$T$44,$CU15,BS$57),""))=2,IF(AND(RIGHT(IFERROR(INDEX(醫師週班表!$C$5:$T$44,$CU15,BS$57),""),1)="~",BS$58=1),"",LEFT(IFERROR(INDEX(醫師週班表!$C$5:$T$44,$CU15,BS$57),""),1)),IFERROR(INDEX(醫師週班表!$C$5:$T$44,$CU15,BS$57),""))))))</f>
        <v/>
      </c>
      <c r="BT15" s="68">
        <f>IF(BT$59="X","",IF(BT$59&lt;&gt;"",BT$59,IF(IFERROR(INDEX(醫師週班表!$C$5:$T$44,$CU15,BT$57),"")=0,"",IF(LEN(IFERROR(INDEX(醫師週班表!$C$5:$T$44,$CU15,BT$57),""))=4,MID(IFERROR(INDEX(醫師週班表!$C$5:$T$44,$CU15,BT$57),""),1+BT$58*2,1),IF(LEN(IFERROR(INDEX(醫師週班表!$C$5:$T$44,$CU15,BT$57),""))=2,IF(AND(RIGHT(IFERROR(INDEX(醫師週班表!$C$5:$T$44,$CU15,BT$57),""),1)="~",BT$58=1),"",LEFT(IFERROR(INDEX(醫師週班表!$C$5:$T$44,$CU15,BT$57),""),1)),IFERROR(INDEX(醫師週班表!$C$5:$T$44,$CU15,BT$57),""))))))</f>
        <v/>
      </c>
      <c r="BU15" s="68">
        <f>IF(BU$59="X","",IF(BU$59&lt;&gt;"",BU$59,IF(IFERROR(INDEX(醫師週班表!$C$5:$T$44,$CU15,BU$57),"")=0,"",IF(LEN(IFERROR(INDEX(醫師週班表!$C$5:$T$44,$CU15,BU$57),""))=4,MID(IFERROR(INDEX(醫師週班表!$C$5:$T$44,$CU15,BU$57),""),1+BU$58*2,1),IF(LEN(IFERROR(INDEX(醫師週班表!$C$5:$T$44,$CU15,BU$57),""))=2,IF(AND(RIGHT(IFERROR(INDEX(醫師週班表!$C$5:$T$44,$CU15,BU$57),""),1)="~",BU$58=1),"",LEFT(IFERROR(INDEX(醫師週班表!$C$5:$T$44,$CU15,BU$57),""),1)),IFERROR(INDEX(醫師週班表!$C$5:$T$44,$CU15,BU$57),""))))))</f>
        <v/>
      </c>
      <c r="BV15" s="67">
        <f>IF(BV$59="X","",IF(BV$59&lt;&gt;"",BV$59,IF(IFERROR(INDEX(醫師週班表!$C$5:$T$44,$CU15,BV$57),"")=0,"",IF(LEN(IFERROR(INDEX(醫師週班表!$C$5:$T$44,$CU15,BV$57),""))=4,MID(IFERROR(INDEX(醫師週班表!$C$5:$T$44,$CU15,BV$57),""),1+BV$58*2,1),IF(LEN(IFERROR(INDEX(醫師週班表!$C$5:$T$44,$CU15,BV$57),""))=2,IF(AND(RIGHT(IFERROR(INDEX(醫師週班表!$C$5:$T$44,$CU15,BV$57),""),1)="~",BV$58=1),"",LEFT(IFERROR(INDEX(醫師週班表!$C$5:$T$44,$CU15,BV$57),""),1)),IFERROR(INDEX(醫師週班表!$C$5:$T$44,$CU15,BV$57),""))))))</f>
        <v/>
      </c>
      <c r="BW15" s="68">
        <f>IF(BW$59="X","",IF(BW$59&lt;&gt;"",BW$59,IF(IFERROR(INDEX(醫師週班表!$C$5:$T$44,$CU15,BW$57),"")=0,"",IF(LEN(IFERROR(INDEX(醫師週班表!$C$5:$T$44,$CU15,BW$57),""))=4,MID(IFERROR(INDEX(醫師週班表!$C$5:$T$44,$CU15,BW$57),""),1+BW$58*2,1),IF(LEN(IFERROR(INDEX(醫師週班表!$C$5:$T$44,$CU15,BW$57),""))=2,IF(AND(RIGHT(IFERROR(INDEX(醫師週班表!$C$5:$T$44,$CU15,BW$57),""),1)="~",BW$58=1),"",LEFT(IFERROR(INDEX(醫師週班表!$C$5:$T$44,$CU15,BW$57),""),1)),IFERROR(INDEX(醫師週班表!$C$5:$T$44,$CU15,BW$57),""))))))</f>
        <v/>
      </c>
      <c r="BX15" s="68">
        <f>IF(BX$59="X","",IF(BX$59&lt;&gt;"",BX$59,IF(IFERROR(INDEX(醫師週班表!$C$5:$T$44,$CU15,BX$57),"")=0,"",IF(LEN(IFERROR(INDEX(醫師週班表!$C$5:$T$44,$CU15,BX$57),""))=4,MID(IFERROR(INDEX(醫師週班表!$C$5:$T$44,$CU15,BX$57),""),1+BX$58*2,1),IF(LEN(IFERROR(INDEX(醫師週班表!$C$5:$T$44,$CU15,BX$57),""))=2,IF(AND(RIGHT(IFERROR(INDEX(醫師週班表!$C$5:$T$44,$CU15,BX$57),""),1)="~",BX$58=1),"",LEFT(IFERROR(INDEX(醫師週班表!$C$5:$T$44,$CU15,BX$57),""),1)),IFERROR(INDEX(醫師週班表!$C$5:$T$44,$CU15,BX$57),""))))))</f>
        <v/>
      </c>
      <c r="BY15" s="67">
        <f>IF(BY$59="X","",IF(BY$59&lt;&gt;"",BY$59,IF(IFERROR(INDEX(醫師週班表!$C$5:$T$44,$CU15,BY$57),"")=0,"",IF(LEN(IFERROR(INDEX(醫師週班表!$C$5:$T$44,$CU15,BY$57),""))=4,MID(IFERROR(INDEX(醫師週班表!$C$5:$T$44,$CU15,BY$57),""),1+BY$58*2,1),IF(LEN(IFERROR(INDEX(醫師週班表!$C$5:$T$44,$CU15,BY$57),""))=2,IF(AND(RIGHT(IFERROR(INDEX(醫師週班表!$C$5:$T$44,$CU15,BY$57),""),1)="~",BY$58=1),"",LEFT(IFERROR(INDEX(醫師週班表!$C$5:$T$44,$CU15,BY$57),""),1)),IFERROR(INDEX(醫師週班表!$C$5:$T$44,$CU15,BY$57),""))))))</f>
        <v/>
      </c>
      <c r="BZ15" s="68">
        <f>IF(BZ$59="X","",IF(BZ$59&lt;&gt;"",BZ$59,IF(IFERROR(INDEX(醫師週班表!$C$5:$T$44,$CU15,BZ$57),"")=0,"",IF(LEN(IFERROR(INDEX(醫師週班表!$C$5:$T$44,$CU15,BZ$57),""))=4,MID(IFERROR(INDEX(醫師週班表!$C$5:$T$44,$CU15,BZ$57),""),1+BZ$58*2,1),IF(LEN(IFERROR(INDEX(醫師週班表!$C$5:$T$44,$CU15,BZ$57),""))=2,IF(AND(RIGHT(IFERROR(INDEX(醫師週班表!$C$5:$T$44,$CU15,BZ$57),""),1)="~",BZ$58=1),"",LEFT(IFERROR(INDEX(醫師週班表!$C$5:$T$44,$CU15,BZ$57),""),1)),IFERROR(INDEX(醫師週班表!$C$5:$T$44,$CU15,BZ$57),""))))))</f>
        <v/>
      </c>
      <c r="CA15" s="68">
        <f>IF(CA$59="X","",IF(CA$59&lt;&gt;"",CA$59,IF(IFERROR(INDEX(醫師週班表!$C$5:$T$44,$CU15,CA$57),"")=0,"",IF(LEN(IFERROR(INDEX(醫師週班表!$C$5:$T$44,$CU15,CA$57),""))=4,MID(IFERROR(INDEX(醫師週班表!$C$5:$T$44,$CU15,CA$57),""),1+CA$58*2,1),IF(LEN(IFERROR(INDEX(醫師週班表!$C$5:$T$44,$CU15,CA$57),""))=2,IF(AND(RIGHT(IFERROR(INDEX(醫師週班表!$C$5:$T$44,$CU15,CA$57),""),1)="~",CA$58=1),"",LEFT(IFERROR(INDEX(醫師週班表!$C$5:$T$44,$CU15,CA$57),""),1)),IFERROR(INDEX(醫師週班表!$C$5:$T$44,$CU15,CA$57),""))))))</f>
        <v/>
      </c>
      <c r="CB15" s="67">
        <f>IF(CB$59="X","",IF(CB$59&lt;&gt;"",CB$59,IF(IFERROR(INDEX(醫師週班表!$C$5:$T$44,$CU15,CB$57),"")=0,"",IF(LEN(IFERROR(INDEX(醫師週班表!$C$5:$T$44,$CU15,CB$57),""))=4,MID(IFERROR(INDEX(醫師週班表!$C$5:$T$44,$CU15,CB$57),""),1+CB$58*2,1),IF(LEN(IFERROR(INDEX(醫師週班表!$C$5:$T$44,$CU15,CB$57),""))=2,IF(AND(RIGHT(IFERROR(INDEX(醫師週班表!$C$5:$T$44,$CU15,CB$57),""),1)="~",CB$58=1),"",LEFT(IFERROR(INDEX(醫師週班表!$C$5:$T$44,$CU15,CB$57),""),1)),IFERROR(INDEX(醫師週班表!$C$5:$T$44,$CU15,CB$57),""))))))</f>
        <v/>
      </c>
      <c r="CC15" s="68">
        <f>IF(CC$59="X","",IF(CC$59&lt;&gt;"",CC$59,IF(IFERROR(INDEX(醫師週班表!$C$5:$T$44,$CU15,CC$57),"")=0,"",IF(LEN(IFERROR(INDEX(醫師週班表!$C$5:$T$44,$CU15,CC$57),""))=4,MID(IFERROR(INDEX(醫師週班表!$C$5:$T$44,$CU15,CC$57),""),1+CC$58*2,1),IF(LEN(IFERROR(INDEX(醫師週班表!$C$5:$T$44,$CU15,CC$57),""))=2,IF(AND(RIGHT(IFERROR(INDEX(醫師週班表!$C$5:$T$44,$CU15,CC$57),""),1)="~",CC$58=1),"",LEFT(IFERROR(INDEX(醫師週班表!$C$5:$T$44,$CU15,CC$57),""),1)),IFERROR(INDEX(醫師週班表!$C$5:$T$44,$CU15,CC$57),""))))))</f>
        <v/>
      </c>
      <c r="CD15" s="68">
        <f>IF(CD$59="X","",IF(CD$59&lt;&gt;"",CD$59,IF(IFERROR(INDEX(醫師週班表!$C$5:$T$44,$CU15,CD$57),"")=0,"",IF(LEN(IFERROR(INDEX(醫師週班表!$C$5:$T$44,$CU15,CD$57),""))=4,MID(IFERROR(INDEX(醫師週班表!$C$5:$T$44,$CU15,CD$57),""),1+CD$58*2,1),IF(LEN(IFERROR(INDEX(醫師週班表!$C$5:$T$44,$CU15,CD$57),""))=2,IF(AND(RIGHT(IFERROR(INDEX(醫師週班表!$C$5:$T$44,$CU15,CD$57),""),1)="~",CD$58=1),"",LEFT(IFERROR(INDEX(醫師週班表!$C$5:$T$44,$CU15,CD$57),""),1)),IFERROR(INDEX(醫師週班表!$C$5:$T$44,$CU15,CD$57),""))))))</f>
        <v/>
      </c>
      <c r="CE15" s="67">
        <f>IF(CE$59="X","",IF(CE$59&lt;&gt;"",CE$59,IF(IFERROR(INDEX(醫師週班表!$C$5:$T$44,$CU15,CE$57),"")=0,"",IF(LEN(IFERROR(INDEX(醫師週班表!$C$5:$T$44,$CU15,CE$57),""))=4,MID(IFERROR(INDEX(醫師週班表!$C$5:$T$44,$CU15,CE$57),""),1+CE$58*2,1),IF(LEN(IFERROR(INDEX(醫師週班表!$C$5:$T$44,$CU15,CE$57),""))=2,IF(AND(RIGHT(IFERROR(INDEX(醫師週班表!$C$5:$T$44,$CU15,CE$57),""),1)="~",CE$58=1),"",LEFT(IFERROR(INDEX(醫師週班表!$C$5:$T$44,$CU15,CE$57),""),1)),IFERROR(INDEX(醫師週班表!$C$5:$T$44,$CU15,CE$57),""))))))</f>
        <v/>
      </c>
      <c r="CF15" s="68">
        <f>IF(CF$59="X","",IF(CF$59&lt;&gt;"",CF$59,IF(IFERROR(INDEX(醫師週班表!$C$5:$T$44,$CU15,CF$57),"")=0,"",IF(LEN(IFERROR(INDEX(醫師週班表!$C$5:$T$44,$CU15,CF$57),""))=4,MID(IFERROR(INDEX(醫師週班表!$C$5:$T$44,$CU15,CF$57),""),1+CF$58*2,1),IF(LEN(IFERROR(INDEX(醫師週班表!$C$5:$T$44,$CU15,CF$57),""))=2,IF(AND(RIGHT(IFERROR(INDEX(醫師週班表!$C$5:$T$44,$CU15,CF$57),""),1)="~",CF$58=1),"",LEFT(IFERROR(INDEX(醫師週班表!$C$5:$T$44,$CU15,CF$57),""),1)),IFERROR(INDEX(醫師週班表!$C$5:$T$44,$CU15,CF$57),""))))))</f>
        <v/>
      </c>
      <c r="CG15" s="68">
        <f>IF(CG$59="X","",IF(CG$59&lt;&gt;"",CG$59,IF(IFERROR(INDEX(醫師週班表!$C$5:$T$44,$CU15,CG$57),"")=0,"",IF(LEN(IFERROR(INDEX(醫師週班表!$C$5:$T$44,$CU15,CG$57),""))=4,MID(IFERROR(INDEX(醫師週班表!$C$5:$T$44,$CU15,CG$57),""),1+CG$58*2,1),IF(LEN(IFERROR(INDEX(醫師週班表!$C$5:$T$44,$CU15,CG$57),""))=2,IF(AND(RIGHT(IFERROR(INDEX(醫師週班表!$C$5:$T$44,$CU15,CG$57),""),1)="~",CG$58=1),"",LEFT(IFERROR(INDEX(醫師週班表!$C$5:$T$44,$CU15,CG$57),""),1)),IFERROR(INDEX(醫師週班表!$C$5:$T$44,$CU15,CG$57),""))))))</f>
        <v/>
      </c>
      <c r="CH15" s="67">
        <f>IF(CH$59="X","",IF(CH$59&lt;&gt;"",CH$59,IF(IFERROR(INDEX(醫師週班表!$C$5:$T$44,$CU15,CH$57),"")=0,"",IF(LEN(IFERROR(INDEX(醫師週班表!$C$5:$T$44,$CU15,CH$57),""))=4,MID(IFERROR(INDEX(醫師週班表!$C$5:$T$44,$CU15,CH$57),""),1+CH$58*2,1),IF(LEN(IFERROR(INDEX(醫師週班表!$C$5:$T$44,$CU15,CH$57),""))=2,IF(AND(RIGHT(IFERROR(INDEX(醫師週班表!$C$5:$T$44,$CU15,CH$57),""),1)="~",CH$58=1),"",LEFT(IFERROR(INDEX(醫師週班表!$C$5:$T$44,$CU15,CH$57),""),1)),IFERROR(INDEX(醫師週班表!$C$5:$T$44,$CU15,CH$57),""))))))</f>
        <v/>
      </c>
      <c r="CI15" s="68">
        <f>IF(CI$59="X","",IF(CI$59&lt;&gt;"",CI$59,IF(IFERROR(INDEX(醫師週班表!$C$5:$T$44,$CU15,CI$57),"")=0,"",IF(LEN(IFERROR(INDEX(醫師週班表!$C$5:$T$44,$CU15,CI$57),""))=4,MID(IFERROR(INDEX(醫師週班表!$C$5:$T$44,$CU15,CI$57),""),1+CI$58*2,1),IF(LEN(IFERROR(INDEX(醫師週班表!$C$5:$T$44,$CU15,CI$57),""))=2,IF(AND(RIGHT(IFERROR(INDEX(醫師週班表!$C$5:$T$44,$CU15,CI$57),""),1)="~",CI$58=1),"",LEFT(IFERROR(INDEX(醫師週班表!$C$5:$T$44,$CU15,CI$57),""),1)),IFERROR(INDEX(醫師週班表!$C$5:$T$44,$CU15,CI$57),""))))))</f>
        <v/>
      </c>
      <c r="CJ15" s="68">
        <f>IF(CJ$59="X","",IF(CJ$59&lt;&gt;"",CJ$59,IF(IFERROR(INDEX(醫師週班表!$C$5:$T$44,$CU15,CJ$57),"")=0,"",IF(LEN(IFERROR(INDEX(醫師週班表!$C$5:$T$44,$CU15,CJ$57),""))=4,MID(IFERROR(INDEX(醫師週班表!$C$5:$T$44,$CU15,CJ$57),""),1+CJ$58*2,1),IF(LEN(IFERROR(INDEX(醫師週班表!$C$5:$T$44,$CU15,CJ$57),""))=2,IF(AND(RIGHT(IFERROR(INDEX(醫師週班表!$C$5:$T$44,$CU15,CJ$57),""),1)="~",CJ$58=1),"",LEFT(IFERROR(INDEX(醫師週班表!$C$5:$T$44,$CU15,CJ$57),""),1)),IFERROR(INDEX(醫師週班表!$C$5:$T$44,$CU15,CJ$57),""))))))</f>
        <v/>
      </c>
      <c r="CK15" s="67">
        <f>IF(CK$59="X","",IF(CK$59&lt;&gt;"",CK$59,IF(IFERROR(INDEX(醫師週班表!$C$5:$T$44,$CU15,CK$57),"")=0,"",IF(LEN(IFERROR(INDEX(醫師週班表!$C$5:$T$44,$CU15,CK$57),""))=4,MID(IFERROR(INDEX(醫師週班表!$C$5:$T$44,$CU15,CK$57),""),1+CK$58*2,1),IF(LEN(IFERROR(INDEX(醫師週班表!$C$5:$T$44,$CU15,CK$57),""))=2,IF(AND(RIGHT(IFERROR(INDEX(醫師週班表!$C$5:$T$44,$CU15,CK$57),""),1)="~",CK$58=1),"",LEFT(IFERROR(INDEX(醫師週班表!$C$5:$T$44,$CU15,CK$57),""),1)),IFERROR(INDEX(醫師週班表!$C$5:$T$44,$CU15,CK$57),""))))))</f>
        <v/>
      </c>
      <c r="CL15" s="68">
        <f>IF(CL$59="X","",IF(CL$59&lt;&gt;"",CL$59,IF(IFERROR(INDEX(醫師週班表!$C$5:$T$44,$CU15,CL$57),"")=0,"",IF(LEN(IFERROR(INDEX(醫師週班表!$C$5:$T$44,$CU15,CL$57),""))=4,MID(IFERROR(INDEX(醫師週班表!$C$5:$T$44,$CU15,CL$57),""),1+CL$58*2,1),IF(LEN(IFERROR(INDEX(醫師週班表!$C$5:$T$44,$CU15,CL$57),""))=2,IF(AND(RIGHT(IFERROR(INDEX(醫師週班表!$C$5:$T$44,$CU15,CL$57),""),1)="~",CL$58=1),"",LEFT(IFERROR(INDEX(醫師週班表!$C$5:$T$44,$CU15,CL$57),""),1)),IFERROR(INDEX(醫師週班表!$C$5:$T$44,$CU15,CL$57),""))))))</f>
        <v/>
      </c>
      <c r="CM15" s="68">
        <f>IF(CM$59="X","",IF(CM$59&lt;&gt;"",CM$59,IF(IFERROR(INDEX(醫師週班表!$C$5:$T$44,$CU15,CM$57),"")=0,"",IF(LEN(IFERROR(INDEX(醫師週班表!$C$5:$T$44,$CU15,CM$57),""))=4,MID(IFERROR(INDEX(醫師週班表!$C$5:$T$44,$CU15,CM$57),""),1+CM$58*2,1),IF(LEN(IFERROR(INDEX(醫師週班表!$C$5:$T$44,$CU15,CM$57),""))=2,IF(AND(RIGHT(IFERROR(INDEX(醫師週班表!$C$5:$T$44,$CU15,CM$57),""),1)="~",CM$58=1),"",LEFT(IFERROR(INDEX(醫師週班表!$C$5:$T$44,$CU15,CM$57),""),1)),IFERROR(INDEX(醫師週班表!$C$5:$T$44,$CU15,CM$57),""))))))</f>
        <v/>
      </c>
      <c r="CN15" s="67">
        <f>IF(CN$59="X","",IF(CN$59&lt;&gt;"",CN$59,IF(IFERROR(INDEX(醫師週班表!$C$5:$T$44,$CU15,CN$57),"")=0,"",IF(LEN(IFERROR(INDEX(醫師週班表!$C$5:$T$44,$CU15,CN$57),""))=4,MID(IFERROR(INDEX(醫師週班表!$C$5:$T$44,$CU15,CN$57),""),1+CN$58*2,1),IF(LEN(IFERROR(INDEX(醫師週班表!$C$5:$T$44,$CU15,CN$57),""))=2,IF(AND(RIGHT(IFERROR(INDEX(醫師週班表!$C$5:$T$44,$CU15,CN$57),""),1)="~",CN$58=1),"",LEFT(IFERROR(INDEX(醫師週班表!$C$5:$T$44,$CU15,CN$57),""),1)),IFERROR(INDEX(醫師週班表!$C$5:$T$44,$CU15,CN$57),""))))))</f>
        <v/>
      </c>
      <c r="CO15" s="68">
        <f>IF(CO$59="X","",IF(CO$59&lt;&gt;"",CO$59,IF(IFERROR(INDEX(醫師週班表!$C$5:$T$44,$CU15,CO$57),"")=0,"",IF(LEN(IFERROR(INDEX(醫師週班表!$C$5:$T$44,$CU15,CO$57),""))=4,MID(IFERROR(INDEX(醫師週班表!$C$5:$T$44,$CU15,CO$57),""),1+CO$58*2,1),IF(LEN(IFERROR(INDEX(醫師週班表!$C$5:$T$44,$CU15,CO$57),""))=2,IF(AND(RIGHT(IFERROR(INDEX(醫師週班表!$C$5:$T$44,$CU15,CO$57),""),1)="~",CO$58=1),"",LEFT(IFERROR(INDEX(醫師週班表!$C$5:$T$44,$CU15,CO$57),""),1)),IFERROR(INDEX(醫師週班表!$C$5:$T$44,$CU15,CO$57),""))))))</f>
        <v/>
      </c>
      <c r="CP15" s="68">
        <f>IF(CP$59="X","",IF(CP$59&lt;&gt;"",CP$59,IF(IFERROR(INDEX(醫師週班表!$C$5:$T$44,$CU15,CP$57),"")=0,"",IF(LEN(IFERROR(INDEX(醫師週班表!$C$5:$T$44,$CU15,CP$57),""))=4,MID(IFERROR(INDEX(醫師週班表!$C$5:$T$44,$CU15,CP$57),""),1+CP$58*2,1),IF(LEN(IFERROR(INDEX(醫師週班表!$C$5:$T$44,$CU15,CP$57),""))=2,IF(AND(RIGHT(IFERROR(INDEX(醫師週班表!$C$5:$T$44,$CU15,CP$57),""),1)="~",CP$58=1),"",LEFT(IFERROR(INDEX(醫師週班表!$C$5:$T$44,$CU15,CP$57),""),1)),IFERROR(INDEX(醫師週班表!$C$5:$T$44,$CU15,CP$57),""))))))</f>
        <v/>
      </c>
      <c r="CQ15" s="67">
        <f>IF(CQ$59="X","",IF(CQ$59&lt;&gt;"",CQ$59,IF(IFERROR(INDEX(醫師週班表!$C$5:$T$44,$CU15,CQ$57),"")=0,"",IF(LEN(IFERROR(INDEX(醫師週班表!$C$5:$T$44,$CU15,CQ$57),""))=4,MID(IFERROR(INDEX(醫師週班表!$C$5:$T$44,$CU15,CQ$57),""),1+CQ$58*2,1),IF(LEN(IFERROR(INDEX(醫師週班表!$C$5:$T$44,$CU15,CQ$57),""))=2,IF(AND(RIGHT(IFERROR(INDEX(醫師週班表!$C$5:$T$44,$CU15,CQ$57),""),1)="~",CQ$58=1),"",LEFT(IFERROR(INDEX(醫師週班表!$C$5:$T$44,$CU15,CQ$57),""),1)),IFERROR(INDEX(醫師週班表!$C$5:$T$44,$CU15,CQ$57),""))))))</f>
        <v/>
      </c>
      <c r="CR15" s="68">
        <f>IF(CR$59="X","",IF(CR$59&lt;&gt;"",CR$59,IF(IFERROR(INDEX(醫師週班表!$C$5:$T$44,$CU15,CR$57),"")=0,"",IF(LEN(IFERROR(INDEX(醫師週班表!$C$5:$T$44,$CU15,CR$57),""))=4,MID(IFERROR(INDEX(醫師週班表!$C$5:$T$44,$CU15,CR$57),""),1+CR$58*2,1),IF(LEN(IFERROR(INDEX(醫師週班表!$C$5:$T$44,$CU15,CR$57),""))=2,IF(AND(RIGHT(IFERROR(INDEX(醫師週班表!$C$5:$T$44,$CU15,CR$57),""),1)="~",CR$58=1),"",LEFT(IFERROR(INDEX(醫師週班表!$C$5:$T$44,$CU15,CR$57),""),1)),IFERROR(INDEX(醫師週班表!$C$5:$T$44,$CU15,CR$57),""))))))</f>
        <v/>
      </c>
      <c r="CS15" s="68">
        <f>IF(CS$59="X","",IF(CS$59&lt;&gt;"",CS$59,IF(IFERROR(INDEX(醫師週班表!$C$5:$T$44,$CU15,CS$57),"")=0,"",IF(LEN(IFERROR(INDEX(醫師週班表!$C$5:$T$44,$CU15,CS$57),""))=4,MID(IFERROR(INDEX(醫師週班表!$C$5:$T$44,$CU15,CS$57),""),1+CS$58*2,1),IF(LEN(IFERROR(INDEX(醫師週班表!$C$5:$T$44,$CU15,CS$57),""))=2,IF(AND(RIGHT(IFERROR(INDEX(醫師週班表!$C$5:$T$44,$CU15,CS$57),""),1)="~",CS$58=1),"",LEFT(IFERROR(INDEX(醫師週班表!$C$5:$T$44,$CU15,CS$57),""),1)),IFERROR(INDEX(醫師週班表!$C$5:$T$44,$CU15,CS$57),""))))))</f>
        <v/>
      </c>
      <c r="CU15" s="69">
        <f>IFERROR(MATCH($A15,醫師週班表!$A$5:$A$44,0),0)</f>
        <v/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IFERROR(INDEX(醫師週班表!$C$5:$T$44,$CU16,E$57),"")=0,"",IF(LEN(IFERROR(INDEX(醫師週班表!$C$5:$T$44,$CU16,E$57),""))=4,MID(IFERROR(INDEX(醫師週班表!$C$5:$T$44,$CU16,E$57),""),1+E$58*2,1),IF(LEN(IFERROR(INDEX(醫師週班表!$C$5:$T$44,$CU16,E$57),""))=2,IF(AND(RIGHT(IFERROR(INDEX(醫師週班表!$C$5:$T$44,$CU16,E$57),""),1)="~",E$58=1),"",LEFT(IFERROR(INDEX(醫師週班表!$C$5:$T$44,$CU16,E$57),""),1)),IFERROR(INDEX(醫師週班表!$C$5:$T$44,$CU16,E$57),""))))))</f>
        <v/>
      </c>
      <c r="F16" s="68">
        <f>IF(F$59="X","",IF(F$59&lt;&gt;"",F$59,IF(IFERROR(INDEX(醫師週班表!$C$5:$T$44,$CU16,F$57),"")=0,"",IF(LEN(IFERROR(INDEX(醫師週班表!$C$5:$T$44,$CU16,F$57),""))=4,MID(IFERROR(INDEX(醫師週班表!$C$5:$T$44,$CU16,F$57),""),1+F$58*2,1),IF(LEN(IFERROR(INDEX(醫師週班表!$C$5:$T$44,$CU16,F$57),""))=2,IF(AND(RIGHT(IFERROR(INDEX(醫師週班表!$C$5:$T$44,$CU16,F$57),""),1)="~",F$58=1),"",LEFT(IFERROR(INDEX(醫師週班表!$C$5:$T$44,$CU16,F$57),""),1)),IFERROR(INDEX(醫師週班表!$C$5:$T$44,$CU16,F$57),""))))))</f>
        <v/>
      </c>
      <c r="G16" s="68">
        <f>IF(G$59="X","",IF(G$59&lt;&gt;"",G$59,IF(IFERROR(INDEX(醫師週班表!$C$5:$T$44,$CU16,G$57),"")=0,"",IF(LEN(IFERROR(INDEX(醫師週班表!$C$5:$T$44,$CU16,G$57),""))=4,MID(IFERROR(INDEX(醫師週班表!$C$5:$T$44,$CU16,G$57),""),1+G$58*2,1),IF(LEN(IFERROR(INDEX(醫師週班表!$C$5:$T$44,$CU16,G$57),""))=2,IF(AND(RIGHT(IFERROR(INDEX(醫師週班表!$C$5:$T$44,$CU16,G$57),""),1)="~",G$58=1),"",LEFT(IFERROR(INDEX(醫師週班表!$C$5:$T$44,$CU16,G$57),""),1)),IFERROR(INDEX(醫師週班表!$C$5:$T$44,$CU16,G$57),""))))))</f>
        <v/>
      </c>
      <c r="H16" s="67">
        <f>IF(H$59="X","",IF(H$59&lt;&gt;"",H$59,IF(IFERROR(INDEX(醫師週班表!$C$5:$T$44,$CU16,H$57),"")=0,"",IF(LEN(IFERROR(INDEX(醫師週班表!$C$5:$T$44,$CU16,H$57),""))=4,MID(IFERROR(INDEX(醫師週班表!$C$5:$T$44,$CU16,H$57),""),1+H$58*2,1),IF(LEN(IFERROR(INDEX(醫師週班表!$C$5:$T$44,$CU16,H$57),""))=2,IF(AND(RIGHT(IFERROR(INDEX(醫師週班表!$C$5:$T$44,$CU16,H$57),""),1)="~",H$58=1),"",LEFT(IFERROR(INDEX(醫師週班表!$C$5:$T$44,$CU16,H$57),""),1)),IFERROR(INDEX(醫師週班表!$C$5:$T$44,$CU16,H$57),""))))))</f>
        <v/>
      </c>
      <c r="I16" s="68">
        <f>IF(I$59="X","",IF(I$59&lt;&gt;"",I$59,IF(IFERROR(INDEX(醫師週班表!$C$5:$T$44,$CU16,I$57),"")=0,"",IF(LEN(IFERROR(INDEX(醫師週班表!$C$5:$T$44,$CU16,I$57),""))=4,MID(IFERROR(INDEX(醫師週班表!$C$5:$T$44,$CU16,I$57),""),1+I$58*2,1),IF(LEN(IFERROR(INDEX(醫師週班表!$C$5:$T$44,$CU16,I$57),""))=2,IF(AND(RIGHT(IFERROR(INDEX(醫師週班表!$C$5:$T$44,$CU16,I$57),""),1)="~",I$58=1),"",LEFT(IFERROR(INDEX(醫師週班表!$C$5:$T$44,$CU16,I$57),""),1)),IFERROR(INDEX(醫師週班表!$C$5:$T$44,$CU16,I$57),""))))))</f>
        <v/>
      </c>
      <c r="J16" s="68">
        <f>IF(J$59="X","",IF(J$59&lt;&gt;"",J$59,IF(IFERROR(INDEX(醫師週班表!$C$5:$T$44,$CU16,J$57),"")=0,"",IF(LEN(IFERROR(INDEX(醫師週班表!$C$5:$T$44,$CU16,J$57),""))=4,MID(IFERROR(INDEX(醫師週班表!$C$5:$T$44,$CU16,J$57),""),1+J$58*2,1),IF(LEN(IFERROR(INDEX(醫師週班表!$C$5:$T$44,$CU16,J$57),""))=2,IF(AND(RIGHT(IFERROR(INDEX(醫師週班表!$C$5:$T$44,$CU16,J$57),""),1)="~",J$58=1),"",LEFT(IFERROR(INDEX(醫師週班表!$C$5:$T$44,$CU16,J$57),""),1)),IFERROR(INDEX(醫師週班表!$C$5:$T$44,$CU16,J$57),""))))))</f>
        <v/>
      </c>
      <c r="K16" s="67">
        <f>IF(K$59="X","",IF(K$59&lt;&gt;"",K$59,IF(IFERROR(INDEX(醫師週班表!$C$5:$T$44,$CU16,K$57),"")=0,"",IF(LEN(IFERROR(INDEX(醫師週班表!$C$5:$T$44,$CU16,K$57),""))=4,MID(IFERROR(INDEX(醫師週班表!$C$5:$T$44,$CU16,K$57),""),1+K$58*2,1),IF(LEN(IFERROR(INDEX(醫師週班表!$C$5:$T$44,$CU16,K$57),""))=2,IF(AND(RIGHT(IFERROR(INDEX(醫師週班表!$C$5:$T$44,$CU16,K$57),""),1)="~",K$58=1),"",LEFT(IFERROR(INDEX(醫師週班表!$C$5:$T$44,$CU16,K$57),""),1)),IFERROR(INDEX(醫師週班表!$C$5:$T$44,$CU16,K$57),""))))))</f>
        <v/>
      </c>
      <c r="L16" s="68">
        <f>IF(L$59="X","",IF(L$59&lt;&gt;"",L$59,IF(IFERROR(INDEX(醫師週班表!$C$5:$T$44,$CU16,L$57),"")=0,"",IF(LEN(IFERROR(INDEX(醫師週班表!$C$5:$T$44,$CU16,L$57),""))=4,MID(IFERROR(INDEX(醫師週班表!$C$5:$T$44,$CU16,L$57),""),1+L$58*2,1),IF(LEN(IFERROR(INDEX(醫師週班表!$C$5:$T$44,$CU16,L$57),""))=2,IF(AND(RIGHT(IFERROR(INDEX(醫師週班表!$C$5:$T$44,$CU16,L$57),""),1)="~",L$58=1),"",LEFT(IFERROR(INDEX(醫師週班表!$C$5:$T$44,$CU16,L$57),""),1)),IFERROR(INDEX(醫師週班表!$C$5:$T$44,$CU16,L$57),""))))))</f>
        <v/>
      </c>
      <c r="M16" s="68">
        <f>IF(M$59="X","",IF(M$59&lt;&gt;"",M$59,IF(IFERROR(INDEX(醫師週班表!$C$5:$T$44,$CU16,M$57),"")=0,"",IF(LEN(IFERROR(INDEX(醫師週班表!$C$5:$T$44,$CU16,M$57),""))=4,MID(IFERROR(INDEX(醫師週班表!$C$5:$T$44,$CU16,M$57),""),1+M$58*2,1),IF(LEN(IFERROR(INDEX(醫師週班表!$C$5:$T$44,$CU16,M$57),""))=2,IF(AND(RIGHT(IFERROR(INDEX(醫師週班表!$C$5:$T$44,$CU16,M$57),""),1)="~",M$58=1),"",LEFT(IFERROR(INDEX(醫師週班表!$C$5:$T$44,$CU16,M$57),""),1)),IFERROR(INDEX(醫師週班表!$C$5:$T$44,$CU16,M$57),""))))))</f>
        <v/>
      </c>
      <c r="N16" s="67">
        <f>IF(N$59="X","",IF(N$59&lt;&gt;"",N$59,IF(IFERROR(INDEX(醫師週班表!$C$5:$T$44,$CU16,N$57),"")=0,"",IF(LEN(IFERROR(INDEX(醫師週班表!$C$5:$T$44,$CU16,N$57),""))=4,MID(IFERROR(INDEX(醫師週班表!$C$5:$T$44,$CU16,N$57),""),1+N$58*2,1),IF(LEN(IFERROR(INDEX(醫師週班表!$C$5:$T$44,$CU16,N$57),""))=2,IF(AND(RIGHT(IFERROR(INDEX(醫師週班表!$C$5:$T$44,$CU16,N$57),""),1)="~",N$58=1),"",LEFT(IFERROR(INDEX(醫師週班表!$C$5:$T$44,$CU16,N$57),""),1)),IFERROR(INDEX(醫師週班表!$C$5:$T$44,$CU16,N$57),""))))))</f>
        <v/>
      </c>
      <c r="O16" s="68">
        <f>IF(O$59="X","",IF(O$59&lt;&gt;"",O$59,IF(IFERROR(INDEX(醫師週班表!$C$5:$T$44,$CU16,O$57),"")=0,"",IF(LEN(IFERROR(INDEX(醫師週班表!$C$5:$T$44,$CU16,O$57),""))=4,MID(IFERROR(INDEX(醫師週班表!$C$5:$T$44,$CU16,O$57),""),1+O$58*2,1),IF(LEN(IFERROR(INDEX(醫師週班表!$C$5:$T$44,$CU16,O$57),""))=2,IF(AND(RIGHT(IFERROR(INDEX(醫師週班表!$C$5:$T$44,$CU16,O$57),""),1)="~",O$58=1),"",LEFT(IFERROR(INDEX(醫師週班表!$C$5:$T$44,$CU16,O$57),""),1)),IFERROR(INDEX(醫師週班表!$C$5:$T$44,$CU16,O$57),""))))))</f>
        <v/>
      </c>
      <c r="P16" s="68">
        <f>IF(P$59="X","",IF(P$59&lt;&gt;"",P$59,IF(IFERROR(INDEX(醫師週班表!$C$5:$T$44,$CU16,P$57),"")=0,"",IF(LEN(IFERROR(INDEX(醫師週班表!$C$5:$T$44,$CU16,P$57),""))=4,MID(IFERROR(INDEX(醫師週班表!$C$5:$T$44,$CU16,P$57),""),1+P$58*2,1),IF(LEN(IFERROR(INDEX(醫師週班表!$C$5:$T$44,$CU16,P$57),""))=2,IF(AND(RIGHT(IFERROR(INDEX(醫師週班表!$C$5:$T$44,$CU16,P$57),""),1)="~",P$58=1),"",LEFT(IFERROR(INDEX(醫師週班表!$C$5:$T$44,$CU16,P$57),""),1)),IFERROR(INDEX(醫師週班表!$C$5:$T$44,$CU16,P$57),""))))))</f>
        <v/>
      </c>
      <c r="Q16" s="67">
        <f>IF(Q$59="X","",IF(Q$59&lt;&gt;"",Q$59,IF(IFERROR(INDEX(醫師週班表!$C$5:$T$44,$CU16,Q$57),"")=0,"",IF(LEN(IFERROR(INDEX(醫師週班表!$C$5:$T$44,$CU16,Q$57),""))=4,MID(IFERROR(INDEX(醫師週班表!$C$5:$T$44,$CU16,Q$57),""),1+Q$58*2,1),IF(LEN(IFERROR(INDEX(醫師週班表!$C$5:$T$44,$CU16,Q$57),""))=2,IF(AND(RIGHT(IFERROR(INDEX(醫師週班表!$C$5:$T$44,$CU16,Q$57),""),1)="~",Q$58=1),"",LEFT(IFERROR(INDEX(醫師週班表!$C$5:$T$44,$CU16,Q$57),""),1)),IFERROR(INDEX(醫師週班表!$C$5:$T$44,$CU16,Q$57),""))))))</f>
        <v/>
      </c>
      <c r="R16" s="68">
        <f>IF(R$59="X","",IF(R$59&lt;&gt;"",R$59,IF(IFERROR(INDEX(醫師週班表!$C$5:$T$44,$CU16,R$57),"")=0,"",IF(LEN(IFERROR(INDEX(醫師週班表!$C$5:$T$44,$CU16,R$57),""))=4,MID(IFERROR(INDEX(醫師週班表!$C$5:$T$44,$CU16,R$57),""),1+R$58*2,1),IF(LEN(IFERROR(INDEX(醫師週班表!$C$5:$T$44,$CU16,R$57),""))=2,IF(AND(RIGHT(IFERROR(INDEX(醫師週班表!$C$5:$T$44,$CU16,R$57),""),1)="~",R$58=1),"",LEFT(IFERROR(INDEX(醫師週班表!$C$5:$T$44,$CU16,R$57),""),1)),IFERROR(INDEX(醫師週班表!$C$5:$T$44,$CU16,R$57),""))))))</f>
        <v/>
      </c>
      <c r="S16" s="68">
        <f>IF(S$59="X","",IF(S$59&lt;&gt;"",S$59,IF(IFERROR(INDEX(醫師週班表!$C$5:$T$44,$CU16,S$57),"")=0,"",IF(LEN(IFERROR(INDEX(醫師週班表!$C$5:$T$44,$CU16,S$57),""))=4,MID(IFERROR(INDEX(醫師週班表!$C$5:$T$44,$CU16,S$57),""),1+S$58*2,1),IF(LEN(IFERROR(INDEX(醫師週班表!$C$5:$T$44,$CU16,S$57),""))=2,IF(AND(RIGHT(IFERROR(INDEX(醫師週班表!$C$5:$T$44,$CU16,S$57),""),1)="~",S$58=1),"",LEFT(IFERROR(INDEX(醫師週班表!$C$5:$T$44,$CU16,S$57),""),1)),IFERROR(INDEX(醫師週班表!$C$5:$T$44,$CU16,S$57),""))))))</f>
        <v/>
      </c>
      <c r="T16" s="67">
        <f>IF(T$59="X","",IF(T$59&lt;&gt;"",T$59,IF(IFERROR(INDEX(醫師週班表!$C$5:$T$44,$CU16,T$57),"")=0,"",IF(LEN(IFERROR(INDEX(醫師週班表!$C$5:$T$44,$CU16,T$57),""))=4,MID(IFERROR(INDEX(醫師週班表!$C$5:$T$44,$CU16,T$57),""),1+T$58*2,1),IF(LEN(IFERROR(INDEX(醫師週班表!$C$5:$T$44,$CU16,T$57),""))=2,IF(AND(RIGHT(IFERROR(INDEX(醫師週班表!$C$5:$T$44,$CU16,T$57),""),1)="~",T$58=1),"",LEFT(IFERROR(INDEX(醫師週班表!$C$5:$T$44,$CU16,T$57),""),1)),IFERROR(INDEX(醫師週班表!$C$5:$T$44,$CU16,T$57),""))))))</f>
        <v/>
      </c>
      <c r="U16" s="68">
        <f>IF(U$59="X","",IF(U$59&lt;&gt;"",U$59,IF(IFERROR(INDEX(醫師週班表!$C$5:$T$44,$CU16,U$57),"")=0,"",IF(LEN(IFERROR(INDEX(醫師週班表!$C$5:$T$44,$CU16,U$57),""))=4,MID(IFERROR(INDEX(醫師週班表!$C$5:$T$44,$CU16,U$57),""),1+U$58*2,1),IF(LEN(IFERROR(INDEX(醫師週班表!$C$5:$T$44,$CU16,U$57),""))=2,IF(AND(RIGHT(IFERROR(INDEX(醫師週班表!$C$5:$T$44,$CU16,U$57),""),1)="~",U$58=1),"",LEFT(IFERROR(INDEX(醫師週班表!$C$5:$T$44,$CU16,U$57),""),1)),IFERROR(INDEX(醫師週班表!$C$5:$T$44,$CU16,U$57),""))))))</f>
        <v/>
      </c>
      <c r="V16" s="68">
        <f>IF(V$59="X","",IF(V$59&lt;&gt;"",V$59,IF(IFERROR(INDEX(醫師週班表!$C$5:$T$44,$CU16,V$57),"")=0,"",IF(LEN(IFERROR(INDEX(醫師週班表!$C$5:$T$44,$CU16,V$57),""))=4,MID(IFERROR(INDEX(醫師週班表!$C$5:$T$44,$CU16,V$57),""),1+V$58*2,1),IF(LEN(IFERROR(INDEX(醫師週班表!$C$5:$T$44,$CU16,V$57),""))=2,IF(AND(RIGHT(IFERROR(INDEX(醫師週班表!$C$5:$T$44,$CU16,V$57),""),1)="~",V$58=1),"",LEFT(IFERROR(INDEX(醫師週班表!$C$5:$T$44,$CU16,V$57),""),1)),IFERROR(INDEX(醫師週班表!$C$5:$T$44,$CU16,V$57),""))))))</f>
        <v/>
      </c>
      <c r="W16" s="67">
        <f>IF(W$59="X","",IF(W$59&lt;&gt;"",W$59,IF(IFERROR(INDEX(醫師週班表!$C$5:$T$44,$CU16,W$57),"")=0,"",IF(LEN(IFERROR(INDEX(醫師週班表!$C$5:$T$44,$CU16,W$57),""))=4,MID(IFERROR(INDEX(醫師週班表!$C$5:$T$44,$CU16,W$57),""),1+W$58*2,1),IF(LEN(IFERROR(INDEX(醫師週班表!$C$5:$T$44,$CU16,W$57),""))=2,IF(AND(RIGHT(IFERROR(INDEX(醫師週班表!$C$5:$T$44,$CU16,W$57),""),1)="~",W$58=1),"",LEFT(IFERROR(INDEX(醫師週班表!$C$5:$T$44,$CU16,W$57),""),1)),IFERROR(INDEX(醫師週班表!$C$5:$T$44,$CU16,W$57),""))))))</f>
        <v/>
      </c>
      <c r="X16" s="68">
        <f>IF(X$59="X","",IF(X$59&lt;&gt;"",X$59,IF(IFERROR(INDEX(醫師週班表!$C$5:$T$44,$CU16,X$57),"")=0,"",IF(LEN(IFERROR(INDEX(醫師週班表!$C$5:$T$44,$CU16,X$57),""))=4,MID(IFERROR(INDEX(醫師週班表!$C$5:$T$44,$CU16,X$57),""),1+X$58*2,1),IF(LEN(IFERROR(INDEX(醫師週班表!$C$5:$T$44,$CU16,X$57),""))=2,IF(AND(RIGHT(IFERROR(INDEX(醫師週班表!$C$5:$T$44,$CU16,X$57),""),1)="~",X$58=1),"",LEFT(IFERROR(INDEX(醫師週班表!$C$5:$T$44,$CU16,X$57),""),1)),IFERROR(INDEX(醫師週班表!$C$5:$T$44,$CU16,X$57),""))))))</f>
        <v/>
      </c>
      <c r="Y16" s="68">
        <f>IF(Y$59="X","",IF(Y$59&lt;&gt;"",Y$59,IF(IFERROR(INDEX(醫師週班表!$C$5:$T$44,$CU16,Y$57),"")=0,"",IF(LEN(IFERROR(INDEX(醫師週班表!$C$5:$T$44,$CU16,Y$57),""))=4,MID(IFERROR(INDEX(醫師週班表!$C$5:$T$44,$CU16,Y$57),""),1+Y$58*2,1),IF(LEN(IFERROR(INDEX(醫師週班表!$C$5:$T$44,$CU16,Y$57),""))=2,IF(AND(RIGHT(IFERROR(INDEX(醫師週班表!$C$5:$T$44,$CU16,Y$57),""),1)="~",Y$58=1),"",LEFT(IFERROR(INDEX(醫師週班表!$C$5:$T$44,$CU16,Y$57),""),1)),IFERROR(INDEX(醫師週班表!$C$5:$T$44,$CU16,Y$57),""))))))</f>
        <v/>
      </c>
      <c r="Z16" s="67">
        <f>IF(Z$59="X","",IF(Z$59&lt;&gt;"",Z$59,IF(IFERROR(INDEX(醫師週班表!$C$5:$T$44,$CU16,Z$57),"")=0,"",IF(LEN(IFERROR(INDEX(醫師週班表!$C$5:$T$44,$CU16,Z$57),""))=4,MID(IFERROR(INDEX(醫師週班表!$C$5:$T$44,$CU16,Z$57),""),1+Z$58*2,1),IF(LEN(IFERROR(INDEX(醫師週班表!$C$5:$T$44,$CU16,Z$57),""))=2,IF(AND(RIGHT(IFERROR(INDEX(醫師週班表!$C$5:$T$44,$CU16,Z$57),""),1)="~",Z$58=1),"",LEFT(IFERROR(INDEX(醫師週班表!$C$5:$T$44,$CU16,Z$57),""),1)),IFERROR(INDEX(醫師週班表!$C$5:$T$44,$CU16,Z$57),""))))))</f>
        <v/>
      </c>
      <c r="AA16" s="68">
        <f>IF(AA$59="X","",IF(AA$59&lt;&gt;"",AA$59,IF(IFERROR(INDEX(醫師週班表!$C$5:$T$44,$CU16,AA$57),"")=0,"",IF(LEN(IFERROR(INDEX(醫師週班表!$C$5:$T$44,$CU16,AA$57),""))=4,MID(IFERROR(INDEX(醫師週班表!$C$5:$T$44,$CU16,AA$57),""),1+AA$58*2,1),IF(LEN(IFERROR(INDEX(醫師週班表!$C$5:$T$44,$CU16,AA$57),""))=2,IF(AND(RIGHT(IFERROR(INDEX(醫師週班表!$C$5:$T$44,$CU16,AA$57),""),1)="~",AA$58=1),"",LEFT(IFERROR(INDEX(醫師週班表!$C$5:$T$44,$CU16,AA$57),""),1)),IFERROR(INDEX(醫師週班表!$C$5:$T$44,$CU16,AA$57),""))))))</f>
        <v/>
      </c>
      <c r="AB16" s="68">
        <f>IF(AB$59="X","",IF(AB$59&lt;&gt;"",AB$59,IF(IFERROR(INDEX(醫師週班表!$C$5:$T$44,$CU16,AB$57),"")=0,"",IF(LEN(IFERROR(INDEX(醫師週班表!$C$5:$T$44,$CU16,AB$57),""))=4,MID(IFERROR(INDEX(醫師週班表!$C$5:$T$44,$CU16,AB$57),""),1+AB$58*2,1),IF(LEN(IFERROR(INDEX(醫師週班表!$C$5:$T$44,$CU16,AB$57),""))=2,IF(AND(RIGHT(IFERROR(INDEX(醫師週班表!$C$5:$T$44,$CU16,AB$57),""),1)="~",AB$58=1),"",LEFT(IFERROR(INDEX(醫師週班表!$C$5:$T$44,$CU16,AB$57),""),1)),IFERROR(INDEX(醫師週班表!$C$5:$T$44,$CU16,AB$57),""))))))</f>
        <v/>
      </c>
      <c r="AC16" s="67">
        <f>IF(AC$59="X","",IF(AC$59&lt;&gt;"",AC$59,IF(IFERROR(INDEX(醫師週班表!$C$5:$T$44,$CU16,AC$57),"")=0,"",IF(LEN(IFERROR(INDEX(醫師週班表!$C$5:$T$44,$CU16,AC$57),""))=4,MID(IFERROR(INDEX(醫師週班表!$C$5:$T$44,$CU16,AC$57),""),1+AC$58*2,1),IF(LEN(IFERROR(INDEX(醫師週班表!$C$5:$T$44,$CU16,AC$57),""))=2,IF(AND(RIGHT(IFERROR(INDEX(醫師週班表!$C$5:$T$44,$CU16,AC$57),""),1)="~",AC$58=1),"",LEFT(IFERROR(INDEX(醫師週班表!$C$5:$T$44,$CU16,AC$57),""),1)),IFERROR(INDEX(醫師週班表!$C$5:$T$44,$CU16,AC$57),""))))))</f>
        <v/>
      </c>
      <c r="AD16" s="68">
        <f>IF(AD$59="X","",IF(AD$59&lt;&gt;"",AD$59,IF(IFERROR(INDEX(醫師週班表!$C$5:$T$44,$CU16,AD$57),"")=0,"",IF(LEN(IFERROR(INDEX(醫師週班表!$C$5:$T$44,$CU16,AD$57),""))=4,MID(IFERROR(INDEX(醫師週班表!$C$5:$T$44,$CU16,AD$57),""),1+AD$58*2,1),IF(LEN(IFERROR(INDEX(醫師週班表!$C$5:$T$44,$CU16,AD$57),""))=2,IF(AND(RIGHT(IFERROR(INDEX(醫師週班表!$C$5:$T$44,$CU16,AD$57),""),1)="~",AD$58=1),"",LEFT(IFERROR(INDEX(醫師週班表!$C$5:$T$44,$CU16,AD$57),""),1)),IFERROR(INDEX(醫師週班表!$C$5:$T$44,$CU16,AD$57),""))))))</f>
        <v/>
      </c>
      <c r="AE16" s="68">
        <f>IF(AE$59="X","",IF(AE$59&lt;&gt;"",AE$59,IF(IFERROR(INDEX(醫師週班表!$C$5:$T$44,$CU16,AE$57),"")=0,"",IF(LEN(IFERROR(INDEX(醫師週班表!$C$5:$T$44,$CU16,AE$57),""))=4,MID(IFERROR(INDEX(醫師週班表!$C$5:$T$44,$CU16,AE$57),""),1+AE$58*2,1),IF(LEN(IFERROR(INDEX(醫師週班表!$C$5:$T$44,$CU16,AE$57),""))=2,IF(AND(RIGHT(IFERROR(INDEX(醫師週班表!$C$5:$T$44,$CU16,AE$57),""),1)="~",AE$58=1),"",LEFT(IFERROR(INDEX(醫師週班表!$C$5:$T$44,$CU16,AE$57),""),1)),IFERROR(INDEX(醫師週班表!$C$5:$T$44,$CU16,AE$57),""))))))</f>
        <v/>
      </c>
      <c r="AF16" s="67">
        <f>IF(AF$59="X","",IF(AF$59&lt;&gt;"",AF$59,IF(IFERROR(INDEX(醫師週班表!$C$5:$T$44,$CU16,AF$57),"")=0,"",IF(LEN(IFERROR(INDEX(醫師週班表!$C$5:$T$44,$CU16,AF$57),""))=4,MID(IFERROR(INDEX(醫師週班表!$C$5:$T$44,$CU16,AF$57),""),1+AF$58*2,1),IF(LEN(IFERROR(INDEX(醫師週班表!$C$5:$T$44,$CU16,AF$57),""))=2,IF(AND(RIGHT(IFERROR(INDEX(醫師週班表!$C$5:$T$44,$CU16,AF$57),""),1)="~",AF$58=1),"",LEFT(IFERROR(INDEX(醫師週班表!$C$5:$T$44,$CU16,AF$57),""),1)),IFERROR(INDEX(醫師週班表!$C$5:$T$44,$CU16,AF$57),""))))))</f>
        <v/>
      </c>
      <c r="AG16" s="68">
        <f>IF(AG$59="X","",IF(AG$59&lt;&gt;"",AG$59,IF(IFERROR(INDEX(醫師週班表!$C$5:$T$44,$CU16,AG$57),"")=0,"",IF(LEN(IFERROR(INDEX(醫師週班表!$C$5:$T$44,$CU16,AG$57),""))=4,MID(IFERROR(INDEX(醫師週班表!$C$5:$T$44,$CU16,AG$57),""),1+AG$58*2,1),IF(LEN(IFERROR(INDEX(醫師週班表!$C$5:$T$44,$CU16,AG$57),""))=2,IF(AND(RIGHT(IFERROR(INDEX(醫師週班表!$C$5:$T$44,$CU16,AG$57),""),1)="~",AG$58=1),"",LEFT(IFERROR(INDEX(醫師週班表!$C$5:$T$44,$CU16,AG$57),""),1)),IFERROR(INDEX(醫師週班表!$C$5:$T$44,$CU16,AG$57),""))))))</f>
        <v/>
      </c>
      <c r="AH16" s="68">
        <f>IF(AH$59="X","",IF(AH$59&lt;&gt;"",AH$59,IF(IFERROR(INDEX(醫師週班表!$C$5:$T$44,$CU16,AH$57),"")=0,"",IF(LEN(IFERROR(INDEX(醫師週班表!$C$5:$T$44,$CU16,AH$57),""))=4,MID(IFERROR(INDEX(醫師週班表!$C$5:$T$44,$CU16,AH$57),""),1+AH$58*2,1),IF(LEN(IFERROR(INDEX(醫師週班表!$C$5:$T$44,$CU16,AH$57),""))=2,IF(AND(RIGHT(IFERROR(INDEX(醫師週班表!$C$5:$T$44,$CU16,AH$57),""),1)="~",AH$58=1),"",LEFT(IFERROR(INDEX(醫師週班表!$C$5:$T$44,$CU16,AH$57),""),1)),IFERROR(INDEX(醫師週班表!$C$5:$T$44,$CU16,AH$57),""))))))</f>
        <v/>
      </c>
      <c r="AI16" s="67">
        <f>IF(AI$59="X","",IF(AI$59&lt;&gt;"",AI$59,IF(IFERROR(INDEX(醫師週班表!$C$5:$T$44,$CU16,AI$57),"")=0,"",IF(LEN(IFERROR(INDEX(醫師週班表!$C$5:$T$44,$CU16,AI$57),""))=4,MID(IFERROR(INDEX(醫師週班表!$C$5:$T$44,$CU16,AI$57),""),1+AI$58*2,1),IF(LEN(IFERROR(INDEX(醫師週班表!$C$5:$T$44,$CU16,AI$57),""))=2,IF(AND(RIGHT(IFERROR(INDEX(醫師週班表!$C$5:$T$44,$CU16,AI$57),""),1)="~",AI$58=1),"",LEFT(IFERROR(INDEX(醫師週班表!$C$5:$T$44,$CU16,AI$57),""),1)),IFERROR(INDEX(醫師週班表!$C$5:$T$44,$CU16,AI$57),""))))))</f>
        <v/>
      </c>
      <c r="AJ16" s="68">
        <f>IF(AJ$59="X","",IF(AJ$59&lt;&gt;"",AJ$59,IF(IFERROR(INDEX(醫師週班表!$C$5:$T$44,$CU16,AJ$57),"")=0,"",IF(LEN(IFERROR(INDEX(醫師週班表!$C$5:$T$44,$CU16,AJ$57),""))=4,MID(IFERROR(INDEX(醫師週班表!$C$5:$T$44,$CU16,AJ$57),""),1+AJ$58*2,1),IF(LEN(IFERROR(INDEX(醫師週班表!$C$5:$T$44,$CU16,AJ$57),""))=2,IF(AND(RIGHT(IFERROR(INDEX(醫師週班表!$C$5:$T$44,$CU16,AJ$57),""),1)="~",AJ$58=1),"",LEFT(IFERROR(INDEX(醫師週班表!$C$5:$T$44,$CU16,AJ$57),""),1)),IFERROR(INDEX(醫師週班表!$C$5:$T$44,$CU16,AJ$57),""))))))</f>
        <v/>
      </c>
      <c r="AK16" s="68">
        <f>IF(AK$59="X","",IF(AK$59&lt;&gt;"",AK$59,IF(IFERROR(INDEX(醫師週班表!$C$5:$T$44,$CU16,AK$57),"")=0,"",IF(LEN(IFERROR(INDEX(醫師週班表!$C$5:$T$44,$CU16,AK$57),""))=4,MID(IFERROR(INDEX(醫師週班表!$C$5:$T$44,$CU16,AK$57),""),1+AK$58*2,1),IF(LEN(IFERROR(INDEX(醫師週班表!$C$5:$T$44,$CU16,AK$57),""))=2,IF(AND(RIGHT(IFERROR(INDEX(醫師週班表!$C$5:$T$44,$CU16,AK$57),""),1)="~",AK$58=1),"",LEFT(IFERROR(INDEX(醫師週班表!$C$5:$T$44,$CU16,AK$57),""),1)),IFERROR(INDEX(醫師週班表!$C$5:$T$44,$CU16,AK$57),""))))))</f>
        <v/>
      </c>
      <c r="AL16" s="67">
        <f>IF(AL$59="X","",IF(AL$59&lt;&gt;"",AL$59,IF(IFERROR(INDEX(醫師週班表!$C$5:$T$44,$CU16,AL$57),"")=0,"",IF(LEN(IFERROR(INDEX(醫師週班表!$C$5:$T$44,$CU16,AL$57),""))=4,MID(IFERROR(INDEX(醫師週班表!$C$5:$T$44,$CU16,AL$57),""),1+AL$58*2,1),IF(LEN(IFERROR(INDEX(醫師週班表!$C$5:$T$44,$CU16,AL$57),""))=2,IF(AND(RIGHT(IFERROR(INDEX(醫師週班表!$C$5:$T$44,$CU16,AL$57),""),1)="~",AL$58=1),"",LEFT(IFERROR(INDEX(醫師週班表!$C$5:$T$44,$CU16,AL$57),""),1)),IFERROR(INDEX(醫師週班表!$C$5:$T$44,$CU16,AL$57),""))))))</f>
        <v/>
      </c>
      <c r="AM16" s="68">
        <f>IF(AM$59="X","",IF(AM$59&lt;&gt;"",AM$59,IF(IFERROR(INDEX(醫師週班表!$C$5:$T$44,$CU16,AM$57),"")=0,"",IF(LEN(IFERROR(INDEX(醫師週班表!$C$5:$T$44,$CU16,AM$57),""))=4,MID(IFERROR(INDEX(醫師週班表!$C$5:$T$44,$CU16,AM$57),""),1+AM$58*2,1),IF(LEN(IFERROR(INDEX(醫師週班表!$C$5:$T$44,$CU16,AM$57),""))=2,IF(AND(RIGHT(IFERROR(INDEX(醫師週班表!$C$5:$T$44,$CU16,AM$57),""),1)="~",AM$58=1),"",LEFT(IFERROR(INDEX(醫師週班表!$C$5:$T$44,$CU16,AM$57),""),1)),IFERROR(INDEX(醫師週班表!$C$5:$T$44,$CU16,AM$57),""))))))</f>
        <v/>
      </c>
      <c r="AN16" s="68">
        <f>IF(AN$59="X","",IF(AN$59&lt;&gt;"",AN$59,IF(IFERROR(INDEX(醫師週班表!$C$5:$T$44,$CU16,AN$57),"")=0,"",IF(LEN(IFERROR(INDEX(醫師週班表!$C$5:$T$44,$CU16,AN$57),""))=4,MID(IFERROR(INDEX(醫師週班表!$C$5:$T$44,$CU16,AN$57),""),1+AN$58*2,1),IF(LEN(IFERROR(INDEX(醫師週班表!$C$5:$T$44,$CU16,AN$57),""))=2,IF(AND(RIGHT(IFERROR(INDEX(醫師週班表!$C$5:$T$44,$CU16,AN$57),""),1)="~",AN$58=1),"",LEFT(IFERROR(INDEX(醫師週班表!$C$5:$T$44,$CU16,AN$57),""),1)),IFERROR(INDEX(醫師週班表!$C$5:$T$44,$CU16,AN$57),""))))))</f>
        <v/>
      </c>
      <c r="AO16" s="67">
        <f>IF(AO$59="X","",IF(AO$59&lt;&gt;"",AO$59,IF(IFERROR(INDEX(醫師週班表!$C$5:$T$44,$CU16,AO$57),"")=0,"",IF(LEN(IFERROR(INDEX(醫師週班表!$C$5:$T$44,$CU16,AO$57),""))=4,MID(IFERROR(INDEX(醫師週班表!$C$5:$T$44,$CU16,AO$57),""),1+AO$58*2,1),IF(LEN(IFERROR(INDEX(醫師週班表!$C$5:$T$44,$CU16,AO$57),""))=2,IF(AND(RIGHT(IFERROR(INDEX(醫師週班表!$C$5:$T$44,$CU16,AO$57),""),1)="~",AO$58=1),"",LEFT(IFERROR(INDEX(醫師週班表!$C$5:$T$44,$CU16,AO$57),""),1)),IFERROR(INDEX(醫師週班表!$C$5:$T$44,$CU16,AO$57),""))))))</f>
        <v/>
      </c>
      <c r="AP16" s="68">
        <f>IF(AP$59="X","",IF(AP$59&lt;&gt;"",AP$59,IF(IFERROR(INDEX(醫師週班表!$C$5:$T$44,$CU16,AP$57),"")=0,"",IF(LEN(IFERROR(INDEX(醫師週班表!$C$5:$T$44,$CU16,AP$57),""))=4,MID(IFERROR(INDEX(醫師週班表!$C$5:$T$44,$CU16,AP$57),""),1+AP$58*2,1),IF(LEN(IFERROR(INDEX(醫師週班表!$C$5:$T$44,$CU16,AP$57),""))=2,IF(AND(RIGHT(IFERROR(INDEX(醫師週班表!$C$5:$T$44,$CU16,AP$57),""),1)="~",AP$58=1),"",LEFT(IFERROR(INDEX(醫師週班表!$C$5:$T$44,$CU16,AP$57),""),1)),IFERROR(INDEX(醫師週班表!$C$5:$T$44,$CU16,AP$57),""))))))</f>
        <v/>
      </c>
      <c r="AQ16" s="68">
        <f>IF(AQ$59="X","",IF(AQ$59&lt;&gt;"",AQ$59,IF(IFERROR(INDEX(醫師週班表!$C$5:$T$44,$CU16,AQ$57),"")=0,"",IF(LEN(IFERROR(INDEX(醫師週班表!$C$5:$T$44,$CU16,AQ$57),""))=4,MID(IFERROR(INDEX(醫師週班表!$C$5:$T$44,$CU16,AQ$57),""),1+AQ$58*2,1),IF(LEN(IFERROR(INDEX(醫師週班表!$C$5:$T$44,$CU16,AQ$57),""))=2,IF(AND(RIGHT(IFERROR(INDEX(醫師週班表!$C$5:$T$44,$CU16,AQ$57),""),1)="~",AQ$58=1),"",LEFT(IFERROR(INDEX(醫師週班表!$C$5:$T$44,$CU16,AQ$57),""),1)),IFERROR(INDEX(醫師週班表!$C$5:$T$44,$CU16,AQ$57),""))))))</f>
        <v/>
      </c>
      <c r="AR16" s="67">
        <f>IF(AR$59="X","",IF(AR$59&lt;&gt;"",AR$59,IF(IFERROR(INDEX(醫師週班表!$C$5:$T$44,$CU16,AR$57),"")=0,"",IF(LEN(IFERROR(INDEX(醫師週班表!$C$5:$T$44,$CU16,AR$57),""))=4,MID(IFERROR(INDEX(醫師週班表!$C$5:$T$44,$CU16,AR$57),""),1+AR$58*2,1),IF(LEN(IFERROR(INDEX(醫師週班表!$C$5:$T$44,$CU16,AR$57),""))=2,IF(AND(RIGHT(IFERROR(INDEX(醫師週班表!$C$5:$T$44,$CU16,AR$57),""),1)="~",AR$58=1),"",LEFT(IFERROR(INDEX(醫師週班表!$C$5:$T$44,$CU16,AR$57),""),1)),IFERROR(INDEX(醫師週班表!$C$5:$T$44,$CU16,AR$57),""))))))</f>
        <v/>
      </c>
      <c r="AS16" s="68">
        <f>IF(AS$59="X","",IF(AS$59&lt;&gt;"",AS$59,IF(IFERROR(INDEX(醫師週班表!$C$5:$T$44,$CU16,AS$57),"")=0,"",IF(LEN(IFERROR(INDEX(醫師週班表!$C$5:$T$44,$CU16,AS$57),""))=4,MID(IFERROR(INDEX(醫師週班表!$C$5:$T$44,$CU16,AS$57),""),1+AS$58*2,1),IF(LEN(IFERROR(INDEX(醫師週班表!$C$5:$T$44,$CU16,AS$57),""))=2,IF(AND(RIGHT(IFERROR(INDEX(醫師週班表!$C$5:$T$44,$CU16,AS$57),""),1)="~",AS$58=1),"",LEFT(IFERROR(INDEX(醫師週班表!$C$5:$T$44,$CU16,AS$57),""),1)),IFERROR(INDEX(醫師週班表!$C$5:$T$44,$CU16,AS$57),""))))))</f>
        <v/>
      </c>
      <c r="AT16" s="68">
        <f>IF(AT$59="X","",IF(AT$59&lt;&gt;"",AT$59,IF(IFERROR(INDEX(醫師週班表!$C$5:$T$44,$CU16,AT$57),"")=0,"",IF(LEN(IFERROR(INDEX(醫師週班表!$C$5:$T$44,$CU16,AT$57),""))=4,MID(IFERROR(INDEX(醫師週班表!$C$5:$T$44,$CU16,AT$57),""),1+AT$58*2,1),IF(LEN(IFERROR(INDEX(醫師週班表!$C$5:$T$44,$CU16,AT$57),""))=2,IF(AND(RIGHT(IFERROR(INDEX(醫師週班表!$C$5:$T$44,$CU16,AT$57),""),1)="~",AT$58=1),"",LEFT(IFERROR(INDEX(醫師週班表!$C$5:$T$44,$CU16,AT$57),""),1)),IFERROR(INDEX(醫師週班表!$C$5:$T$44,$CU16,AT$57),""))))))</f>
        <v/>
      </c>
      <c r="AU16" s="67">
        <f>IF(AU$59="X","",IF(AU$59&lt;&gt;"",AU$59,IF(IFERROR(INDEX(醫師週班表!$C$5:$T$44,$CU16,AU$57),"")=0,"",IF(LEN(IFERROR(INDEX(醫師週班表!$C$5:$T$44,$CU16,AU$57),""))=4,MID(IFERROR(INDEX(醫師週班表!$C$5:$T$44,$CU16,AU$57),""),1+AU$58*2,1),IF(LEN(IFERROR(INDEX(醫師週班表!$C$5:$T$44,$CU16,AU$57),""))=2,IF(AND(RIGHT(IFERROR(INDEX(醫師週班表!$C$5:$T$44,$CU16,AU$57),""),1)="~",AU$58=1),"",LEFT(IFERROR(INDEX(醫師週班表!$C$5:$T$44,$CU16,AU$57),""),1)),IFERROR(INDEX(醫師週班表!$C$5:$T$44,$CU16,AU$57),""))))))</f>
        <v/>
      </c>
      <c r="AV16" s="68">
        <f>IF(AV$59="X","",IF(AV$59&lt;&gt;"",AV$59,IF(IFERROR(INDEX(醫師週班表!$C$5:$T$44,$CU16,AV$57),"")=0,"",IF(LEN(IFERROR(INDEX(醫師週班表!$C$5:$T$44,$CU16,AV$57),""))=4,MID(IFERROR(INDEX(醫師週班表!$C$5:$T$44,$CU16,AV$57),""),1+AV$58*2,1),IF(LEN(IFERROR(INDEX(醫師週班表!$C$5:$T$44,$CU16,AV$57),""))=2,IF(AND(RIGHT(IFERROR(INDEX(醫師週班表!$C$5:$T$44,$CU16,AV$57),""),1)="~",AV$58=1),"",LEFT(IFERROR(INDEX(醫師週班表!$C$5:$T$44,$CU16,AV$57),""),1)),IFERROR(INDEX(醫師週班表!$C$5:$T$44,$CU16,AV$57),""))))))</f>
        <v/>
      </c>
      <c r="AW16" s="68">
        <f>IF(AW$59="X","",IF(AW$59&lt;&gt;"",AW$59,IF(IFERROR(INDEX(醫師週班表!$C$5:$T$44,$CU16,AW$57),"")=0,"",IF(LEN(IFERROR(INDEX(醫師週班表!$C$5:$T$44,$CU16,AW$57),""))=4,MID(IFERROR(INDEX(醫師週班表!$C$5:$T$44,$CU16,AW$57),""),1+AW$58*2,1),IF(LEN(IFERROR(INDEX(醫師週班表!$C$5:$T$44,$CU16,AW$57),""))=2,IF(AND(RIGHT(IFERROR(INDEX(醫師週班表!$C$5:$T$44,$CU16,AW$57),""),1)="~",AW$58=1),"",LEFT(IFERROR(INDEX(醫師週班表!$C$5:$T$44,$CU16,AW$57),""),1)),IFERROR(INDEX(醫師週班表!$C$5:$T$44,$CU16,AW$57),""))))))</f>
        <v/>
      </c>
      <c r="AX16" s="67">
        <f>IF(AX$59="X","",IF(AX$59&lt;&gt;"",AX$59,IF(IFERROR(INDEX(醫師週班表!$C$5:$T$44,$CU16,AX$57),"")=0,"",IF(LEN(IFERROR(INDEX(醫師週班表!$C$5:$T$44,$CU16,AX$57),""))=4,MID(IFERROR(INDEX(醫師週班表!$C$5:$T$44,$CU16,AX$57),""),1+AX$58*2,1),IF(LEN(IFERROR(INDEX(醫師週班表!$C$5:$T$44,$CU16,AX$57),""))=2,IF(AND(RIGHT(IFERROR(INDEX(醫師週班表!$C$5:$T$44,$CU16,AX$57),""),1)="~",AX$58=1),"",LEFT(IFERROR(INDEX(醫師週班表!$C$5:$T$44,$CU16,AX$57),""),1)),IFERROR(INDEX(醫師週班表!$C$5:$T$44,$CU16,AX$57),""))))))</f>
        <v/>
      </c>
      <c r="AY16" s="68">
        <f>IF(AY$59="X","",IF(AY$59&lt;&gt;"",AY$59,IF(IFERROR(INDEX(醫師週班表!$C$5:$T$44,$CU16,AY$57),"")=0,"",IF(LEN(IFERROR(INDEX(醫師週班表!$C$5:$T$44,$CU16,AY$57),""))=4,MID(IFERROR(INDEX(醫師週班表!$C$5:$T$44,$CU16,AY$57),""),1+AY$58*2,1),IF(LEN(IFERROR(INDEX(醫師週班表!$C$5:$T$44,$CU16,AY$57),""))=2,IF(AND(RIGHT(IFERROR(INDEX(醫師週班表!$C$5:$T$44,$CU16,AY$57),""),1)="~",AY$58=1),"",LEFT(IFERROR(INDEX(醫師週班表!$C$5:$T$44,$CU16,AY$57),""),1)),IFERROR(INDEX(醫師週班表!$C$5:$T$44,$CU16,AY$57),""))))))</f>
        <v/>
      </c>
      <c r="AZ16" s="68">
        <f>IF(AZ$59="X","",IF(AZ$59&lt;&gt;"",AZ$59,IF(IFERROR(INDEX(醫師週班表!$C$5:$T$44,$CU16,AZ$57),"")=0,"",IF(LEN(IFERROR(INDEX(醫師週班表!$C$5:$T$44,$CU16,AZ$57),""))=4,MID(IFERROR(INDEX(醫師週班表!$C$5:$T$44,$CU16,AZ$57),""),1+AZ$58*2,1),IF(LEN(IFERROR(INDEX(醫師週班表!$C$5:$T$44,$CU16,AZ$57),""))=2,IF(AND(RIGHT(IFERROR(INDEX(醫師週班表!$C$5:$T$44,$CU16,AZ$57),""),1)="~",AZ$58=1),"",LEFT(IFERROR(INDEX(醫師週班表!$C$5:$T$44,$CU16,AZ$57),""),1)),IFERROR(INDEX(醫師週班表!$C$5:$T$44,$CU16,AZ$57),""))))))</f>
        <v/>
      </c>
      <c r="BA16" s="67">
        <f>IF(BA$59="X","",IF(BA$59&lt;&gt;"",BA$59,IF(IFERROR(INDEX(醫師週班表!$C$5:$T$44,$CU16,BA$57),"")=0,"",IF(LEN(IFERROR(INDEX(醫師週班表!$C$5:$T$44,$CU16,BA$57),""))=4,MID(IFERROR(INDEX(醫師週班表!$C$5:$T$44,$CU16,BA$57),""),1+BA$58*2,1),IF(LEN(IFERROR(INDEX(醫師週班表!$C$5:$T$44,$CU16,BA$57),""))=2,IF(AND(RIGHT(IFERROR(INDEX(醫師週班表!$C$5:$T$44,$CU16,BA$57),""),1)="~",BA$58=1),"",LEFT(IFERROR(INDEX(醫師週班表!$C$5:$T$44,$CU16,BA$57),""),1)),IFERROR(INDEX(醫師週班表!$C$5:$T$44,$CU16,BA$57),""))))))</f>
        <v/>
      </c>
      <c r="BB16" s="68">
        <f>IF(BB$59="X","",IF(BB$59&lt;&gt;"",BB$59,IF(IFERROR(INDEX(醫師週班表!$C$5:$T$44,$CU16,BB$57),"")=0,"",IF(LEN(IFERROR(INDEX(醫師週班表!$C$5:$T$44,$CU16,BB$57),""))=4,MID(IFERROR(INDEX(醫師週班表!$C$5:$T$44,$CU16,BB$57),""),1+BB$58*2,1),IF(LEN(IFERROR(INDEX(醫師週班表!$C$5:$T$44,$CU16,BB$57),""))=2,IF(AND(RIGHT(IFERROR(INDEX(醫師週班表!$C$5:$T$44,$CU16,BB$57),""),1)="~",BB$58=1),"",LEFT(IFERROR(INDEX(醫師週班表!$C$5:$T$44,$CU16,BB$57),""),1)),IFERROR(INDEX(醫師週班表!$C$5:$T$44,$CU16,BB$57),""))))))</f>
        <v/>
      </c>
      <c r="BC16" s="68">
        <f>IF(BC$59="X","",IF(BC$59&lt;&gt;"",BC$59,IF(IFERROR(INDEX(醫師週班表!$C$5:$T$44,$CU16,BC$57),"")=0,"",IF(LEN(IFERROR(INDEX(醫師週班表!$C$5:$T$44,$CU16,BC$57),""))=4,MID(IFERROR(INDEX(醫師週班表!$C$5:$T$44,$CU16,BC$57),""),1+BC$58*2,1),IF(LEN(IFERROR(INDEX(醫師週班表!$C$5:$T$44,$CU16,BC$57),""))=2,IF(AND(RIGHT(IFERROR(INDEX(醫師週班表!$C$5:$T$44,$CU16,BC$57),""),1)="~",BC$58=1),"",LEFT(IFERROR(INDEX(醫師週班表!$C$5:$T$44,$CU16,BC$57),""),1)),IFERROR(INDEX(醫師週班表!$C$5:$T$44,$CU16,BC$57),""))))))</f>
        <v/>
      </c>
      <c r="BD16" s="67">
        <f>IF(BD$59="X","",IF(BD$59&lt;&gt;"",BD$59,IF(IFERROR(INDEX(醫師週班表!$C$5:$T$44,$CU16,BD$57),"")=0,"",IF(LEN(IFERROR(INDEX(醫師週班表!$C$5:$T$44,$CU16,BD$57),""))=4,MID(IFERROR(INDEX(醫師週班表!$C$5:$T$44,$CU16,BD$57),""),1+BD$58*2,1),IF(LEN(IFERROR(INDEX(醫師週班表!$C$5:$T$44,$CU16,BD$57),""))=2,IF(AND(RIGHT(IFERROR(INDEX(醫師週班表!$C$5:$T$44,$CU16,BD$57),""),1)="~",BD$58=1),"",LEFT(IFERROR(INDEX(醫師週班表!$C$5:$T$44,$CU16,BD$57),""),1)),IFERROR(INDEX(醫師週班表!$C$5:$T$44,$CU16,BD$57),""))))))</f>
        <v/>
      </c>
      <c r="BE16" s="68">
        <f>IF(BE$59="X","",IF(BE$59&lt;&gt;"",BE$59,IF(IFERROR(INDEX(醫師週班表!$C$5:$T$44,$CU16,BE$57),"")=0,"",IF(LEN(IFERROR(INDEX(醫師週班表!$C$5:$T$44,$CU16,BE$57),""))=4,MID(IFERROR(INDEX(醫師週班表!$C$5:$T$44,$CU16,BE$57),""),1+BE$58*2,1),IF(LEN(IFERROR(INDEX(醫師週班表!$C$5:$T$44,$CU16,BE$57),""))=2,IF(AND(RIGHT(IFERROR(INDEX(醫師週班表!$C$5:$T$44,$CU16,BE$57),""),1)="~",BE$58=1),"",LEFT(IFERROR(INDEX(醫師週班表!$C$5:$T$44,$CU16,BE$57),""),1)),IFERROR(INDEX(醫師週班表!$C$5:$T$44,$CU16,BE$57),""))))))</f>
        <v/>
      </c>
      <c r="BF16" s="68">
        <f>IF(BF$59="X","",IF(BF$59&lt;&gt;"",BF$59,IF(IFERROR(INDEX(醫師週班表!$C$5:$T$44,$CU16,BF$57),"")=0,"",IF(LEN(IFERROR(INDEX(醫師週班表!$C$5:$T$44,$CU16,BF$57),""))=4,MID(IFERROR(INDEX(醫師週班表!$C$5:$T$44,$CU16,BF$57),""),1+BF$58*2,1),IF(LEN(IFERROR(INDEX(醫師週班表!$C$5:$T$44,$CU16,BF$57),""))=2,IF(AND(RIGHT(IFERROR(INDEX(醫師週班表!$C$5:$T$44,$CU16,BF$57),""),1)="~",BF$58=1),"",LEFT(IFERROR(INDEX(醫師週班表!$C$5:$T$44,$CU16,BF$57),""),1)),IFERROR(INDEX(醫師週班表!$C$5:$T$44,$CU16,BF$57),""))))))</f>
        <v/>
      </c>
      <c r="BG16" s="67">
        <f>IF(BG$59="X","",IF(BG$59&lt;&gt;"",BG$59,IF(IFERROR(INDEX(醫師週班表!$C$5:$T$44,$CU16,BG$57),"")=0,"",IF(LEN(IFERROR(INDEX(醫師週班表!$C$5:$T$44,$CU16,BG$57),""))=4,MID(IFERROR(INDEX(醫師週班表!$C$5:$T$44,$CU16,BG$57),""),1+BG$58*2,1),IF(LEN(IFERROR(INDEX(醫師週班表!$C$5:$T$44,$CU16,BG$57),""))=2,IF(AND(RIGHT(IFERROR(INDEX(醫師週班表!$C$5:$T$44,$CU16,BG$57),""),1)="~",BG$58=1),"",LEFT(IFERROR(INDEX(醫師週班表!$C$5:$T$44,$CU16,BG$57),""),1)),IFERROR(INDEX(醫師週班表!$C$5:$T$44,$CU16,BG$57),""))))))</f>
        <v/>
      </c>
      <c r="BH16" s="68">
        <f>IF(BH$59="X","",IF(BH$59&lt;&gt;"",BH$59,IF(IFERROR(INDEX(醫師週班表!$C$5:$T$44,$CU16,BH$57),"")=0,"",IF(LEN(IFERROR(INDEX(醫師週班表!$C$5:$T$44,$CU16,BH$57),""))=4,MID(IFERROR(INDEX(醫師週班表!$C$5:$T$44,$CU16,BH$57),""),1+BH$58*2,1),IF(LEN(IFERROR(INDEX(醫師週班表!$C$5:$T$44,$CU16,BH$57),""))=2,IF(AND(RIGHT(IFERROR(INDEX(醫師週班表!$C$5:$T$44,$CU16,BH$57),""),1)="~",BH$58=1),"",LEFT(IFERROR(INDEX(醫師週班表!$C$5:$T$44,$CU16,BH$57),""),1)),IFERROR(INDEX(醫師週班表!$C$5:$T$44,$CU16,BH$57),""))))))</f>
        <v/>
      </c>
      <c r="BI16" s="68">
        <f>IF(BI$59="X","",IF(BI$59&lt;&gt;"",BI$59,IF(IFERROR(INDEX(醫師週班表!$C$5:$T$44,$CU16,BI$57),"")=0,"",IF(LEN(IFERROR(INDEX(醫師週班表!$C$5:$T$44,$CU16,BI$57),""))=4,MID(IFERROR(INDEX(醫師週班表!$C$5:$T$44,$CU16,BI$57),""),1+BI$58*2,1),IF(LEN(IFERROR(INDEX(醫師週班表!$C$5:$T$44,$CU16,BI$57),""))=2,IF(AND(RIGHT(IFERROR(INDEX(醫師週班表!$C$5:$T$44,$CU16,BI$57),""),1)="~",BI$58=1),"",LEFT(IFERROR(INDEX(醫師週班表!$C$5:$T$44,$CU16,BI$57),""),1)),IFERROR(INDEX(醫師週班表!$C$5:$T$44,$CU16,BI$57),""))))))</f>
        <v/>
      </c>
      <c r="BJ16" s="67">
        <f>IF(BJ$59="X","",IF(BJ$59&lt;&gt;"",BJ$59,IF(IFERROR(INDEX(醫師週班表!$C$5:$T$44,$CU16,BJ$57),"")=0,"",IF(LEN(IFERROR(INDEX(醫師週班表!$C$5:$T$44,$CU16,BJ$57),""))=4,MID(IFERROR(INDEX(醫師週班表!$C$5:$T$44,$CU16,BJ$57),""),1+BJ$58*2,1),IF(LEN(IFERROR(INDEX(醫師週班表!$C$5:$T$44,$CU16,BJ$57),""))=2,IF(AND(RIGHT(IFERROR(INDEX(醫師週班表!$C$5:$T$44,$CU16,BJ$57),""),1)="~",BJ$58=1),"",LEFT(IFERROR(INDEX(醫師週班表!$C$5:$T$44,$CU16,BJ$57),""),1)),IFERROR(INDEX(醫師週班表!$C$5:$T$44,$CU16,BJ$57),""))))))</f>
        <v/>
      </c>
      <c r="BK16" s="68">
        <f>IF(BK$59="X","",IF(BK$59&lt;&gt;"",BK$59,IF(IFERROR(INDEX(醫師週班表!$C$5:$T$44,$CU16,BK$57),"")=0,"",IF(LEN(IFERROR(INDEX(醫師週班表!$C$5:$T$44,$CU16,BK$57),""))=4,MID(IFERROR(INDEX(醫師週班表!$C$5:$T$44,$CU16,BK$57),""),1+BK$58*2,1),IF(LEN(IFERROR(INDEX(醫師週班表!$C$5:$T$44,$CU16,BK$57),""))=2,IF(AND(RIGHT(IFERROR(INDEX(醫師週班表!$C$5:$T$44,$CU16,BK$57),""),1)="~",BK$58=1),"",LEFT(IFERROR(INDEX(醫師週班表!$C$5:$T$44,$CU16,BK$57),""),1)),IFERROR(INDEX(醫師週班表!$C$5:$T$44,$CU16,BK$57),""))))))</f>
        <v/>
      </c>
      <c r="BL16" s="68">
        <f>IF(BL$59="X","",IF(BL$59&lt;&gt;"",BL$59,IF(IFERROR(INDEX(醫師週班表!$C$5:$T$44,$CU16,BL$57),"")=0,"",IF(LEN(IFERROR(INDEX(醫師週班表!$C$5:$T$44,$CU16,BL$57),""))=4,MID(IFERROR(INDEX(醫師週班表!$C$5:$T$44,$CU16,BL$57),""),1+BL$58*2,1),IF(LEN(IFERROR(INDEX(醫師週班表!$C$5:$T$44,$CU16,BL$57),""))=2,IF(AND(RIGHT(IFERROR(INDEX(醫師週班表!$C$5:$T$44,$CU16,BL$57),""),1)="~",BL$58=1),"",LEFT(IFERROR(INDEX(醫師週班表!$C$5:$T$44,$CU16,BL$57),""),1)),IFERROR(INDEX(醫師週班表!$C$5:$T$44,$CU16,BL$57),""))))))</f>
        <v/>
      </c>
      <c r="BM16" s="67">
        <f>IF(BM$59="X","",IF(BM$59&lt;&gt;"",BM$59,IF(IFERROR(INDEX(醫師週班表!$C$5:$T$44,$CU16,BM$57),"")=0,"",IF(LEN(IFERROR(INDEX(醫師週班表!$C$5:$T$44,$CU16,BM$57),""))=4,MID(IFERROR(INDEX(醫師週班表!$C$5:$T$44,$CU16,BM$57),""),1+BM$58*2,1),IF(LEN(IFERROR(INDEX(醫師週班表!$C$5:$T$44,$CU16,BM$57),""))=2,IF(AND(RIGHT(IFERROR(INDEX(醫師週班表!$C$5:$T$44,$CU16,BM$57),""),1)="~",BM$58=1),"",LEFT(IFERROR(INDEX(醫師週班表!$C$5:$T$44,$CU16,BM$57),""),1)),IFERROR(INDEX(醫師週班表!$C$5:$T$44,$CU16,BM$57),""))))))</f>
        <v/>
      </c>
      <c r="BN16" s="68">
        <f>IF(BN$59="X","",IF(BN$59&lt;&gt;"",BN$59,IF(IFERROR(INDEX(醫師週班表!$C$5:$T$44,$CU16,BN$57),"")=0,"",IF(LEN(IFERROR(INDEX(醫師週班表!$C$5:$T$44,$CU16,BN$57),""))=4,MID(IFERROR(INDEX(醫師週班表!$C$5:$T$44,$CU16,BN$57),""),1+BN$58*2,1),IF(LEN(IFERROR(INDEX(醫師週班表!$C$5:$T$44,$CU16,BN$57),""))=2,IF(AND(RIGHT(IFERROR(INDEX(醫師週班表!$C$5:$T$44,$CU16,BN$57),""),1)="~",BN$58=1),"",LEFT(IFERROR(INDEX(醫師週班表!$C$5:$T$44,$CU16,BN$57),""),1)),IFERROR(INDEX(醫師週班表!$C$5:$T$44,$CU16,BN$57),""))))))</f>
        <v/>
      </c>
      <c r="BO16" s="68">
        <f>IF(BO$59="X","",IF(BO$59&lt;&gt;"",BO$59,IF(IFERROR(INDEX(醫師週班表!$C$5:$T$44,$CU16,BO$57),"")=0,"",IF(LEN(IFERROR(INDEX(醫師週班表!$C$5:$T$44,$CU16,BO$57),""))=4,MID(IFERROR(INDEX(醫師週班表!$C$5:$T$44,$CU16,BO$57),""),1+BO$58*2,1),IF(LEN(IFERROR(INDEX(醫師週班表!$C$5:$T$44,$CU16,BO$57),""))=2,IF(AND(RIGHT(IFERROR(INDEX(醫師週班表!$C$5:$T$44,$CU16,BO$57),""),1)="~",BO$58=1),"",LEFT(IFERROR(INDEX(醫師週班表!$C$5:$T$44,$CU16,BO$57),""),1)),IFERROR(INDEX(醫師週班表!$C$5:$T$44,$CU16,BO$57),""))))))</f>
        <v/>
      </c>
      <c r="BP16" s="67">
        <f>IF(BP$59="X","",IF(BP$59&lt;&gt;"",BP$59,IF(IFERROR(INDEX(醫師週班表!$C$5:$T$44,$CU16,BP$57),"")=0,"",IF(LEN(IFERROR(INDEX(醫師週班表!$C$5:$T$44,$CU16,BP$57),""))=4,MID(IFERROR(INDEX(醫師週班表!$C$5:$T$44,$CU16,BP$57),""),1+BP$58*2,1),IF(LEN(IFERROR(INDEX(醫師週班表!$C$5:$T$44,$CU16,BP$57),""))=2,IF(AND(RIGHT(IFERROR(INDEX(醫師週班表!$C$5:$T$44,$CU16,BP$57),""),1)="~",BP$58=1),"",LEFT(IFERROR(INDEX(醫師週班表!$C$5:$T$44,$CU16,BP$57),""),1)),IFERROR(INDEX(醫師週班表!$C$5:$T$44,$CU16,BP$57),""))))))</f>
        <v/>
      </c>
      <c r="BQ16" s="68">
        <f>IF(BQ$59="X","",IF(BQ$59&lt;&gt;"",BQ$59,IF(IFERROR(INDEX(醫師週班表!$C$5:$T$44,$CU16,BQ$57),"")=0,"",IF(LEN(IFERROR(INDEX(醫師週班表!$C$5:$T$44,$CU16,BQ$57),""))=4,MID(IFERROR(INDEX(醫師週班表!$C$5:$T$44,$CU16,BQ$57),""),1+BQ$58*2,1),IF(LEN(IFERROR(INDEX(醫師週班表!$C$5:$T$44,$CU16,BQ$57),""))=2,IF(AND(RIGHT(IFERROR(INDEX(醫師週班表!$C$5:$T$44,$CU16,BQ$57),""),1)="~",BQ$58=1),"",LEFT(IFERROR(INDEX(醫師週班表!$C$5:$T$44,$CU16,BQ$57),""),1)),IFERROR(INDEX(醫師週班表!$C$5:$T$44,$CU16,BQ$57),""))))))</f>
        <v/>
      </c>
      <c r="BR16" s="68">
        <f>IF(BR$59="X","",IF(BR$59&lt;&gt;"",BR$59,IF(IFERROR(INDEX(醫師週班表!$C$5:$T$44,$CU16,BR$57),"")=0,"",IF(LEN(IFERROR(INDEX(醫師週班表!$C$5:$T$44,$CU16,BR$57),""))=4,MID(IFERROR(INDEX(醫師週班表!$C$5:$T$44,$CU16,BR$57),""),1+BR$58*2,1),IF(LEN(IFERROR(INDEX(醫師週班表!$C$5:$T$44,$CU16,BR$57),""))=2,IF(AND(RIGHT(IFERROR(INDEX(醫師週班表!$C$5:$T$44,$CU16,BR$57),""),1)="~",BR$58=1),"",LEFT(IFERROR(INDEX(醫師週班表!$C$5:$T$44,$CU16,BR$57),""),1)),IFERROR(INDEX(醫師週班表!$C$5:$T$44,$CU16,BR$57),""))))))</f>
        <v/>
      </c>
      <c r="BS16" s="67">
        <f>IF(BS$59="X","",IF(BS$59&lt;&gt;"",BS$59,IF(IFERROR(INDEX(醫師週班表!$C$5:$T$44,$CU16,BS$57),"")=0,"",IF(LEN(IFERROR(INDEX(醫師週班表!$C$5:$T$44,$CU16,BS$57),""))=4,MID(IFERROR(INDEX(醫師週班表!$C$5:$T$44,$CU16,BS$57),""),1+BS$58*2,1),IF(LEN(IFERROR(INDEX(醫師週班表!$C$5:$T$44,$CU16,BS$57),""))=2,IF(AND(RIGHT(IFERROR(INDEX(醫師週班表!$C$5:$T$44,$CU16,BS$57),""),1)="~",BS$58=1),"",LEFT(IFERROR(INDEX(醫師週班表!$C$5:$T$44,$CU16,BS$57),""),1)),IFERROR(INDEX(醫師週班表!$C$5:$T$44,$CU16,BS$57),""))))))</f>
        <v/>
      </c>
      <c r="BT16" s="68">
        <f>IF(BT$59="X","",IF(BT$59&lt;&gt;"",BT$59,IF(IFERROR(INDEX(醫師週班表!$C$5:$T$44,$CU16,BT$57),"")=0,"",IF(LEN(IFERROR(INDEX(醫師週班表!$C$5:$T$44,$CU16,BT$57),""))=4,MID(IFERROR(INDEX(醫師週班表!$C$5:$T$44,$CU16,BT$57),""),1+BT$58*2,1),IF(LEN(IFERROR(INDEX(醫師週班表!$C$5:$T$44,$CU16,BT$57),""))=2,IF(AND(RIGHT(IFERROR(INDEX(醫師週班表!$C$5:$T$44,$CU16,BT$57),""),1)="~",BT$58=1),"",LEFT(IFERROR(INDEX(醫師週班表!$C$5:$T$44,$CU16,BT$57),""),1)),IFERROR(INDEX(醫師週班表!$C$5:$T$44,$CU16,BT$57),""))))))</f>
        <v/>
      </c>
      <c r="BU16" s="68">
        <f>IF(BU$59="X","",IF(BU$59&lt;&gt;"",BU$59,IF(IFERROR(INDEX(醫師週班表!$C$5:$T$44,$CU16,BU$57),"")=0,"",IF(LEN(IFERROR(INDEX(醫師週班表!$C$5:$T$44,$CU16,BU$57),""))=4,MID(IFERROR(INDEX(醫師週班表!$C$5:$T$44,$CU16,BU$57),""),1+BU$58*2,1),IF(LEN(IFERROR(INDEX(醫師週班表!$C$5:$T$44,$CU16,BU$57),""))=2,IF(AND(RIGHT(IFERROR(INDEX(醫師週班表!$C$5:$T$44,$CU16,BU$57),""),1)="~",BU$58=1),"",LEFT(IFERROR(INDEX(醫師週班表!$C$5:$T$44,$CU16,BU$57),""),1)),IFERROR(INDEX(醫師週班表!$C$5:$T$44,$CU16,BU$57),""))))))</f>
        <v/>
      </c>
      <c r="BV16" s="67">
        <f>IF(BV$59="X","",IF(BV$59&lt;&gt;"",BV$59,IF(IFERROR(INDEX(醫師週班表!$C$5:$T$44,$CU16,BV$57),"")=0,"",IF(LEN(IFERROR(INDEX(醫師週班表!$C$5:$T$44,$CU16,BV$57),""))=4,MID(IFERROR(INDEX(醫師週班表!$C$5:$T$44,$CU16,BV$57),""),1+BV$58*2,1),IF(LEN(IFERROR(INDEX(醫師週班表!$C$5:$T$44,$CU16,BV$57),""))=2,IF(AND(RIGHT(IFERROR(INDEX(醫師週班表!$C$5:$T$44,$CU16,BV$57),""),1)="~",BV$58=1),"",LEFT(IFERROR(INDEX(醫師週班表!$C$5:$T$44,$CU16,BV$57),""),1)),IFERROR(INDEX(醫師週班表!$C$5:$T$44,$CU16,BV$57),""))))))</f>
        <v/>
      </c>
      <c r="BW16" s="68">
        <f>IF(BW$59="X","",IF(BW$59&lt;&gt;"",BW$59,IF(IFERROR(INDEX(醫師週班表!$C$5:$T$44,$CU16,BW$57),"")=0,"",IF(LEN(IFERROR(INDEX(醫師週班表!$C$5:$T$44,$CU16,BW$57),""))=4,MID(IFERROR(INDEX(醫師週班表!$C$5:$T$44,$CU16,BW$57),""),1+BW$58*2,1),IF(LEN(IFERROR(INDEX(醫師週班表!$C$5:$T$44,$CU16,BW$57),""))=2,IF(AND(RIGHT(IFERROR(INDEX(醫師週班表!$C$5:$T$44,$CU16,BW$57),""),1)="~",BW$58=1),"",LEFT(IFERROR(INDEX(醫師週班表!$C$5:$T$44,$CU16,BW$57),""),1)),IFERROR(INDEX(醫師週班表!$C$5:$T$44,$CU16,BW$57),""))))))</f>
        <v/>
      </c>
      <c r="BX16" s="68">
        <f>IF(BX$59="X","",IF(BX$59&lt;&gt;"",BX$59,IF(IFERROR(INDEX(醫師週班表!$C$5:$T$44,$CU16,BX$57),"")=0,"",IF(LEN(IFERROR(INDEX(醫師週班表!$C$5:$T$44,$CU16,BX$57),""))=4,MID(IFERROR(INDEX(醫師週班表!$C$5:$T$44,$CU16,BX$57),""),1+BX$58*2,1),IF(LEN(IFERROR(INDEX(醫師週班表!$C$5:$T$44,$CU16,BX$57),""))=2,IF(AND(RIGHT(IFERROR(INDEX(醫師週班表!$C$5:$T$44,$CU16,BX$57),""),1)="~",BX$58=1),"",LEFT(IFERROR(INDEX(醫師週班表!$C$5:$T$44,$CU16,BX$57),""),1)),IFERROR(INDEX(醫師週班表!$C$5:$T$44,$CU16,BX$57),""))))))</f>
        <v/>
      </c>
      <c r="BY16" s="67">
        <f>IF(BY$59="X","",IF(BY$59&lt;&gt;"",BY$59,IF(IFERROR(INDEX(醫師週班表!$C$5:$T$44,$CU16,BY$57),"")=0,"",IF(LEN(IFERROR(INDEX(醫師週班表!$C$5:$T$44,$CU16,BY$57),""))=4,MID(IFERROR(INDEX(醫師週班表!$C$5:$T$44,$CU16,BY$57),""),1+BY$58*2,1),IF(LEN(IFERROR(INDEX(醫師週班表!$C$5:$T$44,$CU16,BY$57),""))=2,IF(AND(RIGHT(IFERROR(INDEX(醫師週班表!$C$5:$T$44,$CU16,BY$57),""),1)="~",BY$58=1),"",LEFT(IFERROR(INDEX(醫師週班表!$C$5:$T$44,$CU16,BY$57),""),1)),IFERROR(INDEX(醫師週班表!$C$5:$T$44,$CU16,BY$57),""))))))</f>
        <v/>
      </c>
      <c r="BZ16" s="68">
        <f>IF(BZ$59="X","",IF(BZ$59&lt;&gt;"",BZ$59,IF(IFERROR(INDEX(醫師週班表!$C$5:$T$44,$CU16,BZ$57),"")=0,"",IF(LEN(IFERROR(INDEX(醫師週班表!$C$5:$T$44,$CU16,BZ$57),""))=4,MID(IFERROR(INDEX(醫師週班表!$C$5:$T$44,$CU16,BZ$57),""),1+BZ$58*2,1),IF(LEN(IFERROR(INDEX(醫師週班表!$C$5:$T$44,$CU16,BZ$57),""))=2,IF(AND(RIGHT(IFERROR(INDEX(醫師週班表!$C$5:$T$44,$CU16,BZ$57),""),1)="~",BZ$58=1),"",LEFT(IFERROR(INDEX(醫師週班表!$C$5:$T$44,$CU16,BZ$57),""),1)),IFERROR(INDEX(醫師週班表!$C$5:$T$44,$CU16,BZ$57),""))))))</f>
        <v/>
      </c>
      <c r="CA16" s="68">
        <f>IF(CA$59="X","",IF(CA$59&lt;&gt;"",CA$59,IF(IFERROR(INDEX(醫師週班表!$C$5:$T$44,$CU16,CA$57),"")=0,"",IF(LEN(IFERROR(INDEX(醫師週班表!$C$5:$T$44,$CU16,CA$57),""))=4,MID(IFERROR(INDEX(醫師週班表!$C$5:$T$44,$CU16,CA$57),""),1+CA$58*2,1),IF(LEN(IFERROR(INDEX(醫師週班表!$C$5:$T$44,$CU16,CA$57),""))=2,IF(AND(RIGHT(IFERROR(INDEX(醫師週班表!$C$5:$T$44,$CU16,CA$57),""),1)="~",CA$58=1),"",LEFT(IFERROR(INDEX(醫師週班表!$C$5:$T$44,$CU16,CA$57),""),1)),IFERROR(INDEX(醫師週班表!$C$5:$T$44,$CU16,CA$57),""))))))</f>
        <v/>
      </c>
      <c r="CB16" s="67">
        <f>IF(CB$59="X","",IF(CB$59&lt;&gt;"",CB$59,IF(IFERROR(INDEX(醫師週班表!$C$5:$T$44,$CU16,CB$57),"")=0,"",IF(LEN(IFERROR(INDEX(醫師週班表!$C$5:$T$44,$CU16,CB$57),""))=4,MID(IFERROR(INDEX(醫師週班表!$C$5:$T$44,$CU16,CB$57),""),1+CB$58*2,1),IF(LEN(IFERROR(INDEX(醫師週班表!$C$5:$T$44,$CU16,CB$57),""))=2,IF(AND(RIGHT(IFERROR(INDEX(醫師週班表!$C$5:$T$44,$CU16,CB$57),""),1)="~",CB$58=1),"",LEFT(IFERROR(INDEX(醫師週班表!$C$5:$T$44,$CU16,CB$57),""),1)),IFERROR(INDEX(醫師週班表!$C$5:$T$44,$CU16,CB$57),""))))))</f>
        <v/>
      </c>
      <c r="CC16" s="68">
        <f>IF(CC$59="X","",IF(CC$59&lt;&gt;"",CC$59,IF(IFERROR(INDEX(醫師週班表!$C$5:$T$44,$CU16,CC$57),"")=0,"",IF(LEN(IFERROR(INDEX(醫師週班表!$C$5:$T$44,$CU16,CC$57),""))=4,MID(IFERROR(INDEX(醫師週班表!$C$5:$T$44,$CU16,CC$57),""),1+CC$58*2,1),IF(LEN(IFERROR(INDEX(醫師週班表!$C$5:$T$44,$CU16,CC$57),""))=2,IF(AND(RIGHT(IFERROR(INDEX(醫師週班表!$C$5:$T$44,$CU16,CC$57),""),1)="~",CC$58=1),"",LEFT(IFERROR(INDEX(醫師週班表!$C$5:$T$44,$CU16,CC$57),""),1)),IFERROR(INDEX(醫師週班表!$C$5:$T$44,$CU16,CC$57),""))))))</f>
        <v/>
      </c>
      <c r="CD16" s="68">
        <f>IF(CD$59="X","",IF(CD$59&lt;&gt;"",CD$59,IF(IFERROR(INDEX(醫師週班表!$C$5:$T$44,$CU16,CD$57),"")=0,"",IF(LEN(IFERROR(INDEX(醫師週班表!$C$5:$T$44,$CU16,CD$57),""))=4,MID(IFERROR(INDEX(醫師週班表!$C$5:$T$44,$CU16,CD$57),""),1+CD$58*2,1),IF(LEN(IFERROR(INDEX(醫師週班表!$C$5:$T$44,$CU16,CD$57),""))=2,IF(AND(RIGHT(IFERROR(INDEX(醫師週班表!$C$5:$T$44,$CU16,CD$57),""),1)="~",CD$58=1),"",LEFT(IFERROR(INDEX(醫師週班表!$C$5:$T$44,$CU16,CD$57),""),1)),IFERROR(INDEX(醫師週班表!$C$5:$T$44,$CU16,CD$57),""))))))</f>
        <v/>
      </c>
      <c r="CE16" s="67">
        <f>IF(CE$59="X","",IF(CE$59&lt;&gt;"",CE$59,IF(IFERROR(INDEX(醫師週班表!$C$5:$T$44,$CU16,CE$57),"")=0,"",IF(LEN(IFERROR(INDEX(醫師週班表!$C$5:$T$44,$CU16,CE$57),""))=4,MID(IFERROR(INDEX(醫師週班表!$C$5:$T$44,$CU16,CE$57),""),1+CE$58*2,1),IF(LEN(IFERROR(INDEX(醫師週班表!$C$5:$T$44,$CU16,CE$57),""))=2,IF(AND(RIGHT(IFERROR(INDEX(醫師週班表!$C$5:$T$44,$CU16,CE$57),""),1)="~",CE$58=1),"",LEFT(IFERROR(INDEX(醫師週班表!$C$5:$T$44,$CU16,CE$57),""),1)),IFERROR(INDEX(醫師週班表!$C$5:$T$44,$CU16,CE$57),""))))))</f>
        <v/>
      </c>
      <c r="CF16" s="68">
        <f>IF(CF$59="X","",IF(CF$59&lt;&gt;"",CF$59,IF(IFERROR(INDEX(醫師週班表!$C$5:$T$44,$CU16,CF$57),"")=0,"",IF(LEN(IFERROR(INDEX(醫師週班表!$C$5:$T$44,$CU16,CF$57),""))=4,MID(IFERROR(INDEX(醫師週班表!$C$5:$T$44,$CU16,CF$57),""),1+CF$58*2,1),IF(LEN(IFERROR(INDEX(醫師週班表!$C$5:$T$44,$CU16,CF$57),""))=2,IF(AND(RIGHT(IFERROR(INDEX(醫師週班表!$C$5:$T$44,$CU16,CF$57),""),1)="~",CF$58=1),"",LEFT(IFERROR(INDEX(醫師週班表!$C$5:$T$44,$CU16,CF$57),""),1)),IFERROR(INDEX(醫師週班表!$C$5:$T$44,$CU16,CF$57),""))))))</f>
        <v/>
      </c>
      <c r="CG16" s="68">
        <f>IF(CG$59="X","",IF(CG$59&lt;&gt;"",CG$59,IF(IFERROR(INDEX(醫師週班表!$C$5:$T$44,$CU16,CG$57),"")=0,"",IF(LEN(IFERROR(INDEX(醫師週班表!$C$5:$T$44,$CU16,CG$57),""))=4,MID(IFERROR(INDEX(醫師週班表!$C$5:$T$44,$CU16,CG$57),""),1+CG$58*2,1),IF(LEN(IFERROR(INDEX(醫師週班表!$C$5:$T$44,$CU16,CG$57),""))=2,IF(AND(RIGHT(IFERROR(INDEX(醫師週班表!$C$5:$T$44,$CU16,CG$57),""),1)="~",CG$58=1),"",LEFT(IFERROR(INDEX(醫師週班表!$C$5:$T$44,$CU16,CG$57),""),1)),IFERROR(INDEX(醫師週班表!$C$5:$T$44,$CU16,CG$57),""))))))</f>
        <v/>
      </c>
      <c r="CH16" s="67">
        <f>IF(CH$59="X","",IF(CH$59&lt;&gt;"",CH$59,IF(IFERROR(INDEX(醫師週班表!$C$5:$T$44,$CU16,CH$57),"")=0,"",IF(LEN(IFERROR(INDEX(醫師週班表!$C$5:$T$44,$CU16,CH$57),""))=4,MID(IFERROR(INDEX(醫師週班表!$C$5:$T$44,$CU16,CH$57),""),1+CH$58*2,1),IF(LEN(IFERROR(INDEX(醫師週班表!$C$5:$T$44,$CU16,CH$57),""))=2,IF(AND(RIGHT(IFERROR(INDEX(醫師週班表!$C$5:$T$44,$CU16,CH$57),""),1)="~",CH$58=1),"",LEFT(IFERROR(INDEX(醫師週班表!$C$5:$T$44,$CU16,CH$57),""),1)),IFERROR(INDEX(醫師週班表!$C$5:$T$44,$CU16,CH$57),""))))))</f>
        <v/>
      </c>
      <c r="CI16" s="68">
        <f>IF(CI$59="X","",IF(CI$59&lt;&gt;"",CI$59,IF(IFERROR(INDEX(醫師週班表!$C$5:$T$44,$CU16,CI$57),"")=0,"",IF(LEN(IFERROR(INDEX(醫師週班表!$C$5:$T$44,$CU16,CI$57),""))=4,MID(IFERROR(INDEX(醫師週班表!$C$5:$T$44,$CU16,CI$57),""),1+CI$58*2,1),IF(LEN(IFERROR(INDEX(醫師週班表!$C$5:$T$44,$CU16,CI$57),""))=2,IF(AND(RIGHT(IFERROR(INDEX(醫師週班表!$C$5:$T$44,$CU16,CI$57),""),1)="~",CI$58=1),"",LEFT(IFERROR(INDEX(醫師週班表!$C$5:$T$44,$CU16,CI$57),""),1)),IFERROR(INDEX(醫師週班表!$C$5:$T$44,$CU16,CI$57),""))))))</f>
        <v/>
      </c>
      <c r="CJ16" s="68">
        <f>IF(CJ$59="X","",IF(CJ$59&lt;&gt;"",CJ$59,IF(IFERROR(INDEX(醫師週班表!$C$5:$T$44,$CU16,CJ$57),"")=0,"",IF(LEN(IFERROR(INDEX(醫師週班表!$C$5:$T$44,$CU16,CJ$57),""))=4,MID(IFERROR(INDEX(醫師週班表!$C$5:$T$44,$CU16,CJ$57),""),1+CJ$58*2,1),IF(LEN(IFERROR(INDEX(醫師週班表!$C$5:$T$44,$CU16,CJ$57),""))=2,IF(AND(RIGHT(IFERROR(INDEX(醫師週班表!$C$5:$T$44,$CU16,CJ$57),""),1)="~",CJ$58=1),"",LEFT(IFERROR(INDEX(醫師週班表!$C$5:$T$44,$CU16,CJ$57),""),1)),IFERROR(INDEX(醫師週班表!$C$5:$T$44,$CU16,CJ$57),""))))))</f>
        <v/>
      </c>
      <c r="CK16" s="67">
        <f>IF(CK$59="X","",IF(CK$59&lt;&gt;"",CK$59,IF(IFERROR(INDEX(醫師週班表!$C$5:$T$44,$CU16,CK$57),"")=0,"",IF(LEN(IFERROR(INDEX(醫師週班表!$C$5:$T$44,$CU16,CK$57),""))=4,MID(IFERROR(INDEX(醫師週班表!$C$5:$T$44,$CU16,CK$57),""),1+CK$58*2,1),IF(LEN(IFERROR(INDEX(醫師週班表!$C$5:$T$44,$CU16,CK$57),""))=2,IF(AND(RIGHT(IFERROR(INDEX(醫師週班表!$C$5:$T$44,$CU16,CK$57),""),1)="~",CK$58=1),"",LEFT(IFERROR(INDEX(醫師週班表!$C$5:$T$44,$CU16,CK$57),""),1)),IFERROR(INDEX(醫師週班表!$C$5:$T$44,$CU16,CK$57),""))))))</f>
        <v/>
      </c>
      <c r="CL16" s="68">
        <f>IF(CL$59="X","",IF(CL$59&lt;&gt;"",CL$59,IF(IFERROR(INDEX(醫師週班表!$C$5:$T$44,$CU16,CL$57),"")=0,"",IF(LEN(IFERROR(INDEX(醫師週班表!$C$5:$T$44,$CU16,CL$57),""))=4,MID(IFERROR(INDEX(醫師週班表!$C$5:$T$44,$CU16,CL$57),""),1+CL$58*2,1),IF(LEN(IFERROR(INDEX(醫師週班表!$C$5:$T$44,$CU16,CL$57),""))=2,IF(AND(RIGHT(IFERROR(INDEX(醫師週班表!$C$5:$T$44,$CU16,CL$57),""),1)="~",CL$58=1),"",LEFT(IFERROR(INDEX(醫師週班表!$C$5:$T$44,$CU16,CL$57),""),1)),IFERROR(INDEX(醫師週班表!$C$5:$T$44,$CU16,CL$57),""))))))</f>
        <v/>
      </c>
      <c r="CM16" s="68">
        <f>IF(CM$59="X","",IF(CM$59&lt;&gt;"",CM$59,IF(IFERROR(INDEX(醫師週班表!$C$5:$T$44,$CU16,CM$57),"")=0,"",IF(LEN(IFERROR(INDEX(醫師週班表!$C$5:$T$44,$CU16,CM$57),""))=4,MID(IFERROR(INDEX(醫師週班表!$C$5:$T$44,$CU16,CM$57),""),1+CM$58*2,1),IF(LEN(IFERROR(INDEX(醫師週班表!$C$5:$T$44,$CU16,CM$57),""))=2,IF(AND(RIGHT(IFERROR(INDEX(醫師週班表!$C$5:$T$44,$CU16,CM$57),""),1)="~",CM$58=1),"",LEFT(IFERROR(INDEX(醫師週班表!$C$5:$T$44,$CU16,CM$57),""),1)),IFERROR(INDEX(醫師週班表!$C$5:$T$44,$CU16,CM$57),""))))))</f>
        <v/>
      </c>
      <c r="CN16" s="67">
        <f>IF(CN$59="X","",IF(CN$59&lt;&gt;"",CN$59,IF(IFERROR(INDEX(醫師週班表!$C$5:$T$44,$CU16,CN$57),"")=0,"",IF(LEN(IFERROR(INDEX(醫師週班表!$C$5:$T$44,$CU16,CN$57),""))=4,MID(IFERROR(INDEX(醫師週班表!$C$5:$T$44,$CU16,CN$57),""),1+CN$58*2,1),IF(LEN(IFERROR(INDEX(醫師週班表!$C$5:$T$44,$CU16,CN$57),""))=2,IF(AND(RIGHT(IFERROR(INDEX(醫師週班表!$C$5:$T$44,$CU16,CN$57),""),1)="~",CN$58=1),"",LEFT(IFERROR(INDEX(醫師週班表!$C$5:$T$44,$CU16,CN$57),""),1)),IFERROR(INDEX(醫師週班表!$C$5:$T$44,$CU16,CN$57),""))))))</f>
        <v/>
      </c>
      <c r="CO16" s="68">
        <f>IF(CO$59="X","",IF(CO$59&lt;&gt;"",CO$59,IF(IFERROR(INDEX(醫師週班表!$C$5:$T$44,$CU16,CO$57),"")=0,"",IF(LEN(IFERROR(INDEX(醫師週班表!$C$5:$T$44,$CU16,CO$57),""))=4,MID(IFERROR(INDEX(醫師週班表!$C$5:$T$44,$CU16,CO$57),""),1+CO$58*2,1),IF(LEN(IFERROR(INDEX(醫師週班表!$C$5:$T$44,$CU16,CO$57),""))=2,IF(AND(RIGHT(IFERROR(INDEX(醫師週班表!$C$5:$T$44,$CU16,CO$57),""),1)="~",CO$58=1),"",LEFT(IFERROR(INDEX(醫師週班表!$C$5:$T$44,$CU16,CO$57),""),1)),IFERROR(INDEX(醫師週班表!$C$5:$T$44,$CU16,CO$57),""))))))</f>
        <v/>
      </c>
      <c r="CP16" s="68">
        <f>IF(CP$59="X","",IF(CP$59&lt;&gt;"",CP$59,IF(IFERROR(INDEX(醫師週班表!$C$5:$T$44,$CU16,CP$57),"")=0,"",IF(LEN(IFERROR(INDEX(醫師週班表!$C$5:$T$44,$CU16,CP$57),""))=4,MID(IFERROR(INDEX(醫師週班表!$C$5:$T$44,$CU16,CP$57),""),1+CP$58*2,1),IF(LEN(IFERROR(INDEX(醫師週班表!$C$5:$T$44,$CU16,CP$57),""))=2,IF(AND(RIGHT(IFERROR(INDEX(醫師週班表!$C$5:$T$44,$CU16,CP$57),""),1)="~",CP$58=1),"",LEFT(IFERROR(INDEX(醫師週班表!$C$5:$T$44,$CU16,CP$57),""),1)),IFERROR(INDEX(醫師週班表!$C$5:$T$44,$CU16,CP$57),""))))))</f>
        <v/>
      </c>
      <c r="CQ16" s="67">
        <f>IF(CQ$59="X","",IF(CQ$59&lt;&gt;"",CQ$59,IF(IFERROR(INDEX(醫師週班表!$C$5:$T$44,$CU16,CQ$57),"")=0,"",IF(LEN(IFERROR(INDEX(醫師週班表!$C$5:$T$44,$CU16,CQ$57),""))=4,MID(IFERROR(INDEX(醫師週班表!$C$5:$T$44,$CU16,CQ$57),""),1+CQ$58*2,1),IF(LEN(IFERROR(INDEX(醫師週班表!$C$5:$T$44,$CU16,CQ$57),""))=2,IF(AND(RIGHT(IFERROR(INDEX(醫師週班表!$C$5:$T$44,$CU16,CQ$57),""),1)="~",CQ$58=1),"",LEFT(IFERROR(INDEX(醫師週班表!$C$5:$T$44,$CU16,CQ$57),""),1)),IFERROR(INDEX(醫師週班表!$C$5:$T$44,$CU16,CQ$57),""))))))</f>
        <v/>
      </c>
      <c r="CR16" s="68">
        <f>IF(CR$59="X","",IF(CR$59&lt;&gt;"",CR$59,IF(IFERROR(INDEX(醫師週班表!$C$5:$T$44,$CU16,CR$57),"")=0,"",IF(LEN(IFERROR(INDEX(醫師週班表!$C$5:$T$44,$CU16,CR$57),""))=4,MID(IFERROR(INDEX(醫師週班表!$C$5:$T$44,$CU16,CR$57),""),1+CR$58*2,1),IF(LEN(IFERROR(INDEX(醫師週班表!$C$5:$T$44,$CU16,CR$57),""))=2,IF(AND(RIGHT(IFERROR(INDEX(醫師週班表!$C$5:$T$44,$CU16,CR$57),""),1)="~",CR$58=1),"",LEFT(IFERROR(INDEX(醫師週班表!$C$5:$T$44,$CU16,CR$57),""),1)),IFERROR(INDEX(醫師週班表!$C$5:$T$44,$CU16,CR$57),""))))))</f>
        <v/>
      </c>
      <c r="CS16" s="68">
        <f>IF(CS$59="X","",IF(CS$59&lt;&gt;"",CS$59,IF(IFERROR(INDEX(醫師週班表!$C$5:$T$44,$CU16,CS$57),"")=0,"",IF(LEN(IFERROR(INDEX(醫師週班表!$C$5:$T$44,$CU16,CS$57),""))=4,MID(IFERROR(INDEX(醫師週班表!$C$5:$T$44,$CU16,CS$57),""),1+CS$58*2,1),IF(LEN(IFERROR(INDEX(醫師週班表!$C$5:$T$44,$CU16,CS$57),""))=2,IF(AND(RIGHT(IFERROR(INDEX(醫師週班表!$C$5:$T$44,$CU16,CS$57),""),1)="~",CS$58=1),"",LEFT(IFERROR(INDEX(醫師週班表!$C$5:$T$44,$CU16,CS$57),""),1)),IFERROR(INDEX(醫師週班表!$C$5:$T$44,$CU16,CS$57),""))))))</f>
        <v/>
      </c>
      <c r="CU16" s="69">
        <f>IFERROR(MATCH($A16,醫師週班表!$A$5:$A$44,0),0)</f>
        <v/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IFERROR(INDEX(醫師週班表!$C$5:$T$44,$CU17,E$57),"")=0,"",IF(LEN(IFERROR(INDEX(醫師週班表!$C$5:$T$44,$CU17,E$57),""))=4,MID(IFERROR(INDEX(醫師週班表!$C$5:$T$44,$CU17,E$57),""),1+E$58*2,1),IF(LEN(IFERROR(INDEX(醫師週班表!$C$5:$T$44,$CU17,E$57),""))=2,IF(AND(RIGHT(IFERROR(INDEX(醫師週班表!$C$5:$T$44,$CU17,E$57),""),1)="~",E$58=1),"",LEFT(IFERROR(INDEX(醫師週班表!$C$5:$T$44,$CU17,E$57),""),1)),IFERROR(INDEX(醫師週班表!$C$5:$T$44,$CU17,E$57),""))))))</f>
        <v/>
      </c>
      <c r="F17" s="68">
        <f>IF(F$59="X","",IF(F$59&lt;&gt;"",F$59,IF(IFERROR(INDEX(醫師週班表!$C$5:$T$44,$CU17,F$57),"")=0,"",IF(LEN(IFERROR(INDEX(醫師週班表!$C$5:$T$44,$CU17,F$57),""))=4,MID(IFERROR(INDEX(醫師週班表!$C$5:$T$44,$CU17,F$57),""),1+F$58*2,1),IF(LEN(IFERROR(INDEX(醫師週班表!$C$5:$T$44,$CU17,F$57),""))=2,IF(AND(RIGHT(IFERROR(INDEX(醫師週班表!$C$5:$T$44,$CU17,F$57),""),1)="~",F$58=1),"",LEFT(IFERROR(INDEX(醫師週班表!$C$5:$T$44,$CU17,F$57),""),1)),IFERROR(INDEX(醫師週班表!$C$5:$T$44,$CU17,F$57),""))))))</f>
        <v/>
      </c>
      <c r="G17" s="68">
        <f>IF(G$59="X","",IF(G$59&lt;&gt;"",G$59,IF(IFERROR(INDEX(醫師週班表!$C$5:$T$44,$CU17,G$57),"")=0,"",IF(LEN(IFERROR(INDEX(醫師週班表!$C$5:$T$44,$CU17,G$57),""))=4,MID(IFERROR(INDEX(醫師週班表!$C$5:$T$44,$CU17,G$57),""),1+G$58*2,1),IF(LEN(IFERROR(INDEX(醫師週班表!$C$5:$T$44,$CU17,G$57),""))=2,IF(AND(RIGHT(IFERROR(INDEX(醫師週班表!$C$5:$T$44,$CU17,G$57),""),1)="~",G$58=1),"",LEFT(IFERROR(INDEX(醫師週班表!$C$5:$T$44,$CU17,G$57),""),1)),IFERROR(INDEX(醫師週班表!$C$5:$T$44,$CU17,G$57),""))))))</f>
        <v/>
      </c>
      <c r="H17" s="67">
        <f>IF(H$59="X","",IF(H$59&lt;&gt;"",H$59,IF(IFERROR(INDEX(醫師週班表!$C$5:$T$44,$CU17,H$57),"")=0,"",IF(LEN(IFERROR(INDEX(醫師週班表!$C$5:$T$44,$CU17,H$57),""))=4,MID(IFERROR(INDEX(醫師週班表!$C$5:$T$44,$CU17,H$57),""),1+H$58*2,1),IF(LEN(IFERROR(INDEX(醫師週班表!$C$5:$T$44,$CU17,H$57),""))=2,IF(AND(RIGHT(IFERROR(INDEX(醫師週班表!$C$5:$T$44,$CU17,H$57),""),1)="~",H$58=1),"",LEFT(IFERROR(INDEX(醫師週班表!$C$5:$T$44,$CU17,H$57),""),1)),IFERROR(INDEX(醫師週班表!$C$5:$T$44,$CU17,H$57),""))))))</f>
        <v/>
      </c>
      <c r="I17" s="68">
        <f>IF(I$59="X","",IF(I$59&lt;&gt;"",I$59,IF(IFERROR(INDEX(醫師週班表!$C$5:$T$44,$CU17,I$57),"")=0,"",IF(LEN(IFERROR(INDEX(醫師週班表!$C$5:$T$44,$CU17,I$57),""))=4,MID(IFERROR(INDEX(醫師週班表!$C$5:$T$44,$CU17,I$57),""),1+I$58*2,1),IF(LEN(IFERROR(INDEX(醫師週班表!$C$5:$T$44,$CU17,I$57),""))=2,IF(AND(RIGHT(IFERROR(INDEX(醫師週班表!$C$5:$T$44,$CU17,I$57),""),1)="~",I$58=1),"",LEFT(IFERROR(INDEX(醫師週班表!$C$5:$T$44,$CU17,I$57),""),1)),IFERROR(INDEX(醫師週班表!$C$5:$T$44,$CU17,I$57),""))))))</f>
        <v/>
      </c>
      <c r="J17" s="68">
        <f>IF(J$59="X","",IF(J$59&lt;&gt;"",J$59,IF(IFERROR(INDEX(醫師週班表!$C$5:$T$44,$CU17,J$57),"")=0,"",IF(LEN(IFERROR(INDEX(醫師週班表!$C$5:$T$44,$CU17,J$57),""))=4,MID(IFERROR(INDEX(醫師週班表!$C$5:$T$44,$CU17,J$57),""),1+J$58*2,1),IF(LEN(IFERROR(INDEX(醫師週班表!$C$5:$T$44,$CU17,J$57),""))=2,IF(AND(RIGHT(IFERROR(INDEX(醫師週班表!$C$5:$T$44,$CU17,J$57),""),1)="~",J$58=1),"",LEFT(IFERROR(INDEX(醫師週班表!$C$5:$T$44,$CU17,J$57),""),1)),IFERROR(INDEX(醫師週班表!$C$5:$T$44,$CU17,J$57),""))))))</f>
        <v/>
      </c>
      <c r="K17" s="67">
        <f>IF(K$59="X","",IF(K$59&lt;&gt;"",K$59,IF(IFERROR(INDEX(醫師週班表!$C$5:$T$44,$CU17,K$57),"")=0,"",IF(LEN(IFERROR(INDEX(醫師週班表!$C$5:$T$44,$CU17,K$57),""))=4,MID(IFERROR(INDEX(醫師週班表!$C$5:$T$44,$CU17,K$57),""),1+K$58*2,1),IF(LEN(IFERROR(INDEX(醫師週班表!$C$5:$T$44,$CU17,K$57),""))=2,IF(AND(RIGHT(IFERROR(INDEX(醫師週班表!$C$5:$T$44,$CU17,K$57),""),1)="~",K$58=1),"",LEFT(IFERROR(INDEX(醫師週班表!$C$5:$T$44,$CU17,K$57),""),1)),IFERROR(INDEX(醫師週班表!$C$5:$T$44,$CU17,K$57),""))))))</f>
        <v/>
      </c>
      <c r="L17" s="68">
        <f>IF(L$59="X","",IF(L$59&lt;&gt;"",L$59,IF(IFERROR(INDEX(醫師週班表!$C$5:$T$44,$CU17,L$57),"")=0,"",IF(LEN(IFERROR(INDEX(醫師週班表!$C$5:$T$44,$CU17,L$57),""))=4,MID(IFERROR(INDEX(醫師週班表!$C$5:$T$44,$CU17,L$57),""),1+L$58*2,1),IF(LEN(IFERROR(INDEX(醫師週班表!$C$5:$T$44,$CU17,L$57),""))=2,IF(AND(RIGHT(IFERROR(INDEX(醫師週班表!$C$5:$T$44,$CU17,L$57),""),1)="~",L$58=1),"",LEFT(IFERROR(INDEX(醫師週班表!$C$5:$T$44,$CU17,L$57),""),1)),IFERROR(INDEX(醫師週班表!$C$5:$T$44,$CU17,L$57),""))))))</f>
        <v/>
      </c>
      <c r="M17" s="68">
        <f>IF(M$59="X","",IF(M$59&lt;&gt;"",M$59,IF(IFERROR(INDEX(醫師週班表!$C$5:$T$44,$CU17,M$57),"")=0,"",IF(LEN(IFERROR(INDEX(醫師週班表!$C$5:$T$44,$CU17,M$57),""))=4,MID(IFERROR(INDEX(醫師週班表!$C$5:$T$44,$CU17,M$57),""),1+M$58*2,1),IF(LEN(IFERROR(INDEX(醫師週班表!$C$5:$T$44,$CU17,M$57),""))=2,IF(AND(RIGHT(IFERROR(INDEX(醫師週班表!$C$5:$T$44,$CU17,M$57),""),1)="~",M$58=1),"",LEFT(IFERROR(INDEX(醫師週班表!$C$5:$T$44,$CU17,M$57),""),1)),IFERROR(INDEX(醫師週班表!$C$5:$T$44,$CU17,M$57),""))))))</f>
        <v/>
      </c>
      <c r="N17" s="67">
        <f>IF(N$59="X","",IF(N$59&lt;&gt;"",N$59,IF(IFERROR(INDEX(醫師週班表!$C$5:$T$44,$CU17,N$57),"")=0,"",IF(LEN(IFERROR(INDEX(醫師週班表!$C$5:$T$44,$CU17,N$57),""))=4,MID(IFERROR(INDEX(醫師週班表!$C$5:$T$44,$CU17,N$57),""),1+N$58*2,1),IF(LEN(IFERROR(INDEX(醫師週班表!$C$5:$T$44,$CU17,N$57),""))=2,IF(AND(RIGHT(IFERROR(INDEX(醫師週班表!$C$5:$T$44,$CU17,N$57),""),1)="~",N$58=1),"",LEFT(IFERROR(INDEX(醫師週班表!$C$5:$T$44,$CU17,N$57),""),1)),IFERROR(INDEX(醫師週班表!$C$5:$T$44,$CU17,N$57),""))))))</f>
        <v/>
      </c>
      <c r="O17" s="68">
        <f>IF(O$59="X","",IF(O$59&lt;&gt;"",O$59,IF(IFERROR(INDEX(醫師週班表!$C$5:$T$44,$CU17,O$57),"")=0,"",IF(LEN(IFERROR(INDEX(醫師週班表!$C$5:$T$44,$CU17,O$57),""))=4,MID(IFERROR(INDEX(醫師週班表!$C$5:$T$44,$CU17,O$57),""),1+O$58*2,1),IF(LEN(IFERROR(INDEX(醫師週班表!$C$5:$T$44,$CU17,O$57),""))=2,IF(AND(RIGHT(IFERROR(INDEX(醫師週班表!$C$5:$T$44,$CU17,O$57),""),1)="~",O$58=1),"",LEFT(IFERROR(INDEX(醫師週班表!$C$5:$T$44,$CU17,O$57),""),1)),IFERROR(INDEX(醫師週班表!$C$5:$T$44,$CU17,O$57),""))))))</f>
        <v/>
      </c>
      <c r="P17" s="68">
        <f>IF(P$59="X","",IF(P$59&lt;&gt;"",P$59,IF(IFERROR(INDEX(醫師週班表!$C$5:$T$44,$CU17,P$57),"")=0,"",IF(LEN(IFERROR(INDEX(醫師週班表!$C$5:$T$44,$CU17,P$57),""))=4,MID(IFERROR(INDEX(醫師週班表!$C$5:$T$44,$CU17,P$57),""),1+P$58*2,1),IF(LEN(IFERROR(INDEX(醫師週班表!$C$5:$T$44,$CU17,P$57),""))=2,IF(AND(RIGHT(IFERROR(INDEX(醫師週班表!$C$5:$T$44,$CU17,P$57),""),1)="~",P$58=1),"",LEFT(IFERROR(INDEX(醫師週班表!$C$5:$T$44,$CU17,P$57),""),1)),IFERROR(INDEX(醫師週班表!$C$5:$T$44,$CU17,P$57),""))))))</f>
        <v/>
      </c>
      <c r="Q17" s="67">
        <f>IF(Q$59="X","",IF(Q$59&lt;&gt;"",Q$59,IF(IFERROR(INDEX(醫師週班表!$C$5:$T$44,$CU17,Q$57),"")=0,"",IF(LEN(IFERROR(INDEX(醫師週班表!$C$5:$T$44,$CU17,Q$57),""))=4,MID(IFERROR(INDEX(醫師週班表!$C$5:$T$44,$CU17,Q$57),""),1+Q$58*2,1),IF(LEN(IFERROR(INDEX(醫師週班表!$C$5:$T$44,$CU17,Q$57),""))=2,IF(AND(RIGHT(IFERROR(INDEX(醫師週班表!$C$5:$T$44,$CU17,Q$57),""),1)="~",Q$58=1),"",LEFT(IFERROR(INDEX(醫師週班表!$C$5:$T$44,$CU17,Q$57),""),1)),IFERROR(INDEX(醫師週班表!$C$5:$T$44,$CU17,Q$57),""))))))</f>
        <v/>
      </c>
      <c r="R17" s="68">
        <f>IF(R$59="X","",IF(R$59&lt;&gt;"",R$59,IF(IFERROR(INDEX(醫師週班表!$C$5:$T$44,$CU17,R$57),"")=0,"",IF(LEN(IFERROR(INDEX(醫師週班表!$C$5:$T$44,$CU17,R$57),""))=4,MID(IFERROR(INDEX(醫師週班表!$C$5:$T$44,$CU17,R$57),""),1+R$58*2,1),IF(LEN(IFERROR(INDEX(醫師週班表!$C$5:$T$44,$CU17,R$57),""))=2,IF(AND(RIGHT(IFERROR(INDEX(醫師週班表!$C$5:$T$44,$CU17,R$57),""),1)="~",R$58=1),"",LEFT(IFERROR(INDEX(醫師週班表!$C$5:$T$44,$CU17,R$57),""),1)),IFERROR(INDEX(醫師週班表!$C$5:$T$44,$CU17,R$57),""))))))</f>
        <v/>
      </c>
      <c r="S17" s="68">
        <f>IF(S$59="X","",IF(S$59&lt;&gt;"",S$59,IF(IFERROR(INDEX(醫師週班表!$C$5:$T$44,$CU17,S$57),"")=0,"",IF(LEN(IFERROR(INDEX(醫師週班表!$C$5:$T$44,$CU17,S$57),""))=4,MID(IFERROR(INDEX(醫師週班表!$C$5:$T$44,$CU17,S$57),""),1+S$58*2,1),IF(LEN(IFERROR(INDEX(醫師週班表!$C$5:$T$44,$CU17,S$57),""))=2,IF(AND(RIGHT(IFERROR(INDEX(醫師週班表!$C$5:$T$44,$CU17,S$57),""),1)="~",S$58=1),"",LEFT(IFERROR(INDEX(醫師週班表!$C$5:$T$44,$CU17,S$57),""),1)),IFERROR(INDEX(醫師週班表!$C$5:$T$44,$CU17,S$57),""))))))</f>
        <v/>
      </c>
      <c r="T17" s="67">
        <f>IF(T$59="X","",IF(T$59&lt;&gt;"",T$59,IF(IFERROR(INDEX(醫師週班表!$C$5:$T$44,$CU17,T$57),"")=0,"",IF(LEN(IFERROR(INDEX(醫師週班表!$C$5:$T$44,$CU17,T$57),""))=4,MID(IFERROR(INDEX(醫師週班表!$C$5:$T$44,$CU17,T$57),""),1+T$58*2,1),IF(LEN(IFERROR(INDEX(醫師週班表!$C$5:$T$44,$CU17,T$57),""))=2,IF(AND(RIGHT(IFERROR(INDEX(醫師週班表!$C$5:$T$44,$CU17,T$57),""),1)="~",T$58=1),"",LEFT(IFERROR(INDEX(醫師週班表!$C$5:$T$44,$CU17,T$57),""),1)),IFERROR(INDEX(醫師週班表!$C$5:$T$44,$CU17,T$57),""))))))</f>
        <v/>
      </c>
      <c r="U17" s="68">
        <f>IF(U$59="X","",IF(U$59&lt;&gt;"",U$59,IF(IFERROR(INDEX(醫師週班表!$C$5:$T$44,$CU17,U$57),"")=0,"",IF(LEN(IFERROR(INDEX(醫師週班表!$C$5:$T$44,$CU17,U$57),""))=4,MID(IFERROR(INDEX(醫師週班表!$C$5:$T$44,$CU17,U$57),""),1+U$58*2,1),IF(LEN(IFERROR(INDEX(醫師週班表!$C$5:$T$44,$CU17,U$57),""))=2,IF(AND(RIGHT(IFERROR(INDEX(醫師週班表!$C$5:$T$44,$CU17,U$57),""),1)="~",U$58=1),"",LEFT(IFERROR(INDEX(醫師週班表!$C$5:$T$44,$CU17,U$57),""),1)),IFERROR(INDEX(醫師週班表!$C$5:$T$44,$CU17,U$57),""))))))</f>
        <v/>
      </c>
      <c r="V17" s="68">
        <f>IF(V$59="X","",IF(V$59&lt;&gt;"",V$59,IF(IFERROR(INDEX(醫師週班表!$C$5:$T$44,$CU17,V$57),"")=0,"",IF(LEN(IFERROR(INDEX(醫師週班表!$C$5:$T$44,$CU17,V$57),""))=4,MID(IFERROR(INDEX(醫師週班表!$C$5:$T$44,$CU17,V$57),""),1+V$58*2,1),IF(LEN(IFERROR(INDEX(醫師週班表!$C$5:$T$44,$CU17,V$57),""))=2,IF(AND(RIGHT(IFERROR(INDEX(醫師週班表!$C$5:$T$44,$CU17,V$57),""),1)="~",V$58=1),"",LEFT(IFERROR(INDEX(醫師週班表!$C$5:$T$44,$CU17,V$57),""),1)),IFERROR(INDEX(醫師週班表!$C$5:$T$44,$CU17,V$57),""))))))</f>
        <v/>
      </c>
      <c r="W17" s="67">
        <f>IF(W$59="X","",IF(W$59&lt;&gt;"",W$59,IF(IFERROR(INDEX(醫師週班表!$C$5:$T$44,$CU17,W$57),"")=0,"",IF(LEN(IFERROR(INDEX(醫師週班表!$C$5:$T$44,$CU17,W$57),""))=4,MID(IFERROR(INDEX(醫師週班表!$C$5:$T$44,$CU17,W$57),""),1+W$58*2,1),IF(LEN(IFERROR(INDEX(醫師週班表!$C$5:$T$44,$CU17,W$57),""))=2,IF(AND(RIGHT(IFERROR(INDEX(醫師週班表!$C$5:$T$44,$CU17,W$57),""),1)="~",W$58=1),"",LEFT(IFERROR(INDEX(醫師週班表!$C$5:$T$44,$CU17,W$57),""),1)),IFERROR(INDEX(醫師週班表!$C$5:$T$44,$CU17,W$57),""))))))</f>
        <v/>
      </c>
      <c r="X17" s="68">
        <f>IF(X$59="X","",IF(X$59&lt;&gt;"",X$59,IF(IFERROR(INDEX(醫師週班表!$C$5:$T$44,$CU17,X$57),"")=0,"",IF(LEN(IFERROR(INDEX(醫師週班表!$C$5:$T$44,$CU17,X$57),""))=4,MID(IFERROR(INDEX(醫師週班表!$C$5:$T$44,$CU17,X$57),""),1+X$58*2,1),IF(LEN(IFERROR(INDEX(醫師週班表!$C$5:$T$44,$CU17,X$57),""))=2,IF(AND(RIGHT(IFERROR(INDEX(醫師週班表!$C$5:$T$44,$CU17,X$57),""),1)="~",X$58=1),"",LEFT(IFERROR(INDEX(醫師週班表!$C$5:$T$44,$CU17,X$57),""),1)),IFERROR(INDEX(醫師週班表!$C$5:$T$44,$CU17,X$57),""))))))</f>
        <v/>
      </c>
      <c r="Y17" s="68">
        <f>IF(Y$59="X","",IF(Y$59&lt;&gt;"",Y$59,IF(IFERROR(INDEX(醫師週班表!$C$5:$T$44,$CU17,Y$57),"")=0,"",IF(LEN(IFERROR(INDEX(醫師週班表!$C$5:$T$44,$CU17,Y$57),""))=4,MID(IFERROR(INDEX(醫師週班表!$C$5:$T$44,$CU17,Y$57),""),1+Y$58*2,1),IF(LEN(IFERROR(INDEX(醫師週班表!$C$5:$T$44,$CU17,Y$57),""))=2,IF(AND(RIGHT(IFERROR(INDEX(醫師週班表!$C$5:$T$44,$CU17,Y$57),""),1)="~",Y$58=1),"",LEFT(IFERROR(INDEX(醫師週班表!$C$5:$T$44,$CU17,Y$57),""),1)),IFERROR(INDEX(醫師週班表!$C$5:$T$44,$CU17,Y$57),""))))))</f>
        <v/>
      </c>
      <c r="Z17" s="67">
        <f>IF(Z$59="X","",IF(Z$59&lt;&gt;"",Z$59,IF(IFERROR(INDEX(醫師週班表!$C$5:$T$44,$CU17,Z$57),"")=0,"",IF(LEN(IFERROR(INDEX(醫師週班表!$C$5:$T$44,$CU17,Z$57),""))=4,MID(IFERROR(INDEX(醫師週班表!$C$5:$T$44,$CU17,Z$57),""),1+Z$58*2,1),IF(LEN(IFERROR(INDEX(醫師週班表!$C$5:$T$44,$CU17,Z$57),""))=2,IF(AND(RIGHT(IFERROR(INDEX(醫師週班表!$C$5:$T$44,$CU17,Z$57),""),1)="~",Z$58=1),"",LEFT(IFERROR(INDEX(醫師週班表!$C$5:$T$44,$CU17,Z$57),""),1)),IFERROR(INDEX(醫師週班表!$C$5:$T$44,$CU17,Z$57),""))))))</f>
        <v/>
      </c>
      <c r="AA17" s="68">
        <f>IF(AA$59="X","",IF(AA$59&lt;&gt;"",AA$59,IF(IFERROR(INDEX(醫師週班表!$C$5:$T$44,$CU17,AA$57),"")=0,"",IF(LEN(IFERROR(INDEX(醫師週班表!$C$5:$T$44,$CU17,AA$57),""))=4,MID(IFERROR(INDEX(醫師週班表!$C$5:$T$44,$CU17,AA$57),""),1+AA$58*2,1),IF(LEN(IFERROR(INDEX(醫師週班表!$C$5:$T$44,$CU17,AA$57),""))=2,IF(AND(RIGHT(IFERROR(INDEX(醫師週班表!$C$5:$T$44,$CU17,AA$57),""),1)="~",AA$58=1),"",LEFT(IFERROR(INDEX(醫師週班表!$C$5:$T$44,$CU17,AA$57),""),1)),IFERROR(INDEX(醫師週班表!$C$5:$T$44,$CU17,AA$57),""))))))</f>
        <v/>
      </c>
      <c r="AB17" s="68">
        <f>IF(AB$59="X","",IF(AB$59&lt;&gt;"",AB$59,IF(IFERROR(INDEX(醫師週班表!$C$5:$T$44,$CU17,AB$57),"")=0,"",IF(LEN(IFERROR(INDEX(醫師週班表!$C$5:$T$44,$CU17,AB$57),""))=4,MID(IFERROR(INDEX(醫師週班表!$C$5:$T$44,$CU17,AB$57),""),1+AB$58*2,1),IF(LEN(IFERROR(INDEX(醫師週班表!$C$5:$T$44,$CU17,AB$57),""))=2,IF(AND(RIGHT(IFERROR(INDEX(醫師週班表!$C$5:$T$44,$CU17,AB$57),""),1)="~",AB$58=1),"",LEFT(IFERROR(INDEX(醫師週班表!$C$5:$T$44,$CU17,AB$57),""),1)),IFERROR(INDEX(醫師週班表!$C$5:$T$44,$CU17,AB$57),""))))))</f>
        <v/>
      </c>
      <c r="AC17" s="67">
        <f>IF(AC$59="X","",IF(AC$59&lt;&gt;"",AC$59,IF(IFERROR(INDEX(醫師週班表!$C$5:$T$44,$CU17,AC$57),"")=0,"",IF(LEN(IFERROR(INDEX(醫師週班表!$C$5:$T$44,$CU17,AC$57),""))=4,MID(IFERROR(INDEX(醫師週班表!$C$5:$T$44,$CU17,AC$57),""),1+AC$58*2,1),IF(LEN(IFERROR(INDEX(醫師週班表!$C$5:$T$44,$CU17,AC$57),""))=2,IF(AND(RIGHT(IFERROR(INDEX(醫師週班表!$C$5:$T$44,$CU17,AC$57),""),1)="~",AC$58=1),"",LEFT(IFERROR(INDEX(醫師週班表!$C$5:$T$44,$CU17,AC$57),""),1)),IFERROR(INDEX(醫師週班表!$C$5:$T$44,$CU17,AC$57),""))))))</f>
        <v/>
      </c>
      <c r="AD17" s="68">
        <f>IF(AD$59="X","",IF(AD$59&lt;&gt;"",AD$59,IF(IFERROR(INDEX(醫師週班表!$C$5:$T$44,$CU17,AD$57),"")=0,"",IF(LEN(IFERROR(INDEX(醫師週班表!$C$5:$T$44,$CU17,AD$57),""))=4,MID(IFERROR(INDEX(醫師週班表!$C$5:$T$44,$CU17,AD$57),""),1+AD$58*2,1),IF(LEN(IFERROR(INDEX(醫師週班表!$C$5:$T$44,$CU17,AD$57),""))=2,IF(AND(RIGHT(IFERROR(INDEX(醫師週班表!$C$5:$T$44,$CU17,AD$57),""),1)="~",AD$58=1),"",LEFT(IFERROR(INDEX(醫師週班表!$C$5:$T$44,$CU17,AD$57),""),1)),IFERROR(INDEX(醫師週班表!$C$5:$T$44,$CU17,AD$57),""))))))</f>
        <v/>
      </c>
      <c r="AE17" s="68">
        <f>IF(AE$59="X","",IF(AE$59&lt;&gt;"",AE$59,IF(IFERROR(INDEX(醫師週班表!$C$5:$T$44,$CU17,AE$57),"")=0,"",IF(LEN(IFERROR(INDEX(醫師週班表!$C$5:$T$44,$CU17,AE$57),""))=4,MID(IFERROR(INDEX(醫師週班表!$C$5:$T$44,$CU17,AE$57),""),1+AE$58*2,1),IF(LEN(IFERROR(INDEX(醫師週班表!$C$5:$T$44,$CU17,AE$57),""))=2,IF(AND(RIGHT(IFERROR(INDEX(醫師週班表!$C$5:$T$44,$CU17,AE$57),""),1)="~",AE$58=1),"",LEFT(IFERROR(INDEX(醫師週班表!$C$5:$T$44,$CU17,AE$57),""),1)),IFERROR(INDEX(醫師週班表!$C$5:$T$44,$CU17,AE$57),""))))))</f>
        <v/>
      </c>
      <c r="AF17" s="67">
        <f>IF(AF$59="X","",IF(AF$59&lt;&gt;"",AF$59,IF(IFERROR(INDEX(醫師週班表!$C$5:$T$44,$CU17,AF$57),"")=0,"",IF(LEN(IFERROR(INDEX(醫師週班表!$C$5:$T$44,$CU17,AF$57),""))=4,MID(IFERROR(INDEX(醫師週班表!$C$5:$T$44,$CU17,AF$57),""),1+AF$58*2,1),IF(LEN(IFERROR(INDEX(醫師週班表!$C$5:$T$44,$CU17,AF$57),""))=2,IF(AND(RIGHT(IFERROR(INDEX(醫師週班表!$C$5:$T$44,$CU17,AF$57),""),1)="~",AF$58=1),"",LEFT(IFERROR(INDEX(醫師週班表!$C$5:$T$44,$CU17,AF$57),""),1)),IFERROR(INDEX(醫師週班表!$C$5:$T$44,$CU17,AF$57),""))))))</f>
        <v/>
      </c>
      <c r="AG17" s="68">
        <f>IF(AG$59="X","",IF(AG$59&lt;&gt;"",AG$59,IF(IFERROR(INDEX(醫師週班表!$C$5:$T$44,$CU17,AG$57),"")=0,"",IF(LEN(IFERROR(INDEX(醫師週班表!$C$5:$T$44,$CU17,AG$57),""))=4,MID(IFERROR(INDEX(醫師週班表!$C$5:$T$44,$CU17,AG$57),""),1+AG$58*2,1),IF(LEN(IFERROR(INDEX(醫師週班表!$C$5:$T$44,$CU17,AG$57),""))=2,IF(AND(RIGHT(IFERROR(INDEX(醫師週班表!$C$5:$T$44,$CU17,AG$57),""),1)="~",AG$58=1),"",LEFT(IFERROR(INDEX(醫師週班表!$C$5:$T$44,$CU17,AG$57),""),1)),IFERROR(INDEX(醫師週班表!$C$5:$T$44,$CU17,AG$57),""))))))</f>
        <v/>
      </c>
      <c r="AH17" s="68">
        <f>IF(AH$59="X","",IF(AH$59&lt;&gt;"",AH$59,IF(IFERROR(INDEX(醫師週班表!$C$5:$T$44,$CU17,AH$57),"")=0,"",IF(LEN(IFERROR(INDEX(醫師週班表!$C$5:$T$44,$CU17,AH$57),""))=4,MID(IFERROR(INDEX(醫師週班表!$C$5:$T$44,$CU17,AH$57),""),1+AH$58*2,1),IF(LEN(IFERROR(INDEX(醫師週班表!$C$5:$T$44,$CU17,AH$57),""))=2,IF(AND(RIGHT(IFERROR(INDEX(醫師週班表!$C$5:$T$44,$CU17,AH$57),""),1)="~",AH$58=1),"",LEFT(IFERROR(INDEX(醫師週班表!$C$5:$T$44,$CU17,AH$57),""),1)),IFERROR(INDEX(醫師週班表!$C$5:$T$44,$CU17,AH$57),""))))))</f>
        <v/>
      </c>
      <c r="AI17" s="67">
        <f>IF(AI$59="X","",IF(AI$59&lt;&gt;"",AI$59,IF(IFERROR(INDEX(醫師週班表!$C$5:$T$44,$CU17,AI$57),"")=0,"",IF(LEN(IFERROR(INDEX(醫師週班表!$C$5:$T$44,$CU17,AI$57),""))=4,MID(IFERROR(INDEX(醫師週班表!$C$5:$T$44,$CU17,AI$57),""),1+AI$58*2,1),IF(LEN(IFERROR(INDEX(醫師週班表!$C$5:$T$44,$CU17,AI$57),""))=2,IF(AND(RIGHT(IFERROR(INDEX(醫師週班表!$C$5:$T$44,$CU17,AI$57),""),1)="~",AI$58=1),"",LEFT(IFERROR(INDEX(醫師週班表!$C$5:$T$44,$CU17,AI$57),""),1)),IFERROR(INDEX(醫師週班表!$C$5:$T$44,$CU17,AI$57),""))))))</f>
        <v/>
      </c>
      <c r="AJ17" s="68">
        <f>IF(AJ$59="X","",IF(AJ$59&lt;&gt;"",AJ$59,IF(IFERROR(INDEX(醫師週班表!$C$5:$T$44,$CU17,AJ$57),"")=0,"",IF(LEN(IFERROR(INDEX(醫師週班表!$C$5:$T$44,$CU17,AJ$57),""))=4,MID(IFERROR(INDEX(醫師週班表!$C$5:$T$44,$CU17,AJ$57),""),1+AJ$58*2,1),IF(LEN(IFERROR(INDEX(醫師週班表!$C$5:$T$44,$CU17,AJ$57),""))=2,IF(AND(RIGHT(IFERROR(INDEX(醫師週班表!$C$5:$T$44,$CU17,AJ$57),""),1)="~",AJ$58=1),"",LEFT(IFERROR(INDEX(醫師週班表!$C$5:$T$44,$CU17,AJ$57),""),1)),IFERROR(INDEX(醫師週班表!$C$5:$T$44,$CU17,AJ$57),""))))))</f>
        <v/>
      </c>
      <c r="AK17" s="68">
        <f>IF(AK$59="X","",IF(AK$59&lt;&gt;"",AK$59,IF(IFERROR(INDEX(醫師週班表!$C$5:$T$44,$CU17,AK$57),"")=0,"",IF(LEN(IFERROR(INDEX(醫師週班表!$C$5:$T$44,$CU17,AK$57),""))=4,MID(IFERROR(INDEX(醫師週班表!$C$5:$T$44,$CU17,AK$57),""),1+AK$58*2,1),IF(LEN(IFERROR(INDEX(醫師週班表!$C$5:$T$44,$CU17,AK$57),""))=2,IF(AND(RIGHT(IFERROR(INDEX(醫師週班表!$C$5:$T$44,$CU17,AK$57),""),1)="~",AK$58=1),"",LEFT(IFERROR(INDEX(醫師週班表!$C$5:$T$44,$CU17,AK$57),""),1)),IFERROR(INDEX(醫師週班表!$C$5:$T$44,$CU17,AK$57),""))))))</f>
        <v/>
      </c>
      <c r="AL17" s="67">
        <f>IF(AL$59="X","",IF(AL$59&lt;&gt;"",AL$59,IF(IFERROR(INDEX(醫師週班表!$C$5:$T$44,$CU17,AL$57),"")=0,"",IF(LEN(IFERROR(INDEX(醫師週班表!$C$5:$T$44,$CU17,AL$57),""))=4,MID(IFERROR(INDEX(醫師週班表!$C$5:$T$44,$CU17,AL$57),""),1+AL$58*2,1),IF(LEN(IFERROR(INDEX(醫師週班表!$C$5:$T$44,$CU17,AL$57),""))=2,IF(AND(RIGHT(IFERROR(INDEX(醫師週班表!$C$5:$T$44,$CU17,AL$57),""),1)="~",AL$58=1),"",LEFT(IFERROR(INDEX(醫師週班表!$C$5:$T$44,$CU17,AL$57),""),1)),IFERROR(INDEX(醫師週班表!$C$5:$T$44,$CU17,AL$57),""))))))</f>
        <v/>
      </c>
      <c r="AM17" s="68">
        <f>IF(AM$59="X","",IF(AM$59&lt;&gt;"",AM$59,IF(IFERROR(INDEX(醫師週班表!$C$5:$T$44,$CU17,AM$57),"")=0,"",IF(LEN(IFERROR(INDEX(醫師週班表!$C$5:$T$44,$CU17,AM$57),""))=4,MID(IFERROR(INDEX(醫師週班表!$C$5:$T$44,$CU17,AM$57),""),1+AM$58*2,1),IF(LEN(IFERROR(INDEX(醫師週班表!$C$5:$T$44,$CU17,AM$57),""))=2,IF(AND(RIGHT(IFERROR(INDEX(醫師週班表!$C$5:$T$44,$CU17,AM$57),""),1)="~",AM$58=1),"",LEFT(IFERROR(INDEX(醫師週班表!$C$5:$T$44,$CU17,AM$57),""),1)),IFERROR(INDEX(醫師週班表!$C$5:$T$44,$CU17,AM$57),""))))))</f>
        <v/>
      </c>
      <c r="AN17" s="68">
        <f>IF(AN$59="X","",IF(AN$59&lt;&gt;"",AN$59,IF(IFERROR(INDEX(醫師週班表!$C$5:$T$44,$CU17,AN$57),"")=0,"",IF(LEN(IFERROR(INDEX(醫師週班表!$C$5:$T$44,$CU17,AN$57),""))=4,MID(IFERROR(INDEX(醫師週班表!$C$5:$T$44,$CU17,AN$57),""),1+AN$58*2,1),IF(LEN(IFERROR(INDEX(醫師週班表!$C$5:$T$44,$CU17,AN$57),""))=2,IF(AND(RIGHT(IFERROR(INDEX(醫師週班表!$C$5:$T$44,$CU17,AN$57),""),1)="~",AN$58=1),"",LEFT(IFERROR(INDEX(醫師週班表!$C$5:$T$44,$CU17,AN$57),""),1)),IFERROR(INDEX(醫師週班表!$C$5:$T$44,$CU17,AN$57),""))))))</f>
        <v/>
      </c>
      <c r="AO17" s="67">
        <f>IF(AO$59="X","",IF(AO$59&lt;&gt;"",AO$59,IF(IFERROR(INDEX(醫師週班表!$C$5:$T$44,$CU17,AO$57),"")=0,"",IF(LEN(IFERROR(INDEX(醫師週班表!$C$5:$T$44,$CU17,AO$57),""))=4,MID(IFERROR(INDEX(醫師週班表!$C$5:$T$44,$CU17,AO$57),""),1+AO$58*2,1),IF(LEN(IFERROR(INDEX(醫師週班表!$C$5:$T$44,$CU17,AO$57),""))=2,IF(AND(RIGHT(IFERROR(INDEX(醫師週班表!$C$5:$T$44,$CU17,AO$57),""),1)="~",AO$58=1),"",LEFT(IFERROR(INDEX(醫師週班表!$C$5:$T$44,$CU17,AO$57),""),1)),IFERROR(INDEX(醫師週班表!$C$5:$T$44,$CU17,AO$57),""))))))</f>
        <v/>
      </c>
      <c r="AP17" s="68">
        <f>IF(AP$59="X","",IF(AP$59&lt;&gt;"",AP$59,IF(IFERROR(INDEX(醫師週班表!$C$5:$T$44,$CU17,AP$57),"")=0,"",IF(LEN(IFERROR(INDEX(醫師週班表!$C$5:$T$44,$CU17,AP$57),""))=4,MID(IFERROR(INDEX(醫師週班表!$C$5:$T$44,$CU17,AP$57),""),1+AP$58*2,1),IF(LEN(IFERROR(INDEX(醫師週班表!$C$5:$T$44,$CU17,AP$57),""))=2,IF(AND(RIGHT(IFERROR(INDEX(醫師週班表!$C$5:$T$44,$CU17,AP$57),""),1)="~",AP$58=1),"",LEFT(IFERROR(INDEX(醫師週班表!$C$5:$T$44,$CU17,AP$57),""),1)),IFERROR(INDEX(醫師週班表!$C$5:$T$44,$CU17,AP$57),""))))))</f>
        <v/>
      </c>
      <c r="AQ17" s="68">
        <f>IF(AQ$59="X","",IF(AQ$59&lt;&gt;"",AQ$59,IF(IFERROR(INDEX(醫師週班表!$C$5:$T$44,$CU17,AQ$57),"")=0,"",IF(LEN(IFERROR(INDEX(醫師週班表!$C$5:$T$44,$CU17,AQ$57),""))=4,MID(IFERROR(INDEX(醫師週班表!$C$5:$T$44,$CU17,AQ$57),""),1+AQ$58*2,1),IF(LEN(IFERROR(INDEX(醫師週班表!$C$5:$T$44,$CU17,AQ$57),""))=2,IF(AND(RIGHT(IFERROR(INDEX(醫師週班表!$C$5:$T$44,$CU17,AQ$57),""),1)="~",AQ$58=1),"",LEFT(IFERROR(INDEX(醫師週班表!$C$5:$T$44,$CU17,AQ$57),""),1)),IFERROR(INDEX(醫師週班表!$C$5:$T$44,$CU17,AQ$57),""))))))</f>
        <v/>
      </c>
      <c r="AR17" s="67">
        <f>IF(AR$59="X","",IF(AR$59&lt;&gt;"",AR$59,IF(IFERROR(INDEX(醫師週班表!$C$5:$T$44,$CU17,AR$57),"")=0,"",IF(LEN(IFERROR(INDEX(醫師週班表!$C$5:$T$44,$CU17,AR$57),""))=4,MID(IFERROR(INDEX(醫師週班表!$C$5:$T$44,$CU17,AR$57),""),1+AR$58*2,1),IF(LEN(IFERROR(INDEX(醫師週班表!$C$5:$T$44,$CU17,AR$57),""))=2,IF(AND(RIGHT(IFERROR(INDEX(醫師週班表!$C$5:$T$44,$CU17,AR$57),""),1)="~",AR$58=1),"",LEFT(IFERROR(INDEX(醫師週班表!$C$5:$T$44,$CU17,AR$57),""),1)),IFERROR(INDEX(醫師週班表!$C$5:$T$44,$CU17,AR$57),""))))))</f>
        <v/>
      </c>
      <c r="AS17" s="68">
        <f>IF(AS$59="X","",IF(AS$59&lt;&gt;"",AS$59,IF(IFERROR(INDEX(醫師週班表!$C$5:$T$44,$CU17,AS$57),"")=0,"",IF(LEN(IFERROR(INDEX(醫師週班表!$C$5:$T$44,$CU17,AS$57),""))=4,MID(IFERROR(INDEX(醫師週班表!$C$5:$T$44,$CU17,AS$57),""),1+AS$58*2,1),IF(LEN(IFERROR(INDEX(醫師週班表!$C$5:$T$44,$CU17,AS$57),""))=2,IF(AND(RIGHT(IFERROR(INDEX(醫師週班表!$C$5:$T$44,$CU17,AS$57),""),1)="~",AS$58=1),"",LEFT(IFERROR(INDEX(醫師週班表!$C$5:$T$44,$CU17,AS$57),""),1)),IFERROR(INDEX(醫師週班表!$C$5:$T$44,$CU17,AS$57),""))))))</f>
        <v/>
      </c>
      <c r="AT17" s="68">
        <f>IF(AT$59="X","",IF(AT$59&lt;&gt;"",AT$59,IF(IFERROR(INDEX(醫師週班表!$C$5:$T$44,$CU17,AT$57),"")=0,"",IF(LEN(IFERROR(INDEX(醫師週班表!$C$5:$T$44,$CU17,AT$57),""))=4,MID(IFERROR(INDEX(醫師週班表!$C$5:$T$44,$CU17,AT$57),""),1+AT$58*2,1),IF(LEN(IFERROR(INDEX(醫師週班表!$C$5:$T$44,$CU17,AT$57),""))=2,IF(AND(RIGHT(IFERROR(INDEX(醫師週班表!$C$5:$T$44,$CU17,AT$57),""),1)="~",AT$58=1),"",LEFT(IFERROR(INDEX(醫師週班表!$C$5:$T$44,$CU17,AT$57),""),1)),IFERROR(INDEX(醫師週班表!$C$5:$T$44,$CU17,AT$57),""))))))</f>
        <v/>
      </c>
      <c r="AU17" s="67">
        <f>IF(AU$59="X","",IF(AU$59&lt;&gt;"",AU$59,IF(IFERROR(INDEX(醫師週班表!$C$5:$T$44,$CU17,AU$57),"")=0,"",IF(LEN(IFERROR(INDEX(醫師週班表!$C$5:$T$44,$CU17,AU$57),""))=4,MID(IFERROR(INDEX(醫師週班表!$C$5:$T$44,$CU17,AU$57),""),1+AU$58*2,1),IF(LEN(IFERROR(INDEX(醫師週班表!$C$5:$T$44,$CU17,AU$57),""))=2,IF(AND(RIGHT(IFERROR(INDEX(醫師週班表!$C$5:$T$44,$CU17,AU$57),""),1)="~",AU$58=1),"",LEFT(IFERROR(INDEX(醫師週班表!$C$5:$T$44,$CU17,AU$57),""),1)),IFERROR(INDEX(醫師週班表!$C$5:$T$44,$CU17,AU$57),""))))))</f>
        <v/>
      </c>
      <c r="AV17" s="68">
        <f>IF(AV$59="X","",IF(AV$59&lt;&gt;"",AV$59,IF(IFERROR(INDEX(醫師週班表!$C$5:$T$44,$CU17,AV$57),"")=0,"",IF(LEN(IFERROR(INDEX(醫師週班表!$C$5:$T$44,$CU17,AV$57),""))=4,MID(IFERROR(INDEX(醫師週班表!$C$5:$T$44,$CU17,AV$57),""),1+AV$58*2,1),IF(LEN(IFERROR(INDEX(醫師週班表!$C$5:$T$44,$CU17,AV$57),""))=2,IF(AND(RIGHT(IFERROR(INDEX(醫師週班表!$C$5:$T$44,$CU17,AV$57),""),1)="~",AV$58=1),"",LEFT(IFERROR(INDEX(醫師週班表!$C$5:$T$44,$CU17,AV$57),""),1)),IFERROR(INDEX(醫師週班表!$C$5:$T$44,$CU17,AV$57),""))))))</f>
        <v/>
      </c>
      <c r="AW17" s="68">
        <f>IF(AW$59="X","",IF(AW$59&lt;&gt;"",AW$59,IF(IFERROR(INDEX(醫師週班表!$C$5:$T$44,$CU17,AW$57),"")=0,"",IF(LEN(IFERROR(INDEX(醫師週班表!$C$5:$T$44,$CU17,AW$57),""))=4,MID(IFERROR(INDEX(醫師週班表!$C$5:$T$44,$CU17,AW$57),""),1+AW$58*2,1),IF(LEN(IFERROR(INDEX(醫師週班表!$C$5:$T$44,$CU17,AW$57),""))=2,IF(AND(RIGHT(IFERROR(INDEX(醫師週班表!$C$5:$T$44,$CU17,AW$57),""),1)="~",AW$58=1),"",LEFT(IFERROR(INDEX(醫師週班表!$C$5:$T$44,$CU17,AW$57),""),1)),IFERROR(INDEX(醫師週班表!$C$5:$T$44,$CU17,AW$57),""))))))</f>
        <v/>
      </c>
      <c r="AX17" s="67">
        <f>IF(AX$59="X","",IF(AX$59&lt;&gt;"",AX$59,IF(IFERROR(INDEX(醫師週班表!$C$5:$T$44,$CU17,AX$57),"")=0,"",IF(LEN(IFERROR(INDEX(醫師週班表!$C$5:$T$44,$CU17,AX$57),""))=4,MID(IFERROR(INDEX(醫師週班表!$C$5:$T$44,$CU17,AX$57),""),1+AX$58*2,1),IF(LEN(IFERROR(INDEX(醫師週班表!$C$5:$T$44,$CU17,AX$57),""))=2,IF(AND(RIGHT(IFERROR(INDEX(醫師週班表!$C$5:$T$44,$CU17,AX$57),""),1)="~",AX$58=1),"",LEFT(IFERROR(INDEX(醫師週班表!$C$5:$T$44,$CU17,AX$57),""),1)),IFERROR(INDEX(醫師週班表!$C$5:$T$44,$CU17,AX$57),""))))))</f>
        <v/>
      </c>
      <c r="AY17" s="68">
        <f>IF(AY$59="X","",IF(AY$59&lt;&gt;"",AY$59,IF(IFERROR(INDEX(醫師週班表!$C$5:$T$44,$CU17,AY$57),"")=0,"",IF(LEN(IFERROR(INDEX(醫師週班表!$C$5:$T$44,$CU17,AY$57),""))=4,MID(IFERROR(INDEX(醫師週班表!$C$5:$T$44,$CU17,AY$57),""),1+AY$58*2,1),IF(LEN(IFERROR(INDEX(醫師週班表!$C$5:$T$44,$CU17,AY$57),""))=2,IF(AND(RIGHT(IFERROR(INDEX(醫師週班表!$C$5:$T$44,$CU17,AY$57),""),1)="~",AY$58=1),"",LEFT(IFERROR(INDEX(醫師週班表!$C$5:$T$44,$CU17,AY$57),""),1)),IFERROR(INDEX(醫師週班表!$C$5:$T$44,$CU17,AY$57),""))))))</f>
        <v/>
      </c>
      <c r="AZ17" s="68">
        <f>IF(AZ$59="X","",IF(AZ$59&lt;&gt;"",AZ$59,IF(IFERROR(INDEX(醫師週班表!$C$5:$T$44,$CU17,AZ$57),"")=0,"",IF(LEN(IFERROR(INDEX(醫師週班表!$C$5:$T$44,$CU17,AZ$57),""))=4,MID(IFERROR(INDEX(醫師週班表!$C$5:$T$44,$CU17,AZ$57),""),1+AZ$58*2,1),IF(LEN(IFERROR(INDEX(醫師週班表!$C$5:$T$44,$CU17,AZ$57),""))=2,IF(AND(RIGHT(IFERROR(INDEX(醫師週班表!$C$5:$T$44,$CU17,AZ$57),""),1)="~",AZ$58=1),"",LEFT(IFERROR(INDEX(醫師週班表!$C$5:$T$44,$CU17,AZ$57),""),1)),IFERROR(INDEX(醫師週班表!$C$5:$T$44,$CU17,AZ$57),""))))))</f>
        <v/>
      </c>
      <c r="BA17" s="67">
        <f>IF(BA$59="X","",IF(BA$59&lt;&gt;"",BA$59,IF(IFERROR(INDEX(醫師週班表!$C$5:$T$44,$CU17,BA$57),"")=0,"",IF(LEN(IFERROR(INDEX(醫師週班表!$C$5:$T$44,$CU17,BA$57),""))=4,MID(IFERROR(INDEX(醫師週班表!$C$5:$T$44,$CU17,BA$57),""),1+BA$58*2,1),IF(LEN(IFERROR(INDEX(醫師週班表!$C$5:$T$44,$CU17,BA$57),""))=2,IF(AND(RIGHT(IFERROR(INDEX(醫師週班表!$C$5:$T$44,$CU17,BA$57),""),1)="~",BA$58=1),"",LEFT(IFERROR(INDEX(醫師週班表!$C$5:$T$44,$CU17,BA$57),""),1)),IFERROR(INDEX(醫師週班表!$C$5:$T$44,$CU17,BA$57),""))))))</f>
        <v/>
      </c>
      <c r="BB17" s="68">
        <f>IF(BB$59="X","",IF(BB$59&lt;&gt;"",BB$59,IF(IFERROR(INDEX(醫師週班表!$C$5:$T$44,$CU17,BB$57),"")=0,"",IF(LEN(IFERROR(INDEX(醫師週班表!$C$5:$T$44,$CU17,BB$57),""))=4,MID(IFERROR(INDEX(醫師週班表!$C$5:$T$44,$CU17,BB$57),""),1+BB$58*2,1),IF(LEN(IFERROR(INDEX(醫師週班表!$C$5:$T$44,$CU17,BB$57),""))=2,IF(AND(RIGHT(IFERROR(INDEX(醫師週班表!$C$5:$T$44,$CU17,BB$57),""),1)="~",BB$58=1),"",LEFT(IFERROR(INDEX(醫師週班表!$C$5:$T$44,$CU17,BB$57),""),1)),IFERROR(INDEX(醫師週班表!$C$5:$T$44,$CU17,BB$57),""))))))</f>
        <v/>
      </c>
      <c r="BC17" s="68">
        <f>IF(BC$59="X","",IF(BC$59&lt;&gt;"",BC$59,IF(IFERROR(INDEX(醫師週班表!$C$5:$T$44,$CU17,BC$57),"")=0,"",IF(LEN(IFERROR(INDEX(醫師週班表!$C$5:$T$44,$CU17,BC$57),""))=4,MID(IFERROR(INDEX(醫師週班表!$C$5:$T$44,$CU17,BC$57),""),1+BC$58*2,1),IF(LEN(IFERROR(INDEX(醫師週班表!$C$5:$T$44,$CU17,BC$57),""))=2,IF(AND(RIGHT(IFERROR(INDEX(醫師週班表!$C$5:$T$44,$CU17,BC$57),""),1)="~",BC$58=1),"",LEFT(IFERROR(INDEX(醫師週班表!$C$5:$T$44,$CU17,BC$57),""),1)),IFERROR(INDEX(醫師週班表!$C$5:$T$44,$CU17,BC$57),""))))))</f>
        <v/>
      </c>
      <c r="BD17" s="67">
        <f>IF(BD$59="X","",IF(BD$59&lt;&gt;"",BD$59,IF(IFERROR(INDEX(醫師週班表!$C$5:$T$44,$CU17,BD$57),"")=0,"",IF(LEN(IFERROR(INDEX(醫師週班表!$C$5:$T$44,$CU17,BD$57),""))=4,MID(IFERROR(INDEX(醫師週班表!$C$5:$T$44,$CU17,BD$57),""),1+BD$58*2,1),IF(LEN(IFERROR(INDEX(醫師週班表!$C$5:$T$44,$CU17,BD$57),""))=2,IF(AND(RIGHT(IFERROR(INDEX(醫師週班表!$C$5:$T$44,$CU17,BD$57),""),1)="~",BD$58=1),"",LEFT(IFERROR(INDEX(醫師週班表!$C$5:$T$44,$CU17,BD$57),""),1)),IFERROR(INDEX(醫師週班表!$C$5:$T$44,$CU17,BD$57),""))))))</f>
        <v/>
      </c>
      <c r="BE17" s="68">
        <f>IF(BE$59="X","",IF(BE$59&lt;&gt;"",BE$59,IF(IFERROR(INDEX(醫師週班表!$C$5:$T$44,$CU17,BE$57),"")=0,"",IF(LEN(IFERROR(INDEX(醫師週班表!$C$5:$T$44,$CU17,BE$57),""))=4,MID(IFERROR(INDEX(醫師週班表!$C$5:$T$44,$CU17,BE$57),""),1+BE$58*2,1),IF(LEN(IFERROR(INDEX(醫師週班表!$C$5:$T$44,$CU17,BE$57),""))=2,IF(AND(RIGHT(IFERROR(INDEX(醫師週班表!$C$5:$T$44,$CU17,BE$57),""),1)="~",BE$58=1),"",LEFT(IFERROR(INDEX(醫師週班表!$C$5:$T$44,$CU17,BE$57),""),1)),IFERROR(INDEX(醫師週班表!$C$5:$T$44,$CU17,BE$57),""))))))</f>
        <v/>
      </c>
      <c r="BF17" s="68">
        <f>IF(BF$59="X","",IF(BF$59&lt;&gt;"",BF$59,IF(IFERROR(INDEX(醫師週班表!$C$5:$T$44,$CU17,BF$57),"")=0,"",IF(LEN(IFERROR(INDEX(醫師週班表!$C$5:$T$44,$CU17,BF$57),""))=4,MID(IFERROR(INDEX(醫師週班表!$C$5:$T$44,$CU17,BF$57),""),1+BF$58*2,1),IF(LEN(IFERROR(INDEX(醫師週班表!$C$5:$T$44,$CU17,BF$57),""))=2,IF(AND(RIGHT(IFERROR(INDEX(醫師週班表!$C$5:$T$44,$CU17,BF$57),""),1)="~",BF$58=1),"",LEFT(IFERROR(INDEX(醫師週班表!$C$5:$T$44,$CU17,BF$57),""),1)),IFERROR(INDEX(醫師週班表!$C$5:$T$44,$CU17,BF$57),""))))))</f>
        <v/>
      </c>
      <c r="BG17" s="67">
        <f>IF(BG$59="X","",IF(BG$59&lt;&gt;"",BG$59,IF(IFERROR(INDEX(醫師週班表!$C$5:$T$44,$CU17,BG$57),"")=0,"",IF(LEN(IFERROR(INDEX(醫師週班表!$C$5:$T$44,$CU17,BG$57),""))=4,MID(IFERROR(INDEX(醫師週班表!$C$5:$T$44,$CU17,BG$57),""),1+BG$58*2,1),IF(LEN(IFERROR(INDEX(醫師週班表!$C$5:$T$44,$CU17,BG$57),""))=2,IF(AND(RIGHT(IFERROR(INDEX(醫師週班表!$C$5:$T$44,$CU17,BG$57),""),1)="~",BG$58=1),"",LEFT(IFERROR(INDEX(醫師週班表!$C$5:$T$44,$CU17,BG$57),""),1)),IFERROR(INDEX(醫師週班表!$C$5:$T$44,$CU17,BG$57),""))))))</f>
        <v/>
      </c>
      <c r="BH17" s="68">
        <f>IF(BH$59="X","",IF(BH$59&lt;&gt;"",BH$59,IF(IFERROR(INDEX(醫師週班表!$C$5:$T$44,$CU17,BH$57),"")=0,"",IF(LEN(IFERROR(INDEX(醫師週班表!$C$5:$T$44,$CU17,BH$57),""))=4,MID(IFERROR(INDEX(醫師週班表!$C$5:$T$44,$CU17,BH$57),""),1+BH$58*2,1),IF(LEN(IFERROR(INDEX(醫師週班表!$C$5:$T$44,$CU17,BH$57),""))=2,IF(AND(RIGHT(IFERROR(INDEX(醫師週班表!$C$5:$T$44,$CU17,BH$57),""),1)="~",BH$58=1),"",LEFT(IFERROR(INDEX(醫師週班表!$C$5:$T$44,$CU17,BH$57),""),1)),IFERROR(INDEX(醫師週班表!$C$5:$T$44,$CU17,BH$57),""))))))</f>
        <v/>
      </c>
      <c r="BI17" s="68">
        <f>IF(BI$59="X","",IF(BI$59&lt;&gt;"",BI$59,IF(IFERROR(INDEX(醫師週班表!$C$5:$T$44,$CU17,BI$57),"")=0,"",IF(LEN(IFERROR(INDEX(醫師週班表!$C$5:$T$44,$CU17,BI$57),""))=4,MID(IFERROR(INDEX(醫師週班表!$C$5:$T$44,$CU17,BI$57),""),1+BI$58*2,1),IF(LEN(IFERROR(INDEX(醫師週班表!$C$5:$T$44,$CU17,BI$57),""))=2,IF(AND(RIGHT(IFERROR(INDEX(醫師週班表!$C$5:$T$44,$CU17,BI$57),""),1)="~",BI$58=1),"",LEFT(IFERROR(INDEX(醫師週班表!$C$5:$T$44,$CU17,BI$57),""),1)),IFERROR(INDEX(醫師週班表!$C$5:$T$44,$CU17,BI$57),""))))))</f>
        <v/>
      </c>
      <c r="BJ17" s="67">
        <f>IF(BJ$59="X","",IF(BJ$59&lt;&gt;"",BJ$59,IF(IFERROR(INDEX(醫師週班表!$C$5:$T$44,$CU17,BJ$57),"")=0,"",IF(LEN(IFERROR(INDEX(醫師週班表!$C$5:$T$44,$CU17,BJ$57),""))=4,MID(IFERROR(INDEX(醫師週班表!$C$5:$T$44,$CU17,BJ$57),""),1+BJ$58*2,1),IF(LEN(IFERROR(INDEX(醫師週班表!$C$5:$T$44,$CU17,BJ$57),""))=2,IF(AND(RIGHT(IFERROR(INDEX(醫師週班表!$C$5:$T$44,$CU17,BJ$57),""),1)="~",BJ$58=1),"",LEFT(IFERROR(INDEX(醫師週班表!$C$5:$T$44,$CU17,BJ$57),""),1)),IFERROR(INDEX(醫師週班表!$C$5:$T$44,$CU17,BJ$57),""))))))</f>
        <v/>
      </c>
      <c r="BK17" s="68">
        <f>IF(BK$59="X","",IF(BK$59&lt;&gt;"",BK$59,IF(IFERROR(INDEX(醫師週班表!$C$5:$T$44,$CU17,BK$57),"")=0,"",IF(LEN(IFERROR(INDEX(醫師週班表!$C$5:$T$44,$CU17,BK$57),""))=4,MID(IFERROR(INDEX(醫師週班表!$C$5:$T$44,$CU17,BK$57),""),1+BK$58*2,1),IF(LEN(IFERROR(INDEX(醫師週班表!$C$5:$T$44,$CU17,BK$57),""))=2,IF(AND(RIGHT(IFERROR(INDEX(醫師週班表!$C$5:$T$44,$CU17,BK$57),""),1)="~",BK$58=1),"",LEFT(IFERROR(INDEX(醫師週班表!$C$5:$T$44,$CU17,BK$57),""),1)),IFERROR(INDEX(醫師週班表!$C$5:$T$44,$CU17,BK$57),""))))))</f>
        <v/>
      </c>
      <c r="BL17" s="68">
        <f>IF(BL$59="X","",IF(BL$59&lt;&gt;"",BL$59,IF(IFERROR(INDEX(醫師週班表!$C$5:$T$44,$CU17,BL$57),"")=0,"",IF(LEN(IFERROR(INDEX(醫師週班表!$C$5:$T$44,$CU17,BL$57),""))=4,MID(IFERROR(INDEX(醫師週班表!$C$5:$T$44,$CU17,BL$57),""),1+BL$58*2,1),IF(LEN(IFERROR(INDEX(醫師週班表!$C$5:$T$44,$CU17,BL$57),""))=2,IF(AND(RIGHT(IFERROR(INDEX(醫師週班表!$C$5:$T$44,$CU17,BL$57),""),1)="~",BL$58=1),"",LEFT(IFERROR(INDEX(醫師週班表!$C$5:$T$44,$CU17,BL$57),""),1)),IFERROR(INDEX(醫師週班表!$C$5:$T$44,$CU17,BL$57),""))))))</f>
        <v/>
      </c>
      <c r="BM17" s="67">
        <f>IF(BM$59="X","",IF(BM$59&lt;&gt;"",BM$59,IF(IFERROR(INDEX(醫師週班表!$C$5:$T$44,$CU17,BM$57),"")=0,"",IF(LEN(IFERROR(INDEX(醫師週班表!$C$5:$T$44,$CU17,BM$57),""))=4,MID(IFERROR(INDEX(醫師週班表!$C$5:$T$44,$CU17,BM$57),""),1+BM$58*2,1),IF(LEN(IFERROR(INDEX(醫師週班表!$C$5:$T$44,$CU17,BM$57),""))=2,IF(AND(RIGHT(IFERROR(INDEX(醫師週班表!$C$5:$T$44,$CU17,BM$57),""),1)="~",BM$58=1),"",LEFT(IFERROR(INDEX(醫師週班表!$C$5:$T$44,$CU17,BM$57),""),1)),IFERROR(INDEX(醫師週班表!$C$5:$T$44,$CU17,BM$57),""))))))</f>
        <v/>
      </c>
      <c r="BN17" s="68">
        <f>IF(BN$59="X","",IF(BN$59&lt;&gt;"",BN$59,IF(IFERROR(INDEX(醫師週班表!$C$5:$T$44,$CU17,BN$57),"")=0,"",IF(LEN(IFERROR(INDEX(醫師週班表!$C$5:$T$44,$CU17,BN$57),""))=4,MID(IFERROR(INDEX(醫師週班表!$C$5:$T$44,$CU17,BN$57),""),1+BN$58*2,1),IF(LEN(IFERROR(INDEX(醫師週班表!$C$5:$T$44,$CU17,BN$57),""))=2,IF(AND(RIGHT(IFERROR(INDEX(醫師週班表!$C$5:$T$44,$CU17,BN$57),""),1)="~",BN$58=1),"",LEFT(IFERROR(INDEX(醫師週班表!$C$5:$T$44,$CU17,BN$57),""),1)),IFERROR(INDEX(醫師週班表!$C$5:$T$44,$CU17,BN$57),""))))))</f>
        <v/>
      </c>
      <c r="BO17" s="68">
        <f>IF(BO$59="X","",IF(BO$59&lt;&gt;"",BO$59,IF(IFERROR(INDEX(醫師週班表!$C$5:$T$44,$CU17,BO$57),"")=0,"",IF(LEN(IFERROR(INDEX(醫師週班表!$C$5:$T$44,$CU17,BO$57),""))=4,MID(IFERROR(INDEX(醫師週班表!$C$5:$T$44,$CU17,BO$57),""),1+BO$58*2,1),IF(LEN(IFERROR(INDEX(醫師週班表!$C$5:$T$44,$CU17,BO$57),""))=2,IF(AND(RIGHT(IFERROR(INDEX(醫師週班表!$C$5:$T$44,$CU17,BO$57),""),1)="~",BO$58=1),"",LEFT(IFERROR(INDEX(醫師週班表!$C$5:$T$44,$CU17,BO$57),""),1)),IFERROR(INDEX(醫師週班表!$C$5:$T$44,$CU17,BO$57),""))))))</f>
        <v/>
      </c>
      <c r="BP17" s="67">
        <f>IF(BP$59="X","",IF(BP$59&lt;&gt;"",BP$59,IF(IFERROR(INDEX(醫師週班表!$C$5:$T$44,$CU17,BP$57),"")=0,"",IF(LEN(IFERROR(INDEX(醫師週班表!$C$5:$T$44,$CU17,BP$57),""))=4,MID(IFERROR(INDEX(醫師週班表!$C$5:$T$44,$CU17,BP$57),""),1+BP$58*2,1),IF(LEN(IFERROR(INDEX(醫師週班表!$C$5:$T$44,$CU17,BP$57),""))=2,IF(AND(RIGHT(IFERROR(INDEX(醫師週班表!$C$5:$T$44,$CU17,BP$57),""),1)="~",BP$58=1),"",LEFT(IFERROR(INDEX(醫師週班表!$C$5:$T$44,$CU17,BP$57),""),1)),IFERROR(INDEX(醫師週班表!$C$5:$T$44,$CU17,BP$57),""))))))</f>
        <v/>
      </c>
      <c r="BQ17" s="68">
        <f>IF(BQ$59="X","",IF(BQ$59&lt;&gt;"",BQ$59,IF(IFERROR(INDEX(醫師週班表!$C$5:$T$44,$CU17,BQ$57),"")=0,"",IF(LEN(IFERROR(INDEX(醫師週班表!$C$5:$T$44,$CU17,BQ$57),""))=4,MID(IFERROR(INDEX(醫師週班表!$C$5:$T$44,$CU17,BQ$57),""),1+BQ$58*2,1),IF(LEN(IFERROR(INDEX(醫師週班表!$C$5:$T$44,$CU17,BQ$57),""))=2,IF(AND(RIGHT(IFERROR(INDEX(醫師週班表!$C$5:$T$44,$CU17,BQ$57),""),1)="~",BQ$58=1),"",LEFT(IFERROR(INDEX(醫師週班表!$C$5:$T$44,$CU17,BQ$57),""),1)),IFERROR(INDEX(醫師週班表!$C$5:$T$44,$CU17,BQ$57),""))))))</f>
        <v/>
      </c>
      <c r="BR17" s="68">
        <f>IF(BR$59="X","",IF(BR$59&lt;&gt;"",BR$59,IF(IFERROR(INDEX(醫師週班表!$C$5:$T$44,$CU17,BR$57),"")=0,"",IF(LEN(IFERROR(INDEX(醫師週班表!$C$5:$T$44,$CU17,BR$57),""))=4,MID(IFERROR(INDEX(醫師週班表!$C$5:$T$44,$CU17,BR$57),""),1+BR$58*2,1),IF(LEN(IFERROR(INDEX(醫師週班表!$C$5:$T$44,$CU17,BR$57),""))=2,IF(AND(RIGHT(IFERROR(INDEX(醫師週班表!$C$5:$T$44,$CU17,BR$57),""),1)="~",BR$58=1),"",LEFT(IFERROR(INDEX(醫師週班表!$C$5:$T$44,$CU17,BR$57),""),1)),IFERROR(INDEX(醫師週班表!$C$5:$T$44,$CU17,BR$57),""))))))</f>
        <v/>
      </c>
      <c r="BS17" s="67">
        <f>IF(BS$59="X","",IF(BS$59&lt;&gt;"",BS$59,IF(IFERROR(INDEX(醫師週班表!$C$5:$T$44,$CU17,BS$57),"")=0,"",IF(LEN(IFERROR(INDEX(醫師週班表!$C$5:$T$44,$CU17,BS$57),""))=4,MID(IFERROR(INDEX(醫師週班表!$C$5:$T$44,$CU17,BS$57),""),1+BS$58*2,1),IF(LEN(IFERROR(INDEX(醫師週班表!$C$5:$T$44,$CU17,BS$57),""))=2,IF(AND(RIGHT(IFERROR(INDEX(醫師週班表!$C$5:$T$44,$CU17,BS$57),""),1)="~",BS$58=1),"",LEFT(IFERROR(INDEX(醫師週班表!$C$5:$T$44,$CU17,BS$57),""),1)),IFERROR(INDEX(醫師週班表!$C$5:$T$44,$CU17,BS$57),""))))))</f>
        <v/>
      </c>
      <c r="BT17" s="68">
        <f>IF(BT$59="X","",IF(BT$59&lt;&gt;"",BT$59,IF(IFERROR(INDEX(醫師週班表!$C$5:$T$44,$CU17,BT$57),"")=0,"",IF(LEN(IFERROR(INDEX(醫師週班表!$C$5:$T$44,$CU17,BT$57),""))=4,MID(IFERROR(INDEX(醫師週班表!$C$5:$T$44,$CU17,BT$57),""),1+BT$58*2,1),IF(LEN(IFERROR(INDEX(醫師週班表!$C$5:$T$44,$CU17,BT$57),""))=2,IF(AND(RIGHT(IFERROR(INDEX(醫師週班表!$C$5:$T$44,$CU17,BT$57),""),1)="~",BT$58=1),"",LEFT(IFERROR(INDEX(醫師週班表!$C$5:$T$44,$CU17,BT$57),""),1)),IFERROR(INDEX(醫師週班表!$C$5:$T$44,$CU17,BT$57),""))))))</f>
        <v/>
      </c>
      <c r="BU17" s="68">
        <f>IF(BU$59="X","",IF(BU$59&lt;&gt;"",BU$59,IF(IFERROR(INDEX(醫師週班表!$C$5:$T$44,$CU17,BU$57),"")=0,"",IF(LEN(IFERROR(INDEX(醫師週班表!$C$5:$T$44,$CU17,BU$57),""))=4,MID(IFERROR(INDEX(醫師週班表!$C$5:$T$44,$CU17,BU$57),""),1+BU$58*2,1),IF(LEN(IFERROR(INDEX(醫師週班表!$C$5:$T$44,$CU17,BU$57),""))=2,IF(AND(RIGHT(IFERROR(INDEX(醫師週班表!$C$5:$T$44,$CU17,BU$57),""),1)="~",BU$58=1),"",LEFT(IFERROR(INDEX(醫師週班表!$C$5:$T$44,$CU17,BU$57),""),1)),IFERROR(INDEX(醫師週班表!$C$5:$T$44,$CU17,BU$57),""))))))</f>
        <v/>
      </c>
      <c r="BV17" s="67">
        <f>IF(BV$59="X","",IF(BV$59&lt;&gt;"",BV$59,IF(IFERROR(INDEX(醫師週班表!$C$5:$T$44,$CU17,BV$57),"")=0,"",IF(LEN(IFERROR(INDEX(醫師週班表!$C$5:$T$44,$CU17,BV$57),""))=4,MID(IFERROR(INDEX(醫師週班表!$C$5:$T$44,$CU17,BV$57),""),1+BV$58*2,1),IF(LEN(IFERROR(INDEX(醫師週班表!$C$5:$T$44,$CU17,BV$57),""))=2,IF(AND(RIGHT(IFERROR(INDEX(醫師週班表!$C$5:$T$44,$CU17,BV$57),""),1)="~",BV$58=1),"",LEFT(IFERROR(INDEX(醫師週班表!$C$5:$T$44,$CU17,BV$57),""),1)),IFERROR(INDEX(醫師週班表!$C$5:$T$44,$CU17,BV$57),""))))))</f>
        <v/>
      </c>
      <c r="BW17" s="68">
        <f>IF(BW$59="X","",IF(BW$59&lt;&gt;"",BW$59,IF(IFERROR(INDEX(醫師週班表!$C$5:$T$44,$CU17,BW$57),"")=0,"",IF(LEN(IFERROR(INDEX(醫師週班表!$C$5:$T$44,$CU17,BW$57),""))=4,MID(IFERROR(INDEX(醫師週班表!$C$5:$T$44,$CU17,BW$57),""),1+BW$58*2,1),IF(LEN(IFERROR(INDEX(醫師週班表!$C$5:$T$44,$CU17,BW$57),""))=2,IF(AND(RIGHT(IFERROR(INDEX(醫師週班表!$C$5:$T$44,$CU17,BW$57),""),1)="~",BW$58=1),"",LEFT(IFERROR(INDEX(醫師週班表!$C$5:$T$44,$CU17,BW$57),""),1)),IFERROR(INDEX(醫師週班表!$C$5:$T$44,$CU17,BW$57),""))))))</f>
        <v/>
      </c>
      <c r="BX17" s="68">
        <f>IF(BX$59="X","",IF(BX$59&lt;&gt;"",BX$59,IF(IFERROR(INDEX(醫師週班表!$C$5:$T$44,$CU17,BX$57),"")=0,"",IF(LEN(IFERROR(INDEX(醫師週班表!$C$5:$T$44,$CU17,BX$57),""))=4,MID(IFERROR(INDEX(醫師週班表!$C$5:$T$44,$CU17,BX$57),""),1+BX$58*2,1),IF(LEN(IFERROR(INDEX(醫師週班表!$C$5:$T$44,$CU17,BX$57),""))=2,IF(AND(RIGHT(IFERROR(INDEX(醫師週班表!$C$5:$T$44,$CU17,BX$57),""),1)="~",BX$58=1),"",LEFT(IFERROR(INDEX(醫師週班表!$C$5:$T$44,$CU17,BX$57),""),1)),IFERROR(INDEX(醫師週班表!$C$5:$T$44,$CU17,BX$57),""))))))</f>
        <v/>
      </c>
      <c r="BY17" s="67">
        <f>IF(BY$59="X","",IF(BY$59&lt;&gt;"",BY$59,IF(IFERROR(INDEX(醫師週班表!$C$5:$T$44,$CU17,BY$57),"")=0,"",IF(LEN(IFERROR(INDEX(醫師週班表!$C$5:$T$44,$CU17,BY$57),""))=4,MID(IFERROR(INDEX(醫師週班表!$C$5:$T$44,$CU17,BY$57),""),1+BY$58*2,1),IF(LEN(IFERROR(INDEX(醫師週班表!$C$5:$T$44,$CU17,BY$57),""))=2,IF(AND(RIGHT(IFERROR(INDEX(醫師週班表!$C$5:$T$44,$CU17,BY$57),""),1)="~",BY$58=1),"",LEFT(IFERROR(INDEX(醫師週班表!$C$5:$T$44,$CU17,BY$57),""),1)),IFERROR(INDEX(醫師週班表!$C$5:$T$44,$CU17,BY$57),""))))))</f>
        <v/>
      </c>
      <c r="BZ17" s="68">
        <f>IF(BZ$59="X","",IF(BZ$59&lt;&gt;"",BZ$59,IF(IFERROR(INDEX(醫師週班表!$C$5:$T$44,$CU17,BZ$57),"")=0,"",IF(LEN(IFERROR(INDEX(醫師週班表!$C$5:$T$44,$CU17,BZ$57),""))=4,MID(IFERROR(INDEX(醫師週班表!$C$5:$T$44,$CU17,BZ$57),""),1+BZ$58*2,1),IF(LEN(IFERROR(INDEX(醫師週班表!$C$5:$T$44,$CU17,BZ$57),""))=2,IF(AND(RIGHT(IFERROR(INDEX(醫師週班表!$C$5:$T$44,$CU17,BZ$57),""),1)="~",BZ$58=1),"",LEFT(IFERROR(INDEX(醫師週班表!$C$5:$T$44,$CU17,BZ$57),""),1)),IFERROR(INDEX(醫師週班表!$C$5:$T$44,$CU17,BZ$57),""))))))</f>
        <v/>
      </c>
      <c r="CA17" s="68">
        <f>IF(CA$59="X","",IF(CA$59&lt;&gt;"",CA$59,IF(IFERROR(INDEX(醫師週班表!$C$5:$T$44,$CU17,CA$57),"")=0,"",IF(LEN(IFERROR(INDEX(醫師週班表!$C$5:$T$44,$CU17,CA$57),""))=4,MID(IFERROR(INDEX(醫師週班表!$C$5:$T$44,$CU17,CA$57),""),1+CA$58*2,1),IF(LEN(IFERROR(INDEX(醫師週班表!$C$5:$T$44,$CU17,CA$57),""))=2,IF(AND(RIGHT(IFERROR(INDEX(醫師週班表!$C$5:$T$44,$CU17,CA$57),""),1)="~",CA$58=1),"",LEFT(IFERROR(INDEX(醫師週班表!$C$5:$T$44,$CU17,CA$57),""),1)),IFERROR(INDEX(醫師週班表!$C$5:$T$44,$CU17,CA$57),""))))))</f>
        <v/>
      </c>
      <c r="CB17" s="67">
        <f>IF(CB$59="X","",IF(CB$59&lt;&gt;"",CB$59,IF(IFERROR(INDEX(醫師週班表!$C$5:$T$44,$CU17,CB$57),"")=0,"",IF(LEN(IFERROR(INDEX(醫師週班表!$C$5:$T$44,$CU17,CB$57),""))=4,MID(IFERROR(INDEX(醫師週班表!$C$5:$T$44,$CU17,CB$57),""),1+CB$58*2,1),IF(LEN(IFERROR(INDEX(醫師週班表!$C$5:$T$44,$CU17,CB$57),""))=2,IF(AND(RIGHT(IFERROR(INDEX(醫師週班表!$C$5:$T$44,$CU17,CB$57),""),1)="~",CB$58=1),"",LEFT(IFERROR(INDEX(醫師週班表!$C$5:$T$44,$CU17,CB$57),""),1)),IFERROR(INDEX(醫師週班表!$C$5:$T$44,$CU17,CB$57),""))))))</f>
        <v/>
      </c>
      <c r="CC17" s="68">
        <f>IF(CC$59="X","",IF(CC$59&lt;&gt;"",CC$59,IF(IFERROR(INDEX(醫師週班表!$C$5:$T$44,$CU17,CC$57),"")=0,"",IF(LEN(IFERROR(INDEX(醫師週班表!$C$5:$T$44,$CU17,CC$57),""))=4,MID(IFERROR(INDEX(醫師週班表!$C$5:$T$44,$CU17,CC$57),""),1+CC$58*2,1),IF(LEN(IFERROR(INDEX(醫師週班表!$C$5:$T$44,$CU17,CC$57),""))=2,IF(AND(RIGHT(IFERROR(INDEX(醫師週班表!$C$5:$T$44,$CU17,CC$57),""),1)="~",CC$58=1),"",LEFT(IFERROR(INDEX(醫師週班表!$C$5:$T$44,$CU17,CC$57),""),1)),IFERROR(INDEX(醫師週班表!$C$5:$T$44,$CU17,CC$57),""))))))</f>
        <v/>
      </c>
      <c r="CD17" s="68">
        <f>IF(CD$59="X","",IF(CD$59&lt;&gt;"",CD$59,IF(IFERROR(INDEX(醫師週班表!$C$5:$T$44,$CU17,CD$57),"")=0,"",IF(LEN(IFERROR(INDEX(醫師週班表!$C$5:$T$44,$CU17,CD$57),""))=4,MID(IFERROR(INDEX(醫師週班表!$C$5:$T$44,$CU17,CD$57),""),1+CD$58*2,1),IF(LEN(IFERROR(INDEX(醫師週班表!$C$5:$T$44,$CU17,CD$57),""))=2,IF(AND(RIGHT(IFERROR(INDEX(醫師週班表!$C$5:$T$44,$CU17,CD$57),""),1)="~",CD$58=1),"",LEFT(IFERROR(INDEX(醫師週班表!$C$5:$T$44,$CU17,CD$57),""),1)),IFERROR(INDEX(醫師週班表!$C$5:$T$44,$CU17,CD$57),""))))))</f>
        <v/>
      </c>
      <c r="CE17" s="67">
        <f>IF(CE$59="X","",IF(CE$59&lt;&gt;"",CE$59,IF(IFERROR(INDEX(醫師週班表!$C$5:$T$44,$CU17,CE$57),"")=0,"",IF(LEN(IFERROR(INDEX(醫師週班表!$C$5:$T$44,$CU17,CE$57),""))=4,MID(IFERROR(INDEX(醫師週班表!$C$5:$T$44,$CU17,CE$57),""),1+CE$58*2,1),IF(LEN(IFERROR(INDEX(醫師週班表!$C$5:$T$44,$CU17,CE$57),""))=2,IF(AND(RIGHT(IFERROR(INDEX(醫師週班表!$C$5:$T$44,$CU17,CE$57),""),1)="~",CE$58=1),"",LEFT(IFERROR(INDEX(醫師週班表!$C$5:$T$44,$CU17,CE$57),""),1)),IFERROR(INDEX(醫師週班表!$C$5:$T$44,$CU17,CE$57),""))))))</f>
        <v/>
      </c>
      <c r="CF17" s="68">
        <f>IF(CF$59="X","",IF(CF$59&lt;&gt;"",CF$59,IF(IFERROR(INDEX(醫師週班表!$C$5:$T$44,$CU17,CF$57),"")=0,"",IF(LEN(IFERROR(INDEX(醫師週班表!$C$5:$T$44,$CU17,CF$57),""))=4,MID(IFERROR(INDEX(醫師週班表!$C$5:$T$44,$CU17,CF$57),""),1+CF$58*2,1),IF(LEN(IFERROR(INDEX(醫師週班表!$C$5:$T$44,$CU17,CF$57),""))=2,IF(AND(RIGHT(IFERROR(INDEX(醫師週班表!$C$5:$T$44,$CU17,CF$57),""),1)="~",CF$58=1),"",LEFT(IFERROR(INDEX(醫師週班表!$C$5:$T$44,$CU17,CF$57),""),1)),IFERROR(INDEX(醫師週班表!$C$5:$T$44,$CU17,CF$57),""))))))</f>
        <v/>
      </c>
      <c r="CG17" s="68">
        <f>IF(CG$59="X","",IF(CG$59&lt;&gt;"",CG$59,IF(IFERROR(INDEX(醫師週班表!$C$5:$T$44,$CU17,CG$57),"")=0,"",IF(LEN(IFERROR(INDEX(醫師週班表!$C$5:$T$44,$CU17,CG$57),""))=4,MID(IFERROR(INDEX(醫師週班表!$C$5:$T$44,$CU17,CG$57),""),1+CG$58*2,1),IF(LEN(IFERROR(INDEX(醫師週班表!$C$5:$T$44,$CU17,CG$57),""))=2,IF(AND(RIGHT(IFERROR(INDEX(醫師週班表!$C$5:$T$44,$CU17,CG$57),""),1)="~",CG$58=1),"",LEFT(IFERROR(INDEX(醫師週班表!$C$5:$T$44,$CU17,CG$57),""),1)),IFERROR(INDEX(醫師週班表!$C$5:$T$44,$CU17,CG$57),""))))))</f>
        <v/>
      </c>
      <c r="CH17" s="67">
        <f>IF(CH$59="X","",IF(CH$59&lt;&gt;"",CH$59,IF(IFERROR(INDEX(醫師週班表!$C$5:$T$44,$CU17,CH$57),"")=0,"",IF(LEN(IFERROR(INDEX(醫師週班表!$C$5:$T$44,$CU17,CH$57),""))=4,MID(IFERROR(INDEX(醫師週班表!$C$5:$T$44,$CU17,CH$57),""),1+CH$58*2,1),IF(LEN(IFERROR(INDEX(醫師週班表!$C$5:$T$44,$CU17,CH$57),""))=2,IF(AND(RIGHT(IFERROR(INDEX(醫師週班表!$C$5:$T$44,$CU17,CH$57),""),1)="~",CH$58=1),"",LEFT(IFERROR(INDEX(醫師週班表!$C$5:$T$44,$CU17,CH$57),""),1)),IFERROR(INDEX(醫師週班表!$C$5:$T$44,$CU17,CH$57),""))))))</f>
        <v/>
      </c>
      <c r="CI17" s="68">
        <f>IF(CI$59="X","",IF(CI$59&lt;&gt;"",CI$59,IF(IFERROR(INDEX(醫師週班表!$C$5:$T$44,$CU17,CI$57),"")=0,"",IF(LEN(IFERROR(INDEX(醫師週班表!$C$5:$T$44,$CU17,CI$57),""))=4,MID(IFERROR(INDEX(醫師週班表!$C$5:$T$44,$CU17,CI$57),""),1+CI$58*2,1),IF(LEN(IFERROR(INDEX(醫師週班表!$C$5:$T$44,$CU17,CI$57),""))=2,IF(AND(RIGHT(IFERROR(INDEX(醫師週班表!$C$5:$T$44,$CU17,CI$57),""),1)="~",CI$58=1),"",LEFT(IFERROR(INDEX(醫師週班表!$C$5:$T$44,$CU17,CI$57),""),1)),IFERROR(INDEX(醫師週班表!$C$5:$T$44,$CU17,CI$57),""))))))</f>
        <v/>
      </c>
      <c r="CJ17" s="68">
        <f>IF(CJ$59="X","",IF(CJ$59&lt;&gt;"",CJ$59,IF(IFERROR(INDEX(醫師週班表!$C$5:$T$44,$CU17,CJ$57),"")=0,"",IF(LEN(IFERROR(INDEX(醫師週班表!$C$5:$T$44,$CU17,CJ$57),""))=4,MID(IFERROR(INDEX(醫師週班表!$C$5:$T$44,$CU17,CJ$57),""),1+CJ$58*2,1),IF(LEN(IFERROR(INDEX(醫師週班表!$C$5:$T$44,$CU17,CJ$57),""))=2,IF(AND(RIGHT(IFERROR(INDEX(醫師週班表!$C$5:$T$44,$CU17,CJ$57),""),1)="~",CJ$58=1),"",LEFT(IFERROR(INDEX(醫師週班表!$C$5:$T$44,$CU17,CJ$57),""),1)),IFERROR(INDEX(醫師週班表!$C$5:$T$44,$CU17,CJ$57),""))))))</f>
        <v/>
      </c>
      <c r="CK17" s="67">
        <f>IF(CK$59="X","",IF(CK$59&lt;&gt;"",CK$59,IF(IFERROR(INDEX(醫師週班表!$C$5:$T$44,$CU17,CK$57),"")=0,"",IF(LEN(IFERROR(INDEX(醫師週班表!$C$5:$T$44,$CU17,CK$57),""))=4,MID(IFERROR(INDEX(醫師週班表!$C$5:$T$44,$CU17,CK$57),""),1+CK$58*2,1),IF(LEN(IFERROR(INDEX(醫師週班表!$C$5:$T$44,$CU17,CK$57),""))=2,IF(AND(RIGHT(IFERROR(INDEX(醫師週班表!$C$5:$T$44,$CU17,CK$57),""),1)="~",CK$58=1),"",LEFT(IFERROR(INDEX(醫師週班表!$C$5:$T$44,$CU17,CK$57),""),1)),IFERROR(INDEX(醫師週班表!$C$5:$T$44,$CU17,CK$57),""))))))</f>
        <v/>
      </c>
      <c r="CL17" s="68">
        <f>IF(CL$59="X","",IF(CL$59&lt;&gt;"",CL$59,IF(IFERROR(INDEX(醫師週班表!$C$5:$T$44,$CU17,CL$57),"")=0,"",IF(LEN(IFERROR(INDEX(醫師週班表!$C$5:$T$44,$CU17,CL$57),""))=4,MID(IFERROR(INDEX(醫師週班表!$C$5:$T$44,$CU17,CL$57),""),1+CL$58*2,1),IF(LEN(IFERROR(INDEX(醫師週班表!$C$5:$T$44,$CU17,CL$57),""))=2,IF(AND(RIGHT(IFERROR(INDEX(醫師週班表!$C$5:$T$44,$CU17,CL$57),""),1)="~",CL$58=1),"",LEFT(IFERROR(INDEX(醫師週班表!$C$5:$T$44,$CU17,CL$57),""),1)),IFERROR(INDEX(醫師週班表!$C$5:$T$44,$CU17,CL$57),""))))))</f>
        <v/>
      </c>
      <c r="CM17" s="68">
        <f>IF(CM$59="X","",IF(CM$59&lt;&gt;"",CM$59,IF(IFERROR(INDEX(醫師週班表!$C$5:$T$44,$CU17,CM$57),"")=0,"",IF(LEN(IFERROR(INDEX(醫師週班表!$C$5:$T$44,$CU17,CM$57),""))=4,MID(IFERROR(INDEX(醫師週班表!$C$5:$T$44,$CU17,CM$57),""),1+CM$58*2,1),IF(LEN(IFERROR(INDEX(醫師週班表!$C$5:$T$44,$CU17,CM$57),""))=2,IF(AND(RIGHT(IFERROR(INDEX(醫師週班表!$C$5:$T$44,$CU17,CM$57),""),1)="~",CM$58=1),"",LEFT(IFERROR(INDEX(醫師週班表!$C$5:$T$44,$CU17,CM$57),""),1)),IFERROR(INDEX(醫師週班表!$C$5:$T$44,$CU17,CM$57),""))))))</f>
        <v/>
      </c>
      <c r="CN17" s="67">
        <f>IF(CN$59="X","",IF(CN$59&lt;&gt;"",CN$59,IF(IFERROR(INDEX(醫師週班表!$C$5:$T$44,$CU17,CN$57),"")=0,"",IF(LEN(IFERROR(INDEX(醫師週班表!$C$5:$T$44,$CU17,CN$57),""))=4,MID(IFERROR(INDEX(醫師週班表!$C$5:$T$44,$CU17,CN$57),""),1+CN$58*2,1),IF(LEN(IFERROR(INDEX(醫師週班表!$C$5:$T$44,$CU17,CN$57),""))=2,IF(AND(RIGHT(IFERROR(INDEX(醫師週班表!$C$5:$T$44,$CU17,CN$57),""),1)="~",CN$58=1),"",LEFT(IFERROR(INDEX(醫師週班表!$C$5:$T$44,$CU17,CN$57),""),1)),IFERROR(INDEX(醫師週班表!$C$5:$T$44,$CU17,CN$57),""))))))</f>
        <v/>
      </c>
      <c r="CO17" s="68">
        <f>IF(CO$59="X","",IF(CO$59&lt;&gt;"",CO$59,IF(IFERROR(INDEX(醫師週班表!$C$5:$T$44,$CU17,CO$57),"")=0,"",IF(LEN(IFERROR(INDEX(醫師週班表!$C$5:$T$44,$CU17,CO$57),""))=4,MID(IFERROR(INDEX(醫師週班表!$C$5:$T$44,$CU17,CO$57),""),1+CO$58*2,1),IF(LEN(IFERROR(INDEX(醫師週班表!$C$5:$T$44,$CU17,CO$57),""))=2,IF(AND(RIGHT(IFERROR(INDEX(醫師週班表!$C$5:$T$44,$CU17,CO$57),""),1)="~",CO$58=1),"",LEFT(IFERROR(INDEX(醫師週班表!$C$5:$T$44,$CU17,CO$57),""),1)),IFERROR(INDEX(醫師週班表!$C$5:$T$44,$CU17,CO$57),""))))))</f>
        <v/>
      </c>
      <c r="CP17" s="68">
        <f>IF(CP$59="X","",IF(CP$59&lt;&gt;"",CP$59,IF(IFERROR(INDEX(醫師週班表!$C$5:$T$44,$CU17,CP$57),"")=0,"",IF(LEN(IFERROR(INDEX(醫師週班表!$C$5:$T$44,$CU17,CP$57),""))=4,MID(IFERROR(INDEX(醫師週班表!$C$5:$T$44,$CU17,CP$57),""),1+CP$58*2,1),IF(LEN(IFERROR(INDEX(醫師週班表!$C$5:$T$44,$CU17,CP$57),""))=2,IF(AND(RIGHT(IFERROR(INDEX(醫師週班表!$C$5:$T$44,$CU17,CP$57),""),1)="~",CP$58=1),"",LEFT(IFERROR(INDEX(醫師週班表!$C$5:$T$44,$CU17,CP$57),""),1)),IFERROR(INDEX(醫師週班表!$C$5:$T$44,$CU17,CP$57),""))))))</f>
        <v/>
      </c>
      <c r="CQ17" s="67">
        <f>IF(CQ$59="X","",IF(CQ$59&lt;&gt;"",CQ$59,IF(IFERROR(INDEX(醫師週班表!$C$5:$T$44,$CU17,CQ$57),"")=0,"",IF(LEN(IFERROR(INDEX(醫師週班表!$C$5:$T$44,$CU17,CQ$57),""))=4,MID(IFERROR(INDEX(醫師週班表!$C$5:$T$44,$CU17,CQ$57),""),1+CQ$58*2,1),IF(LEN(IFERROR(INDEX(醫師週班表!$C$5:$T$44,$CU17,CQ$57),""))=2,IF(AND(RIGHT(IFERROR(INDEX(醫師週班表!$C$5:$T$44,$CU17,CQ$57),""),1)="~",CQ$58=1),"",LEFT(IFERROR(INDEX(醫師週班表!$C$5:$T$44,$CU17,CQ$57),""),1)),IFERROR(INDEX(醫師週班表!$C$5:$T$44,$CU17,CQ$57),""))))))</f>
        <v/>
      </c>
      <c r="CR17" s="68">
        <f>IF(CR$59="X","",IF(CR$59&lt;&gt;"",CR$59,IF(IFERROR(INDEX(醫師週班表!$C$5:$T$44,$CU17,CR$57),"")=0,"",IF(LEN(IFERROR(INDEX(醫師週班表!$C$5:$T$44,$CU17,CR$57),""))=4,MID(IFERROR(INDEX(醫師週班表!$C$5:$T$44,$CU17,CR$57),""),1+CR$58*2,1),IF(LEN(IFERROR(INDEX(醫師週班表!$C$5:$T$44,$CU17,CR$57),""))=2,IF(AND(RIGHT(IFERROR(INDEX(醫師週班表!$C$5:$T$44,$CU17,CR$57),""),1)="~",CR$58=1),"",LEFT(IFERROR(INDEX(醫師週班表!$C$5:$T$44,$CU17,CR$57),""),1)),IFERROR(INDEX(醫師週班表!$C$5:$T$44,$CU17,CR$57),""))))))</f>
        <v/>
      </c>
      <c r="CS17" s="68">
        <f>IF(CS$59="X","",IF(CS$59&lt;&gt;"",CS$59,IF(IFERROR(INDEX(醫師週班表!$C$5:$T$44,$CU17,CS$57),"")=0,"",IF(LEN(IFERROR(INDEX(醫師週班表!$C$5:$T$44,$CU17,CS$57),""))=4,MID(IFERROR(INDEX(醫師週班表!$C$5:$T$44,$CU17,CS$57),""),1+CS$58*2,1),IF(LEN(IFERROR(INDEX(醫師週班表!$C$5:$T$44,$CU17,CS$57),""))=2,IF(AND(RIGHT(IFERROR(INDEX(醫師週班表!$C$5:$T$44,$CU17,CS$57),""),1)="~",CS$58=1),"",LEFT(IFERROR(INDEX(醫師週班表!$C$5:$T$44,$CU17,CS$57),""),1)),IFERROR(INDEX(醫師週班表!$C$5:$T$44,$CU17,CS$57),""))))))</f>
        <v/>
      </c>
      <c r="CU17" s="69">
        <f>IFERROR(MATCH($A17,醫師週班表!$A$5:$A$44,0),0)</f>
        <v/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IFERROR(INDEX(醫師週班表!$C$5:$T$44,$CU18,E$57),"")=0,"",IF(LEN(IFERROR(INDEX(醫師週班表!$C$5:$T$44,$CU18,E$57),""))=4,MID(IFERROR(INDEX(醫師週班表!$C$5:$T$44,$CU18,E$57),""),1+E$58*2,1),IF(LEN(IFERROR(INDEX(醫師週班表!$C$5:$T$44,$CU18,E$57),""))=2,IF(AND(RIGHT(IFERROR(INDEX(醫師週班表!$C$5:$T$44,$CU18,E$57),""),1)="~",E$58=1),"",LEFT(IFERROR(INDEX(醫師週班表!$C$5:$T$44,$CU18,E$57),""),1)),IFERROR(INDEX(醫師週班表!$C$5:$T$44,$CU18,E$57),""))))))</f>
        <v/>
      </c>
      <c r="F18" s="68">
        <f>IF(F$59="X","",IF(F$59&lt;&gt;"",F$59,IF(IFERROR(INDEX(醫師週班表!$C$5:$T$44,$CU18,F$57),"")=0,"",IF(LEN(IFERROR(INDEX(醫師週班表!$C$5:$T$44,$CU18,F$57),""))=4,MID(IFERROR(INDEX(醫師週班表!$C$5:$T$44,$CU18,F$57),""),1+F$58*2,1),IF(LEN(IFERROR(INDEX(醫師週班表!$C$5:$T$44,$CU18,F$57),""))=2,IF(AND(RIGHT(IFERROR(INDEX(醫師週班表!$C$5:$T$44,$CU18,F$57),""),1)="~",F$58=1),"",LEFT(IFERROR(INDEX(醫師週班表!$C$5:$T$44,$CU18,F$57),""),1)),IFERROR(INDEX(醫師週班表!$C$5:$T$44,$CU18,F$57),""))))))</f>
        <v/>
      </c>
      <c r="G18" s="68">
        <f>IF(G$59="X","",IF(G$59&lt;&gt;"",G$59,IF(IFERROR(INDEX(醫師週班表!$C$5:$T$44,$CU18,G$57),"")=0,"",IF(LEN(IFERROR(INDEX(醫師週班表!$C$5:$T$44,$CU18,G$57),""))=4,MID(IFERROR(INDEX(醫師週班表!$C$5:$T$44,$CU18,G$57),""),1+G$58*2,1),IF(LEN(IFERROR(INDEX(醫師週班表!$C$5:$T$44,$CU18,G$57),""))=2,IF(AND(RIGHT(IFERROR(INDEX(醫師週班表!$C$5:$T$44,$CU18,G$57),""),1)="~",G$58=1),"",LEFT(IFERROR(INDEX(醫師週班表!$C$5:$T$44,$CU18,G$57),""),1)),IFERROR(INDEX(醫師週班表!$C$5:$T$44,$CU18,G$57),""))))))</f>
        <v/>
      </c>
      <c r="H18" s="67">
        <f>IF(H$59="X","",IF(H$59&lt;&gt;"",H$59,IF(IFERROR(INDEX(醫師週班表!$C$5:$T$44,$CU18,H$57),"")=0,"",IF(LEN(IFERROR(INDEX(醫師週班表!$C$5:$T$44,$CU18,H$57),""))=4,MID(IFERROR(INDEX(醫師週班表!$C$5:$T$44,$CU18,H$57),""),1+H$58*2,1),IF(LEN(IFERROR(INDEX(醫師週班表!$C$5:$T$44,$CU18,H$57),""))=2,IF(AND(RIGHT(IFERROR(INDEX(醫師週班表!$C$5:$T$44,$CU18,H$57),""),1)="~",H$58=1),"",LEFT(IFERROR(INDEX(醫師週班表!$C$5:$T$44,$CU18,H$57),""),1)),IFERROR(INDEX(醫師週班表!$C$5:$T$44,$CU18,H$57),""))))))</f>
        <v/>
      </c>
      <c r="I18" s="68">
        <f>IF(I$59="X","",IF(I$59&lt;&gt;"",I$59,IF(IFERROR(INDEX(醫師週班表!$C$5:$T$44,$CU18,I$57),"")=0,"",IF(LEN(IFERROR(INDEX(醫師週班表!$C$5:$T$44,$CU18,I$57),""))=4,MID(IFERROR(INDEX(醫師週班表!$C$5:$T$44,$CU18,I$57),""),1+I$58*2,1),IF(LEN(IFERROR(INDEX(醫師週班表!$C$5:$T$44,$CU18,I$57),""))=2,IF(AND(RIGHT(IFERROR(INDEX(醫師週班表!$C$5:$T$44,$CU18,I$57),""),1)="~",I$58=1),"",LEFT(IFERROR(INDEX(醫師週班表!$C$5:$T$44,$CU18,I$57),""),1)),IFERROR(INDEX(醫師週班表!$C$5:$T$44,$CU18,I$57),""))))))</f>
        <v/>
      </c>
      <c r="J18" s="68">
        <f>IF(J$59="X","",IF(J$59&lt;&gt;"",J$59,IF(IFERROR(INDEX(醫師週班表!$C$5:$T$44,$CU18,J$57),"")=0,"",IF(LEN(IFERROR(INDEX(醫師週班表!$C$5:$T$44,$CU18,J$57),""))=4,MID(IFERROR(INDEX(醫師週班表!$C$5:$T$44,$CU18,J$57),""),1+J$58*2,1),IF(LEN(IFERROR(INDEX(醫師週班表!$C$5:$T$44,$CU18,J$57),""))=2,IF(AND(RIGHT(IFERROR(INDEX(醫師週班表!$C$5:$T$44,$CU18,J$57),""),1)="~",J$58=1),"",LEFT(IFERROR(INDEX(醫師週班表!$C$5:$T$44,$CU18,J$57),""),1)),IFERROR(INDEX(醫師週班表!$C$5:$T$44,$CU18,J$57),""))))))</f>
        <v/>
      </c>
      <c r="K18" s="67">
        <f>IF(K$59="X","",IF(K$59&lt;&gt;"",K$59,IF(IFERROR(INDEX(醫師週班表!$C$5:$T$44,$CU18,K$57),"")=0,"",IF(LEN(IFERROR(INDEX(醫師週班表!$C$5:$T$44,$CU18,K$57),""))=4,MID(IFERROR(INDEX(醫師週班表!$C$5:$T$44,$CU18,K$57),""),1+K$58*2,1),IF(LEN(IFERROR(INDEX(醫師週班表!$C$5:$T$44,$CU18,K$57),""))=2,IF(AND(RIGHT(IFERROR(INDEX(醫師週班表!$C$5:$T$44,$CU18,K$57),""),1)="~",K$58=1),"",LEFT(IFERROR(INDEX(醫師週班表!$C$5:$T$44,$CU18,K$57),""),1)),IFERROR(INDEX(醫師週班表!$C$5:$T$44,$CU18,K$57),""))))))</f>
        <v/>
      </c>
      <c r="L18" s="68">
        <f>IF(L$59="X","",IF(L$59&lt;&gt;"",L$59,IF(IFERROR(INDEX(醫師週班表!$C$5:$T$44,$CU18,L$57),"")=0,"",IF(LEN(IFERROR(INDEX(醫師週班表!$C$5:$T$44,$CU18,L$57),""))=4,MID(IFERROR(INDEX(醫師週班表!$C$5:$T$44,$CU18,L$57),""),1+L$58*2,1),IF(LEN(IFERROR(INDEX(醫師週班表!$C$5:$T$44,$CU18,L$57),""))=2,IF(AND(RIGHT(IFERROR(INDEX(醫師週班表!$C$5:$T$44,$CU18,L$57),""),1)="~",L$58=1),"",LEFT(IFERROR(INDEX(醫師週班表!$C$5:$T$44,$CU18,L$57),""),1)),IFERROR(INDEX(醫師週班表!$C$5:$T$44,$CU18,L$57),""))))))</f>
        <v/>
      </c>
      <c r="M18" s="68">
        <f>IF(M$59="X","",IF(M$59&lt;&gt;"",M$59,IF(IFERROR(INDEX(醫師週班表!$C$5:$T$44,$CU18,M$57),"")=0,"",IF(LEN(IFERROR(INDEX(醫師週班表!$C$5:$T$44,$CU18,M$57),""))=4,MID(IFERROR(INDEX(醫師週班表!$C$5:$T$44,$CU18,M$57),""),1+M$58*2,1),IF(LEN(IFERROR(INDEX(醫師週班表!$C$5:$T$44,$CU18,M$57),""))=2,IF(AND(RIGHT(IFERROR(INDEX(醫師週班表!$C$5:$T$44,$CU18,M$57),""),1)="~",M$58=1),"",LEFT(IFERROR(INDEX(醫師週班表!$C$5:$T$44,$CU18,M$57),""),1)),IFERROR(INDEX(醫師週班表!$C$5:$T$44,$CU18,M$57),""))))))</f>
        <v/>
      </c>
      <c r="N18" s="67">
        <f>IF(N$59="X","",IF(N$59&lt;&gt;"",N$59,IF(IFERROR(INDEX(醫師週班表!$C$5:$T$44,$CU18,N$57),"")=0,"",IF(LEN(IFERROR(INDEX(醫師週班表!$C$5:$T$44,$CU18,N$57),""))=4,MID(IFERROR(INDEX(醫師週班表!$C$5:$T$44,$CU18,N$57),""),1+N$58*2,1),IF(LEN(IFERROR(INDEX(醫師週班表!$C$5:$T$44,$CU18,N$57),""))=2,IF(AND(RIGHT(IFERROR(INDEX(醫師週班表!$C$5:$T$44,$CU18,N$57),""),1)="~",N$58=1),"",LEFT(IFERROR(INDEX(醫師週班表!$C$5:$T$44,$CU18,N$57),""),1)),IFERROR(INDEX(醫師週班表!$C$5:$T$44,$CU18,N$57),""))))))</f>
        <v/>
      </c>
      <c r="O18" s="68">
        <f>IF(O$59="X","",IF(O$59&lt;&gt;"",O$59,IF(IFERROR(INDEX(醫師週班表!$C$5:$T$44,$CU18,O$57),"")=0,"",IF(LEN(IFERROR(INDEX(醫師週班表!$C$5:$T$44,$CU18,O$57),""))=4,MID(IFERROR(INDEX(醫師週班表!$C$5:$T$44,$CU18,O$57),""),1+O$58*2,1),IF(LEN(IFERROR(INDEX(醫師週班表!$C$5:$T$44,$CU18,O$57),""))=2,IF(AND(RIGHT(IFERROR(INDEX(醫師週班表!$C$5:$T$44,$CU18,O$57),""),1)="~",O$58=1),"",LEFT(IFERROR(INDEX(醫師週班表!$C$5:$T$44,$CU18,O$57),""),1)),IFERROR(INDEX(醫師週班表!$C$5:$T$44,$CU18,O$57),""))))))</f>
        <v/>
      </c>
      <c r="P18" s="68">
        <f>IF(P$59="X","",IF(P$59&lt;&gt;"",P$59,IF(IFERROR(INDEX(醫師週班表!$C$5:$T$44,$CU18,P$57),"")=0,"",IF(LEN(IFERROR(INDEX(醫師週班表!$C$5:$T$44,$CU18,P$57),""))=4,MID(IFERROR(INDEX(醫師週班表!$C$5:$T$44,$CU18,P$57),""),1+P$58*2,1),IF(LEN(IFERROR(INDEX(醫師週班表!$C$5:$T$44,$CU18,P$57),""))=2,IF(AND(RIGHT(IFERROR(INDEX(醫師週班表!$C$5:$T$44,$CU18,P$57),""),1)="~",P$58=1),"",LEFT(IFERROR(INDEX(醫師週班表!$C$5:$T$44,$CU18,P$57),""),1)),IFERROR(INDEX(醫師週班表!$C$5:$T$44,$CU18,P$57),""))))))</f>
        <v/>
      </c>
      <c r="Q18" s="67">
        <f>IF(Q$59="X","",IF(Q$59&lt;&gt;"",Q$59,IF(IFERROR(INDEX(醫師週班表!$C$5:$T$44,$CU18,Q$57),"")=0,"",IF(LEN(IFERROR(INDEX(醫師週班表!$C$5:$T$44,$CU18,Q$57),""))=4,MID(IFERROR(INDEX(醫師週班表!$C$5:$T$44,$CU18,Q$57),""),1+Q$58*2,1),IF(LEN(IFERROR(INDEX(醫師週班表!$C$5:$T$44,$CU18,Q$57),""))=2,IF(AND(RIGHT(IFERROR(INDEX(醫師週班表!$C$5:$T$44,$CU18,Q$57),""),1)="~",Q$58=1),"",LEFT(IFERROR(INDEX(醫師週班表!$C$5:$T$44,$CU18,Q$57),""),1)),IFERROR(INDEX(醫師週班表!$C$5:$T$44,$CU18,Q$57),""))))))</f>
        <v/>
      </c>
      <c r="R18" s="68">
        <f>IF(R$59="X","",IF(R$59&lt;&gt;"",R$59,IF(IFERROR(INDEX(醫師週班表!$C$5:$T$44,$CU18,R$57),"")=0,"",IF(LEN(IFERROR(INDEX(醫師週班表!$C$5:$T$44,$CU18,R$57),""))=4,MID(IFERROR(INDEX(醫師週班表!$C$5:$T$44,$CU18,R$57),""),1+R$58*2,1),IF(LEN(IFERROR(INDEX(醫師週班表!$C$5:$T$44,$CU18,R$57),""))=2,IF(AND(RIGHT(IFERROR(INDEX(醫師週班表!$C$5:$T$44,$CU18,R$57),""),1)="~",R$58=1),"",LEFT(IFERROR(INDEX(醫師週班表!$C$5:$T$44,$CU18,R$57),""),1)),IFERROR(INDEX(醫師週班表!$C$5:$T$44,$CU18,R$57),""))))))</f>
        <v/>
      </c>
      <c r="S18" s="68">
        <f>IF(S$59="X","",IF(S$59&lt;&gt;"",S$59,IF(IFERROR(INDEX(醫師週班表!$C$5:$T$44,$CU18,S$57),"")=0,"",IF(LEN(IFERROR(INDEX(醫師週班表!$C$5:$T$44,$CU18,S$57),""))=4,MID(IFERROR(INDEX(醫師週班表!$C$5:$T$44,$CU18,S$57),""),1+S$58*2,1),IF(LEN(IFERROR(INDEX(醫師週班表!$C$5:$T$44,$CU18,S$57),""))=2,IF(AND(RIGHT(IFERROR(INDEX(醫師週班表!$C$5:$T$44,$CU18,S$57),""),1)="~",S$58=1),"",LEFT(IFERROR(INDEX(醫師週班表!$C$5:$T$44,$CU18,S$57),""),1)),IFERROR(INDEX(醫師週班表!$C$5:$T$44,$CU18,S$57),""))))))</f>
        <v/>
      </c>
      <c r="T18" s="67">
        <f>IF(T$59="X","",IF(T$59&lt;&gt;"",T$59,IF(IFERROR(INDEX(醫師週班表!$C$5:$T$44,$CU18,T$57),"")=0,"",IF(LEN(IFERROR(INDEX(醫師週班表!$C$5:$T$44,$CU18,T$57),""))=4,MID(IFERROR(INDEX(醫師週班表!$C$5:$T$44,$CU18,T$57),""),1+T$58*2,1),IF(LEN(IFERROR(INDEX(醫師週班表!$C$5:$T$44,$CU18,T$57),""))=2,IF(AND(RIGHT(IFERROR(INDEX(醫師週班表!$C$5:$T$44,$CU18,T$57),""),1)="~",T$58=1),"",LEFT(IFERROR(INDEX(醫師週班表!$C$5:$T$44,$CU18,T$57),""),1)),IFERROR(INDEX(醫師週班表!$C$5:$T$44,$CU18,T$57),""))))))</f>
        <v/>
      </c>
      <c r="U18" s="68">
        <f>IF(U$59="X","",IF(U$59&lt;&gt;"",U$59,IF(IFERROR(INDEX(醫師週班表!$C$5:$T$44,$CU18,U$57),"")=0,"",IF(LEN(IFERROR(INDEX(醫師週班表!$C$5:$T$44,$CU18,U$57),""))=4,MID(IFERROR(INDEX(醫師週班表!$C$5:$T$44,$CU18,U$57),""),1+U$58*2,1),IF(LEN(IFERROR(INDEX(醫師週班表!$C$5:$T$44,$CU18,U$57),""))=2,IF(AND(RIGHT(IFERROR(INDEX(醫師週班表!$C$5:$T$44,$CU18,U$57),""),1)="~",U$58=1),"",LEFT(IFERROR(INDEX(醫師週班表!$C$5:$T$44,$CU18,U$57),""),1)),IFERROR(INDEX(醫師週班表!$C$5:$T$44,$CU18,U$57),""))))))</f>
        <v/>
      </c>
      <c r="V18" s="68">
        <f>IF(V$59="X","",IF(V$59&lt;&gt;"",V$59,IF(IFERROR(INDEX(醫師週班表!$C$5:$T$44,$CU18,V$57),"")=0,"",IF(LEN(IFERROR(INDEX(醫師週班表!$C$5:$T$44,$CU18,V$57),""))=4,MID(IFERROR(INDEX(醫師週班表!$C$5:$T$44,$CU18,V$57),""),1+V$58*2,1),IF(LEN(IFERROR(INDEX(醫師週班表!$C$5:$T$44,$CU18,V$57),""))=2,IF(AND(RIGHT(IFERROR(INDEX(醫師週班表!$C$5:$T$44,$CU18,V$57),""),1)="~",V$58=1),"",LEFT(IFERROR(INDEX(醫師週班表!$C$5:$T$44,$CU18,V$57),""),1)),IFERROR(INDEX(醫師週班表!$C$5:$T$44,$CU18,V$57),""))))))</f>
        <v/>
      </c>
      <c r="W18" s="67">
        <f>IF(W$59="X","",IF(W$59&lt;&gt;"",W$59,IF(IFERROR(INDEX(醫師週班表!$C$5:$T$44,$CU18,W$57),"")=0,"",IF(LEN(IFERROR(INDEX(醫師週班表!$C$5:$T$44,$CU18,W$57),""))=4,MID(IFERROR(INDEX(醫師週班表!$C$5:$T$44,$CU18,W$57),""),1+W$58*2,1),IF(LEN(IFERROR(INDEX(醫師週班表!$C$5:$T$44,$CU18,W$57),""))=2,IF(AND(RIGHT(IFERROR(INDEX(醫師週班表!$C$5:$T$44,$CU18,W$57),""),1)="~",W$58=1),"",LEFT(IFERROR(INDEX(醫師週班表!$C$5:$T$44,$CU18,W$57),""),1)),IFERROR(INDEX(醫師週班表!$C$5:$T$44,$CU18,W$57),""))))))</f>
        <v/>
      </c>
      <c r="X18" s="68">
        <f>IF(X$59="X","",IF(X$59&lt;&gt;"",X$59,IF(IFERROR(INDEX(醫師週班表!$C$5:$T$44,$CU18,X$57),"")=0,"",IF(LEN(IFERROR(INDEX(醫師週班表!$C$5:$T$44,$CU18,X$57),""))=4,MID(IFERROR(INDEX(醫師週班表!$C$5:$T$44,$CU18,X$57),""),1+X$58*2,1),IF(LEN(IFERROR(INDEX(醫師週班表!$C$5:$T$44,$CU18,X$57),""))=2,IF(AND(RIGHT(IFERROR(INDEX(醫師週班表!$C$5:$T$44,$CU18,X$57),""),1)="~",X$58=1),"",LEFT(IFERROR(INDEX(醫師週班表!$C$5:$T$44,$CU18,X$57),""),1)),IFERROR(INDEX(醫師週班表!$C$5:$T$44,$CU18,X$57),""))))))</f>
        <v/>
      </c>
      <c r="Y18" s="68">
        <f>IF(Y$59="X","",IF(Y$59&lt;&gt;"",Y$59,IF(IFERROR(INDEX(醫師週班表!$C$5:$T$44,$CU18,Y$57),"")=0,"",IF(LEN(IFERROR(INDEX(醫師週班表!$C$5:$T$44,$CU18,Y$57),""))=4,MID(IFERROR(INDEX(醫師週班表!$C$5:$T$44,$CU18,Y$57),""),1+Y$58*2,1),IF(LEN(IFERROR(INDEX(醫師週班表!$C$5:$T$44,$CU18,Y$57),""))=2,IF(AND(RIGHT(IFERROR(INDEX(醫師週班表!$C$5:$T$44,$CU18,Y$57),""),1)="~",Y$58=1),"",LEFT(IFERROR(INDEX(醫師週班表!$C$5:$T$44,$CU18,Y$57),""),1)),IFERROR(INDEX(醫師週班表!$C$5:$T$44,$CU18,Y$57),""))))))</f>
        <v/>
      </c>
      <c r="Z18" s="67">
        <f>IF(Z$59="X","",IF(Z$59&lt;&gt;"",Z$59,IF(IFERROR(INDEX(醫師週班表!$C$5:$T$44,$CU18,Z$57),"")=0,"",IF(LEN(IFERROR(INDEX(醫師週班表!$C$5:$T$44,$CU18,Z$57),""))=4,MID(IFERROR(INDEX(醫師週班表!$C$5:$T$44,$CU18,Z$57),""),1+Z$58*2,1),IF(LEN(IFERROR(INDEX(醫師週班表!$C$5:$T$44,$CU18,Z$57),""))=2,IF(AND(RIGHT(IFERROR(INDEX(醫師週班表!$C$5:$T$44,$CU18,Z$57),""),1)="~",Z$58=1),"",LEFT(IFERROR(INDEX(醫師週班表!$C$5:$T$44,$CU18,Z$57),""),1)),IFERROR(INDEX(醫師週班表!$C$5:$T$44,$CU18,Z$57),""))))))</f>
        <v/>
      </c>
      <c r="AA18" s="68">
        <f>IF(AA$59="X","",IF(AA$59&lt;&gt;"",AA$59,IF(IFERROR(INDEX(醫師週班表!$C$5:$T$44,$CU18,AA$57),"")=0,"",IF(LEN(IFERROR(INDEX(醫師週班表!$C$5:$T$44,$CU18,AA$57),""))=4,MID(IFERROR(INDEX(醫師週班表!$C$5:$T$44,$CU18,AA$57),""),1+AA$58*2,1),IF(LEN(IFERROR(INDEX(醫師週班表!$C$5:$T$44,$CU18,AA$57),""))=2,IF(AND(RIGHT(IFERROR(INDEX(醫師週班表!$C$5:$T$44,$CU18,AA$57),""),1)="~",AA$58=1),"",LEFT(IFERROR(INDEX(醫師週班表!$C$5:$T$44,$CU18,AA$57),""),1)),IFERROR(INDEX(醫師週班表!$C$5:$T$44,$CU18,AA$57),""))))))</f>
        <v/>
      </c>
      <c r="AB18" s="68">
        <f>IF(AB$59="X","",IF(AB$59&lt;&gt;"",AB$59,IF(IFERROR(INDEX(醫師週班表!$C$5:$T$44,$CU18,AB$57),"")=0,"",IF(LEN(IFERROR(INDEX(醫師週班表!$C$5:$T$44,$CU18,AB$57),""))=4,MID(IFERROR(INDEX(醫師週班表!$C$5:$T$44,$CU18,AB$57),""),1+AB$58*2,1),IF(LEN(IFERROR(INDEX(醫師週班表!$C$5:$T$44,$CU18,AB$57),""))=2,IF(AND(RIGHT(IFERROR(INDEX(醫師週班表!$C$5:$T$44,$CU18,AB$57),""),1)="~",AB$58=1),"",LEFT(IFERROR(INDEX(醫師週班表!$C$5:$T$44,$CU18,AB$57),""),1)),IFERROR(INDEX(醫師週班表!$C$5:$T$44,$CU18,AB$57),""))))))</f>
        <v/>
      </c>
      <c r="AC18" s="67">
        <f>IF(AC$59="X","",IF(AC$59&lt;&gt;"",AC$59,IF(IFERROR(INDEX(醫師週班表!$C$5:$T$44,$CU18,AC$57),"")=0,"",IF(LEN(IFERROR(INDEX(醫師週班表!$C$5:$T$44,$CU18,AC$57),""))=4,MID(IFERROR(INDEX(醫師週班表!$C$5:$T$44,$CU18,AC$57),""),1+AC$58*2,1),IF(LEN(IFERROR(INDEX(醫師週班表!$C$5:$T$44,$CU18,AC$57),""))=2,IF(AND(RIGHT(IFERROR(INDEX(醫師週班表!$C$5:$T$44,$CU18,AC$57),""),1)="~",AC$58=1),"",LEFT(IFERROR(INDEX(醫師週班表!$C$5:$T$44,$CU18,AC$57),""),1)),IFERROR(INDEX(醫師週班表!$C$5:$T$44,$CU18,AC$57),""))))))</f>
        <v/>
      </c>
      <c r="AD18" s="68">
        <f>IF(AD$59="X","",IF(AD$59&lt;&gt;"",AD$59,IF(IFERROR(INDEX(醫師週班表!$C$5:$T$44,$CU18,AD$57),"")=0,"",IF(LEN(IFERROR(INDEX(醫師週班表!$C$5:$T$44,$CU18,AD$57),""))=4,MID(IFERROR(INDEX(醫師週班表!$C$5:$T$44,$CU18,AD$57),""),1+AD$58*2,1),IF(LEN(IFERROR(INDEX(醫師週班表!$C$5:$T$44,$CU18,AD$57),""))=2,IF(AND(RIGHT(IFERROR(INDEX(醫師週班表!$C$5:$T$44,$CU18,AD$57),""),1)="~",AD$58=1),"",LEFT(IFERROR(INDEX(醫師週班表!$C$5:$T$44,$CU18,AD$57),""),1)),IFERROR(INDEX(醫師週班表!$C$5:$T$44,$CU18,AD$57),""))))))</f>
        <v/>
      </c>
      <c r="AE18" s="68">
        <f>IF(AE$59="X","",IF(AE$59&lt;&gt;"",AE$59,IF(IFERROR(INDEX(醫師週班表!$C$5:$T$44,$CU18,AE$57),"")=0,"",IF(LEN(IFERROR(INDEX(醫師週班表!$C$5:$T$44,$CU18,AE$57),""))=4,MID(IFERROR(INDEX(醫師週班表!$C$5:$T$44,$CU18,AE$57),""),1+AE$58*2,1),IF(LEN(IFERROR(INDEX(醫師週班表!$C$5:$T$44,$CU18,AE$57),""))=2,IF(AND(RIGHT(IFERROR(INDEX(醫師週班表!$C$5:$T$44,$CU18,AE$57),""),1)="~",AE$58=1),"",LEFT(IFERROR(INDEX(醫師週班表!$C$5:$T$44,$CU18,AE$57),""),1)),IFERROR(INDEX(醫師週班表!$C$5:$T$44,$CU18,AE$57),""))))))</f>
        <v/>
      </c>
      <c r="AF18" s="67">
        <f>IF(AF$59="X","",IF(AF$59&lt;&gt;"",AF$59,IF(IFERROR(INDEX(醫師週班表!$C$5:$T$44,$CU18,AF$57),"")=0,"",IF(LEN(IFERROR(INDEX(醫師週班表!$C$5:$T$44,$CU18,AF$57),""))=4,MID(IFERROR(INDEX(醫師週班表!$C$5:$T$44,$CU18,AF$57),""),1+AF$58*2,1),IF(LEN(IFERROR(INDEX(醫師週班表!$C$5:$T$44,$CU18,AF$57),""))=2,IF(AND(RIGHT(IFERROR(INDEX(醫師週班表!$C$5:$T$44,$CU18,AF$57),""),1)="~",AF$58=1),"",LEFT(IFERROR(INDEX(醫師週班表!$C$5:$T$44,$CU18,AF$57),""),1)),IFERROR(INDEX(醫師週班表!$C$5:$T$44,$CU18,AF$57),""))))))</f>
        <v/>
      </c>
      <c r="AG18" s="68">
        <f>IF(AG$59="X","",IF(AG$59&lt;&gt;"",AG$59,IF(IFERROR(INDEX(醫師週班表!$C$5:$T$44,$CU18,AG$57),"")=0,"",IF(LEN(IFERROR(INDEX(醫師週班表!$C$5:$T$44,$CU18,AG$57),""))=4,MID(IFERROR(INDEX(醫師週班表!$C$5:$T$44,$CU18,AG$57),""),1+AG$58*2,1),IF(LEN(IFERROR(INDEX(醫師週班表!$C$5:$T$44,$CU18,AG$57),""))=2,IF(AND(RIGHT(IFERROR(INDEX(醫師週班表!$C$5:$T$44,$CU18,AG$57),""),1)="~",AG$58=1),"",LEFT(IFERROR(INDEX(醫師週班表!$C$5:$T$44,$CU18,AG$57),""),1)),IFERROR(INDEX(醫師週班表!$C$5:$T$44,$CU18,AG$57),""))))))</f>
        <v/>
      </c>
      <c r="AH18" s="68">
        <f>IF(AH$59="X","",IF(AH$59&lt;&gt;"",AH$59,IF(IFERROR(INDEX(醫師週班表!$C$5:$T$44,$CU18,AH$57),"")=0,"",IF(LEN(IFERROR(INDEX(醫師週班表!$C$5:$T$44,$CU18,AH$57),""))=4,MID(IFERROR(INDEX(醫師週班表!$C$5:$T$44,$CU18,AH$57),""),1+AH$58*2,1),IF(LEN(IFERROR(INDEX(醫師週班表!$C$5:$T$44,$CU18,AH$57),""))=2,IF(AND(RIGHT(IFERROR(INDEX(醫師週班表!$C$5:$T$44,$CU18,AH$57),""),1)="~",AH$58=1),"",LEFT(IFERROR(INDEX(醫師週班表!$C$5:$T$44,$CU18,AH$57),""),1)),IFERROR(INDEX(醫師週班表!$C$5:$T$44,$CU18,AH$57),""))))))</f>
        <v/>
      </c>
      <c r="AI18" s="67">
        <f>IF(AI$59="X","",IF(AI$59&lt;&gt;"",AI$59,IF(IFERROR(INDEX(醫師週班表!$C$5:$T$44,$CU18,AI$57),"")=0,"",IF(LEN(IFERROR(INDEX(醫師週班表!$C$5:$T$44,$CU18,AI$57),""))=4,MID(IFERROR(INDEX(醫師週班表!$C$5:$T$44,$CU18,AI$57),""),1+AI$58*2,1),IF(LEN(IFERROR(INDEX(醫師週班表!$C$5:$T$44,$CU18,AI$57),""))=2,IF(AND(RIGHT(IFERROR(INDEX(醫師週班表!$C$5:$T$44,$CU18,AI$57),""),1)="~",AI$58=1),"",LEFT(IFERROR(INDEX(醫師週班表!$C$5:$T$44,$CU18,AI$57),""),1)),IFERROR(INDEX(醫師週班表!$C$5:$T$44,$CU18,AI$57),""))))))</f>
        <v/>
      </c>
      <c r="AJ18" s="68">
        <f>IF(AJ$59="X","",IF(AJ$59&lt;&gt;"",AJ$59,IF(IFERROR(INDEX(醫師週班表!$C$5:$T$44,$CU18,AJ$57),"")=0,"",IF(LEN(IFERROR(INDEX(醫師週班表!$C$5:$T$44,$CU18,AJ$57),""))=4,MID(IFERROR(INDEX(醫師週班表!$C$5:$T$44,$CU18,AJ$57),""),1+AJ$58*2,1),IF(LEN(IFERROR(INDEX(醫師週班表!$C$5:$T$44,$CU18,AJ$57),""))=2,IF(AND(RIGHT(IFERROR(INDEX(醫師週班表!$C$5:$T$44,$CU18,AJ$57),""),1)="~",AJ$58=1),"",LEFT(IFERROR(INDEX(醫師週班表!$C$5:$T$44,$CU18,AJ$57),""),1)),IFERROR(INDEX(醫師週班表!$C$5:$T$44,$CU18,AJ$57),""))))))</f>
        <v/>
      </c>
      <c r="AK18" s="68">
        <f>IF(AK$59="X","",IF(AK$59&lt;&gt;"",AK$59,IF(IFERROR(INDEX(醫師週班表!$C$5:$T$44,$CU18,AK$57),"")=0,"",IF(LEN(IFERROR(INDEX(醫師週班表!$C$5:$T$44,$CU18,AK$57),""))=4,MID(IFERROR(INDEX(醫師週班表!$C$5:$T$44,$CU18,AK$57),""),1+AK$58*2,1),IF(LEN(IFERROR(INDEX(醫師週班表!$C$5:$T$44,$CU18,AK$57),""))=2,IF(AND(RIGHT(IFERROR(INDEX(醫師週班表!$C$5:$T$44,$CU18,AK$57),""),1)="~",AK$58=1),"",LEFT(IFERROR(INDEX(醫師週班表!$C$5:$T$44,$CU18,AK$57),""),1)),IFERROR(INDEX(醫師週班表!$C$5:$T$44,$CU18,AK$57),""))))))</f>
        <v/>
      </c>
      <c r="AL18" s="67">
        <f>IF(AL$59="X","",IF(AL$59&lt;&gt;"",AL$59,IF(IFERROR(INDEX(醫師週班表!$C$5:$T$44,$CU18,AL$57),"")=0,"",IF(LEN(IFERROR(INDEX(醫師週班表!$C$5:$T$44,$CU18,AL$57),""))=4,MID(IFERROR(INDEX(醫師週班表!$C$5:$T$44,$CU18,AL$57),""),1+AL$58*2,1),IF(LEN(IFERROR(INDEX(醫師週班表!$C$5:$T$44,$CU18,AL$57),""))=2,IF(AND(RIGHT(IFERROR(INDEX(醫師週班表!$C$5:$T$44,$CU18,AL$57),""),1)="~",AL$58=1),"",LEFT(IFERROR(INDEX(醫師週班表!$C$5:$T$44,$CU18,AL$57),""),1)),IFERROR(INDEX(醫師週班表!$C$5:$T$44,$CU18,AL$57),""))))))</f>
        <v/>
      </c>
      <c r="AM18" s="68">
        <f>IF(AM$59="X","",IF(AM$59&lt;&gt;"",AM$59,IF(IFERROR(INDEX(醫師週班表!$C$5:$T$44,$CU18,AM$57),"")=0,"",IF(LEN(IFERROR(INDEX(醫師週班表!$C$5:$T$44,$CU18,AM$57),""))=4,MID(IFERROR(INDEX(醫師週班表!$C$5:$T$44,$CU18,AM$57),""),1+AM$58*2,1),IF(LEN(IFERROR(INDEX(醫師週班表!$C$5:$T$44,$CU18,AM$57),""))=2,IF(AND(RIGHT(IFERROR(INDEX(醫師週班表!$C$5:$T$44,$CU18,AM$57),""),1)="~",AM$58=1),"",LEFT(IFERROR(INDEX(醫師週班表!$C$5:$T$44,$CU18,AM$57),""),1)),IFERROR(INDEX(醫師週班表!$C$5:$T$44,$CU18,AM$57),""))))))</f>
        <v/>
      </c>
      <c r="AN18" s="68">
        <f>IF(AN$59="X","",IF(AN$59&lt;&gt;"",AN$59,IF(IFERROR(INDEX(醫師週班表!$C$5:$T$44,$CU18,AN$57),"")=0,"",IF(LEN(IFERROR(INDEX(醫師週班表!$C$5:$T$44,$CU18,AN$57),""))=4,MID(IFERROR(INDEX(醫師週班表!$C$5:$T$44,$CU18,AN$57),""),1+AN$58*2,1),IF(LEN(IFERROR(INDEX(醫師週班表!$C$5:$T$44,$CU18,AN$57),""))=2,IF(AND(RIGHT(IFERROR(INDEX(醫師週班表!$C$5:$T$44,$CU18,AN$57),""),1)="~",AN$58=1),"",LEFT(IFERROR(INDEX(醫師週班表!$C$5:$T$44,$CU18,AN$57),""),1)),IFERROR(INDEX(醫師週班表!$C$5:$T$44,$CU18,AN$57),""))))))</f>
        <v/>
      </c>
      <c r="AO18" s="67">
        <f>IF(AO$59="X","",IF(AO$59&lt;&gt;"",AO$59,IF(IFERROR(INDEX(醫師週班表!$C$5:$T$44,$CU18,AO$57),"")=0,"",IF(LEN(IFERROR(INDEX(醫師週班表!$C$5:$T$44,$CU18,AO$57),""))=4,MID(IFERROR(INDEX(醫師週班表!$C$5:$T$44,$CU18,AO$57),""),1+AO$58*2,1),IF(LEN(IFERROR(INDEX(醫師週班表!$C$5:$T$44,$CU18,AO$57),""))=2,IF(AND(RIGHT(IFERROR(INDEX(醫師週班表!$C$5:$T$44,$CU18,AO$57),""),1)="~",AO$58=1),"",LEFT(IFERROR(INDEX(醫師週班表!$C$5:$T$44,$CU18,AO$57),""),1)),IFERROR(INDEX(醫師週班表!$C$5:$T$44,$CU18,AO$57),""))))))</f>
        <v/>
      </c>
      <c r="AP18" s="68">
        <f>IF(AP$59="X","",IF(AP$59&lt;&gt;"",AP$59,IF(IFERROR(INDEX(醫師週班表!$C$5:$T$44,$CU18,AP$57),"")=0,"",IF(LEN(IFERROR(INDEX(醫師週班表!$C$5:$T$44,$CU18,AP$57),""))=4,MID(IFERROR(INDEX(醫師週班表!$C$5:$T$44,$CU18,AP$57),""),1+AP$58*2,1),IF(LEN(IFERROR(INDEX(醫師週班表!$C$5:$T$44,$CU18,AP$57),""))=2,IF(AND(RIGHT(IFERROR(INDEX(醫師週班表!$C$5:$T$44,$CU18,AP$57),""),1)="~",AP$58=1),"",LEFT(IFERROR(INDEX(醫師週班表!$C$5:$T$44,$CU18,AP$57),""),1)),IFERROR(INDEX(醫師週班表!$C$5:$T$44,$CU18,AP$57),""))))))</f>
        <v/>
      </c>
      <c r="AQ18" s="68">
        <f>IF(AQ$59="X","",IF(AQ$59&lt;&gt;"",AQ$59,IF(IFERROR(INDEX(醫師週班表!$C$5:$T$44,$CU18,AQ$57),"")=0,"",IF(LEN(IFERROR(INDEX(醫師週班表!$C$5:$T$44,$CU18,AQ$57),""))=4,MID(IFERROR(INDEX(醫師週班表!$C$5:$T$44,$CU18,AQ$57),""),1+AQ$58*2,1),IF(LEN(IFERROR(INDEX(醫師週班表!$C$5:$T$44,$CU18,AQ$57),""))=2,IF(AND(RIGHT(IFERROR(INDEX(醫師週班表!$C$5:$T$44,$CU18,AQ$57),""),1)="~",AQ$58=1),"",LEFT(IFERROR(INDEX(醫師週班表!$C$5:$T$44,$CU18,AQ$57),""),1)),IFERROR(INDEX(醫師週班表!$C$5:$T$44,$CU18,AQ$57),""))))))</f>
        <v/>
      </c>
      <c r="AR18" s="67">
        <f>IF(AR$59="X","",IF(AR$59&lt;&gt;"",AR$59,IF(IFERROR(INDEX(醫師週班表!$C$5:$T$44,$CU18,AR$57),"")=0,"",IF(LEN(IFERROR(INDEX(醫師週班表!$C$5:$T$44,$CU18,AR$57),""))=4,MID(IFERROR(INDEX(醫師週班表!$C$5:$T$44,$CU18,AR$57),""),1+AR$58*2,1),IF(LEN(IFERROR(INDEX(醫師週班表!$C$5:$T$44,$CU18,AR$57),""))=2,IF(AND(RIGHT(IFERROR(INDEX(醫師週班表!$C$5:$T$44,$CU18,AR$57),""),1)="~",AR$58=1),"",LEFT(IFERROR(INDEX(醫師週班表!$C$5:$T$44,$CU18,AR$57),""),1)),IFERROR(INDEX(醫師週班表!$C$5:$T$44,$CU18,AR$57),""))))))</f>
        <v/>
      </c>
      <c r="AS18" s="68">
        <f>IF(AS$59="X","",IF(AS$59&lt;&gt;"",AS$59,IF(IFERROR(INDEX(醫師週班表!$C$5:$T$44,$CU18,AS$57),"")=0,"",IF(LEN(IFERROR(INDEX(醫師週班表!$C$5:$T$44,$CU18,AS$57),""))=4,MID(IFERROR(INDEX(醫師週班表!$C$5:$T$44,$CU18,AS$57),""),1+AS$58*2,1),IF(LEN(IFERROR(INDEX(醫師週班表!$C$5:$T$44,$CU18,AS$57),""))=2,IF(AND(RIGHT(IFERROR(INDEX(醫師週班表!$C$5:$T$44,$CU18,AS$57),""),1)="~",AS$58=1),"",LEFT(IFERROR(INDEX(醫師週班表!$C$5:$T$44,$CU18,AS$57),""),1)),IFERROR(INDEX(醫師週班表!$C$5:$T$44,$CU18,AS$57),""))))))</f>
        <v/>
      </c>
      <c r="AT18" s="68">
        <f>IF(AT$59="X","",IF(AT$59&lt;&gt;"",AT$59,IF(IFERROR(INDEX(醫師週班表!$C$5:$T$44,$CU18,AT$57),"")=0,"",IF(LEN(IFERROR(INDEX(醫師週班表!$C$5:$T$44,$CU18,AT$57),""))=4,MID(IFERROR(INDEX(醫師週班表!$C$5:$T$44,$CU18,AT$57),""),1+AT$58*2,1),IF(LEN(IFERROR(INDEX(醫師週班表!$C$5:$T$44,$CU18,AT$57),""))=2,IF(AND(RIGHT(IFERROR(INDEX(醫師週班表!$C$5:$T$44,$CU18,AT$57),""),1)="~",AT$58=1),"",LEFT(IFERROR(INDEX(醫師週班表!$C$5:$T$44,$CU18,AT$57),""),1)),IFERROR(INDEX(醫師週班表!$C$5:$T$44,$CU18,AT$57),""))))))</f>
        <v/>
      </c>
      <c r="AU18" s="67">
        <f>IF(AU$59="X","",IF(AU$59&lt;&gt;"",AU$59,IF(IFERROR(INDEX(醫師週班表!$C$5:$T$44,$CU18,AU$57),"")=0,"",IF(LEN(IFERROR(INDEX(醫師週班表!$C$5:$T$44,$CU18,AU$57),""))=4,MID(IFERROR(INDEX(醫師週班表!$C$5:$T$44,$CU18,AU$57),""),1+AU$58*2,1),IF(LEN(IFERROR(INDEX(醫師週班表!$C$5:$T$44,$CU18,AU$57),""))=2,IF(AND(RIGHT(IFERROR(INDEX(醫師週班表!$C$5:$T$44,$CU18,AU$57),""),1)="~",AU$58=1),"",LEFT(IFERROR(INDEX(醫師週班表!$C$5:$T$44,$CU18,AU$57),""),1)),IFERROR(INDEX(醫師週班表!$C$5:$T$44,$CU18,AU$57),""))))))</f>
        <v/>
      </c>
      <c r="AV18" s="68">
        <f>IF(AV$59="X","",IF(AV$59&lt;&gt;"",AV$59,IF(IFERROR(INDEX(醫師週班表!$C$5:$T$44,$CU18,AV$57),"")=0,"",IF(LEN(IFERROR(INDEX(醫師週班表!$C$5:$T$44,$CU18,AV$57),""))=4,MID(IFERROR(INDEX(醫師週班表!$C$5:$T$44,$CU18,AV$57),""),1+AV$58*2,1),IF(LEN(IFERROR(INDEX(醫師週班表!$C$5:$T$44,$CU18,AV$57),""))=2,IF(AND(RIGHT(IFERROR(INDEX(醫師週班表!$C$5:$T$44,$CU18,AV$57),""),1)="~",AV$58=1),"",LEFT(IFERROR(INDEX(醫師週班表!$C$5:$T$44,$CU18,AV$57),""),1)),IFERROR(INDEX(醫師週班表!$C$5:$T$44,$CU18,AV$57),""))))))</f>
        <v/>
      </c>
      <c r="AW18" s="68">
        <f>IF(AW$59="X","",IF(AW$59&lt;&gt;"",AW$59,IF(IFERROR(INDEX(醫師週班表!$C$5:$T$44,$CU18,AW$57),"")=0,"",IF(LEN(IFERROR(INDEX(醫師週班表!$C$5:$T$44,$CU18,AW$57),""))=4,MID(IFERROR(INDEX(醫師週班表!$C$5:$T$44,$CU18,AW$57),""),1+AW$58*2,1),IF(LEN(IFERROR(INDEX(醫師週班表!$C$5:$T$44,$CU18,AW$57),""))=2,IF(AND(RIGHT(IFERROR(INDEX(醫師週班表!$C$5:$T$44,$CU18,AW$57),""),1)="~",AW$58=1),"",LEFT(IFERROR(INDEX(醫師週班表!$C$5:$T$44,$CU18,AW$57),""),1)),IFERROR(INDEX(醫師週班表!$C$5:$T$44,$CU18,AW$57),""))))))</f>
        <v/>
      </c>
      <c r="AX18" s="67">
        <f>IF(AX$59="X","",IF(AX$59&lt;&gt;"",AX$59,IF(IFERROR(INDEX(醫師週班表!$C$5:$T$44,$CU18,AX$57),"")=0,"",IF(LEN(IFERROR(INDEX(醫師週班表!$C$5:$T$44,$CU18,AX$57),""))=4,MID(IFERROR(INDEX(醫師週班表!$C$5:$T$44,$CU18,AX$57),""),1+AX$58*2,1),IF(LEN(IFERROR(INDEX(醫師週班表!$C$5:$T$44,$CU18,AX$57),""))=2,IF(AND(RIGHT(IFERROR(INDEX(醫師週班表!$C$5:$T$44,$CU18,AX$57),""),1)="~",AX$58=1),"",LEFT(IFERROR(INDEX(醫師週班表!$C$5:$T$44,$CU18,AX$57),""),1)),IFERROR(INDEX(醫師週班表!$C$5:$T$44,$CU18,AX$57),""))))))</f>
        <v/>
      </c>
      <c r="AY18" s="68">
        <f>IF(AY$59="X","",IF(AY$59&lt;&gt;"",AY$59,IF(IFERROR(INDEX(醫師週班表!$C$5:$T$44,$CU18,AY$57),"")=0,"",IF(LEN(IFERROR(INDEX(醫師週班表!$C$5:$T$44,$CU18,AY$57),""))=4,MID(IFERROR(INDEX(醫師週班表!$C$5:$T$44,$CU18,AY$57),""),1+AY$58*2,1),IF(LEN(IFERROR(INDEX(醫師週班表!$C$5:$T$44,$CU18,AY$57),""))=2,IF(AND(RIGHT(IFERROR(INDEX(醫師週班表!$C$5:$T$44,$CU18,AY$57),""),1)="~",AY$58=1),"",LEFT(IFERROR(INDEX(醫師週班表!$C$5:$T$44,$CU18,AY$57),""),1)),IFERROR(INDEX(醫師週班表!$C$5:$T$44,$CU18,AY$57),""))))))</f>
        <v/>
      </c>
      <c r="AZ18" s="68">
        <f>IF(AZ$59="X","",IF(AZ$59&lt;&gt;"",AZ$59,IF(IFERROR(INDEX(醫師週班表!$C$5:$T$44,$CU18,AZ$57),"")=0,"",IF(LEN(IFERROR(INDEX(醫師週班表!$C$5:$T$44,$CU18,AZ$57),""))=4,MID(IFERROR(INDEX(醫師週班表!$C$5:$T$44,$CU18,AZ$57),""),1+AZ$58*2,1),IF(LEN(IFERROR(INDEX(醫師週班表!$C$5:$T$44,$CU18,AZ$57),""))=2,IF(AND(RIGHT(IFERROR(INDEX(醫師週班表!$C$5:$T$44,$CU18,AZ$57),""),1)="~",AZ$58=1),"",LEFT(IFERROR(INDEX(醫師週班表!$C$5:$T$44,$CU18,AZ$57),""),1)),IFERROR(INDEX(醫師週班表!$C$5:$T$44,$CU18,AZ$57),""))))))</f>
        <v/>
      </c>
      <c r="BA18" s="67">
        <f>IF(BA$59="X","",IF(BA$59&lt;&gt;"",BA$59,IF(IFERROR(INDEX(醫師週班表!$C$5:$T$44,$CU18,BA$57),"")=0,"",IF(LEN(IFERROR(INDEX(醫師週班表!$C$5:$T$44,$CU18,BA$57),""))=4,MID(IFERROR(INDEX(醫師週班表!$C$5:$T$44,$CU18,BA$57),""),1+BA$58*2,1),IF(LEN(IFERROR(INDEX(醫師週班表!$C$5:$T$44,$CU18,BA$57),""))=2,IF(AND(RIGHT(IFERROR(INDEX(醫師週班表!$C$5:$T$44,$CU18,BA$57),""),1)="~",BA$58=1),"",LEFT(IFERROR(INDEX(醫師週班表!$C$5:$T$44,$CU18,BA$57),""),1)),IFERROR(INDEX(醫師週班表!$C$5:$T$44,$CU18,BA$57),""))))))</f>
        <v/>
      </c>
      <c r="BB18" s="68">
        <f>IF(BB$59="X","",IF(BB$59&lt;&gt;"",BB$59,IF(IFERROR(INDEX(醫師週班表!$C$5:$T$44,$CU18,BB$57),"")=0,"",IF(LEN(IFERROR(INDEX(醫師週班表!$C$5:$T$44,$CU18,BB$57),""))=4,MID(IFERROR(INDEX(醫師週班表!$C$5:$T$44,$CU18,BB$57),""),1+BB$58*2,1),IF(LEN(IFERROR(INDEX(醫師週班表!$C$5:$T$44,$CU18,BB$57),""))=2,IF(AND(RIGHT(IFERROR(INDEX(醫師週班表!$C$5:$T$44,$CU18,BB$57),""),1)="~",BB$58=1),"",LEFT(IFERROR(INDEX(醫師週班表!$C$5:$T$44,$CU18,BB$57),""),1)),IFERROR(INDEX(醫師週班表!$C$5:$T$44,$CU18,BB$57),""))))))</f>
        <v/>
      </c>
      <c r="BC18" s="68">
        <f>IF(BC$59="X","",IF(BC$59&lt;&gt;"",BC$59,IF(IFERROR(INDEX(醫師週班表!$C$5:$T$44,$CU18,BC$57),"")=0,"",IF(LEN(IFERROR(INDEX(醫師週班表!$C$5:$T$44,$CU18,BC$57),""))=4,MID(IFERROR(INDEX(醫師週班表!$C$5:$T$44,$CU18,BC$57),""),1+BC$58*2,1),IF(LEN(IFERROR(INDEX(醫師週班表!$C$5:$T$44,$CU18,BC$57),""))=2,IF(AND(RIGHT(IFERROR(INDEX(醫師週班表!$C$5:$T$44,$CU18,BC$57),""),1)="~",BC$58=1),"",LEFT(IFERROR(INDEX(醫師週班表!$C$5:$T$44,$CU18,BC$57),""),1)),IFERROR(INDEX(醫師週班表!$C$5:$T$44,$CU18,BC$57),""))))))</f>
        <v/>
      </c>
      <c r="BD18" s="67">
        <f>IF(BD$59="X","",IF(BD$59&lt;&gt;"",BD$59,IF(IFERROR(INDEX(醫師週班表!$C$5:$T$44,$CU18,BD$57),"")=0,"",IF(LEN(IFERROR(INDEX(醫師週班表!$C$5:$T$44,$CU18,BD$57),""))=4,MID(IFERROR(INDEX(醫師週班表!$C$5:$T$44,$CU18,BD$57),""),1+BD$58*2,1),IF(LEN(IFERROR(INDEX(醫師週班表!$C$5:$T$44,$CU18,BD$57),""))=2,IF(AND(RIGHT(IFERROR(INDEX(醫師週班表!$C$5:$T$44,$CU18,BD$57),""),1)="~",BD$58=1),"",LEFT(IFERROR(INDEX(醫師週班表!$C$5:$T$44,$CU18,BD$57),""),1)),IFERROR(INDEX(醫師週班表!$C$5:$T$44,$CU18,BD$57),""))))))</f>
        <v/>
      </c>
      <c r="BE18" s="68">
        <f>IF(BE$59="X","",IF(BE$59&lt;&gt;"",BE$59,IF(IFERROR(INDEX(醫師週班表!$C$5:$T$44,$CU18,BE$57),"")=0,"",IF(LEN(IFERROR(INDEX(醫師週班表!$C$5:$T$44,$CU18,BE$57),""))=4,MID(IFERROR(INDEX(醫師週班表!$C$5:$T$44,$CU18,BE$57),""),1+BE$58*2,1),IF(LEN(IFERROR(INDEX(醫師週班表!$C$5:$T$44,$CU18,BE$57),""))=2,IF(AND(RIGHT(IFERROR(INDEX(醫師週班表!$C$5:$T$44,$CU18,BE$57),""),1)="~",BE$58=1),"",LEFT(IFERROR(INDEX(醫師週班表!$C$5:$T$44,$CU18,BE$57),""),1)),IFERROR(INDEX(醫師週班表!$C$5:$T$44,$CU18,BE$57),""))))))</f>
        <v/>
      </c>
      <c r="BF18" s="68">
        <f>IF(BF$59="X","",IF(BF$59&lt;&gt;"",BF$59,IF(IFERROR(INDEX(醫師週班表!$C$5:$T$44,$CU18,BF$57),"")=0,"",IF(LEN(IFERROR(INDEX(醫師週班表!$C$5:$T$44,$CU18,BF$57),""))=4,MID(IFERROR(INDEX(醫師週班表!$C$5:$T$44,$CU18,BF$57),""),1+BF$58*2,1),IF(LEN(IFERROR(INDEX(醫師週班表!$C$5:$T$44,$CU18,BF$57),""))=2,IF(AND(RIGHT(IFERROR(INDEX(醫師週班表!$C$5:$T$44,$CU18,BF$57),""),1)="~",BF$58=1),"",LEFT(IFERROR(INDEX(醫師週班表!$C$5:$T$44,$CU18,BF$57),""),1)),IFERROR(INDEX(醫師週班表!$C$5:$T$44,$CU18,BF$57),""))))))</f>
        <v/>
      </c>
      <c r="BG18" s="67">
        <f>IF(BG$59="X","",IF(BG$59&lt;&gt;"",BG$59,IF(IFERROR(INDEX(醫師週班表!$C$5:$T$44,$CU18,BG$57),"")=0,"",IF(LEN(IFERROR(INDEX(醫師週班表!$C$5:$T$44,$CU18,BG$57),""))=4,MID(IFERROR(INDEX(醫師週班表!$C$5:$T$44,$CU18,BG$57),""),1+BG$58*2,1),IF(LEN(IFERROR(INDEX(醫師週班表!$C$5:$T$44,$CU18,BG$57),""))=2,IF(AND(RIGHT(IFERROR(INDEX(醫師週班表!$C$5:$T$44,$CU18,BG$57),""),1)="~",BG$58=1),"",LEFT(IFERROR(INDEX(醫師週班表!$C$5:$T$44,$CU18,BG$57),""),1)),IFERROR(INDEX(醫師週班表!$C$5:$T$44,$CU18,BG$57),""))))))</f>
        <v/>
      </c>
      <c r="BH18" s="68">
        <f>IF(BH$59="X","",IF(BH$59&lt;&gt;"",BH$59,IF(IFERROR(INDEX(醫師週班表!$C$5:$T$44,$CU18,BH$57),"")=0,"",IF(LEN(IFERROR(INDEX(醫師週班表!$C$5:$T$44,$CU18,BH$57),""))=4,MID(IFERROR(INDEX(醫師週班表!$C$5:$T$44,$CU18,BH$57),""),1+BH$58*2,1),IF(LEN(IFERROR(INDEX(醫師週班表!$C$5:$T$44,$CU18,BH$57),""))=2,IF(AND(RIGHT(IFERROR(INDEX(醫師週班表!$C$5:$T$44,$CU18,BH$57),""),1)="~",BH$58=1),"",LEFT(IFERROR(INDEX(醫師週班表!$C$5:$T$44,$CU18,BH$57),""),1)),IFERROR(INDEX(醫師週班表!$C$5:$T$44,$CU18,BH$57),""))))))</f>
        <v/>
      </c>
      <c r="BI18" s="68">
        <f>IF(BI$59="X","",IF(BI$59&lt;&gt;"",BI$59,IF(IFERROR(INDEX(醫師週班表!$C$5:$T$44,$CU18,BI$57),"")=0,"",IF(LEN(IFERROR(INDEX(醫師週班表!$C$5:$T$44,$CU18,BI$57),""))=4,MID(IFERROR(INDEX(醫師週班表!$C$5:$T$44,$CU18,BI$57),""),1+BI$58*2,1),IF(LEN(IFERROR(INDEX(醫師週班表!$C$5:$T$44,$CU18,BI$57),""))=2,IF(AND(RIGHT(IFERROR(INDEX(醫師週班表!$C$5:$T$44,$CU18,BI$57),""),1)="~",BI$58=1),"",LEFT(IFERROR(INDEX(醫師週班表!$C$5:$T$44,$CU18,BI$57),""),1)),IFERROR(INDEX(醫師週班表!$C$5:$T$44,$CU18,BI$57),""))))))</f>
        <v/>
      </c>
      <c r="BJ18" s="67">
        <f>IF(BJ$59="X","",IF(BJ$59&lt;&gt;"",BJ$59,IF(IFERROR(INDEX(醫師週班表!$C$5:$T$44,$CU18,BJ$57),"")=0,"",IF(LEN(IFERROR(INDEX(醫師週班表!$C$5:$T$44,$CU18,BJ$57),""))=4,MID(IFERROR(INDEX(醫師週班表!$C$5:$T$44,$CU18,BJ$57),""),1+BJ$58*2,1),IF(LEN(IFERROR(INDEX(醫師週班表!$C$5:$T$44,$CU18,BJ$57),""))=2,IF(AND(RIGHT(IFERROR(INDEX(醫師週班表!$C$5:$T$44,$CU18,BJ$57),""),1)="~",BJ$58=1),"",LEFT(IFERROR(INDEX(醫師週班表!$C$5:$T$44,$CU18,BJ$57),""),1)),IFERROR(INDEX(醫師週班表!$C$5:$T$44,$CU18,BJ$57),""))))))</f>
        <v/>
      </c>
      <c r="BK18" s="68">
        <f>IF(BK$59="X","",IF(BK$59&lt;&gt;"",BK$59,IF(IFERROR(INDEX(醫師週班表!$C$5:$T$44,$CU18,BK$57),"")=0,"",IF(LEN(IFERROR(INDEX(醫師週班表!$C$5:$T$44,$CU18,BK$57),""))=4,MID(IFERROR(INDEX(醫師週班表!$C$5:$T$44,$CU18,BK$57),""),1+BK$58*2,1),IF(LEN(IFERROR(INDEX(醫師週班表!$C$5:$T$44,$CU18,BK$57),""))=2,IF(AND(RIGHT(IFERROR(INDEX(醫師週班表!$C$5:$T$44,$CU18,BK$57),""),1)="~",BK$58=1),"",LEFT(IFERROR(INDEX(醫師週班表!$C$5:$T$44,$CU18,BK$57),""),1)),IFERROR(INDEX(醫師週班表!$C$5:$T$44,$CU18,BK$57),""))))))</f>
        <v/>
      </c>
      <c r="BL18" s="68">
        <f>IF(BL$59="X","",IF(BL$59&lt;&gt;"",BL$59,IF(IFERROR(INDEX(醫師週班表!$C$5:$T$44,$CU18,BL$57),"")=0,"",IF(LEN(IFERROR(INDEX(醫師週班表!$C$5:$T$44,$CU18,BL$57),""))=4,MID(IFERROR(INDEX(醫師週班表!$C$5:$T$44,$CU18,BL$57),""),1+BL$58*2,1),IF(LEN(IFERROR(INDEX(醫師週班表!$C$5:$T$44,$CU18,BL$57),""))=2,IF(AND(RIGHT(IFERROR(INDEX(醫師週班表!$C$5:$T$44,$CU18,BL$57),""),1)="~",BL$58=1),"",LEFT(IFERROR(INDEX(醫師週班表!$C$5:$T$44,$CU18,BL$57),""),1)),IFERROR(INDEX(醫師週班表!$C$5:$T$44,$CU18,BL$57),""))))))</f>
        <v/>
      </c>
      <c r="BM18" s="67">
        <f>IF(BM$59="X","",IF(BM$59&lt;&gt;"",BM$59,IF(IFERROR(INDEX(醫師週班表!$C$5:$T$44,$CU18,BM$57),"")=0,"",IF(LEN(IFERROR(INDEX(醫師週班表!$C$5:$T$44,$CU18,BM$57),""))=4,MID(IFERROR(INDEX(醫師週班表!$C$5:$T$44,$CU18,BM$57),""),1+BM$58*2,1),IF(LEN(IFERROR(INDEX(醫師週班表!$C$5:$T$44,$CU18,BM$57),""))=2,IF(AND(RIGHT(IFERROR(INDEX(醫師週班表!$C$5:$T$44,$CU18,BM$57),""),1)="~",BM$58=1),"",LEFT(IFERROR(INDEX(醫師週班表!$C$5:$T$44,$CU18,BM$57),""),1)),IFERROR(INDEX(醫師週班表!$C$5:$T$44,$CU18,BM$57),""))))))</f>
        <v/>
      </c>
      <c r="BN18" s="68">
        <f>IF(BN$59="X","",IF(BN$59&lt;&gt;"",BN$59,IF(IFERROR(INDEX(醫師週班表!$C$5:$T$44,$CU18,BN$57),"")=0,"",IF(LEN(IFERROR(INDEX(醫師週班表!$C$5:$T$44,$CU18,BN$57),""))=4,MID(IFERROR(INDEX(醫師週班表!$C$5:$T$44,$CU18,BN$57),""),1+BN$58*2,1),IF(LEN(IFERROR(INDEX(醫師週班表!$C$5:$T$44,$CU18,BN$57),""))=2,IF(AND(RIGHT(IFERROR(INDEX(醫師週班表!$C$5:$T$44,$CU18,BN$57),""),1)="~",BN$58=1),"",LEFT(IFERROR(INDEX(醫師週班表!$C$5:$T$44,$CU18,BN$57),""),1)),IFERROR(INDEX(醫師週班表!$C$5:$T$44,$CU18,BN$57),""))))))</f>
        <v/>
      </c>
      <c r="BO18" s="68">
        <f>IF(BO$59="X","",IF(BO$59&lt;&gt;"",BO$59,IF(IFERROR(INDEX(醫師週班表!$C$5:$T$44,$CU18,BO$57),"")=0,"",IF(LEN(IFERROR(INDEX(醫師週班表!$C$5:$T$44,$CU18,BO$57),""))=4,MID(IFERROR(INDEX(醫師週班表!$C$5:$T$44,$CU18,BO$57),""),1+BO$58*2,1),IF(LEN(IFERROR(INDEX(醫師週班表!$C$5:$T$44,$CU18,BO$57),""))=2,IF(AND(RIGHT(IFERROR(INDEX(醫師週班表!$C$5:$T$44,$CU18,BO$57),""),1)="~",BO$58=1),"",LEFT(IFERROR(INDEX(醫師週班表!$C$5:$T$44,$CU18,BO$57),""),1)),IFERROR(INDEX(醫師週班表!$C$5:$T$44,$CU18,BO$57),""))))))</f>
        <v/>
      </c>
      <c r="BP18" s="67">
        <f>IF(BP$59="X","",IF(BP$59&lt;&gt;"",BP$59,IF(IFERROR(INDEX(醫師週班表!$C$5:$T$44,$CU18,BP$57),"")=0,"",IF(LEN(IFERROR(INDEX(醫師週班表!$C$5:$T$44,$CU18,BP$57),""))=4,MID(IFERROR(INDEX(醫師週班表!$C$5:$T$44,$CU18,BP$57),""),1+BP$58*2,1),IF(LEN(IFERROR(INDEX(醫師週班表!$C$5:$T$44,$CU18,BP$57),""))=2,IF(AND(RIGHT(IFERROR(INDEX(醫師週班表!$C$5:$T$44,$CU18,BP$57),""),1)="~",BP$58=1),"",LEFT(IFERROR(INDEX(醫師週班表!$C$5:$T$44,$CU18,BP$57),""),1)),IFERROR(INDEX(醫師週班表!$C$5:$T$44,$CU18,BP$57),""))))))</f>
        <v/>
      </c>
      <c r="BQ18" s="68">
        <f>IF(BQ$59="X","",IF(BQ$59&lt;&gt;"",BQ$59,IF(IFERROR(INDEX(醫師週班表!$C$5:$T$44,$CU18,BQ$57),"")=0,"",IF(LEN(IFERROR(INDEX(醫師週班表!$C$5:$T$44,$CU18,BQ$57),""))=4,MID(IFERROR(INDEX(醫師週班表!$C$5:$T$44,$CU18,BQ$57),""),1+BQ$58*2,1),IF(LEN(IFERROR(INDEX(醫師週班表!$C$5:$T$44,$CU18,BQ$57),""))=2,IF(AND(RIGHT(IFERROR(INDEX(醫師週班表!$C$5:$T$44,$CU18,BQ$57),""),1)="~",BQ$58=1),"",LEFT(IFERROR(INDEX(醫師週班表!$C$5:$T$44,$CU18,BQ$57),""),1)),IFERROR(INDEX(醫師週班表!$C$5:$T$44,$CU18,BQ$57),""))))))</f>
        <v/>
      </c>
      <c r="BR18" s="68">
        <f>IF(BR$59="X","",IF(BR$59&lt;&gt;"",BR$59,IF(IFERROR(INDEX(醫師週班表!$C$5:$T$44,$CU18,BR$57),"")=0,"",IF(LEN(IFERROR(INDEX(醫師週班表!$C$5:$T$44,$CU18,BR$57),""))=4,MID(IFERROR(INDEX(醫師週班表!$C$5:$T$44,$CU18,BR$57),""),1+BR$58*2,1),IF(LEN(IFERROR(INDEX(醫師週班表!$C$5:$T$44,$CU18,BR$57),""))=2,IF(AND(RIGHT(IFERROR(INDEX(醫師週班表!$C$5:$T$44,$CU18,BR$57),""),1)="~",BR$58=1),"",LEFT(IFERROR(INDEX(醫師週班表!$C$5:$T$44,$CU18,BR$57),""),1)),IFERROR(INDEX(醫師週班表!$C$5:$T$44,$CU18,BR$57),""))))))</f>
        <v/>
      </c>
      <c r="BS18" s="67">
        <f>IF(BS$59="X","",IF(BS$59&lt;&gt;"",BS$59,IF(IFERROR(INDEX(醫師週班表!$C$5:$T$44,$CU18,BS$57),"")=0,"",IF(LEN(IFERROR(INDEX(醫師週班表!$C$5:$T$44,$CU18,BS$57),""))=4,MID(IFERROR(INDEX(醫師週班表!$C$5:$T$44,$CU18,BS$57),""),1+BS$58*2,1),IF(LEN(IFERROR(INDEX(醫師週班表!$C$5:$T$44,$CU18,BS$57),""))=2,IF(AND(RIGHT(IFERROR(INDEX(醫師週班表!$C$5:$T$44,$CU18,BS$57),""),1)="~",BS$58=1),"",LEFT(IFERROR(INDEX(醫師週班表!$C$5:$T$44,$CU18,BS$57),""),1)),IFERROR(INDEX(醫師週班表!$C$5:$T$44,$CU18,BS$57),""))))))</f>
        <v/>
      </c>
      <c r="BT18" s="68">
        <f>IF(BT$59="X","",IF(BT$59&lt;&gt;"",BT$59,IF(IFERROR(INDEX(醫師週班表!$C$5:$T$44,$CU18,BT$57),"")=0,"",IF(LEN(IFERROR(INDEX(醫師週班表!$C$5:$T$44,$CU18,BT$57),""))=4,MID(IFERROR(INDEX(醫師週班表!$C$5:$T$44,$CU18,BT$57),""),1+BT$58*2,1),IF(LEN(IFERROR(INDEX(醫師週班表!$C$5:$T$44,$CU18,BT$57),""))=2,IF(AND(RIGHT(IFERROR(INDEX(醫師週班表!$C$5:$T$44,$CU18,BT$57),""),1)="~",BT$58=1),"",LEFT(IFERROR(INDEX(醫師週班表!$C$5:$T$44,$CU18,BT$57),""),1)),IFERROR(INDEX(醫師週班表!$C$5:$T$44,$CU18,BT$57),""))))))</f>
        <v/>
      </c>
      <c r="BU18" s="68">
        <f>IF(BU$59="X","",IF(BU$59&lt;&gt;"",BU$59,IF(IFERROR(INDEX(醫師週班表!$C$5:$T$44,$CU18,BU$57),"")=0,"",IF(LEN(IFERROR(INDEX(醫師週班表!$C$5:$T$44,$CU18,BU$57),""))=4,MID(IFERROR(INDEX(醫師週班表!$C$5:$T$44,$CU18,BU$57),""),1+BU$58*2,1),IF(LEN(IFERROR(INDEX(醫師週班表!$C$5:$T$44,$CU18,BU$57),""))=2,IF(AND(RIGHT(IFERROR(INDEX(醫師週班表!$C$5:$T$44,$CU18,BU$57),""),1)="~",BU$58=1),"",LEFT(IFERROR(INDEX(醫師週班表!$C$5:$T$44,$CU18,BU$57),""),1)),IFERROR(INDEX(醫師週班表!$C$5:$T$44,$CU18,BU$57),""))))))</f>
        <v/>
      </c>
      <c r="BV18" s="67">
        <f>IF(BV$59="X","",IF(BV$59&lt;&gt;"",BV$59,IF(IFERROR(INDEX(醫師週班表!$C$5:$T$44,$CU18,BV$57),"")=0,"",IF(LEN(IFERROR(INDEX(醫師週班表!$C$5:$T$44,$CU18,BV$57),""))=4,MID(IFERROR(INDEX(醫師週班表!$C$5:$T$44,$CU18,BV$57),""),1+BV$58*2,1),IF(LEN(IFERROR(INDEX(醫師週班表!$C$5:$T$44,$CU18,BV$57),""))=2,IF(AND(RIGHT(IFERROR(INDEX(醫師週班表!$C$5:$T$44,$CU18,BV$57),""),1)="~",BV$58=1),"",LEFT(IFERROR(INDEX(醫師週班表!$C$5:$T$44,$CU18,BV$57),""),1)),IFERROR(INDEX(醫師週班表!$C$5:$T$44,$CU18,BV$57),""))))))</f>
        <v/>
      </c>
      <c r="BW18" s="68">
        <f>IF(BW$59="X","",IF(BW$59&lt;&gt;"",BW$59,IF(IFERROR(INDEX(醫師週班表!$C$5:$T$44,$CU18,BW$57),"")=0,"",IF(LEN(IFERROR(INDEX(醫師週班表!$C$5:$T$44,$CU18,BW$57),""))=4,MID(IFERROR(INDEX(醫師週班表!$C$5:$T$44,$CU18,BW$57),""),1+BW$58*2,1),IF(LEN(IFERROR(INDEX(醫師週班表!$C$5:$T$44,$CU18,BW$57),""))=2,IF(AND(RIGHT(IFERROR(INDEX(醫師週班表!$C$5:$T$44,$CU18,BW$57),""),1)="~",BW$58=1),"",LEFT(IFERROR(INDEX(醫師週班表!$C$5:$T$44,$CU18,BW$57),""),1)),IFERROR(INDEX(醫師週班表!$C$5:$T$44,$CU18,BW$57),""))))))</f>
        <v/>
      </c>
      <c r="BX18" s="68">
        <f>IF(BX$59="X","",IF(BX$59&lt;&gt;"",BX$59,IF(IFERROR(INDEX(醫師週班表!$C$5:$T$44,$CU18,BX$57),"")=0,"",IF(LEN(IFERROR(INDEX(醫師週班表!$C$5:$T$44,$CU18,BX$57),""))=4,MID(IFERROR(INDEX(醫師週班表!$C$5:$T$44,$CU18,BX$57),""),1+BX$58*2,1),IF(LEN(IFERROR(INDEX(醫師週班表!$C$5:$T$44,$CU18,BX$57),""))=2,IF(AND(RIGHT(IFERROR(INDEX(醫師週班表!$C$5:$T$44,$CU18,BX$57),""),1)="~",BX$58=1),"",LEFT(IFERROR(INDEX(醫師週班表!$C$5:$T$44,$CU18,BX$57),""),1)),IFERROR(INDEX(醫師週班表!$C$5:$T$44,$CU18,BX$57),""))))))</f>
        <v/>
      </c>
      <c r="BY18" s="67">
        <f>IF(BY$59="X","",IF(BY$59&lt;&gt;"",BY$59,IF(IFERROR(INDEX(醫師週班表!$C$5:$T$44,$CU18,BY$57),"")=0,"",IF(LEN(IFERROR(INDEX(醫師週班表!$C$5:$T$44,$CU18,BY$57),""))=4,MID(IFERROR(INDEX(醫師週班表!$C$5:$T$44,$CU18,BY$57),""),1+BY$58*2,1),IF(LEN(IFERROR(INDEX(醫師週班表!$C$5:$T$44,$CU18,BY$57),""))=2,IF(AND(RIGHT(IFERROR(INDEX(醫師週班表!$C$5:$T$44,$CU18,BY$57),""),1)="~",BY$58=1),"",LEFT(IFERROR(INDEX(醫師週班表!$C$5:$T$44,$CU18,BY$57),""),1)),IFERROR(INDEX(醫師週班表!$C$5:$T$44,$CU18,BY$57),""))))))</f>
        <v/>
      </c>
      <c r="BZ18" s="68">
        <f>IF(BZ$59="X","",IF(BZ$59&lt;&gt;"",BZ$59,IF(IFERROR(INDEX(醫師週班表!$C$5:$T$44,$CU18,BZ$57),"")=0,"",IF(LEN(IFERROR(INDEX(醫師週班表!$C$5:$T$44,$CU18,BZ$57),""))=4,MID(IFERROR(INDEX(醫師週班表!$C$5:$T$44,$CU18,BZ$57),""),1+BZ$58*2,1),IF(LEN(IFERROR(INDEX(醫師週班表!$C$5:$T$44,$CU18,BZ$57),""))=2,IF(AND(RIGHT(IFERROR(INDEX(醫師週班表!$C$5:$T$44,$CU18,BZ$57),""),1)="~",BZ$58=1),"",LEFT(IFERROR(INDEX(醫師週班表!$C$5:$T$44,$CU18,BZ$57),""),1)),IFERROR(INDEX(醫師週班表!$C$5:$T$44,$CU18,BZ$57),""))))))</f>
        <v/>
      </c>
      <c r="CA18" s="68">
        <f>IF(CA$59="X","",IF(CA$59&lt;&gt;"",CA$59,IF(IFERROR(INDEX(醫師週班表!$C$5:$T$44,$CU18,CA$57),"")=0,"",IF(LEN(IFERROR(INDEX(醫師週班表!$C$5:$T$44,$CU18,CA$57),""))=4,MID(IFERROR(INDEX(醫師週班表!$C$5:$T$44,$CU18,CA$57),""),1+CA$58*2,1),IF(LEN(IFERROR(INDEX(醫師週班表!$C$5:$T$44,$CU18,CA$57),""))=2,IF(AND(RIGHT(IFERROR(INDEX(醫師週班表!$C$5:$T$44,$CU18,CA$57),""),1)="~",CA$58=1),"",LEFT(IFERROR(INDEX(醫師週班表!$C$5:$T$44,$CU18,CA$57),""),1)),IFERROR(INDEX(醫師週班表!$C$5:$T$44,$CU18,CA$57),""))))))</f>
        <v/>
      </c>
      <c r="CB18" s="67">
        <f>IF(CB$59="X","",IF(CB$59&lt;&gt;"",CB$59,IF(IFERROR(INDEX(醫師週班表!$C$5:$T$44,$CU18,CB$57),"")=0,"",IF(LEN(IFERROR(INDEX(醫師週班表!$C$5:$T$44,$CU18,CB$57),""))=4,MID(IFERROR(INDEX(醫師週班表!$C$5:$T$44,$CU18,CB$57),""),1+CB$58*2,1),IF(LEN(IFERROR(INDEX(醫師週班表!$C$5:$T$44,$CU18,CB$57),""))=2,IF(AND(RIGHT(IFERROR(INDEX(醫師週班表!$C$5:$T$44,$CU18,CB$57),""),1)="~",CB$58=1),"",LEFT(IFERROR(INDEX(醫師週班表!$C$5:$T$44,$CU18,CB$57),""),1)),IFERROR(INDEX(醫師週班表!$C$5:$T$44,$CU18,CB$57),""))))))</f>
        <v/>
      </c>
      <c r="CC18" s="68">
        <f>IF(CC$59="X","",IF(CC$59&lt;&gt;"",CC$59,IF(IFERROR(INDEX(醫師週班表!$C$5:$T$44,$CU18,CC$57),"")=0,"",IF(LEN(IFERROR(INDEX(醫師週班表!$C$5:$T$44,$CU18,CC$57),""))=4,MID(IFERROR(INDEX(醫師週班表!$C$5:$T$44,$CU18,CC$57),""),1+CC$58*2,1),IF(LEN(IFERROR(INDEX(醫師週班表!$C$5:$T$44,$CU18,CC$57),""))=2,IF(AND(RIGHT(IFERROR(INDEX(醫師週班表!$C$5:$T$44,$CU18,CC$57),""),1)="~",CC$58=1),"",LEFT(IFERROR(INDEX(醫師週班表!$C$5:$T$44,$CU18,CC$57),""),1)),IFERROR(INDEX(醫師週班表!$C$5:$T$44,$CU18,CC$57),""))))))</f>
        <v/>
      </c>
      <c r="CD18" s="68">
        <f>IF(CD$59="X","",IF(CD$59&lt;&gt;"",CD$59,IF(IFERROR(INDEX(醫師週班表!$C$5:$T$44,$CU18,CD$57),"")=0,"",IF(LEN(IFERROR(INDEX(醫師週班表!$C$5:$T$44,$CU18,CD$57),""))=4,MID(IFERROR(INDEX(醫師週班表!$C$5:$T$44,$CU18,CD$57),""),1+CD$58*2,1),IF(LEN(IFERROR(INDEX(醫師週班表!$C$5:$T$44,$CU18,CD$57),""))=2,IF(AND(RIGHT(IFERROR(INDEX(醫師週班表!$C$5:$T$44,$CU18,CD$57),""),1)="~",CD$58=1),"",LEFT(IFERROR(INDEX(醫師週班表!$C$5:$T$44,$CU18,CD$57),""),1)),IFERROR(INDEX(醫師週班表!$C$5:$T$44,$CU18,CD$57),""))))))</f>
        <v/>
      </c>
      <c r="CE18" s="67">
        <f>IF(CE$59="X","",IF(CE$59&lt;&gt;"",CE$59,IF(IFERROR(INDEX(醫師週班表!$C$5:$T$44,$CU18,CE$57),"")=0,"",IF(LEN(IFERROR(INDEX(醫師週班表!$C$5:$T$44,$CU18,CE$57),""))=4,MID(IFERROR(INDEX(醫師週班表!$C$5:$T$44,$CU18,CE$57),""),1+CE$58*2,1),IF(LEN(IFERROR(INDEX(醫師週班表!$C$5:$T$44,$CU18,CE$57),""))=2,IF(AND(RIGHT(IFERROR(INDEX(醫師週班表!$C$5:$T$44,$CU18,CE$57),""),1)="~",CE$58=1),"",LEFT(IFERROR(INDEX(醫師週班表!$C$5:$T$44,$CU18,CE$57),""),1)),IFERROR(INDEX(醫師週班表!$C$5:$T$44,$CU18,CE$57),""))))))</f>
        <v/>
      </c>
      <c r="CF18" s="68">
        <f>IF(CF$59="X","",IF(CF$59&lt;&gt;"",CF$59,IF(IFERROR(INDEX(醫師週班表!$C$5:$T$44,$CU18,CF$57),"")=0,"",IF(LEN(IFERROR(INDEX(醫師週班表!$C$5:$T$44,$CU18,CF$57),""))=4,MID(IFERROR(INDEX(醫師週班表!$C$5:$T$44,$CU18,CF$57),""),1+CF$58*2,1),IF(LEN(IFERROR(INDEX(醫師週班表!$C$5:$T$44,$CU18,CF$57),""))=2,IF(AND(RIGHT(IFERROR(INDEX(醫師週班表!$C$5:$T$44,$CU18,CF$57),""),1)="~",CF$58=1),"",LEFT(IFERROR(INDEX(醫師週班表!$C$5:$T$44,$CU18,CF$57),""),1)),IFERROR(INDEX(醫師週班表!$C$5:$T$44,$CU18,CF$57),""))))))</f>
        <v/>
      </c>
      <c r="CG18" s="68">
        <f>IF(CG$59="X","",IF(CG$59&lt;&gt;"",CG$59,IF(IFERROR(INDEX(醫師週班表!$C$5:$T$44,$CU18,CG$57),"")=0,"",IF(LEN(IFERROR(INDEX(醫師週班表!$C$5:$T$44,$CU18,CG$57),""))=4,MID(IFERROR(INDEX(醫師週班表!$C$5:$T$44,$CU18,CG$57),""),1+CG$58*2,1),IF(LEN(IFERROR(INDEX(醫師週班表!$C$5:$T$44,$CU18,CG$57),""))=2,IF(AND(RIGHT(IFERROR(INDEX(醫師週班表!$C$5:$T$44,$CU18,CG$57),""),1)="~",CG$58=1),"",LEFT(IFERROR(INDEX(醫師週班表!$C$5:$T$44,$CU18,CG$57),""),1)),IFERROR(INDEX(醫師週班表!$C$5:$T$44,$CU18,CG$57),""))))))</f>
        <v/>
      </c>
      <c r="CH18" s="67">
        <f>IF(CH$59="X","",IF(CH$59&lt;&gt;"",CH$59,IF(IFERROR(INDEX(醫師週班表!$C$5:$T$44,$CU18,CH$57),"")=0,"",IF(LEN(IFERROR(INDEX(醫師週班表!$C$5:$T$44,$CU18,CH$57),""))=4,MID(IFERROR(INDEX(醫師週班表!$C$5:$T$44,$CU18,CH$57),""),1+CH$58*2,1),IF(LEN(IFERROR(INDEX(醫師週班表!$C$5:$T$44,$CU18,CH$57),""))=2,IF(AND(RIGHT(IFERROR(INDEX(醫師週班表!$C$5:$T$44,$CU18,CH$57),""),1)="~",CH$58=1),"",LEFT(IFERROR(INDEX(醫師週班表!$C$5:$T$44,$CU18,CH$57),""),1)),IFERROR(INDEX(醫師週班表!$C$5:$T$44,$CU18,CH$57),""))))))</f>
        <v/>
      </c>
      <c r="CI18" s="68">
        <f>IF(CI$59="X","",IF(CI$59&lt;&gt;"",CI$59,IF(IFERROR(INDEX(醫師週班表!$C$5:$T$44,$CU18,CI$57),"")=0,"",IF(LEN(IFERROR(INDEX(醫師週班表!$C$5:$T$44,$CU18,CI$57),""))=4,MID(IFERROR(INDEX(醫師週班表!$C$5:$T$44,$CU18,CI$57),""),1+CI$58*2,1),IF(LEN(IFERROR(INDEX(醫師週班表!$C$5:$T$44,$CU18,CI$57),""))=2,IF(AND(RIGHT(IFERROR(INDEX(醫師週班表!$C$5:$T$44,$CU18,CI$57),""),1)="~",CI$58=1),"",LEFT(IFERROR(INDEX(醫師週班表!$C$5:$T$44,$CU18,CI$57),""),1)),IFERROR(INDEX(醫師週班表!$C$5:$T$44,$CU18,CI$57),""))))))</f>
        <v/>
      </c>
      <c r="CJ18" s="68">
        <f>IF(CJ$59="X","",IF(CJ$59&lt;&gt;"",CJ$59,IF(IFERROR(INDEX(醫師週班表!$C$5:$T$44,$CU18,CJ$57),"")=0,"",IF(LEN(IFERROR(INDEX(醫師週班表!$C$5:$T$44,$CU18,CJ$57),""))=4,MID(IFERROR(INDEX(醫師週班表!$C$5:$T$44,$CU18,CJ$57),""),1+CJ$58*2,1),IF(LEN(IFERROR(INDEX(醫師週班表!$C$5:$T$44,$CU18,CJ$57),""))=2,IF(AND(RIGHT(IFERROR(INDEX(醫師週班表!$C$5:$T$44,$CU18,CJ$57),""),1)="~",CJ$58=1),"",LEFT(IFERROR(INDEX(醫師週班表!$C$5:$T$44,$CU18,CJ$57),""),1)),IFERROR(INDEX(醫師週班表!$C$5:$T$44,$CU18,CJ$57),""))))))</f>
        <v/>
      </c>
      <c r="CK18" s="67">
        <f>IF(CK$59="X","",IF(CK$59&lt;&gt;"",CK$59,IF(IFERROR(INDEX(醫師週班表!$C$5:$T$44,$CU18,CK$57),"")=0,"",IF(LEN(IFERROR(INDEX(醫師週班表!$C$5:$T$44,$CU18,CK$57),""))=4,MID(IFERROR(INDEX(醫師週班表!$C$5:$T$44,$CU18,CK$57),""),1+CK$58*2,1),IF(LEN(IFERROR(INDEX(醫師週班表!$C$5:$T$44,$CU18,CK$57),""))=2,IF(AND(RIGHT(IFERROR(INDEX(醫師週班表!$C$5:$T$44,$CU18,CK$57),""),1)="~",CK$58=1),"",LEFT(IFERROR(INDEX(醫師週班表!$C$5:$T$44,$CU18,CK$57),""),1)),IFERROR(INDEX(醫師週班表!$C$5:$T$44,$CU18,CK$57),""))))))</f>
        <v/>
      </c>
      <c r="CL18" s="68">
        <f>IF(CL$59="X","",IF(CL$59&lt;&gt;"",CL$59,IF(IFERROR(INDEX(醫師週班表!$C$5:$T$44,$CU18,CL$57),"")=0,"",IF(LEN(IFERROR(INDEX(醫師週班表!$C$5:$T$44,$CU18,CL$57),""))=4,MID(IFERROR(INDEX(醫師週班表!$C$5:$T$44,$CU18,CL$57),""),1+CL$58*2,1),IF(LEN(IFERROR(INDEX(醫師週班表!$C$5:$T$44,$CU18,CL$57),""))=2,IF(AND(RIGHT(IFERROR(INDEX(醫師週班表!$C$5:$T$44,$CU18,CL$57),""),1)="~",CL$58=1),"",LEFT(IFERROR(INDEX(醫師週班表!$C$5:$T$44,$CU18,CL$57),""),1)),IFERROR(INDEX(醫師週班表!$C$5:$T$44,$CU18,CL$57),""))))))</f>
        <v/>
      </c>
      <c r="CM18" s="68">
        <f>IF(CM$59="X","",IF(CM$59&lt;&gt;"",CM$59,IF(IFERROR(INDEX(醫師週班表!$C$5:$T$44,$CU18,CM$57),"")=0,"",IF(LEN(IFERROR(INDEX(醫師週班表!$C$5:$T$44,$CU18,CM$57),""))=4,MID(IFERROR(INDEX(醫師週班表!$C$5:$T$44,$CU18,CM$57),""),1+CM$58*2,1),IF(LEN(IFERROR(INDEX(醫師週班表!$C$5:$T$44,$CU18,CM$57),""))=2,IF(AND(RIGHT(IFERROR(INDEX(醫師週班表!$C$5:$T$44,$CU18,CM$57),""),1)="~",CM$58=1),"",LEFT(IFERROR(INDEX(醫師週班表!$C$5:$T$44,$CU18,CM$57),""),1)),IFERROR(INDEX(醫師週班表!$C$5:$T$44,$CU18,CM$57),""))))))</f>
        <v/>
      </c>
      <c r="CN18" s="67">
        <f>IF(CN$59="X","",IF(CN$59&lt;&gt;"",CN$59,IF(IFERROR(INDEX(醫師週班表!$C$5:$T$44,$CU18,CN$57),"")=0,"",IF(LEN(IFERROR(INDEX(醫師週班表!$C$5:$T$44,$CU18,CN$57),""))=4,MID(IFERROR(INDEX(醫師週班表!$C$5:$T$44,$CU18,CN$57),""),1+CN$58*2,1),IF(LEN(IFERROR(INDEX(醫師週班表!$C$5:$T$44,$CU18,CN$57),""))=2,IF(AND(RIGHT(IFERROR(INDEX(醫師週班表!$C$5:$T$44,$CU18,CN$57),""),1)="~",CN$58=1),"",LEFT(IFERROR(INDEX(醫師週班表!$C$5:$T$44,$CU18,CN$57),""),1)),IFERROR(INDEX(醫師週班表!$C$5:$T$44,$CU18,CN$57),""))))))</f>
        <v/>
      </c>
      <c r="CO18" s="68">
        <f>IF(CO$59="X","",IF(CO$59&lt;&gt;"",CO$59,IF(IFERROR(INDEX(醫師週班表!$C$5:$T$44,$CU18,CO$57),"")=0,"",IF(LEN(IFERROR(INDEX(醫師週班表!$C$5:$T$44,$CU18,CO$57),""))=4,MID(IFERROR(INDEX(醫師週班表!$C$5:$T$44,$CU18,CO$57),""),1+CO$58*2,1),IF(LEN(IFERROR(INDEX(醫師週班表!$C$5:$T$44,$CU18,CO$57),""))=2,IF(AND(RIGHT(IFERROR(INDEX(醫師週班表!$C$5:$T$44,$CU18,CO$57),""),1)="~",CO$58=1),"",LEFT(IFERROR(INDEX(醫師週班表!$C$5:$T$44,$CU18,CO$57),""),1)),IFERROR(INDEX(醫師週班表!$C$5:$T$44,$CU18,CO$57),""))))))</f>
        <v/>
      </c>
      <c r="CP18" s="68">
        <f>IF(CP$59="X","",IF(CP$59&lt;&gt;"",CP$59,IF(IFERROR(INDEX(醫師週班表!$C$5:$T$44,$CU18,CP$57),"")=0,"",IF(LEN(IFERROR(INDEX(醫師週班表!$C$5:$T$44,$CU18,CP$57),""))=4,MID(IFERROR(INDEX(醫師週班表!$C$5:$T$44,$CU18,CP$57),""),1+CP$58*2,1),IF(LEN(IFERROR(INDEX(醫師週班表!$C$5:$T$44,$CU18,CP$57),""))=2,IF(AND(RIGHT(IFERROR(INDEX(醫師週班表!$C$5:$T$44,$CU18,CP$57),""),1)="~",CP$58=1),"",LEFT(IFERROR(INDEX(醫師週班表!$C$5:$T$44,$CU18,CP$57),""),1)),IFERROR(INDEX(醫師週班表!$C$5:$T$44,$CU18,CP$57),""))))))</f>
        <v/>
      </c>
      <c r="CQ18" s="67">
        <f>IF(CQ$59="X","",IF(CQ$59&lt;&gt;"",CQ$59,IF(IFERROR(INDEX(醫師週班表!$C$5:$T$44,$CU18,CQ$57),"")=0,"",IF(LEN(IFERROR(INDEX(醫師週班表!$C$5:$T$44,$CU18,CQ$57),""))=4,MID(IFERROR(INDEX(醫師週班表!$C$5:$T$44,$CU18,CQ$57),""),1+CQ$58*2,1),IF(LEN(IFERROR(INDEX(醫師週班表!$C$5:$T$44,$CU18,CQ$57),""))=2,IF(AND(RIGHT(IFERROR(INDEX(醫師週班表!$C$5:$T$44,$CU18,CQ$57),""),1)="~",CQ$58=1),"",LEFT(IFERROR(INDEX(醫師週班表!$C$5:$T$44,$CU18,CQ$57),""),1)),IFERROR(INDEX(醫師週班表!$C$5:$T$44,$CU18,CQ$57),""))))))</f>
        <v/>
      </c>
      <c r="CR18" s="68">
        <f>IF(CR$59="X","",IF(CR$59&lt;&gt;"",CR$59,IF(IFERROR(INDEX(醫師週班表!$C$5:$T$44,$CU18,CR$57),"")=0,"",IF(LEN(IFERROR(INDEX(醫師週班表!$C$5:$T$44,$CU18,CR$57),""))=4,MID(IFERROR(INDEX(醫師週班表!$C$5:$T$44,$CU18,CR$57),""),1+CR$58*2,1),IF(LEN(IFERROR(INDEX(醫師週班表!$C$5:$T$44,$CU18,CR$57),""))=2,IF(AND(RIGHT(IFERROR(INDEX(醫師週班表!$C$5:$T$44,$CU18,CR$57),""),1)="~",CR$58=1),"",LEFT(IFERROR(INDEX(醫師週班表!$C$5:$T$44,$CU18,CR$57),""),1)),IFERROR(INDEX(醫師週班表!$C$5:$T$44,$CU18,CR$57),""))))))</f>
        <v/>
      </c>
      <c r="CS18" s="68">
        <f>IF(CS$59="X","",IF(CS$59&lt;&gt;"",CS$59,IF(IFERROR(INDEX(醫師週班表!$C$5:$T$44,$CU18,CS$57),"")=0,"",IF(LEN(IFERROR(INDEX(醫師週班表!$C$5:$T$44,$CU18,CS$57),""))=4,MID(IFERROR(INDEX(醫師週班表!$C$5:$T$44,$CU18,CS$57),""),1+CS$58*2,1),IF(LEN(IFERROR(INDEX(醫師週班表!$C$5:$T$44,$CU18,CS$57),""))=2,IF(AND(RIGHT(IFERROR(INDEX(醫師週班表!$C$5:$T$44,$CU18,CS$57),""),1)="~",CS$58=1),"",LEFT(IFERROR(INDEX(醫師週班表!$C$5:$T$44,$CU18,CS$57),""),1)),IFERROR(INDEX(醫師週班表!$C$5:$T$44,$CU18,CS$57),""))))))</f>
        <v/>
      </c>
      <c r="CU18" s="69">
        <f>IFERROR(MATCH($A18,醫師週班表!$A$5:$A$44,0),0)</f>
        <v/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IFERROR(INDEX(醫師週班表!$C$5:$T$44,$CU19,E$57),"")=0,"",IF(LEN(IFERROR(INDEX(醫師週班表!$C$5:$T$44,$CU19,E$57),""))=4,MID(IFERROR(INDEX(醫師週班表!$C$5:$T$44,$CU19,E$57),""),1+E$58*2,1),IF(LEN(IFERROR(INDEX(醫師週班表!$C$5:$T$44,$CU19,E$57),""))=2,IF(AND(RIGHT(IFERROR(INDEX(醫師週班表!$C$5:$T$44,$CU19,E$57),""),1)="~",E$58=1),"",LEFT(IFERROR(INDEX(醫師週班表!$C$5:$T$44,$CU19,E$57),""),1)),IFERROR(INDEX(醫師週班表!$C$5:$T$44,$CU19,E$57),""))))))</f>
        <v/>
      </c>
      <c r="F19" s="68">
        <f>IF(F$59="X","",IF(F$59&lt;&gt;"",F$59,IF(IFERROR(INDEX(醫師週班表!$C$5:$T$44,$CU19,F$57),"")=0,"",IF(LEN(IFERROR(INDEX(醫師週班表!$C$5:$T$44,$CU19,F$57),""))=4,MID(IFERROR(INDEX(醫師週班表!$C$5:$T$44,$CU19,F$57),""),1+F$58*2,1),IF(LEN(IFERROR(INDEX(醫師週班表!$C$5:$T$44,$CU19,F$57),""))=2,IF(AND(RIGHT(IFERROR(INDEX(醫師週班表!$C$5:$T$44,$CU19,F$57),""),1)="~",F$58=1),"",LEFT(IFERROR(INDEX(醫師週班表!$C$5:$T$44,$CU19,F$57),""),1)),IFERROR(INDEX(醫師週班表!$C$5:$T$44,$CU19,F$57),""))))))</f>
        <v/>
      </c>
      <c r="G19" s="68">
        <f>IF(G$59="X","",IF(G$59&lt;&gt;"",G$59,IF(IFERROR(INDEX(醫師週班表!$C$5:$T$44,$CU19,G$57),"")=0,"",IF(LEN(IFERROR(INDEX(醫師週班表!$C$5:$T$44,$CU19,G$57),""))=4,MID(IFERROR(INDEX(醫師週班表!$C$5:$T$44,$CU19,G$57),""),1+G$58*2,1),IF(LEN(IFERROR(INDEX(醫師週班表!$C$5:$T$44,$CU19,G$57),""))=2,IF(AND(RIGHT(IFERROR(INDEX(醫師週班表!$C$5:$T$44,$CU19,G$57),""),1)="~",G$58=1),"",LEFT(IFERROR(INDEX(醫師週班表!$C$5:$T$44,$CU19,G$57),""),1)),IFERROR(INDEX(醫師週班表!$C$5:$T$44,$CU19,G$57),""))))))</f>
        <v/>
      </c>
      <c r="H19" s="67">
        <f>IF(H$59="X","",IF(H$59&lt;&gt;"",H$59,IF(IFERROR(INDEX(醫師週班表!$C$5:$T$44,$CU19,H$57),"")=0,"",IF(LEN(IFERROR(INDEX(醫師週班表!$C$5:$T$44,$CU19,H$57),""))=4,MID(IFERROR(INDEX(醫師週班表!$C$5:$T$44,$CU19,H$57),""),1+H$58*2,1),IF(LEN(IFERROR(INDEX(醫師週班表!$C$5:$T$44,$CU19,H$57),""))=2,IF(AND(RIGHT(IFERROR(INDEX(醫師週班表!$C$5:$T$44,$CU19,H$57),""),1)="~",H$58=1),"",LEFT(IFERROR(INDEX(醫師週班表!$C$5:$T$44,$CU19,H$57),""),1)),IFERROR(INDEX(醫師週班表!$C$5:$T$44,$CU19,H$57),""))))))</f>
        <v/>
      </c>
      <c r="I19" s="68">
        <f>IF(I$59="X","",IF(I$59&lt;&gt;"",I$59,IF(IFERROR(INDEX(醫師週班表!$C$5:$T$44,$CU19,I$57),"")=0,"",IF(LEN(IFERROR(INDEX(醫師週班表!$C$5:$T$44,$CU19,I$57),""))=4,MID(IFERROR(INDEX(醫師週班表!$C$5:$T$44,$CU19,I$57),""),1+I$58*2,1),IF(LEN(IFERROR(INDEX(醫師週班表!$C$5:$T$44,$CU19,I$57),""))=2,IF(AND(RIGHT(IFERROR(INDEX(醫師週班表!$C$5:$T$44,$CU19,I$57),""),1)="~",I$58=1),"",LEFT(IFERROR(INDEX(醫師週班表!$C$5:$T$44,$CU19,I$57),""),1)),IFERROR(INDEX(醫師週班表!$C$5:$T$44,$CU19,I$57),""))))))</f>
        <v/>
      </c>
      <c r="J19" s="68">
        <f>IF(J$59="X","",IF(J$59&lt;&gt;"",J$59,IF(IFERROR(INDEX(醫師週班表!$C$5:$T$44,$CU19,J$57),"")=0,"",IF(LEN(IFERROR(INDEX(醫師週班表!$C$5:$T$44,$CU19,J$57),""))=4,MID(IFERROR(INDEX(醫師週班表!$C$5:$T$44,$CU19,J$57),""),1+J$58*2,1),IF(LEN(IFERROR(INDEX(醫師週班表!$C$5:$T$44,$CU19,J$57),""))=2,IF(AND(RIGHT(IFERROR(INDEX(醫師週班表!$C$5:$T$44,$CU19,J$57),""),1)="~",J$58=1),"",LEFT(IFERROR(INDEX(醫師週班表!$C$5:$T$44,$CU19,J$57),""),1)),IFERROR(INDEX(醫師週班表!$C$5:$T$44,$CU19,J$57),""))))))</f>
        <v/>
      </c>
      <c r="K19" s="67">
        <f>IF(K$59="X","",IF(K$59&lt;&gt;"",K$59,IF(IFERROR(INDEX(醫師週班表!$C$5:$T$44,$CU19,K$57),"")=0,"",IF(LEN(IFERROR(INDEX(醫師週班表!$C$5:$T$44,$CU19,K$57),""))=4,MID(IFERROR(INDEX(醫師週班表!$C$5:$T$44,$CU19,K$57),""),1+K$58*2,1),IF(LEN(IFERROR(INDEX(醫師週班表!$C$5:$T$44,$CU19,K$57),""))=2,IF(AND(RIGHT(IFERROR(INDEX(醫師週班表!$C$5:$T$44,$CU19,K$57),""),1)="~",K$58=1),"",LEFT(IFERROR(INDEX(醫師週班表!$C$5:$T$44,$CU19,K$57),""),1)),IFERROR(INDEX(醫師週班表!$C$5:$T$44,$CU19,K$57),""))))))</f>
        <v/>
      </c>
      <c r="L19" s="68">
        <f>IF(L$59="X","",IF(L$59&lt;&gt;"",L$59,IF(IFERROR(INDEX(醫師週班表!$C$5:$T$44,$CU19,L$57),"")=0,"",IF(LEN(IFERROR(INDEX(醫師週班表!$C$5:$T$44,$CU19,L$57),""))=4,MID(IFERROR(INDEX(醫師週班表!$C$5:$T$44,$CU19,L$57),""),1+L$58*2,1),IF(LEN(IFERROR(INDEX(醫師週班表!$C$5:$T$44,$CU19,L$57),""))=2,IF(AND(RIGHT(IFERROR(INDEX(醫師週班表!$C$5:$T$44,$CU19,L$57),""),1)="~",L$58=1),"",LEFT(IFERROR(INDEX(醫師週班表!$C$5:$T$44,$CU19,L$57),""),1)),IFERROR(INDEX(醫師週班表!$C$5:$T$44,$CU19,L$57),""))))))</f>
        <v/>
      </c>
      <c r="M19" s="68">
        <f>IF(M$59="X","",IF(M$59&lt;&gt;"",M$59,IF(IFERROR(INDEX(醫師週班表!$C$5:$T$44,$CU19,M$57),"")=0,"",IF(LEN(IFERROR(INDEX(醫師週班表!$C$5:$T$44,$CU19,M$57),""))=4,MID(IFERROR(INDEX(醫師週班表!$C$5:$T$44,$CU19,M$57),""),1+M$58*2,1),IF(LEN(IFERROR(INDEX(醫師週班表!$C$5:$T$44,$CU19,M$57),""))=2,IF(AND(RIGHT(IFERROR(INDEX(醫師週班表!$C$5:$T$44,$CU19,M$57),""),1)="~",M$58=1),"",LEFT(IFERROR(INDEX(醫師週班表!$C$5:$T$44,$CU19,M$57),""),1)),IFERROR(INDEX(醫師週班表!$C$5:$T$44,$CU19,M$57),""))))))</f>
        <v/>
      </c>
      <c r="N19" s="67">
        <f>IF(N$59="X","",IF(N$59&lt;&gt;"",N$59,IF(IFERROR(INDEX(醫師週班表!$C$5:$T$44,$CU19,N$57),"")=0,"",IF(LEN(IFERROR(INDEX(醫師週班表!$C$5:$T$44,$CU19,N$57),""))=4,MID(IFERROR(INDEX(醫師週班表!$C$5:$T$44,$CU19,N$57),""),1+N$58*2,1),IF(LEN(IFERROR(INDEX(醫師週班表!$C$5:$T$44,$CU19,N$57),""))=2,IF(AND(RIGHT(IFERROR(INDEX(醫師週班表!$C$5:$T$44,$CU19,N$57),""),1)="~",N$58=1),"",LEFT(IFERROR(INDEX(醫師週班表!$C$5:$T$44,$CU19,N$57),""),1)),IFERROR(INDEX(醫師週班表!$C$5:$T$44,$CU19,N$57),""))))))</f>
        <v/>
      </c>
      <c r="O19" s="68">
        <f>IF(O$59="X","",IF(O$59&lt;&gt;"",O$59,IF(IFERROR(INDEX(醫師週班表!$C$5:$T$44,$CU19,O$57),"")=0,"",IF(LEN(IFERROR(INDEX(醫師週班表!$C$5:$T$44,$CU19,O$57),""))=4,MID(IFERROR(INDEX(醫師週班表!$C$5:$T$44,$CU19,O$57),""),1+O$58*2,1),IF(LEN(IFERROR(INDEX(醫師週班表!$C$5:$T$44,$CU19,O$57),""))=2,IF(AND(RIGHT(IFERROR(INDEX(醫師週班表!$C$5:$T$44,$CU19,O$57),""),1)="~",O$58=1),"",LEFT(IFERROR(INDEX(醫師週班表!$C$5:$T$44,$CU19,O$57),""),1)),IFERROR(INDEX(醫師週班表!$C$5:$T$44,$CU19,O$57),""))))))</f>
        <v/>
      </c>
      <c r="P19" s="68">
        <f>IF(P$59="X","",IF(P$59&lt;&gt;"",P$59,IF(IFERROR(INDEX(醫師週班表!$C$5:$T$44,$CU19,P$57),"")=0,"",IF(LEN(IFERROR(INDEX(醫師週班表!$C$5:$T$44,$CU19,P$57),""))=4,MID(IFERROR(INDEX(醫師週班表!$C$5:$T$44,$CU19,P$57),""),1+P$58*2,1),IF(LEN(IFERROR(INDEX(醫師週班表!$C$5:$T$44,$CU19,P$57),""))=2,IF(AND(RIGHT(IFERROR(INDEX(醫師週班表!$C$5:$T$44,$CU19,P$57),""),1)="~",P$58=1),"",LEFT(IFERROR(INDEX(醫師週班表!$C$5:$T$44,$CU19,P$57),""),1)),IFERROR(INDEX(醫師週班表!$C$5:$T$44,$CU19,P$57),""))))))</f>
        <v/>
      </c>
      <c r="Q19" s="67">
        <f>IF(Q$59="X","",IF(Q$59&lt;&gt;"",Q$59,IF(IFERROR(INDEX(醫師週班表!$C$5:$T$44,$CU19,Q$57),"")=0,"",IF(LEN(IFERROR(INDEX(醫師週班表!$C$5:$T$44,$CU19,Q$57),""))=4,MID(IFERROR(INDEX(醫師週班表!$C$5:$T$44,$CU19,Q$57),""),1+Q$58*2,1),IF(LEN(IFERROR(INDEX(醫師週班表!$C$5:$T$44,$CU19,Q$57),""))=2,IF(AND(RIGHT(IFERROR(INDEX(醫師週班表!$C$5:$T$44,$CU19,Q$57),""),1)="~",Q$58=1),"",LEFT(IFERROR(INDEX(醫師週班表!$C$5:$T$44,$CU19,Q$57),""),1)),IFERROR(INDEX(醫師週班表!$C$5:$T$44,$CU19,Q$57),""))))))</f>
        <v/>
      </c>
      <c r="R19" s="68">
        <f>IF(R$59="X","",IF(R$59&lt;&gt;"",R$59,IF(IFERROR(INDEX(醫師週班表!$C$5:$T$44,$CU19,R$57),"")=0,"",IF(LEN(IFERROR(INDEX(醫師週班表!$C$5:$T$44,$CU19,R$57),""))=4,MID(IFERROR(INDEX(醫師週班表!$C$5:$T$44,$CU19,R$57),""),1+R$58*2,1),IF(LEN(IFERROR(INDEX(醫師週班表!$C$5:$T$44,$CU19,R$57),""))=2,IF(AND(RIGHT(IFERROR(INDEX(醫師週班表!$C$5:$T$44,$CU19,R$57),""),1)="~",R$58=1),"",LEFT(IFERROR(INDEX(醫師週班表!$C$5:$T$44,$CU19,R$57),""),1)),IFERROR(INDEX(醫師週班表!$C$5:$T$44,$CU19,R$57),""))))))</f>
        <v/>
      </c>
      <c r="S19" s="68">
        <f>IF(S$59="X","",IF(S$59&lt;&gt;"",S$59,IF(IFERROR(INDEX(醫師週班表!$C$5:$T$44,$CU19,S$57),"")=0,"",IF(LEN(IFERROR(INDEX(醫師週班表!$C$5:$T$44,$CU19,S$57),""))=4,MID(IFERROR(INDEX(醫師週班表!$C$5:$T$44,$CU19,S$57),""),1+S$58*2,1),IF(LEN(IFERROR(INDEX(醫師週班表!$C$5:$T$44,$CU19,S$57),""))=2,IF(AND(RIGHT(IFERROR(INDEX(醫師週班表!$C$5:$T$44,$CU19,S$57),""),1)="~",S$58=1),"",LEFT(IFERROR(INDEX(醫師週班表!$C$5:$T$44,$CU19,S$57),""),1)),IFERROR(INDEX(醫師週班表!$C$5:$T$44,$CU19,S$57),""))))))</f>
        <v/>
      </c>
      <c r="T19" s="67">
        <f>IF(T$59="X","",IF(T$59&lt;&gt;"",T$59,IF(IFERROR(INDEX(醫師週班表!$C$5:$T$44,$CU19,T$57),"")=0,"",IF(LEN(IFERROR(INDEX(醫師週班表!$C$5:$T$44,$CU19,T$57),""))=4,MID(IFERROR(INDEX(醫師週班表!$C$5:$T$44,$CU19,T$57),""),1+T$58*2,1),IF(LEN(IFERROR(INDEX(醫師週班表!$C$5:$T$44,$CU19,T$57),""))=2,IF(AND(RIGHT(IFERROR(INDEX(醫師週班表!$C$5:$T$44,$CU19,T$57),""),1)="~",T$58=1),"",LEFT(IFERROR(INDEX(醫師週班表!$C$5:$T$44,$CU19,T$57),""),1)),IFERROR(INDEX(醫師週班表!$C$5:$T$44,$CU19,T$57),""))))))</f>
        <v/>
      </c>
      <c r="U19" s="68">
        <f>IF(U$59="X","",IF(U$59&lt;&gt;"",U$59,IF(IFERROR(INDEX(醫師週班表!$C$5:$T$44,$CU19,U$57),"")=0,"",IF(LEN(IFERROR(INDEX(醫師週班表!$C$5:$T$44,$CU19,U$57),""))=4,MID(IFERROR(INDEX(醫師週班表!$C$5:$T$44,$CU19,U$57),""),1+U$58*2,1),IF(LEN(IFERROR(INDEX(醫師週班表!$C$5:$T$44,$CU19,U$57),""))=2,IF(AND(RIGHT(IFERROR(INDEX(醫師週班表!$C$5:$T$44,$CU19,U$57),""),1)="~",U$58=1),"",LEFT(IFERROR(INDEX(醫師週班表!$C$5:$T$44,$CU19,U$57),""),1)),IFERROR(INDEX(醫師週班表!$C$5:$T$44,$CU19,U$57),""))))))</f>
        <v/>
      </c>
      <c r="V19" s="68">
        <f>IF(V$59="X","",IF(V$59&lt;&gt;"",V$59,IF(IFERROR(INDEX(醫師週班表!$C$5:$T$44,$CU19,V$57),"")=0,"",IF(LEN(IFERROR(INDEX(醫師週班表!$C$5:$T$44,$CU19,V$57),""))=4,MID(IFERROR(INDEX(醫師週班表!$C$5:$T$44,$CU19,V$57),""),1+V$58*2,1),IF(LEN(IFERROR(INDEX(醫師週班表!$C$5:$T$44,$CU19,V$57),""))=2,IF(AND(RIGHT(IFERROR(INDEX(醫師週班表!$C$5:$T$44,$CU19,V$57),""),1)="~",V$58=1),"",LEFT(IFERROR(INDEX(醫師週班表!$C$5:$T$44,$CU19,V$57),""),1)),IFERROR(INDEX(醫師週班表!$C$5:$T$44,$CU19,V$57),""))))))</f>
        <v/>
      </c>
      <c r="W19" s="67">
        <f>IF(W$59="X","",IF(W$59&lt;&gt;"",W$59,IF(IFERROR(INDEX(醫師週班表!$C$5:$T$44,$CU19,W$57),"")=0,"",IF(LEN(IFERROR(INDEX(醫師週班表!$C$5:$T$44,$CU19,W$57),""))=4,MID(IFERROR(INDEX(醫師週班表!$C$5:$T$44,$CU19,W$57),""),1+W$58*2,1),IF(LEN(IFERROR(INDEX(醫師週班表!$C$5:$T$44,$CU19,W$57),""))=2,IF(AND(RIGHT(IFERROR(INDEX(醫師週班表!$C$5:$T$44,$CU19,W$57),""),1)="~",W$58=1),"",LEFT(IFERROR(INDEX(醫師週班表!$C$5:$T$44,$CU19,W$57),""),1)),IFERROR(INDEX(醫師週班表!$C$5:$T$44,$CU19,W$57),""))))))</f>
        <v/>
      </c>
      <c r="X19" s="68">
        <f>IF(X$59="X","",IF(X$59&lt;&gt;"",X$59,IF(IFERROR(INDEX(醫師週班表!$C$5:$T$44,$CU19,X$57),"")=0,"",IF(LEN(IFERROR(INDEX(醫師週班表!$C$5:$T$44,$CU19,X$57),""))=4,MID(IFERROR(INDEX(醫師週班表!$C$5:$T$44,$CU19,X$57),""),1+X$58*2,1),IF(LEN(IFERROR(INDEX(醫師週班表!$C$5:$T$44,$CU19,X$57),""))=2,IF(AND(RIGHT(IFERROR(INDEX(醫師週班表!$C$5:$T$44,$CU19,X$57),""),1)="~",X$58=1),"",LEFT(IFERROR(INDEX(醫師週班表!$C$5:$T$44,$CU19,X$57),""),1)),IFERROR(INDEX(醫師週班表!$C$5:$T$44,$CU19,X$57),""))))))</f>
        <v/>
      </c>
      <c r="Y19" s="68">
        <f>IF(Y$59="X","",IF(Y$59&lt;&gt;"",Y$59,IF(IFERROR(INDEX(醫師週班表!$C$5:$T$44,$CU19,Y$57),"")=0,"",IF(LEN(IFERROR(INDEX(醫師週班表!$C$5:$T$44,$CU19,Y$57),""))=4,MID(IFERROR(INDEX(醫師週班表!$C$5:$T$44,$CU19,Y$57),""),1+Y$58*2,1),IF(LEN(IFERROR(INDEX(醫師週班表!$C$5:$T$44,$CU19,Y$57),""))=2,IF(AND(RIGHT(IFERROR(INDEX(醫師週班表!$C$5:$T$44,$CU19,Y$57),""),1)="~",Y$58=1),"",LEFT(IFERROR(INDEX(醫師週班表!$C$5:$T$44,$CU19,Y$57),""),1)),IFERROR(INDEX(醫師週班表!$C$5:$T$44,$CU19,Y$57),""))))))</f>
        <v/>
      </c>
      <c r="Z19" s="67">
        <f>IF(Z$59="X","",IF(Z$59&lt;&gt;"",Z$59,IF(IFERROR(INDEX(醫師週班表!$C$5:$T$44,$CU19,Z$57),"")=0,"",IF(LEN(IFERROR(INDEX(醫師週班表!$C$5:$T$44,$CU19,Z$57),""))=4,MID(IFERROR(INDEX(醫師週班表!$C$5:$T$44,$CU19,Z$57),""),1+Z$58*2,1),IF(LEN(IFERROR(INDEX(醫師週班表!$C$5:$T$44,$CU19,Z$57),""))=2,IF(AND(RIGHT(IFERROR(INDEX(醫師週班表!$C$5:$T$44,$CU19,Z$57),""),1)="~",Z$58=1),"",LEFT(IFERROR(INDEX(醫師週班表!$C$5:$T$44,$CU19,Z$57),""),1)),IFERROR(INDEX(醫師週班表!$C$5:$T$44,$CU19,Z$57),""))))))</f>
        <v/>
      </c>
      <c r="AA19" s="68">
        <f>IF(AA$59="X","",IF(AA$59&lt;&gt;"",AA$59,IF(IFERROR(INDEX(醫師週班表!$C$5:$T$44,$CU19,AA$57),"")=0,"",IF(LEN(IFERROR(INDEX(醫師週班表!$C$5:$T$44,$CU19,AA$57),""))=4,MID(IFERROR(INDEX(醫師週班表!$C$5:$T$44,$CU19,AA$57),""),1+AA$58*2,1),IF(LEN(IFERROR(INDEX(醫師週班表!$C$5:$T$44,$CU19,AA$57),""))=2,IF(AND(RIGHT(IFERROR(INDEX(醫師週班表!$C$5:$T$44,$CU19,AA$57),""),1)="~",AA$58=1),"",LEFT(IFERROR(INDEX(醫師週班表!$C$5:$T$44,$CU19,AA$57),""),1)),IFERROR(INDEX(醫師週班表!$C$5:$T$44,$CU19,AA$57),""))))))</f>
        <v/>
      </c>
      <c r="AB19" s="68">
        <f>IF(AB$59="X","",IF(AB$59&lt;&gt;"",AB$59,IF(IFERROR(INDEX(醫師週班表!$C$5:$T$44,$CU19,AB$57),"")=0,"",IF(LEN(IFERROR(INDEX(醫師週班表!$C$5:$T$44,$CU19,AB$57),""))=4,MID(IFERROR(INDEX(醫師週班表!$C$5:$T$44,$CU19,AB$57),""),1+AB$58*2,1),IF(LEN(IFERROR(INDEX(醫師週班表!$C$5:$T$44,$CU19,AB$57),""))=2,IF(AND(RIGHT(IFERROR(INDEX(醫師週班表!$C$5:$T$44,$CU19,AB$57),""),1)="~",AB$58=1),"",LEFT(IFERROR(INDEX(醫師週班表!$C$5:$T$44,$CU19,AB$57),""),1)),IFERROR(INDEX(醫師週班表!$C$5:$T$44,$CU19,AB$57),""))))))</f>
        <v/>
      </c>
      <c r="AC19" s="67">
        <f>IF(AC$59="X","",IF(AC$59&lt;&gt;"",AC$59,IF(IFERROR(INDEX(醫師週班表!$C$5:$T$44,$CU19,AC$57),"")=0,"",IF(LEN(IFERROR(INDEX(醫師週班表!$C$5:$T$44,$CU19,AC$57),""))=4,MID(IFERROR(INDEX(醫師週班表!$C$5:$T$44,$CU19,AC$57),""),1+AC$58*2,1),IF(LEN(IFERROR(INDEX(醫師週班表!$C$5:$T$44,$CU19,AC$57),""))=2,IF(AND(RIGHT(IFERROR(INDEX(醫師週班表!$C$5:$T$44,$CU19,AC$57),""),1)="~",AC$58=1),"",LEFT(IFERROR(INDEX(醫師週班表!$C$5:$T$44,$CU19,AC$57),""),1)),IFERROR(INDEX(醫師週班表!$C$5:$T$44,$CU19,AC$57),""))))))</f>
        <v/>
      </c>
      <c r="AD19" s="68">
        <f>IF(AD$59="X","",IF(AD$59&lt;&gt;"",AD$59,IF(IFERROR(INDEX(醫師週班表!$C$5:$T$44,$CU19,AD$57),"")=0,"",IF(LEN(IFERROR(INDEX(醫師週班表!$C$5:$T$44,$CU19,AD$57),""))=4,MID(IFERROR(INDEX(醫師週班表!$C$5:$T$44,$CU19,AD$57),""),1+AD$58*2,1),IF(LEN(IFERROR(INDEX(醫師週班表!$C$5:$T$44,$CU19,AD$57),""))=2,IF(AND(RIGHT(IFERROR(INDEX(醫師週班表!$C$5:$T$44,$CU19,AD$57),""),1)="~",AD$58=1),"",LEFT(IFERROR(INDEX(醫師週班表!$C$5:$T$44,$CU19,AD$57),""),1)),IFERROR(INDEX(醫師週班表!$C$5:$T$44,$CU19,AD$57),""))))))</f>
        <v/>
      </c>
      <c r="AE19" s="68">
        <f>IF(AE$59="X","",IF(AE$59&lt;&gt;"",AE$59,IF(IFERROR(INDEX(醫師週班表!$C$5:$T$44,$CU19,AE$57),"")=0,"",IF(LEN(IFERROR(INDEX(醫師週班表!$C$5:$T$44,$CU19,AE$57),""))=4,MID(IFERROR(INDEX(醫師週班表!$C$5:$T$44,$CU19,AE$57),""),1+AE$58*2,1),IF(LEN(IFERROR(INDEX(醫師週班表!$C$5:$T$44,$CU19,AE$57),""))=2,IF(AND(RIGHT(IFERROR(INDEX(醫師週班表!$C$5:$T$44,$CU19,AE$57),""),1)="~",AE$58=1),"",LEFT(IFERROR(INDEX(醫師週班表!$C$5:$T$44,$CU19,AE$57),""),1)),IFERROR(INDEX(醫師週班表!$C$5:$T$44,$CU19,AE$57),""))))))</f>
        <v/>
      </c>
      <c r="AF19" s="67">
        <f>IF(AF$59="X","",IF(AF$59&lt;&gt;"",AF$59,IF(IFERROR(INDEX(醫師週班表!$C$5:$T$44,$CU19,AF$57),"")=0,"",IF(LEN(IFERROR(INDEX(醫師週班表!$C$5:$T$44,$CU19,AF$57),""))=4,MID(IFERROR(INDEX(醫師週班表!$C$5:$T$44,$CU19,AF$57),""),1+AF$58*2,1),IF(LEN(IFERROR(INDEX(醫師週班表!$C$5:$T$44,$CU19,AF$57),""))=2,IF(AND(RIGHT(IFERROR(INDEX(醫師週班表!$C$5:$T$44,$CU19,AF$57),""),1)="~",AF$58=1),"",LEFT(IFERROR(INDEX(醫師週班表!$C$5:$T$44,$CU19,AF$57),""),1)),IFERROR(INDEX(醫師週班表!$C$5:$T$44,$CU19,AF$57),""))))))</f>
        <v/>
      </c>
      <c r="AG19" s="68">
        <f>IF(AG$59="X","",IF(AG$59&lt;&gt;"",AG$59,IF(IFERROR(INDEX(醫師週班表!$C$5:$T$44,$CU19,AG$57),"")=0,"",IF(LEN(IFERROR(INDEX(醫師週班表!$C$5:$T$44,$CU19,AG$57),""))=4,MID(IFERROR(INDEX(醫師週班表!$C$5:$T$44,$CU19,AG$57),""),1+AG$58*2,1),IF(LEN(IFERROR(INDEX(醫師週班表!$C$5:$T$44,$CU19,AG$57),""))=2,IF(AND(RIGHT(IFERROR(INDEX(醫師週班表!$C$5:$T$44,$CU19,AG$57),""),1)="~",AG$58=1),"",LEFT(IFERROR(INDEX(醫師週班表!$C$5:$T$44,$CU19,AG$57),""),1)),IFERROR(INDEX(醫師週班表!$C$5:$T$44,$CU19,AG$57),""))))))</f>
        <v/>
      </c>
      <c r="AH19" s="68">
        <f>IF(AH$59="X","",IF(AH$59&lt;&gt;"",AH$59,IF(IFERROR(INDEX(醫師週班表!$C$5:$T$44,$CU19,AH$57),"")=0,"",IF(LEN(IFERROR(INDEX(醫師週班表!$C$5:$T$44,$CU19,AH$57),""))=4,MID(IFERROR(INDEX(醫師週班表!$C$5:$T$44,$CU19,AH$57),""),1+AH$58*2,1),IF(LEN(IFERROR(INDEX(醫師週班表!$C$5:$T$44,$CU19,AH$57),""))=2,IF(AND(RIGHT(IFERROR(INDEX(醫師週班表!$C$5:$T$44,$CU19,AH$57),""),1)="~",AH$58=1),"",LEFT(IFERROR(INDEX(醫師週班表!$C$5:$T$44,$CU19,AH$57),""),1)),IFERROR(INDEX(醫師週班表!$C$5:$T$44,$CU19,AH$57),""))))))</f>
        <v/>
      </c>
      <c r="AI19" s="67">
        <f>IF(AI$59="X","",IF(AI$59&lt;&gt;"",AI$59,IF(IFERROR(INDEX(醫師週班表!$C$5:$T$44,$CU19,AI$57),"")=0,"",IF(LEN(IFERROR(INDEX(醫師週班表!$C$5:$T$44,$CU19,AI$57),""))=4,MID(IFERROR(INDEX(醫師週班表!$C$5:$T$44,$CU19,AI$57),""),1+AI$58*2,1),IF(LEN(IFERROR(INDEX(醫師週班表!$C$5:$T$44,$CU19,AI$57),""))=2,IF(AND(RIGHT(IFERROR(INDEX(醫師週班表!$C$5:$T$44,$CU19,AI$57),""),1)="~",AI$58=1),"",LEFT(IFERROR(INDEX(醫師週班表!$C$5:$T$44,$CU19,AI$57),""),1)),IFERROR(INDEX(醫師週班表!$C$5:$T$44,$CU19,AI$57),""))))))</f>
        <v/>
      </c>
      <c r="AJ19" s="68">
        <f>IF(AJ$59="X","",IF(AJ$59&lt;&gt;"",AJ$59,IF(IFERROR(INDEX(醫師週班表!$C$5:$T$44,$CU19,AJ$57),"")=0,"",IF(LEN(IFERROR(INDEX(醫師週班表!$C$5:$T$44,$CU19,AJ$57),""))=4,MID(IFERROR(INDEX(醫師週班表!$C$5:$T$44,$CU19,AJ$57),""),1+AJ$58*2,1),IF(LEN(IFERROR(INDEX(醫師週班表!$C$5:$T$44,$CU19,AJ$57),""))=2,IF(AND(RIGHT(IFERROR(INDEX(醫師週班表!$C$5:$T$44,$CU19,AJ$57),""),1)="~",AJ$58=1),"",LEFT(IFERROR(INDEX(醫師週班表!$C$5:$T$44,$CU19,AJ$57),""),1)),IFERROR(INDEX(醫師週班表!$C$5:$T$44,$CU19,AJ$57),""))))))</f>
        <v/>
      </c>
      <c r="AK19" s="68">
        <f>IF(AK$59="X","",IF(AK$59&lt;&gt;"",AK$59,IF(IFERROR(INDEX(醫師週班表!$C$5:$T$44,$CU19,AK$57),"")=0,"",IF(LEN(IFERROR(INDEX(醫師週班表!$C$5:$T$44,$CU19,AK$57),""))=4,MID(IFERROR(INDEX(醫師週班表!$C$5:$T$44,$CU19,AK$57),""),1+AK$58*2,1),IF(LEN(IFERROR(INDEX(醫師週班表!$C$5:$T$44,$CU19,AK$57),""))=2,IF(AND(RIGHT(IFERROR(INDEX(醫師週班表!$C$5:$T$44,$CU19,AK$57),""),1)="~",AK$58=1),"",LEFT(IFERROR(INDEX(醫師週班表!$C$5:$T$44,$CU19,AK$57),""),1)),IFERROR(INDEX(醫師週班表!$C$5:$T$44,$CU19,AK$57),""))))))</f>
        <v/>
      </c>
      <c r="AL19" s="67">
        <f>IF(AL$59="X","",IF(AL$59&lt;&gt;"",AL$59,IF(IFERROR(INDEX(醫師週班表!$C$5:$T$44,$CU19,AL$57),"")=0,"",IF(LEN(IFERROR(INDEX(醫師週班表!$C$5:$T$44,$CU19,AL$57),""))=4,MID(IFERROR(INDEX(醫師週班表!$C$5:$T$44,$CU19,AL$57),""),1+AL$58*2,1),IF(LEN(IFERROR(INDEX(醫師週班表!$C$5:$T$44,$CU19,AL$57),""))=2,IF(AND(RIGHT(IFERROR(INDEX(醫師週班表!$C$5:$T$44,$CU19,AL$57),""),1)="~",AL$58=1),"",LEFT(IFERROR(INDEX(醫師週班表!$C$5:$T$44,$CU19,AL$57),""),1)),IFERROR(INDEX(醫師週班表!$C$5:$T$44,$CU19,AL$57),""))))))</f>
        <v/>
      </c>
      <c r="AM19" s="68">
        <f>IF(AM$59="X","",IF(AM$59&lt;&gt;"",AM$59,IF(IFERROR(INDEX(醫師週班表!$C$5:$T$44,$CU19,AM$57),"")=0,"",IF(LEN(IFERROR(INDEX(醫師週班表!$C$5:$T$44,$CU19,AM$57),""))=4,MID(IFERROR(INDEX(醫師週班表!$C$5:$T$44,$CU19,AM$57),""),1+AM$58*2,1),IF(LEN(IFERROR(INDEX(醫師週班表!$C$5:$T$44,$CU19,AM$57),""))=2,IF(AND(RIGHT(IFERROR(INDEX(醫師週班表!$C$5:$T$44,$CU19,AM$57),""),1)="~",AM$58=1),"",LEFT(IFERROR(INDEX(醫師週班表!$C$5:$T$44,$CU19,AM$57),""),1)),IFERROR(INDEX(醫師週班表!$C$5:$T$44,$CU19,AM$57),""))))))</f>
        <v/>
      </c>
      <c r="AN19" s="68">
        <f>IF(AN$59="X","",IF(AN$59&lt;&gt;"",AN$59,IF(IFERROR(INDEX(醫師週班表!$C$5:$T$44,$CU19,AN$57),"")=0,"",IF(LEN(IFERROR(INDEX(醫師週班表!$C$5:$T$44,$CU19,AN$57),""))=4,MID(IFERROR(INDEX(醫師週班表!$C$5:$T$44,$CU19,AN$57),""),1+AN$58*2,1),IF(LEN(IFERROR(INDEX(醫師週班表!$C$5:$T$44,$CU19,AN$57),""))=2,IF(AND(RIGHT(IFERROR(INDEX(醫師週班表!$C$5:$T$44,$CU19,AN$57),""),1)="~",AN$58=1),"",LEFT(IFERROR(INDEX(醫師週班表!$C$5:$T$44,$CU19,AN$57),""),1)),IFERROR(INDEX(醫師週班表!$C$5:$T$44,$CU19,AN$57),""))))))</f>
        <v/>
      </c>
      <c r="AO19" s="67">
        <f>IF(AO$59="X","",IF(AO$59&lt;&gt;"",AO$59,IF(IFERROR(INDEX(醫師週班表!$C$5:$T$44,$CU19,AO$57),"")=0,"",IF(LEN(IFERROR(INDEX(醫師週班表!$C$5:$T$44,$CU19,AO$57),""))=4,MID(IFERROR(INDEX(醫師週班表!$C$5:$T$44,$CU19,AO$57),""),1+AO$58*2,1),IF(LEN(IFERROR(INDEX(醫師週班表!$C$5:$T$44,$CU19,AO$57),""))=2,IF(AND(RIGHT(IFERROR(INDEX(醫師週班表!$C$5:$T$44,$CU19,AO$57),""),1)="~",AO$58=1),"",LEFT(IFERROR(INDEX(醫師週班表!$C$5:$T$44,$CU19,AO$57),""),1)),IFERROR(INDEX(醫師週班表!$C$5:$T$44,$CU19,AO$57),""))))))</f>
        <v/>
      </c>
      <c r="AP19" s="68">
        <f>IF(AP$59="X","",IF(AP$59&lt;&gt;"",AP$59,IF(IFERROR(INDEX(醫師週班表!$C$5:$T$44,$CU19,AP$57),"")=0,"",IF(LEN(IFERROR(INDEX(醫師週班表!$C$5:$T$44,$CU19,AP$57),""))=4,MID(IFERROR(INDEX(醫師週班表!$C$5:$T$44,$CU19,AP$57),""),1+AP$58*2,1),IF(LEN(IFERROR(INDEX(醫師週班表!$C$5:$T$44,$CU19,AP$57),""))=2,IF(AND(RIGHT(IFERROR(INDEX(醫師週班表!$C$5:$T$44,$CU19,AP$57),""),1)="~",AP$58=1),"",LEFT(IFERROR(INDEX(醫師週班表!$C$5:$T$44,$CU19,AP$57),""),1)),IFERROR(INDEX(醫師週班表!$C$5:$T$44,$CU19,AP$57),""))))))</f>
        <v/>
      </c>
      <c r="AQ19" s="68">
        <f>IF(AQ$59="X","",IF(AQ$59&lt;&gt;"",AQ$59,IF(IFERROR(INDEX(醫師週班表!$C$5:$T$44,$CU19,AQ$57),"")=0,"",IF(LEN(IFERROR(INDEX(醫師週班表!$C$5:$T$44,$CU19,AQ$57),""))=4,MID(IFERROR(INDEX(醫師週班表!$C$5:$T$44,$CU19,AQ$57),""),1+AQ$58*2,1),IF(LEN(IFERROR(INDEX(醫師週班表!$C$5:$T$44,$CU19,AQ$57),""))=2,IF(AND(RIGHT(IFERROR(INDEX(醫師週班表!$C$5:$T$44,$CU19,AQ$57),""),1)="~",AQ$58=1),"",LEFT(IFERROR(INDEX(醫師週班表!$C$5:$T$44,$CU19,AQ$57),""),1)),IFERROR(INDEX(醫師週班表!$C$5:$T$44,$CU19,AQ$57),""))))))</f>
        <v/>
      </c>
      <c r="AR19" s="67">
        <f>IF(AR$59="X","",IF(AR$59&lt;&gt;"",AR$59,IF(IFERROR(INDEX(醫師週班表!$C$5:$T$44,$CU19,AR$57),"")=0,"",IF(LEN(IFERROR(INDEX(醫師週班表!$C$5:$T$44,$CU19,AR$57),""))=4,MID(IFERROR(INDEX(醫師週班表!$C$5:$T$44,$CU19,AR$57),""),1+AR$58*2,1),IF(LEN(IFERROR(INDEX(醫師週班表!$C$5:$T$44,$CU19,AR$57),""))=2,IF(AND(RIGHT(IFERROR(INDEX(醫師週班表!$C$5:$T$44,$CU19,AR$57),""),1)="~",AR$58=1),"",LEFT(IFERROR(INDEX(醫師週班表!$C$5:$T$44,$CU19,AR$57),""),1)),IFERROR(INDEX(醫師週班表!$C$5:$T$44,$CU19,AR$57),""))))))</f>
        <v/>
      </c>
      <c r="AS19" s="68">
        <f>IF(AS$59="X","",IF(AS$59&lt;&gt;"",AS$59,IF(IFERROR(INDEX(醫師週班表!$C$5:$T$44,$CU19,AS$57),"")=0,"",IF(LEN(IFERROR(INDEX(醫師週班表!$C$5:$T$44,$CU19,AS$57),""))=4,MID(IFERROR(INDEX(醫師週班表!$C$5:$T$44,$CU19,AS$57),""),1+AS$58*2,1),IF(LEN(IFERROR(INDEX(醫師週班表!$C$5:$T$44,$CU19,AS$57),""))=2,IF(AND(RIGHT(IFERROR(INDEX(醫師週班表!$C$5:$T$44,$CU19,AS$57),""),1)="~",AS$58=1),"",LEFT(IFERROR(INDEX(醫師週班表!$C$5:$T$44,$CU19,AS$57),""),1)),IFERROR(INDEX(醫師週班表!$C$5:$T$44,$CU19,AS$57),""))))))</f>
        <v/>
      </c>
      <c r="AT19" s="68">
        <f>IF(AT$59="X","",IF(AT$59&lt;&gt;"",AT$59,IF(IFERROR(INDEX(醫師週班表!$C$5:$T$44,$CU19,AT$57),"")=0,"",IF(LEN(IFERROR(INDEX(醫師週班表!$C$5:$T$44,$CU19,AT$57),""))=4,MID(IFERROR(INDEX(醫師週班表!$C$5:$T$44,$CU19,AT$57),""),1+AT$58*2,1),IF(LEN(IFERROR(INDEX(醫師週班表!$C$5:$T$44,$CU19,AT$57),""))=2,IF(AND(RIGHT(IFERROR(INDEX(醫師週班表!$C$5:$T$44,$CU19,AT$57),""),1)="~",AT$58=1),"",LEFT(IFERROR(INDEX(醫師週班表!$C$5:$T$44,$CU19,AT$57),""),1)),IFERROR(INDEX(醫師週班表!$C$5:$T$44,$CU19,AT$57),""))))))</f>
        <v/>
      </c>
      <c r="AU19" s="67">
        <f>IF(AU$59="X","",IF(AU$59&lt;&gt;"",AU$59,IF(IFERROR(INDEX(醫師週班表!$C$5:$T$44,$CU19,AU$57),"")=0,"",IF(LEN(IFERROR(INDEX(醫師週班表!$C$5:$T$44,$CU19,AU$57),""))=4,MID(IFERROR(INDEX(醫師週班表!$C$5:$T$44,$CU19,AU$57),""),1+AU$58*2,1),IF(LEN(IFERROR(INDEX(醫師週班表!$C$5:$T$44,$CU19,AU$57),""))=2,IF(AND(RIGHT(IFERROR(INDEX(醫師週班表!$C$5:$T$44,$CU19,AU$57),""),1)="~",AU$58=1),"",LEFT(IFERROR(INDEX(醫師週班表!$C$5:$T$44,$CU19,AU$57),""),1)),IFERROR(INDEX(醫師週班表!$C$5:$T$44,$CU19,AU$57),""))))))</f>
        <v/>
      </c>
      <c r="AV19" s="68">
        <f>IF(AV$59="X","",IF(AV$59&lt;&gt;"",AV$59,IF(IFERROR(INDEX(醫師週班表!$C$5:$T$44,$CU19,AV$57),"")=0,"",IF(LEN(IFERROR(INDEX(醫師週班表!$C$5:$T$44,$CU19,AV$57),""))=4,MID(IFERROR(INDEX(醫師週班表!$C$5:$T$44,$CU19,AV$57),""),1+AV$58*2,1),IF(LEN(IFERROR(INDEX(醫師週班表!$C$5:$T$44,$CU19,AV$57),""))=2,IF(AND(RIGHT(IFERROR(INDEX(醫師週班表!$C$5:$T$44,$CU19,AV$57),""),1)="~",AV$58=1),"",LEFT(IFERROR(INDEX(醫師週班表!$C$5:$T$44,$CU19,AV$57),""),1)),IFERROR(INDEX(醫師週班表!$C$5:$T$44,$CU19,AV$57),""))))))</f>
        <v/>
      </c>
      <c r="AW19" s="68">
        <f>IF(AW$59="X","",IF(AW$59&lt;&gt;"",AW$59,IF(IFERROR(INDEX(醫師週班表!$C$5:$T$44,$CU19,AW$57),"")=0,"",IF(LEN(IFERROR(INDEX(醫師週班表!$C$5:$T$44,$CU19,AW$57),""))=4,MID(IFERROR(INDEX(醫師週班表!$C$5:$T$44,$CU19,AW$57),""),1+AW$58*2,1),IF(LEN(IFERROR(INDEX(醫師週班表!$C$5:$T$44,$CU19,AW$57),""))=2,IF(AND(RIGHT(IFERROR(INDEX(醫師週班表!$C$5:$T$44,$CU19,AW$57),""),1)="~",AW$58=1),"",LEFT(IFERROR(INDEX(醫師週班表!$C$5:$T$44,$CU19,AW$57),""),1)),IFERROR(INDEX(醫師週班表!$C$5:$T$44,$CU19,AW$57),""))))))</f>
        <v/>
      </c>
      <c r="AX19" s="67">
        <f>IF(AX$59="X","",IF(AX$59&lt;&gt;"",AX$59,IF(IFERROR(INDEX(醫師週班表!$C$5:$T$44,$CU19,AX$57),"")=0,"",IF(LEN(IFERROR(INDEX(醫師週班表!$C$5:$T$44,$CU19,AX$57),""))=4,MID(IFERROR(INDEX(醫師週班表!$C$5:$T$44,$CU19,AX$57),""),1+AX$58*2,1),IF(LEN(IFERROR(INDEX(醫師週班表!$C$5:$T$44,$CU19,AX$57),""))=2,IF(AND(RIGHT(IFERROR(INDEX(醫師週班表!$C$5:$T$44,$CU19,AX$57),""),1)="~",AX$58=1),"",LEFT(IFERROR(INDEX(醫師週班表!$C$5:$T$44,$CU19,AX$57),""),1)),IFERROR(INDEX(醫師週班表!$C$5:$T$44,$CU19,AX$57),""))))))</f>
        <v/>
      </c>
      <c r="AY19" s="68">
        <f>IF(AY$59="X","",IF(AY$59&lt;&gt;"",AY$59,IF(IFERROR(INDEX(醫師週班表!$C$5:$T$44,$CU19,AY$57),"")=0,"",IF(LEN(IFERROR(INDEX(醫師週班表!$C$5:$T$44,$CU19,AY$57),""))=4,MID(IFERROR(INDEX(醫師週班表!$C$5:$T$44,$CU19,AY$57),""),1+AY$58*2,1),IF(LEN(IFERROR(INDEX(醫師週班表!$C$5:$T$44,$CU19,AY$57),""))=2,IF(AND(RIGHT(IFERROR(INDEX(醫師週班表!$C$5:$T$44,$CU19,AY$57),""),1)="~",AY$58=1),"",LEFT(IFERROR(INDEX(醫師週班表!$C$5:$T$44,$CU19,AY$57),""),1)),IFERROR(INDEX(醫師週班表!$C$5:$T$44,$CU19,AY$57),""))))))</f>
        <v/>
      </c>
      <c r="AZ19" s="68">
        <f>IF(AZ$59="X","",IF(AZ$59&lt;&gt;"",AZ$59,IF(IFERROR(INDEX(醫師週班表!$C$5:$T$44,$CU19,AZ$57),"")=0,"",IF(LEN(IFERROR(INDEX(醫師週班表!$C$5:$T$44,$CU19,AZ$57),""))=4,MID(IFERROR(INDEX(醫師週班表!$C$5:$T$44,$CU19,AZ$57),""),1+AZ$58*2,1),IF(LEN(IFERROR(INDEX(醫師週班表!$C$5:$T$44,$CU19,AZ$57),""))=2,IF(AND(RIGHT(IFERROR(INDEX(醫師週班表!$C$5:$T$44,$CU19,AZ$57),""),1)="~",AZ$58=1),"",LEFT(IFERROR(INDEX(醫師週班表!$C$5:$T$44,$CU19,AZ$57),""),1)),IFERROR(INDEX(醫師週班表!$C$5:$T$44,$CU19,AZ$57),""))))))</f>
        <v/>
      </c>
      <c r="BA19" s="67">
        <f>IF(BA$59="X","",IF(BA$59&lt;&gt;"",BA$59,IF(IFERROR(INDEX(醫師週班表!$C$5:$T$44,$CU19,BA$57),"")=0,"",IF(LEN(IFERROR(INDEX(醫師週班表!$C$5:$T$44,$CU19,BA$57),""))=4,MID(IFERROR(INDEX(醫師週班表!$C$5:$T$44,$CU19,BA$57),""),1+BA$58*2,1),IF(LEN(IFERROR(INDEX(醫師週班表!$C$5:$T$44,$CU19,BA$57),""))=2,IF(AND(RIGHT(IFERROR(INDEX(醫師週班表!$C$5:$T$44,$CU19,BA$57),""),1)="~",BA$58=1),"",LEFT(IFERROR(INDEX(醫師週班表!$C$5:$T$44,$CU19,BA$57),""),1)),IFERROR(INDEX(醫師週班表!$C$5:$T$44,$CU19,BA$57),""))))))</f>
        <v/>
      </c>
      <c r="BB19" s="68">
        <f>IF(BB$59="X","",IF(BB$59&lt;&gt;"",BB$59,IF(IFERROR(INDEX(醫師週班表!$C$5:$T$44,$CU19,BB$57),"")=0,"",IF(LEN(IFERROR(INDEX(醫師週班表!$C$5:$T$44,$CU19,BB$57),""))=4,MID(IFERROR(INDEX(醫師週班表!$C$5:$T$44,$CU19,BB$57),""),1+BB$58*2,1),IF(LEN(IFERROR(INDEX(醫師週班表!$C$5:$T$44,$CU19,BB$57),""))=2,IF(AND(RIGHT(IFERROR(INDEX(醫師週班表!$C$5:$T$44,$CU19,BB$57),""),1)="~",BB$58=1),"",LEFT(IFERROR(INDEX(醫師週班表!$C$5:$T$44,$CU19,BB$57),""),1)),IFERROR(INDEX(醫師週班表!$C$5:$T$44,$CU19,BB$57),""))))))</f>
        <v/>
      </c>
      <c r="BC19" s="68">
        <f>IF(BC$59="X","",IF(BC$59&lt;&gt;"",BC$59,IF(IFERROR(INDEX(醫師週班表!$C$5:$T$44,$CU19,BC$57),"")=0,"",IF(LEN(IFERROR(INDEX(醫師週班表!$C$5:$T$44,$CU19,BC$57),""))=4,MID(IFERROR(INDEX(醫師週班表!$C$5:$T$44,$CU19,BC$57),""),1+BC$58*2,1),IF(LEN(IFERROR(INDEX(醫師週班表!$C$5:$T$44,$CU19,BC$57),""))=2,IF(AND(RIGHT(IFERROR(INDEX(醫師週班表!$C$5:$T$44,$CU19,BC$57),""),1)="~",BC$58=1),"",LEFT(IFERROR(INDEX(醫師週班表!$C$5:$T$44,$CU19,BC$57),""),1)),IFERROR(INDEX(醫師週班表!$C$5:$T$44,$CU19,BC$57),""))))))</f>
        <v/>
      </c>
      <c r="BD19" s="67">
        <f>IF(BD$59="X","",IF(BD$59&lt;&gt;"",BD$59,IF(IFERROR(INDEX(醫師週班表!$C$5:$T$44,$CU19,BD$57),"")=0,"",IF(LEN(IFERROR(INDEX(醫師週班表!$C$5:$T$44,$CU19,BD$57),""))=4,MID(IFERROR(INDEX(醫師週班表!$C$5:$T$44,$CU19,BD$57),""),1+BD$58*2,1),IF(LEN(IFERROR(INDEX(醫師週班表!$C$5:$T$44,$CU19,BD$57),""))=2,IF(AND(RIGHT(IFERROR(INDEX(醫師週班表!$C$5:$T$44,$CU19,BD$57),""),1)="~",BD$58=1),"",LEFT(IFERROR(INDEX(醫師週班表!$C$5:$T$44,$CU19,BD$57),""),1)),IFERROR(INDEX(醫師週班表!$C$5:$T$44,$CU19,BD$57),""))))))</f>
        <v/>
      </c>
      <c r="BE19" s="68">
        <f>IF(BE$59="X","",IF(BE$59&lt;&gt;"",BE$59,IF(IFERROR(INDEX(醫師週班表!$C$5:$T$44,$CU19,BE$57),"")=0,"",IF(LEN(IFERROR(INDEX(醫師週班表!$C$5:$T$44,$CU19,BE$57),""))=4,MID(IFERROR(INDEX(醫師週班表!$C$5:$T$44,$CU19,BE$57),""),1+BE$58*2,1),IF(LEN(IFERROR(INDEX(醫師週班表!$C$5:$T$44,$CU19,BE$57),""))=2,IF(AND(RIGHT(IFERROR(INDEX(醫師週班表!$C$5:$T$44,$CU19,BE$57),""),1)="~",BE$58=1),"",LEFT(IFERROR(INDEX(醫師週班表!$C$5:$T$44,$CU19,BE$57),""),1)),IFERROR(INDEX(醫師週班表!$C$5:$T$44,$CU19,BE$57),""))))))</f>
        <v/>
      </c>
      <c r="BF19" s="68">
        <f>IF(BF$59="X","",IF(BF$59&lt;&gt;"",BF$59,IF(IFERROR(INDEX(醫師週班表!$C$5:$T$44,$CU19,BF$57),"")=0,"",IF(LEN(IFERROR(INDEX(醫師週班表!$C$5:$T$44,$CU19,BF$57),""))=4,MID(IFERROR(INDEX(醫師週班表!$C$5:$T$44,$CU19,BF$57),""),1+BF$58*2,1),IF(LEN(IFERROR(INDEX(醫師週班表!$C$5:$T$44,$CU19,BF$57),""))=2,IF(AND(RIGHT(IFERROR(INDEX(醫師週班表!$C$5:$T$44,$CU19,BF$57),""),1)="~",BF$58=1),"",LEFT(IFERROR(INDEX(醫師週班表!$C$5:$T$44,$CU19,BF$57),""),1)),IFERROR(INDEX(醫師週班表!$C$5:$T$44,$CU19,BF$57),""))))))</f>
        <v/>
      </c>
      <c r="BG19" s="67">
        <f>IF(BG$59="X","",IF(BG$59&lt;&gt;"",BG$59,IF(IFERROR(INDEX(醫師週班表!$C$5:$T$44,$CU19,BG$57),"")=0,"",IF(LEN(IFERROR(INDEX(醫師週班表!$C$5:$T$44,$CU19,BG$57),""))=4,MID(IFERROR(INDEX(醫師週班表!$C$5:$T$44,$CU19,BG$57),""),1+BG$58*2,1),IF(LEN(IFERROR(INDEX(醫師週班表!$C$5:$T$44,$CU19,BG$57),""))=2,IF(AND(RIGHT(IFERROR(INDEX(醫師週班表!$C$5:$T$44,$CU19,BG$57),""),1)="~",BG$58=1),"",LEFT(IFERROR(INDEX(醫師週班表!$C$5:$T$44,$CU19,BG$57),""),1)),IFERROR(INDEX(醫師週班表!$C$5:$T$44,$CU19,BG$57),""))))))</f>
        <v/>
      </c>
      <c r="BH19" s="68">
        <f>IF(BH$59="X","",IF(BH$59&lt;&gt;"",BH$59,IF(IFERROR(INDEX(醫師週班表!$C$5:$T$44,$CU19,BH$57),"")=0,"",IF(LEN(IFERROR(INDEX(醫師週班表!$C$5:$T$44,$CU19,BH$57),""))=4,MID(IFERROR(INDEX(醫師週班表!$C$5:$T$44,$CU19,BH$57),""),1+BH$58*2,1),IF(LEN(IFERROR(INDEX(醫師週班表!$C$5:$T$44,$CU19,BH$57),""))=2,IF(AND(RIGHT(IFERROR(INDEX(醫師週班表!$C$5:$T$44,$CU19,BH$57),""),1)="~",BH$58=1),"",LEFT(IFERROR(INDEX(醫師週班表!$C$5:$T$44,$CU19,BH$57),""),1)),IFERROR(INDEX(醫師週班表!$C$5:$T$44,$CU19,BH$57),""))))))</f>
        <v/>
      </c>
      <c r="BI19" s="68">
        <f>IF(BI$59="X","",IF(BI$59&lt;&gt;"",BI$59,IF(IFERROR(INDEX(醫師週班表!$C$5:$T$44,$CU19,BI$57),"")=0,"",IF(LEN(IFERROR(INDEX(醫師週班表!$C$5:$T$44,$CU19,BI$57),""))=4,MID(IFERROR(INDEX(醫師週班表!$C$5:$T$44,$CU19,BI$57),""),1+BI$58*2,1),IF(LEN(IFERROR(INDEX(醫師週班表!$C$5:$T$44,$CU19,BI$57),""))=2,IF(AND(RIGHT(IFERROR(INDEX(醫師週班表!$C$5:$T$44,$CU19,BI$57),""),1)="~",BI$58=1),"",LEFT(IFERROR(INDEX(醫師週班表!$C$5:$T$44,$CU19,BI$57),""),1)),IFERROR(INDEX(醫師週班表!$C$5:$T$44,$CU19,BI$57),""))))))</f>
        <v/>
      </c>
      <c r="BJ19" s="67">
        <f>IF(BJ$59="X","",IF(BJ$59&lt;&gt;"",BJ$59,IF(IFERROR(INDEX(醫師週班表!$C$5:$T$44,$CU19,BJ$57),"")=0,"",IF(LEN(IFERROR(INDEX(醫師週班表!$C$5:$T$44,$CU19,BJ$57),""))=4,MID(IFERROR(INDEX(醫師週班表!$C$5:$T$44,$CU19,BJ$57),""),1+BJ$58*2,1),IF(LEN(IFERROR(INDEX(醫師週班表!$C$5:$T$44,$CU19,BJ$57),""))=2,IF(AND(RIGHT(IFERROR(INDEX(醫師週班表!$C$5:$T$44,$CU19,BJ$57),""),1)="~",BJ$58=1),"",LEFT(IFERROR(INDEX(醫師週班表!$C$5:$T$44,$CU19,BJ$57),""),1)),IFERROR(INDEX(醫師週班表!$C$5:$T$44,$CU19,BJ$57),""))))))</f>
        <v/>
      </c>
      <c r="BK19" s="68">
        <f>IF(BK$59="X","",IF(BK$59&lt;&gt;"",BK$59,IF(IFERROR(INDEX(醫師週班表!$C$5:$T$44,$CU19,BK$57),"")=0,"",IF(LEN(IFERROR(INDEX(醫師週班表!$C$5:$T$44,$CU19,BK$57),""))=4,MID(IFERROR(INDEX(醫師週班表!$C$5:$T$44,$CU19,BK$57),""),1+BK$58*2,1),IF(LEN(IFERROR(INDEX(醫師週班表!$C$5:$T$44,$CU19,BK$57),""))=2,IF(AND(RIGHT(IFERROR(INDEX(醫師週班表!$C$5:$T$44,$CU19,BK$57),""),1)="~",BK$58=1),"",LEFT(IFERROR(INDEX(醫師週班表!$C$5:$T$44,$CU19,BK$57),""),1)),IFERROR(INDEX(醫師週班表!$C$5:$T$44,$CU19,BK$57),""))))))</f>
        <v/>
      </c>
      <c r="BL19" s="68">
        <f>IF(BL$59="X","",IF(BL$59&lt;&gt;"",BL$59,IF(IFERROR(INDEX(醫師週班表!$C$5:$T$44,$CU19,BL$57),"")=0,"",IF(LEN(IFERROR(INDEX(醫師週班表!$C$5:$T$44,$CU19,BL$57),""))=4,MID(IFERROR(INDEX(醫師週班表!$C$5:$T$44,$CU19,BL$57),""),1+BL$58*2,1),IF(LEN(IFERROR(INDEX(醫師週班表!$C$5:$T$44,$CU19,BL$57),""))=2,IF(AND(RIGHT(IFERROR(INDEX(醫師週班表!$C$5:$T$44,$CU19,BL$57),""),1)="~",BL$58=1),"",LEFT(IFERROR(INDEX(醫師週班表!$C$5:$T$44,$CU19,BL$57),""),1)),IFERROR(INDEX(醫師週班表!$C$5:$T$44,$CU19,BL$57),""))))))</f>
        <v/>
      </c>
      <c r="BM19" s="67">
        <f>IF(BM$59="X","",IF(BM$59&lt;&gt;"",BM$59,IF(IFERROR(INDEX(醫師週班表!$C$5:$T$44,$CU19,BM$57),"")=0,"",IF(LEN(IFERROR(INDEX(醫師週班表!$C$5:$T$44,$CU19,BM$57),""))=4,MID(IFERROR(INDEX(醫師週班表!$C$5:$T$44,$CU19,BM$57),""),1+BM$58*2,1),IF(LEN(IFERROR(INDEX(醫師週班表!$C$5:$T$44,$CU19,BM$57),""))=2,IF(AND(RIGHT(IFERROR(INDEX(醫師週班表!$C$5:$T$44,$CU19,BM$57),""),1)="~",BM$58=1),"",LEFT(IFERROR(INDEX(醫師週班表!$C$5:$T$44,$CU19,BM$57),""),1)),IFERROR(INDEX(醫師週班表!$C$5:$T$44,$CU19,BM$57),""))))))</f>
        <v/>
      </c>
      <c r="BN19" s="68">
        <f>IF(BN$59="X","",IF(BN$59&lt;&gt;"",BN$59,IF(IFERROR(INDEX(醫師週班表!$C$5:$T$44,$CU19,BN$57),"")=0,"",IF(LEN(IFERROR(INDEX(醫師週班表!$C$5:$T$44,$CU19,BN$57),""))=4,MID(IFERROR(INDEX(醫師週班表!$C$5:$T$44,$CU19,BN$57),""),1+BN$58*2,1),IF(LEN(IFERROR(INDEX(醫師週班表!$C$5:$T$44,$CU19,BN$57),""))=2,IF(AND(RIGHT(IFERROR(INDEX(醫師週班表!$C$5:$T$44,$CU19,BN$57),""),1)="~",BN$58=1),"",LEFT(IFERROR(INDEX(醫師週班表!$C$5:$T$44,$CU19,BN$57),""),1)),IFERROR(INDEX(醫師週班表!$C$5:$T$44,$CU19,BN$57),""))))))</f>
        <v/>
      </c>
      <c r="BO19" s="68">
        <f>IF(BO$59="X","",IF(BO$59&lt;&gt;"",BO$59,IF(IFERROR(INDEX(醫師週班表!$C$5:$T$44,$CU19,BO$57),"")=0,"",IF(LEN(IFERROR(INDEX(醫師週班表!$C$5:$T$44,$CU19,BO$57),""))=4,MID(IFERROR(INDEX(醫師週班表!$C$5:$T$44,$CU19,BO$57),""),1+BO$58*2,1),IF(LEN(IFERROR(INDEX(醫師週班表!$C$5:$T$44,$CU19,BO$57),""))=2,IF(AND(RIGHT(IFERROR(INDEX(醫師週班表!$C$5:$T$44,$CU19,BO$57),""),1)="~",BO$58=1),"",LEFT(IFERROR(INDEX(醫師週班表!$C$5:$T$44,$CU19,BO$57),""),1)),IFERROR(INDEX(醫師週班表!$C$5:$T$44,$CU19,BO$57),""))))))</f>
        <v/>
      </c>
      <c r="BP19" s="67">
        <f>IF(BP$59="X","",IF(BP$59&lt;&gt;"",BP$59,IF(IFERROR(INDEX(醫師週班表!$C$5:$T$44,$CU19,BP$57),"")=0,"",IF(LEN(IFERROR(INDEX(醫師週班表!$C$5:$T$44,$CU19,BP$57),""))=4,MID(IFERROR(INDEX(醫師週班表!$C$5:$T$44,$CU19,BP$57),""),1+BP$58*2,1),IF(LEN(IFERROR(INDEX(醫師週班表!$C$5:$T$44,$CU19,BP$57),""))=2,IF(AND(RIGHT(IFERROR(INDEX(醫師週班表!$C$5:$T$44,$CU19,BP$57),""),1)="~",BP$58=1),"",LEFT(IFERROR(INDEX(醫師週班表!$C$5:$T$44,$CU19,BP$57),""),1)),IFERROR(INDEX(醫師週班表!$C$5:$T$44,$CU19,BP$57),""))))))</f>
        <v/>
      </c>
      <c r="BQ19" s="68">
        <f>IF(BQ$59="X","",IF(BQ$59&lt;&gt;"",BQ$59,IF(IFERROR(INDEX(醫師週班表!$C$5:$T$44,$CU19,BQ$57),"")=0,"",IF(LEN(IFERROR(INDEX(醫師週班表!$C$5:$T$44,$CU19,BQ$57),""))=4,MID(IFERROR(INDEX(醫師週班表!$C$5:$T$44,$CU19,BQ$57),""),1+BQ$58*2,1),IF(LEN(IFERROR(INDEX(醫師週班表!$C$5:$T$44,$CU19,BQ$57),""))=2,IF(AND(RIGHT(IFERROR(INDEX(醫師週班表!$C$5:$T$44,$CU19,BQ$57),""),1)="~",BQ$58=1),"",LEFT(IFERROR(INDEX(醫師週班表!$C$5:$T$44,$CU19,BQ$57),""),1)),IFERROR(INDEX(醫師週班表!$C$5:$T$44,$CU19,BQ$57),""))))))</f>
        <v/>
      </c>
      <c r="BR19" s="68">
        <f>IF(BR$59="X","",IF(BR$59&lt;&gt;"",BR$59,IF(IFERROR(INDEX(醫師週班表!$C$5:$T$44,$CU19,BR$57),"")=0,"",IF(LEN(IFERROR(INDEX(醫師週班表!$C$5:$T$44,$CU19,BR$57),""))=4,MID(IFERROR(INDEX(醫師週班表!$C$5:$T$44,$CU19,BR$57),""),1+BR$58*2,1),IF(LEN(IFERROR(INDEX(醫師週班表!$C$5:$T$44,$CU19,BR$57),""))=2,IF(AND(RIGHT(IFERROR(INDEX(醫師週班表!$C$5:$T$44,$CU19,BR$57),""),1)="~",BR$58=1),"",LEFT(IFERROR(INDEX(醫師週班表!$C$5:$T$44,$CU19,BR$57),""),1)),IFERROR(INDEX(醫師週班表!$C$5:$T$44,$CU19,BR$57),""))))))</f>
        <v/>
      </c>
      <c r="BS19" s="67">
        <f>IF(BS$59="X","",IF(BS$59&lt;&gt;"",BS$59,IF(IFERROR(INDEX(醫師週班表!$C$5:$T$44,$CU19,BS$57),"")=0,"",IF(LEN(IFERROR(INDEX(醫師週班表!$C$5:$T$44,$CU19,BS$57),""))=4,MID(IFERROR(INDEX(醫師週班表!$C$5:$T$44,$CU19,BS$57),""),1+BS$58*2,1),IF(LEN(IFERROR(INDEX(醫師週班表!$C$5:$T$44,$CU19,BS$57),""))=2,IF(AND(RIGHT(IFERROR(INDEX(醫師週班表!$C$5:$T$44,$CU19,BS$57),""),1)="~",BS$58=1),"",LEFT(IFERROR(INDEX(醫師週班表!$C$5:$T$44,$CU19,BS$57),""),1)),IFERROR(INDEX(醫師週班表!$C$5:$T$44,$CU19,BS$57),""))))))</f>
        <v/>
      </c>
      <c r="BT19" s="68">
        <f>IF(BT$59="X","",IF(BT$59&lt;&gt;"",BT$59,IF(IFERROR(INDEX(醫師週班表!$C$5:$T$44,$CU19,BT$57),"")=0,"",IF(LEN(IFERROR(INDEX(醫師週班表!$C$5:$T$44,$CU19,BT$57),""))=4,MID(IFERROR(INDEX(醫師週班表!$C$5:$T$44,$CU19,BT$57),""),1+BT$58*2,1),IF(LEN(IFERROR(INDEX(醫師週班表!$C$5:$T$44,$CU19,BT$57),""))=2,IF(AND(RIGHT(IFERROR(INDEX(醫師週班表!$C$5:$T$44,$CU19,BT$57),""),1)="~",BT$58=1),"",LEFT(IFERROR(INDEX(醫師週班表!$C$5:$T$44,$CU19,BT$57),""),1)),IFERROR(INDEX(醫師週班表!$C$5:$T$44,$CU19,BT$57),""))))))</f>
        <v/>
      </c>
      <c r="BU19" s="68">
        <f>IF(BU$59="X","",IF(BU$59&lt;&gt;"",BU$59,IF(IFERROR(INDEX(醫師週班表!$C$5:$T$44,$CU19,BU$57),"")=0,"",IF(LEN(IFERROR(INDEX(醫師週班表!$C$5:$T$44,$CU19,BU$57),""))=4,MID(IFERROR(INDEX(醫師週班表!$C$5:$T$44,$CU19,BU$57),""),1+BU$58*2,1),IF(LEN(IFERROR(INDEX(醫師週班表!$C$5:$T$44,$CU19,BU$57),""))=2,IF(AND(RIGHT(IFERROR(INDEX(醫師週班表!$C$5:$T$44,$CU19,BU$57),""),1)="~",BU$58=1),"",LEFT(IFERROR(INDEX(醫師週班表!$C$5:$T$44,$CU19,BU$57),""),1)),IFERROR(INDEX(醫師週班表!$C$5:$T$44,$CU19,BU$57),""))))))</f>
        <v/>
      </c>
      <c r="BV19" s="67">
        <f>IF(BV$59="X","",IF(BV$59&lt;&gt;"",BV$59,IF(IFERROR(INDEX(醫師週班表!$C$5:$T$44,$CU19,BV$57),"")=0,"",IF(LEN(IFERROR(INDEX(醫師週班表!$C$5:$T$44,$CU19,BV$57),""))=4,MID(IFERROR(INDEX(醫師週班表!$C$5:$T$44,$CU19,BV$57),""),1+BV$58*2,1),IF(LEN(IFERROR(INDEX(醫師週班表!$C$5:$T$44,$CU19,BV$57),""))=2,IF(AND(RIGHT(IFERROR(INDEX(醫師週班表!$C$5:$T$44,$CU19,BV$57),""),1)="~",BV$58=1),"",LEFT(IFERROR(INDEX(醫師週班表!$C$5:$T$44,$CU19,BV$57),""),1)),IFERROR(INDEX(醫師週班表!$C$5:$T$44,$CU19,BV$57),""))))))</f>
        <v/>
      </c>
      <c r="BW19" s="68">
        <f>IF(BW$59="X","",IF(BW$59&lt;&gt;"",BW$59,IF(IFERROR(INDEX(醫師週班表!$C$5:$T$44,$CU19,BW$57),"")=0,"",IF(LEN(IFERROR(INDEX(醫師週班表!$C$5:$T$44,$CU19,BW$57),""))=4,MID(IFERROR(INDEX(醫師週班表!$C$5:$T$44,$CU19,BW$57),""),1+BW$58*2,1),IF(LEN(IFERROR(INDEX(醫師週班表!$C$5:$T$44,$CU19,BW$57),""))=2,IF(AND(RIGHT(IFERROR(INDEX(醫師週班表!$C$5:$T$44,$CU19,BW$57),""),1)="~",BW$58=1),"",LEFT(IFERROR(INDEX(醫師週班表!$C$5:$T$44,$CU19,BW$57),""),1)),IFERROR(INDEX(醫師週班表!$C$5:$T$44,$CU19,BW$57),""))))))</f>
        <v/>
      </c>
      <c r="BX19" s="68">
        <f>IF(BX$59="X","",IF(BX$59&lt;&gt;"",BX$59,IF(IFERROR(INDEX(醫師週班表!$C$5:$T$44,$CU19,BX$57),"")=0,"",IF(LEN(IFERROR(INDEX(醫師週班表!$C$5:$T$44,$CU19,BX$57),""))=4,MID(IFERROR(INDEX(醫師週班表!$C$5:$T$44,$CU19,BX$57),""),1+BX$58*2,1),IF(LEN(IFERROR(INDEX(醫師週班表!$C$5:$T$44,$CU19,BX$57),""))=2,IF(AND(RIGHT(IFERROR(INDEX(醫師週班表!$C$5:$T$44,$CU19,BX$57),""),1)="~",BX$58=1),"",LEFT(IFERROR(INDEX(醫師週班表!$C$5:$T$44,$CU19,BX$57),""),1)),IFERROR(INDEX(醫師週班表!$C$5:$T$44,$CU19,BX$57),""))))))</f>
        <v/>
      </c>
      <c r="BY19" s="67">
        <f>IF(BY$59="X","",IF(BY$59&lt;&gt;"",BY$59,IF(IFERROR(INDEX(醫師週班表!$C$5:$T$44,$CU19,BY$57),"")=0,"",IF(LEN(IFERROR(INDEX(醫師週班表!$C$5:$T$44,$CU19,BY$57),""))=4,MID(IFERROR(INDEX(醫師週班表!$C$5:$T$44,$CU19,BY$57),""),1+BY$58*2,1),IF(LEN(IFERROR(INDEX(醫師週班表!$C$5:$T$44,$CU19,BY$57),""))=2,IF(AND(RIGHT(IFERROR(INDEX(醫師週班表!$C$5:$T$44,$CU19,BY$57),""),1)="~",BY$58=1),"",LEFT(IFERROR(INDEX(醫師週班表!$C$5:$T$44,$CU19,BY$57),""),1)),IFERROR(INDEX(醫師週班表!$C$5:$T$44,$CU19,BY$57),""))))))</f>
        <v/>
      </c>
      <c r="BZ19" s="68">
        <f>IF(BZ$59="X","",IF(BZ$59&lt;&gt;"",BZ$59,IF(IFERROR(INDEX(醫師週班表!$C$5:$T$44,$CU19,BZ$57),"")=0,"",IF(LEN(IFERROR(INDEX(醫師週班表!$C$5:$T$44,$CU19,BZ$57),""))=4,MID(IFERROR(INDEX(醫師週班表!$C$5:$T$44,$CU19,BZ$57),""),1+BZ$58*2,1),IF(LEN(IFERROR(INDEX(醫師週班表!$C$5:$T$44,$CU19,BZ$57),""))=2,IF(AND(RIGHT(IFERROR(INDEX(醫師週班表!$C$5:$T$44,$CU19,BZ$57),""),1)="~",BZ$58=1),"",LEFT(IFERROR(INDEX(醫師週班表!$C$5:$T$44,$CU19,BZ$57),""),1)),IFERROR(INDEX(醫師週班表!$C$5:$T$44,$CU19,BZ$57),""))))))</f>
        <v/>
      </c>
      <c r="CA19" s="68">
        <f>IF(CA$59="X","",IF(CA$59&lt;&gt;"",CA$59,IF(IFERROR(INDEX(醫師週班表!$C$5:$T$44,$CU19,CA$57),"")=0,"",IF(LEN(IFERROR(INDEX(醫師週班表!$C$5:$T$44,$CU19,CA$57),""))=4,MID(IFERROR(INDEX(醫師週班表!$C$5:$T$44,$CU19,CA$57),""),1+CA$58*2,1),IF(LEN(IFERROR(INDEX(醫師週班表!$C$5:$T$44,$CU19,CA$57),""))=2,IF(AND(RIGHT(IFERROR(INDEX(醫師週班表!$C$5:$T$44,$CU19,CA$57),""),1)="~",CA$58=1),"",LEFT(IFERROR(INDEX(醫師週班表!$C$5:$T$44,$CU19,CA$57),""),1)),IFERROR(INDEX(醫師週班表!$C$5:$T$44,$CU19,CA$57),""))))))</f>
        <v/>
      </c>
      <c r="CB19" s="67">
        <f>IF(CB$59="X","",IF(CB$59&lt;&gt;"",CB$59,IF(IFERROR(INDEX(醫師週班表!$C$5:$T$44,$CU19,CB$57),"")=0,"",IF(LEN(IFERROR(INDEX(醫師週班表!$C$5:$T$44,$CU19,CB$57),""))=4,MID(IFERROR(INDEX(醫師週班表!$C$5:$T$44,$CU19,CB$57),""),1+CB$58*2,1),IF(LEN(IFERROR(INDEX(醫師週班表!$C$5:$T$44,$CU19,CB$57),""))=2,IF(AND(RIGHT(IFERROR(INDEX(醫師週班表!$C$5:$T$44,$CU19,CB$57),""),1)="~",CB$58=1),"",LEFT(IFERROR(INDEX(醫師週班表!$C$5:$T$44,$CU19,CB$57),""),1)),IFERROR(INDEX(醫師週班表!$C$5:$T$44,$CU19,CB$57),""))))))</f>
        <v/>
      </c>
      <c r="CC19" s="68">
        <f>IF(CC$59="X","",IF(CC$59&lt;&gt;"",CC$59,IF(IFERROR(INDEX(醫師週班表!$C$5:$T$44,$CU19,CC$57),"")=0,"",IF(LEN(IFERROR(INDEX(醫師週班表!$C$5:$T$44,$CU19,CC$57),""))=4,MID(IFERROR(INDEX(醫師週班表!$C$5:$T$44,$CU19,CC$57),""),1+CC$58*2,1),IF(LEN(IFERROR(INDEX(醫師週班表!$C$5:$T$44,$CU19,CC$57),""))=2,IF(AND(RIGHT(IFERROR(INDEX(醫師週班表!$C$5:$T$44,$CU19,CC$57),""),1)="~",CC$58=1),"",LEFT(IFERROR(INDEX(醫師週班表!$C$5:$T$44,$CU19,CC$57),""),1)),IFERROR(INDEX(醫師週班表!$C$5:$T$44,$CU19,CC$57),""))))))</f>
        <v/>
      </c>
      <c r="CD19" s="68">
        <f>IF(CD$59="X","",IF(CD$59&lt;&gt;"",CD$59,IF(IFERROR(INDEX(醫師週班表!$C$5:$T$44,$CU19,CD$57),"")=0,"",IF(LEN(IFERROR(INDEX(醫師週班表!$C$5:$T$44,$CU19,CD$57),""))=4,MID(IFERROR(INDEX(醫師週班表!$C$5:$T$44,$CU19,CD$57),""),1+CD$58*2,1),IF(LEN(IFERROR(INDEX(醫師週班表!$C$5:$T$44,$CU19,CD$57),""))=2,IF(AND(RIGHT(IFERROR(INDEX(醫師週班表!$C$5:$T$44,$CU19,CD$57),""),1)="~",CD$58=1),"",LEFT(IFERROR(INDEX(醫師週班表!$C$5:$T$44,$CU19,CD$57),""),1)),IFERROR(INDEX(醫師週班表!$C$5:$T$44,$CU19,CD$57),""))))))</f>
        <v/>
      </c>
      <c r="CE19" s="67">
        <f>IF(CE$59="X","",IF(CE$59&lt;&gt;"",CE$59,IF(IFERROR(INDEX(醫師週班表!$C$5:$T$44,$CU19,CE$57),"")=0,"",IF(LEN(IFERROR(INDEX(醫師週班表!$C$5:$T$44,$CU19,CE$57),""))=4,MID(IFERROR(INDEX(醫師週班表!$C$5:$T$44,$CU19,CE$57),""),1+CE$58*2,1),IF(LEN(IFERROR(INDEX(醫師週班表!$C$5:$T$44,$CU19,CE$57),""))=2,IF(AND(RIGHT(IFERROR(INDEX(醫師週班表!$C$5:$T$44,$CU19,CE$57),""),1)="~",CE$58=1),"",LEFT(IFERROR(INDEX(醫師週班表!$C$5:$T$44,$CU19,CE$57),""),1)),IFERROR(INDEX(醫師週班表!$C$5:$T$44,$CU19,CE$57),""))))))</f>
        <v/>
      </c>
      <c r="CF19" s="68">
        <f>IF(CF$59="X","",IF(CF$59&lt;&gt;"",CF$59,IF(IFERROR(INDEX(醫師週班表!$C$5:$T$44,$CU19,CF$57),"")=0,"",IF(LEN(IFERROR(INDEX(醫師週班表!$C$5:$T$44,$CU19,CF$57),""))=4,MID(IFERROR(INDEX(醫師週班表!$C$5:$T$44,$CU19,CF$57),""),1+CF$58*2,1),IF(LEN(IFERROR(INDEX(醫師週班表!$C$5:$T$44,$CU19,CF$57),""))=2,IF(AND(RIGHT(IFERROR(INDEX(醫師週班表!$C$5:$T$44,$CU19,CF$57),""),1)="~",CF$58=1),"",LEFT(IFERROR(INDEX(醫師週班表!$C$5:$T$44,$CU19,CF$57),""),1)),IFERROR(INDEX(醫師週班表!$C$5:$T$44,$CU19,CF$57),""))))))</f>
        <v/>
      </c>
      <c r="CG19" s="68">
        <f>IF(CG$59="X","",IF(CG$59&lt;&gt;"",CG$59,IF(IFERROR(INDEX(醫師週班表!$C$5:$T$44,$CU19,CG$57),"")=0,"",IF(LEN(IFERROR(INDEX(醫師週班表!$C$5:$T$44,$CU19,CG$57),""))=4,MID(IFERROR(INDEX(醫師週班表!$C$5:$T$44,$CU19,CG$57),""),1+CG$58*2,1),IF(LEN(IFERROR(INDEX(醫師週班表!$C$5:$T$44,$CU19,CG$57),""))=2,IF(AND(RIGHT(IFERROR(INDEX(醫師週班表!$C$5:$T$44,$CU19,CG$57),""),1)="~",CG$58=1),"",LEFT(IFERROR(INDEX(醫師週班表!$C$5:$T$44,$CU19,CG$57),""),1)),IFERROR(INDEX(醫師週班表!$C$5:$T$44,$CU19,CG$57),""))))))</f>
        <v/>
      </c>
      <c r="CH19" s="67">
        <f>IF(CH$59="X","",IF(CH$59&lt;&gt;"",CH$59,IF(IFERROR(INDEX(醫師週班表!$C$5:$T$44,$CU19,CH$57),"")=0,"",IF(LEN(IFERROR(INDEX(醫師週班表!$C$5:$T$44,$CU19,CH$57),""))=4,MID(IFERROR(INDEX(醫師週班表!$C$5:$T$44,$CU19,CH$57),""),1+CH$58*2,1),IF(LEN(IFERROR(INDEX(醫師週班表!$C$5:$T$44,$CU19,CH$57),""))=2,IF(AND(RIGHT(IFERROR(INDEX(醫師週班表!$C$5:$T$44,$CU19,CH$57),""),1)="~",CH$58=1),"",LEFT(IFERROR(INDEX(醫師週班表!$C$5:$T$44,$CU19,CH$57),""),1)),IFERROR(INDEX(醫師週班表!$C$5:$T$44,$CU19,CH$57),""))))))</f>
        <v/>
      </c>
      <c r="CI19" s="68">
        <f>IF(CI$59="X","",IF(CI$59&lt;&gt;"",CI$59,IF(IFERROR(INDEX(醫師週班表!$C$5:$T$44,$CU19,CI$57),"")=0,"",IF(LEN(IFERROR(INDEX(醫師週班表!$C$5:$T$44,$CU19,CI$57),""))=4,MID(IFERROR(INDEX(醫師週班表!$C$5:$T$44,$CU19,CI$57),""),1+CI$58*2,1),IF(LEN(IFERROR(INDEX(醫師週班表!$C$5:$T$44,$CU19,CI$57),""))=2,IF(AND(RIGHT(IFERROR(INDEX(醫師週班表!$C$5:$T$44,$CU19,CI$57),""),1)="~",CI$58=1),"",LEFT(IFERROR(INDEX(醫師週班表!$C$5:$T$44,$CU19,CI$57),""),1)),IFERROR(INDEX(醫師週班表!$C$5:$T$44,$CU19,CI$57),""))))))</f>
        <v/>
      </c>
      <c r="CJ19" s="68">
        <f>IF(CJ$59="X","",IF(CJ$59&lt;&gt;"",CJ$59,IF(IFERROR(INDEX(醫師週班表!$C$5:$T$44,$CU19,CJ$57),"")=0,"",IF(LEN(IFERROR(INDEX(醫師週班表!$C$5:$T$44,$CU19,CJ$57),""))=4,MID(IFERROR(INDEX(醫師週班表!$C$5:$T$44,$CU19,CJ$57),""),1+CJ$58*2,1),IF(LEN(IFERROR(INDEX(醫師週班表!$C$5:$T$44,$CU19,CJ$57),""))=2,IF(AND(RIGHT(IFERROR(INDEX(醫師週班表!$C$5:$T$44,$CU19,CJ$57),""),1)="~",CJ$58=1),"",LEFT(IFERROR(INDEX(醫師週班表!$C$5:$T$44,$CU19,CJ$57),""),1)),IFERROR(INDEX(醫師週班表!$C$5:$T$44,$CU19,CJ$57),""))))))</f>
        <v/>
      </c>
      <c r="CK19" s="67">
        <f>IF(CK$59="X","",IF(CK$59&lt;&gt;"",CK$59,IF(IFERROR(INDEX(醫師週班表!$C$5:$T$44,$CU19,CK$57),"")=0,"",IF(LEN(IFERROR(INDEX(醫師週班表!$C$5:$T$44,$CU19,CK$57),""))=4,MID(IFERROR(INDEX(醫師週班表!$C$5:$T$44,$CU19,CK$57),""),1+CK$58*2,1),IF(LEN(IFERROR(INDEX(醫師週班表!$C$5:$T$44,$CU19,CK$57),""))=2,IF(AND(RIGHT(IFERROR(INDEX(醫師週班表!$C$5:$T$44,$CU19,CK$57),""),1)="~",CK$58=1),"",LEFT(IFERROR(INDEX(醫師週班表!$C$5:$T$44,$CU19,CK$57),""),1)),IFERROR(INDEX(醫師週班表!$C$5:$T$44,$CU19,CK$57),""))))))</f>
        <v/>
      </c>
      <c r="CL19" s="68">
        <f>IF(CL$59="X","",IF(CL$59&lt;&gt;"",CL$59,IF(IFERROR(INDEX(醫師週班表!$C$5:$T$44,$CU19,CL$57),"")=0,"",IF(LEN(IFERROR(INDEX(醫師週班表!$C$5:$T$44,$CU19,CL$57),""))=4,MID(IFERROR(INDEX(醫師週班表!$C$5:$T$44,$CU19,CL$57),""),1+CL$58*2,1),IF(LEN(IFERROR(INDEX(醫師週班表!$C$5:$T$44,$CU19,CL$57),""))=2,IF(AND(RIGHT(IFERROR(INDEX(醫師週班表!$C$5:$T$44,$CU19,CL$57),""),1)="~",CL$58=1),"",LEFT(IFERROR(INDEX(醫師週班表!$C$5:$T$44,$CU19,CL$57),""),1)),IFERROR(INDEX(醫師週班表!$C$5:$T$44,$CU19,CL$57),""))))))</f>
        <v/>
      </c>
      <c r="CM19" s="68">
        <f>IF(CM$59="X","",IF(CM$59&lt;&gt;"",CM$59,IF(IFERROR(INDEX(醫師週班表!$C$5:$T$44,$CU19,CM$57),"")=0,"",IF(LEN(IFERROR(INDEX(醫師週班表!$C$5:$T$44,$CU19,CM$57),""))=4,MID(IFERROR(INDEX(醫師週班表!$C$5:$T$44,$CU19,CM$57),""),1+CM$58*2,1),IF(LEN(IFERROR(INDEX(醫師週班表!$C$5:$T$44,$CU19,CM$57),""))=2,IF(AND(RIGHT(IFERROR(INDEX(醫師週班表!$C$5:$T$44,$CU19,CM$57),""),1)="~",CM$58=1),"",LEFT(IFERROR(INDEX(醫師週班表!$C$5:$T$44,$CU19,CM$57),""),1)),IFERROR(INDEX(醫師週班表!$C$5:$T$44,$CU19,CM$57),""))))))</f>
        <v/>
      </c>
      <c r="CN19" s="67">
        <f>IF(CN$59="X","",IF(CN$59&lt;&gt;"",CN$59,IF(IFERROR(INDEX(醫師週班表!$C$5:$T$44,$CU19,CN$57),"")=0,"",IF(LEN(IFERROR(INDEX(醫師週班表!$C$5:$T$44,$CU19,CN$57),""))=4,MID(IFERROR(INDEX(醫師週班表!$C$5:$T$44,$CU19,CN$57),""),1+CN$58*2,1),IF(LEN(IFERROR(INDEX(醫師週班表!$C$5:$T$44,$CU19,CN$57),""))=2,IF(AND(RIGHT(IFERROR(INDEX(醫師週班表!$C$5:$T$44,$CU19,CN$57),""),1)="~",CN$58=1),"",LEFT(IFERROR(INDEX(醫師週班表!$C$5:$T$44,$CU19,CN$57),""),1)),IFERROR(INDEX(醫師週班表!$C$5:$T$44,$CU19,CN$57),""))))))</f>
        <v/>
      </c>
      <c r="CO19" s="68">
        <f>IF(CO$59="X","",IF(CO$59&lt;&gt;"",CO$59,IF(IFERROR(INDEX(醫師週班表!$C$5:$T$44,$CU19,CO$57),"")=0,"",IF(LEN(IFERROR(INDEX(醫師週班表!$C$5:$T$44,$CU19,CO$57),""))=4,MID(IFERROR(INDEX(醫師週班表!$C$5:$T$44,$CU19,CO$57),""),1+CO$58*2,1),IF(LEN(IFERROR(INDEX(醫師週班表!$C$5:$T$44,$CU19,CO$57),""))=2,IF(AND(RIGHT(IFERROR(INDEX(醫師週班表!$C$5:$T$44,$CU19,CO$57),""),1)="~",CO$58=1),"",LEFT(IFERROR(INDEX(醫師週班表!$C$5:$T$44,$CU19,CO$57),""),1)),IFERROR(INDEX(醫師週班表!$C$5:$T$44,$CU19,CO$57),""))))))</f>
        <v/>
      </c>
      <c r="CP19" s="68">
        <f>IF(CP$59="X","",IF(CP$59&lt;&gt;"",CP$59,IF(IFERROR(INDEX(醫師週班表!$C$5:$T$44,$CU19,CP$57),"")=0,"",IF(LEN(IFERROR(INDEX(醫師週班表!$C$5:$T$44,$CU19,CP$57),""))=4,MID(IFERROR(INDEX(醫師週班表!$C$5:$T$44,$CU19,CP$57),""),1+CP$58*2,1),IF(LEN(IFERROR(INDEX(醫師週班表!$C$5:$T$44,$CU19,CP$57),""))=2,IF(AND(RIGHT(IFERROR(INDEX(醫師週班表!$C$5:$T$44,$CU19,CP$57),""),1)="~",CP$58=1),"",LEFT(IFERROR(INDEX(醫師週班表!$C$5:$T$44,$CU19,CP$57),""),1)),IFERROR(INDEX(醫師週班表!$C$5:$T$44,$CU19,CP$57),""))))))</f>
        <v/>
      </c>
      <c r="CQ19" s="67">
        <f>IF(CQ$59="X","",IF(CQ$59&lt;&gt;"",CQ$59,IF(IFERROR(INDEX(醫師週班表!$C$5:$T$44,$CU19,CQ$57),"")=0,"",IF(LEN(IFERROR(INDEX(醫師週班表!$C$5:$T$44,$CU19,CQ$57),""))=4,MID(IFERROR(INDEX(醫師週班表!$C$5:$T$44,$CU19,CQ$57),""),1+CQ$58*2,1),IF(LEN(IFERROR(INDEX(醫師週班表!$C$5:$T$44,$CU19,CQ$57),""))=2,IF(AND(RIGHT(IFERROR(INDEX(醫師週班表!$C$5:$T$44,$CU19,CQ$57),""),1)="~",CQ$58=1),"",LEFT(IFERROR(INDEX(醫師週班表!$C$5:$T$44,$CU19,CQ$57),""),1)),IFERROR(INDEX(醫師週班表!$C$5:$T$44,$CU19,CQ$57),""))))))</f>
        <v/>
      </c>
      <c r="CR19" s="68">
        <f>IF(CR$59="X","",IF(CR$59&lt;&gt;"",CR$59,IF(IFERROR(INDEX(醫師週班表!$C$5:$T$44,$CU19,CR$57),"")=0,"",IF(LEN(IFERROR(INDEX(醫師週班表!$C$5:$T$44,$CU19,CR$57),""))=4,MID(IFERROR(INDEX(醫師週班表!$C$5:$T$44,$CU19,CR$57),""),1+CR$58*2,1),IF(LEN(IFERROR(INDEX(醫師週班表!$C$5:$T$44,$CU19,CR$57),""))=2,IF(AND(RIGHT(IFERROR(INDEX(醫師週班表!$C$5:$T$44,$CU19,CR$57),""),1)="~",CR$58=1),"",LEFT(IFERROR(INDEX(醫師週班表!$C$5:$T$44,$CU19,CR$57),""),1)),IFERROR(INDEX(醫師週班表!$C$5:$T$44,$CU19,CR$57),""))))))</f>
        <v/>
      </c>
      <c r="CS19" s="68">
        <f>IF(CS$59="X","",IF(CS$59&lt;&gt;"",CS$59,IF(IFERROR(INDEX(醫師週班表!$C$5:$T$44,$CU19,CS$57),"")=0,"",IF(LEN(IFERROR(INDEX(醫師週班表!$C$5:$T$44,$CU19,CS$57),""))=4,MID(IFERROR(INDEX(醫師週班表!$C$5:$T$44,$CU19,CS$57),""),1+CS$58*2,1),IF(LEN(IFERROR(INDEX(醫師週班表!$C$5:$T$44,$CU19,CS$57),""))=2,IF(AND(RIGHT(IFERROR(INDEX(醫師週班表!$C$5:$T$44,$CU19,CS$57),""),1)="~",CS$58=1),"",LEFT(IFERROR(INDEX(醫師週班表!$C$5:$T$44,$CU19,CS$57),""),1)),IFERROR(INDEX(醫師週班表!$C$5:$T$44,$CU19,CS$57),""))))))</f>
        <v/>
      </c>
      <c r="CU19" s="69">
        <f>IFERROR(MATCH($A19,醫師週班表!$A$5:$A$44,0),0)</f>
        <v/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IFERROR(INDEX(醫師週班表!$C$5:$T$44,$CU20,E$57),"")=0,"",IF(LEN(IFERROR(INDEX(醫師週班表!$C$5:$T$44,$CU20,E$57),""))=4,MID(IFERROR(INDEX(醫師週班表!$C$5:$T$44,$CU20,E$57),""),1+E$58*2,1),IF(LEN(IFERROR(INDEX(醫師週班表!$C$5:$T$44,$CU20,E$57),""))=2,IF(AND(RIGHT(IFERROR(INDEX(醫師週班表!$C$5:$T$44,$CU20,E$57),""),1)="~",E$58=1),"",LEFT(IFERROR(INDEX(醫師週班表!$C$5:$T$44,$CU20,E$57),""),1)),IFERROR(INDEX(醫師週班表!$C$5:$T$44,$CU20,E$57),""))))))</f>
        <v/>
      </c>
      <c r="F20" s="68">
        <f>IF(F$59="X","",IF(F$59&lt;&gt;"",F$59,IF(IFERROR(INDEX(醫師週班表!$C$5:$T$44,$CU20,F$57),"")=0,"",IF(LEN(IFERROR(INDEX(醫師週班表!$C$5:$T$44,$CU20,F$57),""))=4,MID(IFERROR(INDEX(醫師週班表!$C$5:$T$44,$CU20,F$57),""),1+F$58*2,1),IF(LEN(IFERROR(INDEX(醫師週班表!$C$5:$T$44,$CU20,F$57),""))=2,IF(AND(RIGHT(IFERROR(INDEX(醫師週班表!$C$5:$T$44,$CU20,F$57),""),1)="~",F$58=1),"",LEFT(IFERROR(INDEX(醫師週班表!$C$5:$T$44,$CU20,F$57),""),1)),IFERROR(INDEX(醫師週班表!$C$5:$T$44,$CU20,F$57),""))))))</f>
        <v/>
      </c>
      <c r="G20" s="68">
        <f>IF(G$59="X","",IF(G$59&lt;&gt;"",G$59,IF(IFERROR(INDEX(醫師週班表!$C$5:$T$44,$CU20,G$57),"")=0,"",IF(LEN(IFERROR(INDEX(醫師週班表!$C$5:$T$44,$CU20,G$57),""))=4,MID(IFERROR(INDEX(醫師週班表!$C$5:$T$44,$CU20,G$57),""),1+G$58*2,1),IF(LEN(IFERROR(INDEX(醫師週班表!$C$5:$T$44,$CU20,G$57),""))=2,IF(AND(RIGHT(IFERROR(INDEX(醫師週班表!$C$5:$T$44,$CU20,G$57),""),1)="~",G$58=1),"",LEFT(IFERROR(INDEX(醫師週班表!$C$5:$T$44,$CU20,G$57),""),1)),IFERROR(INDEX(醫師週班表!$C$5:$T$44,$CU20,G$57),""))))))</f>
        <v/>
      </c>
      <c r="H20" s="67">
        <f>IF(H$59="X","",IF(H$59&lt;&gt;"",H$59,IF(IFERROR(INDEX(醫師週班表!$C$5:$T$44,$CU20,H$57),"")=0,"",IF(LEN(IFERROR(INDEX(醫師週班表!$C$5:$T$44,$CU20,H$57),""))=4,MID(IFERROR(INDEX(醫師週班表!$C$5:$T$44,$CU20,H$57),""),1+H$58*2,1),IF(LEN(IFERROR(INDEX(醫師週班表!$C$5:$T$44,$CU20,H$57),""))=2,IF(AND(RIGHT(IFERROR(INDEX(醫師週班表!$C$5:$T$44,$CU20,H$57),""),1)="~",H$58=1),"",LEFT(IFERROR(INDEX(醫師週班表!$C$5:$T$44,$CU20,H$57),""),1)),IFERROR(INDEX(醫師週班表!$C$5:$T$44,$CU20,H$57),""))))))</f>
        <v/>
      </c>
      <c r="I20" s="68">
        <f>IF(I$59="X","",IF(I$59&lt;&gt;"",I$59,IF(IFERROR(INDEX(醫師週班表!$C$5:$T$44,$CU20,I$57),"")=0,"",IF(LEN(IFERROR(INDEX(醫師週班表!$C$5:$T$44,$CU20,I$57),""))=4,MID(IFERROR(INDEX(醫師週班表!$C$5:$T$44,$CU20,I$57),""),1+I$58*2,1),IF(LEN(IFERROR(INDEX(醫師週班表!$C$5:$T$44,$CU20,I$57),""))=2,IF(AND(RIGHT(IFERROR(INDEX(醫師週班表!$C$5:$T$44,$CU20,I$57),""),1)="~",I$58=1),"",LEFT(IFERROR(INDEX(醫師週班表!$C$5:$T$44,$CU20,I$57),""),1)),IFERROR(INDEX(醫師週班表!$C$5:$T$44,$CU20,I$57),""))))))</f>
        <v/>
      </c>
      <c r="J20" s="68">
        <f>IF(J$59="X","",IF(J$59&lt;&gt;"",J$59,IF(IFERROR(INDEX(醫師週班表!$C$5:$T$44,$CU20,J$57),"")=0,"",IF(LEN(IFERROR(INDEX(醫師週班表!$C$5:$T$44,$CU20,J$57),""))=4,MID(IFERROR(INDEX(醫師週班表!$C$5:$T$44,$CU20,J$57),""),1+J$58*2,1),IF(LEN(IFERROR(INDEX(醫師週班表!$C$5:$T$44,$CU20,J$57),""))=2,IF(AND(RIGHT(IFERROR(INDEX(醫師週班表!$C$5:$T$44,$CU20,J$57),""),1)="~",J$58=1),"",LEFT(IFERROR(INDEX(醫師週班表!$C$5:$T$44,$CU20,J$57),""),1)),IFERROR(INDEX(醫師週班表!$C$5:$T$44,$CU20,J$57),""))))))</f>
        <v/>
      </c>
      <c r="K20" s="67">
        <f>IF(K$59="X","",IF(K$59&lt;&gt;"",K$59,IF(IFERROR(INDEX(醫師週班表!$C$5:$T$44,$CU20,K$57),"")=0,"",IF(LEN(IFERROR(INDEX(醫師週班表!$C$5:$T$44,$CU20,K$57),""))=4,MID(IFERROR(INDEX(醫師週班表!$C$5:$T$44,$CU20,K$57),""),1+K$58*2,1),IF(LEN(IFERROR(INDEX(醫師週班表!$C$5:$T$44,$CU20,K$57),""))=2,IF(AND(RIGHT(IFERROR(INDEX(醫師週班表!$C$5:$T$44,$CU20,K$57),""),1)="~",K$58=1),"",LEFT(IFERROR(INDEX(醫師週班表!$C$5:$T$44,$CU20,K$57),""),1)),IFERROR(INDEX(醫師週班表!$C$5:$T$44,$CU20,K$57),""))))))</f>
        <v/>
      </c>
      <c r="L20" s="68">
        <f>IF(L$59="X","",IF(L$59&lt;&gt;"",L$59,IF(IFERROR(INDEX(醫師週班表!$C$5:$T$44,$CU20,L$57),"")=0,"",IF(LEN(IFERROR(INDEX(醫師週班表!$C$5:$T$44,$CU20,L$57),""))=4,MID(IFERROR(INDEX(醫師週班表!$C$5:$T$44,$CU20,L$57),""),1+L$58*2,1),IF(LEN(IFERROR(INDEX(醫師週班表!$C$5:$T$44,$CU20,L$57),""))=2,IF(AND(RIGHT(IFERROR(INDEX(醫師週班表!$C$5:$T$44,$CU20,L$57),""),1)="~",L$58=1),"",LEFT(IFERROR(INDEX(醫師週班表!$C$5:$T$44,$CU20,L$57),""),1)),IFERROR(INDEX(醫師週班表!$C$5:$T$44,$CU20,L$57),""))))))</f>
        <v/>
      </c>
      <c r="M20" s="68">
        <f>IF(M$59="X","",IF(M$59&lt;&gt;"",M$59,IF(IFERROR(INDEX(醫師週班表!$C$5:$T$44,$CU20,M$57),"")=0,"",IF(LEN(IFERROR(INDEX(醫師週班表!$C$5:$T$44,$CU20,M$57),""))=4,MID(IFERROR(INDEX(醫師週班表!$C$5:$T$44,$CU20,M$57),""),1+M$58*2,1),IF(LEN(IFERROR(INDEX(醫師週班表!$C$5:$T$44,$CU20,M$57),""))=2,IF(AND(RIGHT(IFERROR(INDEX(醫師週班表!$C$5:$T$44,$CU20,M$57),""),1)="~",M$58=1),"",LEFT(IFERROR(INDEX(醫師週班表!$C$5:$T$44,$CU20,M$57),""),1)),IFERROR(INDEX(醫師週班表!$C$5:$T$44,$CU20,M$57),""))))))</f>
        <v/>
      </c>
      <c r="N20" s="67">
        <f>IF(N$59="X","",IF(N$59&lt;&gt;"",N$59,IF(IFERROR(INDEX(醫師週班表!$C$5:$T$44,$CU20,N$57),"")=0,"",IF(LEN(IFERROR(INDEX(醫師週班表!$C$5:$T$44,$CU20,N$57),""))=4,MID(IFERROR(INDEX(醫師週班表!$C$5:$T$44,$CU20,N$57),""),1+N$58*2,1),IF(LEN(IFERROR(INDEX(醫師週班表!$C$5:$T$44,$CU20,N$57),""))=2,IF(AND(RIGHT(IFERROR(INDEX(醫師週班表!$C$5:$T$44,$CU20,N$57),""),1)="~",N$58=1),"",LEFT(IFERROR(INDEX(醫師週班表!$C$5:$T$44,$CU20,N$57),""),1)),IFERROR(INDEX(醫師週班表!$C$5:$T$44,$CU20,N$57),""))))))</f>
        <v/>
      </c>
      <c r="O20" s="68">
        <f>IF(O$59="X","",IF(O$59&lt;&gt;"",O$59,IF(IFERROR(INDEX(醫師週班表!$C$5:$T$44,$CU20,O$57),"")=0,"",IF(LEN(IFERROR(INDEX(醫師週班表!$C$5:$T$44,$CU20,O$57),""))=4,MID(IFERROR(INDEX(醫師週班表!$C$5:$T$44,$CU20,O$57),""),1+O$58*2,1),IF(LEN(IFERROR(INDEX(醫師週班表!$C$5:$T$44,$CU20,O$57),""))=2,IF(AND(RIGHT(IFERROR(INDEX(醫師週班表!$C$5:$T$44,$CU20,O$57),""),1)="~",O$58=1),"",LEFT(IFERROR(INDEX(醫師週班表!$C$5:$T$44,$CU20,O$57),""),1)),IFERROR(INDEX(醫師週班表!$C$5:$T$44,$CU20,O$57),""))))))</f>
        <v/>
      </c>
      <c r="P20" s="68">
        <f>IF(P$59="X","",IF(P$59&lt;&gt;"",P$59,IF(IFERROR(INDEX(醫師週班表!$C$5:$T$44,$CU20,P$57),"")=0,"",IF(LEN(IFERROR(INDEX(醫師週班表!$C$5:$T$44,$CU20,P$57),""))=4,MID(IFERROR(INDEX(醫師週班表!$C$5:$T$44,$CU20,P$57),""),1+P$58*2,1),IF(LEN(IFERROR(INDEX(醫師週班表!$C$5:$T$44,$CU20,P$57),""))=2,IF(AND(RIGHT(IFERROR(INDEX(醫師週班表!$C$5:$T$44,$CU20,P$57),""),1)="~",P$58=1),"",LEFT(IFERROR(INDEX(醫師週班表!$C$5:$T$44,$CU20,P$57),""),1)),IFERROR(INDEX(醫師週班表!$C$5:$T$44,$CU20,P$57),""))))))</f>
        <v/>
      </c>
      <c r="Q20" s="67">
        <f>IF(Q$59="X","",IF(Q$59&lt;&gt;"",Q$59,IF(IFERROR(INDEX(醫師週班表!$C$5:$T$44,$CU20,Q$57),"")=0,"",IF(LEN(IFERROR(INDEX(醫師週班表!$C$5:$T$44,$CU20,Q$57),""))=4,MID(IFERROR(INDEX(醫師週班表!$C$5:$T$44,$CU20,Q$57),""),1+Q$58*2,1),IF(LEN(IFERROR(INDEX(醫師週班表!$C$5:$T$44,$CU20,Q$57),""))=2,IF(AND(RIGHT(IFERROR(INDEX(醫師週班表!$C$5:$T$44,$CU20,Q$57),""),1)="~",Q$58=1),"",LEFT(IFERROR(INDEX(醫師週班表!$C$5:$T$44,$CU20,Q$57),""),1)),IFERROR(INDEX(醫師週班表!$C$5:$T$44,$CU20,Q$57),""))))))</f>
        <v/>
      </c>
      <c r="R20" s="68">
        <f>IF(R$59="X","",IF(R$59&lt;&gt;"",R$59,IF(IFERROR(INDEX(醫師週班表!$C$5:$T$44,$CU20,R$57),"")=0,"",IF(LEN(IFERROR(INDEX(醫師週班表!$C$5:$T$44,$CU20,R$57),""))=4,MID(IFERROR(INDEX(醫師週班表!$C$5:$T$44,$CU20,R$57),""),1+R$58*2,1),IF(LEN(IFERROR(INDEX(醫師週班表!$C$5:$T$44,$CU20,R$57),""))=2,IF(AND(RIGHT(IFERROR(INDEX(醫師週班表!$C$5:$T$44,$CU20,R$57),""),1)="~",R$58=1),"",LEFT(IFERROR(INDEX(醫師週班表!$C$5:$T$44,$CU20,R$57),""),1)),IFERROR(INDEX(醫師週班表!$C$5:$T$44,$CU20,R$57),""))))))</f>
        <v/>
      </c>
      <c r="S20" s="68">
        <f>IF(S$59="X","",IF(S$59&lt;&gt;"",S$59,IF(IFERROR(INDEX(醫師週班表!$C$5:$T$44,$CU20,S$57),"")=0,"",IF(LEN(IFERROR(INDEX(醫師週班表!$C$5:$T$44,$CU20,S$57),""))=4,MID(IFERROR(INDEX(醫師週班表!$C$5:$T$44,$CU20,S$57),""),1+S$58*2,1),IF(LEN(IFERROR(INDEX(醫師週班表!$C$5:$T$44,$CU20,S$57),""))=2,IF(AND(RIGHT(IFERROR(INDEX(醫師週班表!$C$5:$T$44,$CU20,S$57),""),1)="~",S$58=1),"",LEFT(IFERROR(INDEX(醫師週班表!$C$5:$T$44,$CU20,S$57),""),1)),IFERROR(INDEX(醫師週班表!$C$5:$T$44,$CU20,S$57),""))))))</f>
        <v/>
      </c>
      <c r="T20" s="67">
        <f>IF(T$59="X","",IF(T$59&lt;&gt;"",T$59,IF(IFERROR(INDEX(醫師週班表!$C$5:$T$44,$CU20,T$57),"")=0,"",IF(LEN(IFERROR(INDEX(醫師週班表!$C$5:$T$44,$CU20,T$57),""))=4,MID(IFERROR(INDEX(醫師週班表!$C$5:$T$44,$CU20,T$57),""),1+T$58*2,1),IF(LEN(IFERROR(INDEX(醫師週班表!$C$5:$T$44,$CU20,T$57),""))=2,IF(AND(RIGHT(IFERROR(INDEX(醫師週班表!$C$5:$T$44,$CU20,T$57),""),1)="~",T$58=1),"",LEFT(IFERROR(INDEX(醫師週班表!$C$5:$T$44,$CU20,T$57),""),1)),IFERROR(INDEX(醫師週班表!$C$5:$T$44,$CU20,T$57),""))))))</f>
        <v/>
      </c>
      <c r="U20" s="68">
        <f>IF(U$59="X","",IF(U$59&lt;&gt;"",U$59,IF(IFERROR(INDEX(醫師週班表!$C$5:$T$44,$CU20,U$57),"")=0,"",IF(LEN(IFERROR(INDEX(醫師週班表!$C$5:$T$44,$CU20,U$57),""))=4,MID(IFERROR(INDEX(醫師週班表!$C$5:$T$44,$CU20,U$57),""),1+U$58*2,1),IF(LEN(IFERROR(INDEX(醫師週班表!$C$5:$T$44,$CU20,U$57),""))=2,IF(AND(RIGHT(IFERROR(INDEX(醫師週班表!$C$5:$T$44,$CU20,U$57),""),1)="~",U$58=1),"",LEFT(IFERROR(INDEX(醫師週班表!$C$5:$T$44,$CU20,U$57),""),1)),IFERROR(INDEX(醫師週班表!$C$5:$T$44,$CU20,U$57),""))))))</f>
        <v/>
      </c>
      <c r="V20" s="68">
        <f>IF(V$59="X","",IF(V$59&lt;&gt;"",V$59,IF(IFERROR(INDEX(醫師週班表!$C$5:$T$44,$CU20,V$57),"")=0,"",IF(LEN(IFERROR(INDEX(醫師週班表!$C$5:$T$44,$CU20,V$57),""))=4,MID(IFERROR(INDEX(醫師週班表!$C$5:$T$44,$CU20,V$57),""),1+V$58*2,1),IF(LEN(IFERROR(INDEX(醫師週班表!$C$5:$T$44,$CU20,V$57),""))=2,IF(AND(RIGHT(IFERROR(INDEX(醫師週班表!$C$5:$T$44,$CU20,V$57),""),1)="~",V$58=1),"",LEFT(IFERROR(INDEX(醫師週班表!$C$5:$T$44,$CU20,V$57),""),1)),IFERROR(INDEX(醫師週班表!$C$5:$T$44,$CU20,V$57),""))))))</f>
        <v/>
      </c>
      <c r="W20" s="67">
        <f>IF(W$59="X","",IF(W$59&lt;&gt;"",W$59,IF(IFERROR(INDEX(醫師週班表!$C$5:$T$44,$CU20,W$57),"")=0,"",IF(LEN(IFERROR(INDEX(醫師週班表!$C$5:$T$44,$CU20,W$57),""))=4,MID(IFERROR(INDEX(醫師週班表!$C$5:$T$44,$CU20,W$57),""),1+W$58*2,1),IF(LEN(IFERROR(INDEX(醫師週班表!$C$5:$T$44,$CU20,W$57),""))=2,IF(AND(RIGHT(IFERROR(INDEX(醫師週班表!$C$5:$T$44,$CU20,W$57),""),1)="~",W$58=1),"",LEFT(IFERROR(INDEX(醫師週班表!$C$5:$T$44,$CU20,W$57),""),1)),IFERROR(INDEX(醫師週班表!$C$5:$T$44,$CU20,W$57),""))))))</f>
        <v/>
      </c>
      <c r="X20" s="68">
        <f>IF(X$59="X","",IF(X$59&lt;&gt;"",X$59,IF(IFERROR(INDEX(醫師週班表!$C$5:$T$44,$CU20,X$57),"")=0,"",IF(LEN(IFERROR(INDEX(醫師週班表!$C$5:$T$44,$CU20,X$57),""))=4,MID(IFERROR(INDEX(醫師週班表!$C$5:$T$44,$CU20,X$57),""),1+X$58*2,1),IF(LEN(IFERROR(INDEX(醫師週班表!$C$5:$T$44,$CU20,X$57),""))=2,IF(AND(RIGHT(IFERROR(INDEX(醫師週班表!$C$5:$T$44,$CU20,X$57),""),1)="~",X$58=1),"",LEFT(IFERROR(INDEX(醫師週班表!$C$5:$T$44,$CU20,X$57),""),1)),IFERROR(INDEX(醫師週班表!$C$5:$T$44,$CU20,X$57),""))))))</f>
        <v/>
      </c>
      <c r="Y20" s="68">
        <f>IF(Y$59="X","",IF(Y$59&lt;&gt;"",Y$59,IF(IFERROR(INDEX(醫師週班表!$C$5:$T$44,$CU20,Y$57),"")=0,"",IF(LEN(IFERROR(INDEX(醫師週班表!$C$5:$T$44,$CU20,Y$57),""))=4,MID(IFERROR(INDEX(醫師週班表!$C$5:$T$44,$CU20,Y$57),""),1+Y$58*2,1),IF(LEN(IFERROR(INDEX(醫師週班表!$C$5:$T$44,$CU20,Y$57),""))=2,IF(AND(RIGHT(IFERROR(INDEX(醫師週班表!$C$5:$T$44,$CU20,Y$57),""),1)="~",Y$58=1),"",LEFT(IFERROR(INDEX(醫師週班表!$C$5:$T$44,$CU20,Y$57),""),1)),IFERROR(INDEX(醫師週班表!$C$5:$T$44,$CU20,Y$57),""))))))</f>
        <v/>
      </c>
      <c r="Z20" s="67">
        <f>IF(Z$59="X","",IF(Z$59&lt;&gt;"",Z$59,IF(IFERROR(INDEX(醫師週班表!$C$5:$T$44,$CU20,Z$57),"")=0,"",IF(LEN(IFERROR(INDEX(醫師週班表!$C$5:$T$44,$CU20,Z$57),""))=4,MID(IFERROR(INDEX(醫師週班表!$C$5:$T$44,$CU20,Z$57),""),1+Z$58*2,1),IF(LEN(IFERROR(INDEX(醫師週班表!$C$5:$T$44,$CU20,Z$57),""))=2,IF(AND(RIGHT(IFERROR(INDEX(醫師週班表!$C$5:$T$44,$CU20,Z$57),""),1)="~",Z$58=1),"",LEFT(IFERROR(INDEX(醫師週班表!$C$5:$T$44,$CU20,Z$57),""),1)),IFERROR(INDEX(醫師週班表!$C$5:$T$44,$CU20,Z$57),""))))))</f>
        <v/>
      </c>
      <c r="AA20" s="68">
        <f>IF(AA$59="X","",IF(AA$59&lt;&gt;"",AA$59,IF(IFERROR(INDEX(醫師週班表!$C$5:$T$44,$CU20,AA$57),"")=0,"",IF(LEN(IFERROR(INDEX(醫師週班表!$C$5:$T$44,$CU20,AA$57),""))=4,MID(IFERROR(INDEX(醫師週班表!$C$5:$T$44,$CU20,AA$57),""),1+AA$58*2,1),IF(LEN(IFERROR(INDEX(醫師週班表!$C$5:$T$44,$CU20,AA$57),""))=2,IF(AND(RIGHT(IFERROR(INDEX(醫師週班表!$C$5:$T$44,$CU20,AA$57),""),1)="~",AA$58=1),"",LEFT(IFERROR(INDEX(醫師週班表!$C$5:$T$44,$CU20,AA$57),""),1)),IFERROR(INDEX(醫師週班表!$C$5:$T$44,$CU20,AA$57),""))))))</f>
        <v/>
      </c>
      <c r="AB20" s="68">
        <f>IF(AB$59="X","",IF(AB$59&lt;&gt;"",AB$59,IF(IFERROR(INDEX(醫師週班表!$C$5:$T$44,$CU20,AB$57),"")=0,"",IF(LEN(IFERROR(INDEX(醫師週班表!$C$5:$T$44,$CU20,AB$57),""))=4,MID(IFERROR(INDEX(醫師週班表!$C$5:$T$44,$CU20,AB$57),""),1+AB$58*2,1),IF(LEN(IFERROR(INDEX(醫師週班表!$C$5:$T$44,$CU20,AB$57),""))=2,IF(AND(RIGHT(IFERROR(INDEX(醫師週班表!$C$5:$T$44,$CU20,AB$57),""),1)="~",AB$58=1),"",LEFT(IFERROR(INDEX(醫師週班表!$C$5:$T$44,$CU20,AB$57),""),1)),IFERROR(INDEX(醫師週班表!$C$5:$T$44,$CU20,AB$57),""))))))</f>
        <v/>
      </c>
      <c r="AC20" s="67">
        <f>IF(AC$59="X","",IF(AC$59&lt;&gt;"",AC$59,IF(IFERROR(INDEX(醫師週班表!$C$5:$T$44,$CU20,AC$57),"")=0,"",IF(LEN(IFERROR(INDEX(醫師週班表!$C$5:$T$44,$CU20,AC$57),""))=4,MID(IFERROR(INDEX(醫師週班表!$C$5:$T$44,$CU20,AC$57),""),1+AC$58*2,1),IF(LEN(IFERROR(INDEX(醫師週班表!$C$5:$T$44,$CU20,AC$57),""))=2,IF(AND(RIGHT(IFERROR(INDEX(醫師週班表!$C$5:$T$44,$CU20,AC$57),""),1)="~",AC$58=1),"",LEFT(IFERROR(INDEX(醫師週班表!$C$5:$T$44,$CU20,AC$57),""),1)),IFERROR(INDEX(醫師週班表!$C$5:$T$44,$CU20,AC$57),""))))))</f>
        <v/>
      </c>
      <c r="AD20" s="68">
        <f>IF(AD$59="X","",IF(AD$59&lt;&gt;"",AD$59,IF(IFERROR(INDEX(醫師週班表!$C$5:$T$44,$CU20,AD$57),"")=0,"",IF(LEN(IFERROR(INDEX(醫師週班表!$C$5:$T$44,$CU20,AD$57),""))=4,MID(IFERROR(INDEX(醫師週班表!$C$5:$T$44,$CU20,AD$57),""),1+AD$58*2,1),IF(LEN(IFERROR(INDEX(醫師週班表!$C$5:$T$44,$CU20,AD$57),""))=2,IF(AND(RIGHT(IFERROR(INDEX(醫師週班表!$C$5:$T$44,$CU20,AD$57),""),1)="~",AD$58=1),"",LEFT(IFERROR(INDEX(醫師週班表!$C$5:$T$44,$CU20,AD$57),""),1)),IFERROR(INDEX(醫師週班表!$C$5:$T$44,$CU20,AD$57),""))))))</f>
        <v/>
      </c>
      <c r="AE20" s="68">
        <f>IF(AE$59="X","",IF(AE$59&lt;&gt;"",AE$59,IF(IFERROR(INDEX(醫師週班表!$C$5:$T$44,$CU20,AE$57),"")=0,"",IF(LEN(IFERROR(INDEX(醫師週班表!$C$5:$T$44,$CU20,AE$57),""))=4,MID(IFERROR(INDEX(醫師週班表!$C$5:$T$44,$CU20,AE$57),""),1+AE$58*2,1),IF(LEN(IFERROR(INDEX(醫師週班表!$C$5:$T$44,$CU20,AE$57),""))=2,IF(AND(RIGHT(IFERROR(INDEX(醫師週班表!$C$5:$T$44,$CU20,AE$57),""),1)="~",AE$58=1),"",LEFT(IFERROR(INDEX(醫師週班表!$C$5:$T$44,$CU20,AE$57),""),1)),IFERROR(INDEX(醫師週班表!$C$5:$T$44,$CU20,AE$57),""))))))</f>
        <v/>
      </c>
      <c r="AF20" s="67">
        <f>IF(AF$59="X","",IF(AF$59&lt;&gt;"",AF$59,IF(IFERROR(INDEX(醫師週班表!$C$5:$T$44,$CU20,AF$57),"")=0,"",IF(LEN(IFERROR(INDEX(醫師週班表!$C$5:$T$44,$CU20,AF$57),""))=4,MID(IFERROR(INDEX(醫師週班表!$C$5:$T$44,$CU20,AF$57),""),1+AF$58*2,1),IF(LEN(IFERROR(INDEX(醫師週班表!$C$5:$T$44,$CU20,AF$57),""))=2,IF(AND(RIGHT(IFERROR(INDEX(醫師週班表!$C$5:$T$44,$CU20,AF$57),""),1)="~",AF$58=1),"",LEFT(IFERROR(INDEX(醫師週班表!$C$5:$T$44,$CU20,AF$57),""),1)),IFERROR(INDEX(醫師週班表!$C$5:$T$44,$CU20,AF$57),""))))))</f>
        <v/>
      </c>
      <c r="AG20" s="68">
        <f>IF(AG$59="X","",IF(AG$59&lt;&gt;"",AG$59,IF(IFERROR(INDEX(醫師週班表!$C$5:$T$44,$CU20,AG$57),"")=0,"",IF(LEN(IFERROR(INDEX(醫師週班表!$C$5:$T$44,$CU20,AG$57),""))=4,MID(IFERROR(INDEX(醫師週班表!$C$5:$T$44,$CU20,AG$57),""),1+AG$58*2,1),IF(LEN(IFERROR(INDEX(醫師週班表!$C$5:$T$44,$CU20,AG$57),""))=2,IF(AND(RIGHT(IFERROR(INDEX(醫師週班表!$C$5:$T$44,$CU20,AG$57),""),1)="~",AG$58=1),"",LEFT(IFERROR(INDEX(醫師週班表!$C$5:$T$44,$CU20,AG$57),""),1)),IFERROR(INDEX(醫師週班表!$C$5:$T$44,$CU20,AG$57),""))))))</f>
        <v/>
      </c>
      <c r="AH20" s="68">
        <f>IF(AH$59="X","",IF(AH$59&lt;&gt;"",AH$59,IF(IFERROR(INDEX(醫師週班表!$C$5:$T$44,$CU20,AH$57),"")=0,"",IF(LEN(IFERROR(INDEX(醫師週班表!$C$5:$T$44,$CU20,AH$57),""))=4,MID(IFERROR(INDEX(醫師週班表!$C$5:$T$44,$CU20,AH$57),""),1+AH$58*2,1),IF(LEN(IFERROR(INDEX(醫師週班表!$C$5:$T$44,$CU20,AH$57),""))=2,IF(AND(RIGHT(IFERROR(INDEX(醫師週班表!$C$5:$T$44,$CU20,AH$57),""),1)="~",AH$58=1),"",LEFT(IFERROR(INDEX(醫師週班表!$C$5:$T$44,$CU20,AH$57),""),1)),IFERROR(INDEX(醫師週班表!$C$5:$T$44,$CU20,AH$57),""))))))</f>
        <v/>
      </c>
      <c r="AI20" s="67">
        <f>IF(AI$59="X","",IF(AI$59&lt;&gt;"",AI$59,IF(IFERROR(INDEX(醫師週班表!$C$5:$T$44,$CU20,AI$57),"")=0,"",IF(LEN(IFERROR(INDEX(醫師週班表!$C$5:$T$44,$CU20,AI$57),""))=4,MID(IFERROR(INDEX(醫師週班表!$C$5:$T$44,$CU20,AI$57),""),1+AI$58*2,1),IF(LEN(IFERROR(INDEX(醫師週班表!$C$5:$T$44,$CU20,AI$57),""))=2,IF(AND(RIGHT(IFERROR(INDEX(醫師週班表!$C$5:$T$44,$CU20,AI$57),""),1)="~",AI$58=1),"",LEFT(IFERROR(INDEX(醫師週班表!$C$5:$T$44,$CU20,AI$57),""),1)),IFERROR(INDEX(醫師週班表!$C$5:$T$44,$CU20,AI$57),""))))))</f>
        <v/>
      </c>
      <c r="AJ20" s="68">
        <f>IF(AJ$59="X","",IF(AJ$59&lt;&gt;"",AJ$59,IF(IFERROR(INDEX(醫師週班表!$C$5:$T$44,$CU20,AJ$57),"")=0,"",IF(LEN(IFERROR(INDEX(醫師週班表!$C$5:$T$44,$CU20,AJ$57),""))=4,MID(IFERROR(INDEX(醫師週班表!$C$5:$T$44,$CU20,AJ$57),""),1+AJ$58*2,1),IF(LEN(IFERROR(INDEX(醫師週班表!$C$5:$T$44,$CU20,AJ$57),""))=2,IF(AND(RIGHT(IFERROR(INDEX(醫師週班表!$C$5:$T$44,$CU20,AJ$57),""),1)="~",AJ$58=1),"",LEFT(IFERROR(INDEX(醫師週班表!$C$5:$T$44,$CU20,AJ$57),""),1)),IFERROR(INDEX(醫師週班表!$C$5:$T$44,$CU20,AJ$57),""))))))</f>
        <v/>
      </c>
      <c r="AK20" s="68">
        <f>IF(AK$59="X","",IF(AK$59&lt;&gt;"",AK$59,IF(IFERROR(INDEX(醫師週班表!$C$5:$T$44,$CU20,AK$57),"")=0,"",IF(LEN(IFERROR(INDEX(醫師週班表!$C$5:$T$44,$CU20,AK$57),""))=4,MID(IFERROR(INDEX(醫師週班表!$C$5:$T$44,$CU20,AK$57),""),1+AK$58*2,1),IF(LEN(IFERROR(INDEX(醫師週班表!$C$5:$T$44,$CU20,AK$57),""))=2,IF(AND(RIGHT(IFERROR(INDEX(醫師週班表!$C$5:$T$44,$CU20,AK$57),""),1)="~",AK$58=1),"",LEFT(IFERROR(INDEX(醫師週班表!$C$5:$T$44,$CU20,AK$57),""),1)),IFERROR(INDEX(醫師週班表!$C$5:$T$44,$CU20,AK$57),""))))))</f>
        <v/>
      </c>
      <c r="AL20" s="67">
        <f>IF(AL$59="X","",IF(AL$59&lt;&gt;"",AL$59,IF(IFERROR(INDEX(醫師週班表!$C$5:$T$44,$CU20,AL$57),"")=0,"",IF(LEN(IFERROR(INDEX(醫師週班表!$C$5:$T$44,$CU20,AL$57),""))=4,MID(IFERROR(INDEX(醫師週班表!$C$5:$T$44,$CU20,AL$57),""),1+AL$58*2,1),IF(LEN(IFERROR(INDEX(醫師週班表!$C$5:$T$44,$CU20,AL$57),""))=2,IF(AND(RIGHT(IFERROR(INDEX(醫師週班表!$C$5:$T$44,$CU20,AL$57),""),1)="~",AL$58=1),"",LEFT(IFERROR(INDEX(醫師週班表!$C$5:$T$44,$CU20,AL$57),""),1)),IFERROR(INDEX(醫師週班表!$C$5:$T$44,$CU20,AL$57),""))))))</f>
        <v/>
      </c>
      <c r="AM20" s="68">
        <f>IF(AM$59="X","",IF(AM$59&lt;&gt;"",AM$59,IF(IFERROR(INDEX(醫師週班表!$C$5:$T$44,$CU20,AM$57),"")=0,"",IF(LEN(IFERROR(INDEX(醫師週班表!$C$5:$T$44,$CU20,AM$57),""))=4,MID(IFERROR(INDEX(醫師週班表!$C$5:$T$44,$CU20,AM$57),""),1+AM$58*2,1),IF(LEN(IFERROR(INDEX(醫師週班表!$C$5:$T$44,$CU20,AM$57),""))=2,IF(AND(RIGHT(IFERROR(INDEX(醫師週班表!$C$5:$T$44,$CU20,AM$57),""),1)="~",AM$58=1),"",LEFT(IFERROR(INDEX(醫師週班表!$C$5:$T$44,$CU20,AM$57),""),1)),IFERROR(INDEX(醫師週班表!$C$5:$T$44,$CU20,AM$57),""))))))</f>
        <v/>
      </c>
      <c r="AN20" s="68">
        <f>IF(AN$59="X","",IF(AN$59&lt;&gt;"",AN$59,IF(IFERROR(INDEX(醫師週班表!$C$5:$T$44,$CU20,AN$57),"")=0,"",IF(LEN(IFERROR(INDEX(醫師週班表!$C$5:$T$44,$CU20,AN$57),""))=4,MID(IFERROR(INDEX(醫師週班表!$C$5:$T$44,$CU20,AN$57),""),1+AN$58*2,1),IF(LEN(IFERROR(INDEX(醫師週班表!$C$5:$T$44,$CU20,AN$57),""))=2,IF(AND(RIGHT(IFERROR(INDEX(醫師週班表!$C$5:$T$44,$CU20,AN$57),""),1)="~",AN$58=1),"",LEFT(IFERROR(INDEX(醫師週班表!$C$5:$T$44,$CU20,AN$57),""),1)),IFERROR(INDEX(醫師週班表!$C$5:$T$44,$CU20,AN$57),""))))))</f>
        <v/>
      </c>
      <c r="AO20" s="67">
        <f>IF(AO$59="X","",IF(AO$59&lt;&gt;"",AO$59,IF(IFERROR(INDEX(醫師週班表!$C$5:$T$44,$CU20,AO$57),"")=0,"",IF(LEN(IFERROR(INDEX(醫師週班表!$C$5:$T$44,$CU20,AO$57),""))=4,MID(IFERROR(INDEX(醫師週班表!$C$5:$T$44,$CU20,AO$57),""),1+AO$58*2,1),IF(LEN(IFERROR(INDEX(醫師週班表!$C$5:$T$44,$CU20,AO$57),""))=2,IF(AND(RIGHT(IFERROR(INDEX(醫師週班表!$C$5:$T$44,$CU20,AO$57),""),1)="~",AO$58=1),"",LEFT(IFERROR(INDEX(醫師週班表!$C$5:$T$44,$CU20,AO$57),""),1)),IFERROR(INDEX(醫師週班表!$C$5:$T$44,$CU20,AO$57),""))))))</f>
        <v/>
      </c>
      <c r="AP20" s="68">
        <f>IF(AP$59="X","",IF(AP$59&lt;&gt;"",AP$59,IF(IFERROR(INDEX(醫師週班表!$C$5:$T$44,$CU20,AP$57),"")=0,"",IF(LEN(IFERROR(INDEX(醫師週班表!$C$5:$T$44,$CU20,AP$57),""))=4,MID(IFERROR(INDEX(醫師週班表!$C$5:$T$44,$CU20,AP$57),""),1+AP$58*2,1),IF(LEN(IFERROR(INDEX(醫師週班表!$C$5:$T$44,$CU20,AP$57),""))=2,IF(AND(RIGHT(IFERROR(INDEX(醫師週班表!$C$5:$T$44,$CU20,AP$57),""),1)="~",AP$58=1),"",LEFT(IFERROR(INDEX(醫師週班表!$C$5:$T$44,$CU20,AP$57),""),1)),IFERROR(INDEX(醫師週班表!$C$5:$T$44,$CU20,AP$57),""))))))</f>
        <v/>
      </c>
      <c r="AQ20" s="68">
        <f>IF(AQ$59="X","",IF(AQ$59&lt;&gt;"",AQ$59,IF(IFERROR(INDEX(醫師週班表!$C$5:$T$44,$CU20,AQ$57),"")=0,"",IF(LEN(IFERROR(INDEX(醫師週班表!$C$5:$T$44,$CU20,AQ$57),""))=4,MID(IFERROR(INDEX(醫師週班表!$C$5:$T$44,$CU20,AQ$57),""),1+AQ$58*2,1),IF(LEN(IFERROR(INDEX(醫師週班表!$C$5:$T$44,$CU20,AQ$57),""))=2,IF(AND(RIGHT(IFERROR(INDEX(醫師週班表!$C$5:$T$44,$CU20,AQ$57),""),1)="~",AQ$58=1),"",LEFT(IFERROR(INDEX(醫師週班表!$C$5:$T$44,$CU20,AQ$57),""),1)),IFERROR(INDEX(醫師週班表!$C$5:$T$44,$CU20,AQ$57),""))))))</f>
        <v/>
      </c>
      <c r="AR20" s="67">
        <f>IF(AR$59="X","",IF(AR$59&lt;&gt;"",AR$59,IF(IFERROR(INDEX(醫師週班表!$C$5:$T$44,$CU20,AR$57),"")=0,"",IF(LEN(IFERROR(INDEX(醫師週班表!$C$5:$T$44,$CU20,AR$57),""))=4,MID(IFERROR(INDEX(醫師週班表!$C$5:$T$44,$CU20,AR$57),""),1+AR$58*2,1),IF(LEN(IFERROR(INDEX(醫師週班表!$C$5:$T$44,$CU20,AR$57),""))=2,IF(AND(RIGHT(IFERROR(INDEX(醫師週班表!$C$5:$T$44,$CU20,AR$57),""),1)="~",AR$58=1),"",LEFT(IFERROR(INDEX(醫師週班表!$C$5:$T$44,$CU20,AR$57),""),1)),IFERROR(INDEX(醫師週班表!$C$5:$T$44,$CU20,AR$57),""))))))</f>
        <v/>
      </c>
      <c r="AS20" s="68">
        <f>IF(AS$59="X","",IF(AS$59&lt;&gt;"",AS$59,IF(IFERROR(INDEX(醫師週班表!$C$5:$T$44,$CU20,AS$57),"")=0,"",IF(LEN(IFERROR(INDEX(醫師週班表!$C$5:$T$44,$CU20,AS$57),""))=4,MID(IFERROR(INDEX(醫師週班表!$C$5:$T$44,$CU20,AS$57),""),1+AS$58*2,1),IF(LEN(IFERROR(INDEX(醫師週班表!$C$5:$T$44,$CU20,AS$57),""))=2,IF(AND(RIGHT(IFERROR(INDEX(醫師週班表!$C$5:$T$44,$CU20,AS$57),""),1)="~",AS$58=1),"",LEFT(IFERROR(INDEX(醫師週班表!$C$5:$T$44,$CU20,AS$57),""),1)),IFERROR(INDEX(醫師週班表!$C$5:$T$44,$CU20,AS$57),""))))))</f>
        <v/>
      </c>
      <c r="AT20" s="68">
        <f>IF(AT$59="X","",IF(AT$59&lt;&gt;"",AT$59,IF(IFERROR(INDEX(醫師週班表!$C$5:$T$44,$CU20,AT$57),"")=0,"",IF(LEN(IFERROR(INDEX(醫師週班表!$C$5:$T$44,$CU20,AT$57),""))=4,MID(IFERROR(INDEX(醫師週班表!$C$5:$T$44,$CU20,AT$57),""),1+AT$58*2,1),IF(LEN(IFERROR(INDEX(醫師週班表!$C$5:$T$44,$CU20,AT$57),""))=2,IF(AND(RIGHT(IFERROR(INDEX(醫師週班表!$C$5:$T$44,$CU20,AT$57),""),1)="~",AT$58=1),"",LEFT(IFERROR(INDEX(醫師週班表!$C$5:$T$44,$CU20,AT$57),""),1)),IFERROR(INDEX(醫師週班表!$C$5:$T$44,$CU20,AT$57),""))))))</f>
        <v/>
      </c>
      <c r="AU20" s="67">
        <f>IF(AU$59="X","",IF(AU$59&lt;&gt;"",AU$59,IF(IFERROR(INDEX(醫師週班表!$C$5:$T$44,$CU20,AU$57),"")=0,"",IF(LEN(IFERROR(INDEX(醫師週班表!$C$5:$T$44,$CU20,AU$57),""))=4,MID(IFERROR(INDEX(醫師週班表!$C$5:$T$44,$CU20,AU$57),""),1+AU$58*2,1),IF(LEN(IFERROR(INDEX(醫師週班表!$C$5:$T$44,$CU20,AU$57),""))=2,IF(AND(RIGHT(IFERROR(INDEX(醫師週班表!$C$5:$T$44,$CU20,AU$57),""),1)="~",AU$58=1),"",LEFT(IFERROR(INDEX(醫師週班表!$C$5:$T$44,$CU20,AU$57),""),1)),IFERROR(INDEX(醫師週班表!$C$5:$T$44,$CU20,AU$57),""))))))</f>
        <v/>
      </c>
      <c r="AV20" s="68">
        <f>IF(AV$59="X","",IF(AV$59&lt;&gt;"",AV$59,IF(IFERROR(INDEX(醫師週班表!$C$5:$T$44,$CU20,AV$57),"")=0,"",IF(LEN(IFERROR(INDEX(醫師週班表!$C$5:$T$44,$CU20,AV$57),""))=4,MID(IFERROR(INDEX(醫師週班表!$C$5:$T$44,$CU20,AV$57),""),1+AV$58*2,1),IF(LEN(IFERROR(INDEX(醫師週班表!$C$5:$T$44,$CU20,AV$57),""))=2,IF(AND(RIGHT(IFERROR(INDEX(醫師週班表!$C$5:$T$44,$CU20,AV$57),""),1)="~",AV$58=1),"",LEFT(IFERROR(INDEX(醫師週班表!$C$5:$T$44,$CU20,AV$57),""),1)),IFERROR(INDEX(醫師週班表!$C$5:$T$44,$CU20,AV$57),""))))))</f>
        <v/>
      </c>
      <c r="AW20" s="68">
        <f>IF(AW$59="X","",IF(AW$59&lt;&gt;"",AW$59,IF(IFERROR(INDEX(醫師週班表!$C$5:$T$44,$CU20,AW$57),"")=0,"",IF(LEN(IFERROR(INDEX(醫師週班表!$C$5:$T$44,$CU20,AW$57),""))=4,MID(IFERROR(INDEX(醫師週班表!$C$5:$T$44,$CU20,AW$57),""),1+AW$58*2,1),IF(LEN(IFERROR(INDEX(醫師週班表!$C$5:$T$44,$CU20,AW$57),""))=2,IF(AND(RIGHT(IFERROR(INDEX(醫師週班表!$C$5:$T$44,$CU20,AW$57),""),1)="~",AW$58=1),"",LEFT(IFERROR(INDEX(醫師週班表!$C$5:$T$44,$CU20,AW$57),""),1)),IFERROR(INDEX(醫師週班表!$C$5:$T$44,$CU20,AW$57),""))))))</f>
        <v/>
      </c>
      <c r="AX20" s="67">
        <f>IF(AX$59="X","",IF(AX$59&lt;&gt;"",AX$59,IF(IFERROR(INDEX(醫師週班表!$C$5:$T$44,$CU20,AX$57),"")=0,"",IF(LEN(IFERROR(INDEX(醫師週班表!$C$5:$T$44,$CU20,AX$57),""))=4,MID(IFERROR(INDEX(醫師週班表!$C$5:$T$44,$CU20,AX$57),""),1+AX$58*2,1),IF(LEN(IFERROR(INDEX(醫師週班表!$C$5:$T$44,$CU20,AX$57),""))=2,IF(AND(RIGHT(IFERROR(INDEX(醫師週班表!$C$5:$T$44,$CU20,AX$57),""),1)="~",AX$58=1),"",LEFT(IFERROR(INDEX(醫師週班表!$C$5:$T$44,$CU20,AX$57),""),1)),IFERROR(INDEX(醫師週班表!$C$5:$T$44,$CU20,AX$57),""))))))</f>
        <v/>
      </c>
      <c r="AY20" s="68">
        <f>IF(AY$59="X","",IF(AY$59&lt;&gt;"",AY$59,IF(IFERROR(INDEX(醫師週班表!$C$5:$T$44,$CU20,AY$57),"")=0,"",IF(LEN(IFERROR(INDEX(醫師週班表!$C$5:$T$44,$CU20,AY$57),""))=4,MID(IFERROR(INDEX(醫師週班表!$C$5:$T$44,$CU20,AY$57),""),1+AY$58*2,1),IF(LEN(IFERROR(INDEX(醫師週班表!$C$5:$T$44,$CU20,AY$57),""))=2,IF(AND(RIGHT(IFERROR(INDEX(醫師週班表!$C$5:$T$44,$CU20,AY$57),""),1)="~",AY$58=1),"",LEFT(IFERROR(INDEX(醫師週班表!$C$5:$T$44,$CU20,AY$57),""),1)),IFERROR(INDEX(醫師週班表!$C$5:$T$44,$CU20,AY$57),""))))))</f>
        <v/>
      </c>
      <c r="AZ20" s="68">
        <f>IF(AZ$59="X","",IF(AZ$59&lt;&gt;"",AZ$59,IF(IFERROR(INDEX(醫師週班表!$C$5:$T$44,$CU20,AZ$57),"")=0,"",IF(LEN(IFERROR(INDEX(醫師週班表!$C$5:$T$44,$CU20,AZ$57),""))=4,MID(IFERROR(INDEX(醫師週班表!$C$5:$T$44,$CU20,AZ$57),""),1+AZ$58*2,1),IF(LEN(IFERROR(INDEX(醫師週班表!$C$5:$T$44,$CU20,AZ$57),""))=2,IF(AND(RIGHT(IFERROR(INDEX(醫師週班表!$C$5:$T$44,$CU20,AZ$57),""),1)="~",AZ$58=1),"",LEFT(IFERROR(INDEX(醫師週班表!$C$5:$T$44,$CU20,AZ$57),""),1)),IFERROR(INDEX(醫師週班表!$C$5:$T$44,$CU20,AZ$57),""))))))</f>
        <v/>
      </c>
      <c r="BA20" s="67">
        <f>IF(BA$59="X","",IF(BA$59&lt;&gt;"",BA$59,IF(IFERROR(INDEX(醫師週班表!$C$5:$T$44,$CU20,BA$57),"")=0,"",IF(LEN(IFERROR(INDEX(醫師週班表!$C$5:$T$44,$CU20,BA$57),""))=4,MID(IFERROR(INDEX(醫師週班表!$C$5:$T$44,$CU20,BA$57),""),1+BA$58*2,1),IF(LEN(IFERROR(INDEX(醫師週班表!$C$5:$T$44,$CU20,BA$57),""))=2,IF(AND(RIGHT(IFERROR(INDEX(醫師週班表!$C$5:$T$44,$CU20,BA$57),""),1)="~",BA$58=1),"",LEFT(IFERROR(INDEX(醫師週班表!$C$5:$T$44,$CU20,BA$57),""),1)),IFERROR(INDEX(醫師週班表!$C$5:$T$44,$CU20,BA$57),""))))))</f>
        <v/>
      </c>
      <c r="BB20" s="68">
        <f>IF(BB$59="X","",IF(BB$59&lt;&gt;"",BB$59,IF(IFERROR(INDEX(醫師週班表!$C$5:$T$44,$CU20,BB$57),"")=0,"",IF(LEN(IFERROR(INDEX(醫師週班表!$C$5:$T$44,$CU20,BB$57),""))=4,MID(IFERROR(INDEX(醫師週班表!$C$5:$T$44,$CU20,BB$57),""),1+BB$58*2,1),IF(LEN(IFERROR(INDEX(醫師週班表!$C$5:$T$44,$CU20,BB$57),""))=2,IF(AND(RIGHT(IFERROR(INDEX(醫師週班表!$C$5:$T$44,$CU20,BB$57),""),1)="~",BB$58=1),"",LEFT(IFERROR(INDEX(醫師週班表!$C$5:$T$44,$CU20,BB$57),""),1)),IFERROR(INDEX(醫師週班表!$C$5:$T$44,$CU20,BB$57),""))))))</f>
        <v/>
      </c>
      <c r="BC20" s="68">
        <f>IF(BC$59="X","",IF(BC$59&lt;&gt;"",BC$59,IF(IFERROR(INDEX(醫師週班表!$C$5:$T$44,$CU20,BC$57),"")=0,"",IF(LEN(IFERROR(INDEX(醫師週班表!$C$5:$T$44,$CU20,BC$57),""))=4,MID(IFERROR(INDEX(醫師週班表!$C$5:$T$44,$CU20,BC$57),""),1+BC$58*2,1),IF(LEN(IFERROR(INDEX(醫師週班表!$C$5:$T$44,$CU20,BC$57),""))=2,IF(AND(RIGHT(IFERROR(INDEX(醫師週班表!$C$5:$T$44,$CU20,BC$57),""),1)="~",BC$58=1),"",LEFT(IFERROR(INDEX(醫師週班表!$C$5:$T$44,$CU20,BC$57),""),1)),IFERROR(INDEX(醫師週班表!$C$5:$T$44,$CU20,BC$57),""))))))</f>
        <v/>
      </c>
      <c r="BD20" s="67">
        <f>IF(BD$59="X","",IF(BD$59&lt;&gt;"",BD$59,IF(IFERROR(INDEX(醫師週班表!$C$5:$T$44,$CU20,BD$57),"")=0,"",IF(LEN(IFERROR(INDEX(醫師週班表!$C$5:$T$44,$CU20,BD$57),""))=4,MID(IFERROR(INDEX(醫師週班表!$C$5:$T$44,$CU20,BD$57),""),1+BD$58*2,1),IF(LEN(IFERROR(INDEX(醫師週班表!$C$5:$T$44,$CU20,BD$57),""))=2,IF(AND(RIGHT(IFERROR(INDEX(醫師週班表!$C$5:$T$44,$CU20,BD$57),""),1)="~",BD$58=1),"",LEFT(IFERROR(INDEX(醫師週班表!$C$5:$T$44,$CU20,BD$57),""),1)),IFERROR(INDEX(醫師週班表!$C$5:$T$44,$CU20,BD$57),""))))))</f>
        <v/>
      </c>
      <c r="BE20" s="68">
        <f>IF(BE$59="X","",IF(BE$59&lt;&gt;"",BE$59,IF(IFERROR(INDEX(醫師週班表!$C$5:$T$44,$CU20,BE$57),"")=0,"",IF(LEN(IFERROR(INDEX(醫師週班表!$C$5:$T$44,$CU20,BE$57),""))=4,MID(IFERROR(INDEX(醫師週班表!$C$5:$T$44,$CU20,BE$57),""),1+BE$58*2,1),IF(LEN(IFERROR(INDEX(醫師週班表!$C$5:$T$44,$CU20,BE$57),""))=2,IF(AND(RIGHT(IFERROR(INDEX(醫師週班表!$C$5:$T$44,$CU20,BE$57),""),1)="~",BE$58=1),"",LEFT(IFERROR(INDEX(醫師週班表!$C$5:$T$44,$CU20,BE$57),""),1)),IFERROR(INDEX(醫師週班表!$C$5:$T$44,$CU20,BE$57),""))))))</f>
        <v/>
      </c>
      <c r="BF20" s="68">
        <f>IF(BF$59="X","",IF(BF$59&lt;&gt;"",BF$59,IF(IFERROR(INDEX(醫師週班表!$C$5:$T$44,$CU20,BF$57),"")=0,"",IF(LEN(IFERROR(INDEX(醫師週班表!$C$5:$T$44,$CU20,BF$57),""))=4,MID(IFERROR(INDEX(醫師週班表!$C$5:$T$44,$CU20,BF$57),""),1+BF$58*2,1),IF(LEN(IFERROR(INDEX(醫師週班表!$C$5:$T$44,$CU20,BF$57),""))=2,IF(AND(RIGHT(IFERROR(INDEX(醫師週班表!$C$5:$T$44,$CU20,BF$57),""),1)="~",BF$58=1),"",LEFT(IFERROR(INDEX(醫師週班表!$C$5:$T$44,$CU20,BF$57),""),1)),IFERROR(INDEX(醫師週班表!$C$5:$T$44,$CU20,BF$57),""))))))</f>
        <v/>
      </c>
      <c r="BG20" s="67">
        <f>IF(BG$59="X","",IF(BG$59&lt;&gt;"",BG$59,IF(IFERROR(INDEX(醫師週班表!$C$5:$T$44,$CU20,BG$57),"")=0,"",IF(LEN(IFERROR(INDEX(醫師週班表!$C$5:$T$44,$CU20,BG$57),""))=4,MID(IFERROR(INDEX(醫師週班表!$C$5:$T$44,$CU20,BG$57),""),1+BG$58*2,1),IF(LEN(IFERROR(INDEX(醫師週班表!$C$5:$T$44,$CU20,BG$57),""))=2,IF(AND(RIGHT(IFERROR(INDEX(醫師週班表!$C$5:$T$44,$CU20,BG$57),""),1)="~",BG$58=1),"",LEFT(IFERROR(INDEX(醫師週班表!$C$5:$T$44,$CU20,BG$57),""),1)),IFERROR(INDEX(醫師週班表!$C$5:$T$44,$CU20,BG$57),""))))))</f>
        <v/>
      </c>
      <c r="BH20" s="68">
        <f>IF(BH$59="X","",IF(BH$59&lt;&gt;"",BH$59,IF(IFERROR(INDEX(醫師週班表!$C$5:$T$44,$CU20,BH$57),"")=0,"",IF(LEN(IFERROR(INDEX(醫師週班表!$C$5:$T$44,$CU20,BH$57),""))=4,MID(IFERROR(INDEX(醫師週班表!$C$5:$T$44,$CU20,BH$57),""),1+BH$58*2,1),IF(LEN(IFERROR(INDEX(醫師週班表!$C$5:$T$44,$CU20,BH$57),""))=2,IF(AND(RIGHT(IFERROR(INDEX(醫師週班表!$C$5:$T$44,$CU20,BH$57),""),1)="~",BH$58=1),"",LEFT(IFERROR(INDEX(醫師週班表!$C$5:$T$44,$CU20,BH$57),""),1)),IFERROR(INDEX(醫師週班表!$C$5:$T$44,$CU20,BH$57),""))))))</f>
        <v/>
      </c>
      <c r="BI20" s="68">
        <f>IF(BI$59="X","",IF(BI$59&lt;&gt;"",BI$59,IF(IFERROR(INDEX(醫師週班表!$C$5:$T$44,$CU20,BI$57),"")=0,"",IF(LEN(IFERROR(INDEX(醫師週班表!$C$5:$T$44,$CU20,BI$57),""))=4,MID(IFERROR(INDEX(醫師週班表!$C$5:$T$44,$CU20,BI$57),""),1+BI$58*2,1),IF(LEN(IFERROR(INDEX(醫師週班表!$C$5:$T$44,$CU20,BI$57),""))=2,IF(AND(RIGHT(IFERROR(INDEX(醫師週班表!$C$5:$T$44,$CU20,BI$57),""),1)="~",BI$58=1),"",LEFT(IFERROR(INDEX(醫師週班表!$C$5:$T$44,$CU20,BI$57),""),1)),IFERROR(INDEX(醫師週班表!$C$5:$T$44,$CU20,BI$57),""))))))</f>
        <v/>
      </c>
      <c r="BJ20" s="67">
        <f>IF(BJ$59="X","",IF(BJ$59&lt;&gt;"",BJ$59,IF(IFERROR(INDEX(醫師週班表!$C$5:$T$44,$CU20,BJ$57),"")=0,"",IF(LEN(IFERROR(INDEX(醫師週班表!$C$5:$T$44,$CU20,BJ$57),""))=4,MID(IFERROR(INDEX(醫師週班表!$C$5:$T$44,$CU20,BJ$57),""),1+BJ$58*2,1),IF(LEN(IFERROR(INDEX(醫師週班表!$C$5:$T$44,$CU20,BJ$57),""))=2,IF(AND(RIGHT(IFERROR(INDEX(醫師週班表!$C$5:$T$44,$CU20,BJ$57),""),1)="~",BJ$58=1),"",LEFT(IFERROR(INDEX(醫師週班表!$C$5:$T$44,$CU20,BJ$57),""),1)),IFERROR(INDEX(醫師週班表!$C$5:$T$44,$CU20,BJ$57),""))))))</f>
        <v/>
      </c>
      <c r="BK20" s="68">
        <f>IF(BK$59="X","",IF(BK$59&lt;&gt;"",BK$59,IF(IFERROR(INDEX(醫師週班表!$C$5:$T$44,$CU20,BK$57),"")=0,"",IF(LEN(IFERROR(INDEX(醫師週班表!$C$5:$T$44,$CU20,BK$57),""))=4,MID(IFERROR(INDEX(醫師週班表!$C$5:$T$44,$CU20,BK$57),""),1+BK$58*2,1),IF(LEN(IFERROR(INDEX(醫師週班表!$C$5:$T$44,$CU20,BK$57),""))=2,IF(AND(RIGHT(IFERROR(INDEX(醫師週班表!$C$5:$T$44,$CU20,BK$57),""),1)="~",BK$58=1),"",LEFT(IFERROR(INDEX(醫師週班表!$C$5:$T$44,$CU20,BK$57),""),1)),IFERROR(INDEX(醫師週班表!$C$5:$T$44,$CU20,BK$57),""))))))</f>
        <v/>
      </c>
      <c r="BL20" s="68">
        <f>IF(BL$59="X","",IF(BL$59&lt;&gt;"",BL$59,IF(IFERROR(INDEX(醫師週班表!$C$5:$T$44,$CU20,BL$57),"")=0,"",IF(LEN(IFERROR(INDEX(醫師週班表!$C$5:$T$44,$CU20,BL$57),""))=4,MID(IFERROR(INDEX(醫師週班表!$C$5:$T$44,$CU20,BL$57),""),1+BL$58*2,1),IF(LEN(IFERROR(INDEX(醫師週班表!$C$5:$T$44,$CU20,BL$57),""))=2,IF(AND(RIGHT(IFERROR(INDEX(醫師週班表!$C$5:$T$44,$CU20,BL$57),""),1)="~",BL$58=1),"",LEFT(IFERROR(INDEX(醫師週班表!$C$5:$T$44,$CU20,BL$57),""),1)),IFERROR(INDEX(醫師週班表!$C$5:$T$44,$CU20,BL$57),""))))))</f>
        <v/>
      </c>
      <c r="BM20" s="67">
        <f>IF(BM$59="X","",IF(BM$59&lt;&gt;"",BM$59,IF(IFERROR(INDEX(醫師週班表!$C$5:$T$44,$CU20,BM$57),"")=0,"",IF(LEN(IFERROR(INDEX(醫師週班表!$C$5:$T$44,$CU20,BM$57),""))=4,MID(IFERROR(INDEX(醫師週班表!$C$5:$T$44,$CU20,BM$57),""),1+BM$58*2,1),IF(LEN(IFERROR(INDEX(醫師週班表!$C$5:$T$44,$CU20,BM$57),""))=2,IF(AND(RIGHT(IFERROR(INDEX(醫師週班表!$C$5:$T$44,$CU20,BM$57),""),1)="~",BM$58=1),"",LEFT(IFERROR(INDEX(醫師週班表!$C$5:$T$44,$CU20,BM$57),""),1)),IFERROR(INDEX(醫師週班表!$C$5:$T$44,$CU20,BM$57),""))))))</f>
        <v/>
      </c>
      <c r="BN20" s="68">
        <f>IF(BN$59="X","",IF(BN$59&lt;&gt;"",BN$59,IF(IFERROR(INDEX(醫師週班表!$C$5:$T$44,$CU20,BN$57),"")=0,"",IF(LEN(IFERROR(INDEX(醫師週班表!$C$5:$T$44,$CU20,BN$57),""))=4,MID(IFERROR(INDEX(醫師週班表!$C$5:$T$44,$CU20,BN$57),""),1+BN$58*2,1),IF(LEN(IFERROR(INDEX(醫師週班表!$C$5:$T$44,$CU20,BN$57),""))=2,IF(AND(RIGHT(IFERROR(INDEX(醫師週班表!$C$5:$T$44,$CU20,BN$57),""),1)="~",BN$58=1),"",LEFT(IFERROR(INDEX(醫師週班表!$C$5:$T$44,$CU20,BN$57),""),1)),IFERROR(INDEX(醫師週班表!$C$5:$T$44,$CU20,BN$57),""))))))</f>
        <v/>
      </c>
      <c r="BO20" s="68">
        <f>IF(BO$59="X","",IF(BO$59&lt;&gt;"",BO$59,IF(IFERROR(INDEX(醫師週班表!$C$5:$T$44,$CU20,BO$57),"")=0,"",IF(LEN(IFERROR(INDEX(醫師週班表!$C$5:$T$44,$CU20,BO$57),""))=4,MID(IFERROR(INDEX(醫師週班表!$C$5:$T$44,$CU20,BO$57),""),1+BO$58*2,1),IF(LEN(IFERROR(INDEX(醫師週班表!$C$5:$T$44,$CU20,BO$57),""))=2,IF(AND(RIGHT(IFERROR(INDEX(醫師週班表!$C$5:$T$44,$CU20,BO$57),""),1)="~",BO$58=1),"",LEFT(IFERROR(INDEX(醫師週班表!$C$5:$T$44,$CU20,BO$57),""),1)),IFERROR(INDEX(醫師週班表!$C$5:$T$44,$CU20,BO$57),""))))))</f>
        <v/>
      </c>
      <c r="BP20" s="67">
        <f>IF(BP$59="X","",IF(BP$59&lt;&gt;"",BP$59,IF(IFERROR(INDEX(醫師週班表!$C$5:$T$44,$CU20,BP$57),"")=0,"",IF(LEN(IFERROR(INDEX(醫師週班表!$C$5:$T$44,$CU20,BP$57),""))=4,MID(IFERROR(INDEX(醫師週班表!$C$5:$T$44,$CU20,BP$57),""),1+BP$58*2,1),IF(LEN(IFERROR(INDEX(醫師週班表!$C$5:$T$44,$CU20,BP$57),""))=2,IF(AND(RIGHT(IFERROR(INDEX(醫師週班表!$C$5:$T$44,$CU20,BP$57),""),1)="~",BP$58=1),"",LEFT(IFERROR(INDEX(醫師週班表!$C$5:$T$44,$CU20,BP$57),""),1)),IFERROR(INDEX(醫師週班表!$C$5:$T$44,$CU20,BP$57),""))))))</f>
        <v/>
      </c>
      <c r="BQ20" s="68">
        <f>IF(BQ$59="X","",IF(BQ$59&lt;&gt;"",BQ$59,IF(IFERROR(INDEX(醫師週班表!$C$5:$T$44,$CU20,BQ$57),"")=0,"",IF(LEN(IFERROR(INDEX(醫師週班表!$C$5:$T$44,$CU20,BQ$57),""))=4,MID(IFERROR(INDEX(醫師週班表!$C$5:$T$44,$CU20,BQ$57),""),1+BQ$58*2,1),IF(LEN(IFERROR(INDEX(醫師週班表!$C$5:$T$44,$CU20,BQ$57),""))=2,IF(AND(RIGHT(IFERROR(INDEX(醫師週班表!$C$5:$T$44,$CU20,BQ$57),""),1)="~",BQ$58=1),"",LEFT(IFERROR(INDEX(醫師週班表!$C$5:$T$44,$CU20,BQ$57),""),1)),IFERROR(INDEX(醫師週班表!$C$5:$T$44,$CU20,BQ$57),""))))))</f>
        <v/>
      </c>
      <c r="BR20" s="68">
        <f>IF(BR$59="X","",IF(BR$59&lt;&gt;"",BR$59,IF(IFERROR(INDEX(醫師週班表!$C$5:$T$44,$CU20,BR$57),"")=0,"",IF(LEN(IFERROR(INDEX(醫師週班表!$C$5:$T$44,$CU20,BR$57),""))=4,MID(IFERROR(INDEX(醫師週班表!$C$5:$T$44,$CU20,BR$57),""),1+BR$58*2,1),IF(LEN(IFERROR(INDEX(醫師週班表!$C$5:$T$44,$CU20,BR$57),""))=2,IF(AND(RIGHT(IFERROR(INDEX(醫師週班表!$C$5:$T$44,$CU20,BR$57),""),1)="~",BR$58=1),"",LEFT(IFERROR(INDEX(醫師週班表!$C$5:$T$44,$CU20,BR$57),""),1)),IFERROR(INDEX(醫師週班表!$C$5:$T$44,$CU20,BR$57),""))))))</f>
        <v/>
      </c>
      <c r="BS20" s="67">
        <f>IF(BS$59="X","",IF(BS$59&lt;&gt;"",BS$59,IF(IFERROR(INDEX(醫師週班表!$C$5:$T$44,$CU20,BS$57),"")=0,"",IF(LEN(IFERROR(INDEX(醫師週班表!$C$5:$T$44,$CU20,BS$57),""))=4,MID(IFERROR(INDEX(醫師週班表!$C$5:$T$44,$CU20,BS$57),""),1+BS$58*2,1),IF(LEN(IFERROR(INDEX(醫師週班表!$C$5:$T$44,$CU20,BS$57),""))=2,IF(AND(RIGHT(IFERROR(INDEX(醫師週班表!$C$5:$T$44,$CU20,BS$57),""),1)="~",BS$58=1),"",LEFT(IFERROR(INDEX(醫師週班表!$C$5:$T$44,$CU20,BS$57),""),1)),IFERROR(INDEX(醫師週班表!$C$5:$T$44,$CU20,BS$57),""))))))</f>
        <v/>
      </c>
      <c r="BT20" s="68">
        <f>IF(BT$59="X","",IF(BT$59&lt;&gt;"",BT$59,IF(IFERROR(INDEX(醫師週班表!$C$5:$T$44,$CU20,BT$57),"")=0,"",IF(LEN(IFERROR(INDEX(醫師週班表!$C$5:$T$44,$CU20,BT$57),""))=4,MID(IFERROR(INDEX(醫師週班表!$C$5:$T$44,$CU20,BT$57),""),1+BT$58*2,1),IF(LEN(IFERROR(INDEX(醫師週班表!$C$5:$T$44,$CU20,BT$57),""))=2,IF(AND(RIGHT(IFERROR(INDEX(醫師週班表!$C$5:$T$44,$CU20,BT$57),""),1)="~",BT$58=1),"",LEFT(IFERROR(INDEX(醫師週班表!$C$5:$T$44,$CU20,BT$57),""),1)),IFERROR(INDEX(醫師週班表!$C$5:$T$44,$CU20,BT$57),""))))))</f>
        <v/>
      </c>
      <c r="BU20" s="68">
        <f>IF(BU$59="X","",IF(BU$59&lt;&gt;"",BU$59,IF(IFERROR(INDEX(醫師週班表!$C$5:$T$44,$CU20,BU$57),"")=0,"",IF(LEN(IFERROR(INDEX(醫師週班表!$C$5:$T$44,$CU20,BU$57),""))=4,MID(IFERROR(INDEX(醫師週班表!$C$5:$T$44,$CU20,BU$57),""),1+BU$58*2,1),IF(LEN(IFERROR(INDEX(醫師週班表!$C$5:$T$44,$CU20,BU$57),""))=2,IF(AND(RIGHT(IFERROR(INDEX(醫師週班表!$C$5:$T$44,$CU20,BU$57),""),1)="~",BU$58=1),"",LEFT(IFERROR(INDEX(醫師週班表!$C$5:$T$44,$CU20,BU$57),""),1)),IFERROR(INDEX(醫師週班表!$C$5:$T$44,$CU20,BU$57),""))))))</f>
        <v/>
      </c>
      <c r="BV20" s="67">
        <f>IF(BV$59="X","",IF(BV$59&lt;&gt;"",BV$59,IF(IFERROR(INDEX(醫師週班表!$C$5:$T$44,$CU20,BV$57),"")=0,"",IF(LEN(IFERROR(INDEX(醫師週班表!$C$5:$T$44,$CU20,BV$57),""))=4,MID(IFERROR(INDEX(醫師週班表!$C$5:$T$44,$CU20,BV$57),""),1+BV$58*2,1),IF(LEN(IFERROR(INDEX(醫師週班表!$C$5:$T$44,$CU20,BV$57),""))=2,IF(AND(RIGHT(IFERROR(INDEX(醫師週班表!$C$5:$T$44,$CU20,BV$57),""),1)="~",BV$58=1),"",LEFT(IFERROR(INDEX(醫師週班表!$C$5:$T$44,$CU20,BV$57),""),1)),IFERROR(INDEX(醫師週班表!$C$5:$T$44,$CU20,BV$57),""))))))</f>
        <v/>
      </c>
      <c r="BW20" s="68">
        <f>IF(BW$59="X","",IF(BW$59&lt;&gt;"",BW$59,IF(IFERROR(INDEX(醫師週班表!$C$5:$T$44,$CU20,BW$57),"")=0,"",IF(LEN(IFERROR(INDEX(醫師週班表!$C$5:$T$44,$CU20,BW$57),""))=4,MID(IFERROR(INDEX(醫師週班表!$C$5:$T$44,$CU20,BW$57),""),1+BW$58*2,1),IF(LEN(IFERROR(INDEX(醫師週班表!$C$5:$T$44,$CU20,BW$57),""))=2,IF(AND(RIGHT(IFERROR(INDEX(醫師週班表!$C$5:$T$44,$CU20,BW$57),""),1)="~",BW$58=1),"",LEFT(IFERROR(INDEX(醫師週班表!$C$5:$T$44,$CU20,BW$57),""),1)),IFERROR(INDEX(醫師週班表!$C$5:$T$44,$CU20,BW$57),""))))))</f>
        <v/>
      </c>
      <c r="BX20" s="68">
        <f>IF(BX$59="X","",IF(BX$59&lt;&gt;"",BX$59,IF(IFERROR(INDEX(醫師週班表!$C$5:$T$44,$CU20,BX$57),"")=0,"",IF(LEN(IFERROR(INDEX(醫師週班表!$C$5:$T$44,$CU20,BX$57),""))=4,MID(IFERROR(INDEX(醫師週班表!$C$5:$T$44,$CU20,BX$57),""),1+BX$58*2,1),IF(LEN(IFERROR(INDEX(醫師週班表!$C$5:$T$44,$CU20,BX$57),""))=2,IF(AND(RIGHT(IFERROR(INDEX(醫師週班表!$C$5:$T$44,$CU20,BX$57),""),1)="~",BX$58=1),"",LEFT(IFERROR(INDEX(醫師週班表!$C$5:$T$44,$CU20,BX$57),""),1)),IFERROR(INDEX(醫師週班表!$C$5:$T$44,$CU20,BX$57),""))))))</f>
        <v/>
      </c>
      <c r="BY20" s="67">
        <f>IF(BY$59="X","",IF(BY$59&lt;&gt;"",BY$59,IF(IFERROR(INDEX(醫師週班表!$C$5:$T$44,$CU20,BY$57),"")=0,"",IF(LEN(IFERROR(INDEX(醫師週班表!$C$5:$T$44,$CU20,BY$57),""))=4,MID(IFERROR(INDEX(醫師週班表!$C$5:$T$44,$CU20,BY$57),""),1+BY$58*2,1),IF(LEN(IFERROR(INDEX(醫師週班表!$C$5:$T$44,$CU20,BY$57),""))=2,IF(AND(RIGHT(IFERROR(INDEX(醫師週班表!$C$5:$T$44,$CU20,BY$57),""),1)="~",BY$58=1),"",LEFT(IFERROR(INDEX(醫師週班表!$C$5:$T$44,$CU20,BY$57),""),1)),IFERROR(INDEX(醫師週班表!$C$5:$T$44,$CU20,BY$57),""))))))</f>
        <v/>
      </c>
      <c r="BZ20" s="68">
        <f>IF(BZ$59="X","",IF(BZ$59&lt;&gt;"",BZ$59,IF(IFERROR(INDEX(醫師週班表!$C$5:$T$44,$CU20,BZ$57),"")=0,"",IF(LEN(IFERROR(INDEX(醫師週班表!$C$5:$T$44,$CU20,BZ$57),""))=4,MID(IFERROR(INDEX(醫師週班表!$C$5:$T$44,$CU20,BZ$57),""),1+BZ$58*2,1),IF(LEN(IFERROR(INDEX(醫師週班表!$C$5:$T$44,$CU20,BZ$57),""))=2,IF(AND(RIGHT(IFERROR(INDEX(醫師週班表!$C$5:$T$44,$CU20,BZ$57),""),1)="~",BZ$58=1),"",LEFT(IFERROR(INDEX(醫師週班表!$C$5:$T$44,$CU20,BZ$57),""),1)),IFERROR(INDEX(醫師週班表!$C$5:$T$44,$CU20,BZ$57),""))))))</f>
        <v/>
      </c>
      <c r="CA20" s="68">
        <f>IF(CA$59="X","",IF(CA$59&lt;&gt;"",CA$59,IF(IFERROR(INDEX(醫師週班表!$C$5:$T$44,$CU20,CA$57),"")=0,"",IF(LEN(IFERROR(INDEX(醫師週班表!$C$5:$T$44,$CU20,CA$57),""))=4,MID(IFERROR(INDEX(醫師週班表!$C$5:$T$44,$CU20,CA$57),""),1+CA$58*2,1),IF(LEN(IFERROR(INDEX(醫師週班表!$C$5:$T$44,$CU20,CA$57),""))=2,IF(AND(RIGHT(IFERROR(INDEX(醫師週班表!$C$5:$T$44,$CU20,CA$57),""),1)="~",CA$58=1),"",LEFT(IFERROR(INDEX(醫師週班表!$C$5:$T$44,$CU20,CA$57),""),1)),IFERROR(INDEX(醫師週班表!$C$5:$T$44,$CU20,CA$57),""))))))</f>
        <v/>
      </c>
      <c r="CB20" s="67">
        <f>IF(CB$59="X","",IF(CB$59&lt;&gt;"",CB$59,IF(IFERROR(INDEX(醫師週班表!$C$5:$T$44,$CU20,CB$57),"")=0,"",IF(LEN(IFERROR(INDEX(醫師週班表!$C$5:$T$44,$CU20,CB$57),""))=4,MID(IFERROR(INDEX(醫師週班表!$C$5:$T$44,$CU20,CB$57),""),1+CB$58*2,1),IF(LEN(IFERROR(INDEX(醫師週班表!$C$5:$T$44,$CU20,CB$57),""))=2,IF(AND(RIGHT(IFERROR(INDEX(醫師週班表!$C$5:$T$44,$CU20,CB$57),""),1)="~",CB$58=1),"",LEFT(IFERROR(INDEX(醫師週班表!$C$5:$T$44,$CU20,CB$57),""),1)),IFERROR(INDEX(醫師週班表!$C$5:$T$44,$CU20,CB$57),""))))))</f>
        <v/>
      </c>
      <c r="CC20" s="68">
        <f>IF(CC$59="X","",IF(CC$59&lt;&gt;"",CC$59,IF(IFERROR(INDEX(醫師週班表!$C$5:$T$44,$CU20,CC$57),"")=0,"",IF(LEN(IFERROR(INDEX(醫師週班表!$C$5:$T$44,$CU20,CC$57),""))=4,MID(IFERROR(INDEX(醫師週班表!$C$5:$T$44,$CU20,CC$57),""),1+CC$58*2,1),IF(LEN(IFERROR(INDEX(醫師週班表!$C$5:$T$44,$CU20,CC$57),""))=2,IF(AND(RIGHT(IFERROR(INDEX(醫師週班表!$C$5:$T$44,$CU20,CC$57),""),1)="~",CC$58=1),"",LEFT(IFERROR(INDEX(醫師週班表!$C$5:$T$44,$CU20,CC$57),""),1)),IFERROR(INDEX(醫師週班表!$C$5:$T$44,$CU20,CC$57),""))))))</f>
        <v/>
      </c>
      <c r="CD20" s="68">
        <f>IF(CD$59="X","",IF(CD$59&lt;&gt;"",CD$59,IF(IFERROR(INDEX(醫師週班表!$C$5:$T$44,$CU20,CD$57),"")=0,"",IF(LEN(IFERROR(INDEX(醫師週班表!$C$5:$T$44,$CU20,CD$57),""))=4,MID(IFERROR(INDEX(醫師週班表!$C$5:$T$44,$CU20,CD$57),""),1+CD$58*2,1),IF(LEN(IFERROR(INDEX(醫師週班表!$C$5:$T$44,$CU20,CD$57),""))=2,IF(AND(RIGHT(IFERROR(INDEX(醫師週班表!$C$5:$T$44,$CU20,CD$57),""),1)="~",CD$58=1),"",LEFT(IFERROR(INDEX(醫師週班表!$C$5:$T$44,$CU20,CD$57),""),1)),IFERROR(INDEX(醫師週班表!$C$5:$T$44,$CU20,CD$57),""))))))</f>
        <v/>
      </c>
      <c r="CE20" s="67">
        <f>IF(CE$59="X","",IF(CE$59&lt;&gt;"",CE$59,IF(IFERROR(INDEX(醫師週班表!$C$5:$T$44,$CU20,CE$57),"")=0,"",IF(LEN(IFERROR(INDEX(醫師週班表!$C$5:$T$44,$CU20,CE$57),""))=4,MID(IFERROR(INDEX(醫師週班表!$C$5:$T$44,$CU20,CE$57),""),1+CE$58*2,1),IF(LEN(IFERROR(INDEX(醫師週班表!$C$5:$T$44,$CU20,CE$57),""))=2,IF(AND(RIGHT(IFERROR(INDEX(醫師週班表!$C$5:$T$44,$CU20,CE$57),""),1)="~",CE$58=1),"",LEFT(IFERROR(INDEX(醫師週班表!$C$5:$T$44,$CU20,CE$57),""),1)),IFERROR(INDEX(醫師週班表!$C$5:$T$44,$CU20,CE$57),""))))))</f>
        <v/>
      </c>
      <c r="CF20" s="68">
        <f>IF(CF$59="X","",IF(CF$59&lt;&gt;"",CF$59,IF(IFERROR(INDEX(醫師週班表!$C$5:$T$44,$CU20,CF$57),"")=0,"",IF(LEN(IFERROR(INDEX(醫師週班表!$C$5:$T$44,$CU20,CF$57),""))=4,MID(IFERROR(INDEX(醫師週班表!$C$5:$T$44,$CU20,CF$57),""),1+CF$58*2,1),IF(LEN(IFERROR(INDEX(醫師週班表!$C$5:$T$44,$CU20,CF$57),""))=2,IF(AND(RIGHT(IFERROR(INDEX(醫師週班表!$C$5:$T$44,$CU20,CF$57),""),1)="~",CF$58=1),"",LEFT(IFERROR(INDEX(醫師週班表!$C$5:$T$44,$CU20,CF$57),""),1)),IFERROR(INDEX(醫師週班表!$C$5:$T$44,$CU20,CF$57),""))))))</f>
        <v/>
      </c>
      <c r="CG20" s="68">
        <f>IF(CG$59="X","",IF(CG$59&lt;&gt;"",CG$59,IF(IFERROR(INDEX(醫師週班表!$C$5:$T$44,$CU20,CG$57),"")=0,"",IF(LEN(IFERROR(INDEX(醫師週班表!$C$5:$T$44,$CU20,CG$57),""))=4,MID(IFERROR(INDEX(醫師週班表!$C$5:$T$44,$CU20,CG$57),""),1+CG$58*2,1),IF(LEN(IFERROR(INDEX(醫師週班表!$C$5:$T$44,$CU20,CG$57),""))=2,IF(AND(RIGHT(IFERROR(INDEX(醫師週班表!$C$5:$T$44,$CU20,CG$57),""),1)="~",CG$58=1),"",LEFT(IFERROR(INDEX(醫師週班表!$C$5:$T$44,$CU20,CG$57),""),1)),IFERROR(INDEX(醫師週班表!$C$5:$T$44,$CU20,CG$57),""))))))</f>
        <v/>
      </c>
      <c r="CH20" s="67">
        <f>IF(CH$59="X","",IF(CH$59&lt;&gt;"",CH$59,IF(IFERROR(INDEX(醫師週班表!$C$5:$T$44,$CU20,CH$57),"")=0,"",IF(LEN(IFERROR(INDEX(醫師週班表!$C$5:$T$44,$CU20,CH$57),""))=4,MID(IFERROR(INDEX(醫師週班表!$C$5:$T$44,$CU20,CH$57),""),1+CH$58*2,1),IF(LEN(IFERROR(INDEX(醫師週班表!$C$5:$T$44,$CU20,CH$57),""))=2,IF(AND(RIGHT(IFERROR(INDEX(醫師週班表!$C$5:$T$44,$CU20,CH$57),""),1)="~",CH$58=1),"",LEFT(IFERROR(INDEX(醫師週班表!$C$5:$T$44,$CU20,CH$57),""),1)),IFERROR(INDEX(醫師週班表!$C$5:$T$44,$CU20,CH$57),""))))))</f>
        <v/>
      </c>
      <c r="CI20" s="68">
        <f>IF(CI$59="X","",IF(CI$59&lt;&gt;"",CI$59,IF(IFERROR(INDEX(醫師週班表!$C$5:$T$44,$CU20,CI$57),"")=0,"",IF(LEN(IFERROR(INDEX(醫師週班表!$C$5:$T$44,$CU20,CI$57),""))=4,MID(IFERROR(INDEX(醫師週班表!$C$5:$T$44,$CU20,CI$57),""),1+CI$58*2,1),IF(LEN(IFERROR(INDEX(醫師週班表!$C$5:$T$44,$CU20,CI$57),""))=2,IF(AND(RIGHT(IFERROR(INDEX(醫師週班表!$C$5:$T$44,$CU20,CI$57),""),1)="~",CI$58=1),"",LEFT(IFERROR(INDEX(醫師週班表!$C$5:$T$44,$CU20,CI$57),""),1)),IFERROR(INDEX(醫師週班表!$C$5:$T$44,$CU20,CI$57),""))))))</f>
        <v/>
      </c>
      <c r="CJ20" s="68">
        <f>IF(CJ$59="X","",IF(CJ$59&lt;&gt;"",CJ$59,IF(IFERROR(INDEX(醫師週班表!$C$5:$T$44,$CU20,CJ$57),"")=0,"",IF(LEN(IFERROR(INDEX(醫師週班表!$C$5:$T$44,$CU20,CJ$57),""))=4,MID(IFERROR(INDEX(醫師週班表!$C$5:$T$44,$CU20,CJ$57),""),1+CJ$58*2,1),IF(LEN(IFERROR(INDEX(醫師週班表!$C$5:$T$44,$CU20,CJ$57),""))=2,IF(AND(RIGHT(IFERROR(INDEX(醫師週班表!$C$5:$T$44,$CU20,CJ$57),""),1)="~",CJ$58=1),"",LEFT(IFERROR(INDEX(醫師週班表!$C$5:$T$44,$CU20,CJ$57),""),1)),IFERROR(INDEX(醫師週班表!$C$5:$T$44,$CU20,CJ$57),""))))))</f>
        <v/>
      </c>
      <c r="CK20" s="67">
        <f>IF(CK$59="X","",IF(CK$59&lt;&gt;"",CK$59,IF(IFERROR(INDEX(醫師週班表!$C$5:$T$44,$CU20,CK$57),"")=0,"",IF(LEN(IFERROR(INDEX(醫師週班表!$C$5:$T$44,$CU20,CK$57),""))=4,MID(IFERROR(INDEX(醫師週班表!$C$5:$T$44,$CU20,CK$57),""),1+CK$58*2,1),IF(LEN(IFERROR(INDEX(醫師週班表!$C$5:$T$44,$CU20,CK$57),""))=2,IF(AND(RIGHT(IFERROR(INDEX(醫師週班表!$C$5:$T$44,$CU20,CK$57),""),1)="~",CK$58=1),"",LEFT(IFERROR(INDEX(醫師週班表!$C$5:$T$44,$CU20,CK$57),""),1)),IFERROR(INDEX(醫師週班表!$C$5:$T$44,$CU20,CK$57),""))))))</f>
        <v/>
      </c>
      <c r="CL20" s="68">
        <f>IF(CL$59="X","",IF(CL$59&lt;&gt;"",CL$59,IF(IFERROR(INDEX(醫師週班表!$C$5:$T$44,$CU20,CL$57),"")=0,"",IF(LEN(IFERROR(INDEX(醫師週班表!$C$5:$T$44,$CU20,CL$57),""))=4,MID(IFERROR(INDEX(醫師週班表!$C$5:$T$44,$CU20,CL$57),""),1+CL$58*2,1),IF(LEN(IFERROR(INDEX(醫師週班表!$C$5:$T$44,$CU20,CL$57),""))=2,IF(AND(RIGHT(IFERROR(INDEX(醫師週班表!$C$5:$T$44,$CU20,CL$57),""),1)="~",CL$58=1),"",LEFT(IFERROR(INDEX(醫師週班表!$C$5:$T$44,$CU20,CL$57),""),1)),IFERROR(INDEX(醫師週班表!$C$5:$T$44,$CU20,CL$57),""))))))</f>
        <v/>
      </c>
      <c r="CM20" s="68">
        <f>IF(CM$59="X","",IF(CM$59&lt;&gt;"",CM$59,IF(IFERROR(INDEX(醫師週班表!$C$5:$T$44,$CU20,CM$57),"")=0,"",IF(LEN(IFERROR(INDEX(醫師週班表!$C$5:$T$44,$CU20,CM$57),""))=4,MID(IFERROR(INDEX(醫師週班表!$C$5:$T$44,$CU20,CM$57),""),1+CM$58*2,1),IF(LEN(IFERROR(INDEX(醫師週班表!$C$5:$T$44,$CU20,CM$57),""))=2,IF(AND(RIGHT(IFERROR(INDEX(醫師週班表!$C$5:$T$44,$CU20,CM$57),""),1)="~",CM$58=1),"",LEFT(IFERROR(INDEX(醫師週班表!$C$5:$T$44,$CU20,CM$57),""),1)),IFERROR(INDEX(醫師週班表!$C$5:$T$44,$CU20,CM$57),""))))))</f>
        <v/>
      </c>
      <c r="CN20" s="67">
        <f>IF(CN$59="X","",IF(CN$59&lt;&gt;"",CN$59,IF(IFERROR(INDEX(醫師週班表!$C$5:$T$44,$CU20,CN$57),"")=0,"",IF(LEN(IFERROR(INDEX(醫師週班表!$C$5:$T$44,$CU20,CN$57),""))=4,MID(IFERROR(INDEX(醫師週班表!$C$5:$T$44,$CU20,CN$57),""),1+CN$58*2,1),IF(LEN(IFERROR(INDEX(醫師週班表!$C$5:$T$44,$CU20,CN$57),""))=2,IF(AND(RIGHT(IFERROR(INDEX(醫師週班表!$C$5:$T$44,$CU20,CN$57),""),1)="~",CN$58=1),"",LEFT(IFERROR(INDEX(醫師週班表!$C$5:$T$44,$CU20,CN$57),""),1)),IFERROR(INDEX(醫師週班表!$C$5:$T$44,$CU20,CN$57),""))))))</f>
        <v/>
      </c>
      <c r="CO20" s="68">
        <f>IF(CO$59="X","",IF(CO$59&lt;&gt;"",CO$59,IF(IFERROR(INDEX(醫師週班表!$C$5:$T$44,$CU20,CO$57),"")=0,"",IF(LEN(IFERROR(INDEX(醫師週班表!$C$5:$T$44,$CU20,CO$57),""))=4,MID(IFERROR(INDEX(醫師週班表!$C$5:$T$44,$CU20,CO$57),""),1+CO$58*2,1),IF(LEN(IFERROR(INDEX(醫師週班表!$C$5:$T$44,$CU20,CO$57),""))=2,IF(AND(RIGHT(IFERROR(INDEX(醫師週班表!$C$5:$T$44,$CU20,CO$57),""),1)="~",CO$58=1),"",LEFT(IFERROR(INDEX(醫師週班表!$C$5:$T$44,$CU20,CO$57),""),1)),IFERROR(INDEX(醫師週班表!$C$5:$T$44,$CU20,CO$57),""))))))</f>
        <v/>
      </c>
      <c r="CP20" s="68">
        <f>IF(CP$59="X","",IF(CP$59&lt;&gt;"",CP$59,IF(IFERROR(INDEX(醫師週班表!$C$5:$T$44,$CU20,CP$57),"")=0,"",IF(LEN(IFERROR(INDEX(醫師週班表!$C$5:$T$44,$CU20,CP$57),""))=4,MID(IFERROR(INDEX(醫師週班表!$C$5:$T$44,$CU20,CP$57),""),1+CP$58*2,1),IF(LEN(IFERROR(INDEX(醫師週班表!$C$5:$T$44,$CU20,CP$57),""))=2,IF(AND(RIGHT(IFERROR(INDEX(醫師週班表!$C$5:$T$44,$CU20,CP$57),""),1)="~",CP$58=1),"",LEFT(IFERROR(INDEX(醫師週班表!$C$5:$T$44,$CU20,CP$57),""),1)),IFERROR(INDEX(醫師週班表!$C$5:$T$44,$CU20,CP$57),""))))))</f>
        <v/>
      </c>
      <c r="CQ20" s="67">
        <f>IF(CQ$59="X","",IF(CQ$59&lt;&gt;"",CQ$59,IF(IFERROR(INDEX(醫師週班表!$C$5:$T$44,$CU20,CQ$57),"")=0,"",IF(LEN(IFERROR(INDEX(醫師週班表!$C$5:$T$44,$CU20,CQ$57),""))=4,MID(IFERROR(INDEX(醫師週班表!$C$5:$T$44,$CU20,CQ$57),""),1+CQ$58*2,1),IF(LEN(IFERROR(INDEX(醫師週班表!$C$5:$T$44,$CU20,CQ$57),""))=2,IF(AND(RIGHT(IFERROR(INDEX(醫師週班表!$C$5:$T$44,$CU20,CQ$57),""),1)="~",CQ$58=1),"",LEFT(IFERROR(INDEX(醫師週班表!$C$5:$T$44,$CU20,CQ$57),""),1)),IFERROR(INDEX(醫師週班表!$C$5:$T$44,$CU20,CQ$57),""))))))</f>
        <v/>
      </c>
      <c r="CR20" s="68">
        <f>IF(CR$59="X","",IF(CR$59&lt;&gt;"",CR$59,IF(IFERROR(INDEX(醫師週班表!$C$5:$T$44,$CU20,CR$57),"")=0,"",IF(LEN(IFERROR(INDEX(醫師週班表!$C$5:$T$44,$CU20,CR$57),""))=4,MID(IFERROR(INDEX(醫師週班表!$C$5:$T$44,$CU20,CR$57),""),1+CR$58*2,1),IF(LEN(IFERROR(INDEX(醫師週班表!$C$5:$T$44,$CU20,CR$57),""))=2,IF(AND(RIGHT(IFERROR(INDEX(醫師週班表!$C$5:$T$44,$CU20,CR$57),""),1)="~",CR$58=1),"",LEFT(IFERROR(INDEX(醫師週班表!$C$5:$T$44,$CU20,CR$57),""),1)),IFERROR(INDEX(醫師週班表!$C$5:$T$44,$CU20,CR$57),""))))))</f>
        <v/>
      </c>
      <c r="CS20" s="68">
        <f>IF(CS$59="X","",IF(CS$59&lt;&gt;"",CS$59,IF(IFERROR(INDEX(醫師週班表!$C$5:$T$44,$CU20,CS$57),"")=0,"",IF(LEN(IFERROR(INDEX(醫師週班表!$C$5:$T$44,$CU20,CS$57),""))=4,MID(IFERROR(INDEX(醫師週班表!$C$5:$T$44,$CU20,CS$57),""),1+CS$58*2,1),IF(LEN(IFERROR(INDEX(醫師週班表!$C$5:$T$44,$CU20,CS$57),""))=2,IF(AND(RIGHT(IFERROR(INDEX(醫師週班表!$C$5:$T$44,$CU20,CS$57),""),1)="~",CS$58=1),"",LEFT(IFERROR(INDEX(醫師週班表!$C$5:$T$44,$CU20,CS$57),""),1)),IFERROR(INDEX(醫師週班表!$C$5:$T$44,$CU20,CS$57),""))))))</f>
        <v/>
      </c>
      <c r="CU20" s="69">
        <f>IFERROR(MATCH($A20,醫師週班表!$A$5:$A$44,0),0)</f>
        <v/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IFERROR(INDEX(醫師週班表!$C$5:$T$44,$CU21,E$57),"")=0,"",IF(LEN(IFERROR(INDEX(醫師週班表!$C$5:$T$44,$CU21,E$57),""))=4,MID(IFERROR(INDEX(醫師週班表!$C$5:$T$44,$CU21,E$57),""),1+E$58*2,1),IF(LEN(IFERROR(INDEX(醫師週班表!$C$5:$T$44,$CU21,E$57),""))=2,IF(AND(RIGHT(IFERROR(INDEX(醫師週班表!$C$5:$T$44,$CU21,E$57),""),1)="~",E$58=1),"",LEFT(IFERROR(INDEX(醫師週班表!$C$5:$T$44,$CU21,E$57),""),1)),IFERROR(INDEX(醫師週班表!$C$5:$T$44,$CU21,E$57),""))))))</f>
        <v/>
      </c>
      <c r="F21" s="68">
        <f>IF(F$59="X","",IF(F$59&lt;&gt;"",F$59,IF(IFERROR(INDEX(醫師週班表!$C$5:$T$44,$CU21,F$57),"")=0,"",IF(LEN(IFERROR(INDEX(醫師週班表!$C$5:$T$44,$CU21,F$57),""))=4,MID(IFERROR(INDEX(醫師週班表!$C$5:$T$44,$CU21,F$57),""),1+F$58*2,1),IF(LEN(IFERROR(INDEX(醫師週班表!$C$5:$T$44,$CU21,F$57),""))=2,IF(AND(RIGHT(IFERROR(INDEX(醫師週班表!$C$5:$T$44,$CU21,F$57),""),1)="~",F$58=1),"",LEFT(IFERROR(INDEX(醫師週班表!$C$5:$T$44,$CU21,F$57),""),1)),IFERROR(INDEX(醫師週班表!$C$5:$T$44,$CU21,F$57),""))))))</f>
        <v/>
      </c>
      <c r="G21" s="68">
        <f>IF(G$59="X","",IF(G$59&lt;&gt;"",G$59,IF(IFERROR(INDEX(醫師週班表!$C$5:$T$44,$CU21,G$57),"")=0,"",IF(LEN(IFERROR(INDEX(醫師週班表!$C$5:$T$44,$CU21,G$57),""))=4,MID(IFERROR(INDEX(醫師週班表!$C$5:$T$44,$CU21,G$57),""),1+G$58*2,1),IF(LEN(IFERROR(INDEX(醫師週班表!$C$5:$T$44,$CU21,G$57),""))=2,IF(AND(RIGHT(IFERROR(INDEX(醫師週班表!$C$5:$T$44,$CU21,G$57),""),1)="~",G$58=1),"",LEFT(IFERROR(INDEX(醫師週班表!$C$5:$T$44,$CU21,G$57),""),1)),IFERROR(INDEX(醫師週班表!$C$5:$T$44,$CU21,G$57),""))))))</f>
        <v/>
      </c>
      <c r="H21" s="67">
        <f>IF(H$59="X","",IF(H$59&lt;&gt;"",H$59,IF(IFERROR(INDEX(醫師週班表!$C$5:$T$44,$CU21,H$57),"")=0,"",IF(LEN(IFERROR(INDEX(醫師週班表!$C$5:$T$44,$CU21,H$57),""))=4,MID(IFERROR(INDEX(醫師週班表!$C$5:$T$44,$CU21,H$57),""),1+H$58*2,1),IF(LEN(IFERROR(INDEX(醫師週班表!$C$5:$T$44,$CU21,H$57),""))=2,IF(AND(RIGHT(IFERROR(INDEX(醫師週班表!$C$5:$T$44,$CU21,H$57),""),1)="~",H$58=1),"",LEFT(IFERROR(INDEX(醫師週班表!$C$5:$T$44,$CU21,H$57),""),1)),IFERROR(INDEX(醫師週班表!$C$5:$T$44,$CU21,H$57),""))))))</f>
        <v/>
      </c>
      <c r="I21" s="68">
        <f>IF(I$59="X","",IF(I$59&lt;&gt;"",I$59,IF(IFERROR(INDEX(醫師週班表!$C$5:$T$44,$CU21,I$57),"")=0,"",IF(LEN(IFERROR(INDEX(醫師週班表!$C$5:$T$44,$CU21,I$57),""))=4,MID(IFERROR(INDEX(醫師週班表!$C$5:$T$44,$CU21,I$57),""),1+I$58*2,1),IF(LEN(IFERROR(INDEX(醫師週班表!$C$5:$T$44,$CU21,I$57),""))=2,IF(AND(RIGHT(IFERROR(INDEX(醫師週班表!$C$5:$T$44,$CU21,I$57),""),1)="~",I$58=1),"",LEFT(IFERROR(INDEX(醫師週班表!$C$5:$T$44,$CU21,I$57),""),1)),IFERROR(INDEX(醫師週班表!$C$5:$T$44,$CU21,I$57),""))))))</f>
        <v/>
      </c>
      <c r="J21" s="68">
        <f>IF(J$59="X","",IF(J$59&lt;&gt;"",J$59,IF(IFERROR(INDEX(醫師週班表!$C$5:$T$44,$CU21,J$57),"")=0,"",IF(LEN(IFERROR(INDEX(醫師週班表!$C$5:$T$44,$CU21,J$57),""))=4,MID(IFERROR(INDEX(醫師週班表!$C$5:$T$44,$CU21,J$57),""),1+J$58*2,1),IF(LEN(IFERROR(INDEX(醫師週班表!$C$5:$T$44,$CU21,J$57),""))=2,IF(AND(RIGHT(IFERROR(INDEX(醫師週班表!$C$5:$T$44,$CU21,J$57),""),1)="~",J$58=1),"",LEFT(IFERROR(INDEX(醫師週班表!$C$5:$T$44,$CU21,J$57),""),1)),IFERROR(INDEX(醫師週班表!$C$5:$T$44,$CU21,J$57),""))))))</f>
        <v/>
      </c>
      <c r="K21" s="67">
        <f>IF(K$59="X","",IF(K$59&lt;&gt;"",K$59,IF(IFERROR(INDEX(醫師週班表!$C$5:$T$44,$CU21,K$57),"")=0,"",IF(LEN(IFERROR(INDEX(醫師週班表!$C$5:$T$44,$CU21,K$57),""))=4,MID(IFERROR(INDEX(醫師週班表!$C$5:$T$44,$CU21,K$57),""),1+K$58*2,1),IF(LEN(IFERROR(INDEX(醫師週班表!$C$5:$T$44,$CU21,K$57),""))=2,IF(AND(RIGHT(IFERROR(INDEX(醫師週班表!$C$5:$T$44,$CU21,K$57),""),1)="~",K$58=1),"",LEFT(IFERROR(INDEX(醫師週班表!$C$5:$T$44,$CU21,K$57),""),1)),IFERROR(INDEX(醫師週班表!$C$5:$T$44,$CU21,K$57),""))))))</f>
        <v/>
      </c>
      <c r="L21" s="68">
        <f>IF(L$59="X","",IF(L$59&lt;&gt;"",L$59,IF(IFERROR(INDEX(醫師週班表!$C$5:$T$44,$CU21,L$57),"")=0,"",IF(LEN(IFERROR(INDEX(醫師週班表!$C$5:$T$44,$CU21,L$57),""))=4,MID(IFERROR(INDEX(醫師週班表!$C$5:$T$44,$CU21,L$57),""),1+L$58*2,1),IF(LEN(IFERROR(INDEX(醫師週班表!$C$5:$T$44,$CU21,L$57),""))=2,IF(AND(RIGHT(IFERROR(INDEX(醫師週班表!$C$5:$T$44,$CU21,L$57),""),1)="~",L$58=1),"",LEFT(IFERROR(INDEX(醫師週班表!$C$5:$T$44,$CU21,L$57),""),1)),IFERROR(INDEX(醫師週班表!$C$5:$T$44,$CU21,L$57),""))))))</f>
        <v/>
      </c>
      <c r="M21" s="68">
        <f>IF(M$59="X","",IF(M$59&lt;&gt;"",M$59,IF(IFERROR(INDEX(醫師週班表!$C$5:$T$44,$CU21,M$57),"")=0,"",IF(LEN(IFERROR(INDEX(醫師週班表!$C$5:$T$44,$CU21,M$57),""))=4,MID(IFERROR(INDEX(醫師週班表!$C$5:$T$44,$CU21,M$57),""),1+M$58*2,1),IF(LEN(IFERROR(INDEX(醫師週班表!$C$5:$T$44,$CU21,M$57),""))=2,IF(AND(RIGHT(IFERROR(INDEX(醫師週班表!$C$5:$T$44,$CU21,M$57),""),1)="~",M$58=1),"",LEFT(IFERROR(INDEX(醫師週班表!$C$5:$T$44,$CU21,M$57),""),1)),IFERROR(INDEX(醫師週班表!$C$5:$T$44,$CU21,M$57),""))))))</f>
        <v/>
      </c>
      <c r="N21" s="67">
        <f>IF(N$59="X","",IF(N$59&lt;&gt;"",N$59,IF(IFERROR(INDEX(醫師週班表!$C$5:$T$44,$CU21,N$57),"")=0,"",IF(LEN(IFERROR(INDEX(醫師週班表!$C$5:$T$44,$CU21,N$57),""))=4,MID(IFERROR(INDEX(醫師週班表!$C$5:$T$44,$CU21,N$57),""),1+N$58*2,1),IF(LEN(IFERROR(INDEX(醫師週班表!$C$5:$T$44,$CU21,N$57),""))=2,IF(AND(RIGHT(IFERROR(INDEX(醫師週班表!$C$5:$T$44,$CU21,N$57),""),1)="~",N$58=1),"",LEFT(IFERROR(INDEX(醫師週班表!$C$5:$T$44,$CU21,N$57),""),1)),IFERROR(INDEX(醫師週班表!$C$5:$T$44,$CU21,N$57),""))))))</f>
        <v/>
      </c>
      <c r="O21" s="68">
        <f>IF(O$59="X","",IF(O$59&lt;&gt;"",O$59,IF(IFERROR(INDEX(醫師週班表!$C$5:$T$44,$CU21,O$57),"")=0,"",IF(LEN(IFERROR(INDEX(醫師週班表!$C$5:$T$44,$CU21,O$57),""))=4,MID(IFERROR(INDEX(醫師週班表!$C$5:$T$44,$CU21,O$57),""),1+O$58*2,1),IF(LEN(IFERROR(INDEX(醫師週班表!$C$5:$T$44,$CU21,O$57),""))=2,IF(AND(RIGHT(IFERROR(INDEX(醫師週班表!$C$5:$T$44,$CU21,O$57),""),1)="~",O$58=1),"",LEFT(IFERROR(INDEX(醫師週班表!$C$5:$T$44,$CU21,O$57),""),1)),IFERROR(INDEX(醫師週班表!$C$5:$T$44,$CU21,O$57),""))))))</f>
        <v/>
      </c>
      <c r="P21" s="68">
        <f>IF(P$59="X","",IF(P$59&lt;&gt;"",P$59,IF(IFERROR(INDEX(醫師週班表!$C$5:$T$44,$CU21,P$57),"")=0,"",IF(LEN(IFERROR(INDEX(醫師週班表!$C$5:$T$44,$CU21,P$57),""))=4,MID(IFERROR(INDEX(醫師週班表!$C$5:$T$44,$CU21,P$57),""),1+P$58*2,1),IF(LEN(IFERROR(INDEX(醫師週班表!$C$5:$T$44,$CU21,P$57),""))=2,IF(AND(RIGHT(IFERROR(INDEX(醫師週班表!$C$5:$T$44,$CU21,P$57),""),1)="~",P$58=1),"",LEFT(IFERROR(INDEX(醫師週班表!$C$5:$T$44,$CU21,P$57),""),1)),IFERROR(INDEX(醫師週班表!$C$5:$T$44,$CU21,P$57),""))))))</f>
        <v/>
      </c>
      <c r="Q21" s="67">
        <f>IF(Q$59="X","",IF(Q$59&lt;&gt;"",Q$59,IF(IFERROR(INDEX(醫師週班表!$C$5:$T$44,$CU21,Q$57),"")=0,"",IF(LEN(IFERROR(INDEX(醫師週班表!$C$5:$T$44,$CU21,Q$57),""))=4,MID(IFERROR(INDEX(醫師週班表!$C$5:$T$44,$CU21,Q$57),""),1+Q$58*2,1),IF(LEN(IFERROR(INDEX(醫師週班表!$C$5:$T$44,$CU21,Q$57),""))=2,IF(AND(RIGHT(IFERROR(INDEX(醫師週班表!$C$5:$T$44,$CU21,Q$57),""),1)="~",Q$58=1),"",LEFT(IFERROR(INDEX(醫師週班表!$C$5:$T$44,$CU21,Q$57),""),1)),IFERROR(INDEX(醫師週班表!$C$5:$T$44,$CU21,Q$57),""))))))</f>
        <v/>
      </c>
      <c r="R21" s="68">
        <f>IF(R$59="X","",IF(R$59&lt;&gt;"",R$59,IF(IFERROR(INDEX(醫師週班表!$C$5:$T$44,$CU21,R$57),"")=0,"",IF(LEN(IFERROR(INDEX(醫師週班表!$C$5:$T$44,$CU21,R$57),""))=4,MID(IFERROR(INDEX(醫師週班表!$C$5:$T$44,$CU21,R$57),""),1+R$58*2,1),IF(LEN(IFERROR(INDEX(醫師週班表!$C$5:$T$44,$CU21,R$57),""))=2,IF(AND(RIGHT(IFERROR(INDEX(醫師週班表!$C$5:$T$44,$CU21,R$57),""),1)="~",R$58=1),"",LEFT(IFERROR(INDEX(醫師週班表!$C$5:$T$44,$CU21,R$57),""),1)),IFERROR(INDEX(醫師週班表!$C$5:$T$44,$CU21,R$57),""))))))</f>
        <v/>
      </c>
      <c r="S21" s="68">
        <f>IF(S$59="X","",IF(S$59&lt;&gt;"",S$59,IF(IFERROR(INDEX(醫師週班表!$C$5:$T$44,$CU21,S$57),"")=0,"",IF(LEN(IFERROR(INDEX(醫師週班表!$C$5:$T$44,$CU21,S$57),""))=4,MID(IFERROR(INDEX(醫師週班表!$C$5:$T$44,$CU21,S$57),""),1+S$58*2,1),IF(LEN(IFERROR(INDEX(醫師週班表!$C$5:$T$44,$CU21,S$57),""))=2,IF(AND(RIGHT(IFERROR(INDEX(醫師週班表!$C$5:$T$44,$CU21,S$57),""),1)="~",S$58=1),"",LEFT(IFERROR(INDEX(醫師週班表!$C$5:$T$44,$CU21,S$57),""),1)),IFERROR(INDEX(醫師週班表!$C$5:$T$44,$CU21,S$57),""))))))</f>
        <v/>
      </c>
      <c r="T21" s="67">
        <f>IF(T$59="X","",IF(T$59&lt;&gt;"",T$59,IF(IFERROR(INDEX(醫師週班表!$C$5:$T$44,$CU21,T$57),"")=0,"",IF(LEN(IFERROR(INDEX(醫師週班表!$C$5:$T$44,$CU21,T$57),""))=4,MID(IFERROR(INDEX(醫師週班表!$C$5:$T$44,$CU21,T$57),""),1+T$58*2,1),IF(LEN(IFERROR(INDEX(醫師週班表!$C$5:$T$44,$CU21,T$57),""))=2,IF(AND(RIGHT(IFERROR(INDEX(醫師週班表!$C$5:$T$44,$CU21,T$57),""),1)="~",T$58=1),"",LEFT(IFERROR(INDEX(醫師週班表!$C$5:$T$44,$CU21,T$57),""),1)),IFERROR(INDEX(醫師週班表!$C$5:$T$44,$CU21,T$57),""))))))</f>
        <v/>
      </c>
      <c r="U21" s="68">
        <f>IF(U$59="X","",IF(U$59&lt;&gt;"",U$59,IF(IFERROR(INDEX(醫師週班表!$C$5:$T$44,$CU21,U$57),"")=0,"",IF(LEN(IFERROR(INDEX(醫師週班表!$C$5:$T$44,$CU21,U$57),""))=4,MID(IFERROR(INDEX(醫師週班表!$C$5:$T$44,$CU21,U$57),""),1+U$58*2,1),IF(LEN(IFERROR(INDEX(醫師週班表!$C$5:$T$44,$CU21,U$57),""))=2,IF(AND(RIGHT(IFERROR(INDEX(醫師週班表!$C$5:$T$44,$CU21,U$57),""),1)="~",U$58=1),"",LEFT(IFERROR(INDEX(醫師週班表!$C$5:$T$44,$CU21,U$57),""),1)),IFERROR(INDEX(醫師週班表!$C$5:$T$44,$CU21,U$57),""))))))</f>
        <v/>
      </c>
      <c r="V21" s="68">
        <f>IF(V$59="X","",IF(V$59&lt;&gt;"",V$59,IF(IFERROR(INDEX(醫師週班表!$C$5:$T$44,$CU21,V$57),"")=0,"",IF(LEN(IFERROR(INDEX(醫師週班表!$C$5:$T$44,$CU21,V$57),""))=4,MID(IFERROR(INDEX(醫師週班表!$C$5:$T$44,$CU21,V$57),""),1+V$58*2,1),IF(LEN(IFERROR(INDEX(醫師週班表!$C$5:$T$44,$CU21,V$57),""))=2,IF(AND(RIGHT(IFERROR(INDEX(醫師週班表!$C$5:$T$44,$CU21,V$57),""),1)="~",V$58=1),"",LEFT(IFERROR(INDEX(醫師週班表!$C$5:$T$44,$CU21,V$57),""),1)),IFERROR(INDEX(醫師週班表!$C$5:$T$44,$CU21,V$57),""))))))</f>
        <v/>
      </c>
      <c r="W21" s="67">
        <f>IF(W$59="X","",IF(W$59&lt;&gt;"",W$59,IF(IFERROR(INDEX(醫師週班表!$C$5:$T$44,$CU21,W$57),"")=0,"",IF(LEN(IFERROR(INDEX(醫師週班表!$C$5:$T$44,$CU21,W$57),""))=4,MID(IFERROR(INDEX(醫師週班表!$C$5:$T$44,$CU21,W$57),""),1+W$58*2,1),IF(LEN(IFERROR(INDEX(醫師週班表!$C$5:$T$44,$CU21,W$57),""))=2,IF(AND(RIGHT(IFERROR(INDEX(醫師週班表!$C$5:$T$44,$CU21,W$57),""),1)="~",W$58=1),"",LEFT(IFERROR(INDEX(醫師週班表!$C$5:$T$44,$CU21,W$57),""),1)),IFERROR(INDEX(醫師週班表!$C$5:$T$44,$CU21,W$57),""))))))</f>
        <v/>
      </c>
      <c r="X21" s="68">
        <f>IF(X$59="X","",IF(X$59&lt;&gt;"",X$59,IF(IFERROR(INDEX(醫師週班表!$C$5:$T$44,$CU21,X$57),"")=0,"",IF(LEN(IFERROR(INDEX(醫師週班表!$C$5:$T$44,$CU21,X$57),""))=4,MID(IFERROR(INDEX(醫師週班表!$C$5:$T$44,$CU21,X$57),""),1+X$58*2,1),IF(LEN(IFERROR(INDEX(醫師週班表!$C$5:$T$44,$CU21,X$57),""))=2,IF(AND(RIGHT(IFERROR(INDEX(醫師週班表!$C$5:$T$44,$CU21,X$57),""),1)="~",X$58=1),"",LEFT(IFERROR(INDEX(醫師週班表!$C$5:$T$44,$CU21,X$57),""),1)),IFERROR(INDEX(醫師週班表!$C$5:$T$44,$CU21,X$57),""))))))</f>
        <v/>
      </c>
      <c r="Y21" s="68">
        <f>IF(Y$59="X","",IF(Y$59&lt;&gt;"",Y$59,IF(IFERROR(INDEX(醫師週班表!$C$5:$T$44,$CU21,Y$57),"")=0,"",IF(LEN(IFERROR(INDEX(醫師週班表!$C$5:$T$44,$CU21,Y$57),""))=4,MID(IFERROR(INDEX(醫師週班表!$C$5:$T$44,$CU21,Y$57),""),1+Y$58*2,1),IF(LEN(IFERROR(INDEX(醫師週班表!$C$5:$T$44,$CU21,Y$57),""))=2,IF(AND(RIGHT(IFERROR(INDEX(醫師週班表!$C$5:$T$44,$CU21,Y$57),""),1)="~",Y$58=1),"",LEFT(IFERROR(INDEX(醫師週班表!$C$5:$T$44,$CU21,Y$57),""),1)),IFERROR(INDEX(醫師週班表!$C$5:$T$44,$CU21,Y$57),""))))))</f>
        <v/>
      </c>
      <c r="Z21" s="67">
        <f>IF(Z$59="X","",IF(Z$59&lt;&gt;"",Z$59,IF(IFERROR(INDEX(醫師週班表!$C$5:$T$44,$CU21,Z$57),"")=0,"",IF(LEN(IFERROR(INDEX(醫師週班表!$C$5:$T$44,$CU21,Z$57),""))=4,MID(IFERROR(INDEX(醫師週班表!$C$5:$T$44,$CU21,Z$57),""),1+Z$58*2,1),IF(LEN(IFERROR(INDEX(醫師週班表!$C$5:$T$44,$CU21,Z$57),""))=2,IF(AND(RIGHT(IFERROR(INDEX(醫師週班表!$C$5:$T$44,$CU21,Z$57),""),1)="~",Z$58=1),"",LEFT(IFERROR(INDEX(醫師週班表!$C$5:$T$44,$CU21,Z$57),""),1)),IFERROR(INDEX(醫師週班表!$C$5:$T$44,$CU21,Z$57),""))))))</f>
        <v/>
      </c>
      <c r="AA21" s="68">
        <f>IF(AA$59="X","",IF(AA$59&lt;&gt;"",AA$59,IF(IFERROR(INDEX(醫師週班表!$C$5:$T$44,$CU21,AA$57),"")=0,"",IF(LEN(IFERROR(INDEX(醫師週班表!$C$5:$T$44,$CU21,AA$57),""))=4,MID(IFERROR(INDEX(醫師週班表!$C$5:$T$44,$CU21,AA$57),""),1+AA$58*2,1),IF(LEN(IFERROR(INDEX(醫師週班表!$C$5:$T$44,$CU21,AA$57),""))=2,IF(AND(RIGHT(IFERROR(INDEX(醫師週班表!$C$5:$T$44,$CU21,AA$57),""),1)="~",AA$58=1),"",LEFT(IFERROR(INDEX(醫師週班表!$C$5:$T$44,$CU21,AA$57),""),1)),IFERROR(INDEX(醫師週班表!$C$5:$T$44,$CU21,AA$57),""))))))</f>
        <v/>
      </c>
      <c r="AB21" s="68">
        <f>IF(AB$59="X","",IF(AB$59&lt;&gt;"",AB$59,IF(IFERROR(INDEX(醫師週班表!$C$5:$T$44,$CU21,AB$57),"")=0,"",IF(LEN(IFERROR(INDEX(醫師週班表!$C$5:$T$44,$CU21,AB$57),""))=4,MID(IFERROR(INDEX(醫師週班表!$C$5:$T$44,$CU21,AB$57),""),1+AB$58*2,1),IF(LEN(IFERROR(INDEX(醫師週班表!$C$5:$T$44,$CU21,AB$57),""))=2,IF(AND(RIGHT(IFERROR(INDEX(醫師週班表!$C$5:$T$44,$CU21,AB$57),""),1)="~",AB$58=1),"",LEFT(IFERROR(INDEX(醫師週班表!$C$5:$T$44,$CU21,AB$57),""),1)),IFERROR(INDEX(醫師週班表!$C$5:$T$44,$CU21,AB$57),""))))))</f>
        <v/>
      </c>
      <c r="AC21" s="67">
        <f>IF(AC$59="X","",IF(AC$59&lt;&gt;"",AC$59,IF(IFERROR(INDEX(醫師週班表!$C$5:$T$44,$CU21,AC$57),"")=0,"",IF(LEN(IFERROR(INDEX(醫師週班表!$C$5:$T$44,$CU21,AC$57),""))=4,MID(IFERROR(INDEX(醫師週班表!$C$5:$T$44,$CU21,AC$57),""),1+AC$58*2,1),IF(LEN(IFERROR(INDEX(醫師週班表!$C$5:$T$44,$CU21,AC$57),""))=2,IF(AND(RIGHT(IFERROR(INDEX(醫師週班表!$C$5:$T$44,$CU21,AC$57),""),1)="~",AC$58=1),"",LEFT(IFERROR(INDEX(醫師週班表!$C$5:$T$44,$CU21,AC$57),""),1)),IFERROR(INDEX(醫師週班表!$C$5:$T$44,$CU21,AC$57),""))))))</f>
        <v/>
      </c>
      <c r="AD21" s="68">
        <f>IF(AD$59="X","",IF(AD$59&lt;&gt;"",AD$59,IF(IFERROR(INDEX(醫師週班表!$C$5:$T$44,$CU21,AD$57),"")=0,"",IF(LEN(IFERROR(INDEX(醫師週班表!$C$5:$T$44,$CU21,AD$57),""))=4,MID(IFERROR(INDEX(醫師週班表!$C$5:$T$44,$CU21,AD$57),""),1+AD$58*2,1),IF(LEN(IFERROR(INDEX(醫師週班表!$C$5:$T$44,$CU21,AD$57),""))=2,IF(AND(RIGHT(IFERROR(INDEX(醫師週班表!$C$5:$T$44,$CU21,AD$57),""),1)="~",AD$58=1),"",LEFT(IFERROR(INDEX(醫師週班表!$C$5:$T$44,$CU21,AD$57),""),1)),IFERROR(INDEX(醫師週班表!$C$5:$T$44,$CU21,AD$57),""))))))</f>
        <v/>
      </c>
      <c r="AE21" s="68">
        <f>IF(AE$59="X","",IF(AE$59&lt;&gt;"",AE$59,IF(IFERROR(INDEX(醫師週班表!$C$5:$T$44,$CU21,AE$57),"")=0,"",IF(LEN(IFERROR(INDEX(醫師週班表!$C$5:$T$44,$CU21,AE$57),""))=4,MID(IFERROR(INDEX(醫師週班表!$C$5:$T$44,$CU21,AE$57),""),1+AE$58*2,1),IF(LEN(IFERROR(INDEX(醫師週班表!$C$5:$T$44,$CU21,AE$57),""))=2,IF(AND(RIGHT(IFERROR(INDEX(醫師週班表!$C$5:$T$44,$CU21,AE$57),""),1)="~",AE$58=1),"",LEFT(IFERROR(INDEX(醫師週班表!$C$5:$T$44,$CU21,AE$57),""),1)),IFERROR(INDEX(醫師週班表!$C$5:$T$44,$CU21,AE$57),""))))))</f>
        <v/>
      </c>
      <c r="AF21" s="67">
        <f>IF(AF$59="X","",IF(AF$59&lt;&gt;"",AF$59,IF(IFERROR(INDEX(醫師週班表!$C$5:$T$44,$CU21,AF$57),"")=0,"",IF(LEN(IFERROR(INDEX(醫師週班表!$C$5:$T$44,$CU21,AF$57),""))=4,MID(IFERROR(INDEX(醫師週班表!$C$5:$T$44,$CU21,AF$57),""),1+AF$58*2,1),IF(LEN(IFERROR(INDEX(醫師週班表!$C$5:$T$44,$CU21,AF$57),""))=2,IF(AND(RIGHT(IFERROR(INDEX(醫師週班表!$C$5:$T$44,$CU21,AF$57),""),1)="~",AF$58=1),"",LEFT(IFERROR(INDEX(醫師週班表!$C$5:$T$44,$CU21,AF$57),""),1)),IFERROR(INDEX(醫師週班表!$C$5:$T$44,$CU21,AF$57),""))))))</f>
        <v/>
      </c>
      <c r="AG21" s="68">
        <f>IF(AG$59="X","",IF(AG$59&lt;&gt;"",AG$59,IF(IFERROR(INDEX(醫師週班表!$C$5:$T$44,$CU21,AG$57),"")=0,"",IF(LEN(IFERROR(INDEX(醫師週班表!$C$5:$T$44,$CU21,AG$57),""))=4,MID(IFERROR(INDEX(醫師週班表!$C$5:$T$44,$CU21,AG$57),""),1+AG$58*2,1),IF(LEN(IFERROR(INDEX(醫師週班表!$C$5:$T$44,$CU21,AG$57),""))=2,IF(AND(RIGHT(IFERROR(INDEX(醫師週班表!$C$5:$T$44,$CU21,AG$57),""),1)="~",AG$58=1),"",LEFT(IFERROR(INDEX(醫師週班表!$C$5:$T$44,$CU21,AG$57),""),1)),IFERROR(INDEX(醫師週班表!$C$5:$T$44,$CU21,AG$57),""))))))</f>
        <v/>
      </c>
      <c r="AH21" s="68">
        <f>IF(AH$59="X","",IF(AH$59&lt;&gt;"",AH$59,IF(IFERROR(INDEX(醫師週班表!$C$5:$T$44,$CU21,AH$57),"")=0,"",IF(LEN(IFERROR(INDEX(醫師週班表!$C$5:$T$44,$CU21,AH$57),""))=4,MID(IFERROR(INDEX(醫師週班表!$C$5:$T$44,$CU21,AH$57),""),1+AH$58*2,1),IF(LEN(IFERROR(INDEX(醫師週班表!$C$5:$T$44,$CU21,AH$57),""))=2,IF(AND(RIGHT(IFERROR(INDEX(醫師週班表!$C$5:$T$44,$CU21,AH$57),""),1)="~",AH$58=1),"",LEFT(IFERROR(INDEX(醫師週班表!$C$5:$T$44,$CU21,AH$57),""),1)),IFERROR(INDEX(醫師週班表!$C$5:$T$44,$CU21,AH$57),""))))))</f>
        <v/>
      </c>
      <c r="AI21" s="67">
        <f>IF(AI$59="X","",IF(AI$59&lt;&gt;"",AI$59,IF(IFERROR(INDEX(醫師週班表!$C$5:$T$44,$CU21,AI$57),"")=0,"",IF(LEN(IFERROR(INDEX(醫師週班表!$C$5:$T$44,$CU21,AI$57),""))=4,MID(IFERROR(INDEX(醫師週班表!$C$5:$T$44,$CU21,AI$57),""),1+AI$58*2,1),IF(LEN(IFERROR(INDEX(醫師週班表!$C$5:$T$44,$CU21,AI$57),""))=2,IF(AND(RIGHT(IFERROR(INDEX(醫師週班表!$C$5:$T$44,$CU21,AI$57),""),1)="~",AI$58=1),"",LEFT(IFERROR(INDEX(醫師週班表!$C$5:$T$44,$CU21,AI$57),""),1)),IFERROR(INDEX(醫師週班表!$C$5:$T$44,$CU21,AI$57),""))))))</f>
        <v/>
      </c>
      <c r="AJ21" s="68">
        <f>IF(AJ$59="X","",IF(AJ$59&lt;&gt;"",AJ$59,IF(IFERROR(INDEX(醫師週班表!$C$5:$T$44,$CU21,AJ$57),"")=0,"",IF(LEN(IFERROR(INDEX(醫師週班表!$C$5:$T$44,$CU21,AJ$57),""))=4,MID(IFERROR(INDEX(醫師週班表!$C$5:$T$44,$CU21,AJ$57),""),1+AJ$58*2,1),IF(LEN(IFERROR(INDEX(醫師週班表!$C$5:$T$44,$CU21,AJ$57),""))=2,IF(AND(RIGHT(IFERROR(INDEX(醫師週班表!$C$5:$T$44,$CU21,AJ$57),""),1)="~",AJ$58=1),"",LEFT(IFERROR(INDEX(醫師週班表!$C$5:$T$44,$CU21,AJ$57),""),1)),IFERROR(INDEX(醫師週班表!$C$5:$T$44,$CU21,AJ$57),""))))))</f>
        <v/>
      </c>
      <c r="AK21" s="68">
        <f>IF(AK$59="X","",IF(AK$59&lt;&gt;"",AK$59,IF(IFERROR(INDEX(醫師週班表!$C$5:$T$44,$CU21,AK$57),"")=0,"",IF(LEN(IFERROR(INDEX(醫師週班表!$C$5:$T$44,$CU21,AK$57),""))=4,MID(IFERROR(INDEX(醫師週班表!$C$5:$T$44,$CU21,AK$57),""),1+AK$58*2,1),IF(LEN(IFERROR(INDEX(醫師週班表!$C$5:$T$44,$CU21,AK$57),""))=2,IF(AND(RIGHT(IFERROR(INDEX(醫師週班表!$C$5:$T$44,$CU21,AK$57),""),1)="~",AK$58=1),"",LEFT(IFERROR(INDEX(醫師週班表!$C$5:$T$44,$CU21,AK$57),""),1)),IFERROR(INDEX(醫師週班表!$C$5:$T$44,$CU21,AK$57),""))))))</f>
        <v/>
      </c>
      <c r="AL21" s="67">
        <f>IF(AL$59="X","",IF(AL$59&lt;&gt;"",AL$59,IF(IFERROR(INDEX(醫師週班表!$C$5:$T$44,$CU21,AL$57),"")=0,"",IF(LEN(IFERROR(INDEX(醫師週班表!$C$5:$T$44,$CU21,AL$57),""))=4,MID(IFERROR(INDEX(醫師週班表!$C$5:$T$44,$CU21,AL$57),""),1+AL$58*2,1),IF(LEN(IFERROR(INDEX(醫師週班表!$C$5:$T$44,$CU21,AL$57),""))=2,IF(AND(RIGHT(IFERROR(INDEX(醫師週班表!$C$5:$T$44,$CU21,AL$57),""),1)="~",AL$58=1),"",LEFT(IFERROR(INDEX(醫師週班表!$C$5:$T$44,$CU21,AL$57),""),1)),IFERROR(INDEX(醫師週班表!$C$5:$T$44,$CU21,AL$57),""))))))</f>
        <v/>
      </c>
      <c r="AM21" s="68">
        <f>IF(AM$59="X","",IF(AM$59&lt;&gt;"",AM$59,IF(IFERROR(INDEX(醫師週班表!$C$5:$T$44,$CU21,AM$57),"")=0,"",IF(LEN(IFERROR(INDEX(醫師週班表!$C$5:$T$44,$CU21,AM$57),""))=4,MID(IFERROR(INDEX(醫師週班表!$C$5:$T$44,$CU21,AM$57),""),1+AM$58*2,1),IF(LEN(IFERROR(INDEX(醫師週班表!$C$5:$T$44,$CU21,AM$57),""))=2,IF(AND(RIGHT(IFERROR(INDEX(醫師週班表!$C$5:$T$44,$CU21,AM$57),""),1)="~",AM$58=1),"",LEFT(IFERROR(INDEX(醫師週班表!$C$5:$T$44,$CU21,AM$57),""),1)),IFERROR(INDEX(醫師週班表!$C$5:$T$44,$CU21,AM$57),""))))))</f>
        <v/>
      </c>
      <c r="AN21" s="68">
        <f>IF(AN$59="X","",IF(AN$59&lt;&gt;"",AN$59,IF(IFERROR(INDEX(醫師週班表!$C$5:$T$44,$CU21,AN$57),"")=0,"",IF(LEN(IFERROR(INDEX(醫師週班表!$C$5:$T$44,$CU21,AN$57),""))=4,MID(IFERROR(INDEX(醫師週班表!$C$5:$T$44,$CU21,AN$57),""),1+AN$58*2,1),IF(LEN(IFERROR(INDEX(醫師週班表!$C$5:$T$44,$CU21,AN$57),""))=2,IF(AND(RIGHT(IFERROR(INDEX(醫師週班表!$C$5:$T$44,$CU21,AN$57),""),1)="~",AN$58=1),"",LEFT(IFERROR(INDEX(醫師週班表!$C$5:$T$44,$CU21,AN$57),""),1)),IFERROR(INDEX(醫師週班表!$C$5:$T$44,$CU21,AN$57),""))))))</f>
        <v/>
      </c>
      <c r="AO21" s="67">
        <f>IF(AO$59="X","",IF(AO$59&lt;&gt;"",AO$59,IF(IFERROR(INDEX(醫師週班表!$C$5:$T$44,$CU21,AO$57),"")=0,"",IF(LEN(IFERROR(INDEX(醫師週班表!$C$5:$T$44,$CU21,AO$57),""))=4,MID(IFERROR(INDEX(醫師週班表!$C$5:$T$44,$CU21,AO$57),""),1+AO$58*2,1),IF(LEN(IFERROR(INDEX(醫師週班表!$C$5:$T$44,$CU21,AO$57),""))=2,IF(AND(RIGHT(IFERROR(INDEX(醫師週班表!$C$5:$T$44,$CU21,AO$57),""),1)="~",AO$58=1),"",LEFT(IFERROR(INDEX(醫師週班表!$C$5:$T$44,$CU21,AO$57),""),1)),IFERROR(INDEX(醫師週班表!$C$5:$T$44,$CU21,AO$57),""))))))</f>
        <v/>
      </c>
      <c r="AP21" s="68">
        <f>IF(AP$59="X","",IF(AP$59&lt;&gt;"",AP$59,IF(IFERROR(INDEX(醫師週班表!$C$5:$T$44,$CU21,AP$57),"")=0,"",IF(LEN(IFERROR(INDEX(醫師週班表!$C$5:$T$44,$CU21,AP$57),""))=4,MID(IFERROR(INDEX(醫師週班表!$C$5:$T$44,$CU21,AP$57),""),1+AP$58*2,1),IF(LEN(IFERROR(INDEX(醫師週班表!$C$5:$T$44,$CU21,AP$57),""))=2,IF(AND(RIGHT(IFERROR(INDEX(醫師週班表!$C$5:$T$44,$CU21,AP$57),""),1)="~",AP$58=1),"",LEFT(IFERROR(INDEX(醫師週班表!$C$5:$T$44,$CU21,AP$57),""),1)),IFERROR(INDEX(醫師週班表!$C$5:$T$44,$CU21,AP$57),""))))))</f>
        <v/>
      </c>
      <c r="AQ21" s="68">
        <f>IF(AQ$59="X","",IF(AQ$59&lt;&gt;"",AQ$59,IF(IFERROR(INDEX(醫師週班表!$C$5:$T$44,$CU21,AQ$57),"")=0,"",IF(LEN(IFERROR(INDEX(醫師週班表!$C$5:$T$44,$CU21,AQ$57),""))=4,MID(IFERROR(INDEX(醫師週班表!$C$5:$T$44,$CU21,AQ$57),""),1+AQ$58*2,1),IF(LEN(IFERROR(INDEX(醫師週班表!$C$5:$T$44,$CU21,AQ$57),""))=2,IF(AND(RIGHT(IFERROR(INDEX(醫師週班表!$C$5:$T$44,$CU21,AQ$57),""),1)="~",AQ$58=1),"",LEFT(IFERROR(INDEX(醫師週班表!$C$5:$T$44,$CU21,AQ$57),""),1)),IFERROR(INDEX(醫師週班表!$C$5:$T$44,$CU21,AQ$57),""))))))</f>
        <v/>
      </c>
      <c r="AR21" s="67">
        <f>IF(AR$59="X","",IF(AR$59&lt;&gt;"",AR$59,IF(IFERROR(INDEX(醫師週班表!$C$5:$T$44,$CU21,AR$57),"")=0,"",IF(LEN(IFERROR(INDEX(醫師週班表!$C$5:$T$44,$CU21,AR$57),""))=4,MID(IFERROR(INDEX(醫師週班表!$C$5:$T$44,$CU21,AR$57),""),1+AR$58*2,1),IF(LEN(IFERROR(INDEX(醫師週班表!$C$5:$T$44,$CU21,AR$57),""))=2,IF(AND(RIGHT(IFERROR(INDEX(醫師週班表!$C$5:$T$44,$CU21,AR$57),""),1)="~",AR$58=1),"",LEFT(IFERROR(INDEX(醫師週班表!$C$5:$T$44,$CU21,AR$57),""),1)),IFERROR(INDEX(醫師週班表!$C$5:$T$44,$CU21,AR$57),""))))))</f>
        <v/>
      </c>
      <c r="AS21" s="68">
        <f>IF(AS$59="X","",IF(AS$59&lt;&gt;"",AS$59,IF(IFERROR(INDEX(醫師週班表!$C$5:$T$44,$CU21,AS$57),"")=0,"",IF(LEN(IFERROR(INDEX(醫師週班表!$C$5:$T$44,$CU21,AS$57),""))=4,MID(IFERROR(INDEX(醫師週班表!$C$5:$T$44,$CU21,AS$57),""),1+AS$58*2,1),IF(LEN(IFERROR(INDEX(醫師週班表!$C$5:$T$44,$CU21,AS$57),""))=2,IF(AND(RIGHT(IFERROR(INDEX(醫師週班表!$C$5:$T$44,$CU21,AS$57),""),1)="~",AS$58=1),"",LEFT(IFERROR(INDEX(醫師週班表!$C$5:$T$44,$CU21,AS$57),""),1)),IFERROR(INDEX(醫師週班表!$C$5:$T$44,$CU21,AS$57),""))))))</f>
        <v/>
      </c>
      <c r="AT21" s="68">
        <f>IF(AT$59="X","",IF(AT$59&lt;&gt;"",AT$59,IF(IFERROR(INDEX(醫師週班表!$C$5:$T$44,$CU21,AT$57),"")=0,"",IF(LEN(IFERROR(INDEX(醫師週班表!$C$5:$T$44,$CU21,AT$57),""))=4,MID(IFERROR(INDEX(醫師週班表!$C$5:$T$44,$CU21,AT$57),""),1+AT$58*2,1),IF(LEN(IFERROR(INDEX(醫師週班表!$C$5:$T$44,$CU21,AT$57),""))=2,IF(AND(RIGHT(IFERROR(INDEX(醫師週班表!$C$5:$T$44,$CU21,AT$57),""),1)="~",AT$58=1),"",LEFT(IFERROR(INDEX(醫師週班表!$C$5:$T$44,$CU21,AT$57),""),1)),IFERROR(INDEX(醫師週班表!$C$5:$T$44,$CU21,AT$57),""))))))</f>
        <v/>
      </c>
      <c r="AU21" s="67">
        <f>IF(AU$59="X","",IF(AU$59&lt;&gt;"",AU$59,IF(IFERROR(INDEX(醫師週班表!$C$5:$T$44,$CU21,AU$57),"")=0,"",IF(LEN(IFERROR(INDEX(醫師週班表!$C$5:$T$44,$CU21,AU$57),""))=4,MID(IFERROR(INDEX(醫師週班表!$C$5:$T$44,$CU21,AU$57),""),1+AU$58*2,1),IF(LEN(IFERROR(INDEX(醫師週班表!$C$5:$T$44,$CU21,AU$57),""))=2,IF(AND(RIGHT(IFERROR(INDEX(醫師週班表!$C$5:$T$44,$CU21,AU$57),""),1)="~",AU$58=1),"",LEFT(IFERROR(INDEX(醫師週班表!$C$5:$T$44,$CU21,AU$57),""),1)),IFERROR(INDEX(醫師週班表!$C$5:$T$44,$CU21,AU$57),""))))))</f>
        <v/>
      </c>
      <c r="AV21" s="68">
        <f>IF(AV$59="X","",IF(AV$59&lt;&gt;"",AV$59,IF(IFERROR(INDEX(醫師週班表!$C$5:$T$44,$CU21,AV$57),"")=0,"",IF(LEN(IFERROR(INDEX(醫師週班表!$C$5:$T$44,$CU21,AV$57),""))=4,MID(IFERROR(INDEX(醫師週班表!$C$5:$T$44,$CU21,AV$57),""),1+AV$58*2,1),IF(LEN(IFERROR(INDEX(醫師週班表!$C$5:$T$44,$CU21,AV$57),""))=2,IF(AND(RIGHT(IFERROR(INDEX(醫師週班表!$C$5:$T$44,$CU21,AV$57),""),1)="~",AV$58=1),"",LEFT(IFERROR(INDEX(醫師週班表!$C$5:$T$44,$CU21,AV$57),""),1)),IFERROR(INDEX(醫師週班表!$C$5:$T$44,$CU21,AV$57),""))))))</f>
        <v/>
      </c>
      <c r="AW21" s="68">
        <f>IF(AW$59="X","",IF(AW$59&lt;&gt;"",AW$59,IF(IFERROR(INDEX(醫師週班表!$C$5:$T$44,$CU21,AW$57),"")=0,"",IF(LEN(IFERROR(INDEX(醫師週班表!$C$5:$T$44,$CU21,AW$57),""))=4,MID(IFERROR(INDEX(醫師週班表!$C$5:$T$44,$CU21,AW$57),""),1+AW$58*2,1),IF(LEN(IFERROR(INDEX(醫師週班表!$C$5:$T$44,$CU21,AW$57),""))=2,IF(AND(RIGHT(IFERROR(INDEX(醫師週班表!$C$5:$T$44,$CU21,AW$57),""),1)="~",AW$58=1),"",LEFT(IFERROR(INDEX(醫師週班表!$C$5:$T$44,$CU21,AW$57),""),1)),IFERROR(INDEX(醫師週班表!$C$5:$T$44,$CU21,AW$57),""))))))</f>
        <v/>
      </c>
      <c r="AX21" s="67">
        <f>IF(AX$59="X","",IF(AX$59&lt;&gt;"",AX$59,IF(IFERROR(INDEX(醫師週班表!$C$5:$T$44,$CU21,AX$57),"")=0,"",IF(LEN(IFERROR(INDEX(醫師週班表!$C$5:$T$44,$CU21,AX$57),""))=4,MID(IFERROR(INDEX(醫師週班表!$C$5:$T$44,$CU21,AX$57),""),1+AX$58*2,1),IF(LEN(IFERROR(INDEX(醫師週班表!$C$5:$T$44,$CU21,AX$57),""))=2,IF(AND(RIGHT(IFERROR(INDEX(醫師週班表!$C$5:$T$44,$CU21,AX$57),""),1)="~",AX$58=1),"",LEFT(IFERROR(INDEX(醫師週班表!$C$5:$T$44,$CU21,AX$57),""),1)),IFERROR(INDEX(醫師週班表!$C$5:$T$44,$CU21,AX$57),""))))))</f>
        <v/>
      </c>
      <c r="AY21" s="68">
        <f>IF(AY$59="X","",IF(AY$59&lt;&gt;"",AY$59,IF(IFERROR(INDEX(醫師週班表!$C$5:$T$44,$CU21,AY$57),"")=0,"",IF(LEN(IFERROR(INDEX(醫師週班表!$C$5:$T$44,$CU21,AY$57),""))=4,MID(IFERROR(INDEX(醫師週班表!$C$5:$T$44,$CU21,AY$57),""),1+AY$58*2,1),IF(LEN(IFERROR(INDEX(醫師週班表!$C$5:$T$44,$CU21,AY$57),""))=2,IF(AND(RIGHT(IFERROR(INDEX(醫師週班表!$C$5:$T$44,$CU21,AY$57),""),1)="~",AY$58=1),"",LEFT(IFERROR(INDEX(醫師週班表!$C$5:$T$44,$CU21,AY$57),""),1)),IFERROR(INDEX(醫師週班表!$C$5:$T$44,$CU21,AY$57),""))))))</f>
        <v/>
      </c>
      <c r="AZ21" s="68">
        <f>IF(AZ$59="X","",IF(AZ$59&lt;&gt;"",AZ$59,IF(IFERROR(INDEX(醫師週班表!$C$5:$T$44,$CU21,AZ$57),"")=0,"",IF(LEN(IFERROR(INDEX(醫師週班表!$C$5:$T$44,$CU21,AZ$57),""))=4,MID(IFERROR(INDEX(醫師週班表!$C$5:$T$44,$CU21,AZ$57),""),1+AZ$58*2,1),IF(LEN(IFERROR(INDEX(醫師週班表!$C$5:$T$44,$CU21,AZ$57),""))=2,IF(AND(RIGHT(IFERROR(INDEX(醫師週班表!$C$5:$T$44,$CU21,AZ$57),""),1)="~",AZ$58=1),"",LEFT(IFERROR(INDEX(醫師週班表!$C$5:$T$44,$CU21,AZ$57),""),1)),IFERROR(INDEX(醫師週班表!$C$5:$T$44,$CU21,AZ$57),""))))))</f>
        <v/>
      </c>
      <c r="BA21" s="67">
        <f>IF(BA$59="X","",IF(BA$59&lt;&gt;"",BA$59,IF(IFERROR(INDEX(醫師週班表!$C$5:$T$44,$CU21,BA$57),"")=0,"",IF(LEN(IFERROR(INDEX(醫師週班表!$C$5:$T$44,$CU21,BA$57),""))=4,MID(IFERROR(INDEX(醫師週班表!$C$5:$T$44,$CU21,BA$57),""),1+BA$58*2,1),IF(LEN(IFERROR(INDEX(醫師週班表!$C$5:$T$44,$CU21,BA$57),""))=2,IF(AND(RIGHT(IFERROR(INDEX(醫師週班表!$C$5:$T$44,$CU21,BA$57),""),1)="~",BA$58=1),"",LEFT(IFERROR(INDEX(醫師週班表!$C$5:$T$44,$CU21,BA$57),""),1)),IFERROR(INDEX(醫師週班表!$C$5:$T$44,$CU21,BA$57),""))))))</f>
        <v/>
      </c>
      <c r="BB21" s="68">
        <f>IF(BB$59="X","",IF(BB$59&lt;&gt;"",BB$59,IF(IFERROR(INDEX(醫師週班表!$C$5:$T$44,$CU21,BB$57),"")=0,"",IF(LEN(IFERROR(INDEX(醫師週班表!$C$5:$T$44,$CU21,BB$57),""))=4,MID(IFERROR(INDEX(醫師週班表!$C$5:$T$44,$CU21,BB$57),""),1+BB$58*2,1),IF(LEN(IFERROR(INDEX(醫師週班表!$C$5:$T$44,$CU21,BB$57),""))=2,IF(AND(RIGHT(IFERROR(INDEX(醫師週班表!$C$5:$T$44,$CU21,BB$57),""),1)="~",BB$58=1),"",LEFT(IFERROR(INDEX(醫師週班表!$C$5:$T$44,$CU21,BB$57),""),1)),IFERROR(INDEX(醫師週班表!$C$5:$T$44,$CU21,BB$57),""))))))</f>
        <v/>
      </c>
      <c r="BC21" s="68">
        <f>IF(BC$59="X","",IF(BC$59&lt;&gt;"",BC$59,IF(IFERROR(INDEX(醫師週班表!$C$5:$T$44,$CU21,BC$57),"")=0,"",IF(LEN(IFERROR(INDEX(醫師週班表!$C$5:$T$44,$CU21,BC$57),""))=4,MID(IFERROR(INDEX(醫師週班表!$C$5:$T$44,$CU21,BC$57),""),1+BC$58*2,1),IF(LEN(IFERROR(INDEX(醫師週班表!$C$5:$T$44,$CU21,BC$57),""))=2,IF(AND(RIGHT(IFERROR(INDEX(醫師週班表!$C$5:$T$44,$CU21,BC$57),""),1)="~",BC$58=1),"",LEFT(IFERROR(INDEX(醫師週班表!$C$5:$T$44,$CU21,BC$57),""),1)),IFERROR(INDEX(醫師週班表!$C$5:$T$44,$CU21,BC$57),""))))))</f>
        <v/>
      </c>
      <c r="BD21" s="67">
        <f>IF(BD$59="X","",IF(BD$59&lt;&gt;"",BD$59,IF(IFERROR(INDEX(醫師週班表!$C$5:$T$44,$CU21,BD$57),"")=0,"",IF(LEN(IFERROR(INDEX(醫師週班表!$C$5:$T$44,$CU21,BD$57),""))=4,MID(IFERROR(INDEX(醫師週班表!$C$5:$T$44,$CU21,BD$57),""),1+BD$58*2,1),IF(LEN(IFERROR(INDEX(醫師週班表!$C$5:$T$44,$CU21,BD$57),""))=2,IF(AND(RIGHT(IFERROR(INDEX(醫師週班表!$C$5:$T$44,$CU21,BD$57),""),1)="~",BD$58=1),"",LEFT(IFERROR(INDEX(醫師週班表!$C$5:$T$44,$CU21,BD$57),""),1)),IFERROR(INDEX(醫師週班表!$C$5:$T$44,$CU21,BD$57),""))))))</f>
        <v/>
      </c>
      <c r="BE21" s="68">
        <f>IF(BE$59="X","",IF(BE$59&lt;&gt;"",BE$59,IF(IFERROR(INDEX(醫師週班表!$C$5:$T$44,$CU21,BE$57),"")=0,"",IF(LEN(IFERROR(INDEX(醫師週班表!$C$5:$T$44,$CU21,BE$57),""))=4,MID(IFERROR(INDEX(醫師週班表!$C$5:$T$44,$CU21,BE$57),""),1+BE$58*2,1),IF(LEN(IFERROR(INDEX(醫師週班表!$C$5:$T$44,$CU21,BE$57),""))=2,IF(AND(RIGHT(IFERROR(INDEX(醫師週班表!$C$5:$T$44,$CU21,BE$57),""),1)="~",BE$58=1),"",LEFT(IFERROR(INDEX(醫師週班表!$C$5:$T$44,$CU21,BE$57),""),1)),IFERROR(INDEX(醫師週班表!$C$5:$T$44,$CU21,BE$57),""))))))</f>
        <v/>
      </c>
      <c r="BF21" s="68">
        <f>IF(BF$59="X","",IF(BF$59&lt;&gt;"",BF$59,IF(IFERROR(INDEX(醫師週班表!$C$5:$T$44,$CU21,BF$57),"")=0,"",IF(LEN(IFERROR(INDEX(醫師週班表!$C$5:$T$44,$CU21,BF$57),""))=4,MID(IFERROR(INDEX(醫師週班表!$C$5:$T$44,$CU21,BF$57),""),1+BF$58*2,1),IF(LEN(IFERROR(INDEX(醫師週班表!$C$5:$T$44,$CU21,BF$57),""))=2,IF(AND(RIGHT(IFERROR(INDEX(醫師週班表!$C$5:$T$44,$CU21,BF$57),""),1)="~",BF$58=1),"",LEFT(IFERROR(INDEX(醫師週班表!$C$5:$T$44,$CU21,BF$57),""),1)),IFERROR(INDEX(醫師週班表!$C$5:$T$44,$CU21,BF$57),""))))))</f>
        <v/>
      </c>
      <c r="BG21" s="67">
        <f>IF(BG$59="X","",IF(BG$59&lt;&gt;"",BG$59,IF(IFERROR(INDEX(醫師週班表!$C$5:$T$44,$CU21,BG$57),"")=0,"",IF(LEN(IFERROR(INDEX(醫師週班表!$C$5:$T$44,$CU21,BG$57),""))=4,MID(IFERROR(INDEX(醫師週班表!$C$5:$T$44,$CU21,BG$57),""),1+BG$58*2,1),IF(LEN(IFERROR(INDEX(醫師週班表!$C$5:$T$44,$CU21,BG$57),""))=2,IF(AND(RIGHT(IFERROR(INDEX(醫師週班表!$C$5:$T$44,$CU21,BG$57),""),1)="~",BG$58=1),"",LEFT(IFERROR(INDEX(醫師週班表!$C$5:$T$44,$CU21,BG$57),""),1)),IFERROR(INDEX(醫師週班表!$C$5:$T$44,$CU21,BG$57),""))))))</f>
        <v/>
      </c>
      <c r="BH21" s="68">
        <f>IF(BH$59="X","",IF(BH$59&lt;&gt;"",BH$59,IF(IFERROR(INDEX(醫師週班表!$C$5:$T$44,$CU21,BH$57),"")=0,"",IF(LEN(IFERROR(INDEX(醫師週班表!$C$5:$T$44,$CU21,BH$57),""))=4,MID(IFERROR(INDEX(醫師週班表!$C$5:$T$44,$CU21,BH$57),""),1+BH$58*2,1),IF(LEN(IFERROR(INDEX(醫師週班表!$C$5:$T$44,$CU21,BH$57),""))=2,IF(AND(RIGHT(IFERROR(INDEX(醫師週班表!$C$5:$T$44,$CU21,BH$57),""),1)="~",BH$58=1),"",LEFT(IFERROR(INDEX(醫師週班表!$C$5:$T$44,$CU21,BH$57),""),1)),IFERROR(INDEX(醫師週班表!$C$5:$T$44,$CU21,BH$57),""))))))</f>
        <v/>
      </c>
      <c r="BI21" s="68">
        <f>IF(BI$59="X","",IF(BI$59&lt;&gt;"",BI$59,IF(IFERROR(INDEX(醫師週班表!$C$5:$T$44,$CU21,BI$57),"")=0,"",IF(LEN(IFERROR(INDEX(醫師週班表!$C$5:$T$44,$CU21,BI$57),""))=4,MID(IFERROR(INDEX(醫師週班表!$C$5:$T$44,$CU21,BI$57),""),1+BI$58*2,1),IF(LEN(IFERROR(INDEX(醫師週班表!$C$5:$T$44,$CU21,BI$57),""))=2,IF(AND(RIGHT(IFERROR(INDEX(醫師週班表!$C$5:$T$44,$CU21,BI$57),""),1)="~",BI$58=1),"",LEFT(IFERROR(INDEX(醫師週班表!$C$5:$T$44,$CU21,BI$57),""),1)),IFERROR(INDEX(醫師週班表!$C$5:$T$44,$CU21,BI$57),""))))))</f>
        <v/>
      </c>
      <c r="BJ21" s="67">
        <f>IF(BJ$59="X","",IF(BJ$59&lt;&gt;"",BJ$59,IF(IFERROR(INDEX(醫師週班表!$C$5:$T$44,$CU21,BJ$57),"")=0,"",IF(LEN(IFERROR(INDEX(醫師週班表!$C$5:$T$44,$CU21,BJ$57),""))=4,MID(IFERROR(INDEX(醫師週班表!$C$5:$T$44,$CU21,BJ$57),""),1+BJ$58*2,1),IF(LEN(IFERROR(INDEX(醫師週班表!$C$5:$T$44,$CU21,BJ$57),""))=2,IF(AND(RIGHT(IFERROR(INDEX(醫師週班表!$C$5:$T$44,$CU21,BJ$57),""),1)="~",BJ$58=1),"",LEFT(IFERROR(INDEX(醫師週班表!$C$5:$T$44,$CU21,BJ$57),""),1)),IFERROR(INDEX(醫師週班表!$C$5:$T$44,$CU21,BJ$57),""))))))</f>
        <v/>
      </c>
      <c r="BK21" s="68">
        <f>IF(BK$59="X","",IF(BK$59&lt;&gt;"",BK$59,IF(IFERROR(INDEX(醫師週班表!$C$5:$T$44,$CU21,BK$57),"")=0,"",IF(LEN(IFERROR(INDEX(醫師週班表!$C$5:$T$44,$CU21,BK$57),""))=4,MID(IFERROR(INDEX(醫師週班表!$C$5:$T$44,$CU21,BK$57),""),1+BK$58*2,1),IF(LEN(IFERROR(INDEX(醫師週班表!$C$5:$T$44,$CU21,BK$57),""))=2,IF(AND(RIGHT(IFERROR(INDEX(醫師週班表!$C$5:$T$44,$CU21,BK$57),""),1)="~",BK$58=1),"",LEFT(IFERROR(INDEX(醫師週班表!$C$5:$T$44,$CU21,BK$57),""),1)),IFERROR(INDEX(醫師週班表!$C$5:$T$44,$CU21,BK$57),""))))))</f>
        <v/>
      </c>
      <c r="BL21" s="68">
        <f>IF(BL$59="X","",IF(BL$59&lt;&gt;"",BL$59,IF(IFERROR(INDEX(醫師週班表!$C$5:$T$44,$CU21,BL$57),"")=0,"",IF(LEN(IFERROR(INDEX(醫師週班表!$C$5:$T$44,$CU21,BL$57),""))=4,MID(IFERROR(INDEX(醫師週班表!$C$5:$T$44,$CU21,BL$57),""),1+BL$58*2,1),IF(LEN(IFERROR(INDEX(醫師週班表!$C$5:$T$44,$CU21,BL$57),""))=2,IF(AND(RIGHT(IFERROR(INDEX(醫師週班表!$C$5:$T$44,$CU21,BL$57),""),1)="~",BL$58=1),"",LEFT(IFERROR(INDEX(醫師週班表!$C$5:$T$44,$CU21,BL$57),""),1)),IFERROR(INDEX(醫師週班表!$C$5:$T$44,$CU21,BL$57),""))))))</f>
        <v/>
      </c>
      <c r="BM21" s="67">
        <f>IF(BM$59="X","",IF(BM$59&lt;&gt;"",BM$59,IF(IFERROR(INDEX(醫師週班表!$C$5:$T$44,$CU21,BM$57),"")=0,"",IF(LEN(IFERROR(INDEX(醫師週班表!$C$5:$T$44,$CU21,BM$57),""))=4,MID(IFERROR(INDEX(醫師週班表!$C$5:$T$44,$CU21,BM$57),""),1+BM$58*2,1),IF(LEN(IFERROR(INDEX(醫師週班表!$C$5:$T$44,$CU21,BM$57),""))=2,IF(AND(RIGHT(IFERROR(INDEX(醫師週班表!$C$5:$T$44,$CU21,BM$57),""),1)="~",BM$58=1),"",LEFT(IFERROR(INDEX(醫師週班表!$C$5:$T$44,$CU21,BM$57),""),1)),IFERROR(INDEX(醫師週班表!$C$5:$T$44,$CU21,BM$57),""))))))</f>
        <v/>
      </c>
      <c r="BN21" s="68">
        <f>IF(BN$59="X","",IF(BN$59&lt;&gt;"",BN$59,IF(IFERROR(INDEX(醫師週班表!$C$5:$T$44,$CU21,BN$57),"")=0,"",IF(LEN(IFERROR(INDEX(醫師週班表!$C$5:$T$44,$CU21,BN$57),""))=4,MID(IFERROR(INDEX(醫師週班表!$C$5:$T$44,$CU21,BN$57),""),1+BN$58*2,1),IF(LEN(IFERROR(INDEX(醫師週班表!$C$5:$T$44,$CU21,BN$57),""))=2,IF(AND(RIGHT(IFERROR(INDEX(醫師週班表!$C$5:$T$44,$CU21,BN$57),""),1)="~",BN$58=1),"",LEFT(IFERROR(INDEX(醫師週班表!$C$5:$T$44,$CU21,BN$57),""),1)),IFERROR(INDEX(醫師週班表!$C$5:$T$44,$CU21,BN$57),""))))))</f>
        <v/>
      </c>
      <c r="BO21" s="68">
        <f>IF(BO$59="X","",IF(BO$59&lt;&gt;"",BO$59,IF(IFERROR(INDEX(醫師週班表!$C$5:$T$44,$CU21,BO$57),"")=0,"",IF(LEN(IFERROR(INDEX(醫師週班表!$C$5:$T$44,$CU21,BO$57),""))=4,MID(IFERROR(INDEX(醫師週班表!$C$5:$T$44,$CU21,BO$57),""),1+BO$58*2,1),IF(LEN(IFERROR(INDEX(醫師週班表!$C$5:$T$44,$CU21,BO$57),""))=2,IF(AND(RIGHT(IFERROR(INDEX(醫師週班表!$C$5:$T$44,$CU21,BO$57),""),1)="~",BO$58=1),"",LEFT(IFERROR(INDEX(醫師週班表!$C$5:$T$44,$CU21,BO$57),""),1)),IFERROR(INDEX(醫師週班表!$C$5:$T$44,$CU21,BO$57),""))))))</f>
        <v/>
      </c>
      <c r="BP21" s="67">
        <f>IF(BP$59="X","",IF(BP$59&lt;&gt;"",BP$59,IF(IFERROR(INDEX(醫師週班表!$C$5:$T$44,$CU21,BP$57),"")=0,"",IF(LEN(IFERROR(INDEX(醫師週班表!$C$5:$T$44,$CU21,BP$57),""))=4,MID(IFERROR(INDEX(醫師週班表!$C$5:$T$44,$CU21,BP$57),""),1+BP$58*2,1),IF(LEN(IFERROR(INDEX(醫師週班表!$C$5:$T$44,$CU21,BP$57),""))=2,IF(AND(RIGHT(IFERROR(INDEX(醫師週班表!$C$5:$T$44,$CU21,BP$57),""),1)="~",BP$58=1),"",LEFT(IFERROR(INDEX(醫師週班表!$C$5:$T$44,$CU21,BP$57),""),1)),IFERROR(INDEX(醫師週班表!$C$5:$T$44,$CU21,BP$57),""))))))</f>
        <v/>
      </c>
      <c r="BQ21" s="68">
        <f>IF(BQ$59="X","",IF(BQ$59&lt;&gt;"",BQ$59,IF(IFERROR(INDEX(醫師週班表!$C$5:$T$44,$CU21,BQ$57),"")=0,"",IF(LEN(IFERROR(INDEX(醫師週班表!$C$5:$T$44,$CU21,BQ$57),""))=4,MID(IFERROR(INDEX(醫師週班表!$C$5:$T$44,$CU21,BQ$57),""),1+BQ$58*2,1),IF(LEN(IFERROR(INDEX(醫師週班表!$C$5:$T$44,$CU21,BQ$57),""))=2,IF(AND(RIGHT(IFERROR(INDEX(醫師週班表!$C$5:$T$44,$CU21,BQ$57),""),1)="~",BQ$58=1),"",LEFT(IFERROR(INDEX(醫師週班表!$C$5:$T$44,$CU21,BQ$57),""),1)),IFERROR(INDEX(醫師週班表!$C$5:$T$44,$CU21,BQ$57),""))))))</f>
        <v/>
      </c>
      <c r="BR21" s="68">
        <f>IF(BR$59="X","",IF(BR$59&lt;&gt;"",BR$59,IF(IFERROR(INDEX(醫師週班表!$C$5:$T$44,$CU21,BR$57),"")=0,"",IF(LEN(IFERROR(INDEX(醫師週班表!$C$5:$T$44,$CU21,BR$57),""))=4,MID(IFERROR(INDEX(醫師週班表!$C$5:$T$44,$CU21,BR$57),""),1+BR$58*2,1),IF(LEN(IFERROR(INDEX(醫師週班表!$C$5:$T$44,$CU21,BR$57),""))=2,IF(AND(RIGHT(IFERROR(INDEX(醫師週班表!$C$5:$T$44,$CU21,BR$57),""),1)="~",BR$58=1),"",LEFT(IFERROR(INDEX(醫師週班表!$C$5:$T$44,$CU21,BR$57),""),1)),IFERROR(INDEX(醫師週班表!$C$5:$T$44,$CU21,BR$57),""))))))</f>
        <v/>
      </c>
      <c r="BS21" s="67">
        <f>IF(BS$59="X","",IF(BS$59&lt;&gt;"",BS$59,IF(IFERROR(INDEX(醫師週班表!$C$5:$T$44,$CU21,BS$57),"")=0,"",IF(LEN(IFERROR(INDEX(醫師週班表!$C$5:$T$44,$CU21,BS$57),""))=4,MID(IFERROR(INDEX(醫師週班表!$C$5:$T$44,$CU21,BS$57),""),1+BS$58*2,1),IF(LEN(IFERROR(INDEX(醫師週班表!$C$5:$T$44,$CU21,BS$57),""))=2,IF(AND(RIGHT(IFERROR(INDEX(醫師週班表!$C$5:$T$44,$CU21,BS$57),""),1)="~",BS$58=1),"",LEFT(IFERROR(INDEX(醫師週班表!$C$5:$T$44,$CU21,BS$57),""),1)),IFERROR(INDEX(醫師週班表!$C$5:$T$44,$CU21,BS$57),""))))))</f>
        <v/>
      </c>
      <c r="BT21" s="68">
        <f>IF(BT$59="X","",IF(BT$59&lt;&gt;"",BT$59,IF(IFERROR(INDEX(醫師週班表!$C$5:$T$44,$CU21,BT$57),"")=0,"",IF(LEN(IFERROR(INDEX(醫師週班表!$C$5:$T$44,$CU21,BT$57),""))=4,MID(IFERROR(INDEX(醫師週班表!$C$5:$T$44,$CU21,BT$57),""),1+BT$58*2,1),IF(LEN(IFERROR(INDEX(醫師週班表!$C$5:$T$44,$CU21,BT$57),""))=2,IF(AND(RIGHT(IFERROR(INDEX(醫師週班表!$C$5:$T$44,$CU21,BT$57),""),1)="~",BT$58=1),"",LEFT(IFERROR(INDEX(醫師週班表!$C$5:$T$44,$CU21,BT$57),""),1)),IFERROR(INDEX(醫師週班表!$C$5:$T$44,$CU21,BT$57),""))))))</f>
        <v/>
      </c>
      <c r="BU21" s="68">
        <f>IF(BU$59="X","",IF(BU$59&lt;&gt;"",BU$59,IF(IFERROR(INDEX(醫師週班表!$C$5:$T$44,$CU21,BU$57),"")=0,"",IF(LEN(IFERROR(INDEX(醫師週班表!$C$5:$T$44,$CU21,BU$57),""))=4,MID(IFERROR(INDEX(醫師週班表!$C$5:$T$44,$CU21,BU$57),""),1+BU$58*2,1),IF(LEN(IFERROR(INDEX(醫師週班表!$C$5:$T$44,$CU21,BU$57),""))=2,IF(AND(RIGHT(IFERROR(INDEX(醫師週班表!$C$5:$T$44,$CU21,BU$57),""),1)="~",BU$58=1),"",LEFT(IFERROR(INDEX(醫師週班表!$C$5:$T$44,$CU21,BU$57),""),1)),IFERROR(INDEX(醫師週班表!$C$5:$T$44,$CU21,BU$57),""))))))</f>
        <v/>
      </c>
      <c r="BV21" s="67">
        <f>IF(BV$59="X","",IF(BV$59&lt;&gt;"",BV$59,IF(IFERROR(INDEX(醫師週班表!$C$5:$T$44,$CU21,BV$57),"")=0,"",IF(LEN(IFERROR(INDEX(醫師週班表!$C$5:$T$44,$CU21,BV$57),""))=4,MID(IFERROR(INDEX(醫師週班表!$C$5:$T$44,$CU21,BV$57),""),1+BV$58*2,1),IF(LEN(IFERROR(INDEX(醫師週班表!$C$5:$T$44,$CU21,BV$57),""))=2,IF(AND(RIGHT(IFERROR(INDEX(醫師週班表!$C$5:$T$44,$CU21,BV$57),""),1)="~",BV$58=1),"",LEFT(IFERROR(INDEX(醫師週班表!$C$5:$T$44,$CU21,BV$57),""),1)),IFERROR(INDEX(醫師週班表!$C$5:$T$44,$CU21,BV$57),""))))))</f>
        <v/>
      </c>
      <c r="BW21" s="68">
        <f>IF(BW$59="X","",IF(BW$59&lt;&gt;"",BW$59,IF(IFERROR(INDEX(醫師週班表!$C$5:$T$44,$CU21,BW$57),"")=0,"",IF(LEN(IFERROR(INDEX(醫師週班表!$C$5:$T$44,$CU21,BW$57),""))=4,MID(IFERROR(INDEX(醫師週班表!$C$5:$T$44,$CU21,BW$57),""),1+BW$58*2,1),IF(LEN(IFERROR(INDEX(醫師週班表!$C$5:$T$44,$CU21,BW$57),""))=2,IF(AND(RIGHT(IFERROR(INDEX(醫師週班表!$C$5:$T$44,$CU21,BW$57),""),1)="~",BW$58=1),"",LEFT(IFERROR(INDEX(醫師週班表!$C$5:$T$44,$CU21,BW$57),""),1)),IFERROR(INDEX(醫師週班表!$C$5:$T$44,$CU21,BW$57),""))))))</f>
        <v/>
      </c>
      <c r="BX21" s="68">
        <f>IF(BX$59="X","",IF(BX$59&lt;&gt;"",BX$59,IF(IFERROR(INDEX(醫師週班表!$C$5:$T$44,$CU21,BX$57),"")=0,"",IF(LEN(IFERROR(INDEX(醫師週班表!$C$5:$T$44,$CU21,BX$57),""))=4,MID(IFERROR(INDEX(醫師週班表!$C$5:$T$44,$CU21,BX$57),""),1+BX$58*2,1),IF(LEN(IFERROR(INDEX(醫師週班表!$C$5:$T$44,$CU21,BX$57),""))=2,IF(AND(RIGHT(IFERROR(INDEX(醫師週班表!$C$5:$T$44,$CU21,BX$57),""),1)="~",BX$58=1),"",LEFT(IFERROR(INDEX(醫師週班表!$C$5:$T$44,$CU21,BX$57),""),1)),IFERROR(INDEX(醫師週班表!$C$5:$T$44,$CU21,BX$57),""))))))</f>
        <v/>
      </c>
      <c r="BY21" s="67">
        <f>IF(BY$59="X","",IF(BY$59&lt;&gt;"",BY$59,IF(IFERROR(INDEX(醫師週班表!$C$5:$T$44,$CU21,BY$57),"")=0,"",IF(LEN(IFERROR(INDEX(醫師週班表!$C$5:$T$44,$CU21,BY$57),""))=4,MID(IFERROR(INDEX(醫師週班表!$C$5:$T$44,$CU21,BY$57),""),1+BY$58*2,1),IF(LEN(IFERROR(INDEX(醫師週班表!$C$5:$T$44,$CU21,BY$57),""))=2,IF(AND(RIGHT(IFERROR(INDEX(醫師週班表!$C$5:$T$44,$CU21,BY$57),""),1)="~",BY$58=1),"",LEFT(IFERROR(INDEX(醫師週班表!$C$5:$T$44,$CU21,BY$57),""),1)),IFERROR(INDEX(醫師週班表!$C$5:$T$44,$CU21,BY$57),""))))))</f>
        <v/>
      </c>
      <c r="BZ21" s="68">
        <f>IF(BZ$59="X","",IF(BZ$59&lt;&gt;"",BZ$59,IF(IFERROR(INDEX(醫師週班表!$C$5:$T$44,$CU21,BZ$57),"")=0,"",IF(LEN(IFERROR(INDEX(醫師週班表!$C$5:$T$44,$CU21,BZ$57),""))=4,MID(IFERROR(INDEX(醫師週班表!$C$5:$T$44,$CU21,BZ$57),""),1+BZ$58*2,1),IF(LEN(IFERROR(INDEX(醫師週班表!$C$5:$T$44,$CU21,BZ$57),""))=2,IF(AND(RIGHT(IFERROR(INDEX(醫師週班表!$C$5:$T$44,$CU21,BZ$57),""),1)="~",BZ$58=1),"",LEFT(IFERROR(INDEX(醫師週班表!$C$5:$T$44,$CU21,BZ$57),""),1)),IFERROR(INDEX(醫師週班表!$C$5:$T$44,$CU21,BZ$57),""))))))</f>
        <v/>
      </c>
      <c r="CA21" s="68">
        <f>IF(CA$59="X","",IF(CA$59&lt;&gt;"",CA$59,IF(IFERROR(INDEX(醫師週班表!$C$5:$T$44,$CU21,CA$57),"")=0,"",IF(LEN(IFERROR(INDEX(醫師週班表!$C$5:$T$44,$CU21,CA$57),""))=4,MID(IFERROR(INDEX(醫師週班表!$C$5:$T$44,$CU21,CA$57),""),1+CA$58*2,1),IF(LEN(IFERROR(INDEX(醫師週班表!$C$5:$T$44,$CU21,CA$57),""))=2,IF(AND(RIGHT(IFERROR(INDEX(醫師週班表!$C$5:$T$44,$CU21,CA$57),""),1)="~",CA$58=1),"",LEFT(IFERROR(INDEX(醫師週班表!$C$5:$T$44,$CU21,CA$57),""),1)),IFERROR(INDEX(醫師週班表!$C$5:$T$44,$CU21,CA$57),""))))))</f>
        <v/>
      </c>
      <c r="CB21" s="67">
        <f>IF(CB$59="X","",IF(CB$59&lt;&gt;"",CB$59,IF(IFERROR(INDEX(醫師週班表!$C$5:$T$44,$CU21,CB$57),"")=0,"",IF(LEN(IFERROR(INDEX(醫師週班表!$C$5:$T$44,$CU21,CB$57),""))=4,MID(IFERROR(INDEX(醫師週班表!$C$5:$T$44,$CU21,CB$57),""),1+CB$58*2,1),IF(LEN(IFERROR(INDEX(醫師週班表!$C$5:$T$44,$CU21,CB$57),""))=2,IF(AND(RIGHT(IFERROR(INDEX(醫師週班表!$C$5:$T$44,$CU21,CB$57),""),1)="~",CB$58=1),"",LEFT(IFERROR(INDEX(醫師週班表!$C$5:$T$44,$CU21,CB$57),""),1)),IFERROR(INDEX(醫師週班表!$C$5:$T$44,$CU21,CB$57),""))))))</f>
        <v/>
      </c>
      <c r="CC21" s="68">
        <f>IF(CC$59="X","",IF(CC$59&lt;&gt;"",CC$59,IF(IFERROR(INDEX(醫師週班表!$C$5:$T$44,$CU21,CC$57),"")=0,"",IF(LEN(IFERROR(INDEX(醫師週班表!$C$5:$T$44,$CU21,CC$57),""))=4,MID(IFERROR(INDEX(醫師週班表!$C$5:$T$44,$CU21,CC$57),""),1+CC$58*2,1),IF(LEN(IFERROR(INDEX(醫師週班表!$C$5:$T$44,$CU21,CC$57),""))=2,IF(AND(RIGHT(IFERROR(INDEX(醫師週班表!$C$5:$T$44,$CU21,CC$57),""),1)="~",CC$58=1),"",LEFT(IFERROR(INDEX(醫師週班表!$C$5:$T$44,$CU21,CC$57),""),1)),IFERROR(INDEX(醫師週班表!$C$5:$T$44,$CU21,CC$57),""))))))</f>
        <v/>
      </c>
      <c r="CD21" s="68">
        <f>IF(CD$59="X","",IF(CD$59&lt;&gt;"",CD$59,IF(IFERROR(INDEX(醫師週班表!$C$5:$T$44,$CU21,CD$57),"")=0,"",IF(LEN(IFERROR(INDEX(醫師週班表!$C$5:$T$44,$CU21,CD$57),""))=4,MID(IFERROR(INDEX(醫師週班表!$C$5:$T$44,$CU21,CD$57),""),1+CD$58*2,1),IF(LEN(IFERROR(INDEX(醫師週班表!$C$5:$T$44,$CU21,CD$57),""))=2,IF(AND(RIGHT(IFERROR(INDEX(醫師週班表!$C$5:$T$44,$CU21,CD$57),""),1)="~",CD$58=1),"",LEFT(IFERROR(INDEX(醫師週班表!$C$5:$T$44,$CU21,CD$57),""),1)),IFERROR(INDEX(醫師週班表!$C$5:$T$44,$CU21,CD$57),""))))))</f>
        <v/>
      </c>
      <c r="CE21" s="67">
        <f>IF(CE$59="X","",IF(CE$59&lt;&gt;"",CE$59,IF(IFERROR(INDEX(醫師週班表!$C$5:$T$44,$CU21,CE$57),"")=0,"",IF(LEN(IFERROR(INDEX(醫師週班表!$C$5:$T$44,$CU21,CE$57),""))=4,MID(IFERROR(INDEX(醫師週班表!$C$5:$T$44,$CU21,CE$57),""),1+CE$58*2,1),IF(LEN(IFERROR(INDEX(醫師週班表!$C$5:$T$44,$CU21,CE$57),""))=2,IF(AND(RIGHT(IFERROR(INDEX(醫師週班表!$C$5:$T$44,$CU21,CE$57),""),1)="~",CE$58=1),"",LEFT(IFERROR(INDEX(醫師週班表!$C$5:$T$44,$CU21,CE$57),""),1)),IFERROR(INDEX(醫師週班表!$C$5:$T$44,$CU21,CE$57),""))))))</f>
        <v/>
      </c>
      <c r="CF21" s="68">
        <f>IF(CF$59="X","",IF(CF$59&lt;&gt;"",CF$59,IF(IFERROR(INDEX(醫師週班表!$C$5:$T$44,$CU21,CF$57),"")=0,"",IF(LEN(IFERROR(INDEX(醫師週班表!$C$5:$T$44,$CU21,CF$57),""))=4,MID(IFERROR(INDEX(醫師週班表!$C$5:$T$44,$CU21,CF$57),""),1+CF$58*2,1),IF(LEN(IFERROR(INDEX(醫師週班表!$C$5:$T$44,$CU21,CF$57),""))=2,IF(AND(RIGHT(IFERROR(INDEX(醫師週班表!$C$5:$T$44,$CU21,CF$57),""),1)="~",CF$58=1),"",LEFT(IFERROR(INDEX(醫師週班表!$C$5:$T$44,$CU21,CF$57),""),1)),IFERROR(INDEX(醫師週班表!$C$5:$T$44,$CU21,CF$57),""))))))</f>
        <v/>
      </c>
      <c r="CG21" s="68">
        <f>IF(CG$59="X","",IF(CG$59&lt;&gt;"",CG$59,IF(IFERROR(INDEX(醫師週班表!$C$5:$T$44,$CU21,CG$57),"")=0,"",IF(LEN(IFERROR(INDEX(醫師週班表!$C$5:$T$44,$CU21,CG$57),""))=4,MID(IFERROR(INDEX(醫師週班表!$C$5:$T$44,$CU21,CG$57),""),1+CG$58*2,1),IF(LEN(IFERROR(INDEX(醫師週班表!$C$5:$T$44,$CU21,CG$57),""))=2,IF(AND(RIGHT(IFERROR(INDEX(醫師週班表!$C$5:$T$44,$CU21,CG$57),""),1)="~",CG$58=1),"",LEFT(IFERROR(INDEX(醫師週班表!$C$5:$T$44,$CU21,CG$57),""),1)),IFERROR(INDEX(醫師週班表!$C$5:$T$44,$CU21,CG$57),""))))))</f>
        <v/>
      </c>
      <c r="CH21" s="67">
        <f>IF(CH$59="X","",IF(CH$59&lt;&gt;"",CH$59,IF(IFERROR(INDEX(醫師週班表!$C$5:$T$44,$CU21,CH$57),"")=0,"",IF(LEN(IFERROR(INDEX(醫師週班表!$C$5:$T$44,$CU21,CH$57),""))=4,MID(IFERROR(INDEX(醫師週班表!$C$5:$T$44,$CU21,CH$57),""),1+CH$58*2,1),IF(LEN(IFERROR(INDEX(醫師週班表!$C$5:$T$44,$CU21,CH$57),""))=2,IF(AND(RIGHT(IFERROR(INDEX(醫師週班表!$C$5:$T$44,$CU21,CH$57),""),1)="~",CH$58=1),"",LEFT(IFERROR(INDEX(醫師週班表!$C$5:$T$44,$CU21,CH$57),""),1)),IFERROR(INDEX(醫師週班表!$C$5:$T$44,$CU21,CH$57),""))))))</f>
        <v/>
      </c>
      <c r="CI21" s="68">
        <f>IF(CI$59="X","",IF(CI$59&lt;&gt;"",CI$59,IF(IFERROR(INDEX(醫師週班表!$C$5:$T$44,$CU21,CI$57),"")=0,"",IF(LEN(IFERROR(INDEX(醫師週班表!$C$5:$T$44,$CU21,CI$57),""))=4,MID(IFERROR(INDEX(醫師週班表!$C$5:$T$44,$CU21,CI$57),""),1+CI$58*2,1),IF(LEN(IFERROR(INDEX(醫師週班表!$C$5:$T$44,$CU21,CI$57),""))=2,IF(AND(RIGHT(IFERROR(INDEX(醫師週班表!$C$5:$T$44,$CU21,CI$57),""),1)="~",CI$58=1),"",LEFT(IFERROR(INDEX(醫師週班表!$C$5:$T$44,$CU21,CI$57),""),1)),IFERROR(INDEX(醫師週班表!$C$5:$T$44,$CU21,CI$57),""))))))</f>
        <v/>
      </c>
      <c r="CJ21" s="68">
        <f>IF(CJ$59="X","",IF(CJ$59&lt;&gt;"",CJ$59,IF(IFERROR(INDEX(醫師週班表!$C$5:$T$44,$CU21,CJ$57),"")=0,"",IF(LEN(IFERROR(INDEX(醫師週班表!$C$5:$T$44,$CU21,CJ$57),""))=4,MID(IFERROR(INDEX(醫師週班表!$C$5:$T$44,$CU21,CJ$57),""),1+CJ$58*2,1),IF(LEN(IFERROR(INDEX(醫師週班表!$C$5:$T$44,$CU21,CJ$57),""))=2,IF(AND(RIGHT(IFERROR(INDEX(醫師週班表!$C$5:$T$44,$CU21,CJ$57),""),1)="~",CJ$58=1),"",LEFT(IFERROR(INDEX(醫師週班表!$C$5:$T$44,$CU21,CJ$57),""),1)),IFERROR(INDEX(醫師週班表!$C$5:$T$44,$CU21,CJ$57),""))))))</f>
        <v/>
      </c>
      <c r="CK21" s="67">
        <f>IF(CK$59="X","",IF(CK$59&lt;&gt;"",CK$59,IF(IFERROR(INDEX(醫師週班表!$C$5:$T$44,$CU21,CK$57),"")=0,"",IF(LEN(IFERROR(INDEX(醫師週班表!$C$5:$T$44,$CU21,CK$57),""))=4,MID(IFERROR(INDEX(醫師週班表!$C$5:$T$44,$CU21,CK$57),""),1+CK$58*2,1),IF(LEN(IFERROR(INDEX(醫師週班表!$C$5:$T$44,$CU21,CK$57),""))=2,IF(AND(RIGHT(IFERROR(INDEX(醫師週班表!$C$5:$T$44,$CU21,CK$57),""),1)="~",CK$58=1),"",LEFT(IFERROR(INDEX(醫師週班表!$C$5:$T$44,$CU21,CK$57),""),1)),IFERROR(INDEX(醫師週班表!$C$5:$T$44,$CU21,CK$57),""))))))</f>
        <v/>
      </c>
      <c r="CL21" s="68">
        <f>IF(CL$59="X","",IF(CL$59&lt;&gt;"",CL$59,IF(IFERROR(INDEX(醫師週班表!$C$5:$T$44,$CU21,CL$57),"")=0,"",IF(LEN(IFERROR(INDEX(醫師週班表!$C$5:$T$44,$CU21,CL$57),""))=4,MID(IFERROR(INDEX(醫師週班表!$C$5:$T$44,$CU21,CL$57),""),1+CL$58*2,1),IF(LEN(IFERROR(INDEX(醫師週班表!$C$5:$T$44,$CU21,CL$57),""))=2,IF(AND(RIGHT(IFERROR(INDEX(醫師週班表!$C$5:$T$44,$CU21,CL$57),""),1)="~",CL$58=1),"",LEFT(IFERROR(INDEX(醫師週班表!$C$5:$T$44,$CU21,CL$57),""),1)),IFERROR(INDEX(醫師週班表!$C$5:$T$44,$CU21,CL$57),""))))))</f>
        <v/>
      </c>
      <c r="CM21" s="68">
        <f>IF(CM$59="X","",IF(CM$59&lt;&gt;"",CM$59,IF(IFERROR(INDEX(醫師週班表!$C$5:$T$44,$CU21,CM$57),"")=0,"",IF(LEN(IFERROR(INDEX(醫師週班表!$C$5:$T$44,$CU21,CM$57),""))=4,MID(IFERROR(INDEX(醫師週班表!$C$5:$T$44,$CU21,CM$57),""),1+CM$58*2,1),IF(LEN(IFERROR(INDEX(醫師週班表!$C$5:$T$44,$CU21,CM$57),""))=2,IF(AND(RIGHT(IFERROR(INDEX(醫師週班表!$C$5:$T$44,$CU21,CM$57),""),1)="~",CM$58=1),"",LEFT(IFERROR(INDEX(醫師週班表!$C$5:$T$44,$CU21,CM$57),""),1)),IFERROR(INDEX(醫師週班表!$C$5:$T$44,$CU21,CM$57),""))))))</f>
        <v/>
      </c>
      <c r="CN21" s="67">
        <f>IF(CN$59="X","",IF(CN$59&lt;&gt;"",CN$59,IF(IFERROR(INDEX(醫師週班表!$C$5:$T$44,$CU21,CN$57),"")=0,"",IF(LEN(IFERROR(INDEX(醫師週班表!$C$5:$T$44,$CU21,CN$57),""))=4,MID(IFERROR(INDEX(醫師週班表!$C$5:$T$44,$CU21,CN$57),""),1+CN$58*2,1),IF(LEN(IFERROR(INDEX(醫師週班表!$C$5:$T$44,$CU21,CN$57),""))=2,IF(AND(RIGHT(IFERROR(INDEX(醫師週班表!$C$5:$T$44,$CU21,CN$57),""),1)="~",CN$58=1),"",LEFT(IFERROR(INDEX(醫師週班表!$C$5:$T$44,$CU21,CN$57),""),1)),IFERROR(INDEX(醫師週班表!$C$5:$T$44,$CU21,CN$57),""))))))</f>
        <v/>
      </c>
      <c r="CO21" s="68">
        <f>IF(CO$59="X","",IF(CO$59&lt;&gt;"",CO$59,IF(IFERROR(INDEX(醫師週班表!$C$5:$T$44,$CU21,CO$57),"")=0,"",IF(LEN(IFERROR(INDEX(醫師週班表!$C$5:$T$44,$CU21,CO$57),""))=4,MID(IFERROR(INDEX(醫師週班表!$C$5:$T$44,$CU21,CO$57),""),1+CO$58*2,1),IF(LEN(IFERROR(INDEX(醫師週班表!$C$5:$T$44,$CU21,CO$57),""))=2,IF(AND(RIGHT(IFERROR(INDEX(醫師週班表!$C$5:$T$44,$CU21,CO$57),""),1)="~",CO$58=1),"",LEFT(IFERROR(INDEX(醫師週班表!$C$5:$T$44,$CU21,CO$57),""),1)),IFERROR(INDEX(醫師週班表!$C$5:$T$44,$CU21,CO$57),""))))))</f>
        <v/>
      </c>
      <c r="CP21" s="68">
        <f>IF(CP$59="X","",IF(CP$59&lt;&gt;"",CP$59,IF(IFERROR(INDEX(醫師週班表!$C$5:$T$44,$CU21,CP$57),"")=0,"",IF(LEN(IFERROR(INDEX(醫師週班表!$C$5:$T$44,$CU21,CP$57),""))=4,MID(IFERROR(INDEX(醫師週班表!$C$5:$T$44,$CU21,CP$57),""),1+CP$58*2,1),IF(LEN(IFERROR(INDEX(醫師週班表!$C$5:$T$44,$CU21,CP$57),""))=2,IF(AND(RIGHT(IFERROR(INDEX(醫師週班表!$C$5:$T$44,$CU21,CP$57),""),1)="~",CP$58=1),"",LEFT(IFERROR(INDEX(醫師週班表!$C$5:$T$44,$CU21,CP$57),""),1)),IFERROR(INDEX(醫師週班表!$C$5:$T$44,$CU21,CP$57),""))))))</f>
        <v/>
      </c>
      <c r="CQ21" s="67">
        <f>IF(CQ$59="X","",IF(CQ$59&lt;&gt;"",CQ$59,IF(IFERROR(INDEX(醫師週班表!$C$5:$T$44,$CU21,CQ$57),"")=0,"",IF(LEN(IFERROR(INDEX(醫師週班表!$C$5:$T$44,$CU21,CQ$57),""))=4,MID(IFERROR(INDEX(醫師週班表!$C$5:$T$44,$CU21,CQ$57),""),1+CQ$58*2,1),IF(LEN(IFERROR(INDEX(醫師週班表!$C$5:$T$44,$CU21,CQ$57),""))=2,IF(AND(RIGHT(IFERROR(INDEX(醫師週班表!$C$5:$T$44,$CU21,CQ$57),""),1)="~",CQ$58=1),"",LEFT(IFERROR(INDEX(醫師週班表!$C$5:$T$44,$CU21,CQ$57),""),1)),IFERROR(INDEX(醫師週班表!$C$5:$T$44,$CU21,CQ$57),""))))))</f>
        <v/>
      </c>
      <c r="CR21" s="68">
        <f>IF(CR$59="X","",IF(CR$59&lt;&gt;"",CR$59,IF(IFERROR(INDEX(醫師週班表!$C$5:$T$44,$CU21,CR$57),"")=0,"",IF(LEN(IFERROR(INDEX(醫師週班表!$C$5:$T$44,$CU21,CR$57),""))=4,MID(IFERROR(INDEX(醫師週班表!$C$5:$T$44,$CU21,CR$57),""),1+CR$58*2,1),IF(LEN(IFERROR(INDEX(醫師週班表!$C$5:$T$44,$CU21,CR$57),""))=2,IF(AND(RIGHT(IFERROR(INDEX(醫師週班表!$C$5:$T$44,$CU21,CR$57),""),1)="~",CR$58=1),"",LEFT(IFERROR(INDEX(醫師週班表!$C$5:$T$44,$CU21,CR$57),""),1)),IFERROR(INDEX(醫師週班表!$C$5:$T$44,$CU21,CR$57),""))))))</f>
        <v/>
      </c>
      <c r="CS21" s="68">
        <f>IF(CS$59="X","",IF(CS$59&lt;&gt;"",CS$59,IF(IFERROR(INDEX(醫師週班表!$C$5:$T$44,$CU21,CS$57),"")=0,"",IF(LEN(IFERROR(INDEX(醫師週班表!$C$5:$T$44,$CU21,CS$57),""))=4,MID(IFERROR(INDEX(醫師週班表!$C$5:$T$44,$CU21,CS$57),""),1+CS$58*2,1),IF(LEN(IFERROR(INDEX(醫師週班表!$C$5:$T$44,$CU21,CS$57),""))=2,IF(AND(RIGHT(IFERROR(INDEX(醫師週班表!$C$5:$T$44,$CU21,CS$57),""),1)="~",CS$58=1),"",LEFT(IFERROR(INDEX(醫師週班表!$C$5:$T$44,$CU21,CS$57),""),1)),IFERROR(INDEX(醫師週班表!$C$5:$T$44,$CU21,CS$57),""))))))</f>
        <v/>
      </c>
      <c r="CU21" s="69">
        <f>IFERROR(MATCH($A21,醫師週班表!$A$5:$A$44,0),0)</f>
        <v/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IFERROR(INDEX(醫師週班表!$C$5:$T$44,$CU22,E$57),"")=0,"",IF(LEN(IFERROR(INDEX(醫師週班表!$C$5:$T$44,$CU22,E$57),""))=4,MID(IFERROR(INDEX(醫師週班表!$C$5:$T$44,$CU22,E$57),""),1+E$58*2,1),IF(LEN(IFERROR(INDEX(醫師週班表!$C$5:$T$44,$CU22,E$57),""))=2,IF(AND(RIGHT(IFERROR(INDEX(醫師週班表!$C$5:$T$44,$CU22,E$57),""),1)="~",E$58=1),"",LEFT(IFERROR(INDEX(醫師週班表!$C$5:$T$44,$CU22,E$57),""),1)),IFERROR(INDEX(醫師週班表!$C$5:$T$44,$CU22,E$57),""))))))</f>
        <v/>
      </c>
      <c r="F22" s="68">
        <f>IF(F$59="X","",IF(F$59&lt;&gt;"",F$59,IF(IFERROR(INDEX(醫師週班表!$C$5:$T$44,$CU22,F$57),"")=0,"",IF(LEN(IFERROR(INDEX(醫師週班表!$C$5:$T$44,$CU22,F$57),""))=4,MID(IFERROR(INDEX(醫師週班表!$C$5:$T$44,$CU22,F$57),""),1+F$58*2,1),IF(LEN(IFERROR(INDEX(醫師週班表!$C$5:$T$44,$CU22,F$57),""))=2,IF(AND(RIGHT(IFERROR(INDEX(醫師週班表!$C$5:$T$44,$CU22,F$57),""),1)="~",F$58=1),"",LEFT(IFERROR(INDEX(醫師週班表!$C$5:$T$44,$CU22,F$57),""),1)),IFERROR(INDEX(醫師週班表!$C$5:$T$44,$CU22,F$57),""))))))</f>
        <v/>
      </c>
      <c r="G22" s="68">
        <f>IF(G$59="X","",IF(G$59&lt;&gt;"",G$59,IF(IFERROR(INDEX(醫師週班表!$C$5:$T$44,$CU22,G$57),"")=0,"",IF(LEN(IFERROR(INDEX(醫師週班表!$C$5:$T$44,$CU22,G$57),""))=4,MID(IFERROR(INDEX(醫師週班表!$C$5:$T$44,$CU22,G$57),""),1+G$58*2,1),IF(LEN(IFERROR(INDEX(醫師週班表!$C$5:$T$44,$CU22,G$57),""))=2,IF(AND(RIGHT(IFERROR(INDEX(醫師週班表!$C$5:$T$44,$CU22,G$57),""),1)="~",G$58=1),"",LEFT(IFERROR(INDEX(醫師週班表!$C$5:$T$44,$CU22,G$57),""),1)),IFERROR(INDEX(醫師週班表!$C$5:$T$44,$CU22,G$57),""))))))</f>
        <v/>
      </c>
      <c r="H22" s="67">
        <f>IF(H$59="X","",IF(H$59&lt;&gt;"",H$59,IF(IFERROR(INDEX(醫師週班表!$C$5:$T$44,$CU22,H$57),"")=0,"",IF(LEN(IFERROR(INDEX(醫師週班表!$C$5:$T$44,$CU22,H$57),""))=4,MID(IFERROR(INDEX(醫師週班表!$C$5:$T$44,$CU22,H$57),""),1+H$58*2,1),IF(LEN(IFERROR(INDEX(醫師週班表!$C$5:$T$44,$CU22,H$57),""))=2,IF(AND(RIGHT(IFERROR(INDEX(醫師週班表!$C$5:$T$44,$CU22,H$57),""),1)="~",H$58=1),"",LEFT(IFERROR(INDEX(醫師週班表!$C$5:$T$44,$CU22,H$57),""),1)),IFERROR(INDEX(醫師週班表!$C$5:$T$44,$CU22,H$57),""))))))</f>
        <v/>
      </c>
      <c r="I22" s="68">
        <f>IF(I$59="X","",IF(I$59&lt;&gt;"",I$59,IF(IFERROR(INDEX(醫師週班表!$C$5:$T$44,$CU22,I$57),"")=0,"",IF(LEN(IFERROR(INDEX(醫師週班表!$C$5:$T$44,$CU22,I$57),""))=4,MID(IFERROR(INDEX(醫師週班表!$C$5:$T$44,$CU22,I$57),""),1+I$58*2,1),IF(LEN(IFERROR(INDEX(醫師週班表!$C$5:$T$44,$CU22,I$57),""))=2,IF(AND(RIGHT(IFERROR(INDEX(醫師週班表!$C$5:$T$44,$CU22,I$57),""),1)="~",I$58=1),"",LEFT(IFERROR(INDEX(醫師週班表!$C$5:$T$44,$CU22,I$57),""),1)),IFERROR(INDEX(醫師週班表!$C$5:$T$44,$CU22,I$57),""))))))</f>
        <v/>
      </c>
      <c r="J22" s="68">
        <f>IF(J$59="X","",IF(J$59&lt;&gt;"",J$59,IF(IFERROR(INDEX(醫師週班表!$C$5:$T$44,$CU22,J$57),"")=0,"",IF(LEN(IFERROR(INDEX(醫師週班表!$C$5:$T$44,$CU22,J$57),""))=4,MID(IFERROR(INDEX(醫師週班表!$C$5:$T$44,$CU22,J$57),""),1+J$58*2,1),IF(LEN(IFERROR(INDEX(醫師週班表!$C$5:$T$44,$CU22,J$57),""))=2,IF(AND(RIGHT(IFERROR(INDEX(醫師週班表!$C$5:$T$44,$CU22,J$57),""),1)="~",J$58=1),"",LEFT(IFERROR(INDEX(醫師週班表!$C$5:$T$44,$CU22,J$57),""),1)),IFERROR(INDEX(醫師週班表!$C$5:$T$44,$CU22,J$57),""))))))</f>
        <v/>
      </c>
      <c r="K22" s="67">
        <f>IF(K$59="X","",IF(K$59&lt;&gt;"",K$59,IF(IFERROR(INDEX(醫師週班表!$C$5:$T$44,$CU22,K$57),"")=0,"",IF(LEN(IFERROR(INDEX(醫師週班表!$C$5:$T$44,$CU22,K$57),""))=4,MID(IFERROR(INDEX(醫師週班表!$C$5:$T$44,$CU22,K$57),""),1+K$58*2,1),IF(LEN(IFERROR(INDEX(醫師週班表!$C$5:$T$44,$CU22,K$57),""))=2,IF(AND(RIGHT(IFERROR(INDEX(醫師週班表!$C$5:$T$44,$CU22,K$57),""),1)="~",K$58=1),"",LEFT(IFERROR(INDEX(醫師週班表!$C$5:$T$44,$CU22,K$57),""),1)),IFERROR(INDEX(醫師週班表!$C$5:$T$44,$CU22,K$57),""))))))</f>
        <v/>
      </c>
      <c r="L22" s="68">
        <f>IF(L$59="X","",IF(L$59&lt;&gt;"",L$59,IF(IFERROR(INDEX(醫師週班表!$C$5:$T$44,$CU22,L$57),"")=0,"",IF(LEN(IFERROR(INDEX(醫師週班表!$C$5:$T$44,$CU22,L$57),""))=4,MID(IFERROR(INDEX(醫師週班表!$C$5:$T$44,$CU22,L$57),""),1+L$58*2,1),IF(LEN(IFERROR(INDEX(醫師週班表!$C$5:$T$44,$CU22,L$57),""))=2,IF(AND(RIGHT(IFERROR(INDEX(醫師週班表!$C$5:$T$44,$CU22,L$57),""),1)="~",L$58=1),"",LEFT(IFERROR(INDEX(醫師週班表!$C$5:$T$44,$CU22,L$57),""),1)),IFERROR(INDEX(醫師週班表!$C$5:$T$44,$CU22,L$57),""))))))</f>
        <v/>
      </c>
      <c r="M22" s="68">
        <f>IF(M$59="X","",IF(M$59&lt;&gt;"",M$59,IF(IFERROR(INDEX(醫師週班表!$C$5:$T$44,$CU22,M$57),"")=0,"",IF(LEN(IFERROR(INDEX(醫師週班表!$C$5:$T$44,$CU22,M$57),""))=4,MID(IFERROR(INDEX(醫師週班表!$C$5:$T$44,$CU22,M$57),""),1+M$58*2,1),IF(LEN(IFERROR(INDEX(醫師週班表!$C$5:$T$44,$CU22,M$57),""))=2,IF(AND(RIGHT(IFERROR(INDEX(醫師週班表!$C$5:$T$44,$CU22,M$57),""),1)="~",M$58=1),"",LEFT(IFERROR(INDEX(醫師週班表!$C$5:$T$44,$CU22,M$57),""),1)),IFERROR(INDEX(醫師週班表!$C$5:$T$44,$CU22,M$57),""))))))</f>
        <v/>
      </c>
      <c r="N22" s="67">
        <f>IF(N$59="X","",IF(N$59&lt;&gt;"",N$59,IF(IFERROR(INDEX(醫師週班表!$C$5:$T$44,$CU22,N$57),"")=0,"",IF(LEN(IFERROR(INDEX(醫師週班表!$C$5:$T$44,$CU22,N$57),""))=4,MID(IFERROR(INDEX(醫師週班表!$C$5:$T$44,$CU22,N$57),""),1+N$58*2,1),IF(LEN(IFERROR(INDEX(醫師週班表!$C$5:$T$44,$CU22,N$57),""))=2,IF(AND(RIGHT(IFERROR(INDEX(醫師週班表!$C$5:$T$44,$CU22,N$57),""),1)="~",N$58=1),"",LEFT(IFERROR(INDEX(醫師週班表!$C$5:$T$44,$CU22,N$57),""),1)),IFERROR(INDEX(醫師週班表!$C$5:$T$44,$CU22,N$57),""))))))</f>
        <v/>
      </c>
      <c r="O22" s="68">
        <f>IF(O$59="X","",IF(O$59&lt;&gt;"",O$59,IF(IFERROR(INDEX(醫師週班表!$C$5:$T$44,$CU22,O$57),"")=0,"",IF(LEN(IFERROR(INDEX(醫師週班表!$C$5:$T$44,$CU22,O$57),""))=4,MID(IFERROR(INDEX(醫師週班表!$C$5:$T$44,$CU22,O$57),""),1+O$58*2,1),IF(LEN(IFERROR(INDEX(醫師週班表!$C$5:$T$44,$CU22,O$57),""))=2,IF(AND(RIGHT(IFERROR(INDEX(醫師週班表!$C$5:$T$44,$CU22,O$57),""),1)="~",O$58=1),"",LEFT(IFERROR(INDEX(醫師週班表!$C$5:$T$44,$CU22,O$57),""),1)),IFERROR(INDEX(醫師週班表!$C$5:$T$44,$CU22,O$57),""))))))</f>
        <v/>
      </c>
      <c r="P22" s="68">
        <f>IF(P$59="X","",IF(P$59&lt;&gt;"",P$59,IF(IFERROR(INDEX(醫師週班表!$C$5:$T$44,$CU22,P$57),"")=0,"",IF(LEN(IFERROR(INDEX(醫師週班表!$C$5:$T$44,$CU22,P$57),""))=4,MID(IFERROR(INDEX(醫師週班表!$C$5:$T$44,$CU22,P$57),""),1+P$58*2,1),IF(LEN(IFERROR(INDEX(醫師週班表!$C$5:$T$44,$CU22,P$57),""))=2,IF(AND(RIGHT(IFERROR(INDEX(醫師週班表!$C$5:$T$44,$CU22,P$57),""),1)="~",P$58=1),"",LEFT(IFERROR(INDEX(醫師週班表!$C$5:$T$44,$CU22,P$57),""),1)),IFERROR(INDEX(醫師週班表!$C$5:$T$44,$CU22,P$57),""))))))</f>
        <v/>
      </c>
      <c r="Q22" s="67">
        <f>IF(Q$59="X","",IF(Q$59&lt;&gt;"",Q$59,IF(IFERROR(INDEX(醫師週班表!$C$5:$T$44,$CU22,Q$57),"")=0,"",IF(LEN(IFERROR(INDEX(醫師週班表!$C$5:$T$44,$CU22,Q$57),""))=4,MID(IFERROR(INDEX(醫師週班表!$C$5:$T$44,$CU22,Q$57),""),1+Q$58*2,1),IF(LEN(IFERROR(INDEX(醫師週班表!$C$5:$T$44,$CU22,Q$57),""))=2,IF(AND(RIGHT(IFERROR(INDEX(醫師週班表!$C$5:$T$44,$CU22,Q$57),""),1)="~",Q$58=1),"",LEFT(IFERROR(INDEX(醫師週班表!$C$5:$T$44,$CU22,Q$57),""),1)),IFERROR(INDEX(醫師週班表!$C$5:$T$44,$CU22,Q$57),""))))))</f>
        <v/>
      </c>
      <c r="R22" s="68">
        <f>IF(R$59="X","",IF(R$59&lt;&gt;"",R$59,IF(IFERROR(INDEX(醫師週班表!$C$5:$T$44,$CU22,R$57),"")=0,"",IF(LEN(IFERROR(INDEX(醫師週班表!$C$5:$T$44,$CU22,R$57),""))=4,MID(IFERROR(INDEX(醫師週班表!$C$5:$T$44,$CU22,R$57),""),1+R$58*2,1),IF(LEN(IFERROR(INDEX(醫師週班表!$C$5:$T$44,$CU22,R$57),""))=2,IF(AND(RIGHT(IFERROR(INDEX(醫師週班表!$C$5:$T$44,$CU22,R$57),""),1)="~",R$58=1),"",LEFT(IFERROR(INDEX(醫師週班表!$C$5:$T$44,$CU22,R$57),""),1)),IFERROR(INDEX(醫師週班表!$C$5:$T$44,$CU22,R$57),""))))))</f>
        <v/>
      </c>
      <c r="S22" s="68">
        <f>IF(S$59="X","",IF(S$59&lt;&gt;"",S$59,IF(IFERROR(INDEX(醫師週班表!$C$5:$T$44,$CU22,S$57),"")=0,"",IF(LEN(IFERROR(INDEX(醫師週班表!$C$5:$T$44,$CU22,S$57),""))=4,MID(IFERROR(INDEX(醫師週班表!$C$5:$T$44,$CU22,S$57),""),1+S$58*2,1),IF(LEN(IFERROR(INDEX(醫師週班表!$C$5:$T$44,$CU22,S$57),""))=2,IF(AND(RIGHT(IFERROR(INDEX(醫師週班表!$C$5:$T$44,$CU22,S$57),""),1)="~",S$58=1),"",LEFT(IFERROR(INDEX(醫師週班表!$C$5:$T$44,$CU22,S$57),""),1)),IFERROR(INDEX(醫師週班表!$C$5:$T$44,$CU22,S$57),""))))))</f>
        <v/>
      </c>
      <c r="T22" s="67">
        <f>IF(T$59="X","",IF(T$59&lt;&gt;"",T$59,IF(IFERROR(INDEX(醫師週班表!$C$5:$T$44,$CU22,T$57),"")=0,"",IF(LEN(IFERROR(INDEX(醫師週班表!$C$5:$T$44,$CU22,T$57),""))=4,MID(IFERROR(INDEX(醫師週班表!$C$5:$T$44,$CU22,T$57),""),1+T$58*2,1),IF(LEN(IFERROR(INDEX(醫師週班表!$C$5:$T$44,$CU22,T$57),""))=2,IF(AND(RIGHT(IFERROR(INDEX(醫師週班表!$C$5:$T$44,$CU22,T$57),""),1)="~",T$58=1),"",LEFT(IFERROR(INDEX(醫師週班表!$C$5:$T$44,$CU22,T$57),""),1)),IFERROR(INDEX(醫師週班表!$C$5:$T$44,$CU22,T$57),""))))))</f>
        <v/>
      </c>
      <c r="U22" s="68">
        <f>IF(U$59="X","",IF(U$59&lt;&gt;"",U$59,IF(IFERROR(INDEX(醫師週班表!$C$5:$T$44,$CU22,U$57),"")=0,"",IF(LEN(IFERROR(INDEX(醫師週班表!$C$5:$T$44,$CU22,U$57),""))=4,MID(IFERROR(INDEX(醫師週班表!$C$5:$T$44,$CU22,U$57),""),1+U$58*2,1),IF(LEN(IFERROR(INDEX(醫師週班表!$C$5:$T$44,$CU22,U$57),""))=2,IF(AND(RIGHT(IFERROR(INDEX(醫師週班表!$C$5:$T$44,$CU22,U$57),""),1)="~",U$58=1),"",LEFT(IFERROR(INDEX(醫師週班表!$C$5:$T$44,$CU22,U$57),""),1)),IFERROR(INDEX(醫師週班表!$C$5:$T$44,$CU22,U$57),""))))))</f>
        <v/>
      </c>
      <c r="V22" s="68">
        <f>IF(V$59="X","",IF(V$59&lt;&gt;"",V$59,IF(IFERROR(INDEX(醫師週班表!$C$5:$T$44,$CU22,V$57),"")=0,"",IF(LEN(IFERROR(INDEX(醫師週班表!$C$5:$T$44,$CU22,V$57),""))=4,MID(IFERROR(INDEX(醫師週班表!$C$5:$T$44,$CU22,V$57),""),1+V$58*2,1),IF(LEN(IFERROR(INDEX(醫師週班表!$C$5:$T$44,$CU22,V$57),""))=2,IF(AND(RIGHT(IFERROR(INDEX(醫師週班表!$C$5:$T$44,$CU22,V$57),""),1)="~",V$58=1),"",LEFT(IFERROR(INDEX(醫師週班表!$C$5:$T$44,$CU22,V$57),""),1)),IFERROR(INDEX(醫師週班表!$C$5:$T$44,$CU22,V$57),""))))))</f>
        <v/>
      </c>
      <c r="W22" s="67">
        <f>IF(W$59="X","",IF(W$59&lt;&gt;"",W$59,IF(IFERROR(INDEX(醫師週班表!$C$5:$T$44,$CU22,W$57),"")=0,"",IF(LEN(IFERROR(INDEX(醫師週班表!$C$5:$T$44,$CU22,W$57),""))=4,MID(IFERROR(INDEX(醫師週班表!$C$5:$T$44,$CU22,W$57),""),1+W$58*2,1),IF(LEN(IFERROR(INDEX(醫師週班表!$C$5:$T$44,$CU22,W$57),""))=2,IF(AND(RIGHT(IFERROR(INDEX(醫師週班表!$C$5:$T$44,$CU22,W$57),""),1)="~",W$58=1),"",LEFT(IFERROR(INDEX(醫師週班表!$C$5:$T$44,$CU22,W$57),""),1)),IFERROR(INDEX(醫師週班表!$C$5:$T$44,$CU22,W$57),""))))))</f>
        <v/>
      </c>
      <c r="X22" s="68">
        <f>IF(X$59="X","",IF(X$59&lt;&gt;"",X$59,IF(IFERROR(INDEX(醫師週班表!$C$5:$T$44,$CU22,X$57),"")=0,"",IF(LEN(IFERROR(INDEX(醫師週班表!$C$5:$T$44,$CU22,X$57),""))=4,MID(IFERROR(INDEX(醫師週班表!$C$5:$T$44,$CU22,X$57),""),1+X$58*2,1),IF(LEN(IFERROR(INDEX(醫師週班表!$C$5:$T$44,$CU22,X$57),""))=2,IF(AND(RIGHT(IFERROR(INDEX(醫師週班表!$C$5:$T$44,$CU22,X$57),""),1)="~",X$58=1),"",LEFT(IFERROR(INDEX(醫師週班表!$C$5:$T$44,$CU22,X$57),""),1)),IFERROR(INDEX(醫師週班表!$C$5:$T$44,$CU22,X$57),""))))))</f>
        <v/>
      </c>
      <c r="Y22" s="68">
        <f>IF(Y$59="X","",IF(Y$59&lt;&gt;"",Y$59,IF(IFERROR(INDEX(醫師週班表!$C$5:$T$44,$CU22,Y$57),"")=0,"",IF(LEN(IFERROR(INDEX(醫師週班表!$C$5:$T$44,$CU22,Y$57),""))=4,MID(IFERROR(INDEX(醫師週班表!$C$5:$T$44,$CU22,Y$57),""),1+Y$58*2,1),IF(LEN(IFERROR(INDEX(醫師週班表!$C$5:$T$44,$CU22,Y$57),""))=2,IF(AND(RIGHT(IFERROR(INDEX(醫師週班表!$C$5:$T$44,$CU22,Y$57),""),1)="~",Y$58=1),"",LEFT(IFERROR(INDEX(醫師週班表!$C$5:$T$44,$CU22,Y$57),""),1)),IFERROR(INDEX(醫師週班表!$C$5:$T$44,$CU22,Y$57),""))))))</f>
        <v/>
      </c>
      <c r="Z22" s="67">
        <f>IF(Z$59="X","",IF(Z$59&lt;&gt;"",Z$59,IF(IFERROR(INDEX(醫師週班表!$C$5:$T$44,$CU22,Z$57),"")=0,"",IF(LEN(IFERROR(INDEX(醫師週班表!$C$5:$T$44,$CU22,Z$57),""))=4,MID(IFERROR(INDEX(醫師週班表!$C$5:$T$44,$CU22,Z$57),""),1+Z$58*2,1),IF(LEN(IFERROR(INDEX(醫師週班表!$C$5:$T$44,$CU22,Z$57),""))=2,IF(AND(RIGHT(IFERROR(INDEX(醫師週班表!$C$5:$T$44,$CU22,Z$57),""),1)="~",Z$58=1),"",LEFT(IFERROR(INDEX(醫師週班表!$C$5:$T$44,$CU22,Z$57),""),1)),IFERROR(INDEX(醫師週班表!$C$5:$T$44,$CU22,Z$57),""))))))</f>
        <v/>
      </c>
      <c r="AA22" s="68">
        <f>IF(AA$59="X","",IF(AA$59&lt;&gt;"",AA$59,IF(IFERROR(INDEX(醫師週班表!$C$5:$T$44,$CU22,AA$57),"")=0,"",IF(LEN(IFERROR(INDEX(醫師週班表!$C$5:$T$44,$CU22,AA$57),""))=4,MID(IFERROR(INDEX(醫師週班表!$C$5:$T$44,$CU22,AA$57),""),1+AA$58*2,1),IF(LEN(IFERROR(INDEX(醫師週班表!$C$5:$T$44,$CU22,AA$57),""))=2,IF(AND(RIGHT(IFERROR(INDEX(醫師週班表!$C$5:$T$44,$CU22,AA$57),""),1)="~",AA$58=1),"",LEFT(IFERROR(INDEX(醫師週班表!$C$5:$T$44,$CU22,AA$57),""),1)),IFERROR(INDEX(醫師週班表!$C$5:$T$44,$CU22,AA$57),""))))))</f>
        <v/>
      </c>
      <c r="AB22" s="68">
        <f>IF(AB$59="X","",IF(AB$59&lt;&gt;"",AB$59,IF(IFERROR(INDEX(醫師週班表!$C$5:$T$44,$CU22,AB$57),"")=0,"",IF(LEN(IFERROR(INDEX(醫師週班表!$C$5:$T$44,$CU22,AB$57),""))=4,MID(IFERROR(INDEX(醫師週班表!$C$5:$T$44,$CU22,AB$57),""),1+AB$58*2,1),IF(LEN(IFERROR(INDEX(醫師週班表!$C$5:$T$44,$CU22,AB$57),""))=2,IF(AND(RIGHT(IFERROR(INDEX(醫師週班表!$C$5:$T$44,$CU22,AB$57),""),1)="~",AB$58=1),"",LEFT(IFERROR(INDEX(醫師週班表!$C$5:$T$44,$CU22,AB$57),""),1)),IFERROR(INDEX(醫師週班表!$C$5:$T$44,$CU22,AB$57),""))))))</f>
        <v/>
      </c>
      <c r="AC22" s="67">
        <f>IF(AC$59="X","",IF(AC$59&lt;&gt;"",AC$59,IF(IFERROR(INDEX(醫師週班表!$C$5:$T$44,$CU22,AC$57),"")=0,"",IF(LEN(IFERROR(INDEX(醫師週班表!$C$5:$T$44,$CU22,AC$57),""))=4,MID(IFERROR(INDEX(醫師週班表!$C$5:$T$44,$CU22,AC$57),""),1+AC$58*2,1),IF(LEN(IFERROR(INDEX(醫師週班表!$C$5:$T$44,$CU22,AC$57),""))=2,IF(AND(RIGHT(IFERROR(INDEX(醫師週班表!$C$5:$T$44,$CU22,AC$57),""),1)="~",AC$58=1),"",LEFT(IFERROR(INDEX(醫師週班表!$C$5:$T$44,$CU22,AC$57),""),1)),IFERROR(INDEX(醫師週班表!$C$5:$T$44,$CU22,AC$57),""))))))</f>
        <v/>
      </c>
      <c r="AD22" s="68">
        <f>IF(AD$59="X","",IF(AD$59&lt;&gt;"",AD$59,IF(IFERROR(INDEX(醫師週班表!$C$5:$T$44,$CU22,AD$57),"")=0,"",IF(LEN(IFERROR(INDEX(醫師週班表!$C$5:$T$44,$CU22,AD$57),""))=4,MID(IFERROR(INDEX(醫師週班表!$C$5:$T$44,$CU22,AD$57),""),1+AD$58*2,1),IF(LEN(IFERROR(INDEX(醫師週班表!$C$5:$T$44,$CU22,AD$57),""))=2,IF(AND(RIGHT(IFERROR(INDEX(醫師週班表!$C$5:$T$44,$CU22,AD$57),""),1)="~",AD$58=1),"",LEFT(IFERROR(INDEX(醫師週班表!$C$5:$T$44,$CU22,AD$57),""),1)),IFERROR(INDEX(醫師週班表!$C$5:$T$44,$CU22,AD$57),""))))))</f>
        <v/>
      </c>
      <c r="AE22" s="68">
        <f>IF(AE$59="X","",IF(AE$59&lt;&gt;"",AE$59,IF(IFERROR(INDEX(醫師週班表!$C$5:$T$44,$CU22,AE$57),"")=0,"",IF(LEN(IFERROR(INDEX(醫師週班表!$C$5:$T$44,$CU22,AE$57),""))=4,MID(IFERROR(INDEX(醫師週班表!$C$5:$T$44,$CU22,AE$57),""),1+AE$58*2,1),IF(LEN(IFERROR(INDEX(醫師週班表!$C$5:$T$44,$CU22,AE$57),""))=2,IF(AND(RIGHT(IFERROR(INDEX(醫師週班表!$C$5:$T$44,$CU22,AE$57),""),1)="~",AE$58=1),"",LEFT(IFERROR(INDEX(醫師週班表!$C$5:$T$44,$CU22,AE$57),""),1)),IFERROR(INDEX(醫師週班表!$C$5:$T$44,$CU22,AE$57),""))))))</f>
        <v/>
      </c>
      <c r="AF22" s="67">
        <f>IF(AF$59="X","",IF(AF$59&lt;&gt;"",AF$59,IF(IFERROR(INDEX(醫師週班表!$C$5:$T$44,$CU22,AF$57),"")=0,"",IF(LEN(IFERROR(INDEX(醫師週班表!$C$5:$T$44,$CU22,AF$57),""))=4,MID(IFERROR(INDEX(醫師週班表!$C$5:$T$44,$CU22,AF$57),""),1+AF$58*2,1),IF(LEN(IFERROR(INDEX(醫師週班表!$C$5:$T$44,$CU22,AF$57),""))=2,IF(AND(RIGHT(IFERROR(INDEX(醫師週班表!$C$5:$T$44,$CU22,AF$57),""),1)="~",AF$58=1),"",LEFT(IFERROR(INDEX(醫師週班表!$C$5:$T$44,$CU22,AF$57),""),1)),IFERROR(INDEX(醫師週班表!$C$5:$T$44,$CU22,AF$57),""))))))</f>
        <v/>
      </c>
      <c r="AG22" s="68">
        <f>IF(AG$59="X","",IF(AG$59&lt;&gt;"",AG$59,IF(IFERROR(INDEX(醫師週班表!$C$5:$T$44,$CU22,AG$57),"")=0,"",IF(LEN(IFERROR(INDEX(醫師週班表!$C$5:$T$44,$CU22,AG$57),""))=4,MID(IFERROR(INDEX(醫師週班表!$C$5:$T$44,$CU22,AG$57),""),1+AG$58*2,1),IF(LEN(IFERROR(INDEX(醫師週班表!$C$5:$T$44,$CU22,AG$57),""))=2,IF(AND(RIGHT(IFERROR(INDEX(醫師週班表!$C$5:$T$44,$CU22,AG$57),""),1)="~",AG$58=1),"",LEFT(IFERROR(INDEX(醫師週班表!$C$5:$T$44,$CU22,AG$57),""),1)),IFERROR(INDEX(醫師週班表!$C$5:$T$44,$CU22,AG$57),""))))))</f>
        <v/>
      </c>
      <c r="AH22" s="68">
        <f>IF(AH$59="X","",IF(AH$59&lt;&gt;"",AH$59,IF(IFERROR(INDEX(醫師週班表!$C$5:$T$44,$CU22,AH$57),"")=0,"",IF(LEN(IFERROR(INDEX(醫師週班表!$C$5:$T$44,$CU22,AH$57),""))=4,MID(IFERROR(INDEX(醫師週班表!$C$5:$T$44,$CU22,AH$57),""),1+AH$58*2,1),IF(LEN(IFERROR(INDEX(醫師週班表!$C$5:$T$44,$CU22,AH$57),""))=2,IF(AND(RIGHT(IFERROR(INDEX(醫師週班表!$C$5:$T$44,$CU22,AH$57),""),1)="~",AH$58=1),"",LEFT(IFERROR(INDEX(醫師週班表!$C$5:$T$44,$CU22,AH$57),""),1)),IFERROR(INDEX(醫師週班表!$C$5:$T$44,$CU22,AH$57),""))))))</f>
        <v/>
      </c>
      <c r="AI22" s="67">
        <f>IF(AI$59="X","",IF(AI$59&lt;&gt;"",AI$59,IF(IFERROR(INDEX(醫師週班表!$C$5:$T$44,$CU22,AI$57),"")=0,"",IF(LEN(IFERROR(INDEX(醫師週班表!$C$5:$T$44,$CU22,AI$57),""))=4,MID(IFERROR(INDEX(醫師週班表!$C$5:$T$44,$CU22,AI$57),""),1+AI$58*2,1),IF(LEN(IFERROR(INDEX(醫師週班表!$C$5:$T$44,$CU22,AI$57),""))=2,IF(AND(RIGHT(IFERROR(INDEX(醫師週班表!$C$5:$T$44,$CU22,AI$57),""),1)="~",AI$58=1),"",LEFT(IFERROR(INDEX(醫師週班表!$C$5:$T$44,$CU22,AI$57),""),1)),IFERROR(INDEX(醫師週班表!$C$5:$T$44,$CU22,AI$57),""))))))</f>
        <v/>
      </c>
      <c r="AJ22" s="68">
        <f>IF(AJ$59="X","",IF(AJ$59&lt;&gt;"",AJ$59,IF(IFERROR(INDEX(醫師週班表!$C$5:$T$44,$CU22,AJ$57),"")=0,"",IF(LEN(IFERROR(INDEX(醫師週班表!$C$5:$T$44,$CU22,AJ$57),""))=4,MID(IFERROR(INDEX(醫師週班表!$C$5:$T$44,$CU22,AJ$57),""),1+AJ$58*2,1),IF(LEN(IFERROR(INDEX(醫師週班表!$C$5:$T$44,$CU22,AJ$57),""))=2,IF(AND(RIGHT(IFERROR(INDEX(醫師週班表!$C$5:$T$44,$CU22,AJ$57),""),1)="~",AJ$58=1),"",LEFT(IFERROR(INDEX(醫師週班表!$C$5:$T$44,$CU22,AJ$57),""),1)),IFERROR(INDEX(醫師週班表!$C$5:$T$44,$CU22,AJ$57),""))))))</f>
        <v/>
      </c>
      <c r="AK22" s="68">
        <f>IF(AK$59="X","",IF(AK$59&lt;&gt;"",AK$59,IF(IFERROR(INDEX(醫師週班表!$C$5:$T$44,$CU22,AK$57),"")=0,"",IF(LEN(IFERROR(INDEX(醫師週班表!$C$5:$T$44,$CU22,AK$57),""))=4,MID(IFERROR(INDEX(醫師週班表!$C$5:$T$44,$CU22,AK$57),""),1+AK$58*2,1),IF(LEN(IFERROR(INDEX(醫師週班表!$C$5:$T$44,$CU22,AK$57),""))=2,IF(AND(RIGHT(IFERROR(INDEX(醫師週班表!$C$5:$T$44,$CU22,AK$57),""),1)="~",AK$58=1),"",LEFT(IFERROR(INDEX(醫師週班表!$C$5:$T$44,$CU22,AK$57),""),1)),IFERROR(INDEX(醫師週班表!$C$5:$T$44,$CU22,AK$57),""))))))</f>
        <v/>
      </c>
      <c r="AL22" s="67">
        <f>IF(AL$59="X","",IF(AL$59&lt;&gt;"",AL$59,IF(IFERROR(INDEX(醫師週班表!$C$5:$T$44,$CU22,AL$57),"")=0,"",IF(LEN(IFERROR(INDEX(醫師週班表!$C$5:$T$44,$CU22,AL$57),""))=4,MID(IFERROR(INDEX(醫師週班表!$C$5:$T$44,$CU22,AL$57),""),1+AL$58*2,1),IF(LEN(IFERROR(INDEX(醫師週班表!$C$5:$T$44,$CU22,AL$57),""))=2,IF(AND(RIGHT(IFERROR(INDEX(醫師週班表!$C$5:$T$44,$CU22,AL$57),""),1)="~",AL$58=1),"",LEFT(IFERROR(INDEX(醫師週班表!$C$5:$T$44,$CU22,AL$57),""),1)),IFERROR(INDEX(醫師週班表!$C$5:$T$44,$CU22,AL$57),""))))))</f>
        <v/>
      </c>
      <c r="AM22" s="68">
        <f>IF(AM$59="X","",IF(AM$59&lt;&gt;"",AM$59,IF(IFERROR(INDEX(醫師週班表!$C$5:$T$44,$CU22,AM$57),"")=0,"",IF(LEN(IFERROR(INDEX(醫師週班表!$C$5:$T$44,$CU22,AM$57),""))=4,MID(IFERROR(INDEX(醫師週班表!$C$5:$T$44,$CU22,AM$57),""),1+AM$58*2,1),IF(LEN(IFERROR(INDEX(醫師週班表!$C$5:$T$44,$CU22,AM$57),""))=2,IF(AND(RIGHT(IFERROR(INDEX(醫師週班表!$C$5:$T$44,$CU22,AM$57),""),1)="~",AM$58=1),"",LEFT(IFERROR(INDEX(醫師週班表!$C$5:$T$44,$CU22,AM$57),""),1)),IFERROR(INDEX(醫師週班表!$C$5:$T$44,$CU22,AM$57),""))))))</f>
        <v/>
      </c>
      <c r="AN22" s="68">
        <f>IF(AN$59="X","",IF(AN$59&lt;&gt;"",AN$59,IF(IFERROR(INDEX(醫師週班表!$C$5:$T$44,$CU22,AN$57),"")=0,"",IF(LEN(IFERROR(INDEX(醫師週班表!$C$5:$T$44,$CU22,AN$57),""))=4,MID(IFERROR(INDEX(醫師週班表!$C$5:$T$44,$CU22,AN$57),""),1+AN$58*2,1),IF(LEN(IFERROR(INDEX(醫師週班表!$C$5:$T$44,$CU22,AN$57),""))=2,IF(AND(RIGHT(IFERROR(INDEX(醫師週班表!$C$5:$T$44,$CU22,AN$57),""),1)="~",AN$58=1),"",LEFT(IFERROR(INDEX(醫師週班表!$C$5:$T$44,$CU22,AN$57),""),1)),IFERROR(INDEX(醫師週班表!$C$5:$T$44,$CU22,AN$57),""))))))</f>
        <v/>
      </c>
      <c r="AO22" s="67">
        <f>IF(AO$59="X","",IF(AO$59&lt;&gt;"",AO$59,IF(IFERROR(INDEX(醫師週班表!$C$5:$T$44,$CU22,AO$57),"")=0,"",IF(LEN(IFERROR(INDEX(醫師週班表!$C$5:$T$44,$CU22,AO$57),""))=4,MID(IFERROR(INDEX(醫師週班表!$C$5:$T$44,$CU22,AO$57),""),1+AO$58*2,1),IF(LEN(IFERROR(INDEX(醫師週班表!$C$5:$T$44,$CU22,AO$57),""))=2,IF(AND(RIGHT(IFERROR(INDEX(醫師週班表!$C$5:$T$44,$CU22,AO$57),""),1)="~",AO$58=1),"",LEFT(IFERROR(INDEX(醫師週班表!$C$5:$T$44,$CU22,AO$57),""),1)),IFERROR(INDEX(醫師週班表!$C$5:$T$44,$CU22,AO$57),""))))))</f>
        <v/>
      </c>
      <c r="AP22" s="68">
        <f>IF(AP$59="X","",IF(AP$59&lt;&gt;"",AP$59,IF(IFERROR(INDEX(醫師週班表!$C$5:$T$44,$CU22,AP$57),"")=0,"",IF(LEN(IFERROR(INDEX(醫師週班表!$C$5:$T$44,$CU22,AP$57),""))=4,MID(IFERROR(INDEX(醫師週班表!$C$5:$T$44,$CU22,AP$57),""),1+AP$58*2,1),IF(LEN(IFERROR(INDEX(醫師週班表!$C$5:$T$44,$CU22,AP$57),""))=2,IF(AND(RIGHT(IFERROR(INDEX(醫師週班表!$C$5:$T$44,$CU22,AP$57),""),1)="~",AP$58=1),"",LEFT(IFERROR(INDEX(醫師週班表!$C$5:$T$44,$CU22,AP$57),""),1)),IFERROR(INDEX(醫師週班表!$C$5:$T$44,$CU22,AP$57),""))))))</f>
        <v/>
      </c>
      <c r="AQ22" s="68">
        <f>IF(AQ$59="X","",IF(AQ$59&lt;&gt;"",AQ$59,IF(IFERROR(INDEX(醫師週班表!$C$5:$T$44,$CU22,AQ$57),"")=0,"",IF(LEN(IFERROR(INDEX(醫師週班表!$C$5:$T$44,$CU22,AQ$57),""))=4,MID(IFERROR(INDEX(醫師週班表!$C$5:$T$44,$CU22,AQ$57),""),1+AQ$58*2,1),IF(LEN(IFERROR(INDEX(醫師週班表!$C$5:$T$44,$CU22,AQ$57),""))=2,IF(AND(RIGHT(IFERROR(INDEX(醫師週班表!$C$5:$T$44,$CU22,AQ$57),""),1)="~",AQ$58=1),"",LEFT(IFERROR(INDEX(醫師週班表!$C$5:$T$44,$CU22,AQ$57),""),1)),IFERROR(INDEX(醫師週班表!$C$5:$T$44,$CU22,AQ$57),""))))))</f>
        <v/>
      </c>
      <c r="AR22" s="67">
        <f>IF(AR$59="X","",IF(AR$59&lt;&gt;"",AR$59,IF(IFERROR(INDEX(醫師週班表!$C$5:$T$44,$CU22,AR$57),"")=0,"",IF(LEN(IFERROR(INDEX(醫師週班表!$C$5:$T$44,$CU22,AR$57),""))=4,MID(IFERROR(INDEX(醫師週班表!$C$5:$T$44,$CU22,AR$57),""),1+AR$58*2,1),IF(LEN(IFERROR(INDEX(醫師週班表!$C$5:$T$44,$CU22,AR$57),""))=2,IF(AND(RIGHT(IFERROR(INDEX(醫師週班表!$C$5:$T$44,$CU22,AR$57),""),1)="~",AR$58=1),"",LEFT(IFERROR(INDEX(醫師週班表!$C$5:$T$44,$CU22,AR$57),""),1)),IFERROR(INDEX(醫師週班表!$C$5:$T$44,$CU22,AR$57),""))))))</f>
        <v/>
      </c>
      <c r="AS22" s="68">
        <f>IF(AS$59="X","",IF(AS$59&lt;&gt;"",AS$59,IF(IFERROR(INDEX(醫師週班表!$C$5:$T$44,$CU22,AS$57),"")=0,"",IF(LEN(IFERROR(INDEX(醫師週班表!$C$5:$T$44,$CU22,AS$57),""))=4,MID(IFERROR(INDEX(醫師週班表!$C$5:$T$44,$CU22,AS$57),""),1+AS$58*2,1),IF(LEN(IFERROR(INDEX(醫師週班表!$C$5:$T$44,$CU22,AS$57),""))=2,IF(AND(RIGHT(IFERROR(INDEX(醫師週班表!$C$5:$T$44,$CU22,AS$57),""),1)="~",AS$58=1),"",LEFT(IFERROR(INDEX(醫師週班表!$C$5:$T$44,$CU22,AS$57),""),1)),IFERROR(INDEX(醫師週班表!$C$5:$T$44,$CU22,AS$57),""))))))</f>
        <v/>
      </c>
      <c r="AT22" s="68">
        <f>IF(AT$59="X","",IF(AT$59&lt;&gt;"",AT$59,IF(IFERROR(INDEX(醫師週班表!$C$5:$T$44,$CU22,AT$57),"")=0,"",IF(LEN(IFERROR(INDEX(醫師週班表!$C$5:$T$44,$CU22,AT$57),""))=4,MID(IFERROR(INDEX(醫師週班表!$C$5:$T$44,$CU22,AT$57),""),1+AT$58*2,1),IF(LEN(IFERROR(INDEX(醫師週班表!$C$5:$T$44,$CU22,AT$57),""))=2,IF(AND(RIGHT(IFERROR(INDEX(醫師週班表!$C$5:$T$44,$CU22,AT$57),""),1)="~",AT$58=1),"",LEFT(IFERROR(INDEX(醫師週班表!$C$5:$T$44,$CU22,AT$57),""),1)),IFERROR(INDEX(醫師週班表!$C$5:$T$44,$CU22,AT$57),""))))))</f>
        <v/>
      </c>
      <c r="AU22" s="67">
        <f>IF(AU$59="X","",IF(AU$59&lt;&gt;"",AU$59,IF(IFERROR(INDEX(醫師週班表!$C$5:$T$44,$CU22,AU$57),"")=0,"",IF(LEN(IFERROR(INDEX(醫師週班表!$C$5:$T$44,$CU22,AU$57),""))=4,MID(IFERROR(INDEX(醫師週班表!$C$5:$T$44,$CU22,AU$57),""),1+AU$58*2,1),IF(LEN(IFERROR(INDEX(醫師週班表!$C$5:$T$44,$CU22,AU$57),""))=2,IF(AND(RIGHT(IFERROR(INDEX(醫師週班表!$C$5:$T$44,$CU22,AU$57),""),1)="~",AU$58=1),"",LEFT(IFERROR(INDEX(醫師週班表!$C$5:$T$44,$CU22,AU$57),""),1)),IFERROR(INDEX(醫師週班表!$C$5:$T$44,$CU22,AU$57),""))))))</f>
        <v/>
      </c>
      <c r="AV22" s="68">
        <f>IF(AV$59="X","",IF(AV$59&lt;&gt;"",AV$59,IF(IFERROR(INDEX(醫師週班表!$C$5:$T$44,$CU22,AV$57),"")=0,"",IF(LEN(IFERROR(INDEX(醫師週班表!$C$5:$T$44,$CU22,AV$57),""))=4,MID(IFERROR(INDEX(醫師週班表!$C$5:$T$44,$CU22,AV$57),""),1+AV$58*2,1),IF(LEN(IFERROR(INDEX(醫師週班表!$C$5:$T$44,$CU22,AV$57),""))=2,IF(AND(RIGHT(IFERROR(INDEX(醫師週班表!$C$5:$T$44,$CU22,AV$57),""),1)="~",AV$58=1),"",LEFT(IFERROR(INDEX(醫師週班表!$C$5:$T$44,$CU22,AV$57),""),1)),IFERROR(INDEX(醫師週班表!$C$5:$T$44,$CU22,AV$57),""))))))</f>
        <v/>
      </c>
      <c r="AW22" s="68">
        <f>IF(AW$59="X","",IF(AW$59&lt;&gt;"",AW$59,IF(IFERROR(INDEX(醫師週班表!$C$5:$T$44,$CU22,AW$57),"")=0,"",IF(LEN(IFERROR(INDEX(醫師週班表!$C$5:$T$44,$CU22,AW$57),""))=4,MID(IFERROR(INDEX(醫師週班表!$C$5:$T$44,$CU22,AW$57),""),1+AW$58*2,1),IF(LEN(IFERROR(INDEX(醫師週班表!$C$5:$T$44,$CU22,AW$57),""))=2,IF(AND(RIGHT(IFERROR(INDEX(醫師週班表!$C$5:$T$44,$CU22,AW$57),""),1)="~",AW$58=1),"",LEFT(IFERROR(INDEX(醫師週班表!$C$5:$T$44,$CU22,AW$57),""),1)),IFERROR(INDEX(醫師週班表!$C$5:$T$44,$CU22,AW$57),""))))))</f>
        <v/>
      </c>
      <c r="AX22" s="67">
        <f>IF(AX$59="X","",IF(AX$59&lt;&gt;"",AX$59,IF(IFERROR(INDEX(醫師週班表!$C$5:$T$44,$CU22,AX$57),"")=0,"",IF(LEN(IFERROR(INDEX(醫師週班表!$C$5:$T$44,$CU22,AX$57),""))=4,MID(IFERROR(INDEX(醫師週班表!$C$5:$T$44,$CU22,AX$57),""),1+AX$58*2,1),IF(LEN(IFERROR(INDEX(醫師週班表!$C$5:$T$44,$CU22,AX$57),""))=2,IF(AND(RIGHT(IFERROR(INDEX(醫師週班表!$C$5:$T$44,$CU22,AX$57),""),1)="~",AX$58=1),"",LEFT(IFERROR(INDEX(醫師週班表!$C$5:$T$44,$CU22,AX$57),""),1)),IFERROR(INDEX(醫師週班表!$C$5:$T$44,$CU22,AX$57),""))))))</f>
        <v/>
      </c>
      <c r="AY22" s="68">
        <f>IF(AY$59="X","",IF(AY$59&lt;&gt;"",AY$59,IF(IFERROR(INDEX(醫師週班表!$C$5:$T$44,$CU22,AY$57),"")=0,"",IF(LEN(IFERROR(INDEX(醫師週班表!$C$5:$T$44,$CU22,AY$57),""))=4,MID(IFERROR(INDEX(醫師週班表!$C$5:$T$44,$CU22,AY$57),""),1+AY$58*2,1),IF(LEN(IFERROR(INDEX(醫師週班表!$C$5:$T$44,$CU22,AY$57),""))=2,IF(AND(RIGHT(IFERROR(INDEX(醫師週班表!$C$5:$T$44,$CU22,AY$57),""),1)="~",AY$58=1),"",LEFT(IFERROR(INDEX(醫師週班表!$C$5:$T$44,$CU22,AY$57),""),1)),IFERROR(INDEX(醫師週班表!$C$5:$T$44,$CU22,AY$57),""))))))</f>
        <v/>
      </c>
      <c r="AZ22" s="68">
        <f>IF(AZ$59="X","",IF(AZ$59&lt;&gt;"",AZ$59,IF(IFERROR(INDEX(醫師週班表!$C$5:$T$44,$CU22,AZ$57),"")=0,"",IF(LEN(IFERROR(INDEX(醫師週班表!$C$5:$T$44,$CU22,AZ$57),""))=4,MID(IFERROR(INDEX(醫師週班表!$C$5:$T$44,$CU22,AZ$57),""),1+AZ$58*2,1),IF(LEN(IFERROR(INDEX(醫師週班表!$C$5:$T$44,$CU22,AZ$57),""))=2,IF(AND(RIGHT(IFERROR(INDEX(醫師週班表!$C$5:$T$44,$CU22,AZ$57),""),1)="~",AZ$58=1),"",LEFT(IFERROR(INDEX(醫師週班表!$C$5:$T$44,$CU22,AZ$57),""),1)),IFERROR(INDEX(醫師週班表!$C$5:$T$44,$CU22,AZ$57),""))))))</f>
        <v/>
      </c>
      <c r="BA22" s="67">
        <f>IF(BA$59="X","",IF(BA$59&lt;&gt;"",BA$59,IF(IFERROR(INDEX(醫師週班表!$C$5:$T$44,$CU22,BA$57),"")=0,"",IF(LEN(IFERROR(INDEX(醫師週班表!$C$5:$T$44,$CU22,BA$57),""))=4,MID(IFERROR(INDEX(醫師週班表!$C$5:$T$44,$CU22,BA$57),""),1+BA$58*2,1),IF(LEN(IFERROR(INDEX(醫師週班表!$C$5:$T$44,$CU22,BA$57),""))=2,IF(AND(RIGHT(IFERROR(INDEX(醫師週班表!$C$5:$T$44,$CU22,BA$57),""),1)="~",BA$58=1),"",LEFT(IFERROR(INDEX(醫師週班表!$C$5:$T$44,$CU22,BA$57),""),1)),IFERROR(INDEX(醫師週班表!$C$5:$T$44,$CU22,BA$57),""))))))</f>
        <v/>
      </c>
      <c r="BB22" s="68">
        <f>IF(BB$59="X","",IF(BB$59&lt;&gt;"",BB$59,IF(IFERROR(INDEX(醫師週班表!$C$5:$T$44,$CU22,BB$57),"")=0,"",IF(LEN(IFERROR(INDEX(醫師週班表!$C$5:$T$44,$CU22,BB$57),""))=4,MID(IFERROR(INDEX(醫師週班表!$C$5:$T$44,$CU22,BB$57),""),1+BB$58*2,1),IF(LEN(IFERROR(INDEX(醫師週班表!$C$5:$T$44,$CU22,BB$57),""))=2,IF(AND(RIGHT(IFERROR(INDEX(醫師週班表!$C$5:$T$44,$CU22,BB$57),""),1)="~",BB$58=1),"",LEFT(IFERROR(INDEX(醫師週班表!$C$5:$T$44,$CU22,BB$57),""),1)),IFERROR(INDEX(醫師週班表!$C$5:$T$44,$CU22,BB$57),""))))))</f>
        <v/>
      </c>
      <c r="BC22" s="68">
        <f>IF(BC$59="X","",IF(BC$59&lt;&gt;"",BC$59,IF(IFERROR(INDEX(醫師週班表!$C$5:$T$44,$CU22,BC$57),"")=0,"",IF(LEN(IFERROR(INDEX(醫師週班表!$C$5:$T$44,$CU22,BC$57),""))=4,MID(IFERROR(INDEX(醫師週班表!$C$5:$T$44,$CU22,BC$57),""),1+BC$58*2,1),IF(LEN(IFERROR(INDEX(醫師週班表!$C$5:$T$44,$CU22,BC$57),""))=2,IF(AND(RIGHT(IFERROR(INDEX(醫師週班表!$C$5:$T$44,$CU22,BC$57),""),1)="~",BC$58=1),"",LEFT(IFERROR(INDEX(醫師週班表!$C$5:$T$44,$CU22,BC$57),""),1)),IFERROR(INDEX(醫師週班表!$C$5:$T$44,$CU22,BC$57),""))))))</f>
        <v/>
      </c>
      <c r="BD22" s="67">
        <f>IF(BD$59="X","",IF(BD$59&lt;&gt;"",BD$59,IF(IFERROR(INDEX(醫師週班表!$C$5:$T$44,$CU22,BD$57),"")=0,"",IF(LEN(IFERROR(INDEX(醫師週班表!$C$5:$T$44,$CU22,BD$57),""))=4,MID(IFERROR(INDEX(醫師週班表!$C$5:$T$44,$CU22,BD$57),""),1+BD$58*2,1),IF(LEN(IFERROR(INDEX(醫師週班表!$C$5:$T$44,$CU22,BD$57),""))=2,IF(AND(RIGHT(IFERROR(INDEX(醫師週班表!$C$5:$T$44,$CU22,BD$57),""),1)="~",BD$58=1),"",LEFT(IFERROR(INDEX(醫師週班表!$C$5:$T$44,$CU22,BD$57),""),1)),IFERROR(INDEX(醫師週班表!$C$5:$T$44,$CU22,BD$57),""))))))</f>
        <v/>
      </c>
      <c r="BE22" s="68">
        <f>IF(BE$59="X","",IF(BE$59&lt;&gt;"",BE$59,IF(IFERROR(INDEX(醫師週班表!$C$5:$T$44,$CU22,BE$57),"")=0,"",IF(LEN(IFERROR(INDEX(醫師週班表!$C$5:$T$44,$CU22,BE$57),""))=4,MID(IFERROR(INDEX(醫師週班表!$C$5:$T$44,$CU22,BE$57),""),1+BE$58*2,1),IF(LEN(IFERROR(INDEX(醫師週班表!$C$5:$T$44,$CU22,BE$57),""))=2,IF(AND(RIGHT(IFERROR(INDEX(醫師週班表!$C$5:$T$44,$CU22,BE$57),""),1)="~",BE$58=1),"",LEFT(IFERROR(INDEX(醫師週班表!$C$5:$T$44,$CU22,BE$57),""),1)),IFERROR(INDEX(醫師週班表!$C$5:$T$44,$CU22,BE$57),""))))))</f>
        <v/>
      </c>
      <c r="BF22" s="68">
        <f>IF(BF$59="X","",IF(BF$59&lt;&gt;"",BF$59,IF(IFERROR(INDEX(醫師週班表!$C$5:$T$44,$CU22,BF$57),"")=0,"",IF(LEN(IFERROR(INDEX(醫師週班表!$C$5:$T$44,$CU22,BF$57),""))=4,MID(IFERROR(INDEX(醫師週班表!$C$5:$T$44,$CU22,BF$57),""),1+BF$58*2,1),IF(LEN(IFERROR(INDEX(醫師週班表!$C$5:$T$44,$CU22,BF$57),""))=2,IF(AND(RIGHT(IFERROR(INDEX(醫師週班表!$C$5:$T$44,$CU22,BF$57),""),1)="~",BF$58=1),"",LEFT(IFERROR(INDEX(醫師週班表!$C$5:$T$44,$CU22,BF$57),""),1)),IFERROR(INDEX(醫師週班表!$C$5:$T$44,$CU22,BF$57),""))))))</f>
        <v/>
      </c>
      <c r="BG22" s="67">
        <f>IF(BG$59="X","",IF(BG$59&lt;&gt;"",BG$59,IF(IFERROR(INDEX(醫師週班表!$C$5:$T$44,$CU22,BG$57),"")=0,"",IF(LEN(IFERROR(INDEX(醫師週班表!$C$5:$T$44,$CU22,BG$57),""))=4,MID(IFERROR(INDEX(醫師週班表!$C$5:$T$44,$CU22,BG$57),""),1+BG$58*2,1),IF(LEN(IFERROR(INDEX(醫師週班表!$C$5:$T$44,$CU22,BG$57),""))=2,IF(AND(RIGHT(IFERROR(INDEX(醫師週班表!$C$5:$T$44,$CU22,BG$57),""),1)="~",BG$58=1),"",LEFT(IFERROR(INDEX(醫師週班表!$C$5:$T$44,$CU22,BG$57),""),1)),IFERROR(INDEX(醫師週班表!$C$5:$T$44,$CU22,BG$57),""))))))</f>
        <v/>
      </c>
      <c r="BH22" s="68">
        <f>IF(BH$59="X","",IF(BH$59&lt;&gt;"",BH$59,IF(IFERROR(INDEX(醫師週班表!$C$5:$T$44,$CU22,BH$57),"")=0,"",IF(LEN(IFERROR(INDEX(醫師週班表!$C$5:$T$44,$CU22,BH$57),""))=4,MID(IFERROR(INDEX(醫師週班表!$C$5:$T$44,$CU22,BH$57),""),1+BH$58*2,1),IF(LEN(IFERROR(INDEX(醫師週班表!$C$5:$T$44,$CU22,BH$57),""))=2,IF(AND(RIGHT(IFERROR(INDEX(醫師週班表!$C$5:$T$44,$CU22,BH$57),""),1)="~",BH$58=1),"",LEFT(IFERROR(INDEX(醫師週班表!$C$5:$T$44,$CU22,BH$57),""),1)),IFERROR(INDEX(醫師週班表!$C$5:$T$44,$CU22,BH$57),""))))))</f>
        <v/>
      </c>
      <c r="BI22" s="68">
        <f>IF(BI$59="X","",IF(BI$59&lt;&gt;"",BI$59,IF(IFERROR(INDEX(醫師週班表!$C$5:$T$44,$CU22,BI$57),"")=0,"",IF(LEN(IFERROR(INDEX(醫師週班表!$C$5:$T$44,$CU22,BI$57),""))=4,MID(IFERROR(INDEX(醫師週班表!$C$5:$T$44,$CU22,BI$57),""),1+BI$58*2,1),IF(LEN(IFERROR(INDEX(醫師週班表!$C$5:$T$44,$CU22,BI$57),""))=2,IF(AND(RIGHT(IFERROR(INDEX(醫師週班表!$C$5:$T$44,$CU22,BI$57),""),1)="~",BI$58=1),"",LEFT(IFERROR(INDEX(醫師週班表!$C$5:$T$44,$CU22,BI$57),""),1)),IFERROR(INDEX(醫師週班表!$C$5:$T$44,$CU22,BI$57),""))))))</f>
        <v/>
      </c>
      <c r="BJ22" s="67">
        <f>IF(BJ$59="X","",IF(BJ$59&lt;&gt;"",BJ$59,IF(IFERROR(INDEX(醫師週班表!$C$5:$T$44,$CU22,BJ$57),"")=0,"",IF(LEN(IFERROR(INDEX(醫師週班表!$C$5:$T$44,$CU22,BJ$57),""))=4,MID(IFERROR(INDEX(醫師週班表!$C$5:$T$44,$CU22,BJ$57),""),1+BJ$58*2,1),IF(LEN(IFERROR(INDEX(醫師週班表!$C$5:$T$44,$CU22,BJ$57),""))=2,IF(AND(RIGHT(IFERROR(INDEX(醫師週班表!$C$5:$T$44,$CU22,BJ$57),""),1)="~",BJ$58=1),"",LEFT(IFERROR(INDEX(醫師週班表!$C$5:$T$44,$CU22,BJ$57),""),1)),IFERROR(INDEX(醫師週班表!$C$5:$T$44,$CU22,BJ$57),""))))))</f>
        <v/>
      </c>
      <c r="BK22" s="68">
        <f>IF(BK$59="X","",IF(BK$59&lt;&gt;"",BK$59,IF(IFERROR(INDEX(醫師週班表!$C$5:$T$44,$CU22,BK$57),"")=0,"",IF(LEN(IFERROR(INDEX(醫師週班表!$C$5:$T$44,$CU22,BK$57),""))=4,MID(IFERROR(INDEX(醫師週班表!$C$5:$T$44,$CU22,BK$57),""),1+BK$58*2,1),IF(LEN(IFERROR(INDEX(醫師週班表!$C$5:$T$44,$CU22,BK$57),""))=2,IF(AND(RIGHT(IFERROR(INDEX(醫師週班表!$C$5:$T$44,$CU22,BK$57),""),1)="~",BK$58=1),"",LEFT(IFERROR(INDEX(醫師週班表!$C$5:$T$44,$CU22,BK$57),""),1)),IFERROR(INDEX(醫師週班表!$C$5:$T$44,$CU22,BK$57),""))))))</f>
        <v/>
      </c>
      <c r="BL22" s="68">
        <f>IF(BL$59="X","",IF(BL$59&lt;&gt;"",BL$59,IF(IFERROR(INDEX(醫師週班表!$C$5:$T$44,$CU22,BL$57),"")=0,"",IF(LEN(IFERROR(INDEX(醫師週班表!$C$5:$T$44,$CU22,BL$57),""))=4,MID(IFERROR(INDEX(醫師週班表!$C$5:$T$44,$CU22,BL$57),""),1+BL$58*2,1),IF(LEN(IFERROR(INDEX(醫師週班表!$C$5:$T$44,$CU22,BL$57),""))=2,IF(AND(RIGHT(IFERROR(INDEX(醫師週班表!$C$5:$T$44,$CU22,BL$57),""),1)="~",BL$58=1),"",LEFT(IFERROR(INDEX(醫師週班表!$C$5:$T$44,$CU22,BL$57),""),1)),IFERROR(INDEX(醫師週班表!$C$5:$T$44,$CU22,BL$57),""))))))</f>
        <v/>
      </c>
      <c r="BM22" s="67">
        <f>IF(BM$59="X","",IF(BM$59&lt;&gt;"",BM$59,IF(IFERROR(INDEX(醫師週班表!$C$5:$T$44,$CU22,BM$57),"")=0,"",IF(LEN(IFERROR(INDEX(醫師週班表!$C$5:$T$44,$CU22,BM$57),""))=4,MID(IFERROR(INDEX(醫師週班表!$C$5:$T$44,$CU22,BM$57),""),1+BM$58*2,1),IF(LEN(IFERROR(INDEX(醫師週班表!$C$5:$T$44,$CU22,BM$57),""))=2,IF(AND(RIGHT(IFERROR(INDEX(醫師週班表!$C$5:$T$44,$CU22,BM$57),""),1)="~",BM$58=1),"",LEFT(IFERROR(INDEX(醫師週班表!$C$5:$T$44,$CU22,BM$57),""),1)),IFERROR(INDEX(醫師週班表!$C$5:$T$44,$CU22,BM$57),""))))))</f>
        <v/>
      </c>
      <c r="BN22" s="68">
        <f>IF(BN$59="X","",IF(BN$59&lt;&gt;"",BN$59,IF(IFERROR(INDEX(醫師週班表!$C$5:$T$44,$CU22,BN$57),"")=0,"",IF(LEN(IFERROR(INDEX(醫師週班表!$C$5:$T$44,$CU22,BN$57),""))=4,MID(IFERROR(INDEX(醫師週班表!$C$5:$T$44,$CU22,BN$57),""),1+BN$58*2,1),IF(LEN(IFERROR(INDEX(醫師週班表!$C$5:$T$44,$CU22,BN$57),""))=2,IF(AND(RIGHT(IFERROR(INDEX(醫師週班表!$C$5:$T$44,$CU22,BN$57),""),1)="~",BN$58=1),"",LEFT(IFERROR(INDEX(醫師週班表!$C$5:$T$44,$CU22,BN$57),""),1)),IFERROR(INDEX(醫師週班表!$C$5:$T$44,$CU22,BN$57),""))))))</f>
        <v/>
      </c>
      <c r="BO22" s="68">
        <f>IF(BO$59="X","",IF(BO$59&lt;&gt;"",BO$59,IF(IFERROR(INDEX(醫師週班表!$C$5:$T$44,$CU22,BO$57),"")=0,"",IF(LEN(IFERROR(INDEX(醫師週班表!$C$5:$T$44,$CU22,BO$57),""))=4,MID(IFERROR(INDEX(醫師週班表!$C$5:$T$44,$CU22,BO$57),""),1+BO$58*2,1),IF(LEN(IFERROR(INDEX(醫師週班表!$C$5:$T$44,$CU22,BO$57),""))=2,IF(AND(RIGHT(IFERROR(INDEX(醫師週班表!$C$5:$T$44,$CU22,BO$57),""),1)="~",BO$58=1),"",LEFT(IFERROR(INDEX(醫師週班表!$C$5:$T$44,$CU22,BO$57),""),1)),IFERROR(INDEX(醫師週班表!$C$5:$T$44,$CU22,BO$57),""))))))</f>
        <v/>
      </c>
      <c r="BP22" s="67">
        <f>IF(BP$59="X","",IF(BP$59&lt;&gt;"",BP$59,IF(IFERROR(INDEX(醫師週班表!$C$5:$T$44,$CU22,BP$57),"")=0,"",IF(LEN(IFERROR(INDEX(醫師週班表!$C$5:$T$44,$CU22,BP$57),""))=4,MID(IFERROR(INDEX(醫師週班表!$C$5:$T$44,$CU22,BP$57),""),1+BP$58*2,1),IF(LEN(IFERROR(INDEX(醫師週班表!$C$5:$T$44,$CU22,BP$57),""))=2,IF(AND(RIGHT(IFERROR(INDEX(醫師週班表!$C$5:$T$44,$CU22,BP$57),""),1)="~",BP$58=1),"",LEFT(IFERROR(INDEX(醫師週班表!$C$5:$T$44,$CU22,BP$57),""),1)),IFERROR(INDEX(醫師週班表!$C$5:$T$44,$CU22,BP$57),""))))))</f>
        <v/>
      </c>
      <c r="BQ22" s="68">
        <f>IF(BQ$59="X","",IF(BQ$59&lt;&gt;"",BQ$59,IF(IFERROR(INDEX(醫師週班表!$C$5:$T$44,$CU22,BQ$57),"")=0,"",IF(LEN(IFERROR(INDEX(醫師週班表!$C$5:$T$44,$CU22,BQ$57),""))=4,MID(IFERROR(INDEX(醫師週班表!$C$5:$T$44,$CU22,BQ$57),""),1+BQ$58*2,1),IF(LEN(IFERROR(INDEX(醫師週班表!$C$5:$T$44,$CU22,BQ$57),""))=2,IF(AND(RIGHT(IFERROR(INDEX(醫師週班表!$C$5:$T$44,$CU22,BQ$57),""),1)="~",BQ$58=1),"",LEFT(IFERROR(INDEX(醫師週班表!$C$5:$T$44,$CU22,BQ$57),""),1)),IFERROR(INDEX(醫師週班表!$C$5:$T$44,$CU22,BQ$57),""))))))</f>
        <v/>
      </c>
      <c r="BR22" s="68">
        <f>IF(BR$59="X","",IF(BR$59&lt;&gt;"",BR$59,IF(IFERROR(INDEX(醫師週班表!$C$5:$T$44,$CU22,BR$57),"")=0,"",IF(LEN(IFERROR(INDEX(醫師週班表!$C$5:$T$44,$CU22,BR$57),""))=4,MID(IFERROR(INDEX(醫師週班表!$C$5:$T$44,$CU22,BR$57),""),1+BR$58*2,1),IF(LEN(IFERROR(INDEX(醫師週班表!$C$5:$T$44,$CU22,BR$57),""))=2,IF(AND(RIGHT(IFERROR(INDEX(醫師週班表!$C$5:$T$44,$CU22,BR$57),""),1)="~",BR$58=1),"",LEFT(IFERROR(INDEX(醫師週班表!$C$5:$T$44,$CU22,BR$57),""),1)),IFERROR(INDEX(醫師週班表!$C$5:$T$44,$CU22,BR$57),""))))))</f>
        <v/>
      </c>
      <c r="BS22" s="67">
        <f>IF(BS$59="X","",IF(BS$59&lt;&gt;"",BS$59,IF(IFERROR(INDEX(醫師週班表!$C$5:$T$44,$CU22,BS$57),"")=0,"",IF(LEN(IFERROR(INDEX(醫師週班表!$C$5:$T$44,$CU22,BS$57),""))=4,MID(IFERROR(INDEX(醫師週班表!$C$5:$T$44,$CU22,BS$57),""),1+BS$58*2,1),IF(LEN(IFERROR(INDEX(醫師週班表!$C$5:$T$44,$CU22,BS$57),""))=2,IF(AND(RIGHT(IFERROR(INDEX(醫師週班表!$C$5:$T$44,$CU22,BS$57),""),1)="~",BS$58=1),"",LEFT(IFERROR(INDEX(醫師週班表!$C$5:$T$44,$CU22,BS$57),""),1)),IFERROR(INDEX(醫師週班表!$C$5:$T$44,$CU22,BS$57),""))))))</f>
        <v/>
      </c>
      <c r="BT22" s="68">
        <f>IF(BT$59="X","",IF(BT$59&lt;&gt;"",BT$59,IF(IFERROR(INDEX(醫師週班表!$C$5:$T$44,$CU22,BT$57),"")=0,"",IF(LEN(IFERROR(INDEX(醫師週班表!$C$5:$T$44,$CU22,BT$57),""))=4,MID(IFERROR(INDEX(醫師週班表!$C$5:$T$44,$CU22,BT$57),""),1+BT$58*2,1),IF(LEN(IFERROR(INDEX(醫師週班表!$C$5:$T$44,$CU22,BT$57),""))=2,IF(AND(RIGHT(IFERROR(INDEX(醫師週班表!$C$5:$T$44,$CU22,BT$57),""),1)="~",BT$58=1),"",LEFT(IFERROR(INDEX(醫師週班表!$C$5:$T$44,$CU22,BT$57),""),1)),IFERROR(INDEX(醫師週班表!$C$5:$T$44,$CU22,BT$57),""))))))</f>
        <v/>
      </c>
      <c r="BU22" s="68">
        <f>IF(BU$59="X","",IF(BU$59&lt;&gt;"",BU$59,IF(IFERROR(INDEX(醫師週班表!$C$5:$T$44,$CU22,BU$57),"")=0,"",IF(LEN(IFERROR(INDEX(醫師週班表!$C$5:$T$44,$CU22,BU$57),""))=4,MID(IFERROR(INDEX(醫師週班表!$C$5:$T$44,$CU22,BU$57),""),1+BU$58*2,1),IF(LEN(IFERROR(INDEX(醫師週班表!$C$5:$T$44,$CU22,BU$57),""))=2,IF(AND(RIGHT(IFERROR(INDEX(醫師週班表!$C$5:$T$44,$CU22,BU$57),""),1)="~",BU$58=1),"",LEFT(IFERROR(INDEX(醫師週班表!$C$5:$T$44,$CU22,BU$57),""),1)),IFERROR(INDEX(醫師週班表!$C$5:$T$44,$CU22,BU$57),""))))))</f>
        <v/>
      </c>
      <c r="BV22" s="67">
        <f>IF(BV$59="X","",IF(BV$59&lt;&gt;"",BV$59,IF(IFERROR(INDEX(醫師週班表!$C$5:$T$44,$CU22,BV$57),"")=0,"",IF(LEN(IFERROR(INDEX(醫師週班表!$C$5:$T$44,$CU22,BV$57),""))=4,MID(IFERROR(INDEX(醫師週班表!$C$5:$T$44,$CU22,BV$57),""),1+BV$58*2,1),IF(LEN(IFERROR(INDEX(醫師週班表!$C$5:$T$44,$CU22,BV$57),""))=2,IF(AND(RIGHT(IFERROR(INDEX(醫師週班表!$C$5:$T$44,$CU22,BV$57),""),1)="~",BV$58=1),"",LEFT(IFERROR(INDEX(醫師週班表!$C$5:$T$44,$CU22,BV$57),""),1)),IFERROR(INDEX(醫師週班表!$C$5:$T$44,$CU22,BV$57),""))))))</f>
        <v/>
      </c>
      <c r="BW22" s="68">
        <f>IF(BW$59="X","",IF(BW$59&lt;&gt;"",BW$59,IF(IFERROR(INDEX(醫師週班表!$C$5:$T$44,$CU22,BW$57),"")=0,"",IF(LEN(IFERROR(INDEX(醫師週班表!$C$5:$T$44,$CU22,BW$57),""))=4,MID(IFERROR(INDEX(醫師週班表!$C$5:$T$44,$CU22,BW$57),""),1+BW$58*2,1),IF(LEN(IFERROR(INDEX(醫師週班表!$C$5:$T$44,$CU22,BW$57),""))=2,IF(AND(RIGHT(IFERROR(INDEX(醫師週班表!$C$5:$T$44,$CU22,BW$57),""),1)="~",BW$58=1),"",LEFT(IFERROR(INDEX(醫師週班表!$C$5:$T$44,$CU22,BW$57),""),1)),IFERROR(INDEX(醫師週班表!$C$5:$T$44,$CU22,BW$57),""))))))</f>
        <v/>
      </c>
      <c r="BX22" s="68">
        <f>IF(BX$59="X","",IF(BX$59&lt;&gt;"",BX$59,IF(IFERROR(INDEX(醫師週班表!$C$5:$T$44,$CU22,BX$57),"")=0,"",IF(LEN(IFERROR(INDEX(醫師週班表!$C$5:$T$44,$CU22,BX$57),""))=4,MID(IFERROR(INDEX(醫師週班表!$C$5:$T$44,$CU22,BX$57),""),1+BX$58*2,1),IF(LEN(IFERROR(INDEX(醫師週班表!$C$5:$T$44,$CU22,BX$57),""))=2,IF(AND(RIGHT(IFERROR(INDEX(醫師週班表!$C$5:$T$44,$CU22,BX$57),""),1)="~",BX$58=1),"",LEFT(IFERROR(INDEX(醫師週班表!$C$5:$T$44,$CU22,BX$57),""),1)),IFERROR(INDEX(醫師週班表!$C$5:$T$44,$CU22,BX$57),""))))))</f>
        <v/>
      </c>
      <c r="BY22" s="67">
        <f>IF(BY$59="X","",IF(BY$59&lt;&gt;"",BY$59,IF(IFERROR(INDEX(醫師週班表!$C$5:$T$44,$CU22,BY$57),"")=0,"",IF(LEN(IFERROR(INDEX(醫師週班表!$C$5:$T$44,$CU22,BY$57),""))=4,MID(IFERROR(INDEX(醫師週班表!$C$5:$T$44,$CU22,BY$57),""),1+BY$58*2,1),IF(LEN(IFERROR(INDEX(醫師週班表!$C$5:$T$44,$CU22,BY$57),""))=2,IF(AND(RIGHT(IFERROR(INDEX(醫師週班表!$C$5:$T$44,$CU22,BY$57),""),1)="~",BY$58=1),"",LEFT(IFERROR(INDEX(醫師週班表!$C$5:$T$44,$CU22,BY$57),""),1)),IFERROR(INDEX(醫師週班表!$C$5:$T$44,$CU22,BY$57),""))))))</f>
        <v/>
      </c>
      <c r="BZ22" s="68">
        <f>IF(BZ$59="X","",IF(BZ$59&lt;&gt;"",BZ$59,IF(IFERROR(INDEX(醫師週班表!$C$5:$T$44,$CU22,BZ$57),"")=0,"",IF(LEN(IFERROR(INDEX(醫師週班表!$C$5:$T$44,$CU22,BZ$57),""))=4,MID(IFERROR(INDEX(醫師週班表!$C$5:$T$44,$CU22,BZ$57),""),1+BZ$58*2,1),IF(LEN(IFERROR(INDEX(醫師週班表!$C$5:$T$44,$CU22,BZ$57),""))=2,IF(AND(RIGHT(IFERROR(INDEX(醫師週班表!$C$5:$T$44,$CU22,BZ$57),""),1)="~",BZ$58=1),"",LEFT(IFERROR(INDEX(醫師週班表!$C$5:$T$44,$CU22,BZ$57),""),1)),IFERROR(INDEX(醫師週班表!$C$5:$T$44,$CU22,BZ$57),""))))))</f>
        <v/>
      </c>
      <c r="CA22" s="68">
        <f>IF(CA$59="X","",IF(CA$59&lt;&gt;"",CA$59,IF(IFERROR(INDEX(醫師週班表!$C$5:$T$44,$CU22,CA$57),"")=0,"",IF(LEN(IFERROR(INDEX(醫師週班表!$C$5:$T$44,$CU22,CA$57),""))=4,MID(IFERROR(INDEX(醫師週班表!$C$5:$T$44,$CU22,CA$57),""),1+CA$58*2,1),IF(LEN(IFERROR(INDEX(醫師週班表!$C$5:$T$44,$CU22,CA$57),""))=2,IF(AND(RIGHT(IFERROR(INDEX(醫師週班表!$C$5:$T$44,$CU22,CA$57),""),1)="~",CA$58=1),"",LEFT(IFERROR(INDEX(醫師週班表!$C$5:$T$44,$CU22,CA$57),""),1)),IFERROR(INDEX(醫師週班表!$C$5:$T$44,$CU22,CA$57),""))))))</f>
        <v/>
      </c>
      <c r="CB22" s="67">
        <f>IF(CB$59="X","",IF(CB$59&lt;&gt;"",CB$59,IF(IFERROR(INDEX(醫師週班表!$C$5:$T$44,$CU22,CB$57),"")=0,"",IF(LEN(IFERROR(INDEX(醫師週班表!$C$5:$T$44,$CU22,CB$57),""))=4,MID(IFERROR(INDEX(醫師週班表!$C$5:$T$44,$CU22,CB$57),""),1+CB$58*2,1),IF(LEN(IFERROR(INDEX(醫師週班表!$C$5:$T$44,$CU22,CB$57),""))=2,IF(AND(RIGHT(IFERROR(INDEX(醫師週班表!$C$5:$T$44,$CU22,CB$57),""),1)="~",CB$58=1),"",LEFT(IFERROR(INDEX(醫師週班表!$C$5:$T$44,$CU22,CB$57),""),1)),IFERROR(INDEX(醫師週班表!$C$5:$T$44,$CU22,CB$57),""))))))</f>
        <v/>
      </c>
      <c r="CC22" s="68">
        <f>IF(CC$59="X","",IF(CC$59&lt;&gt;"",CC$59,IF(IFERROR(INDEX(醫師週班表!$C$5:$T$44,$CU22,CC$57),"")=0,"",IF(LEN(IFERROR(INDEX(醫師週班表!$C$5:$T$44,$CU22,CC$57),""))=4,MID(IFERROR(INDEX(醫師週班表!$C$5:$T$44,$CU22,CC$57),""),1+CC$58*2,1),IF(LEN(IFERROR(INDEX(醫師週班表!$C$5:$T$44,$CU22,CC$57),""))=2,IF(AND(RIGHT(IFERROR(INDEX(醫師週班表!$C$5:$T$44,$CU22,CC$57),""),1)="~",CC$58=1),"",LEFT(IFERROR(INDEX(醫師週班表!$C$5:$T$44,$CU22,CC$57),""),1)),IFERROR(INDEX(醫師週班表!$C$5:$T$44,$CU22,CC$57),""))))))</f>
        <v/>
      </c>
      <c r="CD22" s="68">
        <f>IF(CD$59="X","",IF(CD$59&lt;&gt;"",CD$59,IF(IFERROR(INDEX(醫師週班表!$C$5:$T$44,$CU22,CD$57),"")=0,"",IF(LEN(IFERROR(INDEX(醫師週班表!$C$5:$T$44,$CU22,CD$57),""))=4,MID(IFERROR(INDEX(醫師週班表!$C$5:$T$44,$CU22,CD$57),""),1+CD$58*2,1),IF(LEN(IFERROR(INDEX(醫師週班表!$C$5:$T$44,$CU22,CD$57),""))=2,IF(AND(RIGHT(IFERROR(INDEX(醫師週班表!$C$5:$T$44,$CU22,CD$57),""),1)="~",CD$58=1),"",LEFT(IFERROR(INDEX(醫師週班表!$C$5:$T$44,$CU22,CD$57),""),1)),IFERROR(INDEX(醫師週班表!$C$5:$T$44,$CU22,CD$57),""))))))</f>
        <v/>
      </c>
      <c r="CE22" s="67">
        <f>IF(CE$59="X","",IF(CE$59&lt;&gt;"",CE$59,IF(IFERROR(INDEX(醫師週班表!$C$5:$T$44,$CU22,CE$57),"")=0,"",IF(LEN(IFERROR(INDEX(醫師週班表!$C$5:$T$44,$CU22,CE$57),""))=4,MID(IFERROR(INDEX(醫師週班表!$C$5:$T$44,$CU22,CE$57),""),1+CE$58*2,1),IF(LEN(IFERROR(INDEX(醫師週班表!$C$5:$T$44,$CU22,CE$57),""))=2,IF(AND(RIGHT(IFERROR(INDEX(醫師週班表!$C$5:$T$44,$CU22,CE$57),""),1)="~",CE$58=1),"",LEFT(IFERROR(INDEX(醫師週班表!$C$5:$T$44,$CU22,CE$57),""),1)),IFERROR(INDEX(醫師週班表!$C$5:$T$44,$CU22,CE$57),""))))))</f>
        <v/>
      </c>
      <c r="CF22" s="68">
        <f>IF(CF$59="X","",IF(CF$59&lt;&gt;"",CF$59,IF(IFERROR(INDEX(醫師週班表!$C$5:$T$44,$CU22,CF$57),"")=0,"",IF(LEN(IFERROR(INDEX(醫師週班表!$C$5:$T$44,$CU22,CF$57),""))=4,MID(IFERROR(INDEX(醫師週班表!$C$5:$T$44,$CU22,CF$57),""),1+CF$58*2,1),IF(LEN(IFERROR(INDEX(醫師週班表!$C$5:$T$44,$CU22,CF$57),""))=2,IF(AND(RIGHT(IFERROR(INDEX(醫師週班表!$C$5:$T$44,$CU22,CF$57),""),1)="~",CF$58=1),"",LEFT(IFERROR(INDEX(醫師週班表!$C$5:$T$44,$CU22,CF$57),""),1)),IFERROR(INDEX(醫師週班表!$C$5:$T$44,$CU22,CF$57),""))))))</f>
        <v/>
      </c>
      <c r="CG22" s="68">
        <f>IF(CG$59="X","",IF(CG$59&lt;&gt;"",CG$59,IF(IFERROR(INDEX(醫師週班表!$C$5:$T$44,$CU22,CG$57),"")=0,"",IF(LEN(IFERROR(INDEX(醫師週班表!$C$5:$T$44,$CU22,CG$57),""))=4,MID(IFERROR(INDEX(醫師週班表!$C$5:$T$44,$CU22,CG$57),""),1+CG$58*2,1),IF(LEN(IFERROR(INDEX(醫師週班表!$C$5:$T$44,$CU22,CG$57),""))=2,IF(AND(RIGHT(IFERROR(INDEX(醫師週班表!$C$5:$T$44,$CU22,CG$57),""),1)="~",CG$58=1),"",LEFT(IFERROR(INDEX(醫師週班表!$C$5:$T$44,$CU22,CG$57),""),1)),IFERROR(INDEX(醫師週班表!$C$5:$T$44,$CU22,CG$57),""))))))</f>
        <v/>
      </c>
      <c r="CH22" s="67">
        <f>IF(CH$59="X","",IF(CH$59&lt;&gt;"",CH$59,IF(IFERROR(INDEX(醫師週班表!$C$5:$T$44,$CU22,CH$57),"")=0,"",IF(LEN(IFERROR(INDEX(醫師週班表!$C$5:$T$44,$CU22,CH$57),""))=4,MID(IFERROR(INDEX(醫師週班表!$C$5:$T$44,$CU22,CH$57),""),1+CH$58*2,1),IF(LEN(IFERROR(INDEX(醫師週班表!$C$5:$T$44,$CU22,CH$57),""))=2,IF(AND(RIGHT(IFERROR(INDEX(醫師週班表!$C$5:$T$44,$CU22,CH$57),""),1)="~",CH$58=1),"",LEFT(IFERROR(INDEX(醫師週班表!$C$5:$T$44,$CU22,CH$57),""),1)),IFERROR(INDEX(醫師週班表!$C$5:$T$44,$CU22,CH$57),""))))))</f>
        <v/>
      </c>
      <c r="CI22" s="68">
        <f>IF(CI$59="X","",IF(CI$59&lt;&gt;"",CI$59,IF(IFERROR(INDEX(醫師週班表!$C$5:$T$44,$CU22,CI$57),"")=0,"",IF(LEN(IFERROR(INDEX(醫師週班表!$C$5:$T$44,$CU22,CI$57),""))=4,MID(IFERROR(INDEX(醫師週班表!$C$5:$T$44,$CU22,CI$57),""),1+CI$58*2,1),IF(LEN(IFERROR(INDEX(醫師週班表!$C$5:$T$44,$CU22,CI$57),""))=2,IF(AND(RIGHT(IFERROR(INDEX(醫師週班表!$C$5:$T$44,$CU22,CI$57),""),1)="~",CI$58=1),"",LEFT(IFERROR(INDEX(醫師週班表!$C$5:$T$44,$CU22,CI$57),""),1)),IFERROR(INDEX(醫師週班表!$C$5:$T$44,$CU22,CI$57),""))))))</f>
        <v/>
      </c>
      <c r="CJ22" s="68">
        <f>IF(CJ$59="X","",IF(CJ$59&lt;&gt;"",CJ$59,IF(IFERROR(INDEX(醫師週班表!$C$5:$T$44,$CU22,CJ$57),"")=0,"",IF(LEN(IFERROR(INDEX(醫師週班表!$C$5:$T$44,$CU22,CJ$57),""))=4,MID(IFERROR(INDEX(醫師週班表!$C$5:$T$44,$CU22,CJ$57),""),1+CJ$58*2,1),IF(LEN(IFERROR(INDEX(醫師週班表!$C$5:$T$44,$CU22,CJ$57),""))=2,IF(AND(RIGHT(IFERROR(INDEX(醫師週班表!$C$5:$T$44,$CU22,CJ$57),""),1)="~",CJ$58=1),"",LEFT(IFERROR(INDEX(醫師週班表!$C$5:$T$44,$CU22,CJ$57),""),1)),IFERROR(INDEX(醫師週班表!$C$5:$T$44,$CU22,CJ$57),""))))))</f>
        <v/>
      </c>
      <c r="CK22" s="67">
        <f>IF(CK$59="X","",IF(CK$59&lt;&gt;"",CK$59,IF(IFERROR(INDEX(醫師週班表!$C$5:$T$44,$CU22,CK$57),"")=0,"",IF(LEN(IFERROR(INDEX(醫師週班表!$C$5:$T$44,$CU22,CK$57),""))=4,MID(IFERROR(INDEX(醫師週班表!$C$5:$T$44,$CU22,CK$57),""),1+CK$58*2,1),IF(LEN(IFERROR(INDEX(醫師週班表!$C$5:$T$44,$CU22,CK$57),""))=2,IF(AND(RIGHT(IFERROR(INDEX(醫師週班表!$C$5:$T$44,$CU22,CK$57),""),1)="~",CK$58=1),"",LEFT(IFERROR(INDEX(醫師週班表!$C$5:$T$44,$CU22,CK$57),""),1)),IFERROR(INDEX(醫師週班表!$C$5:$T$44,$CU22,CK$57),""))))))</f>
        <v/>
      </c>
      <c r="CL22" s="68">
        <f>IF(CL$59="X","",IF(CL$59&lt;&gt;"",CL$59,IF(IFERROR(INDEX(醫師週班表!$C$5:$T$44,$CU22,CL$57),"")=0,"",IF(LEN(IFERROR(INDEX(醫師週班表!$C$5:$T$44,$CU22,CL$57),""))=4,MID(IFERROR(INDEX(醫師週班表!$C$5:$T$44,$CU22,CL$57),""),1+CL$58*2,1),IF(LEN(IFERROR(INDEX(醫師週班表!$C$5:$T$44,$CU22,CL$57),""))=2,IF(AND(RIGHT(IFERROR(INDEX(醫師週班表!$C$5:$T$44,$CU22,CL$57),""),1)="~",CL$58=1),"",LEFT(IFERROR(INDEX(醫師週班表!$C$5:$T$44,$CU22,CL$57),""),1)),IFERROR(INDEX(醫師週班表!$C$5:$T$44,$CU22,CL$57),""))))))</f>
        <v/>
      </c>
      <c r="CM22" s="68">
        <f>IF(CM$59="X","",IF(CM$59&lt;&gt;"",CM$59,IF(IFERROR(INDEX(醫師週班表!$C$5:$T$44,$CU22,CM$57),"")=0,"",IF(LEN(IFERROR(INDEX(醫師週班表!$C$5:$T$44,$CU22,CM$57),""))=4,MID(IFERROR(INDEX(醫師週班表!$C$5:$T$44,$CU22,CM$57),""),1+CM$58*2,1),IF(LEN(IFERROR(INDEX(醫師週班表!$C$5:$T$44,$CU22,CM$57),""))=2,IF(AND(RIGHT(IFERROR(INDEX(醫師週班表!$C$5:$T$44,$CU22,CM$57),""),1)="~",CM$58=1),"",LEFT(IFERROR(INDEX(醫師週班表!$C$5:$T$44,$CU22,CM$57),""),1)),IFERROR(INDEX(醫師週班表!$C$5:$T$44,$CU22,CM$57),""))))))</f>
        <v/>
      </c>
      <c r="CN22" s="67">
        <f>IF(CN$59="X","",IF(CN$59&lt;&gt;"",CN$59,IF(IFERROR(INDEX(醫師週班表!$C$5:$T$44,$CU22,CN$57),"")=0,"",IF(LEN(IFERROR(INDEX(醫師週班表!$C$5:$T$44,$CU22,CN$57),""))=4,MID(IFERROR(INDEX(醫師週班表!$C$5:$T$44,$CU22,CN$57),""),1+CN$58*2,1),IF(LEN(IFERROR(INDEX(醫師週班表!$C$5:$T$44,$CU22,CN$57),""))=2,IF(AND(RIGHT(IFERROR(INDEX(醫師週班表!$C$5:$T$44,$CU22,CN$57),""),1)="~",CN$58=1),"",LEFT(IFERROR(INDEX(醫師週班表!$C$5:$T$44,$CU22,CN$57),""),1)),IFERROR(INDEX(醫師週班表!$C$5:$T$44,$CU22,CN$57),""))))))</f>
        <v/>
      </c>
      <c r="CO22" s="68">
        <f>IF(CO$59="X","",IF(CO$59&lt;&gt;"",CO$59,IF(IFERROR(INDEX(醫師週班表!$C$5:$T$44,$CU22,CO$57),"")=0,"",IF(LEN(IFERROR(INDEX(醫師週班表!$C$5:$T$44,$CU22,CO$57),""))=4,MID(IFERROR(INDEX(醫師週班表!$C$5:$T$44,$CU22,CO$57),""),1+CO$58*2,1),IF(LEN(IFERROR(INDEX(醫師週班表!$C$5:$T$44,$CU22,CO$57),""))=2,IF(AND(RIGHT(IFERROR(INDEX(醫師週班表!$C$5:$T$44,$CU22,CO$57),""),1)="~",CO$58=1),"",LEFT(IFERROR(INDEX(醫師週班表!$C$5:$T$44,$CU22,CO$57),""),1)),IFERROR(INDEX(醫師週班表!$C$5:$T$44,$CU22,CO$57),""))))))</f>
        <v/>
      </c>
      <c r="CP22" s="68">
        <f>IF(CP$59="X","",IF(CP$59&lt;&gt;"",CP$59,IF(IFERROR(INDEX(醫師週班表!$C$5:$T$44,$CU22,CP$57),"")=0,"",IF(LEN(IFERROR(INDEX(醫師週班表!$C$5:$T$44,$CU22,CP$57),""))=4,MID(IFERROR(INDEX(醫師週班表!$C$5:$T$44,$CU22,CP$57),""),1+CP$58*2,1),IF(LEN(IFERROR(INDEX(醫師週班表!$C$5:$T$44,$CU22,CP$57),""))=2,IF(AND(RIGHT(IFERROR(INDEX(醫師週班表!$C$5:$T$44,$CU22,CP$57),""),1)="~",CP$58=1),"",LEFT(IFERROR(INDEX(醫師週班表!$C$5:$T$44,$CU22,CP$57),""),1)),IFERROR(INDEX(醫師週班表!$C$5:$T$44,$CU22,CP$57),""))))))</f>
        <v/>
      </c>
      <c r="CQ22" s="67">
        <f>IF(CQ$59="X","",IF(CQ$59&lt;&gt;"",CQ$59,IF(IFERROR(INDEX(醫師週班表!$C$5:$T$44,$CU22,CQ$57),"")=0,"",IF(LEN(IFERROR(INDEX(醫師週班表!$C$5:$T$44,$CU22,CQ$57),""))=4,MID(IFERROR(INDEX(醫師週班表!$C$5:$T$44,$CU22,CQ$57),""),1+CQ$58*2,1),IF(LEN(IFERROR(INDEX(醫師週班表!$C$5:$T$44,$CU22,CQ$57),""))=2,IF(AND(RIGHT(IFERROR(INDEX(醫師週班表!$C$5:$T$44,$CU22,CQ$57),""),1)="~",CQ$58=1),"",LEFT(IFERROR(INDEX(醫師週班表!$C$5:$T$44,$CU22,CQ$57),""),1)),IFERROR(INDEX(醫師週班表!$C$5:$T$44,$CU22,CQ$57),""))))))</f>
        <v/>
      </c>
      <c r="CR22" s="68">
        <f>IF(CR$59="X","",IF(CR$59&lt;&gt;"",CR$59,IF(IFERROR(INDEX(醫師週班表!$C$5:$T$44,$CU22,CR$57),"")=0,"",IF(LEN(IFERROR(INDEX(醫師週班表!$C$5:$T$44,$CU22,CR$57),""))=4,MID(IFERROR(INDEX(醫師週班表!$C$5:$T$44,$CU22,CR$57),""),1+CR$58*2,1),IF(LEN(IFERROR(INDEX(醫師週班表!$C$5:$T$44,$CU22,CR$57),""))=2,IF(AND(RIGHT(IFERROR(INDEX(醫師週班表!$C$5:$T$44,$CU22,CR$57),""),1)="~",CR$58=1),"",LEFT(IFERROR(INDEX(醫師週班表!$C$5:$T$44,$CU22,CR$57),""),1)),IFERROR(INDEX(醫師週班表!$C$5:$T$44,$CU22,CR$57),""))))))</f>
        <v/>
      </c>
      <c r="CS22" s="68">
        <f>IF(CS$59="X","",IF(CS$59&lt;&gt;"",CS$59,IF(IFERROR(INDEX(醫師週班表!$C$5:$T$44,$CU22,CS$57),"")=0,"",IF(LEN(IFERROR(INDEX(醫師週班表!$C$5:$T$44,$CU22,CS$57),""))=4,MID(IFERROR(INDEX(醫師週班表!$C$5:$T$44,$CU22,CS$57),""),1+CS$58*2,1),IF(LEN(IFERROR(INDEX(醫師週班表!$C$5:$T$44,$CU22,CS$57),""))=2,IF(AND(RIGHT(IFERROR(INDEX(醫師週班表!$C$5:$T$44,$CU22,CS$57),""),1)="~",CS$58=1),"",LEFT(IFERROR(INDEX(醫師週班表!$C$5:$T$44,$CU22,CS$57),""),1)),IFERROR(INDEX(醫師週班表!$C$5:$T$44,$CU22,CS$57),""))))))</f>
        <v/>
      </c>
      <c r="CU22" s="69">
        <f>IFERROR(MATCH($A22,醫師週班表!$A$5:$A$44,0),0)</f>
        <v/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IFERROR(INDEX(醫師週班表!$C$5:$T$44,$CU23,E$57),"")=0,"",IF(LEN(IFERROR(INDEX(醫師週班表!$C$5:$T$44,$CU23,E$57),""))=4,MID(IFERROR(INDEX(醫師週班表!$C$5:$T$44,$CU23,E$57),""),1+E$58*2,1),IF(LEN(IFERROR(INDEX(醫師週班表!$C$5:$T$44,$CU23,E$57),""))=2,IF(AND(RIGHT(IFERROR(INDEX(醫師週班表!$C$5:$T$44,$CU23,E$57),""),1)="~",E$58=1),"",LEFT(IFERROR(INDEX(醫師週班表!$C$5:$T$44,$CU23,E$57),""),1)),IFERROR(INDEX(醫師週班表!$C$5:$T$44,$CU23,E$57),""))))))</f>
        <v/>
      </c>
      <c r="F23" s="68">
        <f>IF(F$59="X","",IF(F$59&lt;&gt;"",F$59,IF(IFERROR(INDEX(醫師週班表!$C$5:$T$44,$CU23,F$57),"")=0,"",IF(LEN(IFERROR(INDEX(醫師週班表!$C$5:$T$44,$CU23,F$57),""))=4,MID(IFERROR(INDEX(醫師週班表!$C$5:$T$44,$CU23,F$57),""),1+F$58*2,1),IF(LEN(IFERROR(INDEX(醫師週班表!$C$5:$T$44,$CU23,F$57),""))=2,IF(AND(RIGHT(IFERROR(INDEX(醫師週班表!$C$5:$T$44,$CU23,F$57),""),1)="~",F$58=1),"",LEFT(IFERROR(INDEX(醫師週班表!$C$5:$T$44,$CU23,F$57),""),1)),IFERROR(INDEX(醫師週班表!$C$5:$T$44,$CU23,F$57),""))))))</f>
        <v/>
      </c>
      <c r="G23" s="68">
        <f>IF(G$59="X","",IF(G$59&lt;&gt;"",G$59,IF(IFERROR(INDEX(醫師週班表!$C$5:$T$44,$CU23,G$57),"")=0,"",IF(LEN(IFERROR(INDEX(醫師週班表!$C$5:$T$44,$CU23,G$57),""))=4,MID(IFERROR(INDEX(醫師週班表!$C$5:$T$44,$CU23,G$57),""),1+G$58*2,1),IF(LEN(IFERROR(INDEX(醫師週班表!$C$5:$T$44,$CU23,G$57),""))=2,IF(AND(RIGHT(IFERROR(INDEX(醫師週班表!$C$5:$T$44,$CU23,G$57),""),1)="~",G$58=1),"",LEFT(IFERROR(INDEX(醫師週班表!$C$5:$T$44,$CU23,G$57),""),1)),IFERROR(INDEX(醫師週班表!$C$5:$T$44,$CU23,G$57),""))))))</f>
        <v/>
      </c>
      <c r="H23" s="67">
        <f>IF(H$59="X","",IF(H$59&lt;&gt;"",H$59,IF(IFERROR(INDEX(醫師週班表!$C$5:$T$44,$CU23,H$57),"")=0,"",IF(LEN(IFERROR(INDEX(醫師週班表!$C$5:$T$44,$CU23,H$57),""))=4,MID(IFERROR(INDEX(醫師週班表!$C$5:$T$44,$CU23,H$57),""),1+H$58*2,1),IF(LEN(IFERROR(INDEX(醫師週班表!$C$5:$T$44,$CU23,H$57),""))=2,IF(AND(RIGHT(IFERROR(INDEX(醫師週班表!$C$5:$T$44,$CU23,H$57),""),1)="~",H$58=1),"",LEFT(IFERROR(INDEX(醫師週班表!$C$5:$T$44,$CU23,H$57),""),1)),IFERROR(INDEX(醫師週班表!$C$5:$T$44,$CU23,H$57),""))))))</f>
        <v/>
      </c>
      <c r="I23" s="68">
        <f>IF(I$59="X","",IF(I$59&lt;&gt;"",I$59,IF(IFERROR(INDEX(醫師週班表!$C$5:$T$44,$CU23,I$57),"")=0,"",IF(LEN(IFERROR(INDEX(醫師週班表!$C$5:$T$44,$CU23,I$57),""))=4,MID(IFERROR(INDEX(醫師週班表!$C$5:$T$44,$CU23,I$57),""),1+I$58*2,1),IF(LEN(IFERROR(INDEX(醫師週班表!$C$5:$T$44,$CU23,I$57),""))=2,IF(AND(RIGHT(IFERROR(INDEX(醫師週班表!$C$5:$T$44,$CU23,I$57),""),1)="~",I$58=1),"",LEFT(IFERROR(INDEX(醫師週班表!$C$5:$T$44,$CU23,I$57),""),1)),IFERROR(INDEX(醫師週班表!$C$5:$T$44,$CU23,I$57),""))))))</f>
        <v/>
      </c>
      <c r="J23" s="68">
        <f>IF(J$59="X","",IF(J$59&lt;&gt;"",J$59,IF(IFERROR(INDEX(醫師週班表!$C$5:$T$44,$CU23,J$57),"")=0,"",IF(LEN(IFERROR(INDEX(醫師週班表!$C$5:$T$44,$CU23,J$57),""))=4,MID(IFERROR(INDEX(醫師週班表!$C$5:$T$44,$CU23,J$57),""),1+J$58*2,1),IF(LEN(IFERROR(INDEX(醫師週班表!$C$5:$T$44,$CU23,J$57),""))=2,IF(AND(RIGHT(IFERROR(INDEX(醫師週班表!$C$5:$T$44,$CU23,J$57),""),1)="~",J$58=1),"",LEFT(IFERROR(INDEX(醫師週班表!$C$5:$T$44,$CU23,J$57),""),1)),IFERROR(INDEX(醫師週班表!$C$5:$T$44,$CU23,J$57),""))))))</f>
        <v/>
      </c>
      <c r="K23" s="67">
        <f>IF(K$59="X","",IF(K$59&lt;&gt;"",K$59,IF(IFERROR(INDEX(醫師週班表!$C$5:$T$44,$CU23,K$57),"")=0,"",IF(LEN(IFERROR(INDEX(醫師週班表!$C$5:$T$44,$CU23,K$57),""))=4,MID(IFERROR(INDEX(醫師週班表!$C$5:$T$44,$CU23,K$57),""),1+K$58*2,1),IF(LEN(IFERROR(INDEX(醫師週班表!$C$5:$T$44,$CU23,K$57),""))=2,IF(AND(RIGHT(IFERROR(INDEX(醫師週班表!$C$5:$T$44,$CU23,K$57),""),1)="~",K$58=1),"",LEFT(IFERROR(INDEX(醫師週班表!$C$5:$T$44,$CU23,K$57),""),1)),IFERROR(INDEX(醫師週班表!$C$5:$T$44,$CU23,K$57),""))))))</f>
        <v/>
      </c>
      <c r="L23" s="68">
        <f>IF(L$59="X","",IF(L$59&lt;&gt;"",L$59,IF(IFERROR(INDEX(醫師週班表!$C$5:$T$44,$CU23,L$57),"")=0,"",IF(LEN(IFERROR(INDEX(醫師週班表!$C$5:$T$44,$CU23,L$57),""))=4,MID(IFERROR(INDEX(醫師週班表!$C$5:$T$44,$CU23,L$57),""),1+L$58*2,1),IF(LEN(IFERROR(INDEX(醫師週班表!$C$5:$T$44,$CU23,L$57),""))=2,IF(AND(RIGHT(IFERROR(INDEX(醫師週班表!$C$5:$T$44,$CU23,L$57),""),1)="~",L$58=1),"",LEFT(IFERROR(INDEX(醫師週班表!$C$5:$T$44,$CU23,L$57),""),1)),IFERROR(INDEX(醫師週班表!$C$5:$T$44,$CU23,L$57),""))))))</f>
        <v/>
      </c>
      <c r="M23" s="68">
        <f>IF(M$59="X","",IF(M$59&lt;&gt;"",M$59,IF(IFERROR(INDEX(醫師週班表!$C$5:$T$44,$CU23,M$57),"")=0,"",IF(LEN(IFERROR(INDEX(醫師週班表!$C$5:$T$44,$CU23,M$57),""))=4,MID(IFERROR(INDEX(醫師週班表!$C$5:$T$44,$CU23,M$57),""),1+M$58*2,1),IF(LEN(IFERROR(INDEX(醫師週班表!$C$5:$T$44,$CU23,M$57),""))=2,IF(AND(RIGHT(IFERROR(INDEX(醫師週班表!$C$5:$T$44,$CU23,M$57),""),1)="~",M$58=1),"",LEFT(IFERROR(INDEX(醫師週班表!$C$5:$T$44,$CU23,M$57),""),1)),IFERROR(INDEX(醫師週班表!$C$5:$T$44,$CU23,M$57),""))))))</f>
        <v/>
      </c>
      <c r="N23" s="67">
        <f>IF(N$59="X","",IF(N$59&lt;&gt;"",N$59,IF(IFERROR(INDEX(醫師週班表!$C$5:$T$44,$CU23,N$57),"")=0,"",IF(LEN(IFERROR(INDEX(醫師週班表!$C$5:$T$44,$CU23,N$57),""))=4,MID(IFERROR(INDEX(醫師週班表!$C$5:$T$44,$CU23,N$57),""),1+N$58*2,1),IF(LEN(IFERROR(INDEX(醫師週班表!$C$5:$T$44,$CU23,N$57),""))=2,IF(AND(RIGHT(IFERROR(INDEX(醫師週班表!$C$5:$T$44,$CU23,N$57),""),1)="~",N$58=1),"",LEFT(IFERROR(INDEX(醫師週班表!$C$5:$T$44,$CU23,N$57),""),1)),IFERROR(INDEX(醫師週班表!$C$5:$T$44,$CU23,N$57),""))))))</f>
        <v/>
      </c>
      <c r="O23" s="68">
        <f>IF(O$59="X","",IF(O$59&lt;&gt;"",O$59,IF(IFERROR(INDEX(醫師週班表!$C$5:$T$44,$CU23,O$57),"")=0,"",IF(LEN(IFERROR(INDEX(醫師週班表!$C$5:$T$44,$CU23,O$57),""))=4,MID(IFERROR(INDEX(醫師週班表!$C$5:$T$44,$CU23,O$57),""),1+O$58*2,1),IF(LEN(IFERROR(INDEX(醫師週班表!$C$5:$T$44,$CU23,O$57),""))=2,IF(AND(RIGHT(IFERROR(INDEX(醫師週班表!$C$5:$T$44,$CU23,O$57),""),1)="~",O$58=1),"",LEFT(IFERROR(INDEX(醫師週班表!$C$5:$T$44,$CU23,O$57),""),1)),IFERROR(INDEX(醫師週班表!$C$5:$T$44,$CU23,O$57),""))))))</f>
        <v/>
      </c>
      <c r="P23" s="68">
        <f>IF(P$59="X","",IF(P$59&lt;&gt;"",P$59,IF(IFERROR(INDEX(醫師週班表!$C$5:$T$44,$CU23,P$57),"")=0,"",IF(LEN(IFERROR(INDEX(醫師週班表!$C$5:$T$44,$CU23,P$57),""))=4,MID(IFERROR(INDEX(醫師週班表!$C$5:$T$44,$CU23,P$57),""),1+P$58*2,1),IF(LEN(IFERROR(INDEX(醫師週班表!$C$5:$T$44,$CU23,P$57),""))=2,IF(AND(RIGHT(IFERROR(INDEX(醫師週班表!$C$5:$T$44,$CU23,P$57),""),1)="~",P$58=1),"",LEFT(IFERROR(INDEX(醫師週班表!$C$5:$T$44,$CU23,P$57),""),1)),IFERROR(INDEX(醫師週班表!$C$5:$T$44,$CU23,P$57),""))))))</f>
        <v/>
      </c>
      <c r="Q23" s="67">
        <f>IF(Q$59="X","",IF(Q$59&lt;&gt;"",Q$59,IF(IFERROR(INDEX(醫師週班表!$C$5:$T$44,$CU23,Q$57),"")=0,"",IF(LEN(IFERROR(INDEX(醫師週班表!$C$5:$T$44,$CU23,Q$57),""))=4,MID(IFERROR(INDEX(醫師週班表!$C$5:$T$44,$CU23,Q$57),""),1+Q$58*2,1),IF(LEN(IFERROR(INDEX(醫師週班表!$C$5:$T$44,$CU23,Q$57),""))=2,IF(AND(RIGHT(IFERROR(INDEX(醫師週班表!$C$5:$T$44,$CU23,Q$57),""),1)="~",Q$58=1),"",LEFT(IFERROR(INDEX(醫師週班表!$C$5:$T$44,$CU23,Q$57),""),1)),IFERROR(INDEX(醫師週班表!$C$5:$T$44,$CU23,Q$57),""))))))</f>
        <v/>
      </c>
      <c r="R23" s="68">
        <f>IF(R$59="X","",IF(R$59&lt;&gt;"",R$59,IF(IFERROR(INDEX(醫師週班表!$C$5:$T$44,$CU23,R$57),"")=0,"",IF(LEN(IFERROR(INDEX(醫師週班表!$C$5:$T$44,$CU23,R$57),""))=4,MID(IFERROR(INDEX(醫師週班表!$C$5:$T$44,$CU23,R$57),""),1+R$58*2,1),IF(LEN(IFERROR(INDEX(醫師週班表!$C$5:$T$44,$CU23,R$57),""))=2,IF(AND(RIGHT(IFERROR(INDEX(醫師週班表!$C$5:$T$44,$CU23,R$57),""),1)="~",R$58=1),"",LEFT(IFERROR(INDEX(醫師週班表!$C$5:$T$44,$CU23,R$57),""),1)),IFERROR(INDEX(醫師週班表!$C$5:$T$44,$CU23,R$57),""))))))</f>
        <v/>
      </c>
      <c r="S23" s="68">
        <f>IF(S$59="X","",IF(S$59&lt;&gt;"",S$59,IF(IFERROR(INDEX(醫師週班表!$C$5:$T$44,$CU23,S$57),"")=0,"",IF(LEN(IFERROR(INDEX(醫師週班表!$C$5:$T$44,$CU23,S$57),""))=4,MID(IFERROR(INDEX(醫師週班表!$C$5:$T$44,$CU23,S$57),""),1+S$58*2,1),IF(LEN(IFERROR(INDEX(醫師週班表!$C$5:$T$44,$CU23,S$57),""))=2,IF(AND(RIGHT(IFERROR(INDEX(醫師週班表!$C$5:$T$44,$CU23,S$57),""),1)="~",S$58=1),"",LEFT(IFERROR(INDEX(醫師週班表!$C$5:$T$44,$CU23,S$57),""),1)),IFERROR(INDEX(醫師週班表!$C$5:$T$44,$CU23,S$57),""))))))</f>
        <v/>
      </c>
      <c r="T23" s="67">
        <f>IF(T$59="X","",IF(T$59&lt;&gt;"",T$59,IF(IFERROR(INDEX(醫師週班表!$C$5:$T$44,$CU23,T$57),"")=0,"",IF(LEN(IFERROR(INDEX(醫師週班表!$C$5:$T$44,$CU23,T$57),""))=4,MID(IFERROR(INDEX(醫師週班表!$C$5:$T$44,$CU23,T$57),""),1+T$58*2,1),IF(LEN(IFERROR(INDEX(醫師週班表!$C$5:$T$44,$CU23,T$57),""))=2,IF(AND(RIGHT(IFERROR(INDEX(醫師週班表!$C$5:$T$44,$CU23,T$57),""),1)="~",T$58=1),"",LEFT(IFERROR(INDEX(醫師週班表!$C$5:$T$44,$CU23,T$57),""),1)),IFERROR(INDEX(醫師週班表!$C$5:$T$44,$CU23,T$57),""))))))</f>
        <v/>
      </c>
      <c r="U23" s="68">
        <f>IF(U$59="X","",IF(U$59&lt;&gt;"",U$59,IF(IFERROR(INDEX(醫師週班表!$C$5:$T$44,$CU23,U$57),"")=0,"",IF(LEN(IFERROR(INDEX(醫師週班表!$C$5:$T$44,$CU23,U$57),""))=4,MID(IFERROR(INDEX(醫師週班表!$C$5:$T$44,$CU23,U$57),""),1+U$58*2,1),IF(LEN(IFERROR(INDEX(醫師週班表!$C$5:$T$44,$CU23,U$57),""))=2,IF(AND(RIGHT(IFERROR(INDEX(醫師週班表!$C$5:$T$44,$CU23,U$57),""),1)="~",U$58=1),"",LEFT(IFERROR(INDEX(醫師週班表!$C$5:$T$44,$CU23,U$57),""),1)),IFERROR(INDEX(醫師週班表!$C$5:$T$44,$CU23,U$57),""))))))</f>
        <v/>
      </c>
      <c r="V23" s="68">
        <f>IF(V$59="X","",IF(V$59&lt;&gt;"",V$59,IF(IFERROR(INDEX(醫師週班表!$C$5:$T$44,$CU23,V$57),"")=0,"",IF(LEN(IFERROR(INDEX(醫師週班表!$C$5:$T$44,$CU23,V$57),""))=4,MID(IFERROR(INDEX(醫師週班表!$C$5:$T$44,$CU23,V$57),""),1+V$58*2,1),IF(LEN(IFERROR(INDEX(醫師週班表!$C$5:$T$44,$CU23,V$57),""))=2,IF(AND(RIGHT(IFERROR(INDEX(醫師週班表!$C$5:$T$44,$CU23,V$57),""),1)="~",V$58=1),"",LEFT(IFERROR(INDEX(醫師週班表!$C$5:$T$44,$CU23,V$57),""),1)),IFERROR(INDEX(醫師週班表!$C$5:$T$44,$CU23,V$57),""))))))</f>
        <v/>
      </c>
      <c r="W23" s="67">
        <f>IF(W$59="X","",IF(W$59&lt;&gt;"",W$59,IF(IFERROR(INDEX(醫師週班表!$C$5:$T$44,$CU23,W$57),"")=0,"",IF(LEN(IFERROR(INDEX(醫師週班表!$C$5:$T$44,$CU23,W$57),""))=4,MID(IFERROR(INDEX(醫師週班表!$C$5:$T$44,$CU23,W$57),""),1+W$58*2,1),IF(LEN(IFERROR(INDEX(醫師週班表!$C$5:$T$44,$CU23,W$57),""))=2,IF(AND(RIGHT(IFERROR(INDEX(醫師週班表!$C$5:$T$44,$CU23,W$57),""),1)="~",W$58=1),"",LEFT(IFERROR(INDEX(醫師週班表!$C$5:$T$44,$CU23,W$57),""),1)),IFERROR(INDEX(醫師週班表!$C$5:$T$44,$CU23,W$57),""))))))</f>
        <v/>
      </c>
      <c r="X23" s="68">
        <f>IF(X$59="X","",IF(X$59&lt;&gt;"",X$59,IF(IFERROR(INDEX(醫師週班表!$C$5:$T$44,$CU23,X$57),"")=0,"",IF(LEN(IFERROR(INDEX(醫師週班表!$C$5:$T$44,$CU23,X$57),""))=4,MID(IFERROR(INDEX(醫師週班表!$C$5:$T$44,$CU23,X$57),""),1+X$58*2,1),IF(LEN(IFERROR(INDEX(醫師週班表!$C$5:$T$44,$CU23,X$57),""))=2,IF(AND(RIGHT(IFERROR(INDEX(醫師週班表!$C$5:$T$44,$CU23,X$57),""),1)="~",X$58=1),"",LEFT(IFERROR(INDEX(醫師週班表!$C$5:$T$44,$CU23,X$57),""),1)),IFERROR(INDEX(醫師週班表!$C$5:$T$44,$CU23,X$57),""))))))</f>
        <v/>
      </c>
      <c r="Y23" s="68">
        <f>IF(Y$59="X","",IF(Y$59&lt;&gt;"",Y$59,IF(IFERROR(INDEX(醫師週班表!$C$5:$T$44,$CU23,Y$57),"")=0,"",IF(LEN(IFERROR(INDEX(醫師週班表!$C$5:$T$44,$CU23,Y$57),""))=4,MID(IFERROR(INDEX(醫師週班表!$C$5:$T$44,$CU23,Y$57),""),1+Y$58*2,1),IF(LEN(IFERROR(INDEX(醫師週班表!$C$5:$T$44,$CU23,Y$57),""))=2,IF(AND(RIGHT(IFERROR(INDEX(醫師週班表!$C$5:$T$44,$CU23,Y$57),""),1)="~",Y$58=1),"",LEFT(IFERROR(INDEX(醫師週班表!$C$5:$T$44,$CU23,Y$57),""),1)),IFERROR(INDEX(醫師週班表!$C$5:$T$44,$CU23,Y$57),""))))))</f>
        <v/>
      </c>
      <c r="Z23" s="67">
        <f>IF(Z$59="X","",IF(Z$59&lt;&gt;"",Z$59,IF(IFERROR(INDEX(醫師週班表!$C$5:$T$44,$CU23,Z$57),"")=0,"",IF(LEN(IFERROR(INDEX(醫師週班表!$C$5:$T$44,$CU23,Z$57),""))=4,MID(IFERROR(INDEX(醫師週班表!$C$5:$T$44,$CU23,Z$57),""),1+Z$58*2,1),IF(LEN(IFERROR(INDEX(醫師週班表!$C$5:$T$44,$CU23,Z$57),""))=2,IF(AND(RIGHT(IFERROR(INDEX(醫師週班表!$C$5:$T$44,$CU23,Z$57),""),1)="~",Z$58=1),"",LEFT(IFERROR(INDEX(醫師週班表!$C$5:$T$44,$CU23,Z$57),""),1)),IFERROR(INDEX(醫師週班表!$C$5:$T$44,$CU23,Z$57),""))))))</f>
        <v/>
      </c>
      <c r="AA23" s="68">
        <f>IF(AA$59="X","",IF(AA$59&lt;&gt;"",AA$59,IF(IFERROR(INDEX(醫師週班表!$C$5:$T$44,$CU23,AA$57),"")=0,"",IF(LEN(IFERROR(INDEX(醫師週班表!$C$5:$T$44,$CU23,AA$57),""))=4,MID(IFERROR(INDEX(醫師週班表!$C$5:$T$44,$CU23,AA$57),""),1+AA$58*2,1),IF(LEN(IFERROR(INDEX(醫師週班表!$C$5:$T$44,$CU23,AA$57),""))=2,IF(AND(RIGHT(IFERROR(INDEX(醫師週班表!$C$5:$T$44,$CU23,AA$57),""),1)="~",AA$58=1),"",LEFT(IFERROR(INDEX(醫師週班表!$C$5:$T$44,$CU23,AA$57),""),1)),IFERROR(INDEX(醫師週班表!$C$5:$T$44,$CU23,AA$57),""))))))</f>
        <v/>
      </c>
      <c r="AB23" s="68">
        <f>IF(AB$59="X","",IF(AB$59&lt;&gt;"",AB$59,IF(IFERROR(INDEX(醫師週班表!$C$5:$T$44,$CU23,AB$57),"")=0,"",IF(LEN(IFERROR(INDEX(醫師週班表!$C$5:$T$44,$CU23,AB$57),""))=4,MID(IFERROR(INDEX(醫師週班表!$C$5:$T$44,$CU23,AB$57),""),1+AB$58*2,1),IF(LEN(IFERROR(INDEX(醫師週班表!$C$5:$T$44,$CU23,AB$57),""))=2,IF(AND(RIGHT(IFERROR(INDEX(醫師週班表!$C$5:$T$44,$CU23,AB$57),""),1)="~",AB$58=1),"",LEFT(IFERROR(INDEX(醫師週班表!$C$5:$T$44,$CU23,AB$57),""),1)),IFERROR(INDEX(醫師週班表!$C$5:$T$44,$CU23,AB$57),""))))))</f>
        <v/>
      </c>
      <c r="AC23" s="67">
        <f>IF(AC$59="X","",IF(AC$59&lt;&gt;"",AC$59,IF(IFERROR(INDEX(醫師週班表!$C$5:$T$44,$CU23,AC$57),"")=0,"",IF(LEN(IFERROR(INDEX(醫師週班表!$C$5:$T$44,$CU23,AC$57),""))=4,MID(IFERROR(INDEX(醫師週班表!$C$5:$T$44,$CU23,AC$57),""),1+AC$58*2,1),IF(LEN(IFERROR(INDEX(醫師週班表!$C$5:$T$44,$CU23,AC$57),""))=2,IF(AND(RIGHT(IFERROR(INDEX(醫師週班表!$C$5:$T$44,$CU23,AC$57),""),1)="~",AC$58=1),"",LEFT(IFERROR(INDEX(醫師週班表!$C$5:$T$44,$CU23,AC$57),""),1)),IFERROR(INDEX(醫師週班表!$C$5:$T$44,$CU23,AC$57),""))))))</f>
        <v/>
      </c>
      <c r="AD23" s="68">
        <f>IF(AD$59="X","",IF(AD$59&lt;&gt;"",AD$59,IF(IFERROR(INDEX(醫師週班表!$C$5:$T$44,$CU23,AD$57),"")=0,"",IF(LEN(IFERROR(INDEX(醫師週班表!$C$5:$T$44,$CU23,AD$57),""))=4,MID(IFERROR(INDEX(醫師週班表!$C$5:$T$44,$CU23,AD$57),""),1+AD$58*2,1),IF(LEN(IFERROR(INDEX(醫師週班表!$C$5:$T$44,$CU23,AD$57),""))=2,IF(AND(RIGHT(IFERROR(INDEX(醫師週班表!$C$5:$T$44,$CU23,AD$57),""),1)="~",AD$58=1),"",LEFT(IFERROR(INDEX(醫師週班表!$C$5:$T$44,$CU23,AD$57),""),1)),IFERROR(INDEX(醫師週班表!$C$5:$T$44,$CU23,AD$57),""))))))</f>
        <v/>
      </c>
      <c r="AE23" s="68">
        <f>IF(AE$59="X","",IF(AE$59&lt;&gt;"",AE$59,IF(IFERROR(INDEX(醫師週班表!$C$5:$T$44,$CU23,AE$57),"")=0,"",IF(LEN(IFERROR(INDEX(醫師週班表!$C$5:$T$44,$CU23,AE$57),""))=4,MID(IFERROR(INDEX(醫師週班表!$C$5:$T$44,$CU23,AE$57),""),1+AE$58*2,1),IF(LEN(IFERROR(INDEX(醫師週班表!$C$5:$T$44,$CU23,AE$57),""))=2,IF(AND(RIGHT(IFERROR(INDEX(醫師週班表!$C$5:$T$44,$CU23,AE$57),""),1)="~",AE$58=1),"",LEFT(IFERROR(INDEX(醫師週班表!$C$5:$T$44,$CU23,AE$57),""),1)),IFERROR(INDEX(醫師週班表!$C$5:$T$44,$CU23,AE$57),""))))))</f>
        <v/>
      </c>
      <c r="AF23" s="67">
        <f>IF(AF$59="X","",IF(AF$59&lt;&gt;"",AF$59,IF(IFERROR(INDEX(醫師週班表!$C$5:$T$44,$CU23,AF$57),"")=0,"",IF(LEN(IFERROR(INDEX(醫師週班表!$C$5:$T$44,$CU23,AF$57),""))=4,MID(IFERROR(INDEX(醫師週班表!$C$5:$T$44,$CU23,AF$57),""),1+AF$58*2,1),IF(LEN(IFERROR(INDEX(醫師週班表!$C$5:$T$44,$CU23,AF$57),""))=2,IF(AND(RIGHT(IFERROR(INDEX(醫師週班表!$C$5:$T$44,$CU23,AF$57),""),1)="~",AF$58=1),"",LEFT(IFERROR(INDEX(醫師週班表!$C$5:$T$44,$CU23,AF$57),""),1)),IFERROR(INDEX(醫師週班表!$C$5:$T$44,$CU23,AF$57),""))))))</f>
        <v/>
      </c>
      <c r="AG23" s="68">
        <f>IF(AG$59="X","",IF(AG$59&lt;&gt;"",AG$59,IF(IFERROR(INDEX(醫師週班表!$C$5:$T$44,$CU23,AG$57),"")=0,"",IF(LEN(IFERROR(INDEX(醫師週班表!$C$5:$T$44,$CU23,AG$57),""))=4,MID(IFERROR(INDEX(醫師週班表!$C$5:$T$44,$CU23,AG$57),""),1+AG$58*2,1),IF(LEN(IFERROR(INDEX(醫師週班表!$C$5:$T$44,$CU23,AG$57),""))=2,IF(AND(RIGHT(IFERROR(INDEX(醫師週班表!$C$5:$T$44,$CU23,AG$57),""),1)="~",AG$58=1),"",LEFT(IFERROR(INDEX(醫師週班表!$C$5:$T$44,$CU23,AG$57),""),1)),IFERROR(INDEX(醫師週班表!$C$5:$T$44,$CU23,AG$57),""))))))</f>
        <v/>
      </c>
      <c r="AH23" s="68">
        <f>IF(AH$59="X","",IF(AH$59&lt;&gt;"",AH$59,IF(IFERROR(INDEX(醫師週班表!$C$5:$T$44,$CU23,AH$57),"")=0,"",IF(LEN(IFERROR(INDEX(醫師週班表!$C$5:$T$44,$CU23,AH$57),""))=4,MID(IFERROR(INDEX(醫師週班表!$C$5:$T$44,$CU23,AH$57),""),1+AH$58*2,1),IF(LEN(IFERROR(INDEX(醫師週班表!$C$5:$T$44,$CU23,AH$57),""))=2,IF(AND(RIGHT(IFERROR(INDEX(醫師週班表!$C$5:$T$44,$CU23,AH$57),""),1)="~",AH$58=1),"",LEFT(IFERROR(INDEX(醫師週班表!$C$5:$T$44,$CU23,AH$57),""),1)),IFERROR(INDEX(醫師週班表!$C$5:$T$44,$CU23,AH$57),""))))))</f>
        <v/>
      </c>
      <c r="AI23" s="67">
        <f>IF(AI$59="X","",IF(AI$59&lt;&gt;"",AI$59,IF(IFERROR(INDEX(醫師週班表!$C$5:$T$44,$CU23,AI$57),"")=0,"",IF(LEN(IFERROR(INDEX(醫師週班表!$C$5:$T$44,$CU23,AI$57),""))=4,MID(IFERROR(INDEX(醫師週班表!$C$5:$T$44,$CU23,AI$57),""),1+AI$58*2,1),IF(LEN(IFERROR(INDEX(醫師週班表!$C$5:$T$44,$CU23,AI$57),""))=2,IF(AND(RIGHT(IFERROR(INDEX(醫師週班表!$C$5:$T$44,$CU23,AI$57),""),1)="~",AI$58=1),"",LEFT(IFERROR(INDEX(醫師週班表!$C$5:$T$44,$CU23,AI$57),""),1)),IFERROR(INDEX(醫師週班表!$C$5:$T$44,$CU23,AI$57),""))))))</f>
        <v/>
      </c>
      <c r="AJ23" s="68">
        <f>IF(AJ$59="X","",IF(AJ$59&lt;&gt;"",AJ$59,IF(IFERROR(INDEX(醫師週班表!$C$5:$T$44,$CU23,AJ$57),"")=0,"",IF(LEN(IFERROR(INDEX(醫師週班表!$C$5:$T$44,$CU23,AJ$57),""))=4,MID(IFERROR(INDEX(醫師週班表!$C$5:$T$44,$CU23,AJ$57),""),1+AJ$58*2,1),IF(LEN(IFERROR(INDEX(醫師週班表!$C$5:$T$44,$CU23,AJ$57),""))=2,IF(AND(RIGHT(IFERROR(INDEX(醫師週班表!$C$5:$T$44,$CU23,AJ$57),""),1)="~",AJ$58=1),"",LEFT(IFERROR(INDEX(醫師週班表!$C$5:$T$44,$CU23,AJ$57),""),1)),IFERROR(INDEX(醫師週班表!$C$5:$T$44,$CU23,AJ$57),""))))))</f>
        <v/>
      </c>
      <c r="AK23" s="68">
        <f>IF(AK$59="X","",IF(AK$59&lt;&gt;"",AK$59,IF(IFERROR(INDEX(醫師週班表!$C$5:$T$44,$CU23,AK$57),"")=0,"",IF(LEN(IFERROR(INDEX(醫師週班表!$C$5:$T$44,$CU23,AK$57),""))=4,MID(IFERROR(INDEX(醫師週班表!$C$5:$T$44,$CU23,AK$57),""),1+AK$58*2,1),IF(LEN(IFERROR(INDEX(醫師週班表!$C$5:$T$44,$CU23,AK$57),""))=2,IF(AND(RIGHT(IFERROR(INDEX(醫師週班表!$C$5:$T$44,$CU23,AK$57),""),1)="~",AK$58=1),"",LEFT(IFERROR(INDEX(醫師週班表!$C$5:$T$44,$CU23,AK$57),""),1)),IFERROR(INDEX(醫師週班表!$C$5:$T$44,$CU23,AK$57),""))))))</f>
        <v/>
      </c>
      <c r="AL23" s="67">
        <f>IF(AL$59="X","",IF(AL$59&lt;&gt;"",AL$59,IF(IFERROR(INDEX(醫師週班表!$C$5:$T$44,$CU23,AL$57),"")=0,"",IF(LEN(IFERROR(INDEX(醫師週班表!$C$5:$T$44,$CU23,AL$57),""))=4,MID(IFERROR(INDEX(醫師週班表!$C$5:$T$44,$CU23,AL$57),""),1+AL$58*2,1),IF(LEN(IFERROR(INDEX(醫師週班表!$C$5:$T$44,$CU23,AL$57),""))=2,IF(AND(RIGHT(IFERROR(INDEX(醫師週班表!$C$5:$T$44,$CU23,AL$57),""),1)="~",AL$58=1),"",LEFT(IFERROR(INDEX(醫師週班表!$C$5:$T$44,$CU23,AL$57),""),1)),IFERROR(INDEX(醫師週班表!$C$5:$T$44,$CU23,AL$57),""))))))</f>
        <v/>
      </c>
      <c r="AM23" s="68">
        <f>IF(AM$59="X","",IF(AM$59&lt;&gt;"",AM$59,IF(IFERROR(INDEX(醫師週班表!$C$5:$T$44,$CU23,AM$57),"")=0,"",IF(LEN(IFERROR(INDEX(醫師週班表!$C$5:$T$44,$CU23,AM$57),""))=4,MID(IFERROR(INDEX(醫師週班表!$C$5:$T$44,$CU23,AM$57),""),1+AM$58*2,1),IF(LEN(IFERROR(INDEX(醫師週班表!$C$5:$T$44,$CU23,AM$57),""))=2,IF(AND(RIGHT(IFERROR(INDEX(醫師週班表!$C$5:$T$44,$CU23,AM$57),""),1)="~",AM$58=1),"",LEFT(IFERROR(INDEX(醫師週班表!$C$5:$T$44,$CU23,AM$57),""),1)),IFERROR(INDEX(醫師週班表!$C$5:$T$44,$CU23,AM$57),""))))))</f>
        <v/>
      </c>
      <c r="AN23" s="68">
        <f>IF(AN$59="X","",IF(AN$59&lt;&gt;"",AN$59,IF(IFERROR(INDEX(醫師週班表!$C$5:$T$44,$CU23,AN$57),"")=0,"",IF(LEN(IFERROR(INDEX(醫師週班表!$C$5:$T$44,$CU23,AN$57),""))=4,MID(IFERROR(INDEX(醫師週班表!$C$5:$T$44,$CU23,AN$57),""),1+AN$58*2,1),IF(LEN(IFERROR(INDEX(醫師週班表!$C$5:$T$44,$CU23,AN$57),""))=2,IF(AND(RIGHT(IFERROR(INDEX(醫師週班表!$C$5:$T$44,$CU23,AN$57),""),1)="~",AN$58=1),"",LEFT(IFERROR(INDEX(醫師週班表!$C$5:$T$44,$CU23,AN$57),""),1)),IFERROR(INDEX(醫師週班表!$C$5:$T$44,$CU23,AN$57),""))))))</f>
        <v/>
      </c>
      <c r="AO23" s="67">
        <f>IF(AO$59="X","",IF(AO$59&lt;&gt;"",AO$59,IF(IFERROR(INDEX(醫師週班表!$C$5:$T$44,$CU23,AO$57),"")=0,"",IF(LEN(IFERROR(INDEX(醫師週班表!$C$5:$T$44,$CU23,AO$57),""))=4,MID(IFERROR(INDEX(醫師週班表!$C$5:$T$44,$CU23,AO$57),""),1+AO$58*2,1),IF(LEN(IFERROR(INDEX(醫師週班表!$C$5:$T$44,$CU23,AO$57),""))=2,IF(AND(RIGHT(IFERROR(INDEX(醫師週班表!$C$5:$T$44,$CU23,AO$57),""),1)="~",AO$58=1),"",LEFT(IFERROR(INDEX(醫師週班表!$C$5:$T$44,$CU23,AO$57),""),1)),IFERROR(INDEX(醫師週班表!$C$5:$T$44,$CU23,AO$57),""))))))</f>
        <v/>
      </c>
      <c r="AP23" s="68">
        <f>IF(AP$59="X","",IF(AP$59&lt;&gt;"",AP$59,IF(IFERROR(INDEX(醫師週班表!$C$5:$T$44,$CU23,AP$57),"")=0,"",IF(LEN(IFERROR(INDEX(醫師週班表!$C$5:$T$44,$CU23,AP$57),""))=4,MID(IFERROR(INDEX(醫師週班表!$C$5:$T$44,$CU23,AP$57),""),1+AP$58*2,1),IF(LEN(IFERROR(INDEX(醫師週班表!$C$5:$T$44,$CU23,AP$57),""))=2,IF(AND(RIGHT(IFERROR(INDEX(醫師週班表!$C$5:$T$44,$CU23,AP$57),""),1)="~",AP$58=1),"",LEFT(IFERROR(INDEX(醫師週班表!$C$5:$T$44,$CU23,AP$57),""),1)),IFERROR(INDEX(醫師週班表!$C$5:$T$44,$CU23,AP$57),""))))))</f>
        <v/>
      </c>
      <c r="AQ23" s="68">
        <f>IF(AQ$59="X","",IF(AQ$59&lt;&gt;"",AQ$59,IF(IFERROR(INDEX(醫師週班表!$C$5:$T$44,$CU23,AQ$57),"")=0,"",IF(LEN(IFERROR(INDEX(醫師週班表!$C$5:$T$44,$CU23,AQ$57),""))=4,MID(IFERROR(INDEX(醫師週班表!$C$5:$T$44,$CU23,AQ$57),""),1+AQ$58*2,1),IF(LEN(IFERROR(INDEX(醫師週班表!$C$5:$T$44,$CU23,AQ$57),""))=2,IF(AND(RIGHT(IFERROR(INDEX(醫師週班表!$C$5:$T$44,$CU23,AQ$57),""),1)="~",AQ$58=1),"",LEFT(IFERROR(INDEX(醫師週班表!$C$5:$T$44,$CU23,AQ$57),""),1)),IFERROR(INDEX(醫師週班表!$C$5:$T$44,$CU23,AQ$57),""))))))</f>
        <v/>
      </c>
      <c r="AR23" s="67">
        <f>IF(AR$59="X","",IF(AR$59&lt;&gt;"",AR$59,IF(IFERROR(INDEX(醫師週班表!$C$5:$T$44,$CU23,AR$57),"")=0,"",IF(LEN(IFERROR(INDEX(醫師週班表!$C$5:$T$44,$CU23,AR$57),""))=4,MID(IFERROR(INDEX(醫師週班表!$C$5:$T$44,$CU23,AR$57),""),1+AR$58*2,1),IF(LEN(IFERROR(INDEX(醫師週班表!$C$5:$T$44,$CU23,AR$57),""))=2,IF(AND(RIGHT(IFERROR(INDEX(醫師週班表!$C$5:$T$44,$CU23,AR$57),""),1)="~",AR$58=1),"",LEFT(IFERROR(INDEX(醫師週班表!$C$5:$T$44,$CU23,AR$57),""),1)),IFERROR(INDEX(醫師週班表!$C$5:$T$44,$CU23,AR$57),""))))))</f>
        <v/>
      </c>
      <c r="AS23" s="68">
        <f>IF(AS$59="X","",IF(AS$59&lt;&gt;"",AS$59,IF(IFERROR(INDEX(醫師週班表!$C$5:$T$44,$CU23,AS$57),"")=0,"",IF(LEN(IFERROR(INDEX(醫師週班表!$C$5:$T$44,$CU23,AS$57),""))=4,MID(IFERROR(INDEX(醫師週班表!$C$5:$T$44,$CU23,AS$57),""),1+AS$58*2,1),IF(LEN(IFERROR(INDEX(醫師週班表!$C$5:$T$44,$CU23,AS$57),""))=2,IF(AND(RIGHT(IFERROR(INDEX(醫師週班表!$C$5:$T$44,$CU23,AS$57),""),1)="~",AS$58=1),"",LEFT(IFERROR(INDEX(醫師週班表!$C$5:$T$44,$CU23,AS$57),""),1)),IFERROR(INDEX(醫師週班表!$C$5:$T$44,$CU23,AS$57),""))))))</f>
        <v/>
      </c>
      <c r="AT23" s="68">
        <f>IF(AT$59="X","",IF(AT$59&lt;&gt;"",AT$59,IF(IFERROR(INDEX(醫師週班表!$C$5:$T$44,$CU23,AT$57),"")=0,"",IF(LEN(IFERROR(INDEX(醫師週班表!$C$5:$T$44,$CU23,AT$57),""))=4,MID(IFERROR(INDEX(醫師週班表!$C$5:$T$44,$CU23,AT$57),""),1+AT$58*2,1),IF(LEN(IFERROR(INDEX(醫師週班表!$C$5:$T$44,$CU23,AT$57),""))=2,IF(AND(RIGHT(IFERROR(INDEX(醫師週班表!$C$5:$T$44,$CU23,AT$57),""),1)="~",AT$58=1),"",LEFT(IFERROR(INDEX(醫師週班表!$C$5:$T$44,$CU23,AT$57),""),1)),IFERROR(INDEX(醫師週班表!$C$5:$T$44,$CU23,AT$57),""))))))</f>
        <v/>
      </c>
      <c r="AU23" s="67">
        <f>IF(AU$59="X","",IF(AU$59&lt;&gt;"",AU$59,IF(IFERROR(INDEX(醫師週班表!$C$5:$T$44,$CU23,AU$57),"")=0,"",IF(LEN(IFERROR(INDEX(醫師週班表!$C$5:$T$44,$CU23,AU$57),""))=4,MID(IFERROR(INDEX(醫師週班表!$C$5:$T$44,$CU23,AU$57),""),1+AU$58*2,1),IF(LEN(IFERROR(INDEX(醫師週班表!$C$5:$T$44,$CU23,AU$57),""))=2,IF(AND(RIGHT(IFERROR(INDEX(醫師週班表!$C$5:$T$44,$CU23,AU$57),""),1)="~",AU$58=1),"",LEFT(IFERROR(INDEX(醫師週班表!$C$5:$T$44,$CU23,AU$57),""),1)),IFERROR(INDEX(醫師週班表!$C$5:$T$44,$CU23,AU$57),""))))))</f>
        <v/>
      </c>
      <c r="AV23" s="68">
        <f>IF(AV$59="X","",IF(AV$59&lt;&gt;"",AV$59,IF(IFERROR(INDEX(醫師週班表!$C$5:$T$44,$CU23,AV$57),"")=0,"",IF(LEN(IFERROR(INDEX(醫師週班表!$C$5:$T$44,$CU23,AV$57),""))=4,MID(IFERROR(INDEX(醫師週班表!$C$5:$T$44,$CU23,AV$57),""),1+AV$58*2,1),IF(LEN(IFERROR(INDEX(醫師週班表!$C$5:$T$44,$CU23,AV$57),""))=2,IF(AND(RIGHT(IFERROR(INDEX(醫師週班表!$C$5:$T$44,$CU23,AV$57),""),1)="~",AV$58=1),"",LEFT(IFERROR(INDEX(醫師週班表!$C$5:$T$44,$CU23,AV$57),""),1)),IFERROR(INDEX(醫師週班表!$C$5:$T$44,$CU23,AV$57),""))))))</f>
        <v/>
      </c>
      <c r="AW23" s="68">
        <f>IF(AW$59="X","",IF(AW$59&lt;&gt;"",AW$59,IF(IFERROR(INDEX(醫師週班表!$C$5:$T$44,$CU23,AW$57),"")=0,"",IF(LEN(IFERROR(INDEX(醫師週班表!$C$5:$T$44,$CU23,AW$57),""))=4,MID(IFERROR(INDEX(醫師週班表!$C$5:$T$44,$CU23,AW$57),""),1+AW$58*2,1),IF(LEN(IFERROR(INDEX(醫師週班表!$C$5:$T$44,$CU23,AW$57),""))=2,IF(AND(RIGHT(IFERROR(INDEX(醫師週班表!$C$5:$T$44,$CU23,AW$57),""),1)="~",AW$58=1),"",LEFT(IFERROR(INDEX(醫師週班表!$C$5:$T$44,$CU23,AW$57),""),1)),IFERROR(INDEX(醫師週班表!$C$5:$T$44,$CU23,AW$57),""))))))</f>
        <v/>
      </c>
      <c r="AX23" s="67">
        <f>IF(AX$59="X","",IF(AX$59&lt;&gt;"",AX$59,IF(IFERROR(INDEX(醫師週班表!$C$5:$T$44,$CU23,AX$57),"")=0,"",IF(LEN(IFERROR(INDEX(醫師週班表!$C$5:$T$44,$CU23,AX$57),""))=4,MID(IFERROR(INDEX(醫師週班表!$C$5:$T$44,$CU23,AX$57),""),1+AX$58*2,1),IF(LEN(IFERROR(INDEX(醫師週班表!$C$5:$T$44,$CU23,AX$57),""))=2,IF(AND(RIGHT(IFERROR(INDEX(醫師週班表!$C$5:$T$44,$CU23,AX$57),""),1)="~",AX$58=1),"",LEFT(IFERROR(INDEX(醫師週班表!$C$5:$T$44,$CU23,AX$57),""),1)),IFERROR(INDEX(醫師週班表!$C$5:$T$44,$CU23,AX$57),""))))))</f>
        <v/>
      </c>
      <c r="AY23" s="68">
        <f>IF(AY$59="X","",IF(AY$59&lt;&gt;"",AY$59,IF(IFERROR(INDEX(醫師週班表!$C$5:$T$44,$CU23,AY$57),"")=0,"",IF(LEN(IFERROR(INDEX(醫師週班表!$C$5:$T$44,$CU23,AY$57),""))=4,MID(IFERROR(INDEX(醫師週班表!$C$5:$T$44,$CU23,AY$57),""),1+AY$58*2,1),IF(LEN(IFERROR(INDEX(醫師週班表!$C$5:$T$44,$CU23,AY$57),""))=2,IF(AND(RIGHT(IFERROR(INDEX(醫師週班表!$C$5:$T$44,$CU23,AY$57),""),1)="~",AY$58=1),"",LEFT(IFERROR(INDEX(醫師週班表!$C$5:$T$44,$CU23,AY$57),""),1)),IFERROR(INDEX(醫師週班表!$C$5:$T$44,$CU23,AY$57),""))))))</f>
        <v/>
      </c>
      <c r="AZ23" s="68">
        <f>IF(AZ$59="X","",IF(AZ$59&lt;&gt;"",AZ$59,IF(IFERROR(INDEX(醫師週班表!$C$5:$T$44,$CU23,AZ$57),"")=0,"",IF(LEN(IFERROR(INDEX(醫師週班表!$C$5:$T$44,$CU23,AZ$57),""))=4,MID(IFERROR(INDEX(醫師週班表!$C$5:$T$44,$CU23,AZ$57),""),1+AZ$58*2,1),IF(LEN(IFERROR(INDEX(醫師週班表!$C$5:$T$44,$CU23,AZ$57),""))=2,IF(AND(RIGHT(IFERROR(INDEX(醫師週班表!$C$5:$T$44,$CU23,AZ$57),""),1)="~",AZ$58=1),"",LEFT(IFERROR(INDEX(醫師週班表!$C$5:$T$44,$CU23,AZ$57),""),1)),IFERROR(INDEX(醫師週班表!$C$5:$T$44,$CU23,AZ$57),""))))))</f>
        <v/>
      </c>
      <c r="BA23" s="67">
        <f>IF(BA$59="X","",IF(BA$59&lt;&gt;"",BA$59,IF(IFERROR(INDEX(醫師週班表!$C$5:$T$44,$CU23,BA$57),"")=0,"",IF(LEN(IFERROR(INDEX(醫師週班表!$C$5:$T$44,$CU23,BA$57),""))=4,MID(IFERROR(INDEX(醫師週班表!$C$5:$T$44,$CU23,BA$57),""),1+BA$58*2,1),IF(LEN(IFERROR(INDEX(醫師週班表!$C$5:$T$44,$CU23,BA$57),""))=2,IF(AND(RIGHT(IFERROR(INDEX(醫師週班表!$C$5:$T$44,$CU23,BA$57),""),1)="~",BA$58=1),"",LEFT(IFERROR(INDEX(醫師週班表!$C$5:$T$44,$CU23,BA$57),""),1)),IFERROR(INDEX(醫師週班表!$C$5:$T$44,$CU23,BA$57),""))))))</f>
        <v/>
      </c>
      <c r="BB23" s="68">
        <f>IF(BB$59="X","",IF(BB$59&lt;&gt;"",BB$59,IF(IFERROR(INDEX(醫師週班表!$C$5:$T$44,$CU23,BB$57),"")=0,"",IF(LEN(IFERROR(INDEX(醫師週班表!$C$5:$T$44,$CU23,BB$57),""))=4,MID(IFERROR(INDEX(醫師週班表!$C$5:$T$44,$CU23,BB$57),""),1+BB$58*2,1),IF(LEN(IFERROR(INDEX(醫師週班表!$C$5:$T$44,$CU23,BB$57),""))=2,IF(AND(RIGHT(IFERROR(INDEX(醫師週班表!$C$5:$T$44,$CU23,BB$57),""),1)="~",BB$58=1),"",LEFT(IFERROR(INDEX(醫師週班表!$C$5:$T$44,$CU23,BB$57),""),1)),IFERROR(INDEX(醫師週班表!$C$5:$T$44,$CU23,BB$57),""))))))</f>
        <v/>
      </c>
      <c r="BC23" s="68">
        <f>IF(BC$59="X","",IF(BC$59&lt;&gt;"",BC$59,IF(IFERROR(INDEX(醫師週班表!$C$5:$T$44,$CU23,BC$57),"")=0,"",IF(LEN(IFERROR(INDEX(醫師週班表!$C$5:$T$44,$CU23,BC$57),""))=4,MID(IFERROR(INDEX(醫師週班表!$C$5:$T$44,$CU23,BC$57),""),1+BC$58*2,1),IF(LEN(IFERROR(INDEX(醫師週班表!$C$5:$T$44,$CU23,BC$57),""))=2,IF(AND(RIGHT(IFERROR(INDEX(醫師週班表!$C$5:$T$44,$CU23,BC$57),""),1)="~",BC$58=1),"",LEFT(IFERROR(INDEX(醫師週班表!$C$5:$T$44,$CU23,BC$57),""),1)),IFERROR(INDEX(醫師週班表!$C$5:$T$44,$CU23,BC$57),""))))))</f>
        <v/>
      </c>
      <c r="BD23" s="67">
        <f>IF(BD$59="X","",IF(BD$59&lt;&gt;"",BD$59,IF(IFERROR(INDEX(醫師週班表!$C$5:$T$44,$CU23,BD$57),"")=0,"",IF(LEN(IFERROR(INDEX(醫師週班表!$C$5:$T$44,$CU23,BD$57),""))=4,MID(IFERROR(INDEX(醫師週班表!$C$5:$T$44,$CU23,BD$57),""),1+BD$58*2,1),IF(LEN(IFERROR(INDEX(醫師週班表!$C$5:$T$44,$CU23,BD$57),""))=2,IF(AND(RIGHT(IFERROR(INDEX(醫師週班表!$C$5:$T$44,$CU23,BD$57),""),1)="~",BD$58=1),"",LEFT(IFERROR(INDEX(醫師週班表!$C$5:$T$44,$CU23,BD$57),""),1)),IFERROR(INDEX(醫師週班表!$C$5:$T$44,$CU23,BD$57),""))))))</f>
        <v/>
      </c>
      <c r="BE23" s="68">
        <f>IF(BE$59="X","",IF(BE$59&lt;&gt;"",BE$59,IF(IFERROR(INDEX(醫師週班表!$C$5:$T$44,$CU23,BE$57),"")=0,"",IF(LEN(IFERROR(INDEX(醫師週班表!$C$5:$T$44,$CU23,BE$57),""))=4,MID(IFERROR(INDEX(醫師週班表!$C$5:$T$44,$CU23,BE$57),""),1+BE$58*2,1),IF(LEN(IFERROR(INDEX(醫師週班表!$C$5:$T$44,$CU23,BE$57),""))=2,IF(AND(RIGHT(IFERROR(INDEX(醫師週班表!$C$5:$T$44,$CU23,BE$57),""),1)="~",BE$58=1),"",LEFT(IFERROR(INDEX(醫師週班表!$C$5:$T$44,$CU23,BE$57),""),1)),IFERROR(INDEX(醫師週班表!$C$5:$T$44,$CU23,BE$57),""))))))</f>
        <v/>
      </c>
      <c r="BF23" s="68">
        <f>IF(BF$59="X","",IF(BF$59&lt;&gt;"",BF$59,IF(IFERROR(INDEX(醫師週班表!$C$5:$T$44,$CU23,BF$57),"")=0,"",IF(LEN(IFERROR(INDEX(醫師週班表!$C$5:$T$44,$CU23,BF$57),""))=4,MID(IFERROR(INDEX(醫師週班表!$C$5:$T$44,$CU23,BF$57),""),1+BF$58*2,1),IF(LEN(IFERROR(INDEX(醫師週班表!$C$5:$T$44,$CU23,BF$57),""))=2,IF(AND(RIGHT(IFERROR(INDEX(醫師週班表!$C$5:$T$44,$CU23,BF$57),""),1)="~",BF$58=1),"",LEFT(IFERROR(INDEX(醫師週班表!$C$5:$T$44,$CU23,BF$57),""),1)),IFERROR(INDEX(醫師週班表!$C$5:$T$44,$CU23,BF$57),""))))))</f>
        <v/>
      </c>
      <c r="BG23" s="67">
        <f>IF(BG$59="X","",IF(BG$59&lt;&gt;"",BG$59,IF(IFERROR(INDEX(醫師週班表!$C$5:$T$44,$CU23,BG$57),"")=0,"",IF(LEN(IFERROR(INDEX(醫師週班表!$C$5:$T$44,$CU23,BG$57),""))=4,MID(IFERROR(INDEX(醫師週班表!$C$5:$T$44,$CU23,BG$57),""),1+BG$58*2,1),IF(LEN(IFERROR(INDEX(醫師週班表!$C$5:$T$44,$CU23,BG$57),""))=2,IF(AND(RIGHT(IFERROR(INDEX(醫師週班表!$C$5:$T$44,$CU23,BG$57),""),1)="~",BG$58=1),"",LEFT(IFERROR(INDEX(醫師週班表!$C$5:$T$44,$CU23,BG$57),""),1)),IFERROR(INDEX(醫師週班表!$C$5:$T$44,$CU23,BG$57),""))))))</f>
        <v/>
      </c>
      <c r="BH23" s="68">
        <f>IF(BH$59="X","",IF(BH$59&lt;&gt;"",BH$59,IF(IFERROR(INDEX(醫師週班表!$C$5:$T$44,$CU23,BH$57),"")=0,"",IF(LEN(IFERROR(INDEX(醫師週班表!$C$5:$T$44,$CU23,BH$57),""))=4,MID(IFERROR(INDEX(醫師週班表!$C$5:$T$44,$CU23,BH$57),""),1+BH$58*2,1),IF(LEN(IFERROR(INDEX(醫師週班表!$C$5:$T$44,$CU23,BH$57),""))=2,IF(AND(RIGHT(IFERROR(INDEX(醫師週班表!$C$5:$T$44,$CU23,BH$57),""),1)="~",BH$58=1),"",LEFT(IFERROR(INDEX(醫師週班表!$C$5:$T$44,$CU23,BH$57),""),1)),IFERROR(INDEX(醫師週班表!$C$5:$T$44,$CU23,BH$57),""))))))</f>
        <v/>
      </c>
      <c r="BI23" s="68">
        <f>IF(BI$59="X","",IF(BI$59&lt;&gt;"",BI$59,IF(IFERROR(INDEX(醫師週班表!$C$5:$T$44,$CU23,BI$57),"")=0,"",IF(LEN(IFERROR(INDEX(醫師週班表!$C$5:$T$44,$CU23,BI$57),""))=4,MID(IFERROR(INDEX(醫師週班表!$C$5:$T$44,$CU23,BI$57),""),1+BI$58*2,1),IF(LEN(IFERROR(INDEX(醫師週班表!$C$5:$T$44,$CU23,BI$57),""))=2,IF(AND(RIGHT(IFERROR(INDEX(醫師週班表!$C$5:$T$44,$CU23,BI$57),""),1)="~",BI$58=1),"",LEFT(IFERROR(INDEX(醫師週班表!$C$5:$T$44,$CU23,BI$57),""),1)),IFERROR(INDEX(醫師週班表!$C$5:$T$44,$CU23,BI$57),""))))))</f>
        <v/>
      </c>
      <c r="BJ23" s="67">
        <f>IF(BJ$59="X","",IF(BJ$59&lt;&gt;"",BJ$59,IF(IFERROR(INDEX(醫師週班表!$C$5:$T$44,$CU23,BJ$57),"")=0,"",IF(LEN(IFERROR(INDEX(醫師週班表!$C$5:$T$44,$CU23,BJ$57),""))=4,MID(IFERROR(INDEX(醫師週班表!$C$5:$T$44,$CU23,BJ$57),""),1+BJ$58*2,1),IF(LEN(IFERROR(INDEX(醫師週班表!$C$5:$T$44,$CU23,BJ$57),""))=2,IF(AND(RIGHT(IFERROR(INDEX(醫師週班表!$C$5:$T$44,$CU23,BJ$57),""),1)="~",BJ$58=1),"",LEFT(IFERROR(INDEX(醫師週班表!$C$5:$T$44,$CU23,BJ$57),""),1)),IFERROR(INDEX(醫師週班表!$C$5:$T$44,$CU23,BJ$57),""))))))</f>
        <v/>
      </c>
      <c r="BK23" s="68">
        <f>IF(BK$59="X","",IF(BK$59&lt;&gt;"",BK$59,IF(IFERROR(INDEX(醫師週班表!$C$5:$T$44,$CU23,BK$57),"")=0,"",IF(LEN(IFERROR(INDEX(醫師週班表!$C$5:$T$44,$CU23,BK$57),""))=4,MID(IFERROR(INDEX(醫師週班表!$C$5:$T$44,$CU23,BK$57),""),1+BK$58*2,1),IF(LEN(IFERROR(INDEX(醫師週班表!$C$5:$T$44,$CU23,BK$57),""))=2,IF(AND(RIGHT(IFERROR(INDEX(醫師週班表!$C$5:$T$44,$CU23,BK$57),""),1)="~",BK$58=1),"",LEFT(IFERROR(INDEX(醫師週班表!$C$5:$T$44,$CU23,BK$57),""),1)),IFERROR(INDEX(醫師週班表!$C$5:$T$44,$CU23,BK$57),""))))))</f>
        <v/>
      </c>
      <c r="BL23" s="68">
        <f>IF(BL$59="X","",IF(BL$59&lt;&gt;"",BL$59,IF(IFERROR(INDEX(醫師週班表!$C$5:$T$44,$CU23,BL$57),"")=0,"",IF(LEN(IFERROR(INDEX(醫師週班表!$C$5:$T$44,$CU23,BL$57),""))=4,MID(IFERROR(INDEX(醫師週班表!$C$5:$T$44,$CU23,BL$57),""),1+BL$58*2,1),IF(LEN(IFERROR(INDEX(醫師週班表!$C$5:$T$44,$CU23,BL$57),""))=2,IF(AND(RIGHT(IFERROR(INDEX(醫師週班表!$C$5:$T$44,$CU23,BL$57),""),1)="~",BL$58=1),"",LEFT(IFERROR(INDEX(醫師週班表!$C$5:$T$44,$CU23,BL$57),""),1)),IFERROR(INDEX(醫師週班表!$C$5:$T$44,$CU23,BL$57),""))))))</f>
        <v/>
      </c>
      <c r="BM23" s="67">
        <f>IF(BM$59="X","",IF(BM$59&lt;&gt;"",BM$59,IF(IFERROR(INDEX(醫師週班表!$C$5:$T$44,$CU23,BM$57),"")=0,"",IF(LEN(IFERROR(INDEX(醫師週班表!$C$5:$T$44,$CU23,BM$57),""))=4,MID(IFERROR(INDEX(醫師週班表!$C$5:$T$44,$CU23,BM$57),""),1+BM$58*2,1),IF(LEN(IFERROR(INDEX(醫師週班表!$C$5:$T$44,$CU23,BM$57),""))=2,IF(AND(RIGHT(IFERROR(INDEX(醫師週班表!$C$5:$T$44,$CU23,BM$57),""),1)="~",BM$58=1),"",LEFT(IFERROR(INDEX(醫師週班表!$C$5:$T$44,$CU23,BM$57),""),1)),IFERROR(INDEX(醫師週班表!$C$5:$T$44,$CU23,BM$57),""))))))</f>
        <v/>
      </c>
      <c r="BN23" s="68">
        <f>IF(BN$59="X","",IF(BN$59&lt;&gt;"",BN$59,IF(IFERROR(INDEX(醫師週班表!$C$5:$T$44,$CU23,BN$57),"")=0,"",IF(LEN(IFERROR(INDEX(醫師週班表!$C$5:$T$44,$CU23,BN$57),""))=4,MID(IFERROR(INDEX(醫師週班表!$C$5:$T$44,$CU23,BN$57),""),1+BN$58*2,1),IF(LEN(IFERROR(INDEX(醫師週班表!$C$5:$T$44,$CU23,BN$57),""))=2,IF(AND(RIGHT(IFERROR(INDEX(醫師週班表!$C$5:$T$44,$CU23,BN$57),""),1)="~",BN$58=1),"",LEFT(IFERROR(INDEX(醫師週班表!$C$5:$T$44,$CU23,BN$57),""),1)),IFERROR(INDEX(醫師週班表!$C$5:$T$44,$CU23,BN$57),""))))))</f>
        <v/>
      </c>
      <c r="BO23" s="68">
        <f>IF(BO$59="X","",IF(BO$59&lt;&gt;"",BO$59,IF(IFERROR(INDEX(醫師週班表!$C$5:$T$44,$CU23,BO$57),"")=0,"",IF(LEN(IFERROR(INDEX(醫師週班表!$C$5:$T$44,$CU23,BO$57),""))=4,MID(IFERROR(INDEX(醫師週班表!$C$5:$T$44,$CU23,BO$57),""),1+BO$58*2,1),IF(LEN(IFERROR(INDEX(醫師週班表!$C$5:$T$44,$CU23,BO$57),""))=2,IF(AND(RIGHT(IFERROR(INDEX(醫師週班表!$C$5:$T$44,$CU23,BO$57),""),1)="~",BO$58=1),"",LEFT(IFERROR(INDEX(醫師週班表!$C$5:$T$44,$CU23,BO$57),""),1)),IFERROR(INDEX(醫師週班表!$C$5:$T$44,$CU23,BO$57),""))))))</f>
        <v/>
      </c>
      <c r="BP23" s="67">
        <f>IF(BP$59="X","",IF(BP$59&lt;&gt;"",BP$59,IF(IFERROR(INDEX(醫師週班表!$C$5:$T$44,$CU23,BP$57),"")=0,"",IF(LEN(IFERROR(INDEX(醫師週班表!$C$5:$T$44,$CU23,BP$57),""))=4,MID(IFERROR(INDEX(醫師週班表!$C$5:$T$44,$CU23,BP$57),""),1+BP$58*2,1),IF(LEN(IFERROR(INDEX(醫師週班表!$C$5:$T$44,$CU23,BP$57),""))=2,IF(AND(RIGHT(IFERROR(INDEX(醫師週班表!$C$5:$T$44,$CU23,BP$57),""),1)="~",BP$58=1),"",LEFT(IFERROR(INDEX(醫師週班表!$C$5:$T$44,$CU23,BP$57),""),1)),IFERROR(INDEX(醫師週班表!$C$5:$T$44,$CU23,BP$57),""))))))</f>
        <v/>
      </c>
      <c r="BQ23" s="68">
        <f>IF(BQ$59="X","",IF(BQ$59&lt;&gt;"",BQ$59,IF(IFERROR(INDEX(醫師週班表!$C$5:$T$44,$CU23,BQ$57),"")=0,"",IF(LEN(IFERROR(INDEX(醫師週班表!$C$5:$T$44,$CU23,BQ$57),""))=4,MID(IFERROR(INDEX(醫師週班表!$C$5:$T$44,$CU23,BQ$57),""),1+BQ$58*2,1),IF(LEN(IFERROR(INDEX(醫師週班表!$C$5:$T$44,$CU23,BQ$57),""))=2,IF(AND(RIGHT(IFERROR(INDEX(醫師週班表!$C$5:$T$44,$CU23,BQ$57),""),1)="~",BQ$58=1),"",LEFT(IFERROR(INDEX(醫師週班表!$C$5:$T$44,$CU23,BQ$57),""),1)),IFERROR(INDEX(醫師週班表!$C$5:$T$44,$CU23,BQ$57),""))))))</f>
        <v/>
      </c>
      <c r="BR23" s="68">
        <f>IF(BR$59="X","",IF(BR$59&lt;&gt;"",BR$59,IF(IFERROR(INDEX(醫師週班表!$C$5:$T$44,$CU23,BR$57),"")=0,"",IF(LEN(IFERROR(INDEX(醫師週班表!$C$5:$T$44,$CU23,BR$57),""))=4,MID(IFERROR(INDEX(醫師週班表!$C$5:$T$44,$CU23,BR$57),""),1+BR$58*2,1),IF(LEN(IFERROR(INDEX(醫師週班表!$C$5:$T$44,$CU23,BR$57),""))=2,IF(AND(RIGHT(IFERROR(INDEX(醫師週班表!$C$5:$T$44,$CU23,BR$57),""),1)="~",BR$58=1),"",LEFT(IFERROR(INDEX(醫師週班表!$C$5:$T$44,$CU23,BR$57),""),1)),IFERROR(INDEX(醫師週班表!$C$5:$T$44,$CU23,BR$57),""))))))</f>
        <v/>
      </c>
      <c r="BS23" s="67">
        <f>IF(BS$59="X","",IF(BS$59&lt;&gt;"",BS$59,IF(IFERROR(INDEX(醫師週班表!$C$5:$T$44,$CU23,BS$57),"")=0,"",IF(LEN(IFERROR(INDEX(醫師週班表!$C$5:$T$44,$CU23,BS$57),""))=4,MID(IFERROR(INDEX(醫師週班表!$C$5:$T$44,$CU23,BS$57),""),1+BS$58*2,1),IF(LEN(IFERROR(INDEX(醫師週班表!$C$5:$T$44,$CU23,BS$57),""))=2,IF(AND(RIGHT(IFERROR(INDEX(醫師週班表!$C$5:$T$44,$CU23,BS$57),""),1)="~",BS$58=1),"",LEFT(IFERROR(INDEX(醫師週班表!$C$5:$T$44,$CU23,BS$57),""),1)),IFERROR(INDEX(醫師週班表!$C$5:$T$44,$CU23,BS$57),""))))))</f>
        <v/>
      </c>
      <c r="BT23" s="68">
        <f>IF(BT$59="X","",IF(BT$59&lt;&gt;"",BT$59,IF(IFERROR(INDEX(醫師週班表!$C$5:$T$44,$CU23,BT$57),"")=0,"",IF(LEN(IFERROR(INDEX(醫師週班表!$C$5:$T$44,$CU23,BT$57),""))=4,MID(IFERROR(INDEX(醫師週班表!$C$5:$T$44,$CU23,BT$57),""),1+BT$58*2,1),IF(LEN(IFERROR(INDEX(醫師週班表!$C$5:$T$44,$CU23,BT$57),""))=2,IF(AND(RIGHT(IFERROR(INDEX(醫師週班表!$C$5:$T$44,$CU23,BT$57),""),1)="~",BT$58=1),"",LEFT(IFERROR(INDEX(醫師週班表!$C$5:$T$44,$CU23,BT$57),""),1)),IFERROR(INDEX(醫師週班表!$C$5:$T$44,$CU23,BT$57),""))))))</f>
        <v/>
      </c>
      <c r="BU23" s="68">
        <f>IF(BU$59="X","",IF(BU$59&lt;&gt;"",BU$59,IF(IFERROR(INDEX(醫師週班表!$C$5:$T$44,$CU23,BU$57),"")=0,"",IF(LEN(IFERROR(INDEX(醫師週班表!$C$5:$T$44,$CU23,BU$57),""))=4,MID(IFERROR(INDEX(醫師週班表!$C$5:$T$44,$CU23,BU$57),""),1+BU$58*2,1),IF(LEN(IFERROR(INDEX(醫師週班表!$C$5:$T$44,$CU23,BU$57),""))=2,IF(AND(RIGHT(IFERROR(INDEX(醫師週班表!$C$5:$T$44,$CU23,BU$57),""),1)="~",BU$58=1),"",LEFT(IFERROR(INDEX(醫師週班表!$C$5:$T$44,$CU23,BU$57),""),1)),IFERROR(INDEX(醫師週班表!$C$5:$T$44,$CU23,BU$57),""))))))</f>
        <v/>
      </c>
      <c r="BV23" s="67">
        <f>IF(BV$59="X","",IF(BV$59&lt;&gt;"",BV$59,IF(IFERROR(INDEX(醫師週班表!$C$5:$T$44,$CU23,BV$57),"")=0,"",IF(LEN(IFERROR(INDEX(醫師週班表!$C$5:$T$44,$CU23,BV$57),""))=4,MID(IFERROR(INDEX(醫師週班表!$C$5:$T$44,$CU23,BV$57),""),1+BV$58*2,1),IF(LEN(IFERROR(INDEX(醫師週班表!$C$5:$T$44,$CU23,BV$57),""))=2,IF(AND(RIGHT(IFERROR(INDEX(醫師週班表!$C$5:$T$44,$CU23,BV$57),""),1)="~",BV$58=1),"",LEFT(IFERROR(INDEX(醫師週班表!$C$5:$T$44,$CU23,BV$57),""),1)),IFERROR(INDEX(醫師週班表!$C$5:$T$44,$CU23,BV$57),""))))))</f>
        <v/>
      </c>
      <c r="BW23" s="68">
        <f>IF(BW$59="X","",IF(BW$59&lt;&gt;"",BW$59,IF(IFERROR(INDEX(醫師週班表!$C$5:$T$44,$CU23,BW$57),"")=0,"",IF(LEN(IFERROR(INDEX(醫師週班表!$C$5:$T$44,$CU23,BW$57),""))=4,MID(IFERROR(INDEX(醫師週班表!$C$5:$T$44,$CU23,BW$57),""),1+BW$58*2,1),IF(LEN(IFERROR(INDEX(醫師週班表!$C$5:$T$44,$CU23,BW$57),""))=2,IF(AND(RIGHT(IFERROR(INDEX(醫師週班表!$C$5:$T$44,$CU23,BW$57),""),1)="~",BW$58=1),"",LEFT(IFERROR(INDEX(醫師週班表!$C$5:$T$44,$CU23,BW$57),""),1)),IFERROR(INDEX(醫師週班表!$C$5:$T$44,$CU23,BW$57),""))))))</f>
        <v/>
      </c>
      <c r="BX23" s="68">
        <f>IF(BX$59="X","",IF(BX$59&lt;&gt;"",BX$59,IF(IFERROR(INDEX(醫師週班表!$C$5:$T$44,$CU23,BX$57),"")=0,"",IF(LEN(IFERROR(INDEX(醫師週班表!$C$5:$T$44,$CU23,BX$57),""))=4,MID(IFERROR(INDEX(醫師週班表!$C$5:$T$44,$CU23,BX$57),""),1+BX$58*2,1),IF(LEN(IFERROR(INDEX(醫師週班表!$C$5:$T$44,$CU23,BX$57),""))=2,IF(AND(RIGHT(IFERROR(INDEX(醫師週班表!$C$5:$T$44,$CU23,BX$57),""),1)="~",BX$58=1),"",LEFT(IFERROR(INDEX(醫師週班表!$C$5:$T$44,$CU23,BX$57),""),1)),IFERROR(INDEX(醫師週班表!$C$5:$T$44,$CU23,BX$57),""))))))</f>
        <v/>
      </c>
      <c r="BY23" s="67">
        <f>IF(BY$59="X","",IF(BY$59&lt;&gt;"",BY$59,IF(IFERROR(INDEX(醫師週班表!$C$5:$T$44,$CU23,BY$57),"")=0,"",IF(LEN(IFERROR(INDEX(醫師週班表!$C$5:$T$44,$CU23,BY$57),""))=4,MID(IFERROR(INDEX(醫師週班表!$C$5:$T$44,$CU23,BY$57),""),1+BY$58*2,1),IF(LEN(IFERROR(INDEX(醫師週班表!$C$5:$T$44,$CU23,BY$57),""))=2,IF(AND(RIGHT(IFERROR(INDEX(醫師週班表!$C$5:$T$44,$CU23,BY$57),""),1)="~",BY$58=1),"",LEFT(IFERROR(INDEX(醫師週班表!$C$5:$T$44,$CU23,BY$57),""),1)),IFERROR(INDEX(醫師週班表!$C$5:$T$44,$CU23,BY$57),""))))))</f>
        <v/>
      </c>
      <c r="BZ23" s="68">
        <f>IF(BZ$59="X","",IF(BZ$59&lt;&gt;"",BZ$59,IF(IFERROR(INDEX(醫師週班表!$C$5:$T$44,$CU23,BZ$57),"")=0,"",IF(LEN(IFERROR(INDEX(醫師週班表!$C$5:$T$44,$CU23,BZ$57),""))=4,MID(IFERROR(INDEX(醫師週班表!$C$5:$T$44,$CU23,BZ$57),""),1+BZ$58*2,1),IF(LEN(IFERROR(INDEX(醫師週班表!$C$5:$T$44,$CU23,BZ$57),""))=2,IF(AND(RIGHT(IFERROR(INDEX(醫師週班表!$C$5:$T$44,$CU23,BZ$57),""),1)="~",BZ$58=1),"",LEFT(IFERROR(INDEX(醫師週班表!$C$5:$T$44,$CU23,BZ$57),""),1)),IFERROR(INDEX(醫師週班表!$C$5:$T$44,$CU23,BZ$57),""))))))</f>
        <v/>
      </c>
      <c r="CA23" s="68">
        <f>IF(CA$59="X","",IF(CA$59&lt;&gt;"",CA$59,IF(IFERROR(INDEX(醫師週班表!$C$5:$T$44,$CU23,CA$57),"")=0,"",IF(LEN(IFERROR(INDEX(醫師週班表!$C$5:$T$44,$CU23,CA$57),""))=4,MID(IFERROR(INDEX(醫師週班表!$C$5:$T$44,$CU23,CA$57),""),1+CA$58*2,1),IF(LEN(IFERROR(INDEX(醫師週班表!$C$5:$T$44,$CU23,CA$57),""))=2,IF(AND(RIGHT(IFERROR(INDEX(醫師週班表!$C$5:$T$44,$CU23,CA$57),""),1)="~",CA$58=1),"",LEFT(IFERROR(INDEX(醫師週班表!$C$5:$T$44,$CU23,CA$57),""),1)),IFERROR(INDEX(醫師週班表!$C$5:$T$44,$CU23,CA$57),""))))))</f>
        <v/>
      </c>
      <c r="CB23" s="67">
        <f>IF(CB$59="X","",IF(CB$59&lt;&gt;"",CB$59,IF(IFERROR(INDEX(醫師週班表!$C$5:$T$44,$CU23,CB$57),"")=0,"",IF(LEN(IFERROR(INDEX(醫師週班表!$C$5:$T$44,$CU23,CB$57),""))=4,MID(IFERROR(INDEX(醫師週班表!$C$5:$T$44,$CU23,CB$57),""),1+CB$58*2,1),IF(LEN(IFERROR(INDEX(醫師週班表!$C$5:$T$44,$CU23,CB$57),""))=2,IF(AND(RIGHT(IFERROR(INDEX(醫師週班表!$C$5:$T$44,$CU23,CB$57),""),1)="~",CB$58=1),"",LEFT(IFERROR(INDEX(醫師週班表!$C$5:$T$44,$CU23,CB$57),""),1)),IFERROR(INDEX(醫師週班表!$C$5:$T$44,$CU23,CB$57),""))))))</f>
        <v/>
      </c>
      <c r="CC23" s="68">
        <f>IF(CC$59="X","",IF(CC$59&lt;&gt;"",CC$59,IF(IFERROR(INDEX(醫師週班表!$C$5:$T$44,$CU23,CC$57),"")=0,"",IF(LEN(IFERROR(INDEX(醫師週班表!$C$5:$T$44,$CU23,CC$57),""))=4,MID(IFERROR(INDEX(醫師週班表!$C$5:$T$44,$CU23,CC$57),""),1+CC$58*2,1),IF(LEN(IFERROR(INDEX(醫師週班表!$C$5:$T$44,$CU23,CC$57),""))=2,IF(AND(RIGHT(IFERROR(INDEX(醫師週班表!$C$5:$T$44,$CU23,CC$57),""),1)="~",CC$58=1),"",LEFT(IFERROR(INDEX(醫師週班表!$C$5:$T$44,$CU23,CC$57),""),1)),IFERROR(INDEX(醫師週班表!$C$5:$T$44,$CU23,CC$57),""))))))</f>
        <v/>
      </c>
      <c r="CD23" s="68">
        <f>IF(CD$59="X","",IF(CD$59&lt;&gt;"",CD$59,IF(IFERROR(INDEX(醫師週班表!$C$5:$T$44,$CU23,CD$57),"")=0,"",IF(LEN(IFERROR(INDEX(醫師週班表!$C$5:$T$44,$CU23,CD$57),""))=4,MID(IFERROR(INDEX(醫師週班表!$C$5:$T$44,$CU23,CD$57),""),1+CD$58*2,1),IF(LEN(IFERROR(INDEX(醫師週班表!$C$5:$T$44,$CU23,CD$57),""))=2,IF(AND(RIGHT(IFERROR(INDEX(醫師週班表!$C$5:$T$44,$CU23,CD$57),""),1)="~",CD$58=1),"",LEFT(IFERROR(INDEX(醫師週班表!$C$5:$T$44,$CU23,CD$57),""),1)),IFERROR(INDEX(醫師週班表!$C$5:$T$44,$CU23,CD$57),""))))))</f>
        <v/>
      </c>
      <c r="CE23" s="67">
        <f>IF(CE$59="X","",IF(CE$59&lt;&gt;"",CE$59,IF(IFERROR(INDEX(醫師週班表!$C$5:$T$44,$CU23,CE$57),"")=0,"",IF(LEN(IFERROR(INDEX(醫師週班表!$C$5:$T$44,$CU23,CE$57),""))=4,MID(IFERROR(INDEX(醫師週班表!$C$5:$T$44,$CU23,CE$57),""),1+CE$58*2,1),IF(LEN(IFERROR(INDEX(醫師週班表!$C$5:$T$44,$CU23,CE$57),""))=2,IF(AND(RIGHT(IFERROR(INDEX(醫師週班表!$C$5:$T$44,$CU23,CE$57),""),1)="~",CE$58=1),"",LEFT(IFERROR(INDEX(醫師週班表!$C$5:$T$44,$CU23,CE$57),""),1)),IFERROR(INDEX(醫師週班表!$C$5:$T$44,$CU23,CE$57),""))))))</f>
        <v/>
      </c>
      <c r="CF23" s="68">
        <f>IF(CF$59="X","",IF(CF$59&lt;&gt;"",CF$59,IF(IFERROR(INDEX(醫師週班表!$C$5:$T$44,$CU23,CF$57),"")=0,"",IF(LEN(IFERROR(INDEX(醫師週班表!$C$5:$T$44,$CU23,CF$57),""))=4,MID(IFERROR(INDEX(醫師週班表!$C$5:$T$44,$CU23,CF$57),""),1+CF$58*2,1),IF(LEN(IFERROR(INDEX(醫師週班表!$C$5:$T$44,$CU23,CF$57),""))=2,IF(AND(RIGHT(IFERROR(INDEX(醫師週班表!$C$5:$T$44,$CU23,CF$57),""),1)="~",CF$58=1),"",LEFT(IFERROR(INDEX(醫師週班表!$C$5:$T$44,$CU23,CF$57),""),1)),IFERROR(INDEX(醫師週班表!$C$5:$T$44,$CU23,CF$57),""))))))</f>
        <v/>
      </c>
      <c r="CG23" s="68">
        <f>IF(CG$59="X","",IF(CG$59&lt;&gt;"",CG$59,IF(IFERROR(INDEX(醫師週班表!$C$5:$T$44,$CU23,CG$57),"")=0,"",IF(LEN(IFERROR(INDEX(醫師週班表!$C$5:$T$44,$CU23,CG$57),""))=4,MID(IFERROR(INDEX(醫師週班表!$C$5:$T$44,$CU23,CG$57),""),1+CG$58*2,1),IF(LEN(IFERROR(INDEX(醫師週班表!$C$5:$T$44,$CU23,CG$57),""))=2,IF(AND(RIGHT(IFERROR(INDEX(醫師週班表!$C$5:$T$44,$CU23,CG$57),""),1)="~",CG$58=1),"",LEFT(IFERROR(INDEX(醫師週班表!$C$5:$T$44,$CU23,CG$57),""),1)),IFERROR(INDEX(醫師週班表!$C$5:$T$44,$CU23,CG$57),""))))))</f>
        <v/>
      </c>
      <c r="CH23" s="67">
        <f>IF(CH$59="X","",IF(CH$59&lt;&gt;"",CH$59,IF(IFERROR(INDEX(醫師週班表!$C$5:$T$44,$CU23,CH$57),"")=0,"",IF(LEN(IFERROR(INDEX(醫師週班表!$C$5:$T$44,$CU23,CH$57),""))=4,MID(IFERROR(INDEX(醫師週班表!$C$5:$T$44,$CU23,CH$57),""),1+CH$58*2,1),IF(LEN(IFERROR(INDEX(醫師週班表!$C$5:$T$44,$CU23,CH$57),""))=2,IF(AND(RIGHT(IFERROR(INDEX(醫師週班表!$C$5:$T$44,$CU23,CH$57),""),1)="~",CH$58=1),"",LEFT(IFERROR(INDEX(醫師週班表!$C$5:$T$44,$CU23,CH$57),""),1)),IFERROR(INDEX(醫師週班表!$C$5:$T$44,$CU23,CH$57),""))))))</f>
        <v/>
      </c>
      <c r="CI23" s="68">
        <f>IF(CI$59="X","",IF(CI$59&lt;&gt;"",CI$59,IF(IFERROR(INDEX(醫師週班表!$C$5:$T$44,$CU23,CI$57),"")=0,"",IF(LEN(IFERROR(INDEX(醫師週班表!$C$5:$T$44,$CU23,CI$57),""))=4,MID(IFERROR(INDEX(醫師週班表!$C$5:$T$44,$CU23,CI$57),""),1+CI$58*2,1),IF(LEN(IFERROR(INDEX(醫師週班表!$C$5:$T$44,$CU23,CI$57),""))=2,IF(AND(RIGHT(IFERROR(INDEX(醫師週班表!$C$5:$T$44,$CU23,CI$57),""),1)="~",CI$58=1),"",LEFT(IFERROR(INDEX(醫師週班表!$C$5:$T$44,$CU23,CI$57),""),1)),IFERROR(INDEX(醫師週班表!$C$5:$T$44,$CU23,CI$57),""))))))</f>
        <v/>
      </c>
      <c r="CJ23" s="68">
        <f>IF(CJ$59="X","",IF(CJ$59&lt;&gt;"",CJ$59,IF(IFERROR(INDEX(醫師週班表!$C$5:$T$44,$CU23,CJ$57),"")=0,"",IF(LEN(IFERROR(INDEX(醫師週班表!$C$5:$T$44,$CU23,CJ$57),""))=4,MID(IFERROR(INDEX(醫師週班表!$C$5:$T$44,$CU23,CJ$57),""),1+CJ$58*2,1),IF(LEN(IFERROR(INDEX(醫師週班表!$C$5:$T$44,$CU23,CJ$57),""))=2,IF(AND(RIGHT(IFERROR(INDEX(醫師週班表!$C$5:$T$44,$CU23,CJ$57),""),1)="~",CJ$58=1),"",LEFT(IFERROR(INDEX(醫師週班表!$C$5:$T$44,$CU23,CJ$57),""),1)),IFERROR(INDEX(醫師週班表!$C$5:$T$44,$CU23,CJ$57),""))))))</f>
        <v/>
      </c>
      <c r="CK23" s="67">
        <f>IF(CK$59="X","",IF(CK$59&lt;&gt;"",CK$59,IF(IFERROR(INDEX(醫師週班表!$C$5:$T$44,$CU23,CK$57),"")=0,"",IF(LEN(IFERROR(INDEX(醫師週班表!$C$5:$T$44,$CU23,CK$57),""))=4,MID(IFERROR(INDEX(醫師週班表!$C$5:$T$44,$CU23,CK$57),""),1+CK$58*2,1),IF(LEN(IFERROR(INDEX(醫師週班表!$C$5:$T$44,$CU23,CK$57),""))=2,IF(AND(RIGHT(IFERROR(INDEX(醫師週班表!$C$5:$T$44,$CU23,CK$57),""),1)="~",CK$58=1),"",LEFT(IFERROR(INDEX(醫師週班表!$C$5:$T$44,$CU23,CK$57),""),1)),IFERROR(INDEX(醫師週班表!$C$5:$T$44,$CU23,CK$57),""))))))</f>
        <v/>
      </c>
      <c r="CL23" s="68">
        <f>IF(CL$59="X","",IF(CL$59&lt;&gt;"",CL$59,IF(IFERROR(INDEX(醫師週班表!$C$5:$T$44,$CU23,CL$57),"")=0,"",IF(LEN(IFERROR(INDEX(醫師週班表!$C$5:$T$44,$CU23,CL$57),""))=4,MID(IFERROR(INDEX(醫師週班表!$C$5:$T$44,$CU23,CL$57),""),1+CL$58*2,1),IF(LEN(IFERROR(INDEX(醫師週班表!$C$5:$T$44,$CU23,CL$57),""))=2,IF(AND(RIGHT(IFERROR(INDEX(醫師週班表!$C$5:$T$44,$CU23,CL$57),""),1)="~",CL$58=1),"",LEFT(IFERROR(INDEX(醫師週班表!$C$5:$T$44,$CU23,CL$57),""),1)),IFERROR(INDEX(醫師週班表!$C$5:$T$44,$CU23,CL$57),""))))))</f>
        <v/>
      </c>
      <c r="CM23" s="68">
        <f>IF(CM$59="X","",IF(CM$59&lt;&gt;"",CM$59,IF(IFERROR(INDEX(醫師週班表!$C$5:$T$44,$CU23,CM$57),"")=0,"",IF(LEN(IFERROR(INDEX(醫師週班表!$C$5:$T$44,$CU23,CM$57),""))=4,MID(IFERROR(INDEX(醫師週班表!$C$5:$T$44,$CU23,CM$57),""),1+CM$58*2,1),IF(LEN(IFERROR(INDEX(醫師週班表!$C$5:$T$44,$CU23,CM$57),""))=2,IF(AND(RIGHT(IFERROR(INDEX(醫師週班表!$C$5:$T$44,$CU23,CM$57),""),1)="~",CM$58=1),"",LEFT(IFERROR(INDEX(醫師週班表!$C$5:$T$44,$CU23,CM$57),""),1)),IFERROR(INDEX(醫師週班表!$C$5:$T$44,$CU23,CM$57),""))))))</f>
        <v/>
      </c>
      <c r="CN23" s="67">
        <f>IF(CN$59="X","",IF(CN$59&lt;&gt;"",CN$59,IF(IFERROR(INDEX(醫師週班表!$C$5:$T$44,$CU23,CN$57),"")=0,"",IF(LEN(IFERROR(INDEX(醫師週班表!$C$5:$T$44,$CU23,CN$57),""))=4,MID(IFERROR(INDEX(醫師週班表!$C$5:$T$44,$CU23,CN$57),""),1+CN$58*2,1),IF(LEN(IFERROR(INDEX(醫師週班表!$C$5:$T$44,$CU23,CN$57),""))=2,IF(AND(RIGHT(IFERROR(INDEX(醫師週班表!$C$5:$T$44,$CU23,CN$57),""),1)="~",CN$58=1),"",LEFT(IFERROR(INDEX(醫師週班表!$C$5:$T$44,$CU23,CN$57),""),1)),IFERROR(INDEX(醫師週班表!$C$5:$T$44,$CU23,CN$57),""))))))</f>
        <v/>
      </c>
      <c r="CO23" s="68">
        <f>IF(CO$59="X","",IF(CO$59&lt;&gt;"",CO$59,IF(IFERROR(INDEX(醫師週班表!$C$5:$T$44,$CU23,CO$57),"")=0,"",IF(LEN(IFERROR(INDEX(醫師週班表!$C$5:$T$44,$CU23,CO$57),""))=4,MID(IFERROR(INDEX(醫師週班表!$C$5:$T$44,$CU23,CO$57),""),1+CO$58*2,1),IF(LEN(IFERROR(INDEX(醫師週班表!$C$5:$T$44,$CU23,CO$57),""))=2,IF(AND(RIGHT(IFERROR(INDEX(醫師週班表!$C$5:$T$44,$CU23,CO$57),""),1)="~",CO$58=1),"",LEFT(IFERROR(INDEX(醫師週班表!$C$5:$T$44,$CU23,CO$57),""),1)),IFERROR(INDEX(醫師週班表!$C$5:$T$44,$CU23,CO$57),""))))))</f>
        <v/>
      </c>
      <c r="CP23" s="68">
        <f>IF(CP$59="X","",IF(CP$59&lt;&gt;"",CP$59,IF(IFERROR(INDEX(醫師週班表!$C$5:$T$44,$CU23,CP$57),"")=0,"",IF(LEN(IFERROR(INDEX(醫師週班表!$C$5:$T$44,$CU23,CP$57),""))=4,MID(IFERROR(INDEX(醫師週班表!$C$5:$T$44,$CU23,CP$57),""),1+CP$58*2,1),IF(LEN(IFERROR(INDEX(醫師週班表!$C$5:$T$44,$CU23,CP$57),""))=2,IF(AND(RIGHT(IFERROR(INDEX(醫師週班表!$C$5:$T$44,$CU23,CP$57),""),1)="~",CP$58=1),"",LEFT(IFERROR(INDEX(醫師週班表!$C$5:$T$44,$CU23,CP$57),""),1)),IFERROR(INDEX(醫師週班表!$C$5:$T$44,$CU23,CP$57),""))))))</f>
        <v/>
      </c>
      <c r="CQ23" s="67">
        <f>IF(CQ$59="X","",IF(CQ$59&lt;&gt;"",CQ$59,IF(IFERROR(INDEX(醫師週班表!$C$5:$T$44,$CU23,CQ$57),"")=0,"",IF(LEN(IFERROR(INDEX(醫師週班表!$C$5:$T$44,$CU23,CQ$57),""))=4,MID(IFERROR(INDEX(醫師週班表!$C$5:$T$44,$CU23,CQ$57),""),1+CQ$58*2,1),IF(LEN(IFERROR(INDEX(醫師週班表!$C$5:$T$44,$CU23,CQ$57),""))=2,IF(AND(RIGHT(IFERROR(INDEX(醫師週班表!$C$5:$T$44,$CU23,CQ$57),""),1)="~",CQ$58=1),"",LEFT(IFERROR(INDEX(醫師週班表!$C$5:$T$44,$CU23,CQ$57),""),1)),IFERROR(INDEX(醫師週班表!$C$5:$T$44,$CU23,CQ$57),""))))))</f>
        <v/>
      </c>
      <c r="CR23" s="68">
        <f>IF(CR$59="X","",IF(CR$59&lt;&gt;"",CR$59,IF(IFERROR(INDEX(醫師週班表!$C$5:$T$44,$CU23,CR$57),"")=0,"",IF(LEN(IFERROR(INDEX(醫師週班表!$C$5:$T$44,$CU23,CR$57),""))=4,MID(IFERROR(INDEX(醫師週班表!$C$5:$T$44,$CU23,CR$57),""),1+CR$58*2,1),IF(LEN(IFERROR(INDEX(醫師週班表!$C$5:$T$44,$CU23,CR$57),""))=2,IF(AND(RIGHT(IFERROR(INDEX(醫師週班表!$C$5:$T$44,$CU23,CR$57),""),1)="~",CR$58=1),"",LEFT(IFERROR(INDEX(醫師週班表!$C$5:$T$44,$CU23,CR$57),""),1)),IFERROR(INDEX(醫師週班表!$C$5:$T$44,$CU23,CR$57),""))))))</f>
        <v/>
      </c>
      <c r="CS23" s="68">
        <f>IF(CS$59="X","",IF(CS$59&lt;&gt;"",CS$59,IF(IFERROR(INDEX(醫師週班表!$C$5:$T$44,$CU23,CS$57),"")=0,"",IF(LEN(IFERROR(INDEX(醫師週班表!$C$5:$T$44,$CU23,CS$57),""))=4,MID(IFERROR(INDEX(醫師週班表!$C$5:$T$44,$CU23,CS$57),""),1+CS$58*2,1),IF(LEN(IFERROR(INDEX(醫師週班表!$C$5:$T$44,$CU23,CS$57),""))=2,IF(AND(RIGHT(IFERROR(INDEX(醫師週班表!$C$5:$T$44,$CU23,CS$57),""),1)="~",CS$58=1),"",LEFT(IFERROR(INDEX(醫師週班表!$C$5:$T$44,$CU23,CS$57),""),1)),IFERROR(INDEX(醫師週班表!$C$5:$T$44,$CU23,CS$57),""))))))</f>
        <v/>
      </c>
      <c r="CU23" s="69">
        <f>IFERROR(MATCH($A23,醫師週班表!$A$5:$A$44,0),0)</f>
        <v/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IFERROR(INDEX(醫師週班表!$C$5:$T$44,$CU24,E$57),"")=0,"",IF(LEN(IFERROR(INDEX(醫師週班表!$C$5:$T$44,$CU24,E$57),""))=4,MID(IFERROR(INDEX(醫師週班表!$C$5:$T$44,$CU24,E$57),""),1+E$58*2,1),IF(LEN(IFERROR(INDEX(醫師週班表!$C$5:$T$44,$CU24,E$57),""))=2,IF(AND(RIGHT(IFERROR(INDEX(醫師週班表!$C$5:$T$44,$CU24,E$57),""),1)="~",E$58=1),"",LEFT(IFERROR(INDEX(醫師週班表!$C$5:$T$44,$CU24,E$57),""),1)),IFERROR(INDEX(醫師週班表!$C$5:$T$44,$CU24,E$57),""))))))</f>
        <v/>
      </c>
      <c r="F24" s="68">
        <f>IF(F$59="X","",IF(F$59&lt;&gt;"",F$59,IF(IFERROR(INDEX(醫師週班表!$C$5:$T$44,$CU24,F$57),"")=0,"",IF(LEN(IFERROR(INDEX(醫師週班表!$C$5:$T$44,$CU24,F$57),""))=4,MID(IFERROR(INDEX(醫師週班表!$C$5:$T$44,$CU24,F$57),""),1+F$58*2,1),IF(LEN(IFERROR(INDEX(醫師週班表!$C$5:$T$44,$CU24,F$57),""))=2,IF(AND(RIGHT(IFERROR(INDEX(醫師週班表!$C$5:$T$44,$CU24,F$57),""),1)="~",F$58=1),"",LEFT(IFERROR(INDEX(醫師週班表!$C$5:$T$44,$CU24,F$57),""),1)),IFERROR(INDEX(醫師週班表!$C$5:$T$44,$CU24,F$57),""))))))</f>
        <v/>
      </c>
      <c r="G24" s="68">
        <f>IF(G$59="X","",IF(G$59&lt;&gt;"",G$59,IF(IFERROR(INDEX(醫師週班表!$C$5:$T$44,$CU24,G$57),"")=0,"",IF(LEN(IFERROR(INDEX(醫師週班表!$C$5:$T$44,$CU24,G$57),""))=4,MID(IFERROR(INDEX(醫師週班表!$C$5:$T$44,$CU24,G$57),""),1+G$58*2,1),IF(LEN(IFERROR(INDEX(醫師週班表!$C$5:$T$44,$CU24,G$57),""))=2,IF(AND(RIGHT(IFERROR(INDEX(醫師週班表!$C$5:$T$44,$CU24,G$57),""),1)="~",G$58=1),"",LEFT(IFERROR(INDEX(醫師週班表!$C$5:$T$44,$CU24,G$57),""),1)),IFERROR(INDEX(醫師週班表!$C$5:$T$44,$CU24,G$57),""))))))</f>
        <v/>
      </c>
      <c r="H24" s="67">
        <f>IF(H$59="X","",IF(H$59&lt;&gt;"",H$59,IF(IFERROR(INDEX(醫師週班表!$C$5:$T$44,$CU24,H$57),"")=0,"",IF(LEN(IFERROR(INDEX(醫師週班表!$C$5:$T$44,$CU24,H$57),""))=4,MID(IFERROR(INDEX(醫師週班表!$C$5:$T$44,$CU24,H$57),""),1+H$58*2,1),IF(LEN(IFERROR(INDEX(醫師週班表!$C$5:$T$44,$CU24,H$57),""))=2,IF(AND(RIGHT(IFERROR(INDEX(醫師週班表!$C$5:$T$44,$CU24,H$57),""),1)="~",H$58=1),"",LEFT(IFERROR(INDEX(醫師週班表!$C$5:$T$44,$CU24,H$57),""),1)),IFERROR(INDEX(醫師週班表!$C$5:$T$44,$CU24,H$57),""))))))</f>
        <v/>
      </c>
      <c r="I24" s="68">
        <f>IF(I$59="X","",IF(I$59&lt;&gt;"",I$59,IF(IFERROR(INDEX(醫師週班表!$C$5:$T$44,$CU24,I$57),"")=0,"",IF(LEN(IFERROR(INDEX(醫師週班表!$C$5:$T$44,$CU24,I$57),""))=4,MID(IFERROR(INDEX(醫師週班表!$C$5:$T$44,$CU24,I$57),""),1+I$58*2,1),IF(LEN(IFERROR(INDEX(醫師週班表!$C$5:$T$44,$CU24,I$57),""))=2,IF(AND(RIGHT(IFERROR(INDEX(醫師週班表!$C$5:$T$44,$CU24,I$57),""),1)="~",I$58=1),"",LEFT(IFERROR(INDEX(醫師週班表!$C$5:$T$44,$CU24,I$57),""),1)),IFERROR(INDEX(醫師週班表!$C$5:$T$44,$CU24,I$57),""))))))</f>
        <v/>
      </c>
      <c r="J24" s="68">
        <f>IF(J$59="X","",IF(J$59&lt;&gt;"",J$59,IF(IFERROR(INDEX(醫師週班表!$C$5:$T$44,$CU24,J$57),"")=0,"",IF(LEN(IFERROR(INDEX(醫師週班表!$C$5:$T$44,$CU24,J$57),""))=4,MID(IFERROR(INDEX(醫師週班表!$C$5:$T$44,$CU24,J$57),""),1+J$58*2,1),IF(LEN(IFERROR(INDEX(醫師週班表!$C$5:$T$44,$CU24,J$57),""))=2,IF(AND(RIGHT(IFERROR(INDEX(醫師週班表!$C$5:$T$44,$CU24,J$57),""),1)="~",J$58=1),"",LEFT(IFERROR(INDEX(醫師週班表!$C$5:$T$44,$CU24,J$57),""),1)),IFERROR(INDEX(醫師週班表!$C$5:$T$44,$CU24,J$57),""))))))</f>
        <v/>
      </c>
      <c r="K24" s="67">
        <f>IF(K$59="X","",IF(K$59&lt;&gt;"",K$59,IF(IFERROR(INDEX(醫師週班表!$C$5:$T$44,$CU24,K$57),"")=0,"",IF(LEN(IFERROR(INDEX(醫師週班表!$C$5:$T$44,$CU24,K$57),""))=4,MID(IFERROR(INDEX(醫師週班表!$C$5:$T$44,$CU24,K$57),""),1+K$58*2,1),IF(LEN(IFERROR(INDEX(醫師週班表!$C$5:$T$44,$CU24,K$57),""))=2,IF(AND(RIGHT(IFERROR(INDEX(醫師週班表!$C$5:$T$44,$CU24,K$57),""),1)="~",K$58=1),"",LEFT(IFERROR(INDEX(醫師週班表!$C$5:$T$44,$CU24,K$57),""),1)),IFERROR(INDEX(醫師週班表!$C$5:$T$44,$CU24,K$57),""))))))</f>
        <v/>
      </c>
      <c r="L24" s="68">
        <f>IF(L$59="X","",IF(L$59&lt;&gt;"",L$59,IF(IFERROR(INDEX(醫師週班表!$C$5:$T$44,$CU24,L$57),"")=0,"",IF(LEN(IFERROR(INDEX(醫師週班表!$C$5:$T$44,$CU24,L$57),""))=4,MID(IFERROR(INDEX(醫師週班表!$C$5:$T$44,$CU24,L$57),""),1+L$58*2,1),IF(LEN(IFERROR(INDEX(醫師週班表!$C$5:$T$44,$CU24,L$57),""))=2,IF(AND(RIGHT(IFERROR(INDEX(醫師週班表!$C$5:$T$44,$CU24,L$57),""),1)="~",L$58=1),"",LEFT(IFERROR(INDEX(醫師週班表!$C$5:$T$44,$CU24,L$57),""),1)),IFERROR(INDEX(醫師週班表!$C$5:$T$44,$CU24,L$57),""))))))</f>
        <v/>
      </c>
      <c r="M24" s="68">
        <f>IF(M$59="X","",IF(M$59&lt;&gt;"",M$59,IF(IFERROR(INDEX(醫師週班表!$C$5:$T$44,$CU24,M$57),"")=0,"",IF(LEN(IFERROR(INDEX(醫師週班表!$C$5:$T$44,$CU24,M$57),""))=4,MID(IFERROR(INDEX(醫師週班表!$C$5:$T$44,$CU24,M$57),""),1+M$58*2,1),IF(LEN(IFERROR(INDEX(醫師週班表!$C$5:$T$44,$CU24,M$57),""))=2,IF(AND(RIGHT(IFERROR(INDEX(醫師週班表!$C$5:$T$44,$CU24,M$57),""),1)="~",M$58=1),"",LEFT(IFERROR(INDEX(醫師週班表!$C$5:$T$44,$CU24,M$57),""),1)),IFERROR(INDEX(醫師週班表!$C$5:$T$44,$CU24,M$57),""))))))</f>
        <v/>
      </c>
      <c r="N24" s="67">
        <f>IF(N$59="X","",IF(N$59&lt;&gt;"",N$59,IF(IFERROR(INDEX(醫師週班表!$C$5:$T$44,$CU24,N$57),"")=0,"",IF(LEN(IFERROR(INDEX(醫師週班表!$C$5:$T$44,$CU24,N$57),""))=4,MID(IFERROR(INDEX(醫師週班表!$C$5:$T$44,$CU24,N$57),""),1+N$58*2,1),IF(LEN(IFERROR(INDEX(醫師週班表!$C$5:$T$44,$CU24,N$57),""))=2,IF(AND(RIGHT(IFERROR(INDEX(醫師週班表!$C$5:$T$44,$CU24,N$57),""),1)="~",N$58=1),"",LEFT(IFERROR(INDEX(醫師週班表!$C$5:$T$44,$CU24,N$57),""),1)),IFERROR(INDEX(醫師週班表!$C$5:$T$44,$CU24,N$57),""))))))</f>
        <v/>
      </c>
      <c r="O24" s="68">
        <f>IF(O$59="X","",IF(O$59&lt;&gt;"",O$59,IF(IFERROR(INDEX(醫師週班表!$C$5:$T$44,$CU24,O$57),"")=0,"",IF(LEN(IFERROR(INDEX(醫師週班表!$C$5:$T$44,$CU24,O$57),""))=4,MID(IFERROR(INDEX(醫師週班表!$C$5:$T$44,$CU24,O$57),""),1+O$58*2,1),IF(LEN(IFERROR(INDEX(醫師週班表!$C$5:$T$44,$CU24,O$57),""))=2,IF(AND(RIGHT(IFERROR(INDEX(醫師週班表!$C$5:$T$44,$CU24,O$57),""),1)="~",O$58=1),"",LEFT(IFERROR(INDEX(醫師週班表!$C$5:$T$44,$CU24,O$57),""),1)),IFERROR(INDEX(醫師週班表!$C$5:$T$44,$CU24,O$57),""))))))</f>
        <v/>
      </c>
      <c r="P24" s="68">
        <f>IF(P$59="X","",IF(P$59&lt;&gt;"",P$59,IF(IFERROR(INDEX(醫師週班表!$C$5:$T$44,$CU24,P$57),"")=0,"",IF(LEN(IFERROR(INDEX(醫師週班表!$C$5:$T$44,$CU24,P$57),""))=4,MID(IFERROR(INDEX(醫師週班表!$C$5:$T$44,$CU24,P$57),""),1+P$58*2,1),IF(LEN(IFERROR(INDEX(醫師週班表!$C$5:$T$44,$CU24,P$57),""))=2,IF(AND(RIGHT(IFERROR(INDEX(醫師週班表!$C$5:$T$44,$CU24,P$57),""),1)="~",P$58=1),"",LEFT(IFERROR(INDEX(醫師週班表!$C$5:$T$44,$CU24,P$57),""),1)),IFERROR(INDEX(醫師週班表!$C$5:$T$44,$CU24,P$57),""))))))</f>
        <v/>
      </c>
      <c r="Q24" s="67">
        <f>IF(Q$59="X","",IF(Q$59&lt;&gt;"",Q$59,IF(IFERROR(INDEX(醫師週班表!$C$5:$T$44,$CU24,Q$57),"")=0,"",IF(LEN(IFERROR(INDEX(醫師週班表!$C$5:$T$44,$CU24,Q$57),""))=4,MID(IFERROR(INDEX(醫師週班表!$C$5:$T$44,$CU24,Q$57),""),1+Q$58*2,1),IF(LEN(IFERROR(INDEX(醫師週班表!$C$5:$T$44,$CU24,Q$57),""))=2,IF(AND(RIGHT(IFERROR(INDEX(醫師週班表!$C$5:$T$44,$CU24,Q$57),""),1)="~",Q$58=1),"",LEFT(IFERROR(INDEX(醫師週班表!$C$5:$T$44,$CU24,Q$57),""),1)),IFERROR(INDEX(醫師週班表!$C$5:$T$44,$CU24,Q$57),""))))))</f>
        <v/>
      </c>
      <c r="R24" s="68">
        <f>IF(R$59="X","",IF(R$59&lt;&gt;"",R$59,IF(IFERROR(INDEX(醫師週班表!$C$5:$T$44,$CU24,R$57),"")=0,"",IF(LEN(IFERROR(INDEX(醫師週班表!$C$5:$T$44,$CU24,R$57),""))=4,MID(IFERROR(INDEX(醫師週班表!$C$5:$T$44,$CU24,R$57),""),1+R$58*2,1),IF(LEN(IFERROR(INDEX(醫師週班表!$C$5:$T$44,$CU24,R$57),""))=2,IF(AND(RIGHT(IFERROR(INDEX(醫師週班表!$C$5:$T$44,$CU24,R$57),""),1)="~",R$58=1),"",LEFT(IFERROR(INDEX(醫師週班表!$C$5:$T$44,$CU24,R$57),""),1)),IFERROR(INDEX(醫師週班表!$C$5:$T$44,$CU24,R$57),""))))))</f>
        <v/>
      </c>
      <c r="S24" s="68">
        <f>IF(S$59="X","",IF(S$59&lt;&gt;"",S$59,IF(IFERROR(INDEX(醫師週班表!$C$5:$T$44,$CU24,S$57),"")=0,"",IF(LEN(IFERROR(INDEX(醫師週班表!$C$5:$T$44,$CU24,S$57),""))=4,MID(IFERROR(INDEX(醫師週班表!$C$5:$T$44,$CU24,S$57),""),1+S$58*2,1),IF(LEN(IFERROR(INDEX(醫師週班表!$C$5:$T$44,$CU24,S$57),""))=2,IF(AND(RIGHT(IFERROR(INDEX(醫師週班表!$C$5:$T$44,$CU24,S$57),""),1)="~",S$58=1),"",LEFT(IFERROR(INDEX(醫師週班表!$C$5:$T$44,$CU24,S$57),""),1)),IFERROR(INDEX(醫師週班表!$C$5:$T$44,$CU24,S$57),""))))))</f>
        <v/>
      </c>
      <c r="T24" s="67">
        <f>IF(T$59="X","",IF(T$59&lt;&gt;"",T$59,IF(IFERROR(INDEX(醫師週班表!$C$5:$T$44,$CU24,T$57),"")=0,"",IF(LEN(IFERROR(INDEX(醫師週班表!$C$5:$T$44,$CU24,T$57),""))=4,MID(IFERROR(INDEX(醫師週班表!$C$5:$T$44,$CU24,T$57),""),1+T$58*2,1),IF(LEN(IFERROR(INDEX(醫師週班表!$C$5:$T$44,$CU24,T$57),""))=2,IF(AND(RIGHT(IFERROR(INDEX(醫師週班表!$C$5:$T$44,$CU24,T$57),""),1)="~",T$58=1),"",LEFT(IFERROR(INDEX(醫師週班表!$C$5:$T$44,$CU24,T$57),""),1)),IFERROR(INDEX(醫師週班表!$C$5:$T$44,$CU24,T$57),""))))))</f>
        <v/>
      </c>
      <c r="U24" s="68">
        <f>IF(U$59="X","",IF(U$59&lt;&gt;"",U$59,IF(IFERROR(INDEX(醫師週班表!$C$5:$T$44,$CU24,U$57),"")=0,"",IF(LEN(IFERROR(INDEX(醫師週班表!$C$5:$T$44,$CU24,U$57),""))=4,MID(IFERROR(INDEX(醫師週班表!$C$5:$T$44,$CU24,U$57),""),1+U$58*2,1),IF(LEN(IFERROR(INDEX(醫師週班表!$C$5:$T$44,$CU24,U$57),""))=2,IF(AND(RIGHT(IFERROR(INDEX(醫師週班表!$C$5:$T$44,$CU24,U$57),""),1)="~",U$58=1),"",LEFT(IFERROR(INDEX(醫師週班表!$C$5:$T$44,$CU24,U$57),""),1)),IFERROR(INDEX(醫師週班表!$C$5:$T$44,$CU24,U$57),""))))))</f>
        <v/>
      </c>
      <c r="V24" s="68">
        <f>IF(V$59="X","",IF(V$59&lt;&gt;"",V$59,IF(IFERROR(INDEX(醫師週班表!$C$5:$T$44,$CU24,V$57),"")=0,"",IF(LEN(IFERROR(INDEX(醫師週班表!$C$5:$T$44,$CU24,V$57),""))=4,MID(IFERROR(INDEX(醫師週班表!$C$5:$T$44,$CU24,V$57),""),1+V$58*2,1),IF(LEN(IFERROR(INDEX(醫師週班表!$C$5:$T$44,$CU24,V$57),""))=2,IF(AND(RIGHT(IFERROR(INDEX(醫師週班表!$C$5:$T$44,$CU24,V$57),""),1)="~",V$58=1),"",LEFT(IFERROR(INDEX(醫師週班表!$C$5:$T$44,$CU24,V$57),""),1)),IFERROR(INDEX(醫師週班表!$C$5:$T$44,$CU24,V$57),""))))))</f>
        <v/>
      </c>
      <c r="W24" s="67">
        <f>IF(W$59="X","",IF(W$59&lt;&gt;"",W$59,IF(IFERROR(INDEX(醫師週班表!$C$5:$T$44,$CU24,W$57),"")=0,"",IF(LEN(IFERROR(INDEX(醫師週班表!$C$5:$T$44,$CU24,W$57),""))=4,MID(IFERROR(INDEX(醫師週班表!$C$5:$T$44,$CU24,W$57),""),1+W$58*2,1),IF(LEN(IFERROR(INDEX(醫師週班表!$C$5:$T$44,$CU24,W$57),""))=2,IF(AND(RIGHT(IFERROR(INDEX(醫師週班表!$C$5:$T$44,$CU24,W$57),""),1)="~",W$58=1),"",LEFT(IFERROR(INDEX(醫師週班表!$C$5:$T$44,$CU24,W$57),""),1)),IFERROR(INDEX(醫師週班表!$C$5:$T$44,$CU24,W$57),""))))))</f>
        <v/>
      </c>
      <c r="X24" s="68">
        <f>IF(X$59="X","",IF(X$59&lt;&gt;"",X$59,IF(IFERROR(INDEX(醫師週班表!$C$5:$T$44,$CU24,X$57),"")=0,"",IF(LEN(IFERROR(INDEX(醫師週班表!$C$5:$T$44,$CU24,X$57),""))=4,MID(IFERROR(INDEX(醫師週班表!$C$5:$T$44,$CU24,X$57),""),1+X$58*2,1),IF(LEN(IFERROR(INDEX(醫師週班表!$C$5:$T$44,$CU24,X$57),""))=2,IF(AND(RIGHT(IFERROR(INDEX(醫師週班表!$C$5:$T$44,$CU24,X$57),""),1)="~",X$58=1),"",LEFT(IFERROR(INDEX(醫師週班表!$C$5:$T$44,$CU24,X$57),""),1)),IFERROR(INDEX(醫師週班表!$C$5:$T$44,$CU24,X$57),""))))))</f>
        <v/>
      </c>
      <c r="Y24" s="68">
        <f>IF(Y$59="X","",IF(Y$59&lt;&gt;"",Y$59,IF(IFERROR(INDEX(醫師週班表!$C$5:$T$44,$CU24,Y$57),"")=0,"",IF(LEN(IFERROR(INDEX(醫師週班表!$C$5:$T$44,$CU24,Y$57),""))=4,MID(IFERROR(INDEX(醫師週班表!$C$5:$T$44,$CU24,Y$57),""),1+Y$58*2,1),IF(LEN(IFERROR(INDEX(醫師週班表!$C$5:$T$44,$CU24,Y$57),""))=2,IF(AND(RIGHT(IFERROR(INDEX(醫師週班表!$C$5:$T$44,$CU24,Y$57),""),1)="~",Y$58=1),"",LEFT(IFERROR(INDEX(醫師週班表!$C$5:$T$44,$CU24,Y$57),""),1)),IFERROR(INDEX(醫師週班表!$C$5:$T$44,$CU24,Y$57),""))))))</f>
        <v/>
      </c>
      <c r="Z24" s="67">
        <f>IF(Z$59="X","",IF(Z$59&lt;&gt;"",Z$59,IF(IFERROR(INDEX(醫師週班表!$C$5:$T$44,$CU24,Z$57),"")=0,"",IF(LEN(IFERROR(INDEX(醫師週班表!$C$5:$T$44,$CU24,Z$57),""))=4,MID(IFERROR(INDEX(醫師週班表!$C$5:$T$44,$CU24,Z$57),""),1+Z$58*2,1),IF(LEN(IFERROR(INDEX(醫師週班表!$C$5:$T$44,$CU24,Z$57),""))=2,IF(AND(RIGHT(IFERROR(INDEX(醫師週班表!$C$5:$T$44,$CU24,Z$57),""),1)="~",Z$58=1),"",LEFT(IFERROR(INDEX(醫師週班表!$C$5:$T$44,$CU24,Z$57),""),1)),IFERROR(INDEX(醫師週班表!$C$5:$T$44,$CU24,Z$57),""))))))</f>
        <v/>
      </c>
      <c r="AA24" s="68">
        <f>IF(AA$59="X","",IF(AA$59&lt;&gt;"",AA$59,IF(IFERROR(INDEX(醫師週班表!$C$5:$T$44,$CU24,AA$57),"")=0,"",IF(LEN(IFERROR(INDEX(醫師週班表!$C$5:$T$44,$CU24,AA$57),""))=4,MID(IFERROR(INDEX(醫師週班表!$C$5:$T$44,$CU24,AA$57),""),1+AA$58*2,1),IF(LEN(IFERROR(INDEX(醫師週班表!$C$5:$T$44,$CU24,AA$57),""))=2,IF(AND(RIGHT(IFERROR(INDEX(醫師週班表!$C$5:$T$44,$CU24,AA$57),""),1)="~",AA$58=1),"",LEFT(IFERROR(INDEX(醫師週班表!$C$5:$T$44,$CU24,AA$57),""),1)),IFERROR(INDEX(醫師週班表!$C$5:$T$44,$CU24,AA$57),""))))))</f>
        <v/>
      </c>
      <c r="AB24" s="68">
        <f>IF(AB$59="X","",IF(AB$59&lt;&gt;"",AB$59,IF(IFERROR(INDEX(醫師週班表!$C$5:$T$44,$CU24,AB$57),"")=0,"",IF(LEN(IFERROR(INDEX(醫師週班表!$C$5:$T$44,$CU24,AB$57),""))=4,MID(IFERROR(INDEX(醫師週班表!$C$5:$T$44,$CU24,AB$57),""),1+AB$58*2,1),IF(LEN(IFERROR(INDEX(醫師週班表!$C$5:$T$44,$CU24,AB$57),""))=2,IF(AND(RIGHT(IFERROR(INDEX(醫師週班表!$C$5:$T$44,$CU24,AB$57),""),1)="~",AB$58=1),"",LEFT(IFERROR(INDEX(醫師週班表!$C$5:$T$44,$CU24,AB$57),""),1)),IFERROR(INDEX(醫師週班表!$C$5:$T$44,$CU24,AB$57),""))))))</f>
        <v/>
      </c>
      <c r="AC24" s="67">
        <f>IF(AC$59="X","",IF(AC$59&lt;&gt;"",AC$59,IF(IFERROR(INDEX(醫師週班表!$C$5:$T$44,$CU24,AC$57),"")=0,"",IF(LEN(IFERROR(INDEX(醫師週班表!$C$5:$T$44,$CU24,AC$57),""))=4,MID(IFERROR(INDEX(醫師週班表!$C$5:$T$44,$CU24,AC$57),""),1+AC$58*2,1),IF(LEN(IFERROR(INDEX(醫師週班表!$C$5:$T$44,$CU24,AC$57),""))=2,IF(AND(RIGHT(IFERROR(INDEX(醫師週班表!$C$5:$T$44,$CU24,AC$57),""),1)="~",AC$58=1),"",LEFT(IFERROR(INDEX(醫師週班表!$C$5:$T$44,$CU24,AC$57),""),1)),IFERROR(INDEX(醫師週班表!$C$5:$T$44,$CU24,AC$57),""))))))</f>
        <v/>
      </c>
      <c r="AD24" s="68">
        <f>IF(AD$59="X","",IF(AD$59&lt;&gt;"",AD$59,IF(IFERROR(INDEX(醫師週班表!$C$5:$T$44,$CU24,AD$57),"")=0,"",IF(LEN(IFERROR(INDEX(醫師週班表!$C$5:$T$44,$CU24,AD$57),""))=4,MID(IFERROR(INDEX(醫師週班表!$C$5:$T$44,$CU24,AD$57),""),1+AD$58*2,1),IF(LEN(IFERROR(INDEX(醫師週班表!$C$5:$T$44,$CU24,AD$57),""))=2,IF(AND(RIGHT(IFERROR(INDEX(醫師週班表!$C$5:$T$44,$CU24,AD$57),""),1)="~",AD$58=1),"",LEFT(IFERROR(INDEX(醫師週班表!$C$5:$T$44,$CU24,AD$57),""),1)),IFERROR(INDEX(醫師週班表!$C$5:$T$44,$CU24,AD$57),""))))))</f>
        <v/>
      </c>
      <c r="AE24" s="68">
        <f>IF(AE$59="X","",IF(AE$59&lt;&gt;"",AE$59,IF(IFERROR(INDEX(醫師週班表!$C$5:$T$44,$CU24,AE$57),"")=0,"",IF(LEN(IFERROR(INDEX(醫師週班表!$C$5:$T$44,$CU24,AE$57),""))=4,MID(IFERROR(INDEX(醫師週班表!$C$5:$T$44,$CU24,AE$57),""),1+AE$58*2,1),IF(LEN(IFERROR(INDEX(醫師週班表!$C$5:$T$44,$CU24,AE$57),""))=2,IF(AND(RIGHT(IFERROR(INDEX(醫師週班表!$C$5:$T$44,$CU24,AE$57),""),1)="~",AE$58=1),"",LEFT(IFERROR(INDEX(醫師週班表!$C$5:$T$44,$CU24,AE$57),""),1)),IFERROR(INDEX(醫師週班表!$C$5:$T$44,$CU24,AE$57),""))))))</f>
        <v/>
      </c>
      <c r="AF24" s="67">
        <f>IF(AF$59="X","",IF(AF$59&lt;&gt;"",AF$59,IF(IFERROR(INDEX(醫師週班表!$C$5:$T$44,$CU24,AF$57),"")=0,"",IF(LEN(IFERROR(INDEX(醫師週班表!$C$5:$T$44,$CU24,AF$57),""))=4,MID(IFERROR(INDEX(醫師週班表!$C$5:$T$44,$CU24,AF$57),""),1+AF$58*2,1),IF(LEN(IFERROR(INDEX(醫師週班表!$C$5:$T$44,$CU24,AF$57),""))=2,IF(AND(RIGHT(IFERROR(INDEX(醫師週班表!$C$5:$T$44,$CU24,AF$57),""),1)="~",AF$58=1),"",LEFT(IFERROR(INDEX(醫師週班表!$C$5:$T$44,$CU24,AF$57),""),1)),IFERROR(INDEX(醫師週班表!$C$5:$T$44,$CU24,AF$57),""))))))</f>
        <v/>
      </c>
      <c r="AG24" s="68">
        <f>IF(AG$59="X","",IF(AG$59&lt;&gt;"",AG$59,IF(IFERROR(INDEX(醫師週班表!$C$5:$T$44,$CU24,AG$57),"")=0,"",IF(LEN(IFERROR(INDEX(醫師週班表!$C$5:$T$44,$CU24,AG$57),""))=4,MID(IFERROR(INDEX(醫師週班表!$C$5:$T$44,$CU24,AG$57),""),1+AG$58*2,1),IF(LEN(IFERROR(INDEX(醫師週班表!$C$5:$T$44,$CU24,AG$57),""))=2,IF(AND(RIGHT(IFERROR(INDEX(醫師週班表!$C$5:$T$44,$CU24,AG$57),""),1)="~",AG$58=1),"",LEFT(IFERROR(INDEX(醫師週班表!$C$5:$T$44,$CU24,AG$57),""),1)),IFERROR(INDEX(醫師週班表!$C$5:$T$44,$CU24,AG$57),""))))))</f>
        <v/>
      </c>
      <c r="AH24" s="68">
        <f>IF(AH$59="X","",IF(AH$59&lt;&gt;"",AH$59,IF(IFERROR(INDEX(醫師週班表!$C$5:$T$44,$CU24,AH$57),"")=0,"",IF(LEN(IFERROR(INDEX(醫師週班表!$C$5:$T$44,$CU24,AH$57),""))=4,MID(IFERROR(INDEX(醫師週班表!$C$5:$T$44,$CU24,AH$57),""),1+AH$58*2,1),IF(LEN(IFERROR(INDEX(醫師週班表!$C$5:$T$44,$CU24,AH$57),""))=2,IF(AND(RIGHT(IFERROR(INDEX(醫師週班表!$C$5:$T$44,$CU24,AH$57),""),1)="~",AH$58=1),"",LEFT(IFERROR(INDEX(醫師週班表!$C$5:$T$44,$CU24,AH$57),""),1)),IFERROR(INDEX(醫師週班表!$C$5:$T$44,$CU24,AH$57),""))))))</f>
        <v/>
      </c>
      <c r="AI24" s="67">
        <f>IF(AI$59="X","",IF(AI$59&lt;&gt;"",AI$59,IF(IFERROR(INDEX(醫師週班表!$C$5:$T$44,$CU24,AI$57),"")=0,"",IF(LEN(IFERROR(INDEX(醫師週班表!$C$5:$T$44,$CU24,AI$57),""))=4,MID(IFERROR(INDEX(醫師週班表!$C$5:$T$44,$CU24,AI$57),""),1+AI$58*2,1),IF(LEN(IFERROR(INDEX(醫師週班表!$C$5:$T$44,$CU24,AI$57),""))=2,IF(AND(RIGHT(IFERROR(INDEX(醫師週班表!$C$5:$T$44,$CU24,AI$57),""),1)="~",AI$58=1),"",LEFT(IFERROR(INDEX(醫師週班表!$C$5:$T$44,$CU24,AI$57),""),1)),IFERROR(INDEX(醫師週班表!$C$5:$T$44,$CU24,AI$57),""))))))</f>
        <v/>
      </c>
      <c r="AJ24" s="68">
        <f>IF(AJ$59="X","",IF(AJ$59&lt;&gt;"",AJ$59,IF(IFERROR(INDEX(醫師週班表!$C$5:$T$44,$CU24,AJ$57),"")=0,"",IF(LEN(IFERROR(INDEX(醫師週班表!$C$5:$T$44,$CU24,AJ$57),""))=4,MID(IFERROR(INDEX(醫師週班表!$C$5:$T$44,$CU24,AJ$57),""),1+AJ$58*2,1),IF(LEN(IFERROR(INDEX(醫師週班表!$C$5:$T$44,$CU24,AJ$57),""))=2,IF(AND(RIGHT(IFERROR(INDEX(醫師週班表!$C$5:$T$44,$CU24,AJ$57),""),1)="~",AJ$58=1),"",LEFT(IFERROR(INDEX(醫師週班表!$C$5:$T$44,$CU24,AJ$57),""),1)),IFERROR(INDEX(醫師週班表!$C$5:$T$44,$CU24,AJ$57),""))))))</f>
        <v/>
      </c>
      <c r="AK24" s="68">
        <f>IF(AK$59="X","",IF(AK$59&lt;&gt;"",AK$59,IF(IFERROR(INDEX(醫師週班表!$C$5:$T$44,$CU24,AK$57),"")=0,"",IF(LEN(IFERROR(INDEX(醫師週班表!$C$5:$T$44,$CU24,AK$57),""))=4,MID(IFERROR(INDEX(醫師週班表!$C$5:$T$44,$CU24,AK$57),""),1+AK$58*2,1),IF(LEN(IFERROR(INDEX(醫師週班表!$C$5:$T$44,$CU24,AK$57),""))=2,IF(AND(RIGHT(IFERROR(INDEX(醫師週班表!$C$5:$T$44,$CU24,AK$57),""),1)="~",AK$58=1),"",LEFT(IFERROR(INDEX(醫師週班表!$C$5:$T$44,$CU24,AK$57),""),1)),IFERROR(INDEX(醫師週班表!$C$5:$T$44,$CU24,AK$57),""))))))</f>
        <v/>
      </c>
      <c r="AL24" s="67">
        <f>IF(AL$59="X","",IF(AL$59&lt;&gt;"",AL$59,IF(IFERROR(INDEX(醫師週班表!$C$5:$T$44,$CU24,AL$57),"")=0,"",IF(LEN(IFERROR(INDEX(醫師週班表!$C$5:$T$44,$CU24,AL$57),""))=4,MID(IFERROR(INDEX(醫師週班表!$C$5:$T$44,$CU24,AL$57),""),1+AL$58*2,1),IF(LEN(IFERROR(INDEX(醫師週班表!$C$5:$T$44,$CU24,AL$57),""))=2,IF(AND(RIGHT(IFERROR(INDEX(醫師週班表!$C$5:$T$44,$CU24,AL$57),""),1)="~",AL$58=1),"",LEFT(IFERROR(INDEX(醫師週班表!$C$5:$T$44,$CU24,AL$57),""),1)),IFERROR(INDEX(醫師週班表!$C$5:$T$44,$CU24,AL$57),""))))))</f>
        <v/>
      </c>
      <c r="AM24" s="68">
        <f>IF(AM$59="X","",IF(AM$59&lt;&gt;"",AM$59,IF(IFERROR(INDEX(醫師週班表!$C$5:$T$44,$CU24,AM$57),"")=0,"",IF(LEN(IFERROR(INDEX(醫師週班表!$C$5:$T$44,$CU24,AM$57),""))=4,MID(IFERROR(INDEX(醫師週班表!$C$5:$T$44,$CU24,AM$57),""),1+AM$58*2,1),IF(LEN(IFERROR(INDEX(醫師週班表!$C$5:$T$44,$CU24,AM$57),""))=2,IF(AND(RIGHT(IFERROR(INDEX(醫師週班表!$C$5:$T$44,$CU24,AM$57),""),1)="~",AM$58=1),"",LEFT(IFERROR(INDEX(醫師週班表!$C$5:$T$44,$CU24,AM$57),""),1)),IFERROR(INDEX(醫師週班表!$C$5:$T$44,$CU24,AM$57),""))))))</f>
        <v/>
      </c>
      <c r="AN24" s="68">
        <f>IF(AN$59="X","",IF(AN$59&lt;&gt;"",AN$59,IF(IFERROR(INDEX(醫師週班表!$C$5:$T$44,$CU24,AN$57),"")=0,"",IF(LEN(IFERROR(INDEX(醫師週班表!$C$5:$T$44,$CU24,AN$57),""))=4,MID(IFERROR(INDEX(醫師週班表!$C$5:$T$44,$CU24,AN$57),""),1+AN$58*2,1),IF(LEN(IFERROR(INDEX(醫師週班表!$C$5:$T$44,$CU24,AN$57),""))=2,IF(AND(RIGHT(IFERROR(INDEX(醫師週班表!$C$5:$T$44,$CU24,AN$57),""),1)="~",AN$58=1),"",LEFT(IFERROR(INDEX(醫師週班表!$C$5:$T$44,$CU24,AN$57),""),1)),IFERROR(INDEX(醫師週班表!$C$5:$T$44,$CU24,AN$57),""))))))</f>
        <v/>
      </c>
      <c r="AO24" s="67">
        <f>IF(AO$59="X","",IF(AO$59&lt;&gt;"",AO$59,IF(IFERROR(INDEX(醫師週班表!$C$5:$T$44,$CU24,AO$57),"")=0,"",IF(LEN(IFERROR(INDEX(醫師週班表!$C$5:$T$44,$CU24,AO$57),""))=4,MID(IFERROR(INDEX(醫師週班表!$C$5:$T$44,$CU24,AO$57),""),1+AO$58*2,1),IF(LEN(IFERROR(INDEX(醫師週班表!$C$5:$T$44,$CU24,AO$57),""))=2,IF(AND(RIGHT(IFERROR(INDEX(醫師週班表!$C$5:$T$44,$CU24,AO$57),""),1)="~",AO$58=1),"",LEFT(IFERROR(INDEX(醫師週班表!$C$5:$T$44,$CU24,AO$57),""),1)),IFERROR(INDEX(醫師週班表!$C$5:$T$44,$CU24,AO$57),""))))))</f>
        <v/>
      </c>
      <c r="AP24" s="68">
        <f>IF(AP$59="X","",IF(AP$59&lt;&gt;"",AP$59,IF(IFERROR(INDEX(醫師週班表!$C$5:$T$44,$CU24,AP$57),"")=0,"",IF(LEN(IFERROR(INDEX(醫師週班表!$C$5:$T$44,$CU24,AP$57),""))=4,MID(IFERROR(INDEX(醫師週班表!$C$5:$T$44,$CU24,AP$57),""),1+AP$58*2,1),IF(LEN(IFERROR(INDEX(醫師週班表!$C$5:$T$44,$CU24,AP$57),""))=2,IF(AND(RIGHT(IFERROR(INDEX(醫師週班表!$C$5:$T$44,$CU24,AP$57),""),1)="~",AP$58=1),"",LEFT(IFERROR(INDEX(醫師週班表!$C$5:$T$44,$CU24,AP$57),""),1)),IFERROR(INDEX(醫師週班表!$C$5:$T$44,$CU24,AP$57),""))))))</f>
        <v/>
      </c>
      <c r="AQ24" s="68">
        <f>IF(AQ$59="X","",IF(AQ$59&lt;&gt;"",AQ$59,IF(IFERROR(INDEX(醫師週班表!$C$5:$T$44,$CU24,AQ$57),"")=0,"",IF(LEN(IFERROR(INDEX(醫師週班表!$C$5:$T$44,$CU24,AQ$57),""))=4,MID(IFERROR(INDEX(醫師週班表!$C$5:$T$44,$CU24,AQ$57),""),1+AQ$58*2,1),IF(LEN(IFERROR(INDEX(醫師週班表!$C$5:$T$44,$CU24,AQ$57),""))=2,IF(AND(RIGHT(IFERROR(INDEX(醫師週班表!$C$5:$T$44,$CU24,AQ$57),""),1)="~",AQ$58=1),"",LEFT(IFERROR(INDEX(醫師週班表!$C$5:$T$44,$CU24,AQ$57),""),1)),IFERROR(INDEX(醫師週班表!$C$5:$T$44,$CU24,AQ$57),""))))))</f>
        <v/>
      </c>
      <c r="AR24" s="67">
        <f>IF(AR$59="X","",IF(AR$59&lt;&gt;"",AR$59,IF(IFERROR(INDEX(醫師週班表!$C$5:$T$44,$CU24,AR$57),"")=0,"",IF(LEN(IFERROR(INDEX(醫師週班表!$C$5:$T$44,$CU24,AR$57),""))=4,MID(IFERROR(INDEX(醫師週班表!$C$5:$T$44,$CU24,AR$57),""),1+AR$58*2,1),IF(LEN(IFERROR(INDEX(醫師週班表!$C$5:$T$44,$CU24,AR$57),""))=2,IF(AND(RIGHT(IFERROR(INDEX(醫師週班表!$C$5:$T$44,$CU24,AR$57),""),1)="~",AR$58=1),"",LEFT(IFERROR(INDEX(醫師週班表!$C$5:$T$44,$CU24,AR$57),""),1)),IFERROR(INDEX(醫師週班表!$C$5:$T$44,$CU24,AR$57),""))))))</f>
        <v/>
      </c>
      <c r="AS24" s="68">
        <f>IF(AS$59="X","",IF(AS$59&lt;&gt;"",AS$59,IF(IFERROR(INDEX(醫師週班表!$C$5:$T$44,$CU24,AS$57),"")=0,"",IF(LEN(IFERROR(INDEX(醫師週班表!$C$5:$T$44,$CU24,AS$57),""))=4,MID(IFERROR(INDEX(醫師週班表!$C$5:$T$44,$CU24,AS$57),""),1+AS$58*2,1),IF(LEN(IFERROR(INDEX(醫師週班表!$C$5:$T$44,$CU24,AS$57),""))=2,IF(AND(RIGHT(IFERROR(INDEX(醫師週班表!$C$5:$T$44,$CU24,AS$57),""),1)="~",AS$58=1),"",LEFT(IFERROR(INDEX(醫師週班表!$C$5:$T$44,$CU24,AS$57),""),1)),IFERROR(INDEX(醫師週班表!$C$5:$T$44,$CU24,AS$57),""))))))</f>
        <v/>
      </c>
      <c r="AT24" s="68">
        <f>IF(AT$59="X","",IF(AT$59&lt;&gt;"",AT$59,IF(IFERROR(INDEX(醫師週班表!$C$5:$T$44,$CU24,AT$57),"")=0,"",IF(LEN(IFERROR(INDEX(醫師週班表!$C$5:$T$44,$CU24,AT$57),""))=4,MID(IFERROR(INDEX(醫師週班表!$C$5:$T$44,$CU24,AT$57),""),1+AT$58*2,1),IF(LEN(IFERROR(INDEX(醫師週班表!$C$5:$T$44,$CU24,AT$57),""))=2,IF(AND(RIGHT(IFERROR(INDEX(醫師週班表!$C$5:$T$44,$CU24,AT$57),""),1)="~",AT$58=1),"",LEFT(IFERROR(INDEX(醫師週班表!$C$5:$T$44,$CU24,AT$57),""),1)),IFERROR(INDEX(醫師週班表!$C$5:$T$44,$CU24,AT$57),""))))))</f>
        <v/>
      </c>
      <c r="AU24" s="67">
        <f>IF(AU$59="X","",IF(AU$59&lt;&gt;"",AU$59,IF(IFERROR(INDEX(醫師週班表!$C$5:$T$44,$CU24,AU$57),"")=0,"",IF(LEN(IFERROR(INDEX(醫師週班表!$C$5:$T$44,$CU24,AU$57),""))=4,MID(IFERROR(INDEX(醫師週班表!$C$5:$T$44,$CU24,AU$57),""),1+AU$58*2,1),IF(LEN(IFERROR(INDEX(醫師週班表!$C$5:$T$44,$CU24,AU$57),""))=2,IF(AND(RIGHT(IFERROR(INDEX(醫師週班表!$C$5:$T$44,$CU24,AU$57),""),1)="~",AU$58=1),"",LEFT(IFERROR(INDEX(醫師週班表!$C$5:$T$44,$CU24,AU$57),""),1)),IFERROR(INDEX(醫師週班表!$C$5:$T$44,$CU24,AU$57),""))))))</f>
        <v/>
      </c>
      <c r="AV24" s="68">
        <f>IF(AV$59="X","",IF(AV$59&lt;&gt;"",AV$59,IF(IFERROR(INDEX(醫師週班表!$C$5:$T$44,$CU24,AV$57),"")=0,"",IF(LEN(IFERROR(INDEX(醫師週班表!$C$5:$T$44,$CU24,AV$57),""))=4,MID(IFERROR(INDEX(醫師週班表!$C$5:$T$44,$CU24,AV$57),""),1+AV$58*2,1),IF(LEN(IFERROR(INDEX(醫師週班表!$C$5:$T$44,$CU24,AV$57),""))=2,IF(AND(RIGHT(IFERROR(INDEX(醫師週班表!$C$5:$T$44,$CU24,AV$57),""),1)="~",AV$58=1),"",LEFT(IFERROR(INDEX(醫師週班表!$C$5:$T$44,$CU24,AV$57),""),1)),IFERROR(INDEX(醫師週班表!$C$5:$T$44,$CU24,AV$57),""))))))</f>
        <v/>
      </c>
      <c r="AW24" s="68">
        <f>IF(AW$59="X","",IF(AW$59&lt;&gt;"",AW$59,IF(IFERROR(INDEX(醫師週班表!$C$5:$T$44,$CU24,AW$57),"")=0,"",IF(LEN(IFERROR(INDEX(醫師週班表!$C$5:$T$44,$CU24,AW$57),""))=4,MID(IFERROR(INDEX(醫師週班表!$C$5:$T$44,$CU24,AW$57),""),1+AW$58*2,1),IF(LEN(IFERROR(INDEX(醫師週班表!$C$5:$T$44,$CU24,AW$57),""))=2,IF(AND(RIGHT(IFERROR(INDEX(醫師週班表!$C$5:$T$44,$CU24,AW$57),""),1)="~",AW$58=1),"",LEFT(IFERROR(INDEX(醫師週班表!$C$5:$T$44,$CU24,AW$57),""),1)),IFERROR(INDEX(醫師週班表!$C$5:$T$44,$CU24,AW$57),""))))))</f>
        <v/>
      </c>
      <c r="AX24" s="67">
        <f>IF(AX$59="X","",IF(AX$59&lt;&gt;"",AX$59,IF(IFERROR(INDEX(醫師週班表!$C$5:$T$44,$CU24,AX$57),"")=0,"",IF(LEN(IFERROR(INDEX(醫師週班表!$C$5:$T$44,$CU24,AX$57),""))=4,MID(IFERROR(INDEX(醫師週班表!$C$5:$T$44,$CU24,AX$57),""),1+AX$58*2,1),IF(LEN(IFERROR(INDEX(醫師週班表!$C$5:$T$44,$CU24,AX$57),""))=2,IF(AND(RIGHT(IFERROR(INDEX(醫師週班表!$C$5:$T$44,$CU24,AX$57),""),1)="~",AX$58=1),"",LEFT(IFERROR(INDEX(醫師週班表!$C$5:$T$44,$CU24,AX$57),""),1)),IFERROR(INDEX(醫師週班表!$C$5:$T$44,$CU24,AX$57),""))))))</f>
        <v/>
      </c>
      <c r="AY24" s="68">
        <f>IF(AY$59="X","",IF(AY$59&lt;&gt;"",AY$59,IF(IFERROR(INDEX(醫師週班表!$C$5:$T$44,$CU24,AY$57),"")=0,"",IF(LEN(IFERROR(INDEX(醫師週班表!$C$5:$T$44,$CU24,AY$57),""))=4,MID(IFERROR(INDEX(醫師週班表!$C$5:$T$44,$CU24,AY$57),""),1+AY$58*2,1),IF(LEN(IFERROR(INDEX(醫師週班表!$C$5:$T$44,$CU24,AY$57),""))=2,IF(AND(RIGHT(IFERROR(INDEX(醫師週班表!$C$5:$T$44,$CU24,AY$57),""),1)="~",AY$58=1),"",LEFT(IFERROR(INDEX(醫師週班表!$C$5:$T$44,$CU24,AY$57),""),1)),IFERROR(INDEX(醫師週班表!$C$5:$T$44,$CU24,AY$57),""))))))</f>
        <v/>
      </c>
      <c r="AZ24" s="68">
        <f>IF(AZ$59="X","",IF(AZ$59&lt;&gt;"",AZ$59,IF(IFERROR(INDEX(醫師週班表!$C$5:$T$44,$CU24,AZ$57),"")=0,"",IF(LEN(IFERROR(INDEX(醫師週班表!$C$5:$T$44,$CU24,AZ$57),""))=4,MID(IFERROR(INDEX(醫師週班表!$C$5:$T$44,$CU24,AZ$57),""),1+AZ$58*2,1),IF(LEN(IFERROR(INDEX(醫師週班表!$C$5:$T$44,$CU24,AZ$57),""))=2,IF(AND(RIGHT(IFERROR(INDEX(醫師週班表!$C$5:$T$44,$CU24,AZ$57),""),1)="~",AZ$58=1),"",LEFT(IFERROR(INDEX(醫師週班表!$C$5:$T$44,$CU24,AZ$57),""),1)),IFERROR(INDEX(醫師週班表!$C$5:$T$44,$CU24,AZ$57),""))))))</f>
        <v/>
      </c>
      <c r="BA24" s="67">
        <f>IF(BA$59="X","",IF(BA$59&lt;&gt;"",BA$59,IF(IFERROR(INDEX(醫師週班表!$C$5:$T$44,$CU24,BA$57),"")=0,"",IF(LEN(IFERROR(INDEX(醫師週班表!$C$5:$T$44,$CU24,BA$57),""))=4,MID(IFERROR(INDEX(醫師週班表!$C$5:$T$44,$CU24,BA$57),""),1+BA$58*2,1),IF(LEN(IFERROR(INDEX(醫師週班表!$C$5:$T$44,$CU24,BA$57),""))=2,IF(AND(RIGHT(IFERROR(INDEX(醫師週班表!$C$5:$T$44,$CU24,BA$57),""),1)="~",BA$58=1),"",LEFT(IFERROR(INDEX(醫師週班表!$C$5:$T$44,$CU24,BA$57),""),1)),IFERROR(INDEX(醫師週班表!$C$5:$T$44,$CU24,BA$57),""))))))</f>
        <v/>
      </c>
      <c r="BB24" s="68">
        <f>IF(BB$59="X","",IF(BB$59&lt;&gt;"",BB$59,IF(IFERROR(INDEX(醫師週班表!$C$5:$T$44,$CU24,BB$57),"")=0,"",IF(LEN(IFERROR(INDEX(醫師週班表!$C$5:$T$44,$CU24,BB$57),""))=4,MID(IFERROR(INDEX(醫師週班表!$C$5:$T$44,$CU24,BB$57),""),1+BB$58*2,1),IF(LEN(IFERROR(INDEX(醫師週班表!$C$5:$T$44,$CU24,BB$57),""))=2,IF(AND(RIGHT(IFERROR(INDEX(醫師週班表!$C$5:$T$44,$CU24,BB$57),""),1)="~",BB$58=1),"",LEFT(IFERROR(INDEX(醫師週班表!$C$5:$T$44,$CU24,BB$57),""),1)),IFERROR(INDEX(醫師週班表!$C$5:$T$44,$CU24,BB$57),""))))))</f>
        <v/>
      </c>
      <c r="BC24" s="68">
        <f>IF(BC$59="X","",IF(BC$59&lt;&gt;"",BC$59,IF(IFERROR(INDEX(醫師週班表!$C$5:$T$44,$CU24,BC$57),"")=0,"",IF(LEN(IFERROR(INDEX(醫師週班表!$C$5:$T$44,$CU24,BC$57),""))=4,MID(IFERROR(INDEX(醫師週班表!$C$5:$T$44,$CU24,BC$57),""),1+BC$58*2,1),IF(LEN(IFERROR(INDEX(醫師週班表!$C$5:$T$44,$CU24,BC$57),""))=2,IF(AND(RIGHT(IFERROR(INDEX(醫師週班表!$C$5:$T$44,$CU24,BC$57),""),1)="~",BC$58=1),"",LEFT(IFERROR(INDEX(醫師週班表!$C$5:$T$44,$CU24,BC$57),""),1)),IFERROR(INDEX(醫師週班表!$C$5:$T$44,$CU24,BC$57),""))))))</f>
        <v/>
      </c>
      <c r="BD24" s="67">
        <f>IF(BD$59="X","",IF(BD$59&lt;&gt;"",BD$59,IF(IFERROR(INDEX(醫師週班表!$C$5:$T$44,$CU24,BD$57),"")=0,"",IF(LEN(IFERROR(INDEX(醫師週班表!$C$5:$T$44,$CU24,BD$57),""))=4,MID(IFERROR(INDEX(醫師週班表!$C$5:$T$44,$CU24,BD$57),""),1+BD$58*2,1),IF(LEN(IFERROR(INDEX(醫師週班表!$C$5:$T$44,$CU24,BD$57),""))=2,IF(AND(RIGHT(IFERROR(INDEX(醫師週班表!$C$5:$T$44,$CU24,BD$57),""),1)="~",BD$58=1),"",LEFT(IFERROR(INDEX(醫師週班表!$C$5:$T$44,$CU24,BD$57),""),1)),IFERROR(INDEX(醫師週班表!$C$5:$T$44,$CU24,BD$57),""))))))</f>
        <v/>
      </c>
      <c r="BE24" s="68">
        <f>IF(BE$59="X","",IF(BE$59&lt;&gt;"",BE$59,IF(IFERROR(INDEX(醫師週班表!$C$5:$T$44,$CU24,BE$57),"")=0,"",IF(LEN(IFERROR(INDEX(醫師週班表!$C$5:$T$44,$CU24,BE$57),""))=4,MID(IFERROR(INDEX(醫師週班表!$C$5:$T$44,$CU24,BE$57),""),1+BE$58*2,1),IF(LEN(IFERROR(INDEX(醫師週班表!$C$5:$T$44,$CU24,BE$57),""))=2,IF(AND(RIGHT(IFERROR(INDEX(醫師週班表!$C$5:$T$44,$CU24,BE$57),""),1)="~",BE$58=1),"",LEFT(IFERROR(INDEX(醫師週班表!$C$5:$T$44,$CU24,BE$57),""),1)),IFERROR(INDEX(醫師週班表!$C$5:$T$44,$CU24,BE$57),""))))))</f>
        <v/>
      </c>
      <c r="BF24" s="68">
        <f>IF(BF$59="X","",IF(BF$59&lt;&gt;"",BF$59,IF(IFERROR(INDEX(醫師週班表!$C$5:$T$44,$CU24,BF$57),"")=0,"",IF(LEN(IFERROR(INDEX(醫師週班表!$C$5:$T$44,$CU24,BF$57),""))=4,MID(IFERROR(INDEX(醫師週班表!$C$5:$T$44,$CU24,BF$57),""),1+BF$58*2,1),IF(LEN(IFERROR(INDEX(醫師週班表!$C$5:$T$44,$CU24,BF$57),""))=2,IF(AND(RIGHT(IFERROR(INDEX(醫師週班表!$C$5:$T$44,$CU24,BF$57),""),1)="~",BF$58=1),"",LEFT(IFERROR(INDEX(醫師週班表!$C$5:$T$44,$CU24,BF$57),""),1)),IFERROR(INDEX(醫師週班表!$C$5:$T$44,$CU24,BF$57),""))))))</f>
        <v/>
      </c>
      <c r="BG24" s="67">
        <f>IF(BG$59="X","",IF(BG$59&lt;&gt;"",BG$59,IF(IFERROR(INDEX(醫師週班表!$C$5:$T$44,$CU24,BG$57),"")=0,"",IF(LEN(IFERROR(INDEX(醫師週班表!$C$5:$T$44,$CU24,BG$57),""))=4,MID(IFERROR(INDEX(醫師週班表!$C$5:$T$44,$CU24,BG$57),""),1+BG$58*2,1),IF(LEN(IFERROR(INDEX(醫師週班表!$C$5:$T$44,$CU24,BG$57),""))=2,IF(AND(RIGHT(IFERROR(INDEX(醫師週班表!$C$5:$T$44,$CU24,BG$57),""),1)="~",BG$58=1),"",LEFT(IFERROR(INDEX(醫師週班表!$C$5:$T$44,$CU24,BG$57),""),1)),IFERROR(INDEX(醫師週班表!$C$5:$T$44,$CU24,BG$57),""))))))</f>
        <v/>
      </c>
      <c r="BH24" s="68">
        <f>IF(BH$59="X","",IF(BH$59&lt;&gt;"",BH$59,IF(IFERROR(INDEX(醫師週班表!$C$5:$T$44,$CU24,BH$57),"")=0,"",IF(LEN(IFERROR(INDEX(醫師週班表!$C$5:$T$44,$CU24,BH$57),""))=4,MID(IFERROR(INDEX(醫師週班表!$C$5:$T$44,$CU24,BH$57),""),1+BH$58*2,1),IF(LEN(IFERROR(INDEX(醫師週班表!$C$5:$T$44,$CU24,BH$57),""))=2,IF(AND(RIGHT(IFERROR(INDEX(醫師週班表!$C$5:$T$44,$CU24,BH$57),""),1)="~",BH$58=1),"",LEFT(IFERROR(INDEX(醫師週班表!$C$5:$T$44,$CU24,BH$57),""),1)),IFERROR(INDEX(醫師週班表!$C$5:$T$44,$CU24,BH$57),""))))))</f>
        <v/>
      </c>
      <c r="BI24" s="68">
        <f>IF(BI$59="X","",IF(BI$59&lt;&gt;"",BI$59,IF(IFERROR(INDEX(醫師週班表!$C$5:$T$44,$CU24,BI$57),"")=0,"",IF(LEN(IFERROR(INDEX(醫師週班表!$C$5:$T$44,$CU24,BI$57),""))=4,MID(IFERROR(INDEX(醫師週班表!$C$5:$T$44,$CU24,BI$57),""),1+BI$58*2,1),IF(LEN(IFERROR(INDEX(醫師週班表!$C$5:$T$44,$CU24,BI$57),""))=2,IF(AND(RIGHT(IFERROR(INDEX(醫師週班表!$C$5:$T$44,$CU24,BI$57),""),1)="~",BI$58=1),"",LEFT(IFERROR(INDEX(醫師週班表!$C$5:$T$44,$CU24,BI$57),""),1)),IFERROR(INDEX(醫師週班表!$C$5:$T$44,$CU24,BI$57),""))))))</f>
        <v/>
      </c>
      <c r="BJ24" s="67">
        <f>IF(BJ$59="X","",IF(BJ$59&lt;&gt;"",BJ$59,IF(IFERROR(INDEX(醫師週班表!$C$5:$T$44,$CU24,BJ$57),"")=0,"",IF(LEN(IFERROR(INDEX(醫師週班表!$C$5:$T$44,$CU24,BJ$57),""))=4,MID(IFERROR(INDEX(醫師週班表!$C$5:$T$44,$CU24,BJ$57),""),1+BJ$58*2,1),IF(LEN(IFERROR(INDEX(醫師週班表!$C$5:$T$44,$CU24,BJ$57),""))=2,IF(AND(RIGHT(IFERROR(INDEX(醫師週班表!$C$5:$T$44,$CU24,BJ$57),""),1)="~",BJ$58=1),"",LEFT(IFERROR(INDEX(醫師週班表!$C$5:$T$44,$CU24,BJ$57),""),1)),IFERROR(INDEX(醫師週班表!$C$5:$T$44,$CU24,BJ$57),""))))))</f>
        <v/>
      </c>
      <c r="BK24" s="68">
        <f>IF(BK$59="X","",IF(BK$59&lt;&gt;"",BK$59,IF(IFERROR(INDEX(醫師週班表!$C$5:$T$44,$CU24,BK$57),"")=0,"",IF(LEN(IFERROR(INDEX(醫師週班表!$C$5:$T$44,$CU24,BK$57),""))=4,MID(IFERROR(INDEX(醫師週班表!$C$5:$T$44,$CU24,BK$57),""),1+BK$58*2,1),IF(LEN(IFERROR(INDEX(醫師週班表!$C$5:$T$44,$CU24,BK$57),""))=2,IF(AND(RIGHT(IFERROR(INDEX(醫師週班表!$C$5:$T$44,$CU24,BK$57),""),1)="~",BK$58=1),"",LEFT(IFERROR(INDEX(醫師週班表!$C$5:$T$44,$CU24,BK$57),""),1)),IFERROR(INDEX(醫師週班表!$C$5:$T$44,$CU24,BK$57),""))))))</f>
        <v/>
      </c>
      <c r="BL24" s="68">
        <f>IF(BL$59="X","",IF(BL$59&lt;&gt;"",BL$59,IF(IFERROR(INDEX(醫師週班表!$C$5:$T$44,$CU24,BL$57),"")=0,"",IF(LEN(IFERROR(INDEX(醫師週班表!$C$5:$T$44,$CU24,BL$57),""))=4,MID(IFERROR(INDEX(醫師週班表!$C$5:$T$44,$CU24,BL$57),""),1+BL$58*2,1),IF(LEN(IFERROR(INDEX(醫師週班表!$C$5:$T$44,$CU24,BL$57),""))=2,IF(AND(RIGHT(IFERROR(INDEX(醫師週班表!$C$5:$T$44,$CU24,BL$57),""),1)="~",BL$58=1),"",LEFT(IFERROR(INDEX(醫師週班表!$C$5:$T$44,$CU24,BL$57),""),1)),IFERROR(INDEX(醫師週班表!$C$5:$T$44,$CU24,BL$57),""))))))</f>
        <v/>
      </c>
      <c r="BM24" s="67">
        <f>IF(BM$59="X","",IF(BM$59&lt;&gt;"",BM$59,IF(IFERROR(INDEX(醫師週班表!$C$5:$T$44,$CU24,BM$57),"")=0,"",IF(LEN(IFERROR(INDEX(醫師週班表!$C$5:$T$44,$CU24,BM$57),""))=4,MID(IFERROR(INDEX(醫師週班表!$C$5:$T$44,$CU24,BM$57),""),1+BM$58*2,1),IF(LEN(IFERROR(INDEX(醫師週班表!$C$5:$T$44,$CU24,BM$57),""))=2,IF(AND(RIGHT(IFERROR(INDEX(醫師週班表!$C$5:$T$44,$CU24,BM$57),""),1)="~",BM$58=1),"",LEFT(IFERROR(INDEX(醫師週班表!$C$5:$T$44,$CU24,BM$57),""),1)),IFERROR(INDEX(醫師週班表!$C$5:$T$44,$CU24,BM$57),""))))))</f>
        <v/>
      </c>
      <c r="BN24" s="68">
        <f>IF(BN$59="X","",IF(BN$59&lt;&gt;"",BN$59,IF(IFERROR(INDEX(醫師週班表!$C$5:$T$44,$CU24,BN$57),"")=0,"",IF(LEN(IFERROR(INDEX(醫師週班表!$C$5:$T$44,$CU24,BN$57),""))=4,MID(IFERROR(INDEX(醫師週班表!$C$5:$T$44,$CU24,BN$57),""),1+BN$58*2,1),IF(LEN(IFERROR(INDEX(醫師週班表!$C$5:$T$44,$CU24,BN$57),""))=2,IF(AND(RIGHT(IFERROR(INDEX(醫師週班表!$C$5:$T$44,$CU24,BN$57),""),1)="~",BN$58=1),"",LEFT(IFERROR(INDEX(醫師週班表!$C$5:$T$44,$CU24,BN$57),""),1)),IFERROR(INDEX(醫師週班表!$C$5:$T$44,$CU24,BN$57),""))))))</f>
        <v/>
      </c>
      <c r="BO24" s="68">
        <f>IF(BO$59="X","",IF(BO$59&lt;&gt;"",BO$59,IF(IFERROR(INDEX(醫師週班表!$C$5:$T$44,$CU24,BO$57),"")=0,"",IF(LEN(IFERROR(INDEX(醫師週班表!$C$5:$T$44,$CU24,BO$57),""))=4,MID(IFERROR(INDEX(醫師週班表!$C$5:$T$44,$CU24,BO$57),""),1+BO$58*2,1),IF(LEN(IFERROR(INDEX(醫師週班表!$C$5:$T$44,$CU24,BO$57),""))=2,IF(AND(RIGHT(IFERROR(INDEX(醫師週班表!$C$5:$T$44,$CU24,BO$57),""),1)="~",BO$58=1),"",LEFT(IFERROR(INDEX(醫師週班表!$C$5:$T$44,$CU24,BO$57),""),1)),IFERROR(INDEX(醫師週班表!$C$5:$T$44,$CU24,BO$57),""))))))</f>
        <v/>
      </c>
      <c r="BP24" s="67">
        <f>IF(BP$59="X","",IF(BP$59&lt;&gt;"",BP$59,IF(IFERROR(INDEX(醫師週班表!$C$5:$T$44,$CU24,BP$57),"")=0,"",IF(LEN(IFERROR(INDEX(醫師週班表!$C$5:$T$44,$CU24,BP$57),""))=4,MID(IFERROR(INDEX(醫師週班表!$C$5:$T$44,$CU24,BP$57),""),1+BP$58*2,1),IF(LEN(IFERROR(INDEX(醫師週班表!$C$5:$T$44,$CU24,BP$57),""))=2,IF(AND(RIGHT(IFERROR(INDEX(醫師週班表!$C$5:$T$44,$CU24,BP$57),""),1)="~",BP$58=1),"",LEFT(IFERROR(INDEX(醫師週班表!$C$5:$T$44,$CU24,BP$57),""),1)),IFERROR(INDEX(醫師週班表!$C$5:$T$44,$CU24,BP$57),""))))))</f>
        <v/>
      </c>
      <c r="BQ24" s="68">
        <f>IF(BQ$59="X","",IF(BQ$59&lt;&gt;"",BQ$59,IF(IFERROR(INDEX(醫師週班表!$C$5:$T$44,$CU24,BQ$57),"")=0,"",IF(LEN(IFERROR(INDEX(醫師週班表!$C$5:$T$44,$CU24,BQ$57),""))=4,MID(IFERROR(INDEX(醫師週班表!$C$5:$T$44,$CU24,BQ$57),""),1+BQ$58*2,1),IF(LEN(IFERROR(INDEX(醫師週班表!$C$5:$T$44,$CU24,BQ$57),""))=2,IF(AND(RIGHT(IFERROR(INDEX(醫師週班表!$C$5:$T$44,$CU24,BQ$57),""),1)="~",BQ$58=1),"",LEFT(IFERROR(INDEX(醫師週班表!$C$5:$T$44,$CU24,BQ$57),""),1)),IFERROR(INDEX(醫師週班表!$C$5:$T$44,$CU24,BQ$57),""))))))</f>
        <v/>
      </c>
      <c r="BR24" s="68">
        <f>IF(BR$59="X","",IF(BR$59&lt;&gt;"",BR$59,IF(IFERROR(INDEX(醫師週班表!$C$5:$T$44,$CU24,BR$57),"")=0,"",IF(LEN(IFERROR(INDEX(醫師週班表!$C$5:$T$44,$CU24,BR$57),""))=4,MID(IFERROR(INDEX(醫師週班表!$C$5:$T$44,$CU24,BR$57),""),1+BR$58*2,1),IF(LEN(IFERROR(INDEX(醫師週班表!$C$5:$T$44,$CU24,BR$57),""))=2,IF(AND(RIGHT(IFERROR(INDEX(醫師週班表!$C$5:$T$44,$CU24,BR$57),""),1)="~",BR$58=1),"",LEFT(IFERROR(INDEX(醫師週班表!$C$5:$T$44,$CU24,BR$57),""),1)),IFERROR(INDEX(醫師週班表!$C$5:$T$44,$CU24,BR$57),""))))))</f>
        <v/>
      </c>
      <c r="BS24" s="67">
        <f>IF(BS$59="X","",IF(BS$59&lt;&gt;"",BS$59,IF(IFERROR(INDEX(醫師週班表!$C$5:$T$44,$CU24,BS$57),"")=0,"",IF(LEN(IFERROR(INDEX(醫師週班表!$C$5:$T$44,$CU24,BS$57),""))=4,MID(IFERROR(INDEX(醫師週班表!$C$5:$T$44,$CU24,BS$57),""),1+BS$58*2,1),IF(LEN(IFERROR(INDEX(醫師週班表!$C$5:$T$44,$CU24,BS$57),""))=2,IF(AND(RIGHT(IFERROR(INDEX(醫師週班表!$C$5:$T$44,$CU24,BS$57),""),1)="~",BS$58=1),"",LEFT(IFERROR(INDEX(醫師週班表!$C$5:$T$44,$CU24,BS$57),""),1)),IFERROR(INDEX(醫師週班表!$C$5:$T$44,$CU24,BS$57),""))))))</f>
        <v/>
      </c>
      <c r="BT24" s="68">
        <f>IF(BT$59="X","",IF(BT$59&lt;&gt;"",BT$59,IF(IFERROR(INDEX(醫師週班表!$C$5:$T$44,$CU24,BT$57),"")=0,"",IF(LEN(IFERROR(INDEX(醫師週班表!$C$5:$T$44,$CU24,BT$57),""))=4,MID(IFERROR(INDEX(醫師週班表!$C$5:$T$44,$CU24,BT$57),""),1+BT$58*2,1),IF(LEN(IFERROR(INDEX(醫師週班表!$C$5:$T$44,$CU24,BT$57),""))=2,IF(AND(RIGHT(IFERROR(INDEX(醫師週班表!$C$5:$T$44,$CU24,BT$57),""),1)="~",BT$58=1),"",LEFT(IFERROR(INDEX(醫師週班表!$C$5:$T$44,$CU24,BT$57),""),1)),IFERROR(INDEX(醫師週班表!$C$5:$T$44,$CU24,BT$57),""))))))</f>
        <v/>
      </c>
      <c r="BU24" s="68">
        <f>IF(BU$59="X","",IF(BU$59&lt;&gt;"",BU$59,IF(IFERROR(INDEX(醫師週班表!$C$5:$T$44,$CU24,BU$57),"")=0,"",IF(LEN(IFERROR(INDEX(醫師週班表!$C$5:$T$44,$CU24,BU$57),""))=4,MID(IFERROR(INDEX(醫師週班表!$C$5:$T$44,$CU24,BU$57),""),1+BU$58*2,1),IF(LEN(IFERROR(INDEX(醫師週班表!$C$5:$T$44,$CU24,BU$57),""))=2,IF(AND(RIGHT(IFERROR(INDEX(醫師週班表!$C$5:$T$44,$CU24,BU$57),""),1)="~",BU$58=1),"",LEFT(IFERROR(INDEX(醫師週班表!$C$5:$T$44,$CU24,BU$57),""),1)),IFERROR(INDEX(醫師週班表!$C$5:$T$44,$CU24,BU$57),""))))))</f>
        <v/>
      </c>
      <c r="BV24" s="67">
        <f>IF(BV$59="X","",IF(BV$59&lt;&gt;"",BV$59,IF(IFERROR(INDEX(醫師週班表!$C$5:$T$44,$CU24,BV$57),"")=0,"",IF(LEN(IFERROR(INDEX(醫師週班表!$C$5:$T$44,$CU24,BV$57),""))=4,MID(IFERROR(INDEX(醫師週班表!$C$5:$T$44,$CU24,BV$57),""),1+BV$58*2,1),IF(LEN(IFERROR(INDEX(醫師週班表!$C$5:$T$44,$CU24,BV$57),""))=2,IF(AND(RIGHT(IFERROR(INDEX(醫師週班表!$C$5:$T$44,$CU24,BV$57),""),1)="~",BV$58=1),"",LEFT(IFERROR(INDEX(醫師週班表!$C$5:$T$44,$CU24,BV$57),""),1)),IFERROR(INDEX(醫師週班表!$C$5:$T$44,$CU24,BV$57),""))))))</f>
        <v/>
      </c>
      <c r="BW24" s="68">
        <f>IF(BW$59="X","",IF(BW$59&lt;&gt;"",BW$59,IF(IFERROR(INDEX(醫師週班表!$C$5:$T$44,$CU24,BW$57),"")=0,"",IF(LEN(IFERROR(INDEX(醫師週班表!$C$5:$T$44,$CU24,BW$57),""))=4,MID(IFERROR(INDEX(醫師週班表!$C$5:$T$44,$CU24,BW$57),""),1+BW$58*2,1),IF(LEN(IFERROR(INDEX(醫師週班表!$C$5:$T$44,$CU24,BW$57),""))=2,IF(AND(RIGHT(IFERROR(INDEX(醫師週班表!$C$5:$T$44,$CU24,BW$57),""),1)="~",BW$58=1),"",LEFT(IFERROR(INDEX(醫師週班表!$C$5:$T$44,$CU24,BW$57),""),1)),IFERROR(INDEX(醫師週班表!$C$5:$T$44,$CU24,BW$57),""))))))</f>
        <v/>
      </c>
      <c r="BX24" s="68">
        <f>IF(BX$59="X","",IF(BX$59&lt;&gt;"",BX$59,IF(IFERROR(INDEX(醫師週班表!$C$5:$T$44,$CU24,BX$57),"")=0,"",IF(LEN(IFERROR(INDEX(醫師週班表!$C$5:$T$44,$CU24,BX$57),""))=4,MID(IFERROR(INDEX(醫師週班表!$C$5:$T$44,$CU24,BX$57),""),1+BX$58*2,1),IF(LEN(IFERROR(INDEX(醫師週班表!$C$5:$T$44,$CU24,BX$57),""))=2,IF(AND(RIGHT(IFERROR(INDEX(醫師週班表!$C$5:$T$44,$CU24,BX$57),""),1)="~",BX$58=1),"",LEFT(IFERROR(INDEX(醫師週班表!$C$5:$T$44,$CU24,BX$57),""),1)),IFERROR(INDEX(醫師週班表!$C$5:$T$44,$CU24,BX$57),""))))))</f>
        <v/>
      </c>
      <c r="BY24" s="67">
        <f>IF(BY$59="X","",IF(BY$59&lt;&gt;"",BY$59,IF(IFERROR(INDEX(醫師週班表!$C$5:$T$44,$CU24,BY$57),"")=0,"",IF(LEN(IFERROR(INDEX(醫師週班表!$C$5:$T$44,$CU24,BY$57),""))=4,MID(IFERROR(INDEX(醫師週班表!$C$5:$T$44,$CU24,BY$57),""),1+BY$58*2,1),IF(LEN(IFERROR(INDEX(醫師週班表!$C$5:$T$44,$CU24,BY$57),""))=2,IF(AND(RIGHT(IFERROR(INDEX(醫師週班表!$C$5:$T$44,$CU24,BY$57),""),1)="~",BY$58=1),"",LEFT(IFERROR(INDEX(醫師週班表!$C$5:$T$44,$CU24,BY$57),""),1)),IFERROR(INDEX(醫師週班表!$C$5:$T$44,$CU24,BY$57),""))))))</f>
        <v/>
      </c>
      <c r="BZ24" s="68">
        <f>IF(BZ$59="X","",IF(BZ$59&lt;&gt;"",BZ$59,IF(IFERROR(INDEX(醫師週班表!$C$5:$T$44,$CU24,BZ$57),"")=0,"",IF(LEN(IFERROR(INDEX(醫師週班表!$C$5:$T$44,$CU24,BZ$57),""))=4,MID(IFERROR(INDEX(醫師週班表!$C$5:$T$44,$CU24,BZ$57),""),1+BZ$58*2,1),IF(LEN(IFERROR(INDEX(醫師週班表!$C$5:$T$44,$CU24,BZ$57),""))=2,IF(AND(RIGHT(IFERROR(INDEX(醫師週班表!$C$5:$T$44,$CU24,BZ$57),""),1)="~",BZ$58=1),"",LEFT(IFERROR(INDEX(醫師週班表!$C$5:$T$44,$CU24,BZ$57),""),1)),IFERROR(INDEX(醫師週班表!$C$5:$T$44,$CU24,BZ$57),""))))))</f>
        <v/>
      </c>
      <c r="CA24" s="68">
        <f>IF(CA$59="X","",IF(CA$59&lt;&gt;"",CA$59,IF(IFERROR(INDEX(醫師週班表!$C$5:$T$44,$CU24,CA$57),"")=0,"",IF(LEN(IFERROR(INDEX(醫師週班表!$C$5:$T$44,$CU24,CA$57),""))=4,MID(IFERROR(INDEX(醫師週班表!$C$5:$T$44,$CU24,CA$57),""),1+CA$58*2,1),IF(LEN(IFERROR(INDEX(醫師週班表!$C$5:$T$44,$CU24,CA$57),""))=2,IF(AND(RIGHT(IFERROR(INDEX(醫師週班表!$C$5:$T$44,$CU24,CA$57),""),1)="~",CA$58=1),"",LEFT(IFERROR(INDEX(醫師週班表!$C$5:$T$44,$CU24,CA$57),""),1)),IFERROR(INDEX(醫師週班表!$C$5:$T$44,$CU24,CA$57),""))))))</f>
        <v/>
      </c>
      <c r="CB24" s="67">
        <f>IF(CB$59="X","",IF(CB$59&lt;&gt;"",CB$59,IF(IFERROR(INDEX(醫師週班表!$C$5:$T$44,$CU24,CB$57),"")=0,"",IF(LEN(IFERROR(INDEX(醫師週班表!$C$5:$T$44,$CU24,CB$57),""))=4,MID(IFERROR(INDEX(醫師週班表!$C$5:$T$44,$CU24,CB$57),""),1+CB$58*2,1),IF(LEN(IFERROR(INDEX(醫師週班表!$C$5:$T$44,$CU24,CB$57),""))=2,IF(AND(RIGHT(IFERROR(INDEX(醫師週班表!$C$5:$T$44,$CU24,CB$57),""),1)="~",CB$58=1),"",LEFT(IFERROR(INDEX(醫師週班表!$C$5:$T$44,$CU24,CB$57),""),1)),IFERROR(INDEX(醫師週班表!$C$5:$T$44,$CU24,CB$57),""))))))</f>
        <v/>
      </c>
      <c r="CC24" s="68">
        <f>IF(CC$59="X","",IF(CC$59&lt;&gt;"",CC$59,IF(IFERROR(INDEX(醫師週班表!$C$5:$T$44,$CU24,CC$57),"")=0,"",IF(LEN(IFERROR(INDEX(醫師週班表!$C$5:$T$44,$CU24,CC$57),""))=4,MID(IFERROR(INDEX(醫師週班表!$C$5:$T$44,$CU24,CC$57),""),1+CC$58*2,1),IF(LEN(IFERROR(INDEX(醫師週班表!$C$5:$T$44,$CU24,CC$57),""))=2,IF(AND(RIGHT(IFERROR(INDEX(醫師週班表!$C$5:$T$44,$CU24,CC$57),""),1)="~",CC$58=1),"",LEFT(IFERROR(INDEX(醫師週班表!$C$5:$T$44,$CU24,CC$57),""),1)),IFERROR(INDEX(醫師週班表!$C$5:$T$44,$CU24,CC$57),""))))))</f>
        <v/>
      </c>
      <c r="CD24" s="68">
        <f>IF(CD$59="X","",IF(CD$59&lt;&gt;"",CD$59,IF(IFERROR(INDEX(醫師週班表!$C$5:$T$44,$CU24,CD$57),"")=0,"",IF(LEN(IFERROR(INDEX(醫師週班表!$C$5:$T$44,$CU24,CD$57),""))=4,MID(IFERROR(INDEX(醫師週班表!$C$5:$T$44,$CU24,CD$57),""),1+CD$58*2,1),IF(LEN(IFERROR(INDEX(醫師週班表!$C$5:$T$44,$CU24,CD$57),""))=2,IF(AND(RIGHT(IFERROR(INDEX(醫師週班表!$C$5:$T$44,$CU24,CD$57),""),1)="~",CD$58=1),"",LEFT(IFERROR(INDEX(醫師週班表!$C$5:$T$44,$CU24,CD$57),""),1)),IFERROR(INDEX(醫師週班表!$C$5:$T$44,$CU24,CD$57),""))))))</f>
        <v/>
      </c>
      <c r="CE24" s="67">
        <f>IF(CE$59="X","",IF(CE$59&lt;&gt;"",CE$59,IF(IFERROR(INDEX(醫師週班表!$C$5:$T$44,$CU24,CE$57),"")=0,"",IF(LEN(IFERROR(INDEX(醫師週班表!$C$5:$T$44,$CU24,CE$57),""))=4,MID(IFERROR(INDEX(醫師週班表!$C$5:$T$44,$CU24,CE$57),""),1+CE$58*2,1),IF(LEN(IFERROR(INDEX(醫師週班表!$C$5:$T$44,$CU24,CE$57),""))=2,IF(AND(RIGHT(IFERROR(INDEX(醫師週班表!$C$5:$T$44,$CU24,CE$57),""),1)="~",CE$58=1),"",LEFT(IFERROR(INDEX(醫師週班表!$C$5:$T$44,$CU24,CE$57),""),1)),IFERROR(INDEX(醫師週班表!$C$5:$T$44,$CU24,CE$57),""))))))</f>
        <v/>
      </c>
      <c r="CF24" s="68">
        <f>IF(CF$59="X","",IF(CF$59&lt;&gt;"",CF$59,IF(IFERROR(INDEX(醫師週班表!$C$5:$T$44,$CU24,CF$57),"")=0,"",IF(LEN(IFERROR(INDEX(醫師週班表!$C$5:$T$44,$CU24,CF$57),""))=4,MID(IFERROR(INDEX(醫師週班表!$C$5:$T$44,$CU24,CF$57),""),1+CF$58*2,1),IF(LEN(IFERROR(INDEX(醫師週班表!$C$5:$T$44,$CU24,CF$57),""))=2,IF(AND(RIGHT(IFERROR(INDEX(醫師週班表!$C$5:$T$44,$CU24,CF$57),""),1)="~",CF$58=1),"",LEFT(IFERROR(INDEX(醫師週班表!$C$5:$T$44,$CU24,CF$57),""),1)),IFERROR(INDEX(醫師週班表!$C$5:$T$44,$CU24,CF$57),""))))))</f>
        <v/>
      </c>
      <c r="CG24" s="68">
        <f>IF(CG$59="X","",IF(CG$59&lt;&gt;"",CG$59,IF(IFERROR(INDEX(醫師週班表!$C$5:$T$44,$CU24,CG$57),"")=0,"",IF(LEN(IFERROR(INDEX(醫師週班表!$C$5:$T$44,$CU24,CG$57),""))=4,MID(IFERROR(INDEX(醫師週班表!$C$5:$T$44,$CU24,CG$57),""),1+CG$58*2,1),IF(LEN(IFERROR(INDEX(醫師週班表!$C$5:$T$44,$CU24,CG$57),""))=2,IF(AND(RIGHT(IFERROR(INDEX(醫師週班表!$C$5:$T$44,$CU24,CG$57),""),1)="~",CG$58=1),"",LEFT(IFERROR(INDEX(醫師週班表!$C$5:$T$44,$CU24,CG$57),""),1)),IFERROR(INDEX(醫師週班表!$C$5:$T$44,$CU24,CG$57),""))))))</f>
        <v/>
      </c>
      <c r="CH24" s="67">
        <f>IF(CH$59="X","",IF(CH$59&lt;&gt;"",CH$59,IF(IFERROR(INDEX(醫師週班表!$C$5:$T$44,$CU24,CH$57),"")=0,"",IF(LEN(IFERROR(INDEX(醫師週班表!$C$5:$T$44,$CU24,CH$57),""))=4,MID(IFERROR(INDEX(醫師週班表!$C$5:$T$44,$CU24,CH$57),""),1+CH$58*2,1),IF(LEN(IFERROR(INDEX(醫師週班表!$C$5:$T$44,$CU24,CH$57),""))=2,IF(AND(RIGHT(IFERROR(INDEX(醫師週班表!$C$5:$T$44,$CU24,CH$57),""),1)="~",CH$58=1),"",LEFT(IFERROR(INDEX(醫師週班表!$C$5:$T$44,$CU24,CH$57),""),1)),IFERROR(INDEX(醫師週班表!$C$5:$T$44,$CU24,CH$57),""))))))</f>
        <v/>
      </c>
      <c r="CI24" s="68">
        <f>IF(CI$59="X","",IF(CI$59&lt;&gt;"",CI$59,IF(IFERROR(INDEX(醫師週班表!$C$5:$T$44,$CU24,CI$57),"")=0,"",IF(LEN(IFERROR(INDEX(醫師週班表!$C$5:$T$44,$CU24,CI$57),""))=4,MID(IFERROR(INDEX(醫師週班表!$C$5:$T$44,$CU24,CI$57),""),1+CI$58*2,1),IF(LEN(IFERROR(INDEX(醫師週班表!$C$5:$T$44,$CU24,CI$57),""))=2,IF(AND(RIGHT(IFERROR(INDEX(醫師週班表!$C$5:$T$44,$CU24,CI$57),""),1)="~",CI$58=1),"",LEFT(IFERROR(INDEX(醫師週班表!$C$5:$T$44,$CU24,CI$57),""),1)),IFERROR(INDEX(醫師週班表!$C$5:$T$44,$CU24,CI$57),""))))))</f>
        <v/>
      </c>
      <c r="CJ24" s="68">
        <f>IF(CJ$59="X","",IF(CJ$59&lt;&gt;"",CJ$59,IF(IFERROR(INDEX(醫師週班表!$C$5:$T$44,$CU24,CJ$57),"")=0,"",IF(LEN(IFERROR(INDEX(醫師週班表!$C$5:$T$44,$CU24,CJ$57),""))=4,MID(IFERROR(INDEX(醫師週班表!$C$5:$T$44,$CU24,CJ$57),""),1+CJ$58*2,1),IF(LEN(IFERROR(INDEX(醫師週班表!$C$5:$T$44,$CU24,CJ$57),""))=2,IF(AND(RIGHT(IFERROR(INDEX(醫師週班表!$C$5:$T$44,$CU24,CJ$57),""),1)="~",CJ$58=1),"",LEFT(IFERROR(INDEX(醫師週班表!$C$5:$T$44,$CU24,CJ$57),""),1)),IFERROR(INDEX(醫師週班表!$C$5:$T$44,$CU24,CJ$57),""))))))</f>
        <v/>
      </c>
      <c r="CK24" s="67">
        <f>IF(CK$59="X","",IF(CK$59&lt;&gt;"",CK$59,IF(IFERROR(INDEX(醫師週班表!$C$5:$T$44,$CU24,CK$57),"")=0,"",IF(LEN(IFERROR(INDEX(醫師週班表!$C$5:$T$44,$CU24,CK$57),""))=4,MID(IFERROR(INDEX(醫師週班表!$C$5:$T$44,$CU24,CK$57),""),1+CK$58*2,1),IF(LEN(IFERROR(INDEX(醫師週班表!$C$5:$T$44,$CU24,CK$57),""))=2,IF(AND(RIGHT(IFERROR(INDEX(醫師週班表!$C$5:$T$44,$CU24,CK$57),""),1)="~",CK$58=1),"",LEFT(IFERROR(INDEX(醫師週班表!$C$5:$T$44,$CU24,CK$57),""),1)),IFERROR(INDEX(醫師週班表!$C$5:$T$44,$CU24,CK$57),""))))))</f>
        <v/>
      </c>
      <c r="CL24" s="68">
        <f>IF(CL$59="X","",IF(CL$59&lt;&gt;"",CL$59,IF(IFERROR(INDEX(醫師週班表!$C$5:$T$44,$CU24,CL$57),"")=0,"",IF(LEN(IFERROR(INDEX(醫師週班表!$C$5:$T$44,$CU24,CL$57),""))=4,MID(IFERROR(INDEX(醫師週班表!$C$5:$T$44,$CU24,CL$57),""),1+CL$58*2,1),IF(LEN(IFERROR(INDEX(醫師週班表!$C$5:$T$44,$CU24,CL$57),""))=2,IF(AND(RIGHT(IFERROR(INDEX(醫師週班表!$C$5:$T$44,$CU24,CL$57),""),1)="~",CL$58=1),"",LEFT(IFERROR(INDEX(醫師週班表!$C$5:$T$44,$CU24,CL$57),""),1)),IFERROR(INDEX(醫師週班表!$C$5:$T$44,$CU24,CL$57),""))))))</f>
        <v/>
      </c>
      <c r="CM24" s="68">
        <f>IF(CM$59="X","",IF(CM$59&lt;&gt;"",CM$59,IF(IFERROR(INDEX(醫師週班表!$C$5:$T$44,$CU24,CM$57),"")=0,"",IF(LEN(IFERROR(INDEX(醫師週班表!$C$5:$T$44,$CU24,CM$57),""))=4,MID(IFERROR(INDEX(醫師週班表!$C$5:$T$44,$CU24,CM$57),""),1+CM$58*2,1),IF(LEN(IFERROR(INDEX(醫師週班表!$C$5:$T$44,$CU24,CM$57),""))=2,IF(AND(RIGHT(IFERROR(INDEX(醫師週班表!$C$5:$T$44,$CU24,CM$57),""),1)="~",CM$58=1),"",LEFT(IFERROR(INDEX(醫師週班表!$C$5:$T$44,$CU24,CM$57),""),1)),IFERROR(INDEX(醫師週班表!$C$5:$T$44,$CU24,CM$57),""))))))</f>
        <v/>
      </c>
      <c r="CN24" s="67">
        <f>IF(CN$59="X","",IF(CN$59&lt;&gt;"",CN$59,IF(IFERROR(INDEX(醫師週班表!$C$5:$T$44,$CU24,CN$57),"")=0,"",IF(LEN(IFERROR(INDEX(醫師週班表!$C$5:$T$44,$CU24,CN$57),""))=4,MID(IFERROR(INDEX(醫師週班表!$C$5:$T$44,$CU24,CN$57),""),1+CN$58*2,1),IF(LEN(IFERROR(INDEX(醫師週班表!$C$5:$T$44,$CU24,CN$57),""))=2,IF(AND(RIGHT(IFERROR(INDEX(醫師週班表!$C$5:$T$44,$CU24,CN$57),""),1)="~",CN$58=1),"",LEFT(IFERROR(INDEX(醫師週班表!$C$5:$T$44,$CU24,CN$57),""),1)),IFERROR(INDEX(醫師週班表!$C$5:$T$44,$CU24,CN$57),""))))))</f>
        <v/>
      </c>
      <c r="CO24" s="68">
        <f>IF(CO$59="X","",IF(CO$59&lt;&gt;"",CO$59,IF(IFERROR(INDEX(醫師週班表!$C$5:$T$44,$CU24,CO$57),"")=0,"",IF(LEN(IFERROR(INDEX(醫師週班表!$C$5:$T$44,$CU24,CO$57),""))=4,MID(IFERROR(INDEX(醫師週班表!$C$5:$T$44,$CU24,CO$57),""),1+CO$58*2,1),IF(LEN(IFERROR(INDEX(醫師週班表!$C$5:$T$44,$CU24,CO$57),""))=2,IF(AND(RIGHT(IFERROR(INDEX(醫師週班表!$C$5:$T$44,$CU24,CO$57),""),1)="~",CO$58=1),"",LEFT(IFERROR(INDEX(醫師週班表!$C$5:$T$44,$CU24,CO$57),""),1)),IFERROR(INDEX(醫師週班表!$C$5:$T$44,$CU24,CO$57),""))))))</f>
        <v/>
      </c>
      <c r="CP24" s="68">
        <f>IF(CP$59="X","",IF(CP$59&lt;&gt;"",CP$59,IF(IFERROR(INDEX(醫師週班表!$C$5:$T$44,$CU24,CP$57),"")=0,"",IF(LEN(IFERROR(INDEX(醫師週班表!$C$5:$T$44,$CU24,CP$57),""))=4,MID(IFERROR(INDEX(醫師週班表!$C$5:$T$44,$CU24,CP$57),""),1+CP$58*2,1),IF(LEN(IFERROR(INDEX(醫師週班表!$C$5:$T$44,$CU24,CP$57),""))=2,IF(AND(RIGHT(IFERROR(INDEX(醫師週班表!$C$5:$T$44,$CU24,CP$57),""),1)="~",CP$58=1),"",LEFT(IFERROR(INDEX(醫師週班表!$C$5:$T$44,$CU24,CP$57),""),1)),IFERROR(INDEX(醫師週班表!$C$5:$T$44,$CU24,CP$57),""))))))</f>
        <v/>
      </c>
      <c r="CQ24" s="67">
        <f>IF(CQ$59="X","",IF(CQ$59&lt;&gt;"",CQ$59,IF(IFERROR(INDEX(醫師週班表!$C$5:$T$44,$CU24,CQ$57),"")=0,"",IF(LEN(IFERROR(INDEX(醫師週班表!$C$5:$T$44,$CU24,CQ$57),""))=4,MID(IFERROR(INDEX(醫師週班表!$C$5:$T$44,$CU24,CQ$57),""),1+CQ$58*2,1),IF(LEN(IFERROR(INDEX(醫師週班表!$C$5:$T$44,$CU24,CQ$57),""))=2,IF(AND(RIGHT(IFERROR(INDEX(醫師週班表!$C$5:$T$44,$CU24,CQ$57),""),1)="~",CQ$58=1),"",LEFT(IFERROR(INDEX(醫師週班表!$C$5:$T$44,$CU24,CQ$57),""),1)),IFERROR(INDEX(醫師週班表!$C$5:$T$44,$CU24,CQ$57),""))))))</f>
        <v/>
      </c>
      <c r="CR24" s="68">
        <f>IF(CR$59="X","",IF(CR$59&lt;&gt;"",CR$59,IF(IFERROR(INDEX(醫師週班表!$C$5:$T$44,$CU24,CR$57),"")=0,"",IF(LEN(IFERROR(INDEX(醫師週班表!$C$5:$T$44,$CU24,CR$57),""))=4,MID(IFERROR(INDEX(醫師週班表!$C$5:$T$44,$CU24,CR$57),""),1+CR$58*2,1),IF(LEN(IFERROR(INDEX(醫師週班表!$C$5:$T$44,$CU24,CR$57),""))=2,IF(AND(RIGHT(IFERROR(INDEX(醫師週班表!$C$5:$T$44,$CU24,CR$57),""),1)="~",CR$58=1),"",LEFT(IFERROR(INDEX(醫師週班表!$C$5:$T$44,$CU24,CR$57),""),1)),IFERROR(INDEX(醫師週班表!$C$5:$T$44,$CU24,CR$57),""))))))</f>
        <v/>
      </c>
      <c r="CS24" s="68">
        <f>IF(CS$59="X","",IF(CS$59&lt;&gt;"",CS$59,IF(IFERROR(INDEX(醫師週班表!$C$5:$T$44,$CU24,CS$57),"")=0,"",IF(LEN(IFERROR(INDEX(醫師週班表!$C$5:$T$44,$CU24,CS$57),""))=4,MID(IFERROR(INDEX(醫師週班表!$C$5:$T$44,$CU24,CS$57),""),1+CS$58*2,1),IF(LEN(IFERROR(INDEX(醫師週班表!$C$5:$T$44,$CU24,CS$57),""))=2,IF(AND(RIGHT(IFERROR(INDEX(醫師週班表!$C$5:$T$44,$CU24,CS$57),""),1)="~",CS$58=1),"",LEFT(IFERROR(INDEX(醫師週班表!$C$5:$T$44,$CU24,CS$57),""),1)),IFERROR(INDEX(醫師週班表!$C$5:$T$44,$CU24,CS$57),""))))))</f>
        <v/>
      </c>
      <c r="CU24" s="69">
        <f>IFERROR(MATCH($A24,醫師週班表!$A$5:$A$44,0),0)</f>
        <v/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IFERROR(INDEX(醫師週班表!$C$5:$T$44,$CU25,E$57),"")=0,"",IF(LEN(IFERROR(INDEX(醫師週班表!$C$5:$T$44,$CU25,E$57),""))=4,MID(IFERROR(INDEX(醫師週班表!$C$5:$T$44,$CU25,E$57),""),1+E$58*2,1),IF(LEN(IFERROR(INDEX(醫師週班表!$C$5:$T$44,$CU25,E$57),""))=2,IF(AND(RIGHT(IFERROR(INDEX(醫師週班表!$C$5:$T$44,$CU25,E$57),""),1)="~",E$58=1),"",LEFT(IFERROR(INDEX(醫師週班表!$C$5:$T$44,$CU25,E$57),""),1)),IFERROR(INDEX(醫師週班表!$C$5:$T$44,$CU25,E$57),""))))))</f>
        <v/>
      </c>
      <c r="F25" s="68">
        <f>IF(F$59="X","",IF(F$59&lt;&gt;"",F$59,IF(IFERROR(INDEX(醫師週班表!$C$5:$T$44,$CU25,F$57),"")=0,"",IF(LEN(IFERROR(INDEX(醫師週班表!$C$5:$T$44,$CU25,F$57),""))=4,MID(IFERROR(INDEX(醫師週班表!$C$5:$T$44,$CU25,F$57),""),1+F$58*2,1),IF(LEN(IFERROR(INDEX(醫師週班表!$C$5:$T$44,$CU25,F$57),""))=2,IF(AND(RIGHT(IFERROR(INDEX(醫師週班表!$C$5:$T$44,$CU25,F$57),""),1)="~",F$58=1),"",LEFT(IFERROR(INDEX(醫師週班表!$C$5:$T$44,$CU25,F$57),""),1)),IFERROR(INDEX(醫師週班表!$C$5:$T$44,$CU25,F$57),""))))))</f>
        <v/>
      </c>
      <c r="G25" s="68">
        <f>IF(G$59="X","",IF(G$59&lt;&gt;"",G$59,IF(IFERROR(INDEX(醫師週班表!$C$5:$T$44,$CU25,G$57),"")=0,"",IF(LEN(IFERROR(INDEX(醫師週班表!$C$5:$T$44,$CU25,G$57),""))=4,MID(IFERROR(INDEX(醫師週班表!$C$5:$T$44,$CU25,G$57),""),1+G$58*2,1),IF(LEN(IFERROR(INDEX(醫師週班表!$C$5:$T$44,$CU25,G$57),""))=2,IF(AND(RIGHT(IFERROR(INDEX(醫師週班表!$C$5:$T$44,$CU25,G$57),""),1)="~",G$58=1),"",LEFT(IFERROR(INDEX(醫師週班表!$C$5:$T$44,$CU25,G$57),""),1)),IFERROR(INDEX(醫師週班表!$C$5:$T$44,$CU25,G$57),""))))))</f>
        <v/>
      </c>
      <c r="H25" s="67">
        <f>IF(H$59="X","",IF(H$59&lt;&gt;"",H$59,IF(IFERROR(INDEX(醫師週班表!$C$5:$T$44,$CU25,H$57),"")=0,"",IF(LEN(IFERROR(INDEX(醫師週班表!$C$5:$T$44,$CU25,H$57),""))=4,MID(IFERROR(INDEX(醫師週班表!$C$5:$T$44,$CU25,H$57),""),1+H$58*2,1),IF(LEN(IFERROR(INDEX(醫師週班表!$C$5:$T$44,$CU25,H$57),""))=2,IF(AND(RIGHT(IFERROR(INDEX(醫師週班表!$C$5:$T$44,$CU25,H$57),""),1)="~",H$58=1),"",LEFT(IFERROR(INDEX(醫師週班表!$C$5:$T$44,$CU25,H$57),""),1)),IFERROR(INDEX(醫師週班表!$C$5:$T$44,$CU25,H$57),""))))))</f>
        <v/>
      </c>
      <c r="I25" s="68">
        <f>IF(I$59="X","",IF(I$59&lt;&gt;"",I$59,IF(IFERROR(INDEX(醫師週班表!$C$5:$T$44,$CU25,I$57),"")=0,"",IF(LEN(IFERROR(INDEX(醫師週班表!$C$5:$T$44,$CU25,I$57),""))=4,MID(IFERROR(INDEX(醫師週班表!$C$5:$T$44,$CU25,I$57),""),1+I$58*2,1),IF(LEN(IFERROR(INDEX(醫師週班表!$C$5:$T$44,$CU25,I$57),""))=2,IF(AND(RIGHT(IFERROR(INDEX(醫師週班表!$C$5:$T$44,$CU25,I$57),""),1)="~",I$58=1),"",LEFT(IFERROR(INDEX(醫師週班表!$C$5:$T$44,$CU25,I$57),""),1)),IFERROR(INDEX(醫師週班表!$C$5:$T$44,$CU25,I$57),""))))))</f>
        <v/>
      </c>
      <c r="J25" s="68">
        <f>IF(J$59="X","",IF(J$59&lt;&gt;"",J$59,IF(IFERROR(INDEX(醫師週班表!$C$5:$T$44,$CU25,J$57),"")=0,"",IF(LEN(IFERROR(INDEX(醫師週班表!$C$5:$T$44,$CU25,J$57),""))=4,MID(IFERROR(INDEX(醫師週班表!$C$5:$T$44,$CU25,J$57),""),1+J$58*2,1),IF(LEN(IFERROR(INDEX(醫師週班表!$C$5:$T$44,$CU25,J$57),""))=2,IF(AND(RIGHT(IFERROR(INDEX(醫師週班表!$C$5:$T$44,$CU25,J$57),""),1)="~",J$58=1),"",LEFT(IFERROR(INDEX(醫師週班表!$C$5:$T$44,$CU25,J$57),""),1)),IFERROR(INDEX(醫師週班表!$C$5:$T$44,$CU25,J$57),""))))))</f>
        <v/>
      </c>
      <c r="K25" s="67">
        <f>IF(K$59="X","",IF(K$59&lt;&gt;"",K$59,IF(IFERROR(INDEX(醫師週班表!$C$5:$T$44,$CU25,K$57),"")=0,"",IF(LEN(IFERROR(INDEX(醫師週班表!$C$5:$T$44,$CU25,K$57),""))=4,MID(IFERROR(INDEX(醫師週班表!$C$5:$T$44,$CU25,K$57),""),1+K$58*2,1),IF(LEN(IFERROR(INDEX(醫師週班表!$C$5:$T$44,$CU25,K$57),""))=2,IF(AND(RIGHT(IFERROR(INDEX(醫師週班表!$C$5:$T$44,$CU25,K$57),""),1)="~",K$58=1),"",LEFT(IFERROR(INDEX(醫師週班表!$C$5:$T$44,$CU25,K$57),""),1)),IFERROR(INDEX(醫師週班表!$C$5:$T$44,$CU25,K$57),""))))))</f>
        <v/>
      </c>
      <c r="L25" s="68">
        <f>IF(L$59="X","",IF(L$59&lt;&gt;"",L$59,IF(IFERROR(INDEX(醫師週班表!$C$5:$T$44,$CU25,L$57),"")=0,"",IF(LEN(IFERROR(INDEX(醫師週班表!$C$5:$T$44,$CU25,L$57),""))=4,MID(IFERROR(INDEX(醫師週班表!$C$5:$T$44,$CU25,L$57),""),1+L$58*2,1),IF(LEN(IFERROR(INDEX(醫師週班表!$C$5:$T$44,$CU25,L$57),""))=2,IF(AND(RIGHT(IFERROR(INDEX(醫師週班表!$C$5:$T$44,$CU25,L$57),""),1)="~",L$58=1),"",LEFT(IFERROR(INDEX(醫師週班表!$C$5:$T$44,$CU25,L$57),""),1)),IFERROR(INDEX(醫師週班表!$C$5:$T$44,$CU25,L$57),""))))))</f>
        <v/>
      </c>
      <c r="M25" s="68">
        <f>IF(M$59="X","",IF(M$59&lt;&gt;"",M$59,IF(IFERROR(INDEX(醫師週班表!$C$5:$T$44,$CU25,M$57),"")=0,"",IF(LEN(IFERROR(INDEX(醫師週班表!$C$5:$T$44,$CU25,M$57),""))=4,MID(IFERROR(INDEX(醫師週班表!$C$5:$T$44,$CU25,M$57),""),1+M$58*2,1),IF(LEN(IFERROR(INDEX(醫師週班表!$C$5:$T$44,$CU25,M$57),""))=2,IF(AND(RIGHT(IFERROR(INDEX(醫師週班表!$C$5:$T$44,$CU25,M$57),""),1)="~",M$58=1),"",LEFT(IFERROR(INDEX(醫師週班表!$C$5:$T$44,$CU25,M$57),""),1)),IFERROR(INDEX(醫師週班表!$C$5:$T$44,$CU25,M$57),""))))))</f>
        <v/>
      </c>
      <c r="N25" s="67">
        <f>IF(N$59="X","",IF(N$59&lt;&gt;"",N$59,IF(IFERROR(INDEX(醫師週班表!$C$5:$T$44,$CU25,N$57),"")=0,"",IF(LEN(IFERROR(INDEX(醫師週班表!$C$5:$T$44,$CU25,N$57),""))=4,MID(IFERROR(INDEX(醫師週班表!$C$5:$T$44,$CU25,N$57),""),1+N$58*2,1),IF(LEN(IFERROR(INDEX(醫師週班表!$C$5:$T$44,$CU25,N$57),""))=2,IF(AND(RIGHT(IFERROR(INDEX(醫師週班表!$C$5:$T$44,$CU25,N$57),""),1)="~",N$58=1),"",LEFT(IFERROR(INDEX(醫師週班表!$C$5:$T$44,$CU25,N$57),""),1)),IFERROR(INDEX(醫師週班表!$C$5:$T$44,$CU25,N$57),""))))))</f>
        <v/>
      </c>
      <c r="O25" s="68">
        <f>IF(O$59="X","",IF(O$59&lt;&gt;"",O$59,IF(IFERROR(INDEX(醫師週班表!$C$5:$T$44,$CU25,O$57),"")=0,"",IF(LEN(IFERROR(INDEX(醫師週班表!$C$5:$T$44,$CU25,O$57),""))=4,MID(IFERROR(INDEX(醫師週班表!$C$5:$T$44,$CU25,O$57),""),1+O$58*2,1),IF(LEN(IFERROR(INDEX(醫師週班表!$C$5:$T$44,$CU25,O$57),""))=2,IF(AND(RIGHT(IFERROR(INDEX(醫師週班表!$C$5:$T$44,$CU25,O$57),""),1)="~",O$58=1),"",LEFT(IFERROR(INDEX(醫師週班表!$C$5:$T$44,$CU25,O$57),""),1)),IFERROR(INDEX(醫師週班表!$C$5:$T$44,$CU25,O$57),""))))))</f>
        <v/>
      </c>
      <c r="P25" s="68">
        <f>IF(P$59="X","",IF(P$59&lt;&gt;"",P$59,IF(IFERROR(INDEX(醫師週班表!$C$5:$T$44,$CU25,P$57),"")=0,"",IF(LEN(IFERROR(INDEX(醫師週班表!$C$5:$T$44,$CU25,P$57),""))=4,MID(IFERROR(INDEX(醫師週班表!$C$5:$T$44,$CU25,P$57),""),1+P$58*2,1),IF(LEN(IFERROR(INDEX(醫師週班表!$C$5:$T$44,$CU25,P$57),""))=2,IF(AND(RIGHT(IFERROR(INDEX(醫師週班表!$C$5:$T$44,$CU25,P$57),""),1)="~",P$58=1),"",LEFT(IFERROR(INDEX(醫師週班表!$C$5:$T$44,$CU25,P$57),""),1)),IFERROR(INDEX(醫師週班表!$C$5:$T$44,$CU25,P$57),""))))))</f>
        <v/>
      </c>
      <c r="Q25" s="67">
        <f>IF(Q$59="X","",IF(Q$59&lt;&gt;"",Q$59,IF(IFERROR(INDEX(醫師週班表!$C$5:$T$44,$CU25,Q$57),"")=0,"",IF(LEN(IFERROR(INDEX(醫師週班表!$C$5:$T$44,$CU25,Q$57),""))=4,MID(IFERROR(INDEX(醫師週班表!$C$5:$T$44,$CU25,Q$57),""),1+Q$58*2,1),IF(LEN(IFERROR(INDEX(醫師週班表!$C$5:$T$44,$CU25,Q$57),""))=2,IF(AND(RIGHT(IFERROR(INDEX(醫師週班表!$C$5:$T$44,$CU25,Q$57),""),1)="~",Q$58=1),"",LEFT(IFERROR(INDEX(醫師週班表!$C$5:$T$44,$CU25,Q$57),""),1)),IFERROR(INDEX(醫師週班表!$C$5:$T$44,$CU25,Q$57),""))))))</f>
        <v/>
      </c>
      <c r="R25" s="68">
        <f>IF(R$59="X","",IF(R$59&lt;&gt;"",R$59,IF(IFERROR(INDEX(醫師週班表!$C$5:$T$44,$CU25,R$57),"")=0,"",IF(LEN(IFERROR(INDEX(醫師週班表!$C$5:$T$44,$CU25,R$57),""))=4,MID(IFERROR(INDEX(醫師週班表!$C$5:$T$44,$CU25,R$57),""),1+R$58*2,1),IF(LEN(IFERROR(INDEX(醫師週班表!$C$5:$T$44,$CU25,R$57),""))=2,IF(AND(RIGHT(IFERROR(INDEX(醫師週班表!$C$5:$T$44,$CU25,R$57),""),1)="~",R$58=1),"",LEFT(IFERROR(INDEX(醫師週班表!$C$5:$T$44,$CU25,R$57),""),1)),IFERROR(INDEX(醫師週班表!$C$5:$T$44,$CU25,R$57),""))))))</f>
        <v/>
      </c>
      <c r="S25" s="68">
        <f>IF(S$59="X","",IF(S$59&lt;&gt;"",S$59,IF(IFERROR(INDEX(醫師週班表!$C$5:$T$44,$CU25,S$57),"")=0,"",IF(LEN(IFERROR(INDEX(醫師週班表!$C$5:$T$44,$CU25,S$57),""))=4,MID(IFERROR(INDEX(醫師週班表!$C$5:$T$44,$CU25,S$57),""),1+S$58*2,1),IF(LEN(IFERROR(INDEX(醫師週班表!$C$5:$T$44,$CU25,S$57),""))=2,IF(AND(RIGHT(IFERROR(INDEX(醫師週班表!$C$5:$T$44,$CU25,S$57),""),1)="~",S$58=1),"",LEFT(IFERROR(INDEX(醫師週班表!$C$5:$T$44,$CU25,S$57),""),1)),IFERROR(INDEX(醫師週班表!$C$5:$T$44,$CU25,S$57),""))))))</f>
        <v/>
      </c>
      <c r="T25" s="67">
        <f>IF(T$59="X","",IF(T$59&lt;&gt;"",T$59,IF(IFERROR(INDEX(醫師週班表!$C$5:$T$44,$CU25,T$57),"")=0,"",IF(LEN(IFERROR(INDEX(醫師週班表!$C$5:$T$44,$CU25,T$57),""))=4,MID(IFERROR(INDEX(醫師週班表!$C$5:$T$44,$CU25,T$57),""),1+T$58*2,1),IF(LEN(IFERROR(INDEX(醫師週班表!$C$5:$T$44,$CU25,T$57),""))=2,IF(AND(RIGHT(IFERROR(INDEX(醫師週班表!$C$5:$T$44,$CU25,T$57),""),1)="~",T$58=1),"",LEFT(IFERROR(INDEX(醫師週班表!$C$5:$T$44,$CU25,T$57),""),1)),IFERROR(INDEX(醫師週班表!$C$5:$T$44,$CU25,T$57),""))))))</f>
        <v/>
      </c>
      <c r="U25" s="68">
        <f>IF(U$59="X","",IF(U$59&lt;&gt;"",U$59,IF(IFERROR(INDEX(醫師週班表!$C$5:$T$44,$CU25,U$57),"")=0,"",IF(LEN(IFERROR(INDEX(醫師週班表!$C$5:$T$44,$CU25,U$57),""))=4,MID(IFERROR(INDEX(醫師週班表!$C$5:$T$44,$CU25,U$57),""),1+U$58*2,1),IF(LEN(IFERROR(INDEX(醫師週班表!$C$5:$T$44,$CU25,U$57),""))=2,IF(AND(RIGHT(IFERROR(INDEX(醫師週班表!$C$5:$T$44,$CU25,U$57),""),1)="~",U$58=1),"",LEFT(IFERROR(INDEX(醫師週班表!$C$5:$T$44,$CU25,U$57),""),1)),IFERROR(INDEX(醫師週班表!$C$5:$T$44,$CU25,U$57),""))))))</f>
        <v/>
      </c>
      <c r="V25" s="68">
        <f>IF(V$59="X","",IF(V$59&lt;&gt;"",V$59,IF(IFERROR(INDEX(醫師週班表!$C$5:$T$44,$CU25,V$57),"")=0,"",IF(LEN(IFERROR(INDEX(醫師週班表!$C$5:$T$44,$CU25,V$57),""))=4,MID(IFERROR(INDEX(醫師週班表!$C$5:$T$44,$CU25,V$57),""),1+V$58*2,1),IF(LEN(IFERROR(INDEX(醫師週班表!$C$5:$T$44,$CU25,V$57),""))=2,IF(AND(RIGHT(IFERROR(INDEX(醫師週班表!$C$5:$T$44,$CU25,V$57),""),1)="~",V$58=1),"",LEFT(IFERROR(INDEX(醫師週班表!$C$5:$T$44,$CU25,V$57),""),1)),IFERROR(INDEX(醫師週班表!$C$5:$T$44,$CU25,V$57),""))))))</f>
        <v/>
      </c>
      <c r="W25" s="67">
        <f>IF(W$59="X","",IF(W$59&lt;&gt;"",W$59,IF(IFERROR(INDEX(醫師週班表!$C$5:$T$44,$CU25,W$57),"")=0,"",IF(LEN(IFERROR(INDEX(醫師週班表!$C$5:$T$44,$CU25,W$57),""))=4,MID(IFERROR(INDEX(醫師週班表!$C$5:$T$44,$CU25,W$57),""),1+W$58*2,1),IF(LEN(IFERROR(INDEX(醫師週班表!$C$5:$T$44,$CU25,W$57),""))=2,IF(AND(RIGHT(IFERROR(INDEX(醫師週班表!$C$5:$T$44,$CU25,W$57),""),1)="~",W$58=1),"",LEFT(IFERROR(INDEX(醫師週班表!$C$5:$T$44,$CU25,W$57),""),1)),IFERROR(INDEX(醫師週班表!$C$5:$T$44,$CU25,W$57),""))))))</f>
        <v/>
      </c>
      <c r="X25" s="68">
        <f>IF(X$59="X","",IF(X$59&lt;&gt;"",X$59,IF(IFERROR(INDEX(醫師週班表!$C$5:$T$44,$CU25,X$57),"")=0,"",IF(LEN(IFERROR(INDEX(醫師週班表!$C$5:$T$44,$CU25,X$57),""))=4,MID(IFERROR(INDEX(醫師週班表!$C$5:$T$44,$CU25,X$57),""),1+X$58*2,1),IF(LEN(IFERROR(INDEX(醫師週班表!$C$5:$T$44,$CU25,X$57),""))=2,IF(AND(RIGHT(IFERROR(INDEX(醫師週班表!$C$5:$T$44,$CU25,X$57),""),1)="~",X$58=1),"",LEFT(IFERROR(INDEX(醫師週班表!$C$5:$T$44,$CU25,X$57),""),1)),IFERROR(INDEX(醫師週班表!$C$5:$T$44,$CU25,X$57),""))))))</f>
        <v/>
      </c>
      <c r="Y25" s="68">
        <f>IF(Y$59="X","",IF(Y$59&lt;&gt;"",Y$59,IF(IFERROR(INDEX(醫師週班表!$C$5:$T$44,$CU25,Y$57),"")=0,"",IF(LEN(IFERROR(INDEX(醫師週班表!$C$5:$T$44,$CU25,Y$57),""))=4,MID(IFERROR(INDEX(醫師週班表!$C$5:$T$44,$CU25,Y$57),""),1+Y$58*2,1),IF(LEN(IFERROR(INDEX(醫師週班表!$C$5:$T$44,$CU25,Y$57),""))=2,IF(AND(RIGHT(IFERROR(INDEX(醫師週班表!$C$5:$T$44,$CU25,Y$57),""),1)="~",Y$58=1),"",LEFT(IFERROR(INDEX(醫師週班表!$C$5:$T$44,$CU25,Y$57),""),1)),IFERROR(INDEX(醫師週班表!$C$5:$T$44,$CU25,Y$57),""))))))</f>
        <v/>
      </c>
      <c r="Z25" s="67">
        <f>IF(Z$59="X","",IF(Z$59&lt;&gt;"",Z$59,IF(IFERROR(INDEX(醫師週班表!$C$5:$T$44,$CU25,Z$57),"")=0,"",IF(LEN(IFERROR(INDEX(醫師週班表!$C$5:$T$44,$CU25,Z$57),""))=4,MID(IFERROR(INDEX(醫師週班表!$C$5:$T$44,$CU25,Z$57),""),1+Z$58*2,1),IF(LEN(IFERROR(INDEX(醫師週班表!$C$5:$T$44,$CU25,Z$57),""))=2,IF(AND(RIGHT(IFERROR(INDEX(醫師週班表!$C$5:$T$44,$CU25,Z$57),""),1)="~",Z$58=1),"",LEFT(IFERROR(INDEX(醫師週班表!$C$5:$T$44,$CU25,Z$57),""),1)),IFERROR(INDEX(醫師週班表!$C$5:$T$44,$CU25,Z$57),""))))))</f>
        <v/>
      </c>
      <c r="AA25" s="68">
        <f>IF(AA$59="X","",IF(AA$59&lt;&gt;"",AA$59,IF(IFERROR(INDEX(醫師週班表!$C$5:$T$44,$CU25,AA$57),"")=0,"",IF(LEN(IFERROR(INDEX(醫師週班表!$C$5:$T$44,$CU25,AA$57),""))=4,MID(IFERROR(INDEX(醫師週班表!$C$5:$T$44,$CU25,AA$57),""),1+AA$58*2,1),IF(LEN(IFERROR(INDEX(醫師週班表!$C$5:$T$44,$CU25,AA$57),""))=2,IF(AND(RIGHT(IFERROR(INDEX(醫師週班表!$C$5:$T$44,$CU25,AA$57),""),1)="~",AA$58=1),"",LEFT(IFERROR(INDEX(醫師週班表!$C$5:$T$44,$CU25,AA$57),""),1)),IFERROR(INDEX(醫師週班表!$C$5:$T$44,$CU25,AA$57),""))))))</f>
        <v/>
      </c>
      <c r="AB25" s="68">
        <f>IF(AB$59="X","",IF(AB$59&lt;&gt;"",AB$59,IF(IFERROR(INDEX(醫師週班表!$C$5:$T$44,$CU25,AB$57),"")=0,"",IF(LEN(IFERROR(INDEX(醫師週班表!$C$5:$T$44,$CU25,AB$57),""))=4,MID(IFERROR(INDEX(醫師週班表!$C$5:$T$44,$CU25,AB$57),""),1+AB$58*2,1),IF(LEN(IFERROR(INDEX(醫師週班表!$C$5:$T$44,$CU25,AB$57),""))=2,IF(AND(RIGHT(IFERROR(INDEX(醫師週班表!$C$5:$T$44,$CU25,AB$57),""),1)="~",AB$58=1),"",LEFT(IFERROR(INDEX(醫師週班表!$C$5:$T$44,$CU25,AB$57),""),1)),IFERROR(INDEX(醫師週班表!$C$5:$T$44,$CU25,AB$57),""))))))</f>
        <v/>
      </c>
      <c r="AC25" s="67">
        <f>IF(AC$59="X","",IF(AC$59&lt;&gt;"",AC$59,IF(IFERROR(INDEX(醫師週班表!$C$5:$T$44,$CU25,AC$57),"")=0,"",IF(LEN(IFERROR(INDEX(醫師週班表!$C$5:$T$44,$CU25,AC$57),""))=4,MID(IFERROR(INDEX(醫師週班表!$C$5:$T$44,$CU25,AC$57),""),1+AC$58*2,1),IF(LEN(IFERROR(INDEX(醫師週班表!$C$5:$T$44,$CU25,AC$57),""))=2,IF(AND(RIGHT(IFERROR(INDEX(醫師週班表!$C$5:$T$44,$CU25,AC$57),""),1)="~",AC$58=1),"",LEFT(IFERROR(INDEX(醫師週班表!$C$5:$T$44,$CU25,AC$57),""),1)),IFERROR(INDEX(醫師週班表!$C$5:$T$44,$CU25,AC$57),""))))))</f>
        <v/>
      </c>
      <c r="AD25" s="68">
        <f>IF(AD$59="X","",IF(AD$59&lt;&gt;"",AD$59,IF(IFERROR(INDEX(醫師週班表!$C$5:$T$44,$CU25,AD$57),"")=0,"",IF(LEN(IFERROR(INDEX(醫師週班表!$C$5:$T$44,$CU25,AD$57),""))=4,MID(IFERROR(INDEX(醫師週班表!$C$5:$T$44,$CU25,AD$57),""),1+AD$58*2,1),IF(LEN(IFERROR(INDEX(醫師週班表!$C$5:$T$44,$CU25,AD$57),""))=2,IF(AND(RIGHT(IFERROR(INDEX(醫師週班表!$C$5:$T$44,$CU25,AD$57),""),1)="~",AD$58=1),"",LEFT(IFERROR(INDEX(醫師週班表!$C$5:$T$44,$CU25,AD$57),""),1)),IFERROR(INDEX(醫師週班表!$C$5:$T$44,$CU25,AD$57),""))))))</f>
        <v/>
      </c>
      <c r="AE25" s="68">
        <f>IF(AE$59="X","",IF(AE$59&lt;&gt;"",AE$59,IF(IFERROR(INDEX(醫師週班表!$C$5:$T$44,$CU25,AE$57),"")=0,"",IF(LEN(IFERROR(INDEX(醫師週班表!$C$5:$T$44,$CU25,AE$57),""))=4,MID(IFERROR(INDEX(醫師週班表!$C$5:$T$44,$CU25,AE$57),""),1+AE$58*2,1),IF(LEN(IFERROR(INDEX(醫師週班表!$C$5:$T$44,$CU25,AE$57),""))=2,IF(AND(RIGHT(IFERROR(INDEX(醫師週班表!$C$5:$T$44,$CU25,AE$57),""),1)="~",AE$58=1),"",LEFT(IFERROR(INDEX(醫師週班表!$C$5:$T$44,$CU25,AE$57),""),1)),IFERROR(INDEX(醫師週班表!$C$5:$T$44,$CU25,AE$57),""))))))</f>
        <v/>
      </c>
      <c r="AF25" s="67">
        <f>IF(AF$59="X","",IF(AF$59&lt;&gt;"",AF$59,IF(IFERROR(INDEX(醫師週班表!$C$5:$T$44,$CU25,AF$57),"")=0,"",IF(LEN(IFERROR(INDEX(醫師週班表!$C$5:$T$44,$CU25,AF$57),""))=4,MID(IFERROR(INDEX(醫師週班表!$C$5:$T$44,$CU25,AF$57),""),1+AF$58*2,1),IF(LEN(IFERROR(INDEX(醫師週班表!$C$5:$T$44,$CU25,AF$57),""))=2,IF(AND(RIGHT(IFERROR(INDEX(醫師週班表!$C$5:$T$44,$CU25,AF$57),""),1)="~",AF$58=1),"",LEFT(IFERROR(INDEX(醫師週班表!$C$5:$T$44,$CU25,AF$57),""),1)),IFERROR(INDEX(醫師週班表!$C$5:$T$44,$CU25,AF$57),""))))))</f>
        <v/>
      </c>
      <c r="AG25" s="68">
        <f>IF(AG$59="X","",IF(AG$59&lt;&gt;"",AG$59,IF(IFERROR(INDEX(醫師週班表!$C$5:$T$44,$CU25,AG$57),"")=0,"",IF(LEN(IFERROR(INDEX(醫師週班表!$C$5:$T$44,$CU25,AG$57),""))=4,MID(IFERROR(INDEX(醫師週班表!$C$5:$T$44,$CU25,AG$57),""),1+AG$58*2,1),IF(LEN(IFERROR(INDEX(醫師週班表!$C$5:$T$44,$CU25,AG$57),""))=2,IF(AND(RIGHT(IFERROR(INDEX(醫師週班表!$C$5:$T$44,$CU25,AG$57),""),1)="~",AG$58=1),"",LEFT(IFERROR(INDEX(醫師週班表!$C$5:$T$44,$CU25,AG$57),""),1)),IFERROR(INDEX(醫師週班表!$C$5:$T$44,$CU25,AG$57),""))))))</f>
        <v/>
      </c>
      <c r="AH25" s="68">
        <f>IF(AH$59="X","",IF(AH$59&lt;&gt;"",AH$59,IF(IFERROR(INDEX(醫師週班表!$C$5:$T$44,$CU25,AH$57),"")=0,"",IF(LEN(IFERROR(INDEX(醫師週班表!$C$5:$T$44,$CU25,AH$57),""))=4,MID(IFERROR(INDEX(醫師週班表!$C$5:$T$44,$CU25,AH$57),""),1+AH$58*2,1),IF(LEN(IFERROR(INDEX(醫師週班表!$C$5:$T$44,$CU25,AH$57),""))=2,IF(AND(RIGHT(IFERROR(INDEX(醫師週班表!$C$5:$T$44,$CU25,AH$57),""),1)="~",AH$58=1),"",LEFT(IFERROR(INDEX(醫師週班表!$C$5:$T$44,$CU25,AH$57),""),1)),IFERROR(INDEX(醫師週班表!$C$5:$T$44,$CU25,AH$57),""))))))</f>
        <v/>
      </c>
      <c r="AI25" s="67">
        <f>IF(AI$59="X","",IF(AI$59&lt;&gt;"",AI$59,IF(IFERROR(INDEX(醫師週班表!$C$5:$T$44,$CU25,AI$57),"")=0,"",IF(LEN(IFERROR(INDEX(醫師週班表!$C$5:$T$44,$CU25,AI$57),""))=4,MID(IFERROR(INDEX(醫師週班表!$C$5:$T$44,$CU25,AI$57),""),1+AI$58*2,1),IF(LEN(IFERROR(INDEX(醫師週班表!$C$5:$T$44,$CU25,AI$57),""))=2,IF(AND(RIGHT(IFERROR(INDEX(醫師週班表!$C$5:$T$44,$CU25,AI$57),""),1)="~",AI$58=1),"",LEFT(IFERROR(INDEX(醫師週班表!$C$5:$T$44,$CU25,AI$57),""),1)),IFERROR(INDEX(醫師週班表!$C$5:$T$44,$CU25,AI$57),""))))))</f>
        <v/>
      </c>
      <c r="AJ25" s="68">
        <f>IF(AJ$59="X","",IF(AJ$59&lt;&gt;"",AJ$59,IF(IFERROR(INDEX(醫師週班表!$C$5:$T$44,$CU25,AJ$57),"")=0,"",IF(LEN(IFERROR(INDEX(醫師週班表!$C$5:$T$44,$CU25,AJ$57),""))=4,MID(IFERROR(INDEX(醫師週班表!$C$5:$T$44,$CU25,AJ$57),""),1+AJ$58*2,1),IF(LEN(IFERROR(INDEX(醫師週班表!$C$5:$T$44,$CU25,AJ$57),""))=2,IF(AND(RIGHT(IFERROR(INDEX(醫師週班表!$C$5:$T$44,$CU25,AJ$57),""),1)="~",AJ$58=1),"",LEFT(IFERROR(INDEX(醫師週班表!$C$5:$T$44,$CU25,AJ$57),""),1)),IFERROR(INDEX(醫師週班表!$C$5:$T$44,$CU25,AJ$57),""))))))</f>
        <v/>
      </c>
      <c r="AK25" s="68">
        <f>IF(AK$59="X","",IF(AK$59&lt;&gt;"",AK$59,IF(IFERROR(INDEX(醫師週班表!$C$5:$T$44,$CU25,AK$57),"")=0,"",IF(LEN(IFERROR(INDEX(醫師週班表!$C$5:$T$44,$CU25,AK$57),""))=4,MID(IFERROR(INDEX(醫師週班表!$C$5:$T$44,$CU25,AK$57),""),1+AK$58*2,1),IF(LEN(IFERROR(INDEX(醫師週班表!$C$5:$T$44,$CU25,AK$57),""))=2,IF(AND(RIGHT(IFERROR(INDEX(醫師週班表!$C$5:$T$44,$CU25,AK$57),""),1)="~",AK$58=1),"",LEFT(IFERROR(INDEX(醫師週班表!$C$5:$T$44,$CU25,AK$57),""),1)),IFERROR(INDEX(醫師週班表!$C$5:$T$44,$CU25,AK$57),""))))))</f>
        <v/>
      </c>
      <c r="AL25" s="67">
        <f>IF(AL$59="X","",IF(AL$59&lt;&gt;"",AL$59,IF(IFERROR(INDEX(醫師週班表!$C$5:$T$44,$CU25,AL$57),"")=0,"",IF(LEN(IFERROR(INDEX(醫師週班表!$C$5:$T$44,$CU25,AL$57),""))=4,MID(IFERROR(INDEX(醫師週班表!$C$5:$T$44,$CU25,AL$57),""),1+AL$58*2,1),IF(LEN(IFERROR(INDEX(醫師週班表!$C$5:$T$44,$CU25,AL$57),""))=2,IF(AND(RIGHT(IFERROR(INDEX(醫師週班表!$C$5:$T$44,$CU25,AL$57),""),1)="~",AL$58=1),"",LEFT(IFERROR(INDEX(醫師週班表!$C$5:$T$44,$CU25,AL$57),""),1)),IFERROR(INDEX(醫師週班表!$C$5:$T$44,$CU25,AL$57),""))))))</f>
        <v/>
      </c>
      <c r="AM25" s="68">
        <f>IF(AM$59="X","",IF(AM$59&lt;&gt;"",AM$59,IF(IFERROR(INDEX(醫師週班表!$C$5:$T$44,$CU25,AM$57),"")=0,"",IF(LEN(IFERROR(INDEX(醫師週班表!$C$5:$T$44,$CU25,AM$57),""))=4,MID(IFERROR(INDEX(醫師週班表!$C$5:$T$44,$CU25,AM$57),""),1+AM$58*2,1),IF(LEN(IFERROR(INDEX(醫師週班表!$C$5:$T$44,$CU25,AM$57),""))=2,IF(AND(RIGHT(IFERROR(INDEX(醫師週班表!$C$5:$T$44,$CU25,AM$57),""),1)="~",AM$58=1),"",LEFT(IFERROR(INDEX(醫師週班表!$C$5:$T$44,$CU25,AM$57),""),1)),IFERROR(INDEX(醫師週班表!$C$5:$T$44,$CU25,AM$57),""))))))</f>
        <v/>
      </c>
      <c r="AN25" s="68">
        <f>IF(AN$59="X","",IF(AN$59&lt;&gt;"",AN$59,IF(IFERROR(INDEX(醫師週班表!$C$5:$T$44,$CU25,AN$57),"")=0,"",IF(LEN(IFERROR(INDEX(醫師週班表!$C$5:$T$44,$CU25,AN$57),""))=4,MID(IFERROR(INDEX(醫師週班表!$C$5:$T$44,$CU25,AN$57),""),1+AN$58*2,1),IF(LEN(IFERROR(INDEX(醫師週班表!$C$5:$T$44,$CU25,AN$57),""))=2,IF(AND(RIGHT(IFERROR(INDEX(醫師週班表!$C$5:$T$44,$CU25,AN$57),""),1)="~",AN$58=1),"",LEFT(IFERROR(INDEX(醫師週班表!$C$5:$T$44,$CU25,AN$57),""),1)),IFERROR(INDEX(醫師週班表!$C$5:$T$44,$CU25,AN$57),""))))))</f>
        <v/>
      </c>
      <c r="AO25" s="67">
        <f>IF(AO$59="X","",IF(AO$59&lt;&gt;"",AO$59,IF(IFERROR(INDEX(醫師週班表!$C$5:$T$44,$CU25,AO$57),"")=0,"",IF(LEN(IFERROR(INDEX(醫師週班表!$C$5:$T$44,$CU25,AO$57),""))=4,MID(IFERROR(INDEX(醫師週班表!$C$5:$T$44,$CU25,AO$57),""),1+AO$58*2,1),IF(LEN(IFERROR(INDEX(醫師週班表!$C$5:$T$44,$CU25,AO$57),""))=2,IF(AND(RIGHT(IFERROR(INDEX(醫師週班表!$C$5:$T$44,$CU25,AO$57),""),1)="~",AO$58=1),"",LEFT(IFERROR(INDEX(醫師週班表!$C$5:$T$44,$CU25,AO$57),""),1)),IFERROR(INDEX(醫師週班表!$C$5:$T$44,$CU25,AO$57),""))))))</f>
        <v/>
      </c>
      <c r="AP25" s="68">
        <f>IF(AP$59="X","",IF(AP$59&lt;&gt;"",AP$59,IF(IFERROR(INDEX(醫師週班表!$C$5:$T$44,$CU25,AP$57),"")=0,"",IF(LEN(IFERROR(INDEX(醫師週班表!$C$5:$T$44,$CU25,AP$57),""))=4,MID(IFERROR(INDEX(醫師週班表!$C$5:$T$44,$CU25,AP$57),""),1+AP$58*2,1),IF(LEN(IFERROR(INDEX(醫師週班表!$C$5:$T$44,$CU25,AP$57),""))=2,IF(AND(RIGHT(IFERROR(INDEX(醫師週班表!$C$5:$T$44,$CU25,AP$57),""),1)="~",AP$58=1),"",LEFT(IFERROR(INDEX(醫師週班表!$C$5:$T$44,$CU25,AP$57),""),1)),IFERROR(INDEX(醫師週班表!$C$5:$T$44,$CU25,AP$57),""))))))</f>
        <v/>
      </c>
      <c r="AQ25" s="68">
        <f>IF(AQ$59="X","",IF(AQ$59&lt;&gt;"",AQ$59,IF(IFERROR(INDEX(醫師週班表!$C$5:$T$44,$CU25,AQ$57),"")=0,"",IF(LEN(IFERROR(INDEX(醫師週班表!$C$5:$T$44,$CU25,AQ$57),""))=4,MID(IFERROR(INDEX(醫師週班表!$C$5:$T$44,$CU25,AQ$57),""),1+AQ$58*2,1),IF(LEN(IFERROR(INDEX(醫師週班表!$C$5:$T$44,$CU25,AQ$57),""))=2,IF(AND(RIGHT(IFERROR(INDEX(醫師週班表!$C$5:$T$44,$CU25,AQ$57),""),1)="~",AQ$58=1),"",LEFT(IFERROR(INDEX(醫師週班表!$C$5:$T$44,$CU25,AQ$57),""),1)),IFERROR(INDEX(醫師週班表!$C$5:$T$44,$CU25,AQ$57),""))))))</f>
        <v/>
      </c>
      <c r="AR25" s="67">
        <f>IF(AR$59="X","",IF(AR$59&lt;&gt;"",AR$59,IF(IFERROR(INDEX(醫師週班表!$C$5:$T$44,$CU25,AR$57),"")=0,"",IF(LEN(IFERROR(INDEX(醫師週班表!$C$5:$T$44,$CU25,AR$57),""))=4,MID(IFERROR(INDEX(醫師週班表!$C$5:$T$44,$CU25,AR$57),""),1+AR$58*2,1),IF(LEN(IFERROR(INDEX(醫師週班表!$C$5:$T$44,$CU25,AR$57),""))=2,IF(AND(RIGHT(IFERROR(INDEX(醫師週班表!$C$5:$T$44,$CU25,AR$57),""),1)="~",AR$58=1),"",LEFT(IFERROR(INDEX(醫師週班表!$C$5:$T$44,$CU25,AR$57),""),1)),IFERROR(INDEX(醫師週班表!$C$5:$T$44,$CU25,AR$57),""))))))</f>
        <v/>
      </c>
      <c r="AS25" s="68">
        <f>IF(AS$59="X","",IF(AS$59&lt;&gt;"",AS$59,IF(IFERROR(INDEX(醫師週班表!$C$5:$T$44,$CU25,AS$57),"")=0,"",IF(LEN(IFERROR(INDEX(醫師週班表!$C$5:$T$44,$CU25,AS$57),""))=4,MID(IFERROR(INDEX(醫師週班表!$C$5:$T$44,$CU25,AS$57),""),1+AS$58*2,1),IF(LEN(IFERROR(INDEX(醫師週班表!$C$5:$T$44,$CU25,AS$57),""))=2,IF(AND(RIGHT(IFERROR(INDEX(醫師週班表!$C$5:$T$44,$CU25,AS$57),""),1)="~",AS$58=1),"",LEFT(IFERROR(INDEX(醫師週班表!$C$5:$T$44,$CU25,AS$57),""),1)),IFERROR(INDEX(醫師週班表!$C$5:$T$44,$CU25,AS$57),""))))))</f>
        <v/>
      </c>
      <c r="AT25" s="68">
        <f>IF(AT$59="X","",IF(AT$59&lt;&gt;"",AT$59,IF(IFERROR(INDEX(醫師週班表!$C$5:$T$44,$CU25,AT$57),"")=0,"",IF(LEN(IFERROR(INDEX(醫師週班表!$C$5:$T$44,$CU25,AT$57),""))=4,MID(IFERROR(INDEX(醫師週班表!$C$5:$T$44,$CU25,AT$57),""),1+AT$58*2,1),IF(LEN(IFERROR(INDEX(醫師週班表!$C$5:$T$44,$CU25,AT$57),""))=2,IF(AND(RIGHT(IFERROR(INDEX(醫師週班表!$C$5:$T$44,$CU25,AT$57),""),1)="~",AT$58=1),"",LEFT(IFERROR(INDEX(醫師週班表!$C$5:$T$44,$CU25,AT$57),""),1)),IFERROR(INDEX(醫師週班表!$C$5:$T$44,$CU25,AT$57),""))))))</f>
        <v/>
      </c>
      <c r="AU25" s="67">
        <f>IF(AU$59="X","",IF(AU$59&lt;&gt;"",AU$59,IF(IFERROR(INDEX(醫師週班表!$C$5:$T$44,$CU25,AU$57),"")=0,"",IF(LEN(IFERROR(INDEX(醫師週班表!$C$5:$T$44,$CU25,AU$57),""))=4,MID(IFERROR(INDEX(醫師週班表!$C$5:$T$44,$CU25,AU$57),""),1+AU$58*2,1),IF(LEN(IFERROR(INDEX(醫師週班表!$C$5:$T$44,$CU25,AU$57),""))=2,IF(AND(RIGHT(IFERROR(INDEX(醫師週班表!$C$5:$T$44,$CU25,AU$57),""),1)="~",AU$58=1),"",LEFT(IFERROR(INDEX(醫師週班表!$C$5:$T$44,$CU25,AU$57),""),1)),IFERROR(INDEX(醫師週班表!$C$5:$T$44,$CU25,AU$57),""))))))</f>
        <v/>
      </c>
      <c r="AV25" s="68">
        <f>IF(AV$59="X","",IF(AV$59&lt;&gt;"",AV$59,IF(IFERROR(INDEX(醫師週班表!$C$5:$T$44,$CU25,AV$57),"")=0,"",IF(LEN(IFERROR(INDEX(醫師週班表!$C$5:$T$44,$CU25,AV$57),""))=4,MID(IFERROR(INDEX(醫師週班表!$C$5:$T$44,$CU25,AV$57),""),1+AV$58*2,1),IF(LEN(IFERROR(INDEX(醫師週班表!$C$5:$T$44,$CU25,AV$57),""))=2,IF(AND(RIGHT(IFERROR(INDEX(醫師週班表!$C$5:$T$44,$CU25,AV$57),""),1)="~",AV$58=1),"",LEFT(IFERROR(INDEX(醫師週班表!$C$5:$T$44,$CU25,AV$57),""),1)),IFERROR(INDEX(醫師週班表!$C$5:$T$44,$CU25,AV$57),""))))))</f>
        <v/>
      </c>
      <c r="AW25" s="68">
        <f>IF(AW$59="X","",IF(AW$59&lt;&gt;"",AW$59,IF(IFERROR(INDEX(醫師週班表!$C$5:$T$44,$CU25,AW$57),"")=0,"",IF(LEN(IFERROR(INDEX(醫師週班表!$C$5:$T$44,$CU25,AW$57),""))=4,MID(IFERROR(INDEX(醫師週班表!$C$5:$T$44,$CU25,AW$57),""),1+AW$58*2,1),IF(LEN(IFERROR(INDEX(醫師週班表!$C$5:$T$44,$CU25,AW$57),""))=2,IF(AND(RIGHT(IFERROR(INDEX(醫師週班表!$C$5:$T$44,$CU25,AW$57),""),1)="~",AW$58=1),"",LEFT(IFERROR(INDEX(醫師週班表!$C$5:$T$44,$CU25,AW$57),""),1)),IFERROR(INDEX(醫師週班表!$C$5:$T$44,$CU25,AW$57),""))))))</f>
        <v/>
      </c>
      <c r="AX25" s="67">
        <f>IF(AX$59="X","",IF(AX$59&lt;&gt;"",AX$59,IF(IFERROR(INDEX(醫師週班表!$C$5:$T$44,$CU25,AX$57),"")=0,"",IF(LEN(IFERROR(INDEX(醫師週班表!$C$5:$T$44,$CU25,AX$57),""))=4,MID(IFERROR(INDEX(醫師週班表!$C$5:$T$44,$CU25,AX$57),""),1+AX$58*2,1),IF(LEN(IFERROR(INDEX(醫師週班表!$C$5:$T$44,$CU25,AX$57),""))=2,IF(AND(RIGHT(IFERROR(INDEX(醫師週班表!$C$5:$T$44,$CU25,AX$57),""),1)="~",AX$58=1),"",LEFT(IFERROR(INDEX(醫師週班表!$C$5:$T$44,$CU25,AX$57),""),1)),IFERROR(INDEX(醫師週班表!$C$5:$T$44,$CU25,AX$57),""))))))</f>
        <v/>
      </c>
      <c r="AY25" s="68">
        <f>IF(AY$59="X","",IF(AY$59&lt;&gt;"",AY$59,IF(IFERROR(INDEX(醫師週班表!$C$5:$T$44,$CU25,AY$57),"")=0,"",IF(LEN(IFERROR(INDEX(醫師週班表!$C$5:$T$44,$CU25,AY$57),""))=4,MID(IFERROR(INDEX(醫師週班表!$C$5:$T$44,$CU25,AY$57),""),1+AY$58*2,1),IF(LEN(IFERROR(INDEX(醫師週班表!$C$5:$T$44,$CU25,AY$57),""))=2,IF(AND(RIGHT(IFERROR(INDEX(醫師週班表!$C$5:$T$44,$CU25,AY$57),""),1)="~",AY$58=1),"",LEFT(IFERROR(INDEX(醫師週班表!$C$5:$T$44,$CU25,AY$57),""),1)),IFERROR(INDEX(醫師週班表!$C$5:$T$44,$CU25,AY$57),""))))))</f>
        <v/>
      </c>
      <c r="AZ25" s="68">
        <f>IF(AZ$59="X","",IF(AZ$59&lt;&gt;"",AZ$59,IF(IFERROR(INDEX(醫師週班表!$C$5:$T$44,$CU25,AZ$57),"")=0,"",IF(LEN(IFERROR(INDEX(醫師週班表!$C$5:$T$44,$CU25,AZ$57),""))=4,MID(IFERROR(INDEX(醫師週班表!$C$5:$T$44,$CU25,AZ$57),""),1+AZ$58*2,1),IF(LEN(IFERROR(INDEX(醫師週班表!$C$5:$T$44,$CU25,AZ$57),""))=2,IF(AND(RIGHT(IFERROR(INDEX(醫師週班表!$C$5:$T$44,$CU25,AZ$57),""),1)="~",AZ$58=1),"",LEFT(IFERROR(INDEX(醫師週班表!$C$5:$T$44,$CU25,AZ$57),""),1)),IFERROR(INDEX(醫師週班表!$C$5:$T$44,$CU25,AZ$57),""))))))</f>
        <v/>
      </c>
      <c r="BA25" s="67">
        <f>IF(BA$59="X","",IF(BA$59&lt;&gt;"",BA$59,IF(IFERROR(INDEX(醫師週班表!$C$5:$T$44,$CU25,BA$57),"")=0,"",IF(LEN(IFERROR(INDEX(醫師週班表!$C$5:$T$44,$CU25,BA$57),""))=4,MID(IFERROR(INDEX(醫師週班表!$C$5:$T$44,$CU25,BA$57),""),1+BA$58*2,1),IF(LEN(IFERROR(INDEX(醫師週班表!$C$5:$T$44,$CU25,BA$57),""))=2,IF(AND(RIGHT(IFERROR(INDEX(醫師週班表!$C$5:$T$44,$CU25,BA$57),""),1)="~",BA$58=1),"",LEFT(IFERROR(INDEX(醫師週班表!$C$5:$T$44,$CU25,BA$57),""),1)),IFERROR(INDEX(醫師週班表!$C$5:$T$44,$CU25,BA$57),""))))))</f>
        <v/>
      </c>
      <c r="BB25" s="68">
        <f>IF(BB$59="X","",IF(BB$59&lt;&gt;"",BB$59,IF(IFERROR(INDEX(醫師週班表!$C$5:$T$44,$CU25,BB$57),"")=0,"",IF(LEN(IFERROR(INDEX(醫師週班表!$C$5:$T$44,$CU25,BB$57),""))=4,MID(IFERROR(INDEX(醫師週班表!$C$5:$T$44,$CU25,BB$57),""),1+BB$58*2,1),IF(LEN(IFERROR(INDEX(醫師週班表!$C$5:$T$44,$CU25,BB$57),""))=2,IF(AND(RIGHT(IFERROR(INDEX(醫師週班表!$C$5:$T$44,$CU25,BB$57),""),1)="~",BB$58=1),"",LEFT(IFERROR(INDEX(醫師週班表!$C$5:$T$44,$CU25,BB$57),""),1)),IFERROR(INDEX(醫師週班表!$C$5:$T$44,$CU25,BB$57),""))))))</f>
        <v/>
      </c>
      <c r="BC25" s="68">
        <f>IF(BC$59="X","",IF(BC$59&lt;&gt;"",BC$59,IF(IFERROR(INDEX(醫師週班表!$C$5:$T$44,$CU25,BC$57),"")=0,"",IF(LEN(IFERROR(INDEX(醫師週班表!$C$5:$T$44,$CU25,BC$57),""))=4,MID(IFERROR(INDEX(醫師週班表!$C$5:$T$44,$CU25,BC$57),""),1+BC$58*2,1),IF(LEN(IFERROR(INDEX(醫師週班表!$C$5:$T$44,$CU25,BC$57),""))=2,IF(AND(RIGHT(IFERROR(INDEX(醫師週班表!$C$5:$T$44,$CU25,BC$57),""),1)="~",BC$58=1),"",LEFT(IFERROR(INDEX(醫師週班表!$C$5:$T$44,$CU25,BC$57),""),1)),IFERROR(INDEX(醫師週班表!$C$5:$T$44,$CU25,BC$57),""))))))</f>
        <v/>
      </c>
      <c r="BD25" s="67">
        <f>IF(BD$59="X","",IF(BD$59&lt;&gt;"",BD$59,IF(IFERROR(INDEX(醫師週班表!$C$5:$T$44,$CU25,BD$57),"")=0,"",IF(LEN(IFERROR(INDEX(醫師週班表!$C$5:$T$44,$CU25,BD$57),""))=4,MID(IFERROR(INDEX(醫師週班表!$C$5:$T$44,$CU25,BD$57),""),1+BD$58*2,1),IF(LEN(IFERROR(INDEX(醫師週班表!$C$5:$T$44,$CU25,BD$57),""))=2,IF(AND(RIGHT(IFERROR(INDEX(醫師週班表!$C$5:$T$44,$CU25,BD$57),""),1)="~",BD$58=1),"",LEFT(IFERROR(INDEX(醫師週班表!$C$5:$T$44,$CU25,BD$57),""),1)),IFERROR(INDEX(醫師週班表!$C$5:$T$44,$CU25,BD$57),""))))))</f>
        <v/>
      </c>
      <c r="BE25" s="68">
        <f>IF(BE$59="X","",IF(BE$59&lt;&gt;"",BE$59,IF(IFERROR(INDEX(醫師週班表!$C$5:$T$44,$CU25,BE$57),"")=0,"",IF(LEN(IFERROR(INDEX(醫師週班表!$C$5:$T$44,$CU25,BE$57),""))=4,MID(IFERROR(INDEX(醫師週班表!$C$5:$T$44,$CU25,BE$57),""),1+BE$58*2,1),IF(LEN(IFERROR(INDEX(醫師週班表!$C$5:$T$44,$CU25,BE$57),""))=2,IF(AND(RIGHT(IFERROR(INDEX(醫師週班表!$C$5:$T$44,$CU25,BE$57),""),1)="~",BE$58=1),"",LEFT(IFERROR(INDEX(醫師週班表!$C$5:$T$44,$CU25,BE$57),""),1)),IFERROR(INDEX(醫師週班表!$C$5:$T$44,$CU25,BE$57),""))))))</f>
        <v/>
      </c>
      <c r="BF25" s="68">
        <f>IF(BF$59="X","",IF(BF$59&lt;&gt;"",BF$59,IF(IFERROR(INDEX(醫師週班表!$C$5:$T$44,$CU25,BF$57),"")=0,"",IF(LEN(IFERROR(INDEX(醫師週班表!$C$5:$T$44,$CU25,BF$57),""))=4,MID(IFERROR(INDEX(醫師週班表!$C$5:$T$44,$CU25,BF$57),""),1+BF$58*2,1),IF(LEN(IFERROR(INDEX(醫師週班表!$C$5:$T$44,$CU25,BF$57),""))=2,IF(AND(RIGHT(IFERROR(INDEX(醫師週班表!$C$5:$T$44,$CU25,BF$57),""),1)="~",BF$58=1),"",LEFT(IFERROR(INDEX(醫師週班表!$C$5:$T$44,$CU25,BF$57),""),1)),IFERROR(INDEX(醫師週班表!$C$5:$T$44,$CU25,BF$57),""))))))</f>
        <v/>
      </c>
      <c r="BG25" s="67">
        <f>IF(BG$59="X","",IF(BG$59&lt;&gt;"",BG$59,IF(IFERROR(INDEX(醫師週班表!$C$5:$T$44,$CU25,BG$57),"")=0,"",IF(LEN(IFERROR(INDEX(醫師週班表!$C$5:$T$44,$CU25,BG$57),""))=4,MID(IFERROR(INDEX(醫師週班表!$C$5:$T$44,$CU25,BG$57),""),1+BG$58*2,1),IF(LEN(IFERROR(INDEX(醫師週班表!$C$5:$T$44,$CU25,BG$57),""))=2,IF(AND(RIGHT(IFERROR(INDEX(醫師週班表!$C$5:$T$44,$CU25,BG$57),""),1)="~",BG$58=1),"",LEFT(IFERROR(INDEX(醫師週班表!$C$5:$T$44,$CU25,BG$57),""),1)),IFERROR(INDEX(醫師週班表!$C$5:$T$44,$CU25,BG$57),""))))))</f>
        <v/>
      </c>
      <c r="BH25" s="68">
        <f>IF(BH$59="X","",IF(BH$59&lt;&gt;"",BH$59,IF(IFERROR(INDEX(醫師週班表!$C$5:$T$44,$CU25,BH$57),"")=0,"",IF(LEN(IFERROR(INDEX(醫師週班表!$C$5:$T$44,$CU25,BH$57),""))=4,MID(IFERROR(INDEX(醫師週班表!$C$5:$T$44,$CU25,BH$57),""),1+BH$58*2,1),IF(LEN(IFERROR(INDEX(醫師週班表!$C$5:$T$44,$CU25,BH$57),""))=2,IF(AND(RIGHT(IFERROR(INDEX(醫師週班表!$C$5:$T$44,$CU25,BH$57),""),1)="~",BH$58=1),"",LEFT(IFERROR(INDEX(醫師週班表!$C$5:$T$44,$CU25,BH$57),""),1)),IFERROR(INDEX(醫師週班表!$C$5:$T$44,$CU25,BH$57),""))))))</f>
        <v/>
      </c>
      <c r="BI25" s="68">
        <f>IF(BI$59="X","",IF(BI$59&lt;&gt;"",BI$59,IF(IFERROR(INDEX(醫師週班表!$C$5:$T$44,$CU25,BI$57),"")=0,"",IF(LEN(IFERROR(INDEX(醫師週班表!$C$5:$T$44,$CU25,BI$57),""))=4,MID(IFERROR(INDEX(醫師週班表!$C$5:$T$44,$CU25,BI$57),""),1+BI$58*2,1),IF(LEN(IFERROR(INDEX(醫師週班表!$C$5:$T$44,$CU25,BI$57),""))=2,IF(AND(RIGHT(IFERROR(INDEX(醫師週班表!$C$5:$T$44,$CU25,BI$57),""),1)="~",BI$58=1),"",LEFT(IFERROR(INDEX(醫師週班表!$C$5:$T$44,$CU25,BI$57),""),1)),IFERROR(INDEX(醫師週班表!$C$5:$T$44,$CU25,BI$57),""))))))</f>
        <v/>
      </c>
      <c r="BJ25" s="67">
        <f>IF(BJ$59="X","",IF(BJ$59&lt;&gt;"",BJ$59,IF(IFERROR(INDEX(醫師週班表!$C$5:$T$44,$CU25,BJ$57),"")=0,"",IF(LEN(IFERROR(INDEX(醫師週班表!$C$5:$T$44,$CU25,BJ$57),""))=4,MID(IFERROR(INDEX(醫師週班表!$C$5:$T$44,$CU25,BJ$57),""),1+BJ$58*2,1),IF(LEN(IFERROR(INDEX(醫師週班表!$C$5:$T$44,$CU25,BJ$57),""))=2,IF(AND(RIGHT(IFERROR(INDEX(醫師週班表!$C$5:$T$44,$CU25,BJ$57),""),1)="~",BJ$58=1),"",LEFT(IFERROR(INDEX(醫師週班表!$C$5:$T$44,$CU25,BJ$57),""),1)),IFERROR(INDEX(醫師週班表!$C$5:$T$44,$CU25,BJ$57),""))))))</f>
        <v/>
      </c>
      <c r="BK25" s="68">
        <f>IF(BK$59="X","",IF(BK$59&lt;&gt;"",BK$59,IF(IFERROR(INDEX(醫師週班表!$C$5:$T$44,$CU25,BK$57),"")=0,"",IF(LEN(IFERROR(INDEX(醫師週班表!$C$5:$T$44,$CU25,BK$57),""))=4,MID(IFERROR(INDEX(醫師週班表!$C$5:$T$44,$CU25,BK$57),""),1+BK$58*2,1),IF(LEN(IFERROR(INDEX(醫師週班表!$C$5:$T$44,$CU25,BK$57),""))=2,IF(AND(RIGHT(IFERROR(INDEX(醫師週班表!$C$5:$T$44,$CU25,BK$57),""),1)="~",BK$58=1),"",LEFT(IFERROR(INDEX(醫師週班表!$C$5:$T$44,$CU25,BK$57),""),1)),IFERROR(INDEX(醫師週班表!$C$5:$T$44,$CU25,BK$57),""))))))</f>
        <v/>
      </c>
      <c r="BL25" s="68">
        <f>IF(BL$59="X","",IF(BL$59&lt;&gt;"",BL$59,IF(IFERROR(INDEX(醫師週班表!$C$5:$T$44,$CU25,BL$57),"")=0,"",IF(LEN(IFERROR(INDEX(醫師週班表!$C$5:$T$44,$CU25,BL$57),""))=4,MID(IFERROR(INDEX(醫師週班表!$C$5:$T$44,$CU25,BL$57),""),1+BL$58*2,1),IF(LEN(IFERROR(INDEX(醫師週班表!$C$5:$T$44,$CU25,BL$57),""))=2,IF(AND(RIGHT(IFERROR(INDEX(醫師週班表!$C$5:$T$44,$CU25,BL$57),""),1)="~",BL$58=1),"",LEFT(IFERROR(INDEX(醫師週班表!$C$5:$T$44,$CU25,BL$57),""),1)),IFERROR(INDEX(醫師週班表!$C$5:$T$44,$CU25,BL$57),""))))))</f>
        <v/>
      </c>
      <c r="BM25" s="67">
        <f>IF(BM$59="X","",IF(BM$59&lt;&gt;"",BM$59,IF(IFERROR(INDEX(醫師週班表!$C$5:$T$44,$CU25,BM$57),"")=0,"",IF(LEN(IFERROR(INDEX(醫師週班表!$C$5:$T$44,$CU25,BM$57),""))=4,MID(IFERROR(INDEX(醫師週班表!$C$5:$T$44,$CU25,BM$57),""),1+BM$58*2,1),IF(LEN(IFERROR(INDEX(醫師週班表!$C$5:$T$44,$CU25,BM$57),""))=2,IF(AND(RIGHT(IFERROR(INDEX(醫師週班表!$C$5:$T$44,$CU25,BM$57),""),1)="~",BM$58=1),"",LEFT(IFERROR(INDEX(醫師週班表!$C$5:$T$44,$CU25,BM$57),""),1)),IFERROR(INDEX(醫師週班表!$C$5:$T$44,$CU25,BM$57),""))))))</f>
        <v/>
      </c>
      <c r="BN25" s="68">
        <f>IF(BN$59="X","",IF(BN$59&lt;&gt;"",BN$59,IF(IFERROR(INDEX(醫師週班表!$C$5:$T$44,$CU25,BN$57),"")=0,"",IF(LEN(IFERROR(INDEX(醫師週班表!$C$5:$T$44,$CU25,BN$57),""))=4,MID(IFERROR(INDEX(醫師週班表!$C$5:$T$44,$CU25,BN$57),""),1+BN$58*2,1),IF(LEN(IFERROR(INDEX(醫師週班表!$C$5:$T$44,$CU25,BN$57),""))=2,IF(AND(RIGHT(IFERROR(INDEX(醫師週班表!$C$5:$T$44,$CU25,BN$57),""),1)="~",BN$58=1),"",LEFT(IFERROR(INDEX(醫師週班表!$C$5:$T$44,$CU25,BN$57),""),1)),IFERROR(INDEX(醫師週班表!$C$5:$T$44,$CU25,BN$57),""))))))</f>
        <v/>
      </c>
      <c r="BO25" s="68">
        <f>IF(BO$59="X","",IF(BO$59&lt;&gt;"",BO$59,IF(IFERROR(INDEX(醫師週班表!$C$5:$T$44,$CU25,BO$57),"")=0,"",IF(LEN(IFERROR(INDEX(醫師週班表!$C$5:$T$44,$CU25,BO$57),""))=4,MID(IFERROR(INDEX(醫師週班表!$C$5:$T$44,$CU25,BO$57),""),1+BO$58*2,1),IF(LEN(IFERROR(INDEX(醫師週班表!$C$5:$T$44,$CU25,BO$57),""))=2,IF(AND(RIGHT(IFERROR(INDEX(醫師週班表!$C$5:$T$44,$CU25,BO$57),""),1)="~",BO$58=1),"",LEFT(IFERROR(INDEX(醫師週班表!$C$5:$T$44,$CU25,BO$57),""),1)),IFERROR(INDEX(醫師週班表!$C$5:$T$44,$CU25,BO$57),""))))))</f>
        <v/>
      </c>
      <c r="BP25" s="67">
        <f>IF(BP$59="X","",IF(BP$59&lt;&gt;"",BP$59,IF(IFERROR(INDEX(醫師週班表!$C$5:$T$44,$CU25,BP$57),"")=0,"",IF(LEN(IFERROR(INDEX(醫師週班表!$C$5:$T$44,$CU25,BP$57),""))=4,MID(IFERROR(INDEX(醫師週班表!$C$5:$T$44,$CU25,BP$57),""),1+BP$58*2,1),IF(LEN(IFERROR(INDEX(醫師週班表!$C$5:$T$44,$CU25,BP$57),""))=2,IF(AND(RIGHT(IFERROR(INDEX(醫師週班表!$C$5:$T$44,$CU25,BP$57),""),1)="~",BP$58=1),"",LEFT(IFERROR(INDEX(醫師週班表!$C$5:$T$44,$CU25,BP$57),""),1)),IFERROR(INDEX(醫師週班表!$C$5:$T$44,$CU25,BP$57),""))))))</f>
        <v/>
      </c>
      <c r="BQ25" s="68">
        <f>IF(BQ$59="X","",IF(BQ$59&lt;&gt;"",BQ$59,IF(IFERROR(INDEX(醫師週班表!$C$5:$T$44,$CU25,BQ$57),"")=0,"",IF(LEN(IFERROR(INDEX(醫師週班表!$C$5:$T$44,$CU25,BQ$57),""))=4,MID(IFERROR(INDEX(醫師週班表!$C$5:$T$44,$CU25,BQ$57),""),1+BQ$58*2,1),IF(LEN(IFERROR(INDEX(醫師週班表!$C$5:$T$44,$CU25,BQ$57),""))=2,IF(AND(RIGHT(IFERROR(INDEX(醫師週班表!$C$5:$T$44,$CU25,BQ$57),""),1)="~",BQ$58=1),"",LEFT(IFERROR(INDEX(醫師週班表!$C$5:$T$44,$CU25,BQ$57),""),1)),IFERROR(INDEX(醫師週班表!$C$5:$T$44,$CU25,BQ$57),""))))))</f>
        <v/>
      </c>
      <c r="BR25" s="68">
        <f>IF(BR$59="X","",IF(BR$59&lt;&gt;"",BR$59,IF(IFERROR(INDEX(醫師週班表!$C$5:$T$44,$CU25,BR$57),"")=0,"",IF(LEN(IFERROR(INDEX(醫師週班表!$C$5:$T$44,$CU25,BR$57),""))=4,MID(IFERROR(INDEX(醫師週班表!$C$5:$T$44,$CU25,BR$57),""),1+BR$58*2,1),IF(LEN(IFERROR(INDEX(醫師週班表!$C$5:$T$44,$CU25,BR$57),""))=2,IF(AND(RIGHT(IFERROR(INDEX(醫師週班表!$C$5:$T$44,$CU25,BR$57),""),1)="~",BR$58=1),"",LEFT(IFERROR(INDEX(醫師週班表!$C$5:$T$44,$CU25,BR$57),""),1)),IFERROR(INDEX(醫師週班表!$C$5:$T$44,$CU25,BR$57),""))))))</f>
        <v/>
      </c>
      <c r="BS25" s="67">
        <f>IF(BS$59="X","",IF(BS$59&lt;&gt;"",BS$59,IF(IFERROR(INDEX(醫師週班表!$C$5:$T$44,$CU25,BS$57),"")=0,"",IF(LEN(IFERROR(INDEX(醫師週班表!$C$5:$T$44,$CU25,BS$57),""))=4,MID(IFERROR(INDEX(醫師週班表!$C$5:$T$44,$CU25,BS$57),""),1+BS$58*2,1),IF(LEN(IFERROR(INDEX(醫師週班表!$C$5:$T$44,$CU25,BS$57),""))=2,IF(AND(RIGHT(IFERROR(INDEX(醫師週班表!$C$5:$T$44,$CU25,BS$57),""),1)="~",BS$58=1),"",LEFT(IFERROR(INDEX(醫師週班表!$C$5:$T$44,$CU25,BS$57),""),1)),IFERROR(INDEX(醫師週班表!$C$5:$T$44,$CU25,BS$57),""))))))</f>
        <v/>
      </c>
      <c r="BT25" s="68">
        <f>IF(BT$59="X","",IF(BT$59&lt;&gt;"",BT$59,IF(IFERROR(INDEX(醫師週班表!$C$5:$T$44,$CU25,BT$57),"")=0,"",IF(LEN(IFERROR(INDEX(醫師週班表!$C$5:$T$44,$CU25,BT$57),""))=4,MID(IFERROR(INDEX(醫師週班表!$C$5:$T$44,$CU25,BT$57),""),1+BT$58*2,1),IF(LEN(IFERROR(INDEX(醫師週班表!$C$5:$T$44,$CU25,BT$57),""))=2,IF(AND(RIGHT(IFERROR(INDEX(醫師週班表!$C$5:$T$44,$CU25,BT$57),""),1)="~",BT$58=1),"",LEFT(IFERROR(INDEX(醫師週班表!$C$5:$T$44,$CU25,BT$57),""),1)),IFERROR(INDEX(醫師週班表!$C$5:$T$44,$CU25,BT$57),""))))))</f>
        <v/>
      </c>
      <c r="BU25" s="68">
        <f>IF(BU$59="X","",IF(BU$59&lt;&gt;"",BU$59,IF(IFERROR(INDEX(醫師週班表!$C$5:$T$44,$CU25,BU$57),"")=0,"",IF(LEN(IFERROR(INDEX(醫師週班表!$C$5:$T$44,$CU25,BU$57),""))=4,MID(IFERROR(INDEX(醫師週班表!$C$5:$T$44,$CU25,BU$57),""),1+BU$58*2,1),IF(LEN(IFERROR(INDEX(醫師週班表!$C$5:$T$44,$CU25,BU$57),""))=2,IF(AND(RIGHT(IFERROR(INDEX(醫師週班表!$C$5:$T$44,$CU25,BU$57),""),1)="~",BU$58=1),"",LEFT(IFERROR(INDEX(醫師週班表!$C$5:$T$44,$CU25,BU$57),""),1)),IFERROR(INDEX(醫師週班表!$C$5:$T$44,$CU25,BU$57),""))))))</f>
        <v/>
      </c>
      <c r="BV25" s="67">
        <f>IF(BV$59="X","",IF(BV$59&lt;&gt;"",BV$59,IF(IFERROR(INDEX(醫師週班表!$C$5:$T$44,$CU25,BV$57),"")=0,"",IF(LEN(IFERROR(INDEX(醫師週班表!$C$5:$T$44,$CU25,BV$57),""))=4,MID(IFERROR(INDEX(醫師週班表!$C$5:$T$44,$CU25,BV$57),""),1+BV$58*2,1),IF(LEN(IFERROR(INDEX(醫師週班表!$C$5:$T$44,$CU25,BV$57),""))=2,IF(AND(RIGHT(IFERROR(INDEX(醫師週班表!$C$5:$T$44,$CU25,BV$57),""),1)="~",BV$58=1),"",LEFT(IFERROR(INDEX(醫師週班表!$C$5:$T$44,$CU25,BV$57),""),1)),IFERROR(INDEX(醫師週班表!$C$5:$T$44,$CU25,BV$57),""))))))</f>
        <v/>
      </c>
      <c r="BW25" s="68">
        <f>IF(BW$59="X","",IF(BW$59&lt;&gt;"",BW$59,IF(IFERROR(INDEX(醫師週班表!$C$5:$T$44,$CU25,BW$57),"")=0,"",IF(LEN(IFERROR(INDEX(醫師週班表!$C$5:$T$44,$CU25,BW$57),""))=4,MID(IFERROR(INDEX(醫師週班表!$C$5:$T$44,$CU25,BW$57),""),1+BW$58*2,1),IF(LEN(IFERROR(INDEX(醫師週班表!$C$5:$T$44,$CU25,BW$57),""))=2,IF(AND(RIGHT(IFERROR(INDEX(醫師週班表!$C$5:$T$44,$CU25,BW$57),""),1)="~",BW$58=1),"",LEFT(IFERROR(INDEX(醫師週班表!$C$5:$T$44,$CU25,BW$57),""),1)),IFERROR(INDEX(醫師週班表!$C$5:$T$44,$CU25,BW$57),""))))))</f>
        <v/>
      </c>
      <c r="BX25" s="68">
        <f>IF(BX$59="X","",IF(BX$59&lt;&gt;"",BX$59,IF(IFERROR(INDEX(醫師週班表!$C$5:$T$44,$CU25,BX$57),"")=0,"",IF(LEN(IFERROR(INDEX(醫師週班表!$C$5:$T$44,$CU25,BX$57),""))=4,MID(IFERROR(INDEX(醫師週班表!$C$5:$T$44,$CU25,BX$57),""),1+BX$58*2,1),IF(LEN(IFERROR(INDEX(醫師週班表!$C$5:$T$44,$CU25,BX$57),""))=2,IF(AND(RIGHT(IFERROR(INDEX(醫師週班表!$C$5:$T$44,$CU25,BX$57),""),1)="~",BX$58=1),"",LEFT(IFERROR(INDEX(醫師週班表!$C$5:$T$44,$CU25,BX$57),""),1)),IFERROR(INDEX(醫師週班表!$C$5:$T$44,$CU25,BX$57),""))))))</f>
        <v/>
      </c>
      <c r="BY25" s="67">
        <f>IF(BY$59="X","",IF(BY$59&lt;&gt;"",BY$59,IF(IFERROR(INDEX(醫師週班表!$C$5:$T$44,$CU25,BY$57),"")=0,"",IF(LEN(IFERROR(INDEX(醫師週班表!$C$5:$T$44,$CU25,BY$57),""))=4,MID(IFERROR(INDEX(醫師週班表!$C$5:$T$44,$CU25,BY$57),""),1+BY$58*2,1),IF(LEN(IFERROR(INDEX(醫師週班表!$C$5:$T$44,$CU25,BY$57),""))=2,IF(AND(RIGHT(IFERROR(INDEX(醫師週班表!$C$5:$T$44,$CU25,BY$57),""),1)="~",BY$58=1),"",LEFT(IFERROR(INDEX(醫師週班表!$C$5:$T$44,$CU25,BY$57),""),1)),IFERROR(INDEX(醫師週班表!$C$5:$T$44,$CU25,BY$57),""))))))</f>
        <v/>
      </c>
      <c r="BZ25" s="68">
        <f>IF(BZ$59="X","",IF(BZ$59&lt;&gt;"",BZ$59,IF(IFERROR(INDEX(醫師週班表!$C$5:$T$44,$CU25,BZ$57),"")=0,"",IF(LEN(IFERROR(INDEX(醫師週班表!$C$5:$T$44,$CU25,BZ$57),""))=4,MID(IFERROR(INDEX(醫師週班表!$C$5:$T$44,$CU25,BZ$57),""),1+BZ$58*2,1),IF(LEN(IFERROR(INDEX(醫師週班表!$C$5:$T$44,$CU25,BZ$57),""))=2,IF(AND(RIGHT(IFERROR(INDEX(醫師週班表!$C$5:$T$44,$CU25,BZ$57),""),1)="~",BZ$58=1),"",LEFT(IFERROR(INDEX(醫師週班表!$C$5:$T$44,$CU25,BZ$57),""),1)),IFERROR(INDEX(醫師週班表!$C$5:$T$44,$CU25,BZ$57),""))))))</f>
        <v/>
      </c>
      <c r="CA25" s="68">
        <f>IF(CA$59="X","",IF(CA$59&lt;&gt;"",CA$59,IF(IFERROR(INDEX(醫師週班表!$C$5:$T$44,$CU25,CA$57),"")=0,"",IF(LEN(IFERROR(INDEX(醫師週班表!$C$5:$T$44,$CU25,CA$57),""))=4,MID(IFERROR(INDEX(醫師週班表!$C$5:$T$44,$CU25,CA$57),""),1+CA$58*2,1),IF(LEN(IFERROR(INDEX(醫師週班表!$C$5:$T$44,$CU25,CA$57),""))=2,IF(AND(RIGHT(IFERROR(INDEX(醫師週班表!$C$5:$T$44,$CU25,CA$57),""),1)="~",CA$58=1),"",LEFT(IFERROR(INDEX(醫師週班表!$C$5:$T$44,$CU25,CA$57),""),1)),IFERROR(INDEX(醫師週班表!$C$5:$T$44,$CU25,CA$57),""))))))</f>
        <v/>
      </c>
      <c r="CB25" s="67">
        <f>IF(CB$59="X","",IF(CB$59&lt;&gt;"",CB$59,IF(IFERROR(INDEX(醫師週班表!$C$5:$T$44,$CU25,CB$57),"")=0,"",IF(LEN(IFERROR(INDEX(醫師週班表!$C$5:$T$44,$CU25,CB$57),""))=4,MID(IFERROR(INDEX(醫師週班表!$C$5:$T$44,$CU25,CB$57),""),1+CB$58*2,1),IF(LEN(IFERROR(INDEX(醫師週班表!$C$5:$T$44,$CU25,CB$57),""))=2,IF(AND(RIGHT(IFERROR(INDEX(醫師週班表!$C$5:$T$44,$CU25,CB$57),""),1)="~",CB$58=1),"",LEFT(IFERROR(INDEX(醫師週班表!$C$5:$T$44,$CU25,CB$57),""),1)),IFERROR(INDEX(醫師週班表!$C$5:$T$44,$CU25,CB$57),""))))))</f>
        <v/>
      </c>
      <c r="CC25" s="68">
        <f>IF(CC$59="X","",IF(CC$59&lt;&gt;"",CC$59,IF(IFERROR(INDEX(醫師週班表!$C$5:$T$44,$CU25,CC$57),"")=0,"",IF(LEN(IFERROR(INDEX(醫師週班表!$C$5:$T$44,$CU25,CC$57),""))=4,MID(IFERROR(INDEX(醫師週班表!$C$5:$T$44,$CU25,CC$57),""),1+CC$58*2,1),IF(LEN(IFERROR(INDEX(醫師週班表!$C$5:$T$44,$CU25,CC$57),""))=2,IF(AND(RIGHT(IFERROR(INDEX(醫師週班表!$C$5:$T$44,$CU25,CC$57),""),1)="~",CC$58=1),"",LEFT(IFERROR(INDEX(醫師週班表!$C$5:$T$44,$CU25,CC$57),""),1)),IFERROR(INDEX(醫師週班表!$C$5:$T$44,$CU25,CC$57),""))))))</f>
        <v/>
      </c>
      <c r="CD25" s="68">
        <f>IF(CD$59="X","",IF(CD$59&lt;&gt;"",CD$59,IF(IFERROR(INDEX(醫師週班表!$C$5:$T$44,$CU25,CD$57),"")=0,"",IF(LEN(IFERROR(INDEX(醫師週班表!$C$5:$T$44,$CU25,CD$57),""))=4,MID(IFERROR(INDEX(醫師週班表!$C$5:$T$44,$CU25,CD$57),""),1+CD$58*2,1),IF(LEN(IFERROR(INDEX(醫師週班表!$C$5:$T$44,$CU25,CD$57),""))=2,IF(AND(RIGHT(IFERROR(INDEX(醫師週班表!$C$5:$T$44,$CU25,CD$57),""),1)="~",CD$58=1),"",LEFT(IFERROR(INDEX(醫師週班表!$C$5:$T$44,$CU25,CD$57),""),1)),IFERROR(INDEX(醫師週班表!$C$5:$T$44,$CU25,CD$57),""))))))</f>
        <v/>
      </c>
      <c r="CE25" s="67">
        <f>IF(CE$59="X","",IF(CE$59&lt;&gt;"",CE$59,IF(IFERROR(INDEX(醫師週班表!$C$5:$T$44,$CU25,CE$57),"")=0,"",IF(LEN(IFERROR(INDEX(醫師週班表!$C$5:$T$44,$CU25,CE$57),""))=4,MID(IFERROR(INDEX(醫師週班表!$C$5:$T$44,$CU25,CE$57),""),1+CE$58*2,1),IF(LEN(IFERROR(INDEX(醫師週班表!$C$5:$T$44,$CU25,CE$57),""))=2,IF(AND(RIGHT(IFERROR(INDEX(醫師週班表!$C$5:$T$44,$CU25,CE$57),""),1)="~",CE$58=1),"",LEFT(IFERROR(INDEX(醫師週班表!$C$5:$T$44,$CU25,CE$57),""),1)),IFERROR(INDEX(醫師週班表!$C$5:$T$44,$CU25,CE$57),""))))))</f>
        <v/>
      </c>
      <c r="CF25" s="68">
        <f>IF(CF$59="X","",IF(CF$59&lt;&gt;"",CF$59,IF(IFERROR(INDEX(醫師週班表!$C$5:$T$44,$CU25,CF$57),"")=0,"",IF(LEN(IFERROR(INDEX(醫師週班表!$C$5:$T$44,$CU25,CF$57),""))=4,MID(IFERROR(INDEX(醫師週班表!$C$5:$T$44,$CU25,CF$57),""),1+CF$58*2,1),IF(LEN(IFERROR(INDEX(醫師週班表!$C$5:$T$44,$CU25,CF$57),""))=2,IF(AND(RIGHT(IFERROR(INDEX(醫師週班表!$C$5:$T$44,$CU25,CF$57),""),1)="~",CF$58=1),"",LEFT(IFERROR(INDEX(醫師週班表!$C$5:$T$44,$CU25,CF$57),""),1)),IFERROR(INDEX(醫師週班表!$C$5:$T$44,$CU25,CF$57),""))))))</f>
        <v/>
      </c>
      <c r="CG25" s="68">
        <f>IF(CG$59="X","",IF(CG$59&lt;&gt;"",CG$59,IF(IFERROR(INDEX(醫師週班表!$C$5:$T$44,$CU25,CG$57),"")=0,"",IF(LEN(IFERROR(INDEX(醫師週班表!$C$5:$T$44,$CU25,CG$57),""))=4,MID(IFERROR(INDEX(醫師週班表!$C$5:$T$44,$CU25,CG$57),""),1+CG$58*2,1),IF(LEN(IFERROR(INDEX(醫師週班表!$C$5:$T$44,$CU25,CG$57),""))=2,IF(AND(RIGHT(IFERROR(INDEX(醫師週班表!$C$5:$T$44,$CU25,CG$57),""),1)="~",CG$58=1),"",LEFT(IFERROR(INDEX(醫師週班表!$C$5:$T$44,$CU25,CG$57),""),1)),IFERROR(INDEX(醫師週班表!$C$5:$T$44,$CU25,CG$57),""))))))</f>
        <v/>
      </c>
      <c r="CH25" s="67">
        <f>IF(CH$59="X","",IF(CH$59&lt;&gt;"",CH$59,IF(IFERROR(INDEX(醫師週班表!$C$5:$T$44,$CU25,CH$57),"")=0,"",IF(LEN(IFERROR(INDEX(醫師週班表!$C$5:$T$44,$CU25,CH$57),""))=4,MID(IFERROR(INDEX(醫師週班表!$C$5:$T$44,$CU25,CH$57),""),1+CH$58*2,1),IF(LEN(IFERROR(INDEX(醫師週班表!$C$5:$T$44,$CU25,CH$57),""))=2,IF(AND(RIGHT(IFERROR(INDEX(醫師週班表!$C$5:$T$44,$CU25,CH$57),""),1)="~",CH$58=1),"",LEFT(IFERROR(INDEX(醫師週班表!$C$5:$T$44,$CU25,CH$57),""),1)),IFERROR(INDEX(醫師週班表!$C$5:$T$44,$CU25,CH$57),""))))))</f>
        <v/>
      </c>
      <c r="CI25" s="68">
        <f>IF(CI$59="X","",IF(CI$59&lt;&gt;"",CI$59,IF(IFERROR(INDEX(醫師週班表!$C$5:$T$44,$CU25,CI$57),"")=0,"",IF(LEN(IFERROR(INDEX(醫師週班表!$C$5:$T$44,$CU25,CI$57),""))=4,MID(IFERROR(INDEX(醫師週班表!$C$5:$T$44,$CU25,CI$57),""),1+CI$58*2,1),IF(LEN(IFERROR(INDEX(醫師週班表!$C$5:$T$44,$CU25,CI$57),""))=2,IF(AND(RIGHT(IFERROR(INDEX(醫師週班表!$C$5:$T$44,$CU25,CI$57),""),1)="~",CI$58=1),"",LEFT(IFERROR(INDEX(醫師週班表!$C$5:$T$44,$CU25,CI$57),""),1)),IFERROR(INDEX(醫師週班表!$C$5:$T$44,$CU25,CI$57),""))))))</f>
        <v/>
      </c>
      <c r="CJ25" s="68">
        <f>IF(CJ$59="X","",IF(CJ$59&lt;&gt;"",CJ$59,IF(IFERROR(INDEX(醫師週班表!$C$5:$T$44,$CU25,CJ$57),"")=0,"",IF(LEN(IFERROR(INDEX(醫師週班表!$C$5:$T$44,$CU25,CJ$57),""))=4,MID(IFERROR(INDEX(醫師週班表!$C$5:$T$44,$CU25,CJ$57),""),1+CJ$58*2,1),IF(LEN(IFERROR(INDEX(醫師週班表!$C$5:$T$44,$CU25,CJ$57),""))=2,IF(AND(RIGHT(IFERROR(INDEX(醫師週班表!$C$5:$T$44,$CU25,CJ$57),""),1)="~",CJ$58=1),"",LEFT(IFERROR(INDEX(醫師週班表!$C$5:$T$44,$CU25,CJ$57),""),1)),IFERROR(INDEX(醫師週班表!$C$5:$T$44,$CU25,CJ$57),""))))))</f>
        <v/>
      </c>
      <c r="CK25" s="67">
        <f>IF(CK$59="X","",IF(CK$59&lt;&gt;"",CK$59,IF(IFERROR(INDEX(醫師週班表!$C$5:$T$44,$CU25,CK$57),"")=0,"",IF(LEN(IFERROR(INDEX(醫師週班表!$C$5:$T$44,$CU25,CK$57),""))=4,MID(IFERROR(INDEX(醫師週班表!$C$5:$T$44,$CU25,CK$57),""),1+CK$58*2,1),IF(LEN(IFERROR(INDEX(醫師週班表!$C$5:$T$44,$CU25,CK$57),""))=2,IF(AND(RIGHT(IFERROR(INDEX(醫師週班表!$C$5:$T$44,$CU25,CK$57),""),1)="~",CK$58=1),"",LEFT(IFERROR(INDEX(醫師週班表!$C$5:$T$44,$CU25,CK$57),""),1)),IFERROR(INDEX(醫師週班表!$C$5:$T$44,$CU25,CK$57),""))))))</f>
        <v/>
      </c>
      <c r="CL25" s="68">
        <f>IF(CL$59="X","",IF(CL$59&lt;&gt;"",CL$59,IF(IFERROR(INDEX(醫師週班表!$C$5:$T$44,$CU25,CL$57),"")=0,"",IF(LEN(IFERROR(INDEX(醫師週班表!$C$5:$T$44,$CU25,CL$57),""))=4,MID(IFERROR(INDEX(醫師週班表!$C$5:$T$44,$CU25,CL$57),""),1+CL$58*2,1),IF(LEN(IFERROR(INDEX(醫師週班表!$C$5:$T$44,$CU25,CL$57),""))=2,IF(AND(RIGHT(IFERROR(INDEX(醫師週班表!$C$5:$T$44,$CU25,CL$57),""),1)="~",CL$58=1),"",LEFT(IFERROR(INDEX(醫師週班表!$C$5:$T$44,$CU25,CL$57),""),1)),IFERROR(INDEX(醫師週班表!$C$5:$T$44,$CU25,CL$57),""))))))</f>
        <v/>
      </c>
      <c r="CM25" s="68">
        <f>IF(CM$59="X","",IF(CM$59&lt;&gt;"",CM$59,IF(IFERROR(INDEX(醫師週班表!$C$5:$T$44,$CU25,CM$57),"")=0,"",IF(LEN(IFERROR(INDEX(醫師週班表!$C$5:$T$44,$CU25,CM$57),""))=4,MID(IFERROR(INDEX(醫師週班表!$C$5:$T$44,$CU25,CM$57),""),1+CM$58*2,1),IF(LEN(IFERROR(INDEX(醫師週班表!$C$5:$T$44,$CU25,CM$57),""))=2,IF(AND(RIGHT(IFERROR(INDEX(醫師週班表!$C$5:$T$44,$CU25,CM$57),""),1)="~",CM$58=1),"",LEFT(IFERROR(INDEX(醫師週班表!$C$5:$T$44,$CU25,CM$57),""),1)),IFERROR(INDEX(醫師週班表!$C$5:$T$44,$CU25,CM$57),""))))))</f>
        <v/>
      </c>
      <c r="CN25" s="67">
        <f>IF(CN$59="X","",IF(CN$59&lt;&gt;"",CN$59,IF(IFERROR(INDEX(醫師週班表!$C$5:$T$44,$CU25,CN$57),"")=0,"",IF(LEN(IFERROR(INDEX(醫師週班表!$C$5:$T$44,$CU25,CN$57),""))=4,MID(IFERROR(INDEX(醫師週班表!$C$5:$T$44,$CU25,CN$57),""),1+CN$58*2,1),IF(LEN(IFERROR(INDEX(醫師週班表!$C$5:$T$44,$CU25,CN$57),""))=2,IF(AND(RIGHT(IFERROR(INDEX(醫師週班表!$C$5:$T$44,$CU25,CN$57),""),1)="~",CN$58=1),"",LEFT(IFERROR(INDEX(醫師週班表!$C$5:$T$44,$CU25,CN$57),""),1)),IFERROR(INDEX(醫師週班表!$C$5:$T$44,$CU25,CN$57),""))))))</f>
        <v/>
      </c>
      <c r="CO25" s="68">
        <f>IF(CO$59="X","",IF(CO$59&lt;&gt;"",CO$59,IF(IFERROR(INDEX(醫師週班表!$C$5:$T$44,$CU25,CO$57),"")=0,"",IF(LEN(IFERROR(INDEX(醫師週班表!$C$5:$T$44,$CU25,CO$57),""))=4,MID(IFERROR(INDEX(醫師週班表!$C$5:$T$44,$CU25,CO$57),""),1+CO$58*2,1),IF(LEN(IFERROR(INDEX(醫師週班表!$C$5:$T$44,$CU25,CO$57),""))=2,IF(AND(RIGHT(IFERROR(INDEX(醫師週班表!$C$5:$T$44,$CU25,CO$57),""),1)="~",CO$58=1),"",LEFT(IFERROR(INDEX(醫師週班表!$C$5:$T$44,$CU25,CO$57),""),1)),IFERROR(INDEX(醫師週班表!$C$5:$T$44,$CU25,CO$57),""))))))</f>
        <v/>
      </c>
      <c r="CP25" s="68">
        <f>IF(CP$59="X","",IF(CP$59&lt;&gt;"",CP$59,IF(IFERROR(INDEX(醫師週班表!$C$5:$T$44,$CU25,CP$57),"")=0,"",IF(LEN(IFERROR(INDEX(醫師週班表!$C$5:$T$44,$CU25,CP$57),""))=4,MID(IFERROR(INDEX(醫師週班表!$C$5:$T$44,$CU25,CP$57),""),1+CP$58*2,1),IF(LEN(IFERROR(INDEX(醫師週班表!$C$5:$T$44,$CU25,CP$57),""))=2,IF(AND(RIGHT(IFERROR(INDEX(醫師週班表!$C$5:$T$44,$CU25,CP$57),""),1)="~",CP$58=1),"",LEFT(IFERROR(INDEX(醫師週班表!$C$5:$T$44,$CU25,CP$57),""),1)),IFERROR(INDEX(醫師週班表!$C$5:$T$44,$CU25,CP$57),""))))))</f>
        <v/>
      </c>
      <c r="CQ25" s="67">
        <f>IF(CQ$59="X","",IF(CQ$59&lt;&gt;"",CQ$59,IF(IFERROR(INDEX(醫師週班表!$C$5:$T$44,$CU25,CQ$57),"")=0,"",IF(LEN(IFERROR(INDEX(醫師週班表!$C$5:$T$44,$CU25,CQ$57),""))=4,MID(IFERROR(INDEX(醫師週班表!$C$5:$T$44,$CU25,CQ$57),""),1+CQ$58*2,1),IF(LEN(IFERROR(INDEX(醫師週班表!$C$5:$T$44,$CU25,CQ$57),""))=2,IF(AND(RIGHT(IFERROR(INDEX(醫師週班表!$C$5:$T$44,$CU25,CQ$57),""),1)="~",CQ$58=1),"",LEFT(IFERROR(INDEX(醫師週班表!$C$5:$T$44,$CU25,CQ$57),""),1)),IFERROR(INDEX(醫師週班表!$C$5:$T$44,$CU25,CQ$57),""))))))</f>
        <v/>
      </c>
      <c r="CR25" s="68">
        <f>IF(CR$59="X","",IF(CR$59&lt;&gt;"",CR$59,IF(IFERROR(INDEX(醫師週班表!$C$5:$T$44,$CU25,CR$57),"")=0,"",IF(LEN(IFERROR(INDEX(醫師週班表!$C$5:$T$44,$CU25,CR$57),""))=4,MID(IFERROR(INDEX(醫師週班表!$C$5:$T$44,$CU25,CR$57),""),1+CR$58*2,1),IF(LEN(IFERROR(INDEX(醫師週班表!$C$5:$T$44,$CU25,CR$57),""))=2,IF(AND(RIGHT(IFERROR(INDEX(醫師週班表!$C$5:$T$44,$CU25,CR$57),""),1)="~",CR$58=1),"",LEFT(IFERROR(INDEX(醫師週班表!$C$5:$T$44,$CU25,CR$57),""),1)),IFERROR(INDEX(醫師週班表!$C$5:$T$44,$CU25,CR$57),""))))))</f>
        <v/>
      </c>
      <c r="CS25" s="68">
        <f>IF(CS$59="X","",IF(CS$59&lt;&gt;"",CS$59,IF(IFERROR(INDEX(醫師週班表!$C$5:$T$44,$CU25,CS$57),"")=0,"",IF(LEN(IFERROR(INDEX(醫師週班表!$C$5:$T$44,$CU25,CS$57),""))=4,MID(IFERROR(INDEX(醫師週班表!$C$5:$T$44,$CU25,CS$57),""),1+CS$58*2,1),IF(LEN(IFERROR(INDEX(醫師週班表!$C$5:$T$44,$CU25,CS$57),""))=2,IF(AND(RIGHT(IFERROR(INDEX(醫師週班表!$C$5:$T$44,$CU25,CS$57),""),1)="~",CS$58=1),"",LEFT(IFERROR(INDEX(醫師週班表!$C$5:$T$44,$CU25,CS$57),""),1)),IFERROR(INDEX(醫師週班表!$C$5:$T$44,$CU25,CS$57),""))))))</f>
        <v/>
      </c>
      <c r="CU25" s="69">
        <f>IFERROR(MATCH($A25,醫師週班表!$A$5:$A$44,0),0)</f>
        <v/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IFERROR(INDEX(醫師週班表!$C$5:$T$44,$CU26,E$57),"")=0,"",IF(LEN(IFERROR(INDEX(醫師週班表!$C$5:$T$44,$CU26,E$57),""))=4,MID(IFERROR(INDEX(醫師週班表!$C$5:$T$44,$CU26,E$57),""),1+E$58*2,1),IF(LEN(IFERROR(INDEX(醫師週班表!$C$5:$T$44,$CU26,E$57),""))=2,IF(AND(RIGHT(IFERROR(INDEX(醫師週班表!$C$5:$T$44,$CU26,E$57),""),1)="~",E$58=1),"",LEFT(IFERROR(INDEX(醫師週班表!$C$5:$T$44,$CU26,E$57),""),1)),IFERROR(INDEX(醫師週班表!$C$5:$T$44,$CU26,E$57),""))))))</f>
        <v/>
      </c>
      <c r="F26" s="68">
        <f>IF(F$59="X","",IF(F$59&lt;&gt;"",F$59,IF(IFERROR(INDEX(醫師週班表!$C$5:$T$44,$CU26,F$57),"")=0,"",IF(LEN(IFERROR(INDEX(醫師週班表!$C$5:$T$44,$CU26,F$57),""))=4,MID(IFERROR(INDEX(醫師週班表!$C$5:$T$44,$CU26,F$57),""),1+F$58*2,1),IF(LEN(IFERROR(INDEX(醫師週班表!$C$5:$T$44,$CU26,F$57),""))=2,IF(AND(RIGHT(IFERROR(INDEX(醫師週班表!$C$5:$T$44,$CU26,F$57),""),1)="~",F$58=1),"",LEFT(IFERROR(INDEX(醫師週班表!$C$5:$T$44,$CU26,F$57),""),1)),IFERROR(INDEX(醫師週班表!$C$5:$T$44,$CU26,F$57),""))))))</f>
        <v/>
      </c>
      <c r="G26" s="68">
        <f>IF(G$59="X","",IF(G$59&lt;&gt;"",G$59,IF(IFERROR(INDEX(醫師週班表!$C$5:$T$44,$CU26,G$57),"")=0,"",IF(LEN(IFERROR(INDEX(醫師週班表!$C$5:$T$44,$CU26,G$57),""))=4,MID(IFERROR(INDEX(醫師週班表!$C$5:$T$44,$CU26,G$57),""),1+G$58*2,1),IF(LEN(IFERROR(INDEX(醫師週班表!$C$5:$T$44,$CU26,G$57),""))=2,IF(AND(RIGHT(IFERROR(INDEX(醫師週班表!$C$5:$T$44,$CU26,G$57),""),1)="~",G$58=1),"",LEFT(IFERROR(INDEX(醫師週班表!$C$5:$T$44,$CU26,G$57),""),1)),IFERROR(INDEX(醫師週班表!$C$5:$T$44,$CU26,G$57),""))))))</f>
        <v/>
      </c>
      <c r="H26" s="67">
        <f>IF(H$59="X","",IF(H$59&lt;&gt;"",H$59,IF(IFERROR(INDEX(醫師週班表!$C$5:$T$44,$CU26,H$57),"")=0,"",IF(LEN(IFERROR(INDEX(醫師週班表!$C$5:$T$44,$CU26,H$57),""))=4,MID(IFERROR(INDEX(醫師週班表!$C$5:$T$44,$CU26,H$57),""),1+H$58*2,1),IF(LEN(IFERROR(INDEX(醫師週班表!$C$5:$T$44,$CU26,H$57),""))=2,IF(AND(RIGHT(IFERROR(INDEX(醫師週班表!$C$5:$T$44,$CU26,H$57),""),1)="~",H$58=1),"",LEFT(IFERROR(INDEX(醫師週班表!$C$5:$T$44,$CU26,H$57),""),1)),IFERROR(INDEX(醫師週班表!$C$5:$T$44,$CU26,H$57),""))))))</f>
        <v/>
      </c>
      <c r="I26" s="68">
        <f>IF(I$59="X","",IF(I$59&lt;&gt;"",I$59,IF(IFERROR(INDEX(醫師週班表!$C$5:$T$44,$CU26,I$57),"")=0,"",IF(LEN(IFERROR(INDEX(醫師週班表!$C$5:$T$44,$CU26,I$57),""))=4,MID(IFERROR(INDEX(醫師週班表!$C$5:$T$44,$CU26,I$57),""),1+I$58*2,1),IF(LEN(IFERROR(INDEX(醫師週班表!$C$5:$T$44,$CU26,I$57),""))=2,IF(AND(RIGHT(IFERROR(INDEX(醫師週班表!$C$5:$T$44,$CU26,I$57),""),1)="~",I$58=1),"",LEFT(IFERROR(INDEX(醫師週班表!$C$5:$T$44,$CU26,I$57),""),1)),IFERROR(INDEX(醫師週班表!$C$5:$T$44,$CU26,I$57),""))))))</f>
        <v/>
      </c>
      <c r="J26" s="68">
        <f>IF(J$59="X","",IF(J$59&lt;&gt;"",J$59,IF(IFERROR(INDEX(醫師週班表!$C$5:$T$44,$CU26,J$57),"")=0,"",IF(LEN(IFERROR(INDEX(醫師週班表!$C$5:$T$44,$CU26,J$57),""))=4,MID(IFERROR(INDEX(醫師週班表!$C$5:$T$44,$CU26,J$57),""),1+J$58*2,1),IF(LEN(IFERROR(INDEX(醫師週班表!$C$5:$T$44,$CU26,J$57),""))=2,IF(AND(RIGHT(IFERROR(INDEX(醫師週班表!$C$5:$T$44,$CU26,J$57),""),1)="~",J$58=1),"",LEFT(IFERROR(INDEX(醫師週班表!$C$5:$T$44,$CU26,J$57),""),1)),IFERROR(INDEX(醫師週班表!$C$5:$T$44,$CU26,J$57),""))))))</f>
        <v/>
      </c>
      <c r="K26" s="67">
        <f>IF(K$59="X","",IF(K$59&lt;&gt;"",K$59,IF(IFERROR(INDEX(醫師週班表!$C$5:$T$44,$CU26,K$57),"")=0,"",IF(LEN(IFERROR(INDEX(醫師週班表!$C$5:$T$44,$CU26,K$57),""))=4,MID(IFERROR(INDEX(醫師週班表!$C$5:$T$44,$CU26,K$57),""),1+K$58*2,1),IF(LEN(IFERROR(INDEX(醫師週班表!$C$5:$T$44,$CU26,K$57),""))=2,IF(AND(RIGHT(IFERROR(INDEX(醫師週班表!$C$5:$T$44,$CU26,K$57),""),1)="~",K$58=1),"",LEFT(IFERROR(INDEX(醫師週班表!$C$5:$T$44,$CU26,K$57),""),1)),IFERROR(INDEX(醫師週班表!$C$5:$T$44,$CU26,K$57),""))))))</f>
        <v/>
      </c>
      <c r="L26" s="68">
        <f>IF(L$59="X","",IF(L$59&lt;&gt;"",L$59,IF(IFERROR(INDEX(醫師週班表!$C$5:$T$44,$CU26,L$57),"")=0,"",IF(LEN(IFERROR(INDEX(醫師週班表!$C$5:$T$44,$CU26,L$57),""))=4,MID(IFERROR(INDEX(醫師週班表!$C$5:$T$44,$CU26,L$57),""),1+L$58*2,1),IF(LEN(IFERROR(INDEX(醫師週班表!$C$5:$T$44,$CU26,L$57),""))=2,IF(AND(RIGHT(IFERROR(INDEX(醫師週班表!$C$5:$T$44,$CU26,L$57),""),1)="~",L$58=1),"",LEFT(IFERROR(INDEX(醫師週班表!$C$5:$T$44,$CU26,L$57),""),1)),IFERROR(INDEX(醫師週班表!$C$5:$T$44,$CU26,L$57),""))))))</f>
        <v/>
      </c>
      <c r="M26" s="68">
        <f>IF(M$59="X","",IF(M$59&lt;&gt;"",M$59,IF(IFERROR(INDEX(醫師週班表!$C$5:$T$44,$CU26,M$57),"")=0,"",IF(LEN(IFERROR(INDEX(醫師週班表!$C$5:$T$44,$CU26,M$57),""))=4,MID(IFERROR(INDEX(醫師週班表!$C$5:$T$44,$CU26,M$57),""),1+M$58*2,1),IF(LEN(IFERROR(INDEX(醫師週班表!$C$5:$T$44,$CU26,M$57),""))=2,IF(AND(RIGHT(IFERROR(INDEX(醫師週班表!$C$5:$T$44,$CU26,M$57),""),1)="~",M$58=1),"",LEFT(IFERROR(INDEX(醫師週班表!$C$5:$T$44,$CU26,M$57),""),1)),IFERROR(INDEX(醫師週班表!$C$5:$T$44,$CU26,M$57),""))))))</f>
        <v/>
      </c>
      <c r="N26" s="67">
        <f>IF(N$59="X","",IF(N$59&lt;&gt;"",N$59,IF(IFERROR(INDEX(醫師週班表!$C$5:$T$44,$CU26,N$57),"")=0,"",IF(LEN(IFERROR(INDEX(醫師週班表!$C$5:$T$44,$CU26,N$57),""))=4,MID(IFERROR(INDEX(醫師週班表!$C$5:$T$44,$CU26,N$57),""),1+N$58*2,1),IF(LEN(IFERROR(INDEX(醫師週班表!$C$5:$T$44,$CU26,N$57),""))=2,IF(AND(RIGHT(IFERROR(INDEX(醫師週班表!$C$5:$T$44,$CU26,N$57),""),1)="~",N$58=1),"",LEFT(IFERROR(INDEX(醫師週班表!$C$5:$T$44,$CU26,N$57),""),1)),IFERROR(INDEX(醫師週班表!$C$5:$T$44,$CU26,N$57),""))))))</f>
        <v/>
      </c>
      <c r="O26" s="68">
        <f>IF(O$59="X","",IF(O$59&lt;&gt;"",O$59,IF(IFERROR(INDEX(醫師週班表!$C$5:$T$44,$CU26,O$57),"")=0,"",IF(LEN(IFERROR(INDEX(醫師週班表!$C$5:$T$44,$CU26,O$57),""))=4,MID(IFERROR(INDEX(醫師週班表!$C$5:$T$44,$CU26,O$57),""),1+O$58*2,1),IF(LEN(IFERROR(INDEX(醫師週班表!$C$5:$T$44,$CU26,O$57),""))=2,IF(AND(RIGHT(IFERROR(INDEX(醫師週班表!$C$5:$T$44,$CU26,O$57),""),1)="~",O$58=1),"",LEFT(IFERROR(INDEX(醫師週班表!$C$5:$T$44,$CU26,O$57),""),1)),IFERROR(INDEX(醫師週班表!$C$5:$T$44,$CU26,O$57),""))))))</f>
        <v/>
      </c>
      <c r="P26" s="68">
        <f>IF(P$59="X","",IF(P$59&lt;&gt;"",P$59,IF(IFERROR(INDEX(醫師週班表!$C$5:$T$44,$CU26,P$57),"")=0,"",IF(LEN(IFERROR(INDEX(醫師週班表!$C$5:$T$44,$CU26,P$57),""))=4,MID(IFERROR(INDEX(醫師週班表!$C$5:$T$44,$CU26,P$57),""),1+P$58*2,1),IF(LEN(IFERROR(INDEX(醫師週班表!$C$5:$T$44,$CU26,P$57),""))=2,IF(AND(RIGHT(IFERROR(INDEX(醫師週班表!$C$5:$T$44,$CU26,P$57),""),1)="~",P$58=1),"",LEFT(IFERROR(INDEX(醫師週班表!$C$5:$T$44,$CU26,P$57),""),1)),IFERROR(INDEX(醫師週班表!$C$5:$T$44,$CU26,P$57),""))))))</f>
        <v/>
      </c>
      <c r="Q26" s="67">
        <f>IF(Q$59="X","",IF(Q$59&lt;&gt;"",Q$59,IF(IFERROR(INDEX(醫師週班表!$C$5:$T$44,$CU26,Q$57),"")=0,"",IF(LEN(IFERROR(INDEX(醫師週班表!$C$5:$T$44,$CU26,Q$57),""))=4,MID(IFERROR(INDEX(醫師週班表!$C$5:$T$44,$CU26,Q$57),""),1+Q$58*2,1),IF(LEN(IFERROR(INDEX(醫師週班表!$C$5:$T$44,$CU26,Q$57),""))=2,IF(AND(RIGHT(IFERROR(INDEX(醫師週班表!$C$5:$T$44,$CU26,Q$57),""),1)="~",Q$58=1),"",LEFT(IFERROR(INDEX(醫師週班表!$C$5:$T$44,$CU26,Q$57),""),1)),IFERROR(INDEX(醫師週班表!$C$5:$T$44,$CU26,Q$57),""))))))</f>
        <v/>
      </c>
      <c r="R26" s="68">
        <f>IF(R$59="X","",IF(R$59&lt;&gt;"",R$59,IF(IFERROR(INDEX(醫師週班表!$C$5:$T$44,$CU26,R$57),"")=0,"",IF(LEN(IFERROR(INDEX(醫師週班表!$C$5:$T$44,$CU26,R$57),""))=4,MID(IFERROR(INDEX(醫師週班表!$C$5:$T$44,$CU26,R$57),""),1+R$58*2,1),IF(LEN(IFERROR(INDEX(醫師週班表!$C$5:$T$44,$CU26,R$57),""))=2,IF(AND(RIGHT(IFERROR(INDEX(醫師週班表!$C$5:$T$44,$CU26,R$57),""),1)="~",R$58=1),"",LEFT(IFERROR(INDEX(醫師週班表!$C$5:$T$44,$CU26,R$57),""),1)),IFERROR(INDEX(醫師週班表!$C$5:$T$44,$CU26,R$57),""))))))</f>
        <v/>
      </c>
      <c r="S26" s="68">
        <f>IF(S$59="X","",IF(S$59&lt;&gt;"",S$59,IF(IFERROR(INDEX(醫師週班表!$C$5:$T$44,$CU26,S$57),"")=0,"",IF(LEN(IFERROR(INDEX(醫師週班表!$C$5:$T$44,$CU26,S$57),""))=4,MID(IFERROR(INDEX(醫師週班表!$C$5:$T$44,$CU26,S$57),""),1+S$58*2,1),IF(LEN(IFERROR(INDEX(醫師週班表!$C$5:$T$44,$CU26,S$57),""))=2,IF(AND(RIGHT(IFERROR(INDEX(醫師週班表!$C$5:$T$44,$CU26,S$57),""),1)="~",S$58=1),"",LEFT(IFERROR(INDEX(醫師週班表!$C$5:$T$44,$CU26,S$57),""),1)),IFERROR(INDEX(醫師週班表!$C$5:$T$44,$CU26,S$57),""))))))</f>
        <v/>
      </c>
      <c r="T26" s="67">
        <f>IF(T$59="X","",IF(T$59&lt;&gt;"",T$59,IF(IFERROR(INDEX(醫師週班表!$C$5:$T$44,$CU26,T$57),"")=0,"",IF(LEN(IFERROR(INDEX(醫師週班表!$C$5:$T$44,$CU26,T$57),""))=4,MID(IFERROR(INDEX(醫師週班表!$C$5:$T$44,$CU26,T$57),""),1+T$58*2,1),IF(LEN(IFERROR(INDEX(醫師週班表!$C$5:$T$44,$CU26,T$57),""))=2,IF(AND(RIGHT(IFERROR(INDEX(醫師週班表!$C$5:$T$44,$CU26,T$57),""),1)="~",T$58=1),"",LEFT(IFERROR(INDEX(醫師週班表!$C$5:$T$44,$CU26,T$57),""),1)),IFERROR(INDEX(醫師週班表!$C$5:$T$44,$CU26,T$57),""))))))</f>
        <v/>
      </c>
      <c r="U26" s="68">
        <f>IF(U$59="X","",IF(U$59&lt;&gt;"",U$59,IF(IFERROR(INDEX(醫師週班表!$C$5:$T$44,$CU26,U$57),"")=0,"",IF(LEN(IFERROR(INDEX(醫師週班表!$C$5:$T$44,$CU26,U$57),""))=4,MID(IFERROR(INDEX(醫師週班表!$C$5:$T$44,$CU26,U$57),""),1+U$58*2,1),IF(LEN(IFERROR(INDEX(醫師週班表!$C$5:$T$44,$CU26,U$57),""))=2,IF(AND(RIGHT(IFERROR(INDEX(醫師週班表!$C$5:$T$44,$CU26,U$57),""),1)="~",U$58=1),"",LEFT(IFERROR(INDEX(醫師週班表!$C$5:$T$44,$CU26,U$57),""),1)),IFERROR(INDEX(醫師週班表!$C$5:$T$44,$CU26,U$57),""))))))</f>
        <v/>
      </c>
      <c r="V26" s="68">
        <f>IF(V$59="X","",IF(V$59&lt;&gt;"",V$59,IF(IFERROR(INDEX(醫師週班表!$C$5:$T$44,$CU26,V$57),"")=0,"",IF(LEN(IFERROR(INDEX(醫師週班表!$C$5:$T$44,$CU26,V$57),""))=4,MID(IFERROR(INDEX(醫師週班表!$C$5:$T$44,$CU26,V$57),""),1+V$58*2,1),IF(LEN(IFERROR(INDEX(醫師週班表!$C$5:$T$44,$CU26,V$57),""))=2,IF(AND(RIGHT(IFERROR(INDEX(醫師週班表!$C$5:$T$44,$CU26,V$57),""),1)="~",V$58=1),"",LEFT(IFERROR(INDEX(醫師週班表!$C$5:$T$44,$CU26,V$57),""),1)),IFERROR(INDEX(醫師週班表!$C$5:$T$44,$CU26,V$57),""))))))</f>
        <v/>
      </c>
      <c r="W26" s="67">
        <f>IF(W$59="X","",IF(W$59&lt;&gt;"",W$59,IF(IFERROR(INDEX(醫師週班表!$C$5:$T$44,$CU26,W$57),"")=0,"",IF(LEN(IFERROR(INDEX(醫師週班表!$C$5:$T$44,$CU26,W$57),""))=4,MID(IFERROR(INDEX(醫師週班表!$C$5:$T$44,$CU26,W$57),""),1+W$58*2,1),IF(LEN(IFERROR(INDEX(醫師週班表!$C$5:$T$44,$CU26,W$57),""))=2,IF(AND(RIGHT(IFERROR(INDEX(醫師週班表!$C$5:$T$44,$CU26,W$57),""),1)="~",W$58=1),"",LEFT(IFERROR(INDEX(醫師週班表!$C$5:$T$44,$CU26,W$57),""),1)),IFERROR(INDEX(醫師週班表!$C$5:$T$44,$CU26,W$57),""))))))</f>
        <v/>
      </c>
      <c r="X26" s="68">
        <f>IF(X$59="X","",IF(X$59&lt;&gt;"",X$59,IF(IFERROR(INDEX(醫師週班表!$C$5:$T$44,$CU26,X$57),"")=0,"",IF(LEN(IFERROR(INDEX(醫師週班表!$C$5:$T$44,$CU26,X$57),""))=4,MID(IFERROR(INDEX(醫師週班表!$C$5:$T$44,$CU26,X$57),""),1+X$58*2,1),IF(LEN(IFERROR(INDEX(醫師週班表!$C$5:$T$44,$CU26,X$57),""))=2,IF(AND(RIGHT(IFERROR(INDEX(醫師週班表!$C$5:$T$44,$CU26,X$57),""),1)="~",X$58=1),"",LEFT(IFERROR(INDEX(醫師週班表!$C$5:$T$44,$CU26,X$57),""),1)),IFERROR(INDEX(醫師週班表!$C$5:$T$44,$CU26,X$57),""))))))</f>
        <v/>
      </c>
      <c r="Y26" s="68">
        <f>IF(Y$59="X","",IF(Y$59&lt;&gt;"",Y$59,IF(IFERROR(INDEX(醫師週班表!$C$5:$T$44,$CU26,Y$57),"")=0,"",IF(LEN(IFERROR(INDEX(醫師週班表!$C$5:$T$44,$CU26,Y$57),""))=4,MID(IFERROR(INDEX(醫師週班表!$C$5:$T$44,$CU26,Y$57),""),1+Y$58*2,1),IF(LEN(IFERROR(INDEX(醫師週班表!$C$5:$T$44,$CU26,Y$57),""))=2,IF(AND(RIGHT(IFERROR(INDEX(醫師週班表!$C$5:$T$44,$CU26,Y$57),""),1)="~",Y$58=1),"",LEFT(IFERROR(INDEX(醫師週班表!$C$5:$T$44,$CU26,Y$57),""),1)),IFERROR(INDEX(醫師週班表!$C$5:$T$44,$CU26,Y$57),""))))))</f>
        <v/>
      </c>
      <c r="Z26" s="67">
        <f>IF(Z$59="X","",IF(Z$59&lt;&gt;"",Z$59,IF(IFERROR(INDEX(醫師週班表!$C$5:$T$44,$CU26,Z$57),"")=0,"",IF(LEN(IFERROR(INDEX(醫師週班表!$C$5:$T$44,$CU26,Z$57),""))=4,MID(IFERROR(INDEX(醫師週班表!$C$5:$T$44,$CU26,Z$57),""),1+Z$58*2,1),IF(LEN(IFERROR(INDEX(醫師週班表!$C$5:$T$44,$CU26,Z$57),""))=2,IF(AND(RIGHT(IFERROR(INDEX(醫師週班表!$C$5:$T$44,$CU26,Z$57),""),1)="~",Z$58=1),"",LEFT(IFERROR(INDEX(醫師週班表!$C$5:$T$44,$CU26,Z$57),""),1)),IFERROR(INDEX(醫師週班表!$C$5:$T$44,$CU26,Z$57),""))))))</f>
        <v/>
      </c>
      <c r="AA26" s="68">
        <f>IF(AA$59="X","",IF(AA$59&lt;&gt;"",AA$59,IF(IFERROR(INDEX(醫師週班表!$C$5:$T$44,$CU26,AA$57),"")=0,"",IF(LEN(IFERROR(INDEX(醫師週班表!$C$5:$T$44,$CU26,AA$57),""))=4,MID(IFERROR(INDEX(醫師週班表!$C$5:$T$44,$CU26,AA$57),""),1+AA$58*2,1),IF(LEN(IFERROR(INDEX(醫師週班表!$C$5:$T$44,$CU26,AA$57),""))=2,IF(AND(RIGHT(IFERROR(INDEX(醫師週班表!$C$5:$T$44,$CU26,AA$57),""),1)="~",AA$58=1),"",LEFT(IFERROR(INDEX(醫師週班表!$C$5:$T$44,$CU26,AA$57),""),1)),IFERROR(INDEX(醫師週班表!$C$5:$T$44,$CU26,AA$57),""))))))</f>
        <v/>
      </c>
      <c r="AB26" s="68">
        <f>IF(AB$59="X","",IF(AB$59&lt;&gt;"",AB$59,IF(IFERROR(INDEX(醫師週班表!$C$5:$T$44,$CU26,AB$57),"")=0,"",IF(LEN(IFERROR(INDEX(醫師週班表!$C$5:$T$44,$CU26,AB$57),""))=4,MID(IFERROR(INDEX(醫師週班表!$C$5:$T$44,$CU26,AB$57),""),1+AB$58*2,1),IF(LEN(IFERROR(INDEX(醫師週班表!$C$5:$T$44,$CU26,AB$57),""))=2,IF(AND(RIGHT(IFERROR(INDEX(醫師週班表!$C$5:$T$44,$CU26,AB$57),""),1)="~",AB$58=1),"",LEFT(IFERROR(INDEX(醫師週班表!$C$5:$T$44,$CU26,AB$57),""),1)),IFERROR(INDEX(醫師週班表!$C$5:$T$44,$CU26,AB$57),""))))))</f>
        <v/>
      </c>
      <c r="AC26" s="67">
        <f>IF(AC$59="X","",IF(AC$59&lt;&gt;"",AC$59,IF(IFERROR(INDEX(醫師週班表!$C$5:$T$44,$CU26,AC$57),"")=0,"",IF(LEN(IFERROR(INDEX(醫師週班表!$C$5:$T$44,$CU26,AC$57),""))=4,MID(IFERROR(INDEX(醫師週班表!$C$5:$T$44,$CU26,AC$57),""),1+AC$58*2,1),IF(LEN(IFERROR(INDEX(醫師週班表!$C$5:$T$44,$CU26,AC$57),""))=2,IF(AND(RIGHT(IFERROR(INDEX(醫師週班表!$C$5:$T$44,$CU26,AC$57),""),1)="~",AC$58=1),"",LEFT(IFERROR(INDEX(醫師週班表!$C$5:$T$44,$CU26,AC$57),""),1)),IFERROR(INDEX(醫師週班表!$C$5:$T$44,$CU26,AC$57),""))))))</f>
        <v/>
      </c>
      <c r="AD26" s="68">
        <f>IF(AD$59="X","",IF(AD$59&lt;&gt;"",AD$59,IF(IFERROR(INDEX(醫師週班表!$C$5:$T$44,$CU26,AD$57),"")=0,"",IF(LEN(IFERROR(INDEX(醫師週班表!$C$5:$T$44,$CU26,AD$57),""))=4,MID(IFERROR(INDEX(醫師週班表!$C$5:$T$44,$CU26,AD$57),""),1+AD$58*2,1),IF(LEN(IFERROR(INDEX(醫師週班表!$C$5:$T$44,$CU26,AD$57),""))=2,IF(AND(RIGHT(IFERROR(INDEX(醫師週班表!$C$5:$T$44,$CU26,AD$57),""),1)="~",AD$58=1),"",LEFT(IFERROR(INDEX(醫師週班表!$C$5:$T$44,$CU26,AD$57),""),1)),IFERROR(INDEX(醫師週班表!$C$5:$T$44,$CU26,AD$57),""))))))</f>
        <v/>
      </c>
      <c r="AE26" s="68">
        <f>IF(AE$59="X","",IF(AE$59&lt;&gt;"",AE$59,IF(IFERROR(INDEX(醫師週班表!$C$5:$T$44,$CU26,AE$57),"")=0,"",IF(LEN(IFERROR(INDEX(醫師週班表!$C$5:$T$44,$CU26,AE$57),""))=4,MID(IFERROR(INDEX(醫師週班表!$C$5:$T$44,$CU26,AE$57),""),1+AE$58*2,1),IF(LEN(IFERROR(INDEX(醫師週班表!$C$5:$T$44,$CU26,AE$57),""))=2,IF(AND(RIGHT(IFERROR(INDEX(醫師週班表!$C$5:$T$44,$CU26,AE$57),""),1)="~",AE$58=1),"",LEFT(IFERROR(INDEX(醫師週班表!$C$5:$T$44,$CU26,AE$57),""),1)),IFERROR(INDEX(醫師週班表!$C$5:$T$44,$CU26,AE$57),""))))))</f>
        <v/>
      </c>
      <c r="AF26" s="67">
        <f>IF(AF$59="X","",IF(AF$59&lt;&gt;"",AF$59,IF(IFERROR(INDEX(醫師週班表!$C$5:$T$44,$CU26,AF$57),"")=0,"",IF(LEN(IFERROR(INDEX(醫師週班表!$C$5:$T$44,$CU26,AF$57),""))=4,MID(IFERROR(INDEX(醫師週班表!$C$5:$T$44,$CU26,AF$57),""),1+AF$58*2,1),IF(LEN(IFERROR(INDEX(醫師週班表!$C$5:$T$44,$CU26,AF$57),""))=2,IF(AND(RIGHT(IFERROR(INDEX(醫師週班表!$C$5:$T$44,$CU26,AF$57),""),1)="~",AF$58=1),"",LEFT(IFERROR(INDEX(醫師週班表!$C$5:$T$44,$CU26,AF$57),""),1)),IFERROR(INDEX(醫師週班表!$C$5:$T$44,$CU26,AF$57),""))))))</f>
        <v/>
      </c>
      <c r="AG26" s="68">
        <f>IF(AG$59="X","",IF(AG$59&lt;&gt;"",AG$59,IF(IFERROR(INDEX(醫師週班表!$C$5:$T$44,$CU26,AG$57),"")=0,"",IF(LEN(IFERROR(INDEX(醫師週班表!$C$5:$T$44,$CU26,AG$57),""))=4,MID(IFERROR(INDEX(醫師週班表!$C$5:$T$44,$CU26,AG$57),""),1+AG$58*2,1),IF(LEN(IFERROR(INDEX(醫師週班表!$C$5:$T$44,$CU26,AG$57),""))=2,IF(AND(RIGHT(IFERROR(INDEX(醫師週班表!$C$5:$T$44,$CU26,AG$57),""),1)="~",AG$58=1),"",LEFT(IFERROR(INDEX(醫師週班表!$C$5:$T$44,$CU26,AG$57),""),1)),IFERROR(INDEX(醫師週班表!$C$5:$T$44,$CU26,AG$57),""))))))</f>
        <v/>
      </c>
      <c r="AH26" s="68">
        <f>IF(AH$59="X","",IF(AH$59&lt;&gt;"",AH$59,IF(IFERROR(INDEX(醫師週班表!$C$5:$T$44,$CU26,AH$57),"")=0,"",IF(LEN(IFERROR(INDEX(醫師週班表!$C$5:$T$44,$CU26,AH$57),""))=4,MID(IFERROR(INDEX(醫師週班表!$C$5:$T$44,$CU26,AH$57),""),1+AH$58*2,1),IF(LEN(IFERROR(INDEX(醫師週班表!$C$5:$T$44,$CU26,AH$57),""))=2,IF(AND(RIGHT(IFERROR(INDEX(醫師週班表!$C$5:$T$44,$CU26,AH$57),""),1)="~",AH$58=1),"",LEFT(IFERROR(INDEX(醫師週班表!$C$5:$T$44,$CU26,AH$57),""),1)),IFERROR(INDEX(醫師週班表!$C$5:$T$44,$CU26,AH$57),""))))))</f>
        <v/>
      </c>
      <c r="AI26" s="67">
        <f>IF(AI$59="X","",IF(AI$59&lt;&gt;"",AI$59,IF(IFERROR(INDEX(醫師週班表!$C$5:$T$44,$CU26,AI$57),"")=0,"",IF(LEN(IFERROR(INDEX(醫師週班表!$C$5:$T$44,$CU26,AI$57),""))=4,MID(IFERROR(INDEX(醫師週班表!$C$5:$T$44,$CU26,AI$57),""),1+AI$58*2,1),IF(LEN(IFERROR(INDEX(醫師週班表!$C$5:$T$44,$CU26,AI$57),""))=2,IF(AND(RIGHT(IFERROR(INDEX(醫師週班表!$C$5:$T$44,$CU26,AI$57),""),1)="~",AI$58=1),"",LEFT(IFERROR(INDEX(醫師週班表!$C$5:$T$44,$CU26,AI$57),""),1)),IFERROR(INDEX(醫師週班表!$C$5:$T$44,$CU26,AI$57),""))))))</f>
        <v/>
      </c>
      <c r="AJ26" s="68">
        <f>IF(AJ$59="X","",IF(AJ$59&lt;&gt;"",AJ$59,IF(IFERROR(INDEX(醫師週班表!$C$5:$T$44,$CU26,AJ$57),"")=0,"",IF(LEN(IFERROR(INDEX(醫師週班表!$C$5:$T$44,$CU26,AJ$57),""))=4,MID(IFERROR(INDEX(醫師週班表!$C$5:$T$44,$CU26,AJ$57),""),1+AJ$58*2,1),IF(LEN(IFERROR(INDEX(醫師週班表!$C$5:$T$44,$CU26,AJ$57),""))=2,IF(AND(RIGHT(IFERROR(INDEX(醫師週班表!$C$5:$T$44,$CU26,AJ$57),""),1)="~",AJ$58=1),"",LEFT(IFERROR(INDEX(醫師週班表!$C$5:$T$44,$CU26,AJ$57),""),1)),IFERROR(INDEX(醫師週班表!$C$5:$T$44,$CU26,AJ$57),""))))))</f>
        <v/>
      </c>
      <c r="AK26" s="68">
        <f>IF(AK$59="X","",IF(AK$59&lt;&gt;"",AK$59,IF(IFERROR(INDEX(醫師週班表!$C$5:$T$44,$CU26,AK$57),"")=0,"",IF(LEN(IFERROR(INDEX(醫師週班表!$C$5:$T$44,$CU26,AK$57),""))=4,MID(IFERROR(INDEX(醫師週班表!$C$5:$T$44,$CU26,AK$57),""),1+AK$58*2,1),IF(LEN(IFERROR(INDEX(醫師週班表!$C$5:$T$44,$CU26,AK$57),""))=2,IF(AND(RIGHT(IFERROR(INDEX(醫師週班表!$C$5:$T$44,$CU26,AK$57),""),1)="~",AK$58=1),"",LEFT(IFERROR(INDEX(醫師週班表!$C$5:$T$44,$CU26,AK$57),""),1)),IFERROR(INDEX(醫師週班表!$C$5:$T$44,$CU26,AK$57),""))))))</f>
        <v/>
      </c>
      <c r="AL26" s="67">
        <f>IF(AL$59="X","",IF(AL$59&lt;&gt;"",AL$59,IF(IFERROR(INDEX(醫師週班表!$C$5:$T$44,$CU26,AL$57),"")=0,"",IF(LEN(IFERROR(INDEX(醫師週班表!$C$5:$T$44,$CU26,AL$57),""))=4,MID(IFERROR(INDEX(醫師週班表!$C$5:$T$44,$CU26,AL$57),""),1+AL$58*2,1),IF(LEN(IFERROR(INDEX(醫師週班表!$C$5:$T$44,$CU26,AL$57),""))=2,IF(AND(RIGHT(IFERROR(INDEX(醫師週班表!$C$5:$T$44,$CU26,AL$57),""),1)="~",AL$58=1),"",LEFT(IFERROR(INDEX(醫師週班表!$C$5:$T$44,$CU26,AL$57),""),1)),IFERROR(INDEX(醫師週班表!$C$5:$T$44,$CU26,AL$57),""))))))</f>
        <v/>
      </c>
      <c r="AM26" s="68">
        <f>IF(AM$59="X","",IF(AM$59&lt;&gt;"",AM$59,IF(IFERROR(INDEX(醫師週班表!$C$5:$T$44,$CU26,AM$57),"")=0,"",IF(LEN(IFERROR(INDEX(醫師週班表!$C$5:$T$44,$CU26,AM$57),""))=4,MID(IFERROR(INDEX(醫師週班表!$C$5:$T$44,$CU26,AM$57),""),1+AM$58*2,1),IF(LEN(IFERROR(INDEX(醫師週班表!$C$5:$T$44,$CU26,AM$57),""))=2,IF(AND(RIGHT(IFERROR(INDEX(醫師週班表!$C$5:$T$44,$CU26,AM$57),""),1)="~",AM$58=1),"",LEFT(IFERROR(INDEX(醫師週班表!$C$5:$T$44,$CU26,AM$57),""),1)),IFERROR(INDEX(醫師週班表!$C$5:$T$44,$CU26,AM$57),""))))))</f>
        <v/>
      </c>
      <c r="AN26" s="68">
        <f>IF(AN$59="X","",IF(AN$59&lt;&gt;"",AN$59,IF(IFERROR(INDEX(醫師週班表!$C$5:$T$44,$CU26,AN$57),"")=0,"",IF(LEN(IFERROR(INDEX(醫師週班表!$C$5:$T$44,$CU26,AN$57),""))=4,MID(IFERROR(INDEX(醫師週班表!$C$5:$T$44,$CU26,AN$57),""),1+AN$58*2,1),IF(LEN(IFERROR(INDEX(醫師週班表!$C$5:$T$44,$CU26,AN$57),""))=2,IF(AND(RIGHT(IFERROR(INDEX(醫師週班表!$C$5:$T$44,$CU26,AN$57),""),1)="~",AN$58=1),"",LEFT(IFERROR(INDEX(醫師週班表!$C$5:$T$44,$CU26,AN$57),""),1)),IFERROR(INDEX(醫師週班表!$C$5:$T$44,$CU26,AN$57),""))))))</f>
        <v/>
      </c>
      <c r="AO26" s="67">
        <f>IF(AO$59="X","",IF(AO$59&lt;&gt;"",AO$59,IF(IFERROR(INDEX(醫師週班表!$C$5:$T$44,$CU26,AO$57),"")=0,"",IF(LEN(IFERROR(INDEX(醫師週班表!$C$5:$T$44,$CU26,AO$57),""))=4,MID(IFERROR(INDEX(醫師週班表!$C$5:$T$44,$CU26,AO$57),""),1+AO$58*2,1),IF(LEN(IFERROR(INDEX(醫師週班表!$C$5:$T$44,$CU26,AO$57),""))=2,IF(AND(RIGHT(IFERROR(INDEX(醫師週班表!$C$5:$T$44,$CU26,AO$57),""),1)="~",AO$58=1),"",LEFT(IFERROR(INDEX(醫師週班表!$C$5:$T$44,$CU26,AO$57),""),1)),IFERROR(INDEX(醫師週班表!$C$5:$T$44,$CU26,AO$57),""))))))</f>
        <v/>
      </c>
      <c r="AP26" s="68">
        <f>IF(AP$59="X","",IF(AP$59&lt;&gt;"",AP$59,IF(IFERROR(INDEX(醫師週班表!$C$5:$T$44,$CU26,AP$57),"")=0,"",IF(LEN(IFERROR(INDEX(醫師週班表!$C$5:$T$44,$CU26,AP$57),""))=4,MID(IFERROR(INDEX(醫師週班表!$C$5:$T$44,$CU26,AP$57),""),1+AP$58*2,1),IF(LEN(IFERROR(INDEX(醫師週班表!$C$5:$T$44,$CU26,AP$57),""))=2,IF(AND(RIGHT(IFERROR(INDEX(醫師週班表!$C$5:$T$44,$CU26,AP$57),""),1)="~",AP$58=1),"",LEFT(IFERROR(INDEX(醫師週班表!$C$5:$T$44,$CU26,AP$57),""),1)),IFERROR(INDEX(醫師週班表!$C$5:$T$44,$CU26,AP$57),""))))))</f>
        <v/>
      </c>
      <c r="AQ26" s="68">
        <f>IF(AQ$59="X","",IF(AQ$59&lt;&gt;"",AQ$59,IF(IFERROR(INDEX(醫師週班表!$C$5:$T$44,$CU26,AQ$57),"")=0,"",IF(LEN(IFERROR(INDEX(醫師週班表!$C$5:$T$44,$CU26,AQ$57),""))=4,MID(IFERROR(INDEX(醫師週班表!$C$5:$T$44,$CU26,AQ$57),""),1+AQ$58*2,1),IF(LEN(IFERROR(INDEX(醫師週班表!$C$5:$T$44,$CU26,AQ$57),""))=2,IF(AND(RIGHT(IFERROR(INDEX(醫師週班表!$C$5:$T$44,$CU26,AQ$57),""),1)="~",AQ$58=1),"",LEFT(IFERROR(INDEX(醫師週班表!$C$5:$T$44,$CU26,AQ$57),""),1)),IFERROR(INDEX(醫師週班表!$C$5:$T$44,$CU26,AQ$57),""))))))</f>
        <v/>
      </c>
      <c r="AR26" s="67">
        <f>IF(AR$59="X","",IF(AR$59&lt;&gt;"",AR$59,IF(IFERROR(INDEX(醫師週班表!$C$5:$T$44,$CU26,AR$57),"")=0,"",IF(LEN(IFERROR(INDEX(醫師週班表!$C$5:$T$44,$CU26,AR$57),""))=4,MID(IFERROR(INDEX(醫師週班表!$C$5:$T$44,$CU26,AR$57),""),1+AR$58*2,1),IF(LEN(IFERROR(INDEX(醫師週班表!$C$5:$T$44,$CU26,AR$57),""))=2,IF(AND(RIGHT(IFERROR(INDEX(醫師週班表!$C$5:$T$44,$CU26,AR$57),""),1)="~",AR$58=1),"",LEFT(IFERROR(INDEX(醫師週班表!$C$5:$T$44,$CU26,AR$57),""),1)),IFERROR(INDEX(醫師週班表!$C$5:$T$44,$CU26,AR$57),""))))))</f>
        <v/>
      </c>
      <c r="AS26" s="68">
        <f>IF(AS$59="X","",IF(AS$59&lt;&gt;"",AS$59,IF(IFERROR(INDEX(醫師週班表!$C$5:$T$44,$CU26,AS$57),"")=0,"",IF(LEN(IFERROR(INDEX(醫師週班表!$C$5:$T$44,$CU26,AS$57),""))=4,MID(IFERROR(INDEX(醫師週班表!$C$5:$T$44,$CU26,AS$57),""),1+AS$58*2,1),IF(LEN(IFERROR(INDEX(醫師週班表!$C$5:$T$44,$CU26,AS$57),""))=2,IF(AND(RIGHT(IFERROR(INDEX(醫師週班表!$C$5:$T$44,$CU26,AS$57),""),1)="~",AS$58=1),"",LEFT(IFERROR(INDEX(醫師週班表!$C$5:$T$44,$CU26,AS$57),""),1)),IFERROR(INDEX(醫師週班表!$C$5:$T$44,$CU26,AS$57),""))))))</f>
        <v/>
      </c>
      <c r="AT26" s="68">
        <f>IF(AT$59="X","",IF(AT$59&lt;&gt;"",AT$59,IF(IFERROR(INDEX(醫師週班表!$C$5:$T$44,$CU26,AT$57),"")=0,"",IF(LEN(IFERROR(INDEX(醫師週班表!$C$5:$T$44,$CU26,AT$57),""))=4,MID(IFERROR(INDEX(醫師週班表!$C$5:$T$44,$CU26,AT$57),""),1+AT$58*2,1),IF(LEN(IFERROR(INDEX(醫師週班表!$C$5:$T$44,$CU26,AT$57),""))=2,IF(AND(RIGHT(IFERROR(INDEX(醫師週班表!$C$5:$T$44,$CU26,AT$57),""),1)="~",AT$58=1),"",LEFT(IFERROR(INDEX(醫師週班表!$C$5:$T$44,$CU26,AT$57),""),1)),IFERROR(INDEX(醫師週班表!$C$5:$T$44,$CU26,AT$57),""))))))</f>
        <v/>
      </c>
      <c r="AU26" s="67">
        <f>IF(AU$59="X","",IF(AU$59&lt;&gt;"",AU$59,IF(IFERROR(INDEX(醫師週班表!$C$5:$T$44,$CU26,AU$57),"")=0,"",IF(LEN(IFERROR(INDEX(醫師週班表!$C$5:$T$44,$CU26,AU$57),""))=4,MID(IFERROR(INDEX(醫師週班表!$C$5:$T$44,$CU26,AU$57),""),1+AU$58*2,1),IF(LEN(IFERROR(INDEX(醫師週班表!$C$5:$T$44,$CU26,AU$57),""))=2,IF(AND(RIGHT(IFERROR(INDEX(醫師週班表!$C$5:$T$44,$CU26,AU$57),""),1)="~",AU$58=1),"",LEFT(IFERROR(INDEX(醫師週班表!$C$5:$T$44,$CU26,AU$57),""),1)),IFERROR(INDEX(醫師週班表!$C$5:$T$44,$CU26,AU$57),""))))))</f>
        <v/>
      </c>
      <c r="AV26" s="68">
        <f>IF(AV$59="X","",IF(AV$59&lt;&gt;"",AV$59,IF(IFERROR(INDEX(醫師週班表!$C$5:$T$44,$CU26,AV$57),"")=0,"",IF(LEN(IFERROR(INDEX(醫師週班表!$C$5:$T$44,$CU26,AV$57),""))=4,MID(IFERROR(INDEX(醫師週班表!$C$5:$T$44,$CU26,AV$57),""),1+AV$58*2,1),IF(LEN(IFERROR(INDEX(醫師週班表!$C$5:$T$44,$CU26,AV$57),""))=2,IF(AND(RIGHT(IFERROR(INDEX(醫師週班表!$C$5:$T$44,$CU26,AV$57),""),1)="~",AV$58=1),"",LEFT(IFERROR(INDEX(醫師週班表!$C$5:$T$44,$CU26,AV$57),""),1)),IFERROR(INDEX(醫師週班表!$C$5:$T$44,$CU26,AV$57),""))))))</f>
        <v/>
      </c>
      <c r="AW26" s="68">
        <f>IF(AW$59="X","",IF(AW$59&lt;&gt;"",AW$59,IF(IFERROR(INDEX(醫師週班表!$C$5:$T$44,$CU26,AW$57),"")=0,"",IF(LEN(IFERROR(INDEX(醫師週班表!$C$5:$T$44,$CU26,AW$57),""))=4,MID(IFERROR(INDEX(醫師週班表!$C$5:$T$44,$CU26,AW$57),""),1+AW$58*2,1),IF(LEN(IFERROR(INDEX(醫師週班表!$C$5:$T$44,$CU26,AW$57),""))=2,IF(AND(RIGHT(IFERROR(INDEX(醫師週班表!$C$5:$T$44,$CU26,AW$57),""),1)="~",AW$58=1),"",LEFT(IFERROR(INDEX(醫師週班表!$C$5:$T$44,$CU26,AW$57),""),1)),IFERROR(INDEX(醫師週班表!$C$5:$T$44,$CU26,AW$57),""))))))</f>
        <v/>
      </c>
      <c r="AX26" s="67">
        <f>IF(AX$59="X","",IF(AX$59&lt;&gt;"",AX$59,IF(IFERROR(INDEX(醫師週班表!$C$5:$T$44,$CU26,AX$57),"")=0,"",IF(LEN(IFERROR(INDEX(醫師週班表!$C$5:$T$44,$CU26,AX$57),""))=4,MID(IFERROR(INDEX(醫師週班表!$C$5:$T$44,$CU26,AX$57),""),1+AX$58*2,1),IF(LEN(IFERROR(INDEX(醫師週班表!$C$5:$T$44,$CU26,AX$57),""))=2,IF(AND(RIGHT(IFERROR(INDEX(醫師週班表!$C$5:$T$44,$CU26,AX$57),""),1)="~",AX$58=1),"",LEFT(IFERROR(INDEX(醫師週班表!$C$5:$T$44,$CU26,AX$57),""),1)),IFERROR(INDEX(醫師週班表!$C$5:$T$44,$CU26,AX$57),""))))))</f>
        <v/>
      </c>
      <c r="AY26" s="68">
        <f>IF(AY$59="X","",IF(AY$59&lt;&gt;"",AY$59,IF(IFERROR(INDEX(醫師週班表!$C$5:$T$44,$CU26,AY$57),"")=0,"",IF(LEN(IFERROR(INDEX(醫師週班表!$C$5:$T$44,$CU26,AY$57),""))=4,MID(IFERROR(INDEX(醫師週班表!$C$5:$T$44,$CU26,AY$57),""),1+AY$58*2,1),IF(LEN(IFERROR(INDEX(醫師週班表!$C$5:$T$44,$CU26,AY$57),""))=2,IF(AND(RIGHT(IFERROR(INDEX(醫師週班表!$C$5:$T$44,$CU26,AY$57),""),1)="~",AY$58=1),"",LEFT(IFERROR(INDEX(醫師週班表!$C$5:$T$44,$CU26,AY$57),""),1)),IFERROR(INDEX(醫師週班表!$C$5:$T$44,$CU26,AY$57),""))))))</f>
        <v/>
      </c>
      <c r="AZ26" s="68">
        <f>IF(AZ$59="X","",IF(AZ$59&lt;&gt;"",AZ$59,IF(IFERROR(INDEX(醫師週班表!$C$5:$T$44,$CU26,AZ$57),"")=0,"",IF(LEN(IFERROR(INDEX(醫師週班表!$C$5:$T$44,$CU26,AZ$57),""))=4,MID(IFERROR(INDEX(醫師週班表!$C$5:$T$44,$CU26,AZ$57),""),1+AZ$58*2,1),IF(LEN(IFERROR(INDEX(醫師週班表!$C$5:$T$44,$CU26,AZ$57),""))=2,IF(AND(RIGHT(IFERROR(INDEX(醫師週班表!$C$5:$T$44,$CU26,AZ$57),""),1)="~",AZ$58=1),"",LEFT(IFERROR(INDEX(醫師週班表!$C$5:$T$44,$CU26,AZ$57),""),1)),IFERROR(INDEX(醫師週班表!$C$5:$T$44,$CU26,AZ$57),""))))))</f>
        <v/>
      </c>
      <c r="BA26" s="67">
        <f>IF(BA$59="X","",IF(BA$59&lt;&gt;"",BA$59,IF(IFERROR(INDEX(醫師週班表!$C$5:$T$44,$CU26,BA$57),"")=0,"",IF(LEN(IFERROR(INDEX(醫師週班表!$C$5:$T$44,$CU26,BA$57),""))=4,MID(IFERROR(INDEX(醫師週班表!$C$5:$T$44,$CU26,BA$57),""),1+BA$58*2,1),IF(LEN(IFERROR(INDEX(醫師週班表!$C$5:$T$44,$CU26,BA$57),""))=2,IF(AND(RIGHT(IFERROR(INDEX(醫師週班表!$C$5:$T$44,$CU26,BA$57),""),1)="~",BA$58=1),"",LEFT(IFERROR(INDEX(醫師週班表!$C$5:$T$44,$CU26,BA$57),""),1)),IFERROR(INDEX(醫師週班表!$C$5:$T$44,$CU26,BA$57),""))))))</f>
        <v/>
      </c>
      <c r="BB26" s="68">
        <f>IF(BB$59="X","",IF(BB$59&lt;&gt;"",BB$59,IF(IFERROR(INDEX(醫師週班表!$C$5:$T$44,$CU26,BB$57),"")=0,"",IF(LEN(IFERROR(INDEX(醫師週班表!$C$5:$T$44,$CU26,BB$57),""))=4,MID(IFERROR(INDEX(醫師週班表!$C$5:$T$44,$CU26,BB$57),""),1+BB$58*2,1),IF(LEN(IFERROR(INDEX(醫師週班表!$C$5:$T$44,$CU26,BB$57),""))=2,IF(AND(RIGHT(IFERROR(INDEX(醫師週班表!$C$5:$T$44,$CU26,BB$57),""),1)="~",BB$58=1),"",LEFT(IFERROR(INDEX(醫師週班表!$C$5:$T$44,$CU26,BB$57),""),1)),IFERROR(INDEX(醫師週班表!$C$5:$T$44,$CU26,BB$57),""))))))</f>
        <v/>
      </c>
      <c r="BC26" s="68">
        <f>IF(BC$59="X","",IF(BC$59&lt;&gt;"",BC$59,IF(IFERROR(INDEX(醫師週班表!$C$5:$T$44,$CU26,BC$57),"")=0,"",IF(LEN(IFERROR(INDEX(醫師週班表!$C$5:$T$44,$CU26,BC$57),""))=4,MID(IFERROR(INDEX(醫師週班表!$C$5:$T$44,$CU26,BC$57),""),1+BC$58*2,1),IF(LEN(IFERROR(INDEX(醫師週班表!$C$5:$T$44,$CU26,BC$57),""))=2,IF(AND(RIGHT(IFERROR(INDEX(醫師週班表!$C$5:$T$44,$CU26,BC$57),""),1)="~",BC$58=1),"",LEFT(IFERROR(INDEX(醫師週班表!$C$5:$T$44,$CU26,BC$57),""),1)),IFERROR(INDEX(醫師週班表!$C$5:$T$44,$CU26,BC$57),""))))))</f>
        <v/>
      </c>
      <c r="BD26" s="67">
        <f>IF(BD$59="X","",IF(BD$59&lt;&gt;"",BD$59,IF(IFERROR(INDEX(醫師週班表!$C$5:$T$44,$CU26,BD$57),"")=0,"",IF(LEN(IFERROR(INDEX(醫師週班表!$C$5:$T$44,$CU26,BD$57),""))=4,MID(IFERROR(INDEX(醫師週班表!$C$5:$T$44,$CU26,BD$57),""),1+BD$58*2,1),IF(LEN(IFERROR(INDEX(醫師週班表!$C$5:$T$44,$CU26,BD$57),""))=2,IF(AND(RIGHT(IFERROR(INDEX(醫師週班表!$C$5:$T$44,$CU26,BD$57),""),1)="~",BD$58=1),"",LEFT(IFERROR(INDEX(醫師週班表!$C$5:$T$44,$CU26,BD$57),""),1)),IFERROR(INDEX(醫師週班表!$C$5:$T$44,$CU26,BD$57),""))))))</f>
        <v/>
      </c>
      <c r="BE26" s="68">
        <f>IF(BE$59="X","",IF(BE$59&lt;&gt;"",BE$59,IF(IFERROR(INDEX(醫師週班表!$C$5:$T$44,$CU26,BE$57),"")=0,"",IF(LEN(IFERROR(INDEX(醫師週班表!$C$5:$T$44,$CU26,BE$57),""))=4,MID(IFERROR(INDEX(醫師週班表!$C$5:$T$44,$CU26,BE$57),""),1+BE$58*2,1),IF(LEN(IFERROR(INDEX(醫師週班表!$C$5:$T$44,$CU26,BE$57),""))=2,IF(AND(RIGHT(IFERROR(INDEX(醫師週班表!$C$5:$T$44,$CU26,BE$57),""),1)="~",BE$58=1),"",LEFT(IFERROR(INDEX(醫師週班表!$C$5:$T$44,$CU26,BE$57),""),1)),IFERROR(INDEX(醫師週班表!$C$5:$T$44,$CU26,BE$57),""))))))</f>
        <v/>
      </c>
      <c r="BF26" s="68">
        <f>IF(BF$59="X","",IF(BF$59&lt;&gt;"",BF$59,IF(IFERROR(INDEX(醫師週班表!$C$5:$T$44,$CU26,BF$57),"")=0,"",IF(LEN(IFERROR(INDEX(醫師週班表!$C$5:$T$44,$CU26,BF$57),""))=4,MID(IFERROR(INDEX(醫師週班表!$C$5:$T$44,$CU26,BF$57),""),1+BF$58*2,1),IF(LEN(IFERROR(INDEX(醫師週班表!$C$5:$T$44,$CU26,BF$57),""))=2,IF(AND(RIGHT(IFERROR(INDEX(醫師週班表!$C$5:$T$44,$CU26,BF$57),""),1)="~",BF$58=1),"",LEFT(IFERROR(INDEX(醫師週班表!$C$5:$T$44,$CU26,BF$57),""),1)),IFERROR(INDEX(醫師週班表!$C$5:$T$44,$CU26,BF$57),""))))))</f>
        <v/>
      </c>
      <c r="BG26" s="67">
        <f>IF(BG$59="X","",IF(BG$59&lt;&gt;"",BG$59,IF(IFERROR(INDEX(醫師週班表!$C$5:$T$44,$CU26,BG$57),"")=0,"",IF(LEN(IFERROR(INDEX(醫師週班表!$C$5:$T$44,$CU26,BG$57),""))=4,MID(IFERROR(INDEX(醫師週班表!$C$5:$T$44,$CU26,BG$57),""),1+BG$58*2,1),IF(LEN(IFERROR(INDEX(醫師週班表!$C$5:$T$44,$CU26,BG$57),""))=2,IF(AND(RIGHT(IFERROR(INDEX(醫師週班表!$C$5:$T$44,$CU26,BG$57),""),1)="~",BG$58=1),"",LEFT(IFERROR(INDEX(醫師週班表!$C$5:$T$44,$CU26,BG$57),""),1)),IFERROR(INDEX(醫師週班表!$C$5:$T$44,$CU26,BG$57),""))))))</f>
        <v/>
      </c>
      <c r="BH26" s="68">
        <f>IF(BH$59="X","",IF(BH$59&lt;&gt;"",BH$59,IF(IFERROR(INDEX(醫師週班表!$C$5:$T$44,$CU26,BH$57),"")=0,"",IF(LEN(IFERROR(INDEX(醫師週班表!$C$5:$T$44,$CU26,BH$57),""))=4,MID(IFERROR(INDEX(醫師週班表!$C$5:$T$44,$CU26,BH$57),""),1+BH$58*2,1),IF(LEN(IFERROR(INDEX(醫師週班表!$C$5:$T$44,$CU26,BH$57),""))=2,IF(AND(RIGHT(IFERROR(INDEX(醫師週班表!$C$5:$T$44,$CU26,BH$57),""),1)="~",BH$58=1),"",LEFT(IFERROR(INDEX(醫師週班表!$C$5:$T$44,$CU26,BH$57),""),1)),IFERROR(INDEX(醫師週班表!$C$5:$T$44,$CU26,BH$57),""))))))</f>
        <v/>
      </c>
      <c r="BI26" s="68">
        <f>IF(BI$59="X","",IF(BI$59&lt;&gt;"",BI$59,IF(IFERROR(INDEX(醫師週班表!$C$5:$T$44,$CU26,BI$57),"")=0,"",IF(LEN(IFERROR(INDEX(醫師週班表!$C$5:$T$44,$CU26,BI$57),""))=4,MID(IFERROR(INDEX(醫師週班表!$C$5:$T$44,$CU26,BI$57),""),1+BI$58*2,1),IF(LEN(IFERROR(INDEX(醫師週班表!$C$5:$T$44,$CU26,BI$57),""))=2,IF(AND(RIGHT(IFERROR(INDEX(醫師週班表!$C$5:$T$44,$CU26,BI$57),""),1)="~",BI$58=1),"",LEFT(IFERROR(INDEX(醫師週班表!$C$5:$T$44,$CU26,BI$57),""),1)),IFERROR(INDEX(醫師週班表!$C$5:$T$44,$CU26,BI$57),""))))))</f>
        <v/>
      </c>
      <c r="BJ26" s="67">
        <f>IF(BJ$59="X","",IF(BJ$59&lt;&gt;"",BJ$59,IF(IFERROR(INDEX(醫師週班表!$C$5:$T$44,$CU26,BJ$57),"")=0,"",IF(LEN(IFERROR(INDEX(醫師週班表!$C$5:$T$44,$CU26,BJ$57),""))=4,MID(IFERROR(INDEX(醫師週班表!$C$5:$T$44,$CU26,BJ$57),""),1+BJ$58*2,1),IF(LEN(IFERROR(INDEX(醫師週班表!$C$5:$T$44,$CU26,BJ$57),""))=2,IF(AND(RIGHT(IFERROR(INDEX(醫師週班表!$C$5:$T$44,$CU26,BJ$57),""),1)="~",BJ$58=1),"",LEFT(IFERROR(INDEX(醫師週班表!$C$5:$T$44,$CU26,BJ$57),""),1)),IFERROR(INDEX(醫師週班表!$C$5:$T$44,$CU26,BJ$57),""))))))</f>
        <v/>
      </c>
      <c r="BK26" s="68">
        <f>IF(BK$59="X","",IF(BK$59&lt;&gt;"",BK$59,IF(IFERROR(INDEX(醫師週班表!$C$5:$T$44,$CU26,BK$57),"")=0,"",IF(LEN(IFERROR(INDEX(醫師週班表!$C$5:$T$44,$CU26,BK$57),""))=4,MID(IFERROR(INDEX(醫師週班表!$C$5:$T$44,$CU26,BK$57),""),1+BK$58*2,1),IF(LEN(IFERROR(INDEX(醫師週班表!$C$5:$T$44,$CU26,BK$57),""))=2,IF(AND(RIGHT(IFERROR(INDEX(醫師週班表!$C$5:$T$44,$CU26,BK$57),""),1)="~",BK$58=1),"",LEFT(IFERROR(INDEX(醫師週班表!$C$5:$T$44,$CU26,BK$57),""),1)),IFERROR(INDEX(醫師週班表!$C$5:$T$44,$CU26,BK$57),""))))))</f>
        <v/>
      </c>
      <c r="BL26" s="68">
        <f>IF(BL$59="X","",IF(BL$59&lt;&gt;"",BL$59,IF(IFERROR(INDEX(醫師週班表!$C$5:$T$44,$CU26,BL$57),"")=0,"",IF(LEN(IFERROR(INDEX(醫師週班表!$C$5:$T$44,$CU26,BL$57),""))=4,MID(IFERROR(INDEX(醫師週班表!$C$5:$T$44,$CU26,BL$57),""),1+BL$58*2,1),IF(LEN(IFERROR(INDEX(醫師週班表!$C$5:$T$44,$CU26,BL$57),""))=2,IF(AND(RIGHT(IFERROR(INDEX(醫師週班表!$C$5:$T$44,$CU26,BL$57),""),1)="~",BL$58=1),"",LEFT(IFERROR(INDEX(醫師週班表!$C$5:$T$44,$CU26,BL$57),""),1)),IFERROR(INDEX(醫師週班表!$C$5:$T$44,$CU26,BL$57),""))))))</f>
        <v/>
      </c>
      <c r="BM26" s="67">
        <f>IF(BM$59="X","",IF(BM$59&lt;&gt;"",BM$59,IF(IFERROR(INDEX(醫師週班表!$C$5:$T$44,$CU26,BM$57),"")=0,"",IF(LEN(IFERROR(INDEX(醫師週班表!$C$5:$T$44,$CU26,BM$57),""))=4,MID(IFERROR(INDEX(醫師週班表!$C$5:$T$44,$CU26,BM$57),""),1+BM$58*2,1),IF(LEN(IFERROR(INDEX(醫師週班表!$C$5:$T$44,$CU26,BM$57),""))=2,IF(AND(RIGHT(IFERROR(INDEX(醫師週班表!$C$5:$T$44,$CU26,BM$57),""),1)="~",BM$58=1),"",LEFT(IFERROR(INDEX(醫師週班表!$C$5:$T$44,$CU26,BM$57),""),1)),IFERROR(INDEX(醫師週班表!$C$5:$T$44,$CU26,BM$57),""))))))</f>
        <v/>
      </c>
      <c r="BN26" s="68">
        <f>IF(BN$59="X","",IF(BN$59&lt;&gt;"",BN$59,IF(IFERROR(INDEX(醫師週班表!$C$5:$T$44,$CU26,BN$57),"")=0,"",IF(LEN(IFERROR(INDEX(醫師週班表!$C$5:$T$44,$CU26,BN$57),""))=4,MID(IFERROR(INDEX(醫師週班表!$C$5:$T$44,$CU26,BN$57),""),1+BN$58*2,1),IF(LEN(IFERROR(INDEX(醫師週班表!$C$5:$T$44,$CU26,BN$57),""))=2,IF(AND(RIGHT(IFERROR(INDEX(醫師週班表!$C$5:$T$44,$CU26,BN$57),""),1)="~",BN$58=1),"",LEFT(IFERROR(INDEX(醫師週班表!$C$5:$T$44,$CU26,BN$57),""),1)),IFERROR(INDEX(醫師週班表!$C$5:$T$44,$CU26,BN$57),""))))))</f>
        <v/>
      </c>
      <c r="BO26" s="68">
        <f>IF(BO$59="X","",IF(BO$59&lt;&gt;"",BO$59,IF(IFERROR(INDEX(醫師週班表!$C$5:$T$44,$CU26,BO$57),"")=0,"",IF(LEN(IFERROR(INDEX(醫師週班表!$C$5:$T$44,$CU26,BO$57),""))=4,MID(IFERROR(INDEX(醫師週班表!$C$5:$T$44,$CU26,BO$57),""),1+BO$58*2,1),IF(LEN(IFERROR(INDEX(醫師週班表!$C$5:$T$44,$CU26,BO$57),""))=2,IF(AND(RIGHT(IFERROR(INDEX(醫師週班表!$C$5:$T$44,$CU26,BO$57),""),1)="~",BO$58=1),"",LEFT(IFERROR(INDEX(醫師週班表!$C$5:$T$44,$CU26,BO$57),""),1)),IFERROR(INDEX(醫師週班表!$C$5:$T$44,$CU26,BO$57),""))))))</f>
        <v/>
      </c>
      <c r="BP26" s="67">
        <f>IF(BP$59="X","",IF(BP$59&lt;&gt;"",BP$59,IF(IFERROR(INDEX(醫師週班表!$C$5:$T$44,$CU26,BP$57),"")=0,"",IF(LEN(IFERROR(INDEX(醫師週班表!$C$5:$T$44,$CU26,BP$57),""))=4,MID(IFERROR(INDEX(醫師週班表!$C$5:$T$44,$CU26,BP$57),""),1+BP$58*2,1),IF(LEN(IFERROR(INDEX(醫師週班表!$C$5:$T$44,$CU26,BP$57),""))=2,IF(AND(RIGHT(IFERROR(INDEX(醫師週班表!$C$5:$T$44,$CU26,BP$57),""),1)="~",BP$58=1),"",LEFT(IFERROR(INDEX(醫師週班表!$C$5:$T$44,$CU26,BP$57),""),1)),IFERROR(INDEX(醫師週班表!$C$5:$T$44,$CU26,BP$57),""))))))</f>
        <v/>
      </c>
      <c r="BQ26" s="68">
        <f>IF(BQ$59="X","",IF(BQ$59&lt;&gt;"",BQ$59,IF(IFERROR(INDEX(醫師週班表!$C$5:$T$44,$CU26,BQ$57),"")=0,"",IF(LEN(IFERROR(INDEX(醫師週班表!$C$5:$T$44,$CU26,BQ$57),""))=4,MID(IFERROR(INDEX(醫師週班表!$C$5:$T$44,$CU26,BQ$57),""),1+BQ$58*2,1),IF(LEN(IFERROR(INDEX(醫師週班表!$C$5:$T$44,$CU26,BQ$57),""))=2,IF(AND(RIGHT(IFERROR(INDEX(醫師週班表!$C$5:$T$44,$CU26,BQ$57),""),1)="~",BQ$58=1),"",LEFT(IFERROR(INDEX(醫師週班表!$C$5:$T$44,$CU26,BQ$57),""),1)),IFERROR(INDEX(醫師週班表!$C$5:$T$44,$CU26,BQ$57),""))))))</f>
        <v/>
      </c>
      <c r="BR26" s="68">
        <f>IF(BR$59="X","",IF(BR$59&lt;&gt;"",BR$59,IF(IFERROR(INDEX(醫師週班表!$C$5:$T$44,$CU26,BR$57),"")=0,"",IF(LEN(IFERROR(INDEX(醫師週班表!$C$5:$T$44,$CU26,BR$57),""))=4,MID(IFERROR(INDEX(醫師週班表!$C$5:$T$44,$CU26,BR$57),""),1+BR$58*2,1),IF(LEN(IFERROR(INDEX(醫師週班表!$C$5:$T$44,$CU26,BR$57),""))=2,IF(AND(RIGHT(IFERROR(INDEX(醫師週班表!$C$5:$T$44,$CU26,BR$57),""),1)="~",BR$58=1),"",LEFT(IFERROR(INDEX(醫師週班表!$C$5:$T$44,$CU26,BR$57),""),1)),IFERROR(INDEX(醫師週班表!$C$5:$T$44,$CU26,BR$57),""))))))</f>
        <v/>
      </c>
      <c r="BS26" s="67">
        <f>IF(BS$59="X","",IF(BS$59&lt;&gt;"",BS$59,IF(IFERROR(INDEX(醫師週班表!$C$5:$T$44,$CU26,BS$57),"")=0,"",IF(LEN(IFERROR(INDEX(醫師週班表!$C$5:$T$44,$CU26,BS$57),""))=4,MID(IFERROR(INDEX(醫師週班表!$C$5:$T$44,$CU26,BS$57),""),1+BS$58*2,1),IF(LEN(IFERROR(INDEX(醫師週班表!$C$5:$T$44,$CU26,BS$57),""))=2,IF(AND(RIGHT(IFERROR(INDEX(醫師週班表!$C$5:$T$44,$CU26,BS$57),""),1)="~",BS$58=1),"",LEFT(IFERROR(INDEX(醫師週班表!$C$5:$T$44,$CU26,BS$57),""),1)),IFERROR(INDEX(醫師週班表!$C$5:$T$44,$CU26,BS$57),""))))))</f>
        <v/>
      </c>
      <c r="BT26" s="68">
        <f>IF(BT$59="X","",IF(BT$59&lt;&gt;"",BT$59,IF(IFERROR(INDEX(醫師週班表!$C$5:$T$44,$CU26,BT$57),"")=0,"",IF(LEN(IFERROR(INDEX(醫師週班表!$C$5:$T$44,$CU26,BT$57),""))=4,MID(IFERROR(INDEX(醫師週班表!$C$5:$T$44,$CU26,BT$57),""),1+BT$58*2,1),IF(LEN(IFERROR(INDEX(醫師週班表!$C$5:$T$44,$CU26,BT$57),""))=2,IF(AND(RIGHT(IFERROR(INDEX(醫師週班表!$C$5:$T$44,$CU26,BT$57),""),1)="~",BT$58=1),"",LEFT(IFERROR(INDEX(醫師週班表!$C$5:$T$44,$CU26,BT$57),""),1)),IFERROR(INDEX(醫師週班表!$C$5:$T$44,$CU26,BT$57),""))))))</f>
        <v/>
      </c>
      <c r="BU26" s="68">
        <f>IF(BU$59="X","",IF(BU$59&lt;&gt;"",BU$59,IF(IFERROR(INDEX(醫師週班表!$C$5:$T$44,$CU26,BU$57),"")=0,"",IF(LEN(IFERROR(INDEX(醫師週班表!$C$5:$T$44,$CU26,BU$57),""))=4,MID(IFERROR(INDEX(醫師週班表!$C$5:$T$44,$CU26,BU$57),""),1+BU$58*2,1),IF(LEN(IFERROR(INDEX(醫師週班表!$C$5:$T$44,$CU26,BU$57),""))=2,IF(AND(RIGHT(IFERROR(INDEX(醫師週班表!$C$5:$T$44,$CU26,BU$57),""),1)="~",BU$58=1),"",LEFT(IFERROR(INDEX(醫師週班表!$C$5:$T$44,$CU26,BU$57),""),1)),IFERROR(INDEX(醫師週班表!$C$5:$T$44,$CU26,BU$57),""))))))</f>
        <v/>
      </c>
      <c r="BV26" s="67">
        <f>IF(BV$59="X","",IF(BV$59&lt;&gt;"",BV$59,IF(IFERROR(INDEX(醫師週班表!$C$5:$T$44,$CU26,BV$57),"")=0,"",IF(LEN(IFERROR(INDEX(醫師週班表!$C$5:$T$44,$CU26,BV$57),""))=4,MID(IFERROR(INDEX(醫師週班表!$C$5:$T$44,$CU26,BV$57),""),1+BV$58*2,1),IF(LEN(IFERROR(INDEX(醫師週班表!$C$5:$T$44,$CU26,BV$57),""))=2,IF(AND(RIGHT(IFERROR(INDEX(醫師週班表!$C$5:$T$44,$CU26,BV$57),""),1)="~",BV$58=1),"",LEFT(IFERROR(INDEX(醫師週班表!$C$5:$T$44,$CU26,BV$57),""),1)),IFERROR(INDEX(醫師週班表!$C$5:$T$44,$CU26,BV$57),""))))))</f>
        <v/>
      </c>
      <c r="BW26" s="68">
        <f>IF(BW$59="X","",IF(BW$59&lt;&gt;"",BW$59,IF(IFERROR(INDEX(醫師週班表!$C$5:$T$44,$CU26,BW$57),"")=0,"",IF(LEN(IFERROR(INDEX(醫師週班表!$C$5:$T$44,$CU26,BW$57),""))=4,MID(IFERROR(INDEX(醫師週班表!$C$5:$T$44,$CU26,BW$57),""),1+BW$58*2,1),IF(LEN(IFERROR(INDEX(醫師週班表!$C$5:$T$44,$CU26,BW$57),""))=2,IF(AND(RIGHT(IFERROR(INDEX(醫師週班表!$C$5:$T$44,$CU26,BW$57),""),1)="~",BW$58=1),"",LEFT(IFERROR(INDEX(醫師週班表!$C$5:$T$44,$CU26,BW$57),""),1)),IFERROR(INDEX(醫師週班表!$C$5:$T$44,$CU26,BW$57),""))))))</f>
        <v/>
      </c>
      <c r="BX26" s="68">
        <f>IF(BX$59="X","",IF(BX$59&lt;&gt;"",BX$59,IF(IFERROR(INDEX(醫師週班表!$C$5:$T$44,$CU26,BX$57),"")=0,"",IF(LEN(IFERROR(INDEX(醫師週班表!$C$5:$T$44,$CU26,BX$57),""))=4,MID(IFERROR(INDEX(醫師週班表!$C$5:$T$44,$CU26,BX$57),""),1+BX$58*2,1),IF(LEN(IFERROR(INDEX(醫師週班表!$C$5:$T$44,$CU26,BX$57),""))=2,IF(AND(RIGHT(IFERROR(INDEX(醫師週班表!$C$5:$T$44,$CU26,BX$57),""),1)="~",BX$58=1),"",LEFT(IFERROR(INDEX(醫師週班表!$C$5:$T$44,$CU26,BX$57),""),1)),IFERROR(INDEX(醫師週班表!$C$5:$T$44,$CU26,BX$57),""))))))</f>
        <v/>
      </c>
      <c r="BY26" s="67">
        <f>IF(BY$59="X","",IF(BY$59&lt;&gt;"",BY$59,IF(IFERROR(INDEX(醫師週班表!$C$5:$T$44,$CU26,BY$57),"")=0,"",IF(LEN(IFERROR(INDEX(醫師週班表!$C$5:$T$44,$CU26,BY$57),""))=4,MID(IFERROR(INDEX(醫師週班表!$C$5:$T$44,$CU26,BY$57),""),1+BY$58*2,1),IF(LEN(IFERROR(INDEX(醫師週班表!$C$5:$T$44,$CU26,BY$57),""))=2,IF(AND(RIGHT(IFERROR(INDEX(醫師週班表!$C$5:$T$44,$CU26,BY$57),""),1)="~",BY$58=1),"",LEFT(IFERROR(INDEX(醫師週班表!$C$5:$T$44,$CU26,BY$57),""),1)),IFERROR(INDEX(醫師週班表!$C$5:$T$44,$CU26,BY$57),""))))))</f>
        <v/>
      </c>
      <c r="BZ26" s="68">
        <f>IF(BZ$59="X","",IF(BZ$59&lt;&gt;"",BZ$59,IF(IFERROR(INDEX(醫師週班表!$C$5:$T$44,$CU26,BZ$57),"")=0,"",IF(LEN(IFERROR(INDEX(醫師週班表!$C$5:$T$44,$CU26,BZ$57),""))=4,MID(IFERROR(INDEX(醫師週班表!$C$5:$T$44,$CU26,BZ$57),""),1+BZ$58*2,1),IF(LEN(IFERROR(INDEX(醫師週班表!$C$5:$T$44,$CU26,BZ$57),""))=2,IF(AND(RIGHT(IFERROR(INDEX(醫師週班表!$C$5:$T$44,$CU26,BZ$57),""),1)="~",BZ$58=1),"",LEFT(IFERROR(INDEX(醫師週班表!$C$5:$T$44,$CU26,BZ$57),""),1)),IFERROR(INDEX(醫師週班表!$C$5:$T$44,$CU26,BZ$57),""))))))</f>
        <v/>
      </c>
      <c r="CA26" s="68">
        <f>IF(CA$59="X","",IF(CA$59&lt;&gt;"",CA$59,IF(IFERROR(INDEX(醫師週班表!$C$5:$T$44,$CU26,CA$57),"")=0,"",IF(LEN(IFERROR(INDEX(醫師週班表!$C$5:$T$44,$CU26,CA$57),""))=4,MID(IFERROR(INDEX(醫師週班表!$C$5:$T$44,$CU26,CA$57),""),1+CA$58*2,1),IF(LEN(IFERROR(INDEX(醫師週班表!$C$5:$T$44,$CU26,CA$57),""))=2,IF(AND(RIGHT(IFERROR(INDEX(醫師週班表!$C$5:$T$44,$CU26,CA$57),""),1)="~",CA$58=1),"",LEFT(IFERROR(INDEX(醫師週班表!$C$5:$T$44,$CU26,CA$57),""),1)),IFERROR(INDEX(醫師週班表!$C$5:$T$44,$CU26,CA$57),""))))))</f>
        <v/>
      </c>
      <c r="CB26" s="67">
        <f>IF(CB$59="X","",IF(CB$59&lt;&gt;"",CB$59,IF(IFERROR(INDEX(醫師週班表!$C$5:$T$44,$CU26,CB$57),"")=0,"",IF(LEN(IFERROR(INDEX(醫師週班表!$C$5:$T$44,$CU26,CB$57),""))=4,MID(IFERROR(INDEX(醫師週班表!$C$5:$T$44,$CU26,CB$57),""),1+CB$58*2,1),IF(LEN(IFERROR(INDEX(醫師週班表!$C$5:$T$44,$CU26,CB$57),""))=2,IF(AND(RIGHT(IFERROR(INDEX(醫師週班表!$C$5:$T$44,$CU26,CB$57),""),1)="~",CB$58=1),"",LEFT(IFERROR(INDEX(醫師週班表!$C$5:$T$44,$CU26,CB$57),""),1)),IFERROR(INDEX(醫師週班表!$C$5:$T$44,$CU26,CB$57),""))))))</f>
        <v/>
      </c>
      <c r="CC26" s="68">
        <f>IF(CC$59="X","",IF(CC$59&lt;&gt;"",CC$59,IF(IFERROR(INDEX(醫師週班表!$C$5:$T$44,$CU26,CC$57),"")=0,"",IF(LEN(IFERROR(INDEX(醫師週班表!$C$5:$T$44,$CU26,CC$57),""))=4,MID(IFERROR(INDEX(醫師週班表!$C$5:$T$44,$CU26,CC$57),""),1+CC$58*2,1),IF(LEN(IFERROR(INDEX(醫師週班表!$C$5:$T$44,$CU26,CC$57),""))=2,IF(AND(RIGHT(IFERROR(INDEX(醫師週班表!$C$5:$T$44,$CU26,CC$57),""),1)="~",CC$58=1),"",LEFT(IFERROR(INDEX(醫師週班表!$C$5:$T$44,$CU26,CC$57),""),1)),IFERROR(INDEX(醫師週班表!$C$5:$T$44,$CU26,CC$57),""))))))</f>
        <v/>
      </c>
      <c r="CD26" s="68">
        <f>IF(CD$59="X","",IF(CD$59&lt;&gt;"",CD$59,IF(IFERROR(INDEX(醫師週班表!$C$5:$T$44,$CU26,CD$57),"")=0,"",IF(LEN(IFERROR(INDEX(醫師週班表!$C$5:$T$44,$CU26,CD$57),""))=4,MID(IFERROR(INDEX(醫師週班表!$C$5:$T$44,$CU26,CD$57),""),1+CD$58*2,1),IF(LEN(IFERROR(INDEX(醫師週班表!$C$5:$T$44,$CU26,CD$57),""))=2,IF(AND(RIGHT(IFERROR(INDEX(醫師週班表!$C$5:$T$44,$CU26,CD$57),""),1)="~",CD$58=1),"",LEFT(IFERROR(INDEX(醫師週班表!$C$5:$T$44,$CU26,CD$57),""),1)),IFERROR(INDEX(醫師週班表!$C$5:$T$44,$CU26,CD$57),""))))))</f>
        <v/>
      </c>
      <c r="CE26" s="67">
        <f>IF(CE$59="X","",IF(CE$59&lt;&gt;"",CE$59,IF(IFERROR(INDEX(醫師週班表!$C$5:$T$44,$CU26,CE$57),"")=0,"",IF(LEN(IFERROR(INDEX(醫師週班表!$C$5:$T$44,$CU26,CE$57),""))=4,MID(IFERROR(INDEX(醫師週班表!$C$5:$T$44,$CU26,CE$57),""),1+CE$58*2,1),IF(LEN(IFERROR(INDEX(醫師週班表!$C$5:$T$44,$CU26,CE$57),""))=2,IF(AND(RIGHT(IFERROR(INDEX(醫師週班表!$C$5:$T$44,$CU26,CE$57),""),1)="~",CE$58=1),"",LEFT(IFERROR(INDEX(醫師週班表!$C$5:$T$44,$CU26,CE$57),""),1)),IFERROR(INDEX(醫師週班表!$C$5:$T$44,$CU26,CE$57),""))))))</f>
        <v/>
      </c>
      <c r="CF26" s="68">
        <f>IF(CF$59="X","",IF(CF$59&lt;&gt;"",CF$59,IF(IFERROR(INDEX(醫師週班表!$C$5:$T$44,$CU26,CF$57),"")=0,"",IF(LEN(IFERROR(INDEX(醫師週班表!$C$5:$T$44,$CU26,CF$57),""))=4,MID(IFERROR(INDEX(醫師週班表!$C$5:$T$44,$CU26,CF$57),""),1+CF$58*2,1),IF(LEN(IFERROR(INDEX(醫師週班表!$C$5:$T$44,$CU26,CF$57),""))=2,IF(AND(RIGHT(IFERROR(INDEX(醫師週班表!$C$5:$T$44,$CU26,CF$57),""),1)="~",CF$58=1),"",LEFT(IFERROR(INDEX(醫師週班表!$C$5:$T$44,$CU26,CF$57),""),1)),IFERROR(INDEX(醫師週班表!$C$5:$T$44,$CU26,CF$57),""))))))</f>
        <v/>
      </c>
      <c r="CG26" s="68">
        <f>IF(CG$59="X","",IF(CG$59&lt;&gt;"",CG$59,IF(IFERROR(INDEX(醫師週班表!$C$5:$T$44,$CU26,CG$57),"")=0,"",IF(LEN(IFERROR(INDEX(醫師週班表!$C$5:$T$44,$CU26,CG$57),""))=4,MID(IFERROR(INDEX(醫師週班表!$C$5:$T$44,$CU26,CG$57),""),1+CG$58*2,1),IF(LEN(IFERROR(INDEX(醫師週班表!$C$5:$T$44,$CU26,CG$57),""))=2,IF(AND(RIGHT(IFERROR(INDEX(醫師週班表!$C$5:$T$44,$CU26,CG$57),""),1)="~",CG$58=1),"",LEFT(IFERROR(INDEX(醫師週班表!$C$5:$T$44,$CU26,CG$57),""),1)),IFERROR(INDEX(醫師週班表!$C$5:$T$44,$CU26,CG$57),""))))))</f>
        <v/>
      </c>
      <c r="CH26" s="67">
        <f>IF(CH$59="X","",IF(CH$59&lt;&gt;"",CH$59,IF(IFERROR(INDEX(醫師週班表!$C$5:$T$44,$CU26,CH$57),"")=0,"",IF(LEN(IFERROR(INDEX(醫師週班表!$C$5:$T$44,$CU26,CH$57),""))=4,MID(IFERROR(INDEX(醫師週班表!$C$5:$T$44,$CU26,CH$57),""),1+CH$58*2,1),IF(LEN(IFERROR(INDEX(醫師週班表!$C$5:$T$44,$CU26,CH$57),""))=2,IF(AND(RIGHT(IFERROR(INDEX(醫師週班表!$C$5:$T$44,$CU26,CH$57),""),1)="~",CH$58=1),"",LEFT(IFERROR(INDEX(醫師週班表!$C$5:$T$44,$CU26,CH$57),""),1)),IFERROR(INDEX(醫師週班表!$C$5:$T$44,$CU26,CH$57),""))))))</f>
        <v/>
      </c>
      <c r="CI26" s="68">
        <f>IF(CI$59="X","",IF(CI$59&lt;&gt;"",CI$59,IF(IFERROR(INDEX(醫師週班表!$C$5:$T$44,$CU26,CI$57),"")=0,"",IF(LEN(IFERROR(INDEX(醫師週班表!$C$5:$T$44,$CU26,CI$57),""))=4,MID(IFERROR(INDEX(醫師週班表!$C$5:$T$44,$CU26,CI$57),""),1+CI$58*2,1),IF(LEN(IFERROR(INDEX(醫師週班表!$C$5:$T$44,$CU26,CI$57),""))=2,IF(AND(RIGHT(IFERROR(INDEX(醫師週班表!$C$5:$T$44,$CU26,CI$57),""),1)="~",CI$58=1),"",LEFT(IFERROR(INDEX(醫師週班表!$C$5:$T$44,$CU26,CI$57),""),1)),IFERROR(INDEX(醫師週班表!$C$5:$T$44,$CU26,CI$57),""))))))</f>
        <v/>
      </c>
      <c r="CJ26" s="68">
        <f>IF(CJ$59="X","",IF(CJ$59&lt;&gt;"",CJ$59,IF(IFERROR(INDEX(醫師週班表!$C$5:$T$44,$CU26,CJ$57),"")=0,"",IF(LEN(IFERROR(INDEX(醫師週班表!$C$5:$T$44,$CU26,CJ$57),""))=4,MID(IFERROR(INDEX(醫師週班表!$C$5:$T$44,$CU26,CJ$57),""),1+CJ$58*2,1),IF(LEN(IFERROR(INDEX(醫師週班表!$C$5:$T$44,$CU26,CJ$57),""))=2,IF(AND(RIGHT(IFERROR(INDEX(醫師週班表!$C$5:$T$44,$CU26,CJ$57),""),1)="~",CJ$58=1),"",LEFT(IFERROR(INDEX(醫師週班表!$C$5:$T$44,$CU26,CJ$57),""),1)),IFERROR(INDEX(醫師週班表!$C$5:$T$44,$CU26,CJ$57),""))))))</f>
        <v/>
      </c>
      <c r="CK26" s="67">
        <f>IF(CK$59="X","",IF(CK$59&lt;&gt;"",CK$59,IF(IFERROR(INDEX(醫師週班表!$C$5:$T$44,$CU26,CK$57),"")=0,"",IF(LEN(IFERROR(INDEX(醫師週班表!$C$5:$T$44,$CU26,CK$57),""))=4,MID(IFERROR(INDEX(醫師週班表!$C$5:$T$44,$CU26,CK$57),""),1+CK$58*2,1),IF(LEN(IFERROR(INDEX(醫師週班表!$C$5:$T$44,$CU26,CK$57),""))=2,IF(AND(RIGHT(IFERROR(INDEX(醫師週班表!$C$5:$T$44,$CU26,CK$57),""),1)="~",CK$58=1),"",LEFT(IFERROR(INDEX(醫師週班表!$C$5:$T$44,$CU26,CK$57),""),1)),IFERROR(INDEX(醫師週班表!$C$5:$T$44,$CU26,CK$57),""))))))</f>
        <v/>
      </c>
      <c r="CL26" s="68">
        <f>IF(CL$59="X","",IF(CL$59&lt;&gt;"",CL$59,IF(IFERROR(INDEX(醫師週班表!$C$5:$T$44,$CU26,CL$57),"")=0,"",IF(LEN(IFERROR(INDEX(醫師週班表!$C$5:$T$44,$CU26,CL$57),""))=4,MID(IFERROR(INDEX(醫師週班表!$C$5:$T$44,$CU26,CL$57),""),1+CL$58*2,1),IF(LEN(IFERROR(INDEX(醫師週班表!$C$5:$T$44,$CU26,CL$57),""))=2,IF(AND(RIGHT(IFERROR(INDEX(醫師週班表!$C$5:$T$44,$CU26,CL$57),""),1)="~",CL$58=1),"",LEFT(IFERROR(INDEX(醫師週班表!$C$5:$T$44,$CU26,CL$57),""),1)),IFERROR(INDEX(醫師週班表!$C$5:$T$44,$CU26,CL$57),""))))))</f>
        <v/>
      </c>
      <c r="CM26" s="68">
        <f>IF(CM$59="X","",IF(CM$59&lt;&gt;"",CM$59,IF(IFERROR(INDEX(醫師週班表!$C$5:$T$44,$CU26,CM$57),"")=0,"",IF(LEN(IFERROR(INDEX(醫師週班表!$C$5:$T$44,$CU26,CM$57),""))=4,MID(IFERROR(INDEX(醫師週班表!$C$5:$T$44,$CU26,CM$57),""),1+CM$58*2,1),IF(LEN(IFERROR(INDEX(醫師週班表!$C$5:$T$44,$CU26,CM$57),""))=2,IF(AND(RIGHT(IFERROR(INDEX(醫師週班表!$C$5:$T$44,$CU26,CM$57),""),1)="~",CM$58=1),"",LEFT(IFERROR(INDEX(醫師週班表!$C$5:$T$44,$CU26,CM$57),""),1)),IFERROR(INDEX(醫師週班表!$C$5:$T$44,$CU26,CM$57),""))))))</f>
        <v/>
      </c>
      <c r="CN26" s="67">
        <f>IF(CN$59="X","",IF(CN$59&lt;&gt;"",CN$59,IF(IFERROR(INDEX(醫師週班表!$C$5:$T$44,$CU26,CN$57),"")=0,"",IF(LEN(IFERROR(INDEX(醫師週班表!$C$5:$T$44,$CU26,CN$57),""))=4,MID(IFERROR(INDEX(醫師週班表!$C$5:$T$44,$CU26,CN$57),""),1+CN$58*2,1),IF(LEN(IFERROR(INDEX(醫師週班表!$C$5:$T$44,$CU26,CN$57),""))=2,IF(AND(RIGHT(IFERROR(INDEX(醫師週班表!$C$5:$T$44,$CU26,CN$57),""),1)="~",CN$58=1),"",LEFT(IFERROR(INDEX(醫師週班表!$C$5:$T$44,$CU26,CN$57),""),1)),IFERROR(INDEX(醫師週班表!$C$5:$T$44,$CU26,CN$57),""))))))</f>
        <v/>
      </c>
      <c r="CO26" s="68">
        <f>IF(CO$59="X","",IF(CO$59&lt;&gt;"",CO$59,IF(IFERROR(INDEX(醫師週班表!$C$5:$T$44,$CU26,CO$57),"")=0,"",IF(LEN(IFERROR(INDEX(醫師週班表!$C$5:$T$44,$CU26,CO$57),""))=4,MID(IFERROR(INDEX(醫師週班表!$C$5:$T$44,$CU26,CO$57),""),1+CO$58*2,1),IF(LEN(IFERROR(INDEX(醫師週班表!$C$5:$T$44,$CU26,CO$57),""))=2,IF(AND(RIGHT(IFERROR(INDEX(醫師週班表!$C$5:$T$44,$CU26,CO$57),""),1)="~",CO$58=1),"",LEFT(IFERROR(INDEX(醫師週班表!$C$5:$T$44,$CU26,CO$57),""),1)),IFERROR(INDEX(醫師週班表!$C$5:$T$44,$CU26,CO$57),""))))))</f>
        <v/>
      </c>
      <c r="CP26" s="68">
        <f>IF(CP$59="X","",IF(CP$59&lt;&gt;"",CP$59,IF(IFERROR(INDEX(醫師週班表!$C$5:$T$44,$CU26,CP$57),"")=0,"",IF(LEN(IFERROR(INDEX(醫師週班表!$C$5:$T$44,$CU26,CP$57),""))=4,MID(IFERROR(INDEX(醫師週班表!$C$5:$T$44,$CU26,CP$57),""),1+CP$58*2,1),IF(LEN(IFERROR(INDEX(醫師週班表!$C$5:$T$44,$CU26,CP$57),""))=2,IF(AND(RIGHT(IFERROR(INDEX(醫師週班表!$C$5:$T$44,$CU26,CP$57),""),1)="~",CP$58=1),"",LEFT(IFERROR(INDEX(醫師週班表!$C$5:$T$44,$CU26,CP$57),""),1)),IFERROR(INDEX(醫師週班表!$C$5:$T$44,$CU26,CP$57),""))))))</f>
        <v/>
      </c>
      <c r="CQ26" s="67">
        <f>IF(CQ$59="X","",IF(CQ$59&lt;&gt;"",CQ$59,IF(IFERROR(INDEX(醫師週班表!$C$5:$T$44,$CU26,CQ$57),"")=0,"",IF(LEN(IFERROR(INDEX(醫師週班表!$C$5:$T$44,$CU26,CQ$57),""))=4,MID(IFERROR(INDEX(醫師週班表!$C$5:$T$44,$CU26,CQ$57),""),1+CQ$58*2,1),IF(LEN(IFERROR(INDEX(醫師週班表!$C$5:$T$44,$CU26,CQ$57),""))=2,IF(AND(RIGHT(IFERROR(INDEX(醫師週班表!$C$5:$T$44,$CU26,CQ$57),""),1)="~",CQ$58=1),"",LEFT(IFERROR(INDEX(醫師週班表!$C$5:$T$44,$CU26,CQ$57),""),1)),IFERROR(INDEX(醫師週班表!$C$5:$T$44,$CU26,CQ$57),""))))))</f>
        <v/>
      </c>
      <c r="CR26" s="68">
        <f>IF(CR$59="X","",IF(CR$59&lt;&gt;"",CR$59,IF(IFERROR(INDEX(醫師週班表!$C$5:$T$44,$CU26,CR$57),"")=0,"",IF(LEN(IFERROR(INDEX(醫師週班表!$C$5:$T$44,$CU26,CR$57),""))=4,MID(IFERROR(INDEX(醫師週班表!$C$5:$T$44,$CU26,CR$57),""),1+CR$58*2,1),IF(LEN(IFERROR(INDEX(醫師週班表!$C$5:$T$44,$CU26,CR$57),""))=2,IF(AND(RIGHT(IFERROR(INDEX(醫師週班表!$C$5:$T$44,$CU26,CR$57),""),1)="~",CR$58=1),"",LEFT(IFERROR(INDEX(醫師週班表!$C$5:$T$44,$CU26,CR$57),""),1)),IFERROR(INDEX(醫師週班表!$C$5:$T$44,$CU26,CR$57),""))))))</f>
        <v/>
      </c>
      <c r="CS26" s="68">
        <f>IF(CS$59="X","",IF(CS$59&lt;&gt;"",CS$59,IF(IFERROR(INDEX(醫師週班表!$C$5:$T$44,$CU26,CS$57),"")=0,"",IF(LEN(IFERROR(INDEX(醫師週班表!$C$5:$T$44,$CU26,CS$57),""))=4,MID(IFERROR(INDEX(醫師週班表!$C$5:$T$44,$CU26,CS$57),""),1+CS$58*2,1),IF(LEN(IFERROR(INDEX(醫師週班表!$C$5:$T$44,$CU26,CS$57),""))=2,IF(AND(RIGHT(IFERROR(INDEX(醫師週班表!$C$5:$T$44,$CU26,CS$57),""),1)="~",CS$58=1),"",LEFT(IFERROR(INDEX(醫師週班表!$C$5:$T$44,$CU26,CS$57),""),1)),IFERROR(INDEX(醫師週班表!$C$5:$T$44,$CU26,CS$57),""))))))</f>
        <v/>
      </c>
      <c r="CU26" s="69">
        <f>IFERROR(MATCH($A26,醫師週班表!$A$5:$A$44,0),0)</f>
        <v/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IFERROR(INDEX(醫師週班表!$C$5:$T$44,$CU27,E$57),"")=0,"",IF(LEN(IFERROR(INDEX(醫師週班表!$C$5:$T$44,$CU27,E$57),""))=4,MID(IFERROR(INDEX(醫師週班表!$C$5:$T$44,$CU27,E$57),""),1+E$58*2,1),IF(LEN(IFERROR(INDEX(醫師週班表!$C$5:$T$44,$CU27,E$57),""))=2,IF(AND(RIGHT(IFERROR(INDEX(醫師週班表!$C$5:$T$44,$CU27,E$57),""),1)="~",E$58=1),"",LEFT(IFERROR(INDEX(醫師週班表!$C$5:$T$44,$CU27,E$57),""),1)),IFERROR(INDEX(醫師週班表!$C$5:$T$44,$CU27,E$57),""))))))</f>
        <v/>
      </c>
      <c r="F27" s="68">
        <f>IF(F$59="X","",IF(F$59&lt;&gt;"",F$59,IF(IFERROR(INDEX(醫師週班表!$C$5:$T$44,$CU27,F$57),"")=0,"",IF(LEN(IFERROR(INDEX(醫師週班表!$C$5:$T$44,$CU27,F$57),""))=4,MID(IFERROR(INDEX(醫師週班表!$C$5:$T$44,$CU27,F$57),""),1+F$58*2,1),IF(LEN(IFERROR(INDEX(醫師週班表!$C$5:$T$44,$CU27,F$57),""))=2,IF(AND(RIGHT(IFERROR(INDEX(醫師週班表!$C$5:$T$44,$CU27,F$57),""),1)="~",F$58=1),"",LEFT(IFERROR(INDEX(醫師週班表!$C$5:$T$44,$CU27,F$57),""),1)),IFERROR(INDEX(醫師週班表!$C$5:$T$44,$CU27,F$57),""))))))</f>
        <v/>
      </c>
      <c r="G27" s="68">
        <f>IF(G$59="X","",IF(G$59&lt;&gt;"",G$59,IF(IFERROR(INDEX(醫師週班表!$C$5:$T$44,$CU27,G$57),"")=0,"",IF(LEN(IFERROR(INDEX(醫師週班表!$C$5:$T$44,$CU27,G$57),""))=4,MID(IFERROR(INDEX(醫師週班表!$C$5:$T$44,$CU27,G$57),""),1+G$58*2,1),IF(LEN(IFERROR(INDEX(醫師週班表!$C$5:$T$44,$CU27,G$57),""))=2,IF(AND(RIGHT(IFERROR(INDEX(醫師週班表!$C$5:$T$44,$CU27,G$57),""),1)="~",G$58=1),"",LEFT(IFERROR(INDEX(醫師週班表!$C$5:$T$44,$CU27,G$57),""),1)),IFERROR(INDEX(醫師週班表!$C$5:$T$44,$CU27,G$57),""))))))</f>
        <v/>
      </c>
      <c r="H27" s="67">
        <f>IF(H$59="X","",IF(H$59&lt;&gt;"",H$59,IF(IFERROR(INDEX(醫師週班表!$C$5:$T$44,$CU27,H$57),"")=0,"",IF(LEN(IFERROR(INDEX(醫師週班表!$C$5:$T$44,$CU27,H$57),""))=4,MID(IFERROR(INDEX(醫師週班表!$C$5:$T$44,$CU27,H$57),""),1+H$58*2,1),IF(LEN(IFERROR(INDEX(醫師週班表!$C$5:$T$44,$CU27,H$57),""))=2,IF(AND(RIGHT(IFERROR(INDEX(醫師週班表!$C$5:$T$44,$CU27,H$57),""),1)="~",H$58=1),"",LEFT(IFERROR(INDEX(醫師週班表!$C$5:$T$44,$CU27,H$57),""),1)),IFERROR(INDEX(醫師週班表!$C$5:$T$44,$CU27,H$57),""))))))</f>
        <v/>
      </c>
      <c r="I27" s="68">
        <f>IF(I$59="X","",IF(I$59&lt;&gt;"",I$59,IF(IFERROR(INDEX(醫師週班表!$C$5:$T$44,$CU27,I$57),"")=0,"",IF(LEN(IFERROR(INDEX(醫師週班表!$C$5:$T$44,$CU27,I$57),""))=4,MID(IFERROR(INDEX(醫師週班表!$C$5:$T$44,$CU27,I$57),""),1+I$58*2,1),IF(LEN(IFERROR(INDEX(醫師週班表!$C$5:$T$44,$CU27,I$57),""))=2,IF(AND(RIGHT(IFERROR(INDEX(醫師週班表!$C$5:$T$44,$CU27,I$57),""),1)="~",I$58=1),"",LEFT(IFERROR(INDEX(醫師週班表!$C$5:$T$44,$CU27,I$57),""),1)),IFERROR(INDEX(醫師週班表!$C$5:$T$44,$CU27,I$57),""))))))</f>
        <v/>
      </c>
      <c r="J27" s="68">
        <f>IF(J$59="X","",IF(J$59&lt;&gt;"",J$59,IF(IFERROR(INDEX(醫師週班表!$C$5:$T$44,$CU27,J$57),"")=0,"",IF(LEN(IFERROR(INDEX(醫師週班表!$C$5:$T$44,$CU27,J$57),""))=4,MID(IFERROR(INDEX(醫師週班表!$C$5:$T$44,$CU27,J$57),""),1+J$58*2,1),IF(LEN(IFERROR(INDEX(醫師週班表!$C$5:$T$44,$CU27,J$57),""))=2,IF(AND(RIGHT(IFERROR(INDEX(醫師週班表!$C$5:$T$44,$CU27,J$57),""),1)="~",J$58=1),"",LEFT(IFERROR(INDEX(醫師週班表!$C$5:$T$44,$CU27,J$57),""),1)),IFERROR(INDEX(醫師週班表!$C$5:$T$44,$CU27,J$57),""))))))</f>
        <v/>
      </c>
      <c r="K27" s="67">
        <f>IF(K$59="X","",IF(K$59&lt;&gt;"",K$59,IF(IFERROR(INDEX(醫師週班表!$C$5:$T$44,$CU27,K$57),"")=0,"",IF(LEN(IFERROR(INDEX(醫師週班表!$C$5:$T$44,$CU27,K$57),""))=4,MID(IFERROR(INDEX(醫師週班表!$C$5:$T$44,$CU27,K$57),""),1+K$58*2,1),IF(LEN(IFERROR(INDEX(醫師週班表!$C$5:$T$44,$CU27,K$57),""))=2,IF(AND(RIGHT(IFERROR(INDEX(醫師週班表!$C$5:$T$44,$CU27,K$57),""),1)="~",K$58=1),"",LEFT(IFERROR(INDEX(醫師週班表!$C$5:$T$44,$CU27,K$57),""),1)),IFERROR(INDEX(醫師週班表!$C$5:$T$44,$CU27,K$57),""))))))</f>
        <v/>
      </c>
      <c r="L27" s="68">
        <f>IF(L$59="X","",IF(L$59&lt;&gt;"",L$59,IF(IFERROR(INDEX(醫師週班表!$C$5:$T$44,$CU27,L$57),"")=0,"",IF(LEN(IFERROR(INDEX(醫師週班表!$C$5:$T$44,$CU27,L$57),""))=4,MID(IFERROR(INDEX(醫師週班表!$C$5:$T$44,$CU27,L$57),""),1+L$58*2,1),IF(LEN(IFERROR(INDEX(醫師週班表!$C$5:$T$44,$CU27,L$57),""))=2,IF(AND(RIGHT(IFERROR(INDEX(醫師週班表!$C$5:$T$44,$CU27,L$57),""),1)="~",L$58=1),"",LEFT(IFERROR(INDEX(醫師週班表!$C$5:$T$44,$CU27,L$57),""),1)),IFERROR(INDEX(醫師週班表!$C$5:$T$44,$CU27,L$57),""))))))</f>
        <v/>
      </c>
      <c r="M27" s="68">
        <f>IF(M$59="X","",IF(M$59&lt;&gt;"",M$59,IF(IFERROR(INDEX(醫師週班表!$C$5:$T$44,$CU27,M$57),"")=0,"",IF(LEN(IFERROR(INDEX(醫師週班表!$C$5:$T$44,$CU27,M$57),""))=4,MID(IFERROR(INDEX(醫師週班表!$C$5:$T$44,$CU27,M$57),""),1+M$58*2,1),IF(LEN(IFERROR(INDEX(醫師週班表!$C$5:$T$44,$CU27,M$57),""))=2,IF(AND(RIGHT(IFERROR(INDEX(醫師週班表!$C$5:$T$44,$CU27,M$57),""),1)="~",M$58=1),"",LEFT(IFERROR(INDEX(醫師週班表!$C$5:$T$44,$CU27,M$57),""),1)),IFERROR(INDEX(醫師週班表!$C$5:$T$44,$CU27,M$57),""))))))</f>
        <v/>
      </c>
      <c r="N27" s="67">
        <f>IF(N$59="X","",IF(N$59&lt;&gt;"",N$59,IF(IFERROR(INDEX(醫師週班表!$C$5:$T$44,$CU27,N$57),"")=0,"",IF(LEN(IFERROR(INDEX(醫師週班表!$C$5:$T$44,$CU27,N$57),""))=4,MID(IFERROR(INDEX(醫師週班表!$C$5:$T$44,$CU27,N$57),""),1+N$58*2,1),IF(LEN(IFERROR(INDEX(醫師週班表!$C$5:$T$44,$CU27,N$57),""))=2,IF(AND(RIGHT(IFERROR(INDEX(醫師週班表!$C$5:$T$44,$CU27,N$57),""),1)="~",N$58=1),"",LEFT(IFERROR(INDEX(醫師週班表!$C$5:$T$44,$CU27,N$57),""),1)),IFERROR(INDEX(醫師週班表!$C$5:$T$44,$CU27,N$57),""))))))</f>
        <v/>
      </c>
      <c r="O27" s="68">
        <f>IF(O$59="X","",IF(O$59&lt;&gt;"",O$59,IF(IFERROR(INDEX(醫師週班表!$C$5:$T$44,$CU27,O$57),"")=0,"",IF(LEN(IFERROR(INDEX(醫師週班表!$C$5:$T$44,$CU27,O$57),""))=4,MID(IFERROR(INDEX(醫師週班表!$C$5:$T$44,$CU27,O$57),""),1+O$58*2,1),IF(LEN(IFERROR(INDEX(醫師週班表!$C$5:$T$44,$CU27,O$57),""))=2,IF(AND(RIGHT(IFERROR(INDEX(醫師週班表!$C$5:$T$44,$CU27,O$57),""),1)="~",O$58=1),"",LEFT(IFERROR(INDEX(醫師週班表!$C$5:$T$44,$CU27,O$57),""),1)),IFERROR(INDEX(醫師週班表!$C$5:$T$44,$CU27,O$57),""))))))</f>
        <v/>
      </c>
      <c r="P27" s="68">
        <f>IF(P$59="X","",IF(P$59&lt;&gt;"",P$59,IF(IFERROR(INDEX(醫師週班表!$C$5:$T$44,$CU27,P$57),"")=0,"",IF(LEN(IFERROR(INDEX(醫師週班表!$C$5:$T$44,$CU27,P$57),""))=4,MID(IFERROR(INDEX(醫師週班表!$C$5:$T$44,$CU27,P$57),""),1+P$58*2,1),IF(LEN(IFERROR(INDEX(醫師週班表!$C$5:$T$44,$CU27,P$57),""))=2,IF(AND(RIGHT(IFERROR(INDEX(醫師週班表!$C$5:$T$44,$CU27,P$57),""),1)="~",P$58=1),"",LEFT(IFERROR(INDEX(醫師週班表!$C$5:$T$44,$CU27,P$57),""),1)),IFERROR(INDEX(醫師週班表!$C$5:$T$44,$CU27,P$57),""))))))</f>
        <v/>
      </c>
      <c r="Q27" s="67">
        <f>IF(Q$59="X","",IF(Q$59&lt;&gt;"",Q$59,IF(IFERROR(INDEX(醫師週班表!$C$5:$T$44,$CU27,Q$57),"")=0,"",IF(LEN(IFERROR(INDEX(醫師週班表!$C$5:$T$44,$CU27,Q$57),""))=4,MID(IFERROR(INDEX(醫師週班表!$C$5:$T$44,$CU27,Q$57),""),1+Q$58*2,1),IF(LEN(IFERROR(INDEX(醫師週班表!$C$5:$T$44,$CU27,Q$57),""))=2,IF(AND(RIGHT(IFERROR(INDEX(醫師週班表!$C$5:$T$44,$CU27,Q$57),""),1)="~",Q$58=1),"",LEFT(IFERROR(INDEX(醫師週班表!$C$5:$T$44,$CU27,Q$57),""),1)),IFERROR(INDEX(醫師週班表!$C$5:$T$44,$CU27,Q$57),""))))))</f>
        <v/>
      </c>
      <c r="R27" s="68">
        <f>IF(R$59="X","",IF(R$59&lt;&gt;"",R$59,IF(IFERROR(INDEX(醫師週班表!$C$5:$T$44,$CU27,R$57),"")=0,"",IF(LEN(IFERROR(INDEX(醫師週班表!$C$5:$T$44,$CU27,R$57),""))=4,MID(IFERROR(INDEX(醫師週班表!$C$5:$T$44,$CU27,R$57),""),1+R$58*2,1),IF(LEN(IFERROR(INDEX(醫師週班表!$C$5:$T$44,$CU27,R$57),""))=2,IF(AND(RIGHT(IFERROR(INDEX(醫師週班表!$C$5:$T$44,$CU27,R$57),""),1)="~",R$58=1),"",LEFT(IFERROR(INDEX(醫師週班表!$C$5:$T$44,$CU27,R$57),""),1)),IFERROR(INDEX(醫師週班表!$C$5:$T$44,$CU27,R$57),""))))))</f>
        <v/>
      </c>
      <c r="S27" s="68">
        <f>IF(S$59="X","",IF(S$59&lt;&gt;"",S$59,IF(IFERROR(INDEX(醫師週班表!$C$5:$T$44,$CU27,S$57),"")=0,"",IF(LEN(IFERROR(INDEX(醫師週班表!$C$5:$T$44,$CU27,S$57),""))=4,MID(IFERROR(INDEX(醫師週班表!$C$5:$T$44,$CU27,S$57),""),1+S$58*2,1),IF(LEN(IFERROR(INDEX(醫師週班表!$C$5:$T$44,$CU27,S$57),""))=2,IF(AND(RIGHT(IFERROR(INDEX(醫師週班表!$C$5:$T$44,$CU27,S$57),""),1)="~",S$58=1),"",LEFT(IFERROR(INDEX(醫師週班表!$C$5:$T$44,$CU27,S$57),""),1)),IFERROR(INDEX(醫師週班表!$C$5:$T$44,$CU27,S$57),""))))))</f>
        <v/>
      </c>
      <c r="T27" s="67">
        <f>IF(T$59="X","",IF(T$59&lt;&gt;"",T$59,IF(IFERROR(INDEX(醫師週班表!$C$5:$T$44,$CU27,T$57),"")=0,"",IF(LEN(IFERROR(INDEX(醫師週班表!$C$5:$T$44,$CU27,T$57),""))=4,MID(IFERROR(INDEX(醫師週班表!$C$5:$T$44,$CU27,T$57),""),1+T$58*2,1),IF(LEN(IFERROR(INDEX(醫師週班表!$C$5:$T$44,$CU27,T$57),""))=2,IF(AND(RIGHT(IFERROR(INDEX(醫師週班表!$C$5:$T$44,$CU27,T$57),""),1)="~",T$58=1),"",LEFT(IFERROR(INDEX(醫師週班表!$C$5:$T$44,$CU27,T$57),""),1)),IFERROR(INDEX(醫師週班表!$C$5:$T$44,$CU27,T$57),""))))))</f>
        <v/>
      </c>
      <c r="U27" s="68">
        <f>IF(U$59="X","",IF(U$59&lt;&gt;"",U$59,IF(IFERROR(INDEX(醫師週班表!$C$5:$T$44,$CU27,U$57),"")=0,"",IF(LEN(IFERROR(INDEX(醫師週班表!$C$5:$T$44,$CU27,U$57),""))=4,MID(IFERROR(INDEX(醫師週班表!$C$5:$T$44,$CU27,U$57),""),1+U$58*2,1),IF(LEN(IFERROR(INDEX(醫師週班表!$C$5:$T$44,$CU27,U$57),""))=2,IF(AND(RIGHT(IFERROR(INDEX(醫師週班表!$C$5:$T$44,$CU27,U$57),""),1)="~",U$58=1),"",LEFT(IFERROR(INDEX(醫師週班表!$C$5:$T$44,$CU27,U$57),""),1)),IFERROR(INDEX(醫師週班表!$C$5:$T$44,$CU27,U$57),""))))))</f>
        <v/>
      </c>
      <c r="V27" s="68">
        <f>IF(V$59="X","",IF(V$59&lt;&gt;"",V$59,IF(IFERROR(INDEX(醫師週班表!$C$5:$T$44,$CU27,V$57),"")=0,"",IF(LEN(IFERROR(INDEX(醫師週班表!$C$5:$T$44,$CU27,V$57),""))=4,MID(IFERROR(INDEX(醫師週班表!$C$5:$T$44,$CU27,V$57),""),1+V$58*2,1),IF(LEN(IFERROR(INDEX(醫師週班表!$C$5:$T$44,$CU27,V$57),""))=2,IF(AND(RIGHT(IFERROR(INDEX(醫師週班表!$C$5:$T$44,$CU27,V$57),""),1)="~",V$58=1),"",LEFT(IFERROR(INDEX(醫師週班表!$C$5:$T$44,$CU27,V$57),""),1)),IFERROR(INDEX(醫師週班表!$C$5:$T$44,$CU27,V$57),""))))))</f>
        <v/>
      </c>
      <c r="W27" s="67">
        <f>IF(W$59="X","",IF(W$59&lt;&gt;"",W$59,IF(IFERROR(INDEX(醫師週班表!$C$5:$T$44,$CU27,W$57),"")=0,"",IF(LEN(IFERROR(INDEX(醫師週班表!$C$5:$T$44,$CU27,W$57),""))=4,MID(IFERROR(INDEX(醫師週班表!$C$5:$T$44,$CU27,W$57),""),1+W$58*2,1),IF(LEN(IFERROR(INDEX(醫師週班表!$C$5:$T$44,$CU27,W$57),""))=2,IF(AND(RIGHT(IFERROR(INDEX(醫師週班表!$C$5:$T$44,$CU27,W$57),""),1)="~",W$58=1),"",LEFT(IFERROR(INDEX(醫師週班表!$C$5:$T$44,$CU27,W$57),""),1)),IFERROR(INDEX(醫師週班表!$C$5:$T$44,$CU27,W$57),""))))))</f>
        <v/>
      </c>
      <c r="X27" s="68">
        <f>IF(X$59="X","",IF(X$59&lt;&gt;"",X$59,IF(IFERROR(INDEX(醫師週班表!$C$5:$T$44,$CU27,X$57),"")=0,"",IF(LEN(IFERROR(INDEX(醫師週班表!$C$5:$T$44,$CU27,X$57),""))=4,MID(IFERROR(INDEX(醫師週班表!$C$5:$T$44,$CU27,X$57),""),1+X$58*2,1),IF(LEN(IFERROR(INDEX(醫師週班表!$C$5:$T$44,$CU27,X$57),""))=2,IF(AND(RIGHT(IFERROR(INDEX(醫師週班表!$C$5:$T$44,$CU27,X$57),""),1)="~",X$58=1),"",LEFT(IFERROR(INDEX(醫師週班表!$C$5:$T$44,$CU27,X$57),""),1)),IFERROR(INDEX(醫師週班表!$C$5:$T$44,$CU27,X$57),""))))))</f>
        <v/>
      </c>
      <c r="Y27" s="68">
        <f>IF(Y$59="X","",IF(Y$59&lt;&gt;"",Y$59,IF(IFERROR(INDEX(醫師週班表!$C$5:$T$44,$CU27,Y$57),"")=0,"",IF(LEN(IFERROR(INDEX(醫師週班表!$C$5:$T$44,$CU27,Y$57),""))=4,MID(IFERROR(INDEX(醫師週班表!$C$5:$T$44,$CU27,Y$57),""),1+Y$58*2,1),IF(LEN(IFERROR(INDEX(醫師週班表!$C$5:$T$44,$CU27,Y$57),""))=2,IF(AND(RIGHT(IFERROR(INDEX(醫師週班表!$C$5:$T$44,$CU27,Y$57),""),1)="~",Y$58=1),"",LEFT(IFERROR(INDEX(醫師週班表!$C$5:$T$44,$CU27,Y$57),""),1)),IFERROR(INDEX(醫師週班表!$C$5:$T$44,$CU27,Y$57),""))))))</f>
        <v/>
      </c>
      <c r="Z27" s="67">
        <f>IF(Z$59="X","",IF(Z$59&lt;&gt;"",Z$59,IF(IFERROR(INDEX(醫師週班表!$C$5:$T$44,$CU27,Z$57),"")=0,"",IF(LEN(IFERROR(INDEX(醫師週班表!$C$5:$T$44,$CU27,Z$57),""))=4,MID(IFERROR(INDEX(醫師週班表!$C$5:$T$44,$CU27,Z$57),""),1+Z$58*2,1),IF(LEN(IFERROR(INDEX(醫師週班表!$C$5:$T$44,$CU27,Z$57),""))=2,IF(AND(RIGHT(IFERROR(INDEX(醫師週班表!$C$5:$T$44,$CU27,Z$57),""),1)="~",Z$58=1),"",LEFT(IFERROR(INDEX(醫師週班表!$C$5:$T$44,$CU27,Z$57),""),1)),IFERROR(INDEX(醫師週班表!$C$5:$T$44,$CU27,Z$57),""))))))</f>
        <v/>
      </c>
      <c r="AA27" s="68">
        <f>IF(AA$59="X","",IF(AA$59&lt;&gt;"",AA$59,IF(IFERROR(INDEX(醫師週班表!$C$5:$T$44,$CU27,AA$57),"")=0,"",IF(LEN(IFERROR(INDEX(醫師週班表!$C$5:$T$44,$CU27,AA$57),""))=4,MID(IFERROR(INDEX(醫師週班表!$C$5:$T$44,$CU27,AA$57),""),1+AA$58*2,1),IF(LEN(IFERROR(INDEX(醫師週班表!$C$5:$T$44,$CU27,AA$57),""))=2,IF(AND(RIGHT(IFERROR(INDEX(醫師週班表!$C$5:$T$44,$CU27,AA$57),""),1)="~",AA$58=1),"",LEFT(IFERROR(INDEX(醫師週班表!$C$5:$T$44,$CU27,AA$57),""),1)),IFERROR(INDEX(醫師週班表!$C$5:$T$44,$CU27,AA$57),""))))))</f>
        <v/>
      </c>
      <c r="AB27" s="68">
        <f>IF(AB$59="X","",IF(AB$59&lt;&gt;"",AB$59,IF(IFERROR(INDEX(醫師週班表!$C$5:$T$44,$CU27,AB$57),"")=0,"",IF(LEN(IFERROR(INDEX(醫師週班表!$C$5:$T$44,$CU27,AB$57),""))=4,MID(IFERROR(INDEX(醫師週班表!$C$5:$T$44,$CU27,AB$57),""),1+AB$58*2,1),IF(LEN(IFERROR(INDEX(醫師週班表!$C$5:$T$44,$CU27,AB$57),""))=2,IF(AND(RIGHT(IFERROR(INDEX(醫師週班表!$C$5:$T$44,$CU27,AB$57),""),1)="~",AB$58=1),"",LEFT(IFERROR(INDEX(醫師週班表!$C$5:$T$44,$CU27,AB$57),""),1)),IFERROR(INDEX(醫師週班表!$C$5:$T$44,$CU27,AB$57),""))))))</f>
        <v/>
      </c>
      <c r="AC27" s="67">
        <f>IF(AC$59="X","",IF(AC$59&lt;&gt;"",AC$59,IF(IFERROR(INDEX(醫師週班表!$C$5:$T$44,$CU27,AC$57),"")=0,"",IF(LEN(IFERROR(INDEX(醫師週班表!$C$5:$T$44,$CU27,AC$57),""))=4,MID(IFERROR(INDEX(醫師週班表!$C$5:$T$44,$CU27,AC$57),""),1+AC$58*2,1),IF(LEN(IFERROR(INDEX(醫師週班表!$C$5:$T$44,$CU27,AC$57),""))=2,IF(AND(RIGHT(IFERROR(INDEX(醫師週班表!$C$5:$T$44,$CU27,AC$57),""),1)="~",AC$58=1),"",LEFT(IFERROR(INDEX(醫師週班表!$C$5:$T$44,$CU27,AC$57),""),1)),IFERROR(INDEX(醫師週班表!$C$5:$T$44,$CU27,AC$57),""))))))</f>
        <v/>
      </c>
      <c r="AD27" s="68">
        <f>IF(AD$59="X","",IF(AD$59&lt;&gt;"",AD$59,IF(IFERROR(INDEX(醫師週班表!$C$5:$T$44,$CU27,AD$57),"")=0,"",IF(LEN(IFERROR(INDEX(醫師週班表!$C$5:$T$44,$CU27,AD$57),""))=4,MID(IFERROR(INDEX(醫師週班表!$C$5:$T$44,$CU27,AD$57),""),1+AD$58*2,1),IF(LEN(IFERROR(INDEX(醫師週班表!$C$5:$T$44,$CU27,AD$57),""))=2,IF(AND(RIGHT(IFERROR(INDEX(醫師週班表!$C$5:$T$44,$CU27,AD$57),""),1)="~",AD$58=1),"",LEFT(IFERROR(INDEX(醫師週班表!$C$5:$T$44,$CU27,AD$57),""),1)),IFERROR(INDEX(醫師週班表!$C$5:$T$44,$CU27,AD$57),""))))))</f>
        <v/>
      </c>
      <c r="AE27" s="68">
        <f>IF(AE$59="X","",IF(AE$59&lt;&gt;"",AE$59,IF(IFERROR(INDEX(醫師週班表!$C$5:$T$44,$CU27,AE$57),"")=0,"",IF(LEN(IFERROR(INDEX(醫師週班表!$C$5:$T$44,$CU27,AE$57),""))=4,MID(IFERROR(INDEX(醫師週班表!$C$5:$T$44,$CU27,AE$57),""),1+AE$58*2,1),IF(LEN(IFERROR(INDEX(醫師週班表!$C$5:$T$44,$CU27,AE$57),""))=2,IF(AND(RIGHT(IFERROR(INDEX(醫師週班表!$C$5:$T$44,$CU27,AE$57),""),1)="~",AE$58=1),"",LEFT(IFERROR(INDEX(醫師週班表!$C$5:$T$44,$CU27,AE$57),""),1)),IFERROR(INDEX(醫師週班表!$C$5:$T$44,$CU27,AE$57),""))))))</f>
        <v/>
      </c>
      <c r="AF27" s="67">
        <f>IF(AF$59="X","",IF(AF$59&lt;&gt;"",AF$59,IF(IFERROR(INDEX(醫師週班表!$C$5:$T$44,$CU27,AF$57),"")=0,"",IF(LEN(IFERROR(INDEX(醫師週班表!$C$5:$T$44,$CU27,AF$57),""))=4,MID(IFERROR(INDEX(醫師週班表!$C$5:$T$44,$CU27,AF$57),""),1+AF$58*2,1),IF(LEN(IFERROR(INDEX(醫師週班表!$C$5:$T$44,$CU27,AF$57),""))=2,IF(AND(RIGHT(IFERROR(INDEX(醫師週班表!$C$5:$T$44,$CU27,AF$57),""),1)="~",AF$58=1),"",LEFT(IFERROR(INDEX(醫師週班表!$C$5:$T$44,$CU27,AF$57),""),1)),IFERROR(INDEX(醫師週班表!$C$5:$T$44,$CU27,AF$57),""))))))</f>
        <v/>
      </c>
      <c r="AG27" s="68">
        <f>IF(AG$59="X","",IF(AG$59&lt;&gt;"",AG$59,IF(IFERROR(INDEX(醫師週班表!$C$5:$T$44,$CU27,AG$57),"")=0,"",IF(LEN(IFERROR(INDEX(醫師週班表!$C$5:$T$44,$CU27,AG$57),""))=4,MID(IFERROR(INDEX(醫師週班表!$C$5:$T$44,$CU27,AG$57),""),1+AG$58*2,1),IF(LEN(IFERROR(INDEX(醫師週班表!$C$5:$T$44,$CU27,AG$57),""))=2,IF(AND(RIGHT(IFERROR(INDEX(醫師週班表!$C$5:$T$44,$CU27,AG$57),""),1)="~",AG$58=1),"",LEFT(IFERROR(INDEX(醫師週班表!$C$5:$T$44,$CU27,AG$57),""),1)),IFERROR(INDEX(醫師週班表!$C$5:$T$44,$CU27,AG$57),""))))))</f>
        <v/>
      </c>
      <c r="AH27" s="68">
        <f>IF(AH$59="X","",IF(AH$59&lt;&gt;"",AH$59,IF(IFERROR(INDEX(醫師週班表!$C$5:$T$44,$CU27,AH$57),"")=0,"",IF(LEN(IFERROR(INDEX(醫師週班表!$C$5:$T$44,$CU27,AH$57),""))=4,MID(IFERROR(INDEX(醫師週班表!$C$5:$T$44,$CU27,AH$57),""),1+AH$58*2,1),IF(LEN(IFERROR(INDEX(醫師週班表!$C$5:$T$44,$CU27,AH$57),""))=2,IF(AND(RIGHT(IFERROR(INDEX(醫師週班表!$C$5:$T$44,$CU27,AH$57),""),1)="~",AH$58=1),"",LEFT(IFERROR(INDEX(醫師週班表!$C$5:$T$44,$CU27,AH$57),""),1)),IFERROR(INDEX(醫師週班表!$C$5:$T$44,$CU27,AH$57),""))))))</f>
        <v/>
      </c>
      <c r="AI27" s="67">
        <f>IF(AI$59="X","",IF(AI$59&lt;&gt;"",AI$59,IF(IFERROR(INDEX(醫師週班表!$C$5:$T$44,$CU27,AI$57),"")=0,"",IF(LEN(IFERROR(INDEX(醫師週班表!$C$5:$T$44,$CU27,AI$57),""))=4,MID(IFERROR(INDEX(醫師週班表!$C$5:$T$44,$CU27,AI$57),""),1+AI$58*2,1),IF(LEN(IFERROR(INDEX(醫師週班表!$C$5:$T$44,$CU27,AI$57),""))=2,IF(AND(RIGHT(IFERROR(INDEX(醫師週班表!$C$5:$T$44,$CU27,AI$57),""),1)="~",AI$58=1),"",LEFT(IFERROR(INDEX(醫師週班表!$C$5:$T$44,$CU27,AI$57),""),1)),IFERROR(INDEX(醫師週班表!$C$5:$T$44,$CU27,AI$57),""))))))</f>
        <v/>
      </c>
      <c r="AJ27" s="68">
        <f>IF(AJ$59="X","",IF(AJ$59&lt;&gt;"",AJ$59,IF(IFERROR(INDEX(醫師週班表!$C$5:$T$44,$CU27,AJ$57),"")=0,"",IF(LEN(IFERROR(INDEX(醫師週班表!$C$5:$T$44,$CU27,AJ$57),""))=4,MID(IFERROR(INDEX(醫師週班表!$C$5:$T$44,$CU27,AJ$57),""),1+AJ$58*2,1),IF(LEN(IFERROR(INDEX(醫師週班表!$C$5:$T$44,$CU27,AJ$57),""))=2,IF(AND(RIGHT(IFERROR(INDEX(醫師週班表!$C$5:$T$44,$CU27,AJ$57),""),1)="~",AJ$58=1),"",LEFT(IFERROR(INDEX(醫師週班表!$C$5:$T$44,$CU27,AJ$57),""),1)),IFERROR(INDEX(醫師週班表!$C$5:$T$44,$CU27,AJ$57),""))))))</f>
        <v/>
      </c>
      <c r="AK27" s="68">
        <f>IF(AK$59="X","",IF(AK$59&lt;&gt;"",AK$59,IF(IFERROR(INDEX(醫師週班表!$C$5:$T$44,$CU27,AK$57),"")=0,"",IF(LEN(IFERROR(INDEX(醫師週班表!$C$5:$T$44,$CU27,AK$57),""))=4,MID(IFERROR(INDEX(醫師週班表!$C$5:$T$44,$CU27,AK$57),""),1+AK$58*2,1),IF(LEN(IFERROR(INDEX(醫師週班表!$C$5:$T$44,$CU27,AK$57),""))=2,IF(AND(RIGHT(IFERROR(INDEX(醫師週班表!$C$5:$T$44,$CU27,AK$57),""),1)="~",AK$58=1),"",LEFT(IFERROR(INDEX(醫師週班表!$C$5:$T$44,$CU27,AK$57),""),1)),IFERROR(INDEX(醫師週班表!$C$5:$T$44,$CU27,AK$57),""))))))</f>
        <v/>
      </c>
      <c r="AL27" s="67">
        <f>IF(AL$59="X","",IF(AL$59&lt;&gt;"",AL$59,IF(IFERROR(INDEX(醫師週班表!$C$5:$T$44,$CU27,AL$57),"")=0,"",IF(LEN(IFERROR(INDEX(醫師週班表!$C$5:$T$44,$CU27,AL$57),""))=4,MID(IFERROR(INDEX(醫師週班表!$C$5:$T$44,$CU27,AL$57),""),1+AL$58*2,1),IF(LEN(IFERROR(INDEX(醫師週班表!$C$5:$T$44,$CU27,AL$57),""))=2,IF(AND(RIGHT(IFERROR(INDEX(醫師週班表!$C$5:$T$44,$CU27,AL$57),""),1)="~",AL$58=1),"",LEFT(IFERROR(INDEX(醫師週班表!$C$5:$T$44,$CU27,AL$57),""),1)),IFERROR(INDEX(醫師週班表!$C$5:$T$44,$CU27,AL$57),""))))))</f>
        <v/>
      </c>
      <c r="AM27" s="68">
        <f>IF(AM$59="X","",IF(AM$59&lt;&gt;"",AM$59,IF(IFERROR(INDEX(醫師週班表!$C$5:$T$44,$CU27,AM$57),"")=0,"",IF(LEN(IFERROR(INDEX(醫師週班表!$C$5:$T$44,$CU27,AM$57),""))=4,MID(IFERROR(INDEX(醫師週班表!$C$5:$T$44,$CU27,AM$57),""),1+AM$58*2,1),IF(LEN(IFERROR(INDEX(醫師週班表!$C$5:$T$44,$CU27,AM$57),""))=2,IF(AND(RIGHT(IFERROR(INDEX(醫師週班表!$C$5:$T$44,$CU27,AM$57),""),1)="~",AM$58=1),"",LEFT(IFERROR(INDEX(醫師週班表!$C$5:$T$44,$CU27,AM$57),""),1)),IFERROR(INDEX(醫師週班表!$C$5:$T$44,$CU27,AM$57),""))))))</f>
        <v/>
      </c>
      <c r="AN27" s="68">
        <f>IF(AN$59="X","",IF(AN$59&lt;&gt;"",AN$59,IF(IFERROR(INDEX(醫師週班表!$C$5:$T$44,$CU27,AN$57),"")=0,"",IF(LEN(IFERROR(INDEX(醫師週班表!$C$5:$T$44,$CU27,AN$57),""))=4,MID(IFERROR(INDEX(醫師週班表!$C$5:$T$44,$CU27,AN$57),""),1+AN$58*2,1),IF(LEN(IFERROR(INDEX(醫師週班表!$C$5:$T$44,$CU27,AN$57),""))=2,IF(AND(RIGHT(IFERROR(INDEX(醫師週班表!$C$5:$T$44,$CU27,AN$57),""),1)="~",AN$58=1),"",LEFT(IFERROR(INDEX(醫師週班表!$C$5:$T$44,$CU27,AN$57),""),1)),IFERROR(INDEX(醫師週班表!$C$5:$T$44,$CU27,AN$57),""))))))</f>
        <v/>
      </c>
      <c r="AO27" s="67">
        <f>IF(AO$59="X","",IF(AO$59&lt;&gt;"",AO$59,IF(IFERROR(INDEX(醫師週班表!$C$5:$T$44,$CU27,AO$57),"")=0,"",IF(LEN(IFERROR(INDEX(醫師週班表!$C$5:$T$44,$CU27,AO$57),""))=4,MID(IFERROR(INDEX(醫師週班表!$C$5:$T$44,$CU27,AO$57),""),1+AO$58*2,1),IF(LEN(IFERROR(INDEX(醫師週班表!$C$5:$T$44,$CU27,AO$57),""))=2,IF(AND(RIGHT(IFERROR(INDEX(醫師週班表!$C$5:$T$44,$CU27,AO$57),""),1)="~",AO$58=1),"",LEFT(IFERROR(INDEX(醫師週班表!$C$5:$T$44,$CU27,AO$57),""),1)),IFERROR(INDEX(醫師週班表!$C$5:$T$44,$CU27,AO$57),""))))))</f>
        <v/>
      </c>
      <c r="AP27" s="68">
        <f>IF(AP$59="X","",IF(AP$59&lt;&gt;"",AP$59,IF(IFERROR(INDEX(醫師週班表!$C$5:$T$44,$CU27,AP$57),"")=0,"",IF(LEN(IFERROR(INDEX(醫師週班表!$C$5:$T$44,$CU27,AP$57),""))=4,MID(IFERROR(INDEX(醫師週班表!$C$5:$T$44,$CU27,AP$57),""),1+AP$58*2,1),IF(LEN(IFERROR(INDEX(醫師週班表!$C$5:$T$44,$CU27,AP$57),""))=2,IF(AND(RIGHT(IFERROR(INDEX(醫師週班表!$C$5:$T$44,$CU27,AP$57),""),1)="~",AP$58=1),"",LEFT(IFERROR(INDEX(醫師週班表!$C$5:$T$44,$CU27,AP$57),""),1)),IFERROR(INDEX(醫師週班表!$C$5:$T$44,$CU27,AP$57),""))))))</f>
        <v/>
      </c>
      <c r="AQ27" s="68">
        <f>IF(AQ$59="X","",IF(AQ$59&lt;&gt;"",AQ$59,IF(IFERROR(INDEX(醫師週班表!$C$5:$T$44,$CU27,AQ$57),"")=0,"",IF(LEN(IFERROR(INDEX(醫師週班表!$C$5:$T$44,$CU27,AQ$57),""))=4,MID(IFERROR(INDEX(醫師週班表!$C$5:$T$44,$CU27,AQ$57),""),1+AQ$58*2,1),IF(LEN(IFERROR(INDEX(醫師週班表!$C$5:$T$44,$CU27,AQ$57),""))=2,IF(AND(RIGHT(IFERROR(INDEX(醫師週班表!$C$5:$T$44,$CU27,AQ$57),""),1)="~",AQ$58=1),"",LEFT(IFERROR(INDEX(醫師週班表!$C$5:$T$44,$CU27,AQ$57),""),1)),IFERROR(INDEX(醫師週班表!$C$5:$T$44,$CU27,AQ$57),""))))))</f>
        <v/>
      </c>
      <c r="AR27" s="67">
        <f>IF(AR$59="X","",IF(AR$59&lt;&gt;"",AR$59,IF(IFERROR(INDEX(醫師週班表!$C$5:$T$44,$CU27,AR$57),"")=0,"",IF(LEN(IFERROR(INDEX(醫師週班表!$C$5:$T$44,$CU27,AR$57),""))=4,MID(IFERROR(INDEX(醫師週班表!$C$5:$T$44,$CU27,AR$57),""),1+AR$58*2,1),IF(LEN(IFERROR(INDEX(醫師週班表!$C$5:$T$44,$CU27,AR$57),""))=2,IF(AND(RIGHT(IFERROR(INDEX(醫師週班表!$C$5:$T$44,$CU27,AR$57),""),1)="~",AR$58=1),"",LEFT(IFERROR(INDEX(醫師週班表!$C$5:$T$44,$CU27,AR$57),""),1)),IFERROR(INDEX(醫師週班表!$C$5:$T$44,$CU27,AR$57),""))))))</f>
        <v/>
      </c>
      <c r="AS27" s="68">
        <f>IF(AS$59="X","",IF(AS$59&lt;&gt;"",AS$59,IF(IFERROR(INDEX(醫師週班表!$C$5:$T$44,$CU27,AS$57),"")=0,"",IF(LEN(IFERROR(INDEX(醫師週班表!$C$5:$T$44,$CU27,AS$57),""))=4,MID(IFERROR(INDEX(醫師週班表!$C$5:$T$44,$CU27,AS$57),""),1+AS$58*2,1),IF(LEN(IFERROR(INDEX(醫師週班表!$C$5:$T$44,$CU27,AS$57),""))=2,IF(AND(RIGHT(IFERROR(INDEX(醫師週班表!$C$5:$T$44,$CU27,AS$57),""),1)="~",AS$58=1),"",LEFT(IFERROR(INDEX(醫師週班表!$C$5:$T$44,$CU27,AS$57),""),1)),IFERROR(INDEX(醫師週班表!$C$5:$T$44,$CU27,AS$57),""))))))</f>
        <v/>
      </c>
      <c r="AT27" s="68">
        <f>IF(AT$59="X","",IF(AT$59&lt;&gt;"",AT$59,IF(IFERROR(INDEX(醫師週班表!$C$5:$T$44,$CU27,AT$57),"")=0,"",IF(LEN(IFERROR(INDEX(醫師週班表!$C$5:$T$44,$CU27,AT$57),""))=4,MID(IFERROR(INDEX(醫師週班表!$C$5:$T$44,$CU27,AT$57),""),1+AT$58*2,1),IF(LEN(IFERROR(INDEX(醫師週班表!$C$5:$T$44,$CU27,AT$57),""))=2,IF(AND(RIGHT(IFERROR(INDEX(醫師週班表!$C$5:$T$44,$CU27,AT$57),""),1)="~",AT$58=1),"",LEFT(IFERROR(INDEX(醫師週班表!$C$5:$T$44,$CU27,AT$57),""),1)),IFERROR(INDEX(醫師週班表!$C$5:$T$44,$CU27,AT$57),""))))))</f>
        <v/>
      </c>
      <c r="AU27" s="67">
        <f>IF(AU$59="X","",IF(AU$59&lt;&gt;"",AU$59,IF(IFERROR(INDEX(醫師週班表!$C$5:$T$44,$CU27,AU$57),"")=0,"",IF(LEN(IFERROR(INDEX(醫師週班表!$C$5:$T$44,$CU27,AU$57),""))=4,MID(IFERROR(INDEX(醫師週班表!$C$5:$T$44,$CU27,AU$57),""),1+AU$58*2,1),IF(LEN(IFERROR(INDEX(醫師週班表!$C$5:$T$44,$CU27,AU$57),""))=2,IF(AND(RIGHT(IFERROR(INDEX(醫師週班表!$C$5:$T$44,$CU27,AU$57),""),1)="~",AU$58=1),"",LEFT(IFERROR(INDEX(醫師週班表!$C$5:$T$44,$CU27,AU$57),""),1)),IFERROR(INDEX(醫師週班表!$C$5:$T$44,$CU27,AU$57),""))))))</f>
        <v/>
      </c>
      <c r="AV27" s="68">
        <f>IF(AV$59="X","",IF(AV$59&lt;&gt;"",AV$59,IF(IFERROR(INDEX(醫師週班表!$C$5:$T$44,$CU27,AV$57),"")=0,"",IF(LEN(IFERROR(INDEX(醫師週班表!$C$5:$T$44,$CU27,AV$57),""))=4,MID(IFERROR(INDEX(醫師週班表!$C$5:$T$44,$CU27,AV$57),""),1+AV$58*2,1),IF(LEN(IFERROR(INDEX(醫師週班表!$C$5:$T$44,$CU27,AV$57),""))=2,IF(AND(RIGHT(IFERROR(INDEX(醫師週班表!$C$5:$T$44,$CU27,AV$57),""),1)="~",AV$58=1),"",LEFT(IFERROR(INDEX(醫師週班表!$C$5:$T$44,$CU27,AV$57),""),1)),IFERROR(INDEX(醫師週班表!$C$5:$T$44,$CU27,AV$57),""))))))</f>
        <v/>
      </c>
      <c r="AW27" s="68">
        <f>IF(AW$59="X","",IF(AW$59&lt;&gt;"",AW$59,IF(IFERROR(INDEX(醫師週班表!$C$5:$T$44,$CU27,AW$57),"")=0,"",IF(LEN(IFERROR(INDEX(醫師週班表!$C$5:$T$44,$CU27,AW$57),""))=4,MID(IFERROR(INDEX(醫師週班表!$C$5:$T$44,$CU27,AW$57),""),1+AW$58*2,1),IF(LEN(IFERROR(INDEX(醫師週班表!$C$5:$T$44,$CU27,AW$57),""))=2,IF(AND(RIGHT(IFERROR(INDEX(醫師週班表!$C$5:$T$44,$CU27,AW$57),""),1)="~",AW$58=1),"",LEFT(IFERROR(INDEX(醫師週班表!$C$5:$T$44,$CU27,AW$57),""),1)),IFERROR(INDEX(醫師週班表!$C$5:$T$44,$CU27,AW$57),""))))))</f>
        <v/>
      </c>
      <c r="AX27" s="67">
        <f>IF(AX$59="X","",IF(AX$59&lt;&gt;"",AX$59,IF(IFERROR(INDEX(醫師週班表!$C$5:$T$44,$CU27,AX$57),"")=0,"",IF(LEN(IFERROR(INDEX(醫師週班表!$C$5:$T$44,$CU27,AX$57),""))=4,MID(IFERROR(INDEX(醫師週班表!$C$5:$T$44,$CU27,AX$57),""),1+AX$58*2,1),IF(LEN(IFERROR(INDEX(醫師週班表!$C$5:$T$44,$CU27,AX$57),""))=2,IF(AND(RIGHT(IFERROR(INDEX(醫師週班表!$C$5:$T$44,$CU27,AX$57),""),1)="~",AX$58=1),"",LEFT(IFERROR(INDEX(醫師週班表!$C$5:$T$44,$CU27,AX$57),""),1)),IFERROR(INDEX(醫師週班表!$C$5:$T$44,$CU27,AX$57),""))))))</f>
        <v/>
      </c>
      <c r="AY27" s="68">
        <f>IF(AY$59="X","",IF(AY$59&lt;&gt;"",AY$59,IF(IFERROR(INDEX(醫師週班表!$C$5:$T$44,$CU27,AY$57),"")=0,"",IF(LEN(IFERROR(INDEX(醫師週班表!$C$5:$T$44,$CU27,AY$57),""))=4,MID(IFERROR(INDEX(醫師週班表!$C$5:$T$44,$CU27,AY$57),""),1+AY$58*2,1),IF(LEN(IFERROR(INDEX(醫師週班表!$C$5:$T$44,$CU27,AY$57),""))=2,IF(AND(RIGHT(IFERROR(INDEX(醫師週班表!$C$5:$T$44,$CU27,AY$57),""),1)="~",AY$58=1),"",LEFT(IFERROR(INDEX(醫師週班表!$C$5:$T$44,$CU27,AY$57),""),1)),IFERROR(INDEX(醫師週班表!$C$5:$T$44,$CU27,AY$57),""))))))</f>
        <v/>
      </c>
      <c r="AZ27" s="68">
        <f>IF(AZ$59="X","",IF(AZ$59&lt;&gt;"",AZ$59,IF(IFERROR(INDEX(醫師週班表!$C$5:$T$44,$CU27,AZ$57),"")=0,"",IF(LEN(IFERROR(INDEX(醫師週班表!$C$5:$T$44,$CU27,AZ$57),""))=4,MID(IFERROR(INDEX(醫師週班表!$C$5:$T$44,$CU27,AZ$57),""),1+AZ$58*2,1),IF(LEN(IFERROR(INDEX(醫師週班表!$C$5:$T$44,$CU27,AZ$57),""))=2,IF(AND(RIGHT(IFERROR(INDEX(醫師週班表!$C$5:$T$44,$CU27,AZ$57),""),1)="~",AZ$58=1),"",LEFT(IFERROR(INDEX(醫師週班表!$C$5:$T$44,$CU27,AZ$57),""),1)),IFERROR(INDEX(醫師週班表!$C$5:$T$44,$CU27,AZ$57),""))))))</f>
        <v/>
      </c>
      <c r="BA27" s="67">
        <f>IF(BA$59="X","",IF(BA$59&lt;&gt;"",BA$59,IF(IFERROR(INDEX(醫師週班表!$C$5:$T$44,$CU27,BA$57),"")=0,"",IF(LEN(IFERROR(INDEX(醫師週班表!$C$5:$T$44,$CU27,BA$57),""))=4,MID(IFERROR(INDEX(醫師週班表!$C$5:$T$44,$CU27,BA$57),""),1+BA$58*2,1),IF(LEN(IFERROR(INDEX(醫師週班表!$C$5:$T$44,$CU27,BA$57),""))=2,IF(AND(RIGHT(IFERROR(INDEX(醫師週班表!$C$5:$T$44,$CU27,BA$57),""),1)="~",BA$58=1),"",LEFT(IFERROR(INDEX(醫師週班表!$C$5:$T$44,$CU27,BA$57),""),1)),IFERROR(INDEX(醫師週班表!$C$5:$T$44,$CU27,BA$57),""))))))</f>
        <v/>
      </c>
      <c r="BB27" s="68">
        <f>IF(BB$59="X","",IF(BB$59&lt;&gt;"",BB$59,IF(IFERROR(INDEX(醫師週班表!$C$5:$T$44,$CU27,BB$57),"")=0,"",IF(LEN(IFERROR(INDEX(醫師週班表!$C$5:$T$44,$CU27,BB$57),""))=4,MID(IFERROR(INDEX(醫師週班表!$C$5:$T$44,$CU27,BB$57),""),1+BB$58*2,1),IF(LEN(IFERROR(INDEX(醫師週班表!$C$5:$T$44,$CU27,BB$57),""))=2,IF(AND(RIGHT(IFERROR(INDEX(醫師週班表!$C$5:$T$44,$CU27,BB$57),""),1)="~",BB$58=1),"",LEFT(IFERROR(INDEX(醫師週班表!$C$5:$T$44,$CU27,BB$57),""),1)),IFERROR(INDEX(醫師週班表!$C$5:$T$44,$CU27,BB$57),""))))))</f>
        <v/>
      </c>
      <c r="BC27" s="68">
        <f>IF(BC$59="X","",IF(BC$59&lt;&gt;"",BC$59,IF(IFERROR(INDEX(醫師週班表!$C$5:$T$44,$CU27,BC$57),"")=0,"",IF(LEN(IFERROR(INDEX(醫師週班表!$C$5:$T$44,$CU27,BC$57),""))=4,MID(IFERROR(INDEX(醫師週班表!$C$5:$T$44,$CU27,BC$57),""),1+BC$58*2,1),IF(LEN(IFERROR(INDEX(醫師週班表!$C$5:$T$44,$CU27,BC$57),""))=2,IF(AND(RIGHT(IFERROR(INDEX(醫師週班表!$C$5:$T$44,$CU27,BC$57),""),1)="~",BC$58=1),"",LEFT(IFERROR(INDEX(醫師週班表!$C$5:$T$44,$CU27,BC$57),""),1)),IFERROR(INDEX(醫師週班表!$C$5:$T$44,$CU27,BC$57),""))))))</f>
        <v/>
      </c>
      <c r="BD27" s="67">
        <f>IF(BD$59="X","",IF(BD$59&lt;&gt;"",BD$59,IF(IFERROR(INDEX(醫師週班表!$C$5:$T$44,$CU27,BD$57),"")=0,"",IF(LEN(IFERROR(INDEX(醫師週班表!$C$5:$T$44,$CU27,BD$57),""))=4,MID(IFERROR(INDEX(醫師週班表!$C$5:$T$44,$CU27,BD$57),""),1+BD$58*2,1),IF(LEN(IFERROR(INDEX(醫師週班表!$C$5:$T$44,$CU27,BD$57),""))=2,IF(AND(RIGHT(IFERROR(INDEX(醫師週班表!$C$5:$T$44,$CU27,BD$57),""),1)="~",BD$58=1),"",LEFT(IFERROR(INDEX(醫師週班表!$C$5:$T$44,$CU27,BD$57),""),1)),IFERROR(INDEX(醫師週班表!$C$5:$T$44,$CU27,BD$57),""))))))</f>
        <v/>
      </c>
      <c r="BE27" s="68">
        <f>IF(BE$59="X","",IF(BE$59&lt;&gt;"",BE$59,IF(IFERROR(INDEX(醫師週班表!$C$5:$T$44,$CU27,BE$57),"")=0,"",IF(LEN(IFERROR(INDEX(醫師週班表!$C$5:$T$44,$CU27,BE$57),""))=4,MID(IFERROR(INDEX(醫師週班表!$C$5:$T$44,$CU27,BE$57),""),1+BE$58*2,1),IF(LEN(IFERROR(INDEX(醫師週班表!$C$5:$T$44,$CU27,BE$57),""))=2,IF(AND(RIGHT(IFERROR(INDEX(醫師週班表!$C$5:$T$44,$CU27,BE$57),""),1)="~",BE$58=1),"",LEFT(IFERROR(INDEX(醫師週班表!$C$5:$T$44,$CU27,BE$57),""),1)),IFERROR(INDEX(醫師週班表!$C$5:$T$44,$CU27,BE$57),""))))))</f>
        <v/>
      </c>
      <c r="BF27" s="68">
        <f>IF(BF$59="X","",IF(BF$59&lt;&gt;"",BF$59,IF(IFERROR(INDEX(醫師週班表!$C$5:$T$44,$CU27,BF$57),"")=0,"",IF(LEN(IFERROR(INDEX(醫師週班表!$C$5:$T$44,$CU27,BF$57),""))=4,MID(IFERROR(INDEX(醫師週班表!$C$5:$T$44,$CU27,BF$57),""),1+BF$58*2,1),IF(LEN(IFERROR(INDEX(醫師週班表!$C$5:$T$44,$CU27,BF$57),""))=2,IF(AND(RIGHT(IFERROR(INDEX(醫師週班表!$C$5:$T$44,$CU27,BF$57),""),1)="~",BF$58=1),"",LEFT(IFERROR(INDEX(醫師週班表!$C$5:$T$44,$CU27,BF$57),""),1)),IFERROR(INDEX(醫師週班表!$C$5:$T$44,$CU27,BF$57),""))))))</f>
        <v/>
      </c>
      <c r="BG27" s="67">
        <f>IF(BG$59="X","",IF(BG$59&lt;&gt;"",BG$59,IF(IFERROR(INDEX(醫師週班表!$C$5:$T$44,$CU27,BG$57),"")=0,"",IF(LEN(IFERROR(INDEX(醫師週班表!$C$5:$T$44,$CU27,BG$57),""))=4,MID(IFERROR(INDEX(醫師週班表!$C$5:$T$44,$CU27,BG$57),""),1+BG$58*2,1),IF(LEN(IFERROR(INDEX(醫師週班表!$C$5:$T$44,$CU27,BG$57),""))=2,IF(AND(RIGHT(IFERROR(INDEX(醫師週班表!$C$5:$T$44,$CU27,BG$57),""),1)="~",BG$58=1),"",LEFT(IFERROR(INDEX(醫師週班表!$C$5:$T$44,$CU27,BG$57),""),1)),IFERROR(INDEX(醫師週班表!$C$5:$T$44,$CU27,BG$57),""))))))</f>
        <v/>
      </c>
      <c r="BH27" s="68">
        <f>IF(BH$59="X","",IF(BH$59&lt;&gt;"",BH$59,IF(IFERROR(INDEX(醫師週班表!$C$5:$T$44,$CU27,BH$57),"")=0,"",IF(LEN(IFERROR(INDEX(醫師週班表!$C$5:$T$44,$CU27,BH$57),""))=4,MID(IFERROR(INDEX(醫師週班表!$C$5:$T$44,$CU27,BH$57),""),1+BH$58*2,1),IF(LEN(IFERROR(INDEX(醫師週班表!$C$5:$T$44,$CU27,BH$57),""))=2,IF(AND(RIGHT(IFERROR(INDEX(醫師週班表!$C$5:$T$44,$CU27,BH$57),""),1)="~",BH$58=1),"",LEFT(IFERROR(INDEX(醫師週班表!$C$5:$T$44,$CU27,BH$57),""),1)),IFERROR(INDEX(醫師週班表!$C$5:$T$44,$CU27,BH$57),""))))))</f>
        <v/>
      </c>
      <c r="BI27" s="68">
        <f>IF(BI$59="X","",IF(BI$59&lt;&gt;"",BI$59,IF(IFERROR(INDEX(醫師週班表!$C$5:$T$44,$CU27,BI$57),"")=0,"",IF(LEN(IFERROR(INDEX(醫師週班表!$C$5:$T$44,$CU27,BI$57),""))=4,MID(IFERROR(INDEX(醫師週班表!$C$5:$T$44,$CU27,BI$57),""),1+BI$58*2,1),IF(LEN(IFERROR(INDEX(醫師週班表!$C$5:$T$44,$CU27,BI$57),""))=2,IF(AND(RIGHT(IFERROR(INDEX(醫師週班表!$C$5:$T$44,$CU27,BI$57),""),1)="~",BI$58=1),"",LEFT(IFERROR(INDEX(醫師週班表!$C$5:$T$44,$CU27,BI$57),""),1)),IFERROR(INDEX(醫師週班表!$C$5:$T$44,$CU27,BI$57),""))))))</f>
        <v/>
      </c>
      <c r="BJ27" s="67">
        <f>IF(BJ$59="X","",IF(BJ$59&lt;&gt;"",BJ$59,IF(IFERROR(INDEX(醫師週班表!$C$5:$T$44,$CU27,BJ$57),"")=0,"",IF(LEN(IFERROR(INDEX(醫師週班表!$C$5:$T$44,$CU27,BJ$57),""))=4,MID(IFERROR(INDEX(醫師週班表!$C$5:$T$44,$CU27,BJ$57),""),1+BJ$58*2,1),IF(LEN(IFERROR(INDEX(醫師週班表!$C$5:$T$44,$CU27,BJ$57),""))=2,IF(AND(RIGHT(IFERROR(INDEX(醫師週班表!$C$5:$T$44,$CU27,BJ$57),""),1)="~",BJ$58=1),"",LEFT(IFERROR(INDEX(醫師週班表!$C$5:$T$44,$CU27,BJ$57),""),1)),IFERROR(INDEX(醫師週班表!$C$5:$T$44,$CU27,BJ$57),""))))))</f>
        <v/>
      </c>
      <c r="BK27" s="68">
        <f>IF(BK$59="X","",IF(BK$59&lt;&gt;"",BK$59,IF(IFERROR(INDEX(醫師週班表!$C$5:$T$44,$CU27,BK$57),"")=0,"",IF(LEN(IFERROR(INDEX(醫師週班表!$C$5:$T$44,$CU27,BK$57),""))=4,MID(IFERROR(INDEX(醫師週班表!$C$5:$T$44,$CU27,BK$57),""),1+BK$58*2,1),IF(LEN(IFERROR(INDEX(醫師週班表!$C$5:$T$44,$CU27,BK$57),""))=2,IF(AND(RIGHT(IFERROR(INDEX(醫師週班表!$C$5:$T$44,$CU27,BK$57),""),1)="~",BK$58=1),"",LEFT(IFERROR(INDEX(醫師週班表!$C$5:$T$44,$CU27,BK$57),""),1)),IFERROR(INDEX(醫師週班表!$C$5:$T$44,$CU27,BK$57),""))))))</f>
        <v/>
      </c>
      <c r="BL27" s="68">
        <f>IF(BL$59="X","",IF(BL$59&lt;&gt;"",BL$59,IF(IFERROR(INDEX(醫師週班表!$C$5:$T$44,$CU27,BL$57),"")=0,"",IF(LEN(IFERROR(INDEX(醫師週班表!$C$5:$T$44,$CU27,BL$57),""))=4,MID(IFERROR(INDEX(醫師週班表!$C$5:$T$44,$CU27,BL$57),""),1+BL$58*2,1),IF(LEN(IFERROR(INDEX(醫師週班表!$C$5:$T$44,$CU27,BL$57),""))=2,IF(AND(RIGHT(IFERROR(INDEX(醫師週班表!$C$5:$T$44,$CU27,BL$57),""),1)="~",BL$58=1),"",LEFT(IFERROR(INDEX(醫師週班表!$C$5:$T$44,$CU27,BL$57),""),1)),IFERROR(INDEX(醫師週班表!$C$5:$T$44,$CU27,BL$57),""))))))</f>
        <v/>
      </c>
      <c r="BM27" s="67">
        <f>IF(BM$59="X","",IF(BM$59&lt;&gt;"",BM$59,IF(IFERROR(INDEX(醫師週班表!$C$5:$T$44,$CU27,BM$57),"")=0,"",IF(LEN(IFERROR(INDEX(醫師週班表!$C$5:$T$44,$CU27,BM$57),""))=4,MID(IFERROR(INDEX(醫師週班表!$C$5:$T$44,$CU27,BM$57),""),1+BM$58*2,1),IF(LEN(IFERROR(INDEX(醫師週班表!$C$5:$T$44,$CU27,BM$57),""))=2,IF(AND(RIGHT(IFERROR(INDEX(醫師週班表!$C$5:$T$44,$CU27,BM$57),""),1)="~",BM$58=1),"",LEFT(IFERROR(INDEX(醫師週班表!$C$5:$T$44,$CU27,BM$57),""),1)),IFERROR(INDEX(醫師週班表!$C$5:$T$44,$CU27,BM$57),""))))))</f>
        <v/>
      </c>
      <c r="BN27" s="68">
        <f>IF(BN$59="X","",IF(BN$59&lt;&gt;"",BN$59,IF(IFERROR(INDEX(醫師週班表!$C$5:$T$44,$CU27,BN$57),"")=0,"",IF(LEN(IFERROR(INDEX(醫師週班表!$C$5:$T$44,$CU27,BN$57),""))=4,MID(IFERROR(INDEX(醫師週班表!$C$5:$T$44,$CU27,BN$57),""),1+BN$58*2,1),IF(LEN(IFERROR(INDEX(醫師週班表!$C$5:$T$44,$CU27,BN$57),""))=2,IF(AND(RIGHT(IFERROR(INDEX(醫師週班表!$C$5:$T$44,$CU27,BN$57),""),1)="~",BN$58=1),"",LEFT(IFERROR(INDEX(醫師週班表!$C$5:$T$44,$CU27,BN$57),""),1)),IFERROR(INDEX(醫師週班表!$C$5:$T$44,$CU27,BN$57),""))))))</f>
        <v/>
      </c>
      <c r="BO27" s="68">
        <f>IF(BO$59="X","",IF(BO$59&lt;&gt;"",BO$59,IF(IFERROR(INDEX(醫師週班表!$C$5:$T$44,$CU27,BO$57),"")=0,"",IF(LEN(IFERROR(INDEX(醫師週班表!$C$5:$T$44,$CU27,BO$57),""))=4,MID(IFERROR(INDEX(醫師週班表!$C$5:$T$44,$CU27,BO$57),""),1+BO$58*2,1),IF(LEN(IFERROR(INDEX(醫師週班表!$C$5:$T$44,$CU27,BO$57),""))=2,IF(AND(RIGHT(IFERROR(INDEX(醫師週班表!$C$5:$T$44,$CU27,BO$57),""),1)="~",BO$58=1),"",LEFT(IFERROR(INDEX(醫師週班表!$C$5:$T$44,$CU27,BO$57),""),1)),IFERROR(INDEX(醫師週班表!$C$5:$T$44,$CU27,BO$57),""))))))</f>
        <v/>
      </c>
      <c r="BP27" s="67">
        <f>IF(BP$59="X","",IF(BP$59&lt;&gt;"",BP$59,IF(IFERROR(INDEX(醫師週班表!$C$5:$T$44,$CU27,BP$57),"")=0,"",IF(LEN(IFERROR(INDEX(醫師週班表!$C$5:$T$44,$CU27,BP$57),""))=4,MID(IFERROR(INDEX(醫師週班表!$C$5:$T$44,$CU27,BP$57),""),1+BP$58*2,1),IF(LEN(IFERROR(INDEX(醫師週班表!$C$5:$T$44,$CU27,BP$57),""))=2,IF(AND(RIGHT(IFERROR(INDEX(醫師週班表!$C$5:$T$44,$CU27,BP$57),""),1)="~",BP$58=1),"",LEFT(IFERROR(INDEX(醫師週班表!$C$5:$T$44,$CU27,BP$57),""),1)),IFERROR(INDEX(醫師週班表!$C$5:$T$44,$CU27,BP$57),""))))))</f>
        <v/>
      </c>
      <c r="BQ27" s="68">
        <f>IF(BQ$59="X","",IF(BQ$59&lt;&gt;"",BQ$59,IF(IFERROR(INDEX(醫師週班表!$C$5:$T$44,$CU27,BQ$57),"")=0,"",IF(LEN(IFERROR(INDEX(醫師週班表!$C$5:$T$44,$CU27,BQ$57),""))=4,MID(IFERROR(INDEX(醫師週班表!$C$5:$T$44,$CU27,BQ$57),""),1+BQ$58*2,1),IF(LEN(IFERROR(INDEX(醫師週班表!$C$5:$T$44,$CU27,BQ$57),""))=2,IF(AND(RIGHT(IFERROR(INDEX(醫師週班表!$C$5:$T$44,$CU27,BQ$57),""),1)="~",BQ$58=1),"",LEFT(IFERROR(INDEX(醫師週班表!$C$5:$T$44,$CU27,BQ$57),""),1)),IFERROR(INDEX(醫師週班表!$C$5:$T$44,$CU27,BQ$57),""))))))</f>
        <v/>
      </c>
      <c r="BR27" s="68">
        <f>IF(BR$59="X","",IF(BR$59&lt;&gt;"",BR$59,IF(IFERROR(INDEX(醫師週班表!$C$5:$T$44,$CU27,BR$57),"")=0,"",IF(LEN(IFERROR(INDEX(醫師週班表!$C$5:$T$44,$CU27,BR$57),""))=4,MID(IFERROR(INDEX(醫師週班表!$C$5:$T$44,$CU27,BR$57),""),1+BR$58*2,1),IF(LEN(IFERROR(INDEX(醫師週班表!$C$5:$T$44,$CU27,BR$57),""))=2,IF(AND(RIGHT(IFERROR(INDEX(醫師週班表!$C$5:$T$44,$CU27,BR$57),""),1)="~",BR$58=1),"",LEFT(IFERROR(INDEX(醫師週班表!$C$5:$T$44,$CU27,BR$57),""),1)),IFERROR(INDEX(醫師週班表!$C$5:$T$44,$CU27,BR$57),""))))))</f>
        <v/>
      </c>
      <c r="BS27" s="67">
        <f>IF(BS$59="X","",IF(BS$59&lt;&gt;"",BS$59,IF(IFERROR(INDEX(醫師週班表!$C$5:$T$44,$CU27,BS$57),"")=0,"",IF(LEN(IFERROR(INDEX(醫師週班表!$C$5:$T$44,$CU27,BS$57),""))=4,MID(IFERROR(INDEX(醫師週班表!$C$5:$T$44,$CU27,BS$57),""),1+BS$58*2,1),IF(LEN(IFERROR(INDEX(醫師週班表!$C$5:$T$44,$CU27,BS$57),""))=2,IF(AND(RIGHT(IFERROR(INDEX(醫師週班表!$C$5:$T$44,$CU27,BS$57),""),1)="~",BS$58=1),"",LEFT(IFERROR(INDEX(醫師週班表!$C$5:$T$44,$CU27,BS$57),""),1)),IFERROR(INDEX(醫師週班表!$C$5:$T$44,$CU27,BS$57),""))))))</f>
        <v/>
      </c>
      <c r="BT27" s="68">
        <f>IF(BT$59="X","",IF(BT$59&lt;&gt;"",BT$59,IF(IFERROR(INDEX(醫師週班表!$C$5:$T$44,$CU27,BT$57),"")=0,"",IF(LEN(IFERROR(INDEX(醫師週班表!$C$5:$T$44,$CU27,BT$57),""))=4,MID(IFERROR(INDEX(醫師週班表!$C$5:$T$44,$CU27,BT$57),""),1+BT$58*2,1),IF(LEN(IFERROR(INDEX(醫師週班表!$C$5:$T$44,$CU27,BT$57),""))=2,IF(AND(RIGHT(IFERROR(INDEX(醫師週班表!$C$5:$T$44,$CU27,BT$57),""),1)="~",BT$58=1),"",LEFT(IFERROR(INDEX(醫師週班表!$C$5:$T$44,$CU27,BT$57),""),1)),IFERROR(INDEX(醫師週班表!$C$5:$T$44,$CU27,BT$57),""))))))</f>
        <v/>
      </c>
      <c r="BU27" s="68">
        <f>IF(BU$59="X","",IF(BU$59&lt;&gt;"",BU$59,IF(IFERROR(INDEX(醫師週班表!$C$5:$T$44,$CU27,BU$57),"")=0,"",IF(LEN(IFERROR(INDEX(醫師週班表!$C$5:$T$44,$CU27,BU$57),""))=4,MID(IFERROR(INDEX(醫師週班表!$C$5:$T$44,$CU27,BU$57),""),1+BU$58*2,1),IF(LEN(IFERROR(INDEX(醫師週班表!$C$5:$T$44,$CU27,BU$57),""))=2,IF(AND(RIGHT(IFERROR(INDEX(醫師週班表!$C$5:$T$44,$CU27,BU$57),""),1)="~",BU$58=1),"",LEFT(IFERROR(INDEX(醫師週班表!$C$5:$T$44,$CU27,BU$57),""),1)),IFERROR(INDEX(醫師週班表!$C$5:$T$44,$CU27,BU$57),""))))))</f>
        <v/>
      </c>
      <c r="BV27" s="67">
        <f>IF(BV$59="X","",IF(BV$59&lt;&gt;"",BV$59,IF(IFERROR(INDEX(醫師週班表!$C$5:$T$44,$CU27,BV$57),"")=0,"",IF(LEN(IFERROR(INDEX(醫師週班表!$C$5:$T$44,$CU27,BV$57),""))=4,MID(IFERROR(INDEX(醫師週班表!$C$5:$T$44,$CU27,BV$57),""),1+BV$58*2,1),IF(LEN(IFERROR(INDEX(醫師週班表!$C$5:$T$44,$CU27,BV$57),""))=2,IF(AND(RIGHT(IFERROR(INDEX(醫師週班表!$C$5:$T$44,$CU27,BV$57),""),1)="~",BV$58=1),"",LEFT(IFERROR(INDEX(醫師週班表!$C$5:$T$44,$CU27,BV$57),""),1)),IFERROR(INDEX(醫師週班表!$C$5:$T$44,$CU27,BV$57),""))))))</f>
        <v/>
      </c>
      <c r="BW27" s="68">
        <f>IF(BW$59="X","",IF(BW$59&lt;&gt;"",BW$59,IF(IFERROR(INDEX(醫師週班表!$C$5:$T$44,$CU27,BW$57),"")=0,"",IF(LEN(IFERROR(INDEX(醫師週班表!$C$5:$T$44,$CU27,BW$57),""))=4,MID(IFERROR(INDEX(醫師週班表!$C$5:$T$44,$CU27,BW$57),""),1+BW$58*2,1),IF(LEN(IFERROR(INDEX(醫師週班表!$C$5:$T$44,$CU27,BW$57),""))=2,IF(AND(RIGHT(IFERROR(INDEX(醫師週班表!$C$5:$T$44,$CU27,BW$57),""),1)="~",BW$58=1),"",LEFT(IFERROR(INDEX(醫師週班表!$C$5:$T$44,$CU27,BW$57),""),1)),IFERROR(INDEX(醫師週班表!$C$5:$T$44,$CU27,BW$57),""))))))</f>
        <v/>
      </c>
      <c r="BX27" s="68">
        <f>IF(BX$59="X","",IF(BX$59&lt;&gt;"",BX$59,IF(IFERROR(INDEX(醫師週班表!$C$5:$T$44,$CU27,BX$57),"")=0,"",IF(LEN(IFERROR(INDEX(醫師週班表!$C$5:$T$44,$CU27,BX$57),""))=4,MID(IFERROR(INDEX(醫師週班表!$C$5:$T$44,$CU27,BX$57),""),1+BX$58*2,1),IF(LEN(IFERROR(INDEX(醫師週班表!$C$5:$T$44,$CU27,BX$57),""))=2,IF(AND(RIGHT(IFERROR(INDEX(醫師週班表!$C$5:$T$44,$CU27,BX$57),""),1)="~",BX$58=1),"",LEFT(IFERROR(INDEX(醫師週班表!$C$5:$T$44,$CU27,BX$57),""),1)),IFERROR(INDEX(醫師週班表!$C$5:$T$44,$CU27,BX$57),""))))))</f>
        <v/>
      </c>
      <c r="BY27" s="67">
        <f>IF(BY$59="X","",IF(BY$59&lt;&gt;"",BY$59,IF(IFERROR(INDEX(醫師週班表!$C$5:$T$44,$CU27,BY$57),"")=0,"",IF(LEN(IFERROR(INDEX(醫師週班表!$C$5:$T$44,$CU27,BY$57),""))=4,MID(IFERROR(INDEX(醫師週班表!$C$5:$T$44,$CU27,BY$57),""),1+BY$58*2,1),IF(LEN(IFERROR(INDEX(醫師週班表!$C$5:$T$44,$CU27,BY$57),""))=2,IF(AND(RIGHT(IFERROR(INDEX(醫師週班表!$C$5:$T$44,$CU27,BY$57),""),1)="~",BY$58=1),"",LEFT(IFERROR(INDEX(醫師週班表!$C$5:$T$44,$CU27,BY$57),""),1)),IFERROR(INDEX(醫師週班表!$C$5:$T$44,$CU27,BY$57),""))))))</f>
        <v/>
      </c>
      <c r="BZ27" s="68">
        <f>IF(BZ$59="X","",IF(BZ$59&lt;&gt;"",BZ$59,IF(IFERROR(INDEX(醫師週班表!$C$5:$T$44,$CU27,BZ$57),"")=0,"",IF(LEN(IFERROR(INDEX(醫師週班表!$C$5:$T$44,$CU27,BZ$57),""))=4,MID(IFERROR(INDEX(醫師週班表!$C$5:$T$44,$CU27,BZ$57),""),1+BZ$58*2,1),IF(LEN(IFERROR(INDEX(醫師週班表!$C$5:$T$44,$CU27,BZ$57),""))=2,IF(AND(RIGHT(IFERROR(INDEX(醫師週班表!$C$5:$T$44,$CU27,BZ$57),""),1)="~",BZ$58=1),"",LEFT(IFERROR(INDEX(醫師週班表!$C$5:$T$44,$CU27,BZ$57),""),1)),IFERROR(INDEX(醫師週班表!$C$5:$T$44,$CU27,BZ$57),""))))))</f>
        <v/>
      </c>
      <c r="CA27" s="68">
        <f>IF(CA$59="X","",IF(CA$59&lt;&gt;"",CA$59,IF(IFERROR(INDEX(醫師週班表!$C$5:$T$44,$CU27,CA$57),"")=0,"",IF(LEN(IFERROR(INDEX(醫師週班表!$C$5:$T$44,$CU27,CA$57),""))=4,MID(IFERROR(INDEX(醫師週班表!$C$5:$T$44,$CU27,CA$57),""),1+CA$58*2,1),IF(LEN(IFERROR(INDEX(醫師週班表!$C$5:$T$44,$CU27,CA$57),""))=2,IF(AND(RIGHT(IFERROR(INDEX(醫師週班表!$C$5:$T$44,$CU27,CA$57),""),1)="~",CA$58=1),"",LEFT(IFERROR(INDEX(醫師週班表!$C$5:$T$44,$CU27,CA$57),""),1)),IFERROR(INDEX(醫師週班表!$C$5:$T$44,$CU27,CA$57),""))))))</f>
        <v/>
      </c>
      <c r="CB27" s="67">
        <f>IF(CB$59="X","",IF(CB$59&lt;&gt;"",CB$59,IF(IFERROR(INDEX(醫師週班表!$C$5:$T$44,$CU27,CB$57),"")=0,"",IF(LEN(IFERROR(INDEX(醫師週班表!$C$5:$T$44,$CU27,CB$57),""))=4,MID(IFERROR(INDEX(醫師週班表!$C$5:$T$44,$CU27,CB$57),""),1+CB$58*2,1),IF(LEN(IFERROR(INDEX(醫師週班表!$C$5:$T$44,$CU27,CB$57),""))=2,IF(AND(RIGHT(IFERROR(INDEX(醫師週班表!$C$5:$T$44,$CU27,CB$57),""),1)="~",CB$58=1),"",LEFT(IFERROR(INDEX(醫師週班表!$C$5:$T$44,$CU27,CB$57),""),1)),IFERROR(INDEX(醫師週班表!$C$5:$T$44,$CU27,CB$57),""))))))</f>
        <v/>
      </c>
      <c r="CC27" s="68">
        <f>IF(CC$59="X","",IF(CC$59&lt;&gt;"",CC$59,IF(IFERROR(INDEX(醫師週班表!$C$5:$T$44,$CU27,CC$57),"")=0,"",IF(LEN(IFERROR(INDEX(醫師週班表!$C$5:$T$44,$CU27,CC$57),""))=4,MID(IFERROR(INDEX(醫師週班表!$C$5:$T$44,$CU27,CC$57),""),1+CC$58*2,1),IF(LEN(IFERROR(INDEX(醫師週班表!$C$5:$T$44,$CU27,CC$57),""))=2,IF(AND(RIGHT(IFERROR(INDEX(醫師週班表!$C$5:$T$44,$CU27,CC$57),""),1)="~",CC$58=1),"",LEFT(IFERROR(INDEX(醫師週班表!$C$5:$T$44,$CU27,CC$57),""),1)),IFERROR(INDEX(醫師週班表!$C$5:$T$44,$CU27,CC$57),""))))))</f>
        <v/>
      </c>
      <c r="CD27" s="68">
        <f>IF(CD$59="X","",IF(CD$59&lt;&gt;"",CD$59,IF(IFERROR(INDEX(醫師週班表!$C$5:$T$44,$CU27,CD$57),"")=0,"",IF(LEN(IFERROR(INDEX(醫師週班表!$C$5:$T$44,$CU27,CD$57),""))=4,MID(IFERROR(INDEX(醫師週班表!$C$5:$T$44,$CU27,CD$57),""),1+CD$58*2,1),IF(LEN(IFERROR(INDEX(醫師週班表!$C$5:$T$44,$CU27,CD$57),""))=2,IF(AND(RIGHT(IFERROR(INDEX(醫師週班表!$C$5:$T$44,$CU27,CD$57),""),1)="~",CD$58=1),"",LEFT(IFERROR(INDEX(醫師週班表!$C$5:$T$44,$CU27,CD$57),""),1)),IFERROR(INDEX(醫師週班表!$C$5:$T$44,$CU27,CD$57),""))))))</f>
        <v/>
      </c>
      <c r="CE27" s="67">
        <f>IF(CE$59="X","",IF(CE$59&lt;&gt;"",CE$59,IF(IFERROR(INDEX(醫師週班表!$C$5:$T$44,$CU27,CE$57),"")=0,"",IF(LEN(IFERROR(INDEX(醫師週班表!$C$5:$T$44,$CU27,CE$57),""))=4,MID(IFERROR(INDEX(醫師週班表!$C$5:$T$44,$CU27,CE$57),""),1+CE$58*2,1),IF(LEN(IFERROR(INDEX(醫師週班表!$C$5:$T$44,$CU27,CE$57),""))=2,IF(AND(RIGHT(IFERROR(INDEX(醫師週班表!$C$5:$T$44,$CU27,CE$57),""),1)="~",CE$58=1),"",LEFT(IFERROR(INDEX(醫師週班表!$C$5:$T$44,$CU27,CE$57),""),1)),IFERROR(INDEX(醫師週班表!$C$5:$T$44,$CU27,CE$57),""))))))</f>
        <v/>
      </c>
      <c r="CF27" s="68">
        <f>IF(CF$59="X","",IF(CF$59&lt;&gt;"",CF$59,IF(IFERROR(INDEX(醫師週班表!$C$5:$T$44,$CU27,CF$57),"")=0,"",IF(LEN(IFERROR(INDEX(醫師週班表!$C$5:$T$44,$CU27,CF$57),""))=4,MID(IFERROR(INDEX(醫師週班表!$C$5:$T$44,$CU27,CF$57),""),1+CF$58*2,1),IF(LEN(IFERROR(INDEX(醫師週班表!$C$5:$T$44,$CU27,CF$57),""))=2,IF(AND(RIGHT(IFERROR(INDEX(醫師週班表!$C$5:$T$44,$CU27,CF$57),""),1)="~",CF$58=1),"",LEFT(IFERROR(INDEX(醫師週班表!$C$5:$T$44,$CU27,CF$57),""),1)),IFERROR(INDEX(醫師週班表!$C$5:$T$44,$CU27,CF$57),""))))))</f>
        <v/>
      </c>
      <c r="CG27" s="68">
        <f>IF(CG$59="X","",IF(CG$59&lt;&gt;"",CG$59,IF(IFERROR(INDEX(醫師週班表!$C$5:$T$44,$CU27,CG$57),"")=0,"",IF(LEN(IFERROR(INDEX(醫師週班表!$C$5:$T$44,$CU27,CG$57),""))=4,MID(IFERROR(INDEX(醫師週班表!$C$5:$T$44,$CU27,CG$57),""),1+CG$58*2,1),IF(LEN(IFERROR(INDEX(醫師週班表!$C$5:$T$44,$CU27,CG$57),""))=2,IF(AND(RIGHT(IFERROR(INDEX(醫師週班表!$C$5:$T$44,$CU27,CG$57),""),1)="~",CG$58=1),"",LEFT(IFERROR(INDEX(醫師週班表!$C$5:$T$44,$CU27,CG$57),""),1)),IFERROR(INDEX(醫師週班表!$C$5:$T$44,$CU27,CG$57),""))))))</f>
        <v/>
      </c>
      <c r="CH27" s="67">
        <f>IF(CH$59="X","",IF(CH$59&lt;&gt;"",CH$59,IF(IFERROR(INDEX(醫師週班表!$C$5:$T$44,$CU27,CH$57),"")=0,"",IF(LEN(IFERROR(INDEX(醫師週班表!$C$5:$T$44,$CU27,CH$57),""))=4,MID(IFERROR(INDEX(醫師週班表!$C$5:$T$44,$CU27,CH$57),""),1+CH$58*2,1),IF(LEN(IFERROR(INDEX(醫師週班表!$C$5:$T$44,$CU27,CH$57),""))=2,IF(AND(RIGHT(IFERROR(INDEX(醫師週班表!$C$5:$T$44,$CU27,CH$57),""),1)="~",CH$58=1),"",LEFT(IFERROR(INDEX(醫師週班表!$C$5:$T$44,$CU27,CH$57),""),1)),IFERROR(INDEX(醫師週班表!$C$5:$T$44,$CU27,CH$57),""))))))</f>
        <v/>
      </c>
      <c r="CI27" s="68">
        <f>IF(CI$59="X","",IF(CI$59&lt;&gt;"",CI$59,IF(IFERROR(INDEX(醫師週班表!$C$5:$T$44,$CU27,CI$57),"")=0,"",IF(LEN(IFERROR(INDEX(醫師週班表!$C$5:$T$44,$CU27,CI$57),""))=4,MID(IFERROR(INDEX(醫師週班表!$C$5:$T$44,$CU27,CI$57),""),1+CI$58*2,1),IF(LEN(IFERROR(INDEX(醫師週班表!$C$5:$T$44,$CU27,CI$57),""))=2,IF(AND(RIGHT(IFERROR(INDEX(醫師週班表!$C$5:$T$44,$CU27,CI$57),""),1)="~",CI$58=1),"",LEFT(IFERROR(INDEX(醫師週班表!$C$5:$T$44,$CU27,CI$57),""),1)),IFERROR(INDEX(醫師週班表!$C$5:$T$44,$CU27,CI$57),""))))))</f>
        <v/>
      </c>
      <c r="CJ27" s="68">
        <f>IF(CJ$59="X","",IF(CJ$59&lt;&gt;"",CJ$59,IF(IFERROR(INDEX(醫師週班表!$C$5:$T$44,$CU27,CJ$57),"")=0,"",IF(LEN(IFERROR(INDEX(醫師週班表!$C$5:$T$44,$CU27,CJ$57),""))=4,MID(IFERROR(INDEX(醫師週班表!$C$5:$T$44,$CU27,CJ$57),""),1+CJ$58*2,1),IF(LEN(IFERROR(INDEX(醫師週班表!$C$5:$T$44,$CU27,CJ$57),""))=2,IF(AND(RIGHT(IFERROR(INDEX(醫師週班表!$C$5:$T$44,$CU27,CJ$57),""),1)="~",CJ$58=1),"",LEFT(IFERROR(INDEX(醫師週班表!$C$5:$T$44,$CU27,CJ$57),""),1)),IFERROR(INDEX(醫師週班表!$C$5:$T$44,$CU27,CJ$57),""))))))</f>
        <v/>
      </c>
      <c r="CK27" s="67">
        <f>IF(CK$59="X","",IF(CK$59&lt;&gt;"",CK$59,IF(IFERROR(INDEX(醫師週班表!$C$5:$T$44,$CU27,CK$57),"")=0,"",IF(LEN(IFERROR(INDEX(醫師週班表!$C$5:$T$44,$CU27,CK$57),""))=4,MID(IFERROR(INDEX(醫師週班表!$C$5:$T$44,$CU27,CK$57),""),1+CK$58*2,1),IF(LEN(IFERROR(INDEX(醫師週班表!$C$5:$T$44,$CU27,CK$57),""))=2,IF(AND(RIGHT(IFERROR(INDEX(醫師週班表!$C$5:$T$44,$CU27,CK$57),""),1)="~",CK$58=1),"",LEFT(IFERROR(INDEX(醫師週班表!$C$5:$T$44,$CU27,CK$57),""),1)),IFERROR(INDEX(醫師週班表!$C$5:$T$44,$CU27,CK$57),""))))))</f>
        <v/>
      </c>
      <c r="CL27" s="68">
        <f>IF(CL$59="X","",IF(CL$59&lt;&gt;"",CL$59,IF(IFERROR(INDEX(醫師週班表!$C$5:$T$44,$CU27,CL$57),"")=0,"",IF(LEN(IFERROR(INDEX(醫師週班表!$C$5:$T$44,$CU27,CL$57),""))=4,MID(IFERROR(INDEX(醫師週班表!$C$5:$T$44,$CU27,CL$57),""),1+CL$58*2,1),IF(LEN(IFERROR(INDEX(醫師週班表!$C$5:$T$44,$CU27,CL$57),""))=2,IF(AND(RIGHT(IFERROR(INDEX(醫師週班表!$C$5:$T$44,$CU27,CL$57),""),1)="~",CL$58=1),"",LEFT(IFERROR(INDEX(醫師週班表!$C$5:$T$44,$CU27,CL$57),""),1)),IFERROR(INDEX(醫師週班表!$C$5:$T$44,$CU27,CL$57),""))))))</f>
        <v/>
      </c>
      <c r="CM27" s="68">
        <f>IF(CM$59="X","",IF(CM$59&lt;&gt;"",CM$59,IF(IFERROR(INDEX(醫師週班表!$C$5:$T$44,$CU27,CM$57),"")=0,"",IF(LEN(IFERROR(INDEX(醫師週班表!$C$5:$T$44,$CU27,CM$57),""))=4,MID(IFERROR(INDEX(醫師週班表!$C$5:$T$44,$CU27,CM$57),""),1+CM$58*2,1),IF(LEN(IFERROR(INDEX(醫師週班表!$C$5:$T$44,$CU27,CM$57),""))=2,IF(AND(RIGHT(IFERROR(INDEX(醫師週班表!$C$5:$T$44,$CU27,CM$57),""),1)="~",CM$58=1),"",LEFT(IFERROR(INDEX(醫師週班表!$C$5:$T$44,$CU27,CM$57),""),1)),IFERROR(INDEX(醫師週班表!$C$5:$T$44,$CU27,CM$57),""))))))</f>
        <v/>
      </c>
      <c r="CN27" s="67">
        <f>IF(CN$59="X","",IF(CN$59&lt;&gt;"",CN$59,IF(IFERROR(INDEX(醫師週班表!$C$5:$T$44,$CU27,CN$57),"")=0,"",IF(LEN(IFERROR(INDEX(醫師週班表!$C$5:$T$44,$CU27,CN$57),""))=4,MID(IFERROR(INDEX(醫師週班表!$C$5:$T$44,$CU27,CN$57),""),1+CN$58*2,1),IF(LEN(IFERROR(INDEX(醫師週班表!$C$5:$T$44,$CU27,CN$57),""))=2,IF(AND(RIGHT(IFERROR(INDEX(醫師週班表!$C$5:$T$44,$CU27,CN$57),""),1)="~",CN$58=1),"",LEFT(IFERROR(INDEX(醫師週班表!$C$5:$T$44,$CU27,CN$57),""),1)),IFERROR(INDEX(醫師週班表!$C$5:$T$44,$CU27,CN$57),""))))))</f>
        <v/>
      </c>
      <c r="CO27" s="68">
        <f>IF(CO$59="X","",IF(CO$59&lt;&gt;"",CO$59,IF(IFERROR(INDEX(醫師週班表!$C$5:$T$44,$CU27,CO$57),"")=0,"",IF(LEN(IFERROR(INDEX(醫師週班表!$C$5:$T$44,$CU27,CO$57),""))=4,MID(IFERROR(INDEX(醫師週班表!$C$5:$T$44,$CU27,CO$57),""),1+CO$58*2,1),IF(LEN(IFERROR(INDEX(醫師週班表!$C$5:$T$44,$CU27,CO$57),""))=2,IF(AND(RIGHT(IFERROR(INDEX(醫師週班表!$C$5:$T$44,$CU27,CO$57),""),1)="~",CO$58=1),"",LEFT(IFERROR(INDEX(醫師週班表!$C$5:$T$44,$CU27,CO$57),""),1)),IFERROR(INDEX(醫師週班表!$C$5:$T$44,$CU27,CO$57),""))))))</f>
        <v/>
      </c>
      <c r="CP27" s="68">
        <f>IF(CP$59="X","",IF(CP$59&lt;&gt;"",CP$59,IF(IFERROR(INDEX(醫師週班表!$C$5:$T$44,$CU27,CP$57),"")=0,"",IF(LEN(IFERROR(INDEX(醫師週班表!$C$5:$T$44,$CU27,CP$57),""))=4,MID(IFERROR(INDEX(醫師週班表!$C$5:$T$44,$CU27,CP$57),""),1+CP$58*2,1),IF(LEN(IFERROR(INDEX(醫師週班表!$C$5:$T$44,$CU27,CP$57),""))=2,IF(AND(RIGHT(IFERROR(INDEX(醫師週班表!$C$5:$T$44,$CU27,CP$57),""),1)="~",CP$58=1),"",LEFT(IFERROR(INDEX(醫師週班表!$C$5:$T$44,$CU27,CP$57),""),1)),IFERROR(INDEX(醫師週班表!$C$5:$T$44,$CU27,CP$57),""))))))</f>
        <v/>
      </c>
      <c r="CQ27" s="67">
        <f>IF(CQ$59="X","",IF(CQ$59&lt;&gt;"",CQ$59,IF(IFERROR(INDEX(醫師週班表!$C$5:$T$44,$CU27,CQ$57),"")=0,"",IF(LEN(IFERROR(INDEX(醫師週班表!$C$5:$T$44,$CU27,CQ$57),""))=4,MID(IFERROR(INDEX(醫師週班表!$C$5:$T$44,$CU27,CQ$57),""),1+CQ$58*2,1),IF(LEN(IFERROR(INDEX(醫師週班表!$C$5:$T$44,$CU27,CQ$57),""))=2,IF(AND(RIGHT(IFERROR(INDEX(醫師週班表!$C$5:$T$44,$CU27,CQ$57),""),1)="~",CQ$58=1),"",LEFT(IFERROR(INDEX(醫師週班表!$C$5:$T$44,$CU27,CQ$57),""),1)),IFERROR(INDEX(醫師週班表!$C$5:$T$44,$CU27,CQ$57),""))))))</f>
        <v/>
      </c>
      <c r="CR27" s="68">
        <f>IF(CR$59="X","",IF(CR$59&lt;&gt;"",CR$59,IF(IFERROR(INDEX(醫師週班表!$C$5:$T$44,$CU27,CR$57),"")=0,"",IF(LEN(IFERROR(INDEX(醫師週班表!$C$5:$T$44,$CU27,CR$57),""))=4,MID(IFERROR(INDEX(醫師週班表!$C$5:$T$44,$CU27,CR$57),""),1+CR$58*2,1),IF(LEN(IFERROR(INDEX(醫師週班表!$C$5:$T$44,$CU27,CR$57),""))=2,IF(AND(RIGHT(IFERROR(INDEX(醫師週班表!$C$5:$T$44,$CU27,CR$57),""),1)="~",CR$58=1),"",LEFT(IFERROR(INDEX(醫師週班表!$C$5:$T$44,$CU27,CR$57),""),1)),IFERROR(INDEX(醫師週班表!$C$5:$T$44,$CU27,CR$57),""))))))</f>
        <v/>
      </c>
      <c r="CS27" s="68">
        <f>IF(CS$59="X","",IF(CS$59&lt;&gt;"",CS$59,IF(IFERROR(INDEX(醫師週班表!$C$5:$T$44,$CU27,CS$57),"")=0,"",IF(LEN(IFERROR(INDEX(醫師週班表!$C$5:$T$44,$CU27,CS$57),""))=4,MID(IFERROR(INDEX(醫師週班表!$C$5:$T$44,$CU27,CS$57),""),1+CS$58*2,1),IF(LEN(IFERROR(INDEX(醫師週班表!$C$5:$T$44,$CU27,CS$57),""))=2,IF(AND(RIGHT(IFERROR(INDEX(醫師週班表!$C$5:$T$44,$CU27,CS$57),""),1)="~",CS$58=1),"",LEFT(IFERROR(INDEX(醫師週班表!$C$5:$T$44,$CU27,CS$57),""),1)),IFERROR(INDEX(醫師週班表!$C$5:$T$44,$CU27,CS$57),""))))))</f>
        <v/>
      </c>
      <c r="CU27" s="69">
        <f>IFERROR(MATCH($A27,醫師週班表!$A$5:$A$44,0),0)</f>
        <v/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IFERROR(INDEX(醫師週班表!$C$5:$T$44,$CU28,E$57),"")=0,"",IF(LEN(IFERROR(INDEX(醫師週班表!$C$5:$T$44,$CU28,E$57),""))=4,MID(IFERROR(INDEX(醫師週班表!$C$5:$T$44,$CU28,E$57),""),1+E$58*2,1),IF(LEN(IFERROR(INDEX(醫師週班表!$C$5:$T$44,$CU28,E$57),""))=2,IF(AND(RIGHT(IFERROR(INDEX(醫師週班表!$C$5:$T$44,$CU28,E$57),""),1)="~",E$58=1),"",LEFT(IFERROR(INDEX(醫師週班表!$C$5:$T$44,$CU28,E$57),""),1)),IFERROR(INDEX(醫師週班表!$C$5:$T$44,$CU28,E$57),""))))))</f>
        <v/>
      </c>
      <c r="F28" s="68">
        <f>IF(F$59="X","",IF(F$59&lt;&gt;"",F$59,IF(IFERROR(INDEX(醫師週班表!$C$5:$T$44,$CU28,F$57),"")=0,"",IF(LEN(IFERROR(INDEX(醫師週班表!$C$5:$T$44,$CU28,F$57),""))=4,MID(IFERROR(INDEX(醫師週班表!$C$5:$T$44,$CU28,F$57),""),1+F$58*2,1),IF(LEN(IFERROR(INDEX(醫師週班表!$C$5:$T$44,$CU28,F$57),""))=2,IF(AND(RIGHT(IFERROR(INDEX(醫師週班表!$C$5:$T$44,$CU28,F$57),""),1)="~",F$58=1),"",LEFT(IFERROR(INDEX(醫師週班表!$C$5:$T$44,$CU28,F$57),""),1)),IFERROR(INDEX(醫師週班表!$C$5:$T$44,$CU28,F$57),""))))))</f>
        <v/>
      </c>
      <c r="G28" s="68">
        <f>IF(G$59="X","",IF(G$59&lt;&gt;"",G$59,IF(IFERROR(INDEX(醫師週班表!$C$5:$T$44,$CU28,G$57),"")=0,"",IF(LEN(IFERROR(INDEX(醫師週班表!$C$5:$T$44,$CU28,G$57),""))=4,MID(IFERROR(INDEX(醫師週班表!$C$5:$T$44,$CU28,G$57),""),1+G$58*2,1),IF(LEN(IFERROR(INDEX(醫師週班表!$C$5:$T$44,$CU28,G$57),""))=2,IF(AND(RIGHT(IFERROR(INDEX(醫師週班表!$C$5:$T$44,$CU28,G$57),""),1)="~",G$58=1),"",LEFT(IFERROR(INDEX(醫師週班表!$C$5:$T$44,$CU28,G$57),""),1)),IFERROR(INDEX(醫師週班表!$C$5:$T$44,$CU28,G$57),""))))))</f>
        <v/>
      </c>
      <c r="H28" s="67">
        <f>IF(H$59="X","",IF(H$59&lt;&gt;"",H$59,IF(IFERROR(INDEX(醫師週班表!$C$5:$T$44,$CU28,H$57),"")=0,"",IF(LEN(IFERROR(INDEX(醫師週班表!$C$5:$T$44,$CU28,H$57),""))=4,MID(IFERROR(INDEX(醫師週班表!$C$5:$T$44,$CU28,H$57),""),1+H$58*2,1),IF(LEN(IFERROR(INDEX(醫師週班表!$C$5:$T$44,$CU28,H$57),""))=2,IF(AND(RIGHT(IFERROR(INDEX(醫師週班表!$C$5:$T$44,$CU28,H$57),""),1)="~",H$58=1),"",LEFT(IFERROR(INDEX(醫師週班表!$C$5:$T$44,$CU28,H$57),""),1)),IFERROR(INDEX(醫師週班表!$C$5:$T$44,$CU28,H$57),""))))))</f>
        <v/>
      </c>
      <c r="I28" s="68">
        <f>IF(I$59="X","",IF(I$59&lt;&gt;"",I$59,IF(IFERROR(INDEX(醫師週班表!$C$5:$T$44,$CU28,I$57),"")=0,"",IF(LEN(IFERROR(INDEX(醫師週班表!$C$5:$T$44,$CU28,I$57),""))=4,MID(IFERROR(INDEX(醫師週班表!$C$5:$T$44,$CU28,I$57),""),1+I$58*2,1),IF(LEN(IFERROR(INDEX(醫師週班表!$C$5:$T$44,$CU28,I$57),""))=2,IF(AND(RIGHT(IFERROR(INDEX(醫師週班表!$C$5:$T$44,$CU28,I$57),""),1)="~",I$58=1),"",LEFT(IFERROR(INDEX(醫師週班表!$C$5:$T$44,$CU28,I$57),""),1)),IFERROR(INDEX(醫師週班表!$C$5:$T$44,$CU28,I$57),""))))))</f>
        <v/>
      </c>
      <c r="J28" s="68">
        <f>IF(J$59="X","",IF(J$59&lt;&gt;"",J$59,IF(IFERROR(INDEX(醫師週班表!$C$5:$T$44,$CU28,J$57),"")=0,"",IF(LEN(IFERROR(INDEX(醫師週班表!$C$5:$T$44,$CU28,J$57),""))=4,MID(IFERROR(INDEX(醫師週班表!$C$5:$T$44,$CU28,J$57),""),1+J$58*2,1),IF(LEN(IFERROR(INDEX(醫師週班表!$C$5:$T$44,$CU28,J$57),""))=2,IF(AND(RIGHT(IFERROR(INDEX(醫師週班表!$C$5:$T$44,$CU28,J$57),""),1)="~",J$58=1),"",LEFT(IFERROR(INDEX(醫師週班表!$C$5:$T$44,$CU28,J$57),""),1)),IFERROR(INDEX(醫師週班表!$C$5:$T$44,$CU28,J$57),""))))))</f>
        <v/>
      </c>
      <c r="K28" s="67">
        <f>IF(K$59="X","",IF(K$59&lt;&gt;"",K$59,IF(IFERROR(INDEX(醫師週班表!$C$5:$T$44,$CU28,K$57),"")=0,"",IF(LEN(IFERROR(INDEX(醫師週班表!$C$5:$T$44,$CU28,K$57),""))=4,MID(IFERROR(INDEX(醫師週班表!$C$5:$T$44,$CU28,K$57),""),1+K$58*2,1),IF(LEN(IFERROR(INDEX(醫師週班表!$C$5:$T$44,$CU28,K$57),""))=2,IF(AND(RIGHT(IFERROR(INDEX(醫師週班表!$C$5:$T$44,$CU28,K$57),""),1)="~",K$58=1),"",LEFT(IFERROR(INDEX(醫師週班表!$C$5:$T$44,$CU28,K$57),""),1)),IFERROR(INDEX(醫師週班表!$C$5:$T$44,$CU28,K$57),""))))))</f>
        <v/>
      </c>
      <c r="L28" s="68">
        <f>IF(L$59="X","",IF(L$59&lt;&gt;"",L$59,IF(IFERROR(INDEX(醫師週班表!$C$5:$T$44,$CU28,L$57),"")=0,"",IF(LEN(IFERROR(INDEX(醫師週班表!$C$5:$T$44,$CU28,L$57),""))=4,MID(IFERROR(INDEX(醫師週班表!$C$5:$T$44,$CU28,L$57),""),1+L$58*2,1),IF(LEN(IFERROR(INDEX(醫師週班表!$C$5:$T$44,$CU28,L$57),""))=2,IF(AND(RIGHT(IFERROR(INDEX(醫師週班表!$C$5:$T$44,$CU28,L$57),""),1)="~",L$58=1),"",LEFT(IFERROR(INDEX(醫師週班表!$C$5:$T$44,$CU28,L$57),""),1)),IFERROR(INDEX(醫師週班表!$C$5:$T$44,$CU28,L$57),""))))))</f>
        <v/>
      </c>
      <c r="M28" s="68">
        <f>IF(M$59="X","",IF(M$59&lt;&gt;"",M$59,IF(IFERROR(INDEX(醫師週班表!$C$5:$T$44,$CU28,M$57),"")=0,"",IF(LEN(IFERROR(INDEX(醫師週班表!$C$5:$T$44,$CU28,M$57),""))=4,MID(IFERROR(INDEX(醫師週班表!$C$5:$T$44,$CU28,M$57),""),1+M$58*2,1),IF(LEN(IFERROR(INDEX(醫師週班表!$C$5:$T$44,$CU28,M$57),""))=2,IF(AND(RIGHT(IFERROR(INDEX(醫師週班表!$C$5:$T$44,$CU28,M$57),""),1)="~",M$58=1),"",LEFT(IFERROR(INDEX(醫師週班表!$C$5:$T$44,$CU28,M$57),""),1)),IFERROR(INDEX(醫師週班表!$C$5:$T$44,$CU28,M$57),""))))))</f>
        <v/>
      </c>
      <c r="N28" s="67">
        <f>IF(N$59="X","",IF(N$59&lt;&gt;"",N$59,IF(IFERROR(INDEX(醫師週班表!$C$5:$T$44,$CU28,N$57),"")=0,"",IF(LEN(IFERROR(INDEX(醫師週班表!$C$5:$T$44,$CU28,N$57),""))=4,MID(IFERROR(INDEX(醫師週班表!$C$5:$T$44,$CU28,N$57),""),1+N$58*2,1),IF(LEN(IFERROR(INDEX(醫師週班表!$C$5:$T$44,$CU28,N$57),""))=2,IF(AND(RIGHT(IFERROR(INDEX(醫師週班表!$C$5:$T$44,$CU28,N$57),""),1)="~",N$58=1),"",LEFT(IFERROR(INDEX(醫師週班表!$C$5:$T$44,$CU28,N$57),""),1)),IFERROR(INDEX(醫師週班表!$C$5:$T$44,$CU28,N$57),""))))))</f>
        <v/>
      </c>
      <c r="O28" s="68">
        <f>IF(O$59="X","",IF(O$59&lt;&gt;"",O$59,IF(IFERROR(INDEX(醫師週班表!$C$5:$T$44,$CU28,O$57),"")=0,"",IF(LEN(IFERROR(INDEX(醫師週班表!$C$5:$T$44,$CU28,O$57),""))=4,MID(IFERROR(INDEX(醫師週班表!$C$5:$T$44,$CU28,O$57),""),1+O$58*2,1),IF(LEN(IFERROR(INDEX(醫師週班表!$C$5:$T$44,$CU28,O$57),""))=2,IF(AND(RIGHT(IFERROR(INDEX(醫師週班表!$C$5:$T$44,$CU28,O$57),""),1)="~",O$58=1),"",LEFT(IFERROR(INDEX(醫師週班表!$C$5:$T$44,$CU28,O$57),""),1)),IFERROR(INDEX(醫師週班表!$C$5:$T$44,$CU28,O$57),""))))))</f>
        <v/>
      </c>
      <c r="P28" s="68">
        <f>IF(P$59="X","",IF(P$59&lt;&gt;"",P$59,IF(IFERROR(INDEX(醫師週班表!$C$5:$T$44,$CU28,P$57),"")=0,"",IF(LEN(IFERROR(INDEX(醫師週班表!$C$5:$T$44,$CU28,P$57),""))=4,MID(IFERROR(INDEX(醫師週班表!$C$5:$T$44,$CU28,P$57),""),1+P$58*2,1),IF(LEN(IFERROR(INDEX(醫師週班表!$C$5:$T$44,$CU28,P$57),""))=2,IF(AND(RIGHT(IFERROR(INDEX(醫師週班表!$C$5:$T$44,$CU28,P$57),""),1)="~",P$58=1),"",LEFT(IFERROR(INDEX(醫師週班表!$C$5:$T$44,$CU28,P$57),""),1)),IFERROR(INDEX(醫師週班表!$C$5:$T$44,$CU28,P$57),""))))))</f>
        <v/>
      </c>
      <c r="Q28" s="67">
        <f>IF(Q$59="X","",IF(Q$59&lt;&gt;"",Q$59,IF(IFERROR(INDEX(醫師週班表!$C$5:$T$44,$CU28,Q$57),"")=0,"",IF(LEN(IFERROR(INDEX(醫師週班表!$C$5:$T$44,$CU28,Q$57),""))=4,MID(IFERROR(INDEX(醫師週班表!$C$5:$T$44,$CU28,Q$57),""),1+Q$58*2,1),IF(LEN(IFERROR(INDEX(醫師週班表!$C$5:$T$44,$CU28,Q$57),""))=2,IF(AND(RIGHT(IFERROR(INDEX(醫師週班表!$C$5:$T$44,$CU28,Q$57),""),1)="~",Q$58=1),"",LEFT(IFERROR(INDEX(醫師週班表!$C$5:$T$44,$CU28,Q$57),""),1)),IFERROR(INDEX(醫師週班表!$C$5:$T$44,$CU28,Q$57),""))))))</f>
        <v/>
      </c>
      <c r="R28" s="68">
        <f>IF(R$59="X","",IF(R$59&lt;&gt;"",R$59,IF(IFERROR(INDEX(醫師週班表!$C$5:$T$44,$CU28,R$57),"")=0,"",IF(LEN(IFERROR(INDEX(醫師週班表!$C$5:$T$44,$CU28,R$57),""))=4,MID(IFERROR(INDEX(醫師週班表!$C$5:$T$44,$CU28,R$57),""),1+R$58*2,1),IF(LEN(IFERROR(INDEX(醫師週班表!$C$5:$T$44,$CU28,R$57),""))=2,IF(AND(RIGHT(IFERROR(INDEX(醫師週班表!$C$5:$T$44,$CU28,R$57),""),1)="~",R$58=1),"",LEFT(IFERROR(INDEX(醫師週班表!$C$5:$T$44,$CU28,R$57),""),1)),IFERROR(INDEX(醫師週班表!$C$5:$T$44,$CU28,R$57),""))))))</f>
        <v/>
      </c>
      <c r="S28" s="68">
        <f>IF(S$59="X","",IF(S$59&lt;&gt;"",S$59,IF(IFERROR(INDEX(醫師週班表!$C$5:$T$44,$CU28,S$57),"")=0,"",IF(LEN(IFERROR(INDEX(醫師週班表!$C$5:$T$44,$CU28,S$57),""))=4,MID(IFERROR(INDEX(醫師週班表!$C$5:$T$44,$CU28,S$57),""),1+S$58*2,1),IF(LEN(IFERROR(INDEX(醫師週班表!$C$5:$T$44,$CU28,S$57),""))=2,IF(AND(RIGHT(IFERROR(INDEX(醫師週班表!$C$5:$T$44,$CU28,S$57),""),1)="~",S$58=1),"",LEFT(IFERROR(INDEX(醫師週班表!$C$5:$T$44,$CU28,S$57),""),1)),IFERROR(INDEX(醫師週班表!$C$5:$T$44,$CU28,S$57),""))))))</f>
        <v/>
      </c>
      <c r="T28" s="67">
        <f>IF(T$59="X","",IF(T$59&lt;&gt;"",T$59,IF(IFERROR(INDEX(醫師週班表!$C$5:$T$44,$CU28,T$57),"")=0,"",IF(LEN(IFERROR(INDEX(醫師週班表!$C$5:$T$44,$CU28,T$57),""))=4,MID(IFERROR(INDEX(醫師週班表!$C$5:$T$44,$CU28,T$57),""),1+T$58*2,1),IF(LEN(IFERROR(INDEX(醫師週班表!$C$5:$T$44,$CU28,T$57),""))=2,IF(AND(RIGHT(IFERROR(INDEX(醫師週班表!$C$5:$T$44,$CU28,T$57),""),1)="~",T$58=1),"",LEFT(IFERROR(INDEX(醫師週班表!$C$5:$T$44,$CU28,T$57),""),1)),IFERROR(INDEX(醫師週班表!$C$5:$T$44,$CU28,T$57),""))))))</f>
        <v/>
      </c>
      <c r="U28" s="68">
        <f>IF(U$59="X","",IF(U$59&lt;&gt;"",U$59,IF(IFERROR(INDEX(醫師週班表!$C$5:$T$44,$CU28,U$57),"")=0,"",IF(LEN(IFERROR(INDEX(醫師週班表!$C$5:$T$44,$CU28,U$57),""))=4,MID(IFERROR(INDEX(醫師週班表!$C$5:$T$44,$CU28,U$57),""),1+U$58*2,1),IF(LEN(IFERROR(INDEX(醫師週班表!$C$5:$T$44,$CU28,U$57),""))=2,IF(AND(RIGHT(IFERROR(INDEX(醫師週班表!$C$5:$T$44,$CU28,U$57),""),1)="~",U$58=1),"",LEFT(IFERROR(INDEX(醫師週班表!$C$5:$T$44,$CU28,U$57),""),1)),IFERROR(INDEX(醫師週班表!$C$5:$T$44,$CU28,U$57),""))))))</f>
        <v/>
      </c>
      <c r="V28" s="68">
        <f>IF(V$59="X","",IF(V$59&lt;&gt;"",V$59,IF(IFERROR(INDEX(醫師週班表!$C$5:$T$44,$CU28,V$57),"")=0,"",IF(LEN(IFERROR(INDEX(醫師週班表!$C$5:$T$44,$CU28,V$57),""))=4,MID(IFERROR(INDEX(醫師週班表!$C$5:$T$44,$CU28,V$57),""),1+V$58*2,1),IF(LEN(IFERROR(INDEX(醫師週班表!$C$5:$T$44,$CU28,V$57),""))=2,IF(AND(RIGHT(IFERROR(INDEX(醫師週班表!$C$5:$T$44,$CU28,V$57),""),1)="~",V$58=1),"",LEFT(IFERROR(INDEX(醫師週班表!$C$5:$T$44,$CU28,V$57),""),1)),IFERROR(INDEX(醫師週班表!$C$5:$T$44,$CU28,V$57),""))))))</f>
        <v/>
      </c>
      <c r="W28" s="67">
        <f>IF(W$59="X","",IF(W$59&lt;&gt;"",W$59,IF(IFERROR(INDEX(醫師週班表!$C$5:$T$44,$CU28,W$57),"")=0,"",IF(LEN(IFERROR(INDEX(醫師週班表!$C$5:$T$44,$CU28,W$57),""))=4,MID(IFERROR(INDEX(醫師週班表!$C$5:$T$44,$CU28,W$57),""),1+W$58*2,1),IF(LEN(IFERROR(INDEX(醫師週班表!$C$5:$T$44,$CU28,W$57),""))=2,IF(AND(RIGHT(IFERROR(INDEX(醫師週班表!$C$5:$T$44,$CU28,W$57),""),1)="~",W$58=1),"",LEFT(IFERROR(INDEX(醫師週班表!$C$5:$T$44,$CU28,W$57),""),1)),IFERROR(INDEX(醫師週班表!$C$5:$T$44,$CU28,W$57),""))))))</f>
        <v/>
      </c>
      <c r="X28" s="68">
        <f>IF(X$59="X","",IF(X$59&lt;&gt;"",X$59,IF(IFERROR(INDEX(醫師週班表!$C$5:$T$44,$CU28,X$57),"")=0,"",IF(LEN(IFERROR(INDEX(醫師週班表!$C$5:$T$44,$CU28,X$57),""))=4,MID(IFERROR(INDEX(醫師週班表!$C$5:$T$44,$CU28,X$57),""),1+X$58*2,1),IF(LEN(IFERROR(INDEX(醫師週班表!$C$5:$T$44,$CU28,X$57),""))=2,IF(AND(RIGHT(IFERROR(INDEX(醫師週班表!$C$5:$T$44,$CU28,X$57),""),1)="~",X$58=1),"",LEFT(IFERROR(INDEX(醫師週班表!$C$5:$T$44,$CU28,X$57),""),1)),IFERROR(INDEX(醫師週班表!$C$5:$T$44,$CU28,X$57),""))))))</f>
        <v/>
      </c>
      <c r="Y28" s="68">
        <f>IF(Y$59="X","",IF(Y$59&lt;&gt;"",Y$59,IF(IFERROR(INDEX(醫師週班表!$C$5:$T$44,$CU28,Y$57),"")=0,"",IF(LEN(IFERROR(INDEX(醫師週班表!$C$5:$T$44,$CU28,Y$57),""))=4,MID(IFERROR(INDEX(醫師週班表!$C$5:$T$44,$CU28,Y$57),""),1+Y$58*2,1),IF(LEN(IFERROR(INDEX(醫師週班表!$C$5:$T$44,$CU28,Y$57),""))=2,IF(AND(RIGHT(IFERROR(INDEX(醫師週班表!$C$5:$T$44,$CU28,Y$57),""),1)="~",Y$58=1),"",LEFT(IFERROR(INDEX(醫師週班表!$C$5:$T$44,$CU28,Y$57),""),1)),IFERROR(INDEX(醫師週班表!$C$5:$T$44,$CU28,Y$57),""))))))</f>
        <v/>
      </c>
      <c r="Z28" s="67">
        <f>IF(Z$59="X","",IF(Z$59&lt;&gt;"",Z$59,IF(IFERROR(INDEX(醫師週班表!$C$5:$T$44,$CU28,Z$57),"")=0,"",IF(LEN(IFERROR(INDEX(醫師週班表!$C$5:$T$44,$CU28,Z$57),""))=4,MID(IFERROR(INDEX(醫師週班表!$C$5:$T$44,$CU28,Z$57),""),1+Z$58*2,1),IF(LEN(IFERROR(INDEX(醫師週班表!$C$5:$T$44,$CU28,Z$57),""))=2,IF(AND(RIGHT(IFERROR(INDEX(醫師週班表!$C$5:$T$44,$CU28,Z$57),""),1)="~",Z$58=1),"",LEFT(IFERROR(INDEX(醫師週班表!$C$5:$T$44,$CU28,Z$57),""),1)),IFERROR(INDEX(醫師週班表!$C$5:$T$44,$CU28,Z$57),""))))))</f>
        <v/>
      </c>
      <c r="AA28" s="68">
        <f>IF(AA$59="X","",IF(AA$59&lt;&gt;"",AA$59,IF(IFERROR(INDEX(醫師週班表!$C$5:$T$44,$CU28,AA$57),"")=0,"",IF(LEN(IFERROR(INDEX(醫師週班表!$C$5:$T$44,$CU28,AA$57),""))=4,MID(IFERROR(INDEX(醫師週班表!$C$5:$T$44,$CU28,AA$57),""),1+AA$58*2,1),IF(LEN(IFERROR(INDEX(醫師週班表!$C$5:$T$44,$CU28,AA$57),""))=2,IF(AND(RIGHT(IFERROR(INDEX(醫師週班表!$C$5:$T$44,$CU28,AA$57),""),1)="~",AA$58=1),"",LEFT(IFERROR(INDEX(醫師週班表!$C$5:$T$44,$CU28,AA$57),""),1)),IFERROR(INDEX(醫師週班表!$C$5:$T$44,$CU28,AA$57),""))))))</f>
        <v/>
      </c>
      <c r="AB28" s="68">
        <f>IF(AB$59="X","",IF(AB$59&lt;&gt;"",AB$59,IF(IFERROR(INDEX(醫師週班表!$C$5:$T$44,$CU28,AB$57),"")=0,"",IF(LEN(IFERROR(INDEX(醫師週班表!$C$5:$T$44,$CU28,AB$57),""))=4,MID(IFERROR(INDEX(醫師週班表!$C$5:$T$44,$CU28,AB$57),""),1+AB$58*2,1),IF(LEN(IFERROR(INDEX(醫師週班表!$C$5:$T$44,$CU28,AB$57),""))=2,IF(AND(RIGHT(IFERROR(INDEX(醫師週班表!$C$5:$T$44,$CU28,AB$57),""),1)="~",AB$58=1),"",LEFT(IFERROR(INDEX(醫師週班表!$C$5:$T$44,$CU28,AB$57),""),1)),IFERROR(INDEX(醫師週班表!$C$5:$T$44,$CU28,AB$57),""))))))</f>
        <v/>
      </c>
      <c r="AC28" s="67">
        <f>IF(AC$59="X","",IF(AC$59&lt;&gt;"",AC$59,IF(IFERROR(INDEX(醫師週班表!$C$5:$T$44,$CU28,AC$57),"")=0,"",IF(LEN(IFERROR(INDEX(醫師週班表!$C$5:$T$44,$CU28,AC$57),""))=4,MID(IFERROR(INDEX(醫師週班表!$C$5:$T$44,$CU28,AC$57),""),1+AC$58*2,1),IF(LEN(IFERROR(INDEX(醫師週班表!$C$5:$T$44,$CU28,AC$57),""))=2,IF(AND(RIGHT(IFERROR(INDEX(醫師週班表!$C$5:$T$44,$CU28,AC$57),""),1)="~",AC$58=1),"",LEFT(IFERROR(INDEX(醫師週班表!$C$5:$T$44,$CU28,AC$57),""),1)),IFERROR(INDEX(醫師週班表!$C$5:$T$44,$CU28,AC$57),""))))))</f>
        <v/>
      </c>
      <c r="AD28" s="68">
        <f>IF(AD$59="X","",IF(AD$59&lt;&gt;"",AD$59,IF(IFERROR(INDEX(醫師週班表!$C$5:$T$44,$CU28,AD$57),"")=0,"",IF(LEN(IFERROR(INDEX(醫師週班表!$C$5:$T$44,$CU28,AD$57),""))=4,MID(IFERROR(INDEX(醫師週班表!$C$5:$T$44,$CU28,AD$57),""),1+AD$58*2,1),IF(LEN(IFERROR(INDEX(醫師週班表!$C$5:$T$44,$CU28,AD$57),""))=2,IF(AND(RIGHT(IFERROR(INDEX(醫師週班表!$C$5:$T$44,$CU28,AD$57),""),1)="~",AD$58=1),"",LEFT(IFERROR(INDEX(醫師週班表!$C$5:$T$44,$CU28,AD$57),""),1)),IFERROR(INDEX(醫師週班表!$C$5:$T$44,$CU28,AD$57),""))))))</f>
        <v/>
      </c>
      <c r="AE28" s="68">
        <f>IF(AE$59="X","",IF(AE$59&lt;&gt;"",AE$59,IF(IFERROR(INDEX(醫師週班表!$C$5:$T$44,$CU28,AE$57),"")=0,"",IF(LEN(IFERROR(INDEX(醫師週班表!$C$5:$T$44,$CU28,AE$57),""))=4,MID(IFERROR(INDEX(醫師週班表!$C$5:$T$44,$CU28,AE$57),""),1+AE$58*2,1),IF(LEN(IFERROR(INDEX(醫師週班表!$C$5:$T$44,$CU28,AE$57),""))=2,IF(AND(RIGHT(IFERROR(INDEX(醫師週班表!$C$5:$T$44,$CU28,AE$57),""),1)="~",AE$58=1),"",LEFT(IFERROR(INDEX(醫師週班表!$C$5:$T$44,$CU28,AE$57),""),1)),IFERROR(INDEX(醫師週班表!$C$5:$T$44,$CU28,AE$57),""))))))</f>
        <v/>
      </c>
      <c r="AF28" s="67">
        <f>IF(AF$59="X","",IF(AF$59&lt;&gt;"",AF$59,IF(IFERROR(INDEX(醫師週班表!$C$5:$T$44,$CU28,AF$57),"")=0,"",IF(LEN(IFERROR(INDEX(醫師週班表!$C$5:$T$44,$CU28,AF$57),""))=4,MID(IFERROR(INDEX(醫師週班表!$C$5:$T$44,$CU28,AF$57),""),1+AF$58*2,1),IF(LEN(IFERROR(INDEX(醫師週班表!$C$5:$T$44,$CU28,AF$57),""))=2,IF(AND(RIGHT(IFERROR(INDEX(醫師週班表!$C$5:$T$44,$CU28,AF$57),""),1)="~",AF$58=1),"",LEFT(IFERROR(INDEX(醫師週班表!$C$5:$T$44,$CU28,AF$57),""),1)),IFERROR(INDEX(醫師週班表!$C$5:$T$44,$CU28,AF$57),""))))))</f>
        <v/>
      </c>
      <c r="AG28" s="68">
        <f>IF(AG$59="X","",IF(AG$59&lt;&gt;"",AG$59,IF(IFERROR(INDEX(醫師週班表!$C$5:$T$44,$CU28,AG$57),"")=0,"",IF(LEN(IFERROR(INDEX(醫師週班表!$C$5:$T$44,$CU28,AG$57),""))=4,MID(IFERROR(INDEX(醫師週班表!$C$5:$T$44,$CU28,AG$57),""),1+AG$58*2,1),IF(LEN(IFERROR(INDEX(醫師週班表!$C$5:$T$44,$CU28,AG$57),""))=2,IF(AND(RIGHT(IFERROR(INDEX(醫師週班表!$C$5:$T$44,$CU28,AG$57),""),1)="~",AG$58=1),"",LEFT(IFERROR(INDEX(醫師週班表!$C$5:$T$44,$CU28,AG$57),""),1)),IFERROR(INDEX(醫師週班表!$C$5:$T$44,$CU28,AG$57),""))))))</f>
        <v/>
      </c>
      <c r="AH28" s="68">
        <f>IF(AH$59="X","",IF(AH$59&lt;&gt;"",AH$59,IF(IFERROR(INDEX(醫師週班表!$C$5:$T$44,$CU28,AH$57),"")=0,"",IF(LEN(IFERROR(INDEX(醫師週班表!$C$5:$T$44,$CU28,AH$57),""))=4,MID(IFERROR(INDEX(醫師週班表!$C$5:$T$44,$CU28,AH$57),""),1+AH$58*2,1),IF(LEN(IFERROR(INDEX(醫師週班表!$C$5:$T$44,$CU28,AH$57),""))=2,IF(AND(RIGHT(IFERROR(INDEX(醫師週班表!$C$5:$T$44,$CU28,AH$57),""),1)="~",AH$58=1),"",LEFT(IFERROR(INDEX(醫師週班表!$C$5:$T$44,$CU28,AH$57),""),1)),IFERROR(INDEX(醫師週班表!$C$5:$T$44,$CU28,AH$57),""))))))</f>
        <v/>
      </c>
      <c r="AI28" s="67">
        <f>IF(AI$59="X","",IF(AI$59&lt;&gt;"",AI$59,IF(IFERROR(INDEX(醫師週班表!$C$5:$T$44,$CU28,AI$57),"")=0,"",IF(LEN(IFERROR(INDEX(醫師週班表!$C$5:$T$44,$CU28,AI$57),""))=4,MID(IFERROR(INDEX(醫師週班表!$C$5:$T$44,$CU28,AI$57),""),1+AI$58*2,1),IF(LEN(IFERROR(INDEX(醫師週班表!$C$5:$T$44,$CU28,AI$57),""))=2,IF(AND(RIGHT(IFERROR(INDEX(醫師週班表!$C$5:$T$44,$CU28,AI$57),""),1)="~",AI$58=1),"",LEFT(IFERROR(INDEX(醫師週班表!$C$5:$T$44,$CU28,AI$57),""),1)),IFERROR(INDEX(醫師週班表!$C$5:$T$44,$CU28,AI$57),""))))))</f>
        <v/>
      </c>
      <c r="AJ28" s="68">
        <f>IF(AJ$59="X","",IF(AJ$59&lt;&gt;"",AJ$59,IF(IFERROR(INDEX(醫師週班表!$C$5:$T$44,$CU28,AJ$57),"")=0,"",IF(LEN(IFERROR(INDEX(醫師週班表!$C$5:$T$44,$CU28,AJ$57),""))=4,MID(IFERROR(INDEX(醫師週班表!$C$5:$T$44,$CU28,AJ$57),""),1+AJ$58*2,1),IF(LEN(IFERROR(INDEX(醫師週班表!$C$5:$T$44,$CU28,AJ$57),""))=2,IF(AND(RIGHT(IFERROR(INDEX(醫師週班表!$C$5:$T$44,$CU28,AJ$57),""),1)="~",AJ$58=1),"",LEFT(IFERROR(INDEX(醫師週班表!$C$5:$T$44,$CU28,AJ$57),""),1)),IFERROR(INDEX(醫師週班表!$C$5:$T$44,$CU28,AJ$57),""))))))</f>
        <v/>
      </c>
      <c r="AK28" s="68">
        <f>IF(AK$59="X","",IF(AK$59&lt;&gt;"",AK$59,IF(IFERROR(INDEX(醫師週班表!$C$5:$T$44,$CU28,AK$57),"")=0,"",IF(LEN(IFERROR(INDEX(醫師週班表!$C$5:$T$44,$CU28,AK$57),""))=4,MID(IFERROR(INDEX(醫師週班表!$C$5:$T$44,$CU28,AK$57),""),1+AK$58*2,1),IF(LEN(IFERROR(INDEX(醫師週班表!$C$5:$T$44,$CU28,AK$57),""))=2,IF(AND(RIGHT(IFERROR(INDEX(醫師週班表!$C$5:$T$44,$CU28,AK$57),""),1)="~",AK$58=1),"",LEFT(IFERROR(INDEX(醫師週班表!$C$5:$T$44,$CU28,AK$57),""),1)),IFERROR(INDEX(醫師週班表!$C$5:$T$44,$CU28,AK$57),""))))))</f>
        <v/>
      </c>
      <c r="AL28" s="67">
        <f>IF(AL$59="X","",IF(AL$59&lt;&gt;"",AL$59,IF(IFERROR(INDEX(醫師週班表!$C$5:$T$44,$CU28,AL$57),"")=0,"",IF(LEN(IFERROR(INDEX(醫師週班表!$C$5:$T$44,$CU28,AL$57),""))=4,MID(IFERROR(INDEX(醫師週班表!$C$5:$T$44,$CU28,AL$57),""),1+AL$58*2,1),IF(LEN(IFERROR(INDEX(醫師週班表!$C$5:$T$44,$CU28,AL$57),""))=2,IF(AND(RIGHT(IFERROR(INDEX(醫師週班表!$C$5:$T$44,$CU28,AL$57),""),1)="~",AL$58=1),"",LEFT(IFERROR(INDEX(醫師週班表!$C$5:$T$44,$CU28,AL$57),""),1)),IFERROR(INDEX(醫師週班表!$C$5:$T$44,$CU28,AL$57),""))))))</f>
        <v/>
      </c>
      <c r="AM28" s="68">
        <f>IF(AM$59="X","",IF(AM$59&lt;&gt;"",AM$59,IF(IFERROR(INDEX(醫師週班表!$C$5:$T$44,$CU28,AM$57),"")=0,"",IF(LEN(IFERROR(INDEX(醫師週班表!$C$5:$T$44,$CU28,AM$57),""))=4,MID(IFERROR(INDEX(醫師週班表!$C$5:$T$44,$CU28,AM$57),""),1+AM$58*2,1),IF(LEN(IFERROR(INDEX(醫師週班表!$C$5:$T$44,$CU28,AM$57),""))=2,IF(AND(RIGHT(IFERROR(INDEX(醫師週班表!$C$5:$T$44,$CU28,AM$57),""),1)="~",AM$58=1),"",LEFT(IFERROR(INDEX(醫師週班表!$C$5:$T$44,$CU28,AM$57),""),1)),IFERROR(INDEX(醫師週班表!$C$5:$T$44,$CU28,AM$57),""))))))</f>
        <v/>
      </c>
      <c r="AN28" s="68">
        <f>IF(AN$59="X","",IF(AN$59&lt;&gt;"",AN$59,IF(IFERROR(INDEX(醫師週班表!$C$5:$T$44,$CU28,AN$57),"")=0,"",IF(LEN(IFERROR(INDEX(醫師週班表!$C$5:$T$44,$CU28,AN$57),""))=4,MID(IFERROR(INDEX(醫師週班表!$C$5:$T$44,$CU28,AN$57),""),1+AN$58*2,1),IF(LEN(IFERROR(INDEX(醫師週班表!$C$5:$T$44,$CU28,AN$57),""))=2,IF(AND(RIGHT(IFERROR(INDEX(醫師週班表!$C$5:$T$44,$CU28,AN$57),""),1)="~",AN$58=1),"",LEFT(IFERROR(INDEX(醫師週班表!$C$5:$T$44,$CU28,AN$57),""),1)),IFERROR(INDEX(醫師週班表!$C$5:$T$44,$CU28,AN$57),""))))))</f>
        <v/>
      </c>
      <c r="AO28" s="67">
        <f>IF(AO$59="X","",IF(AO$59&lt;&gt;"",AO$59,IF(IFERROR(INDEX(醫師週班表!$C$5:$T$44,$CU28,AO$57),"")=0,"",IF(LEN(IFERROR(INDEX(醫師週班表!$C$5:$T$44,$CU28,AO$57),""))=4,MID(IFERROR(INDEX(醫師週班表!$C$5:$T$44,$CU28,AO$57),""),1+AO$58*2,1),IF(LEN(IFERROR(INDEX(醫師週班表!$C$5:$T$44,$CU28,AO$57),""))=2,IF(AND(RIGHT(IFERROR(INDEX(醫師週班表!$C$5:$T$44,$CU28,AO$57),""),1)="~",AO$58=1),"",LEFT(IFERROR(INDEX(醫師週班表!$C$5:$T$44,$CU28,AO$57),""),1)),IFERROR(INDEX(醫師週班表!$C$5:$T$44,$CU28,AO$57),""))))))</f>
        <v/>
      </c>
      <c r="AP28" s="68">
        <f>IF(AP$59="X","",IF(AP$59&lt;&gt;"",AP$59,IF(IFERROR(INDEX(醫師週班表!$C$5:$T$44,$CU28,AP$57),"")=0,"",IF(LEN(IFERROR(INDEX(醫師週班表!$C$5:$T$44,$CU28,AP$57),""))=4,MID(IFERROR(INDEX(醫師週班表!$C$5:$T$44,$CU28,AP$57),""),1+AP$58*2,1),IF(LEN(IFERROR(INDEX(醫師週班表!$C$5:$T$44,$CU28,AP$57),""))=2,IF(AND(RIGHT(IFERROR(INDEX(醫師週班表!$C$5:$T$44,$CU28,AP$57),""),1)="~",AP$58=1),"",LEFT(IFERROR(INDEX(醫師週班表!$C$5:$T$44,$CU28,AP$57),""),1)),IFERROR(INDEX(醫師週班表!$C$5:$T$44,$CU28,AP$57),""))))))</f>
        <v/>
      </c>
      <c r="AQ28" s="68">
        <f>IF(AQ$59="X","",IF(AQ$59&lt;&gt;"",AQ$59,IF(IFERROR(INDEX(醫師週班表!$C$5:$T$44,$CU28,AQ$57),"")=0,"",IF(LEN(IFERROR(INDEX(醫師週班表!$C$5:$T$44,$CU28,AQ$57),""))=4,MID(IFERROR(INDEX(醫師週班表!$C$5:$T$44,$CU28,AQ$57),""),1+AQ$58*2,1),IF(LEN(IFERROR(INDEX(醫師週班表!$C$5:$T$44,$CU28,AQ$57),""))=2,IF(AND(RIGHT(IFERROR(INDEX(醫師週班表!$C$5:$T$44,$CU28,AQ$57),""),1)="~",AQ$58=1),"",LEFT(IFERROR(INDEX(醫師週班表!$C$5:$T$44,$CU28,AQ$57),""),1)),IFERROR(INDEX(醫師週班表!$C$5:$T$44,$CU28,AQ$57),""))))))</f>
        <v/>
      </c>
      <c r="AR28" s="67">
        <f>IF(AR$59="X","",IF(AR$59&lt;&gt;"",AR$59,IF(IFERROR(INDEX(醫師週班表!$C$5:$T$44,$CU28,AR$57),"")=0,"",IF(LEN(IFERROR(INDEX(醫師週班表!$C$5:$T$44,$CU28,AR$57),""))=4,MID(IFERROR(INDEX(醫師週班表!$C$5:$T$44,$CU28,AR$57),""),1+AR$58*2,1),IF(LEN(IFERROR(INDEX(醫師週班表!$C$5:$T$44,$CU28,AR$57),""))=2,IF(AND(RIGHT(IFERROR(INDEX(醫師週班表!$C$5:$T$44,$CU28,AR$57),""),1)="~",AR$58=1),"",LEFT(IFERROR(INDEX(醫師週班表!$C$5:$T$44,$CU28,AR$57),""),1)),IFERROR(INDEX(醫師週班表!$C$5:$T$44,$CU28,AR$57),""))))))</f>
        <v/>
      </c>
      <c r="AS28" s="68">
        <f>IF(AS$59="X","",IF(AS$59&lt;&gt;"",AS$59,IF(IFERROR(INDEX(醫師週班表!$C$5:$T$44,$CU28,AS$57),"")=0,"",IF(LEN(IFERROR(INDEX(醫師週班表!$C$5:$T$44,$CU28,AS$57),""))=4,MID(IFERROR(INDEX(醫師週班表!$C$5:$T$44,$CU28,AS$57),""),1+AS$58*2,1),IF(LEN(IFERROR(INDEX(醫師週班表!$C$5:$T$44,$CU28,AS$57),""))=2,IF(AND(RIGHT(IFERROR(INDEX(醫師週班表!$C$5:$T$44,$CU28,AS$57),""),1)="~",AS$58=1),"",LEFT(IFERROR(INDEX(醫師週班表!$C$5:$T$44,$CU28,AS$57),""),1)),IFERROR(INDEX(醫師週班表!$C$5:$T$44,$CU28,AS$57),""))))))</f>
        <v/>
      </c>
      <c r="AT28" s="68">
        <f>IF(AT$59="X","",IF(AT$59&lt;&gt;"",AT$59,IF(IFERROR(INDEX(醫師週班表!$C$5:$T$44,$CU28,AT$57),"")=0,"",IF(LEN(IFERROR(INDEX(醫師週班表!$C$5:$T$44,$CU28,AT$57),""))=4,MID(IFERROR(INDEX(醫師週班表!$C$5:$T$44,$CU28,AT$57),""),1+AT$58*2,1),IF(LEN(IFERROR(INDEX(醫師週班表!$C$5:$T$44,$CU28,AT$57),""))=2,IF(AND(RIGHT(IFERROR(INDEX(醫師週班表!$C$5:$T$44,$CU28,AT$57),""),1)="~",AT$58=1),"",LEFT(IFERROR(INDEX(醫師週班表!$C$5:$T$44,$CU28,AT$57),""),1)),IFERROR(INDEX(醫師週班表!$C$5:$T$44,$CU28,AT$57),""))))))</f>
        <v/>
      </c>
      <c r="AU28" s="67">
        <f>IF(AU$59="X","",IF(AU$59&lt;&gt;"",AU$59,IF(IFERROR(INDEX(醫師週班表!$C$5:$T$44,$CU28,AU$57),"")=0,"",IF(LEN(IFERROR(INDEX(醫師週班表!$C$5:$T$44,$CU28,AU$57),""))=4,MID(IFERROR(INDEX(醫師週班表!$C$5:$T$44,$CU28,AU$57),""),1+AU$58*2,1),IF(LEN(IFERROR(INDEX(醫師週班表!$C$5:$T$44,$CU28,AU$57),""))=2,IF(AND(RIGHT(IFERROR(INDEX(醫師週班表!$C$5:$T$44,$CU28,AU$57),""),1)="~",AU$58=1),"",LEFT(IFERROR(INDEX(醫師週班表!$C$5:$T$44,$CU28,AU$57),""),1)),IFERROR(INDEX(醫師週班表!$C$5:$T$44,$CU28,AU$57),""))))))</f>
        <v/>
      </c>
      <c r="AV28" s="68">
        <f>IF(AV$59="X","",IF(AV$59&lt;&gt;"",AV$59,IF(IFERROR(INDEX(醫師週班表!$C$5:$T$44,$CU28,AV$57),"")=0,"",IF(LEN(IFERROR(INDEX(醫師週班表!$C$5:$T$44,$CU28,AV$57),""))=4,MID(IFERROR(INDEX(醫師週班表!$C$5:$T$44,$CU28,AV$57),""),1+AV$58*2,1),IF(LEN(IFERROR(INDEX(醫師週班表!$C$5:$T$44,$CU28,AV$57),""))=2,IF(AND(RIGHT(IFERROR(INDEX(醫師週班表!$C$5:$T$44,$CU28,AV$57),""),1)="~",AV$58=1),"",LEFT(IFERROR(INDEX(醫師週班表!$C$5:$T$44,$CU28,AV$57),""),1)),IFERROR(INDEX(醫師週班表!$C$5:$T$44,$CU28,AV$57),""))))))</f>
        <v/>
      </c>
      <c r="AW28" s="68">
        <f>IF(AW$59="X","",IF(AW$59&lt;&gt;"",AW$59,IF(IFERROR(INDEX(醫師週班表!$C$5:$T$44,$CU28,AW$57),"")=0,"",IF(LEN(IFERROR(INDEX(醫師週班表!$C$5:$T$44,$CU28,AW$57),""))=4,MID(IFERROR(INDEX(醫師週班表!$C$5:$T$44,$CU28,AW$57),""),1+AW$58*2,1),IF(LEN(IFERROR(INDEX(醫師週班表!$C$5:$T$44,$CU28,AW$57),""))=2,IF(AND(RIGHT(IFERROR(INDEX(醫師週班表!$C$5:$T$44,$CU28,AW$57),""),1)="~",AW$58=1),"",LEFT(IFERROR(INDEX(醫師週班表!$C$5:$T$44,$CU28,AW$57),""),1)),IFERROR(INDEX(醫師週班表!$C$5:$T$44,$CU28,AW$57),""))))))</f>
        <v/>
      </c>
      <c r="AX28" s="67">
        <f>IF(AX$59="X","",IF(AX$59&lt;&gt;"",AX$59,IF(IFERROR(INDEX(醫師週班表!$C$5:$T$44,$CU28,AX$57),"")=0,"",IF(LEN(IFERROR(INDEX(醫師週班表!$C$5:$T$44,$CU28,AX$57),""))=4,MID(IFERROR(INDEX(醫師週班表!$C$5:$T$44,$CU28,AX$57),""),1+AX$58*2,1),IF(LEN(IFERROR(INDEX(醫師週班表!$C$5:$T$44,$CU28,AX$57),""))=2,IF(AND(RIGHT(IFERROR(INDEX(醫師週班表!$C$5:$T$44,$CU28,AX$57),""),1)="~",AX$58=1),"",LEFT(IFERROR(INDEX(醫師週班表!$C$5:$T$44,$CU28,AX$57),""),1)),IFERROR(INDEX(醫師週班表!$C$5:$T$44,$CU28,AX$57),""))))))</f>
        <v/>
      </c>
      <c r="AY28" s="68">
        <f>IF(AY$59="X","",IF(AY$59&lt;&gt;"",AY$59,IF(IFERROR(INDEX(醫師週班表!$C$5:$T$44,$CU28,AY$57),"")=0,"",IF(LEN(IFERROR(INDEX(醫師週班表!$C$5:$T$44,$CU28,AY$57),""))=4,MID(IFERROR(INDEX(醫師週班表!$C$5:$T$44,$CU28,AY$57),""),1+AY$58*2,1),IF(LEN(IFERROR(INDEX(醫師週班表!$C$5:$T$44,$CU28,AY$57),""))=2,IF(AND(RIGHT(IFERROR(INDEX(醫師週班表!$C$5:$T$44,$CU28,AY$57),""),1)="~",AY$58=1),"",LEFT(IFERROR(INDEX(醫師週班表!$C$5:$T$44,$CU28,AY$57),""),1)),IFERROR(INDEX(醫師週班表!$C$5:$T$44,$CU28,AY$57),""))))))</f>
        <v/>
      </c>
      <c r="AZ28" s="68">
        <f>IF(AZ$59="X","",IF(AZ$59&lt;&gt;"",AZ$59,IF(IFERROR(INDEX(醫師週班表!$C$5:$T$44,$CU28,AZ$57),"")=0,"",IF(LEN(IFERROR(INDEX(醫師週班表!$C$5:$T$44,$CU28,AZ$57),""))=4,MID(IFERROR(INDEX(醫師週班表!$C$5:$T$44,$CU28,AZ$57),""),1+AZ$58*2,1),IF(LEN(IFERROR(INDEX(醫師週班表!$C$5:$T$44,$CU28,AZ$57),""))=2,IF(AND(RIGHT(IFERROR(INDEX(醫師週班表!$C$5:$T$44,$CU28,AZ$57),""),1)="~",AZ$58=1),"",LEFT(IFERROR(INDEX(醫師週班表!$C$5:$T$44,$CU28,AZ$57),""),1)),IFERROR(INDEX(醫師週班表!$C$5:$T$44,$CU28,AZ$57),""))))))</f>
        <v/>
      </c>
      <c r="BA28" s="67">
        <f>IF(BA$59="X","",IF(BA$59&lt;&gt;"",BA$59,IF(IFERROR(INDEX(醫師週班表!$C$5:$T$44,$CU28,BA$57),"")=0,"",IF(LEN(IFERROR(INDEX(醫師週班表!$C$5:$T$44,$CU28,BA$57),""))=4,MID(IFERROR(INDEX(醫師週班表!$C$5:$T$44,$CU28,BA$57),""),1+BA$58*2,1),IF(LEN(IFERROR(INDEX(醫師週班表!$C$5:$T$44,$CU28,BA$57),""))=2,IF(AND(RIGHT(IFERROR(INDEX(醫師週班表!$C$5:$T$44,$CU28,BA$57),""),1)="~",BA$58=1),"",LEFT(IFERROR(INDEX(醫師週班表!$C$5:$T$44,$CU28,BA$57),""),1)),IFERROR(INDEX(醫師週班表!$C$5:$T$44,$CU28,BA$57),""))))))</f>
        <v/>
      </c>
      <c r="BB28" s="68">
        <f>IF(BB$59="X","",IF(BB$59&lt;&gt;"",BB$59,IF(IFERROR(INDEX(醫師週班表!$C$5:$T$44,$CU28,BB$57),"")=0,"",IF(LEN(IFERROR(INDEX(醫師週班表!$C$5:$T$44,$CU28,BB$57),""))=4,MID(IFERROR(INDEX(醫師週班表!$C$5:$T$44,$CU28,BB$57),""),1+BB$58*2,1),IF(LEN(IFERROR(INDEX(醫師週班表!$C$5:$T$44,$CU28,BB$57),""))=2,IF(AND(RIGHT(IFERROR(INDEX(醫師週班表!$C$5:$T$44,$CU28,BB$57),""),1)="~",BB$58=1),"",LEFT(IFERROR(INDEX(醫師週班表!$C$5:$T$44,$CU28,BB$57),""),1)),IFERROR(INDEX(醫師週班表!$C$5:$T$44,$CU28,BB$57),""))))))</f>
        <v/>
      </c>
      <c r="BC28" s="68">
        <f>IF(BC$59="X","",IF(BC$59&lt;&gt;"",BC$59,IF(IFERROR(INDEX(醫師週班表!$C$5:$T$44,$CU28,BC$57),"")=0,"",IF(LEN(IFERROR(INDEX(醫師週班表!$C$5:$T$44,$CU28,BC$57),""))=4,MID(IFERROR(INDEX(醫師週班表!$C$5:$T$44,$CU28,BC$57),""),1+BC$58*2,1),IF(LEN(IFERROR(INDEX(醫師週班表!$C$5:$T$44,$CU28,BC$57),""))=2,IF(AND(RIGHT(IFERROR(INDEX(醫師週班表!$C$5:$T$44,$CU28,BC$57),""),1)="~",BC$58=1),"",LEFT(IFERROR(INDEX(醫師週班表!$C$5:$T$44,$CU28,BC$57),""),1)),IFERROR(INDEX(醫師週班表!$C$5:$T$44,$CU28,BC$57),""))))))</f>
        <v/>
      </c>
      <c r="BD28" s="67">
        <f>IF(BD$59="X","",IF(BD$59&lt;&gt;"",BD$59,IF(IFERROR(INDEX(醫師週班表!$C$5:$T$44,$CU28,BD$57),"")=0,"",IF(LEN(IFERROR(INDEX(醫師週班表!$C$5:$T$44,$CU28,BD$57),""))=4,MID(IFERROR(INDEX(醫師週班表!$C$5:$T$44,$CU28,BD$57),""),1+BD$58*2,1),IF(LEN(IFERROR(INDEX(醫師週班表!$C$5:$T$44,$CU28,BD$57),""))=2,IF(AND(RIGHT(IFERROR(INDEX(醫師週班表!$C$5:$T$44,$CU28,BD$57),""),1)="~",BD$58=1),"",LEFT(IFERROR(INDEX(醫師週班表!$C$5:$T$44,$CU28,BD$57),""),1)),IFERROR(INDEX(醫師週班表!$C$5:$T$44,$CU28,BD$57),""))))))</f>
        <v/>
      </c>
      <c r="BE28" s="68">
        <f>IF(BE$59="X","",IF(BE$59&lt;&gt;"",BE$59,IF(IFERROR(INDEX(醫師週班表!$C$5:$T$44,$CU28,BE$57),"")=0,"",IF(LEN(IFERROR(INDEX(醫師週班表!$C$5:$T$44,$CU28,BE$57),""))=4,MID(IFERROR(INDEX(醫師週班表!$C$5:$T$44,$CU28,BE$57),""),1+BE$58*2,1),IF(LEN(IFERROR(INDEX(醫師週班表!$C$5:$T$44,$CU28,BE$57),""))=2,IF(AND(RIGHT(IFERROR(INDEX(醫師週班表!$C$5:$T$44,$CU28,BE$57),""),1)="~",BE$58=1),"",LEFT(IFERROR(INDEX(醫師週班表!$C$5:$T$44,$CU28,BE$57),""),1)),IFERROR(INDEX(醫師週班表!$C$5:$T$44,$CU28,BE$57),""))))))</f>
        <v/>
      </c>
      <c r="BF28" s="68">
        <f>IF(BF$59="X","",IF(BF$59&lt;&gt;"",BF$59,IF(IFERROR(INDEX(醫師週班表!$C$5:$T$44,$CU28,BF$57),"")=0,"",IF(LEN(IFERROR(INDEX(醫師週班表!$C$5:$T$44,$CU28,BF$57),""))=4,MID(IFERROR(INDEX(醫師週班表!$C$5:$T$44,$CU28,BF$57),""),1+BF$58*2,1),IF(LEN(IFERROR(INDEX(醫師週班表!$C$5:$T$44,$CU28,BF$57),""))=2,IF(AND(RIGHT(IFERROR(INDEX(醫師週班表!$C$5:$T$44,$CU28,BF$57),""),1)="~",BF$58=1),"",LEFT(IFERROR(INDEX(醫師週班表!$C$5:$T$44,$CU28,BF$57),""),1)),IFERROR(INDEX(醫師週班表!$C$5:$T$44,$CU28,BF$57),""))))))</f>
        <v/>
      </c>
      <c r="BG28" s="67">
        <f>IF(BG$59="X","",IF(BG$59&lt;&gt;"",BG$59,IF(IFERROR(INDEX(醫師週班表!$C$5:$T$44,$CU28,BG$57),"")=0,"",IF(LEN(IFERROR(INDEX(醫師週班表!$C$5:$T$44,$CU28,BG$57),""))=4,MID(IFERROR(INDEX(醫師週班表!$C$5:$T$44,$CU28,BG$57),""),1+BG$58*2,1),IF(LEN(IFERROR(INDEX(醫師週班表!$C$5:$T$44,$CU28,BG$57),""))=2,IF(AND(RIGHT(IFERROR(INDEX(醫師週班表!$C$5:$T$44,$CU28,BG$57),""),1)="~",BG$58=1),"",LEFT(IFERROR(INDEX(醫師週班表!$C$5:$T$44,$CU28,BG$57),""),1)),IFERROR(INDEX(醫師週班表!$C$5:$T$44,$CU28,BG$57),""))))))</f>
        <v/>
      </c>
      <c r="BH28" s="68">
        <f>IF(BH$59="X","",IF(BH$59&lt;&gt;"",BH$59,IF(IFERROR(INDEX(醫師週班表!$C$5:$T$44,$CU28,BH$57),"")=0,"",IF(LEN(IFERROR(INDEX(醫師週班表!$C$5:$T$44,$CU28,BH$57),""))=4,MID(IFERROR(INDEX(醫師週班表!$C$5:$T$44,$CU28,BH$57),""),1+BH$58*2,1),IF(LEN(IFERROR(INDEX(醫師週班表!$C$5:$T$44,$CU28,BH$57),""))=2,IF(AND(RIGHT(IFERROR(INDEX(醫師週班表!$C$5:$T$44,$CU28,BH$57),""),1)="~",BH$58=1),"",LEFT(IFERROR(INDEX(醫師週班表!$C$5:$T$44,$CU28,BH$57),""),1)),IFERROR(INDEX(醫師週班表!$C$5:$T$44,$CU28,BH$57),""))))))</f>
        <v/>
      </c>
      <c r="BI28" s="68">
        <f>IF(BI$59="X","",IF(BI$59&lt;&gt;"",BI$59,IF(IFERROR(INDEX(醫師週班表!$C$5:$T$44,$CU28,BI$57),"")=0,"",IF(LEN(IFERROR(INDEX(醫師週班表!$C$5:$T$44,$CU28,BI$57),""))=4,MID(IFERROR(INDEX(醫師週班表!$C$5:$T$44,$CU28,BI$57),""),1+BI$58*2,1),IF(LEN(IFERROR(INDEX(醫師週班表!$C$5:$T$44,$CU28,BI$57),""))=2,IF(AND(RIGHT(IFERROR(INDEX(醫師週班表!$C$5:$T$44,$CU28,BI$57),""),1)="~",BI$58=1),"",LEFT(IFERROR(INDEX(醫師週班表!$C$5:$T$44,$CU28,BI$57),""),1)),IFERROR(INDEX(醫師週班表!$C$5:$T$44,$CU28,BI$57),""))))))</f>
        <v/>
      </c>
      <c r="BJ28" s="67">
        <f>IF(BJ$59="X","",IF(BJ$59&lt;&gt;"",BJ$59,IF(IFERROR(INDEX(醫師週班表!$C$5:$T$44,$CU28,BJ$57),"")=0,"",IF(LEN(IFERROR(INDEX(醫師週班表!$C$5:$T$44,$CU28,BJ$57),""))=4,MID(IFERROR(INDEX(醫師週班表!$C$5:$T$44,$CU28,BJ$57),""),1+BJ$58*2,1),IF(LEN(IFERROR(INDEX(醫師週班表!$C$5:$T$44,$CU28,BJ$57),""))=2,IF(AND(RIGHT(IFERROR(INDEX(醫師週班表!$C$5:$T$44,$CU28,BJ$57),""),1)="~",BJ$58=1),"",LEFT(IFERROR(INDEX(醫師週班表!$C$5:$T$44,$CU28,BJ$57),""),1)),IFERROR(INDEX(醫師週班表!$C$5:$T$44,$CU28,BJ$57),""))))))</f>
        <v/>
      </c>
      <c r="BK28" s="68">
        <f>IF(BK$59="X","",IF(BK$59&lt;&gt;"",BK$59,IF(IFERROR(INDEX(醫師週班表!$C$5:$T$44,$CU28,BK$57),"")=0,"",IF(LEN(IFERROR(INDEX(醫師週班表!$C$5:$T$44,$CU28,BK$57),""))=4,MID(IFERROR(INDEX(醫師週班表!$C$5:$T$44,$CU28,BK$57),""),1+BK$58*2,1),IF(LEN(IFERROR(INDEX(醫師週班表!$C$5:$T$44,$CU28,BK$57),""))=2,IF(AND(RIGHT(IFERROR(INDEX(醫師週班表!$C$5:$T$44,$CU28,BK$57),""),1)="~",BK$58=1),"",LEFT(IFERROR(INDEX(醫師週班表!$C$5:$T$44,$CU28,BK$57),""),1)),IFERROR(INDEX(醫師週班表!$C$5:$T$44,$CU28,BK$57),""))))))</f>
        <v/>
      </c>
      <c r="BL28" s="68">
        <f>IF(BL$59="X","",IF(BL$59&lt;&gt;"",BL$59,IF(IFERROR(INDEX(醫師週班表!$C$5:$T$44,$CU28,BL$57),"")=0,"",IF(LEN(IFERROR(INDEX(醫師週班表!$C$5:$T$44,$CU28,BL$57),""))=4,MID(IFERROR(INDEX(醫師週班表!$C$5:$T$44,$CU28,BL$57),""),1+BL$58*2,1),IF(LEN(IFERROR(INDEX(醫師週班表!$C$5:$T$44,$CU28,BL$57),""))=2,IF(AND(RIGHT(IFERROR(INDEX(醫師週班表!$C$5:$T$44,$CU28,BL$57),""),1)="~",BL$58=1),"",LEFT(IFERROR(INDEX(醫師週班表!$C$5:$T$44,$CU28,BL$57),""),1)),IFERROR(INDEX(醫師週班表!$C$5:$T$44,$CU28,BL$57),""))))))</f>
        <v/>
      </c>
      <c r="BM28" s="67">
        <f>IF(BM$59="X","",IF(BM$59&lt;&gt;"",BM$59,IF(IFERROR(INDEX(醫師週班表!$C$5:$T$44,$CU28,BM$57),"")=0,"",IF(LEN(IFERROR(INDEX(醫師週班表!$C$5:$T$44,$CU28,BM$57),""))=4,MID(IFERROR(INDEX(醫師週班表!$C$5:$T$44,$CU28,BM$57),""),1+BM$58*2,1),IF(LEN(IFERROR(INDEX(醫師週班表!$C$5:$T$44,$CU28,BM$57),""))=2,IF(AND(RIGHT(IFERROR(INDEX(醫師週班表!$C$5:$T$44,$CU28,BM$57),""),1)="~",BM$58=1),"",LEFT(IFERROR(INDEX(醫師週班表!$C$5:$T$44,$CU28,BM$57),""),1)),IFERROR(INDEX(醫師週班表!$C$5:$T$44,$CU28,BM$57),""))))))</f>
        <v/>
      </c>
      <c r="BN28" s="68">
        <f>IF(BN$59="X","",IF(BN$59&lt;&gt;"",BN$59,IF(IFERROR(INDEX(醫師週班表!$C$5:$T$44,$CU28,BN$57),"")=0,"",IF(LEN(IFERROR(INDEX(醫師週班表!$C$5:$T$44,$CU28,BN$57),""))=4,MID(IFERROR(INDEX(醫師週班表!$C$5:$T$44,$CU28,BN$57),""),1+BN$58*2,1),IF(LEN(IFERROR(INDEX(醫師週班表!$C$5:$T$44,$CU28,BN$57),""))=2,IF(AND(RIGHT(IFERROR(INDEX(醫師週班表!$C$5:$T$44,$CU28,BN$57),""),1)="~",BN$58=1),"",LEFT(IFERROR(INDEX(醫師週班表!$C$5:$T$44,$CU28,BN$57),""),1)),IFERROR(INDEX(醫師週班表!$C$5:$T$44,$CU28,BN$57),""))))))</f>
        <v/>
      </c>
      <c r="BO28" s="68">
        <f>IF(BO$59="X","",IF(BO$59&lt;&gt;"",BO$59,IF(IFERROR(INDEX(醫師週班表!$C$5:$T$44,$CU28,BO$57),"")=0,"",IF(LEN(IFERROR(INDEX(醫師週班表!$C$5:$T$44,$CU28,BO$57),""))=4,MID(IFERROR(INDEX(醫師週班表!$C$5:$T$44,$CU28,BO$57),""),1+BO$58*2,1),IF(LEN(IFERROR(INDEX(醫師週班表!$C$5:$T$44,$CU28,BO$57),""))=2,IF(AND(RIGHT(IFERROR(INDEX(醫師週班表!$C$5:$T$44,$CU28,BO$57),""),1)="~",BO$58=1),"",LEFT(IFERROR(INDEX(醫師週班表!$C$5:$T$44,$CU28,BO$57),""),1)),IFERROR(INDEX(醫師週班表!$C$5:$T$44,$CU28,BO$57),""))))))</f>
        <v/>
      </c>
      <c r="BP28" s="67">
        <f>IF(BP$59="X","",IF(BP$59&lt;&gt;"",BP$59,IF(IFERROR(INDEX(醫師週班表!$C$5:$T$44,$CU28,BP$57),"")=0,"",IF(LEN(IFERROR(INDEX(醫師週班表!$C$5:$T$44,$CU28,BP$57),""))=4,MID(IFERROR(INDEX(醫師週班表!$C$5:$T$44,$CU28,BP$57),""),1+BP$58*2,1),IF(LEN(IFERROR(INDEX(醫師週班表!$C$5:$T$44,$CU28,BP$57),""))=2,IF(AND(RIGHT(IFERROR(INDEX(醫師週班表!$C$5:$T$44,$CU28,BP$57),""),1)="~",BP$58=1),"",LEFT(IFERROR(INDEX(醫師週班表!$C$5:$T$44,$CU28,BP$57),""),1)),IFERROR(INDEX(醫師週班表!$C$5:$T$44,$CU28,BP$57),""))))))</f>
        <v/>
      </c>
      <c r="BQ28" s="68">
        <f>IF(BQ$59="X","",IF(BQ$59&lt;&gt;"",BQ$59,IF(IFERROR(INDEX(醫師週班表!$C$5:$T$44,$CU28,BQ$57),"")=0,"",IF(LEN(IFERROR(INDEX(醫師週班表!$C$5:$T$44,$CU28,BQ$57),""))=4,MID(IFERROR(INDEX(醫師週班表!$C$5:$T$44,$CU28,BQ$57),""),1+BQ$58*2,1),IF(LEN(IFERROR(INDEX(醫師週班表!$C$5:$T$44,$CU28,BQ$57),""))=2,IF(AND(RIGHT(IFERROR(INDEX(醫師週班表!$C$5:$T$44,$CU28,BQ$57),""),1)="~",BQ$58=1),"",LEFT(IFERROR(INDEX(醫師週班表!$C$5:$T$44,$CU28,BQ$57),""),1)),IFERROR(INDEX(醫師週班表!$C$5:$T$44,$CU28,BQ$57),""))))))</f>
        <v/>
      </c>
      <c r="BR28" s="68">
        <f>IF(BR$59="X","",IF(BR$59&lt;&gt;"",BR$59,IF(IFERROR(INDEX(醫師週班表!$C$5:$T$44,$CU28,BR$57),"")=0,"",IF(LEN(IFERROR(INDEX(醫師週班表!$C$5:$T$44,$CU28,BR$57),""))=4,MID(IFERROR(INDEX(醫師週班表!$C$5:$T$44,$CU28,BR$57),""),1+BR$58*2,1),IF(LEN(IFERROR(INDEX(醫師週班表!$C$5:$T$44,$CU28,BR$57),""))=2,IF(AND(RIGHT(IFERROR(INDEX(醫師週班表!$C$5:$T$44,$CU28,BR$57),""),1)="~",BR$58=1),"",LEFT(IFERROR(INDEX(醫師週班表!$C$5:$T$44,$CU28,BR$57),""),1)),IFERROR(INDEX(醫師週班表!$C$5:$T$44,$CU28,BR$57),""))))))</f>
        <v/>
      </c>
      <c r="BS28" s="67">
        <f>IF(BS$59="X","",IF(BS$59&lt;&gt;"",BS$59,IF(IFERROR(INDEX(醫師週班表!$C$5:$T$44,$CU28,BS$57),"")=0,"",IF(LEN(IFERROR(INDEX(醫師週班表!$C$5:$T$44,$CU28,BS$57),""))=4,MID(IFERROR(INDEX(醫師週班表!$C$5:$T$44,$CU28,BS$57),""),1+BS$58*2,1),IF(LEN(IFERROR(INDEX(醫師週班表!$C$5:$T$44,$CU28,BS$57),""))=2,IF(AND(RIGHT(IFERROR(INDEX(醫師週班表!$C$5:$T$44,$CU28,BS$57),""),1)="~",BS$58=1),"",LEFT(IFERROR(INDEX(醫師週班表!$C$5:$T$44,$CU28,BS$57),""),1)),IFERROR(INDEX(醫師週班表!$C$5:$T$44,$CU28,BS$57),""))))))</f>
        <v/>
      </c>
      <c r="BT28" s="68">
        <f>IF(BT$59="X","",IF(BT$59&lt;&gt;"",BT$59,IF(IFERROR(INDEX(醫師週班表!$C$5:$T$44,$CU28,BT$57),"")=0,"",IF(LEN(IFERROR(INDEX(醫師週班表!$C$5:$T$44,$CU28,BT$57),""))=4,MID(IFERROR(INDEX(醫師週班表!$C$5:$T$44,$CU28,BT$57),""),1+BT$58*2,1),IF(LEN(IFERROR(INDEX(醫師週班表!$C$5:$T$44,$CU28,BT$57),""))=2,IF(AND(RIGHT(IFERROR(INDEX(醫師週班表!$C$5:$T$44,$CU28,BT$57),""),1)="~",BT$58=1),"",LEFT(IFERROR(INDEX(醫師週班表!$C$5:$T$44,$CU28,BT$57),""),1)),IFERROR(INDEX(醫師週班表!$C$5:$T$44,$CU28,BT$57),""))))))</f>
        <v/>
      </c>
      <c r="BU28" s="68">
        <f>IF(BU$59="X","",IF(BU$59&lt;&gt;"",BU$59,IF(IFERROR(INDEX(醫師週班表!$C$5:$T$44,$CU28,BU$57),"")=0,"",IF(LEN(IFERROR(INDEX(醫師週班表!$C$5:$T$44,$CU28,BU$57),""))=4,MID(IFERROR(INDEX(醫師週班表!$C$5:$T$44,$CU28,BU$57),""),1+BU$58*2,1),IF(LEN(IFERROR(INDEX(醫師週班表!$C$5:$T$44,$CU28,BU$57),""))=2,IF(AND(RIGHT(IFERROR(INDEX(醫師週班表!$C$5:$T$44,$CU28,BU$57),""),1)="~",BU$58=1),"",LEFT(IFERROR(INDEX(醫師週班表!$C$5:$T$44,$CU28,BU$57),""),1)),IFERROR(INDEX(醫師週班表!$C$5:$T$44,$CU28,BU$57),""))))))</f>
        <v/>
      </c>
      <c r="BV28" s="67">
        <f>IF(BV$59="X","",IF(BV$59&lt;&gt;"",BV$59,IF(IFERROR(INDEX(醫師週班表!$C$5:$T$44,$CU28,BV$57),"")=0,"",IF(LEN(IFERROR(INDEX(醫師週班表!$C$5:$T$44,$CU28,BV$57),""))=4,MID(IFERROR(INDEX(醫師週班表!$C$5:$T$44,$CU28,BV$57),""),1+BV$58*2,1),IF(LEN(IFERROR(INDEX(醫師週班表!$C$5:$T$44,$CU28,BV$57),""))=2,IF(AND(RIGHT(IFERROR(INDEX(醫師週班表!$C$5:$T$44,$CU28,BV$57),""),1)="~",BV$58=1),"",LEFT(IFERROR(INDEX(醫師週班表!$C$5:$T$44,$CU28,BV$57),""),1)),IFERROR(INDEX(醫師週班表!$C$5:$T$44,$CU28,BV$57),""))))))</f>
        <v/>
      </c>
      <c r="BW28" s="68">
        <f>IF(BW$59="X","",IF(BW$59&lt;&gt;"",BW$59,IF(IFERROR(INDEX(醫師週班表!$C$5:$T$44,$CU28,BW$57),"")=0,"",IF(LEN(IFERROR(INDEX(醫師週班表!$C$5:$T$44,$CU28,BW$57),""))=4,MID(IFERROR(INDEX(醫師週班表!$C$5:$T$44,$CU28,BW$57),""),1+BW$58*2,1),IF(LEN(IFERROR(INDEX(醫師週班表!$C$5:$T$44,$CU28,BW$57),""))=2,IF(AND(RIGHT(IFERROR(INDEX(醫師週班表!$C$5:$T$44,$CU28,BW$57),""),1)="~",BW$58=1),"",LEFT(IFERROR(INDEX(醫師週班表!$C$5:$T$44,$CU28,BW$57),""),1)),IFERROR(INDEX(醫師週班表!$C$5:$T$44,$CU28,BW$57),""))))))</f>
        <v/>
      </c>
      <c r="BX28" s="68">
        <f>IF(BX$59="X","",IF(BX$59&lt;&gt;"",BX$59,IF(IFERROR(INDEX(醫師週班表!$C$5:$T$44,$CU28,BX$57),"")=0,"",IF(LEN(IFERROR(INDEX(醫師週班表!$C$5:$T$44,$CU28,BX$57),""))=4,MID(IFERROR(INDEX(醫師週班表!$C$5:$T$44,$CU28,BX$57),""),1+BX$58*2,1),IF(LEN(IFERROR(INDEX(醫師週班表!$C$5:$T$44,$CU28,BX$57),""))=2,IF(AND(RIGHT(IFERROR(INDEX(醫師週班表!$C$5:$T$44,$CU28,BX$57),""),1)="~",BX$58=1),"",LEFT(IFERROR(INDEX(醫師週班表!$C$5:$T$44,$CU28,BX$57),""),1)),IFERROR(INDEX(醫師週班表!$C$5:$T$44,$CU28,BX$57),""))))))</f>
        <v/>
      </c>
      <c r="BY28" s="67">
        <f>IF(BY$59="X","",IF(BY$59&lt;&gt;"",BY$59,IF(IFERROR(INDEX(醫師週班表!$C$5:$T$44,$CU28,BY$57),"")=0,"",IF(LEN(IFERROR(INDEX(醫師週班表!$C$5:$T$44,$CU28,BY$57),""))=4,MID(IFERROR(INDEX(醫師週班表!$C$5:$T$44,$CU28,BY$57),""),1+BY$58*2,1),IF(LEN(IFERROR(INDEX(醫師週班表!$C$5:$T$44,$CU28,BY$57),""))=2,IF(AND(RIGHT(IFERROR(INDEX(醫師週班表!$C$5:$T$44,$CU28,BY$57),""),1)="~",BY$58=1),"",LEFT(IFERROR(INDEX(醫師週班表!$C$5:$T$44,$CU28,BY$57),""),1)),IFERROR(INDEX(醫師週班表!$C$5:$T$44,$CU28,BY$57),""))))))</f>
        <v/>
      </c>
      <c r="BZ28" s="68">
        <f>IF(BZ$59="X","",IF(BZ$59&lt;&gt;"",BZ$59,IF(IFERROR(INDEX(醫師週班表!$C$5:$T$44,$CU28,BZ$57),"")=0,"",IF(LEN(IFERROR(INDEX(醫師週班表!$C$5:$T$44,$CU28,BZ$57),""))=4,MID(IFERROR(INDEX(醫師週班表!$C$5:$T$44,$CU28,BZ$57),""),1+BZ$58*2,1),IF(LEN(IFERROR(INDEX(醫師週班表!$C$5:$T$44,$CU28,BZ$57),""))=2,IF(AND(RIGHT(IFERROR(INDEX(醫師週班表!$C$5:$T$44,$CU28,BZ$57),""),1)="~",BZ$58=1),"",LEFT(IFERROR(INDEX(醫師週班表!$C$5:$T$44,$CU28,BZ$57),""),1)),IFERROR(INDEX(醫師週班表!$C$5:$T$44,$CU28,BZ$57),""))))))</f>
        <v/>
      </c>
      <c r="CA28" s="68">
        <f>IF(CA$59="X","",IF(CA$59&lt;&gt;"",CA$59,IF(IFERROR(INDEX(醫師週班表!$C$5:$T$44,$CU28,CA$57),"")=0,"",IF(LEN(IFERROR(INDEX(醫師週班表!$C$5:$T$44,$CU28,CA$57),""))=4,MID(IFERROR(INDEX(醫師週班表!$C$5:$T$44,$CU28,CA$57),""),1+CA$58*2,1),IF(LEN(IFERROR(INDEX(醫師週班表!$C$5:$T$44,$CU28,CA$57),""))=2,IF(AND(RIGHT(IFERROR(INDEX(醫師週班表!$C$5:$T$44,$CU28,CA$57),""),1)="~",CA$58=1),"",LEFT(IFERROR(INDEX(醫師週班表!$C$5:$T$44,$CU28,CA$57),""),1)),IFERROR(INDEX(醫師週班表!$C$5:$T$44,$CU28,CA$57),""))))))</f>
        <v/>
      </c>
      <c r="CB28" s="67">
        <f>IF(CB$59="X","",IF(CB$59&lt;&gt;"",CB$59,IF(IFERROR(INDEX(醫師週班表!$C$5:$T$44,$CU28,CB$57),"")=0,"",IF(LEN(IFERROR(INDEX(醫師週班表!$C$5:$T$44,$CU28,CB$57),""))=4,MID(IFERROR(INDEX(醫師週班表!$C$5:$T$44,$CU28,CB$57),""),1+CB$58*2,1),IF(LEN(IFERROR(INDEX(醫師週班表!$C$5:$T$44,$CU28,CB$57),""))=2,IF(AND(RIGHT(IFERROR(INDEX(醫師週班表!$C$5:$T$44,$CU28,CB$57),""),1)="~",CB$58=1),"",LEFT(IFERROR(INDEX(醫師週班表!$C$5:$T$44,$CU28,CB$57),""),1)),IFERROR(INDEX(醫師週班表!$C$5:$T$44,$CU28,CB$57),""))))))</f>
        <v/>
      </c>
      <c r="CC28" s="68">
        <f>IF(CC$59="X","",IF(CC$59&lt;&gt;"",CC$59,IF(IFERROR(INDEX(醫師週班表!$C$5:$T$44,$CU28,CC$57),"")=0,"",IF(LEN(IFERROR(INDEX(醫師週班表!$C$5:$T$44,$CU28,CC$57),""))=4,MID(IFERROR(INDEX(醫師週班表!$C$5:$T$44,$CU28,CC$57),""),1+CC$58*2,1),IF(LEN(IFERROR(INDEX(醫師週班表!$C$5:$T$44,$CU28,CC$57),""))=2,IF(AND(RIGHT(IFERROR(INDEX(醫師週班表!$C$5:$T$44,$CU28,CC$57),""),1)="~",CC$58=1),"",LEFT(IFERROR(INDEX(醫師週班表!$C$5:$T$44,$CU28,CC$57),""),1)),IFERROR(INDEX(醫師週班表!$C$5:$T$44,$CU28,CC$57),""))))))</f>
        <v/>
      </c>
      <c r="CD28" s="68">
        <f>IF(CD$59="X","",IF(CD$59&lt;&gt;"",CD$59,IF(IFERROR(INDEX(醫師週班表!$C$5:$T$44,$CU28,CD$57),"")=0,"",IF(LEN(IFERROR(INDEX(醫師週班表!$C$5:$T$44,$CU28,CD$57),""))=4,MID(IFERROR(INDEX(醫師週班表!$C$5:$T$44,$CU28,CD$57),""),1+CD$58*2,1),IF(LEN(IFERROR(INDEX(醫師週班表!$C$5:$T$44,$CU28,CD$57),""))=2,IF(AND(RIGHT(IFERROR(INDEX(醫師週班表!$C$5:$T$44,$CU28,CD$57),""),1)="~",CD$58=1),"",LEFT(IFERROR(INDEX(醫師週班表!$C$5:$T$44,$CU28,CD$57),""),1)),IFERROR(INDEX(醫師週班表!$C$5:$T$44,$CU28,CD$57),""))))))</f>
        <v/>
      </c>
      <c r="CE28" s="67">
        <f>IF(CE$59="X","",IF(CE$59&lt;&gt;"",CE$59,IF(IFERROR(INDEX(醫師週班表!$C$5:$T$44,$CU28,CE$57),"")=0,"",IF(LEN(IFERROR(INDEX(醫師週班表!$C$5:$T$44,$CU28,CE$57),""))=4,MID(IFERROR(INDEX(醫師週班表!$C$5:$T$44,$CU28,CE$57),""),1+CE$58*2,1),IF(LEN(IFERROR(INDEX(醫師週班表!$C$5:$T$44,$CU28,CE$57),""))=2,IF(AND(RIGHT(IFERROR(INDEX(醫師週班表!$C$5:$T$44,$CU28,CE$57),""),1)="~",CE$58=1),"",LEFT(IFERROR(INDEX(醫師週班表!$C$5:$T$44,$CU28,CE$57),""),1)),IFERROR(INDEX(醫師週班表!$C$5:$T$44,$CU28,CE$57),""))))))</f>
        <v/>
      </c>
      <c r="CF28" s="68">
        <f>IF(CF$59="X","",IF(CF$59&lt;&gt;"",CF$59,IF(IFERROR(INDEX(醫師週班表!$C$5:$T$44,$CU28,CF$57),"")=0,"",IF(LEN(IFERROR(INDEX(醫師週班表!$C$5:$T$44,$CU28,CF$57),""))=4,MID(IFERROR(INDEX(醫師週班表!$C$5:$T$44,$CU28,CF$57),""),1+CF$58*2,1),IF(LEN(IFERROR(INDEX(醫師週班表!$C$5:$T$44,$CU28,CF$57),""))=2,IF(AND(RIGHT(IFERROR(INDEX(醫師週班表!$C$5:$T$44,$CU28,CF$57),""),1)="~",CF$58=1),"",LEFT(IFERROR(INDEX(醫師週班表!$C$5:$T$44,$CU28,CF$57),""),1)),IFERROR(INDEX(醫師週班表!$C$5:$T$44,$CU28,CF$57),""))))))</f>
        <v/>
      </c>
      <c r="CG28" s="68">
        <f>IF(CG$59="X","",IF(CG$59&lt;&gt;"",CG$59,IF(IFERROR(INDEX(醫師週班表!$C$5:$T$44,$CU28,CG$57),"")=0,"",IF(LEN(IFERROR(INDEX(醫師週班表!$C$5:$T$44,$CU28,CG$57),""))=4,MID(IFERROR(INDEX(醫師週班表!$C$5:$T$44,$CU28,CG$57),""),1+CG$58*2,1),IF(LEN(IFERROR(INDEX(醫師週班表!$C$5:$T$44,$CU28,CG$57),""))=2,IF(AND(RIGHT(IFERROR(INDEX(醫師週班表!$C$5:$T$44,$CU28,CG$57),""),1)="~",CG$58=1),"",LEFT(IFERROR(INDEX(醫師週班表!$C$5:$T$44,$CU28,CG$57),""),1)),IFERROR(INDEX(醫師週班表!$C$5:$T$44,$CU28,CG$57),""))))))</f>
        <v/>
      </c>
      <c r="CH28" s="67">
        <f>IF(CH$59="X","",IF(CH$59&lt;&gt;"",CH$59,IF(IFERROR(INDEX(醫師週班表!$C$5:$T$44,$CU28,CH$57),"")=0,"",IF(LEN(IFERROR(INDEX(醫師週班表!$C$5:$T$44,$CU28,CH$57),""))=4,MID(IFERROR(INDEX(醫師週班表!$C$5:$T$44,$CU28,CH$57),""),1+CH$58*2,1),IF(LEN(IFERROR(INDEX(醫師週班表!$C$5:$T$44,$CU28,CH$57),""))=2,IF(AND(RIGHT(IFERROR(INDEX(醫師週班表!$C$5:$T$44,$CU28,CH$57),""),1)="~",CH$58=1),"",LEFT(IFERROR(INDEX(醫師週班表!$C$5:$T$44,$CU28,CH$57),""),1)),IFERROR(INDEX(醫師週班表!$C$5:$T$44,$CU28,CH$57),""))))))</f>
        <v/>
      </c>
      <c r="CI28" s="68">
        <f>IF(CI$59="X","",IF(CI$59&lt;&gt;"",CI$59,IF(IFERROR(INDEX(醫師週班表!$C$5:$T$44,$CU28,CI$57),"")=0,"",IF(LEN(IFERROR(INDEX(醫師週班表!$C$5:$T$44,$CU28,CI$57),""))=4,MID(IFERROR(INDEX(醫師週班表!$C$5:$T$44,$CU28,CI$57),""),1+CI$58*2,1),IF(LEN(IFERROR(INDEX(醫師週班表!$C$5:$T$44,$CU28,CI$57),""))=2,IF(AND(RIGHT(IFERROR(INDEX(醫師週班表!$C$5:$T$44,$CU28,CI$57),""),1)="~",CI$58=1),"",LEFT(IFERROR(INDEX(醫師週班表!$C$5:$T$44,$CU28,CI$57),""),1)),IFERROR(INDEX(醫師週班表!$C$5:$T$44,$CU28,CI$57),""))))))</f>
        <v/>
      </c>
      <c r="CJ28" s="68">
        <f>IF(CJ$59="X","",IF(CJ$59&lt;&gt;"",CJ$59,IF(IFERROR(INDEX(醫師週班表!$C$5:$T$44,$CU28,CJ$57),"")=0,"",IF(LEN(IFERROR(INDEX(醫師週班表!$C$5:$T$44,$CU28,CJ$57),""))=4,MID(IFERROR(INDEX(醫師週班表!$C$5:$T$44,$CU28,CJ$57),""),1+CJ$58*2,1),IF(LEN(IFERROR(INDEX(醫師週班表!$C$5:$T$44,$CU28,CJ$57),""))=2,IF(AND(RIGHT(IFERROR(INDEX(醫師週班表!$C$5:$T$44,$CU28,CJ$57),""),1)="~",CJ$58=1),"",LEFT(IFERROR(INDEX(醫師週班表!$C$5:$T$44,$CU28,CJ$57),""),1)),IFERROR(INDEX(醫師週班表!$C$5:$T$44,$CU28,CJ$57),""))))))</f>
        <v/>
      </c>
      <c r="CK28" s="67">
        <f>IF(CK$59="X","",IF(CK$59&lt;&gt;"",CK$59,IF(IFERROR(INDEX(醫師週班表!$C$5:$T$44,$CU28,CK$57),"")=0,"",IF(LEN(IFERROR(INDEX(醫師週班表!$C$5:$T$44,$CU28,CK$57),""))=4,MID(IFERROR(INDEX(醫師週班表!$C$5:$T$44,$CU28,CK$57),""),1+CK$58*2,1),IF(LEN(IFERROR(INDEX(醫師週班表!$C$5:$T$44,$CU28,CK$57),""))=2,IF(AND(RIGHT(IFERROR(INDEX(醫師週班表!$C$5:$T$44,$CU28,CK$57),""),1)="~",CK$58=1),"",LEFT(IFERROR(INDEX(醫師週班表!$C$5:$T$44,$CU28,CK$57),""),1)),IFERROR(INDEX(醫師週班表!$C$5:$T$44,$CU28,CK$57),""))))))</f>
        <v/>
      </c>
      <c r="CL28" s="68">
        <f>IF(CL$59="X","",IF(CL$59&lt;&gt;"",CL$59,IF(IFERROR(INDEX(醫師週班表!$C$5:$T$44,$CU28,CL$57),"")=0,"",IF(LEN(IFERROR(INDEX(醫師週班表!$C$5:$T$44,$CU28,CL$57),""))=4,MID(IFERROR(INDEX(醫師週班表!$C$5:$T$44,$CU28,CL$57),""),1+CL$58*2,1),IF(LEN(IFERROR(INDEX(醫師週班表!$C$5:$T$44,$CU28,CL$57),""))=2,IF(AND(RIGHT(IFERROR(INDEX(醫師週班表!$C$5:$T$44,$CU28,CL$57),""),1)="~",CL$58=1),"",LEFT(IFERROR(INDEX(醫師週班表!$C$5:$T$44,$CU28,CL$57),""),1)),IFERROR(INDEX(醫師週班表!$C$5:$T$44,$CU28,CL$57),""))))))</f>
        <v/>
      </c>
      <c r="CM28" s="68">
        <f>IF(CM$59="X","",IF(CM$59&lt;&gt;"",CM$59,IF(IFERROR(INDEX(醫師週班表!$C$5:$T$44,$CU28,CM$57),"")=0,"",IF(LEN(IFERROR(INDEX(醫師週班表!$C$5:$T$44,$CU28,CM$57),""))=4,MID(IFERROR(INDEX(醫師週班表!$C$5:$T$44,$CU28,CM$57),""),1+CM$58*2,1),IF(LEN(IFERROR(INDEX(醫師週班表!$C$5:$T$44,$CU28,CM$57),""))=2,IF(AND(RIGHT(IFERROR(INDEX(醫師週班表!$C$5:$T$44,$CU28,CM$57),""),1)="~",CM$58=1),"",LEFT(IFERROR(INDEX(醫師週班表!$C$5:$T$44,$CU28,CM$57),""),1)),IFERROR(INDEX(醫師週班表!$C$5:$T$44,$CU28,CM$57),""))))))</f>
        <v/>
      </c>
      <c r="CN28" s="67">
        <f>IF(CN$59="X","",IF(CN$59&lt;&gt;"",CN$59,IF(IFERROR(INDEX(醫師週班表!$C$5:$T$44,$CU28,CN$57),"")=0,"",IF(LEN(IFERROR(INDEX(醫師週班表!$C$5:$T$44,$CU28,CN$57),""))=4,MID(IFERROR(INDEX(醫師週班表!$C$5:$T$44,$CU28,CN$57),""),1+CN$58*2,1),IF(LEN(IFERROR(INDEX(醫師週班表!$C$5:$T$44,$CU28,CN$57),""))=2,IF(AND(RIGHT(IFERROR(INDEX(醫師週班表!$C$5:$T$44,$CU28,CN$57),""),1)="~",CN$58=1),"",LEFT(IFERROR(INDEX(醫師週班表!$C$5:$T$44,$CU28,CN$57),""),1)),IFERROR(INDEX(醫師週班表!$C$5:$T$44,$CU28,CN$57),""))))))</f>
        <v/>
      </c>
      <c r="CO28" s="68">
        <f>IF(CO$59="X","",IF(CO$59&lt;&gt;"",CO$59,IF(IFERROR(INDEX(醫師週班表!$C$5:$T$44,$CU28,CO$57),"")=0,"",IF(LEN(IFERROR(INDEX(醫師週班表!$C$5:$T$44,$CU28,CO$57),""))=4,MID(IFERROR(INDEX(醫師週班表!$C$5:$T$44,$CU28,CO$57),""),1+CO$58*2,1),IF(LEN(IFERROR(INDEX(醫師週班表!$C$5:$T$44,$CU28,CO$57),""))=2,IF(AND(RIGHT(IFERROR(INDEX(醫師週班表!$C$5:$T$44,$CU28,CO$57),""),1)="~",CO$58=1),"",LEFT(IFERROR(INDEX(醫師週班表!$C$5:$T$44,$CU28,CO$57),""),1)),IFERROR(INDEX(醫師週班表!$C$5:$T$44,$CU28,CO$57),""))))))</f>
        <v/>
      </c>
      <c r="CP28" s="68">
        <f>IF(CP$59="X","",IF(CP$59&lt;&gt;"",CP$59,IF(IFERROR(INDEX(醫師週班表!$C$5:$T$44,$CU28,CP$57),"")=0,"",IF(LEN(IFERROR(INDEX(醫師週班表!$C$5:$T$44,$CU28,CP$57),""))=4,MID(IFERROR(INDEX(醫師週班表!$C$5:$T$44,$CU28,CP$57),""),1+CP$58*2,1),IF(LEN(IFERROR(INDEX(醫師週班表!$C$5:$T$44,$CU28,CP$57),""))=2,IF(AND(RIGHT(IFERROR(INDEX(醫師週班表!$C$5:$T$44,$CU28,CP$57),""),1)="~",CP$58=1),"",LEFT(IFERROR(INDEX(醫師週班表!$C$5:$T$44,$CU28,CP$57),""),1)),IFERROR(INDEX(醫師週班表!$C$5:$T$44,$CU28,CP$57),""))))))</f>
        <v/>
      </c>
      <c r="CQ28" s="67">
        <f>IF(CQ$59="X","",IF(CQ$59&lt;&gt;"",CQ$59,IF(IFERROR(INDEX(醫師週班表!$C$5:$T$44,$CU28,CQ$57),"")=0,"",IF(LEN(IFERROR(INDEX(醫師週班表!$C$5:$T$44,$CU28,CQ$57),""))=4,MID(IFERROR(INDEX(醫師週班表!$C$5:$T$44,$CU28,CQ$57),""),1+CQ$58*2,1),IF(LEN(IFERROR(INDEX(醫師週班表!$C$5:$T$44,$CU28,CQ$57),""))=2,IF(AND(RIGHT(IFERROR(INDEX(醫師週班表!$C$5:$T$44,$CU28,CQ$57),""),1)="~",CQ$58=1),"",LEFT(IFERROR(INDEX(醫師週班表!$C$5:$T$44,$CU28,CQ$57),""),1)),IFERROR(INDEX(醫師週班表!$C$5:$T$44,$CU28,CQ$57),""))))))</f>
        <v/>
      </c>
      <c r="CR28" s="68">
        <f>IF(CR$59="X","",IF(CR$59&lt;&gt;"",CR$59,IF(IFERROR(INDEX(醫師週班表!$C$5:$T$44,$CU28,CR$57),"")=0,"",IF(LEN(IFERROR(INDEX(醫師週班表!$C$5:$T$44,$CU28,CR$57),""))=4,MID(IFERROR(INDEX(醫師週班表!$C$5:$T$44,$CU28,CR$57),""),1+CR$58*2,1),IF(LEN(IFERROR(INDEX(醫師週班表!$C$5:$T$44,$CU28,CR$57),""))=2,IF(AND(RIGHT(IFERROR(INDEX(醫師週班表!$C$5:$T$44,$CU28,CR$57),""),1)="~",CR$58=1),"",LEFT(IFERROR(INDEX(醫師週班表!$C$5:$T$44,$CU28,CR$57),""),1)),IFERROR(INDEX(醫師週班表!$C$5:$T$44,$CU28,CR$57),""))))))</f>
        <v/>
      </c>
      <c r="CS28" s="68">
        <f>IF(CS$59="X","",IF(CS$59&lt;&gt;"",CS$59,IF(IFERROR(INDEX(醫師週班表!$C$5:$T$44,$CU28,CS$57),"")=0,"",IF(LEN(IFERROR(INDEX(醫師週班表!$C$5:$T$44,$CU28,CS$57),""))=4,MID(IFERROR(INDEX(醫師週班表!$C$5:$T$44,$CU28,CS$57),""),1+CS$58*2,1),IF(LEN(IFERROR(INDEX(醫師週班表!$C$5:$T$44,$CU28,CS$57),""))=2,IF(AND(RIGHT(IFERROR(INDEX(醫師週班表!$C$5:$T$44,$CU28,CS$57),""),1)="~",CS$58=1),"",LEFT(IFERROR(INDEX(醫師週班表!$C$5:$T$44,$CU28,CS$57),""),1)),IFERROR(INDEX(醫師週班表!$C$5:$T$44,$CU28,CS$57),""))))))</f>
        <v/>
      </c>
      <c r="CU28" s="69">
        <f>IFERROR(MATCH($A28,醫師週班表!$A$5:$A$44,0),0)</f>
        <v/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IFERROR(INDEX(醫師週班表!$C$5:$T$44,$CU29,E$57),"")=0,"",IF(LEN(IFERROR(INDEX(醫師週班表!$C$5:$T$44,$CU29,E$57),""))=4,MID(IFERROR(INDEX(醫師週班表!$C$5:$T$44,$CU29,E$57),""),1+E$58*2,1),IF(LEN(IFERROR(INDEX(醫師週班表!$C$5:$T$44,$CU29,E$57),""))=2,IF(AND(RIGHT(IFERROR(INDEX(醫師週班表!$C$5:$T$44,$CU29,E$57),""),1)="~",E$58=1),"",LEFT(IFERROR(INDEX(醫師週班表!$C$5:$T$44,$CU29,E$57),""),1)),IFERROR(INDEX(醫師週班表!$C$5:$T$44,$CU29,E$57),""))))))</f>
        <v/>
      </c>
      <c r="F29" s="68">
        <f>IF(F$59="X","",IF(F$59&lt;&gt;"",F$59,IF(IFERROR(INDEX(醫師週班表!$C$5:$T$44,$CU29,F$57),"")=0,"",IF(LEN(IFERROR(INDEX(醫師週班表!$C$5:$T$44,$CU29,F$57),""))=4,MID(IFERROR(INDEX(醫師週班表!$C$5:$T$44,$CU29,F$57),""),1+F$58*2,1),IF(LEN(IFERROR(INDEX(醫師週班表!$C$5:$T$44,$CU29,F$57),""))=2,IF(AND(RIGHT(IFERROR(INDEX(醫師週班表!$C$5:$T$44,$CU29,F$57),""),1)="~",F$58=1),"",LEFT(IFERROR(INDEX(醫師週班表!$C$5:$T$44,$CU29,F$57),""),1)),IFERROR(INDEX(醫師週班表!$C$5:$T$44,$CU29,F$57),""))))))</f>
        <v/>
      </c>
      <c r="G29" s="68">
        <f>IF(G$59="X","",IF(G$59&lt;&gt;"",G$59,IF(IFERROR(INDEX(醫師週班表!$C$5:$T$44,$CU29,G$57),"")=0,"",IF(LEN(IFERROR(INDEX(醫師週班表!$C$5:$T$44,$CU29,G$57),""))=4,MID(IFERROR(INDEX(醫師週班表!$C$5:$T$44,$CU29,G$57),""),1+G$58*2,1),IF(LEN(IFERROR(INDEX(醫師週班表!$C$5:$T$44,$CU29,G$57),""))=2,IF(AND(RIGHT(IFERROR(INDEX(醫師週班表!$C$5:$T$44,$CU29,G$57),""),1)="~",G$58=1),"",LEFT(IFERROR(INDEX(醫師週班表!$C$5:$T$44,$CU29,G$57),""),1)),IFERROR(INDEX(醫師週班表!$C$5:$T$44,$CU29,G$57),""))))))</f>
        <v/>
      </c>
      <c r="H29" s="67">
        <f>IF(H$59="X","",IF(H$59&lt;&gt;"",H$59,IF(IFERROR(INDEX(醫師週班表!$C$5:$T$44,$CU29,H$57),"")=0,"",IF(LEN(IFERROR(INDEX(醫師週班表!$C$5:$T$44,$CU29,H$57),""))=4,MID(IFERROR(INDEX(醫師週班表!$C$5:$T$44,$CU29,H$57),""),1+H$58*2,1),IF(LEN(IFERROR(INDEX(醫師週班表!$C$5:$T$44,$CU29,H$57),""))=2,IF(AND(RIGHT(IFERROR(INDEX(醫師週班表!$C$5:$T$44,$CU29,H$57),""),1)="~",H$58=1),"",LEFT(IFERROR(INDEX(醫師週班表!$C$5:$T$44,$CU29,H$57),""),1)),IFERROR(INDEX(醫師週班表!$C$5:$T$44,$CU29,H$57),""))))))</f>
        <v/>
      </c>
      <c r="I29" s="68">
        <f>IF(I$59="X","",IF(I$59&lt;&gt;"",I$59,IF(IFERROR(INDEX(醫師週班表!$C$5:$T$44,$CU29,I$57),"")=0,"",IF(LEN(IFERROR(INDEX(醫師週班表!$C$5:$T$44,$CU29,I$57),""))=4,MID(IFERROR(INDEX(醫師週班表!$C$5:$T$44,$CU29,I$57),""),1+I$58*2,1),IF(LEN(IFERROR(INDEX(醫師週班表!$C$5:$T$44,$CU29,I$57),""))=2,IF(AND(RIGHT(IFERROR(INDEX(醫師週班表!$C$5:$T$44,$CU29,I$57),""),1)="~",I$58=1),"",LEFT(IFERROR(INDEX(醫師週班表!$C$5:$T$44,$CU29,I$57),""),1)),IFERROR(INDEX(醫師週班表!$C$5:$T$44,$CU29,I$57),""))))))</f>
        <v/>
      </c>
      <c r="J29" s="68">
        <f>IF(J$59="X","",IF(J$59&lt;&gt;"",J$59,IF(IFERROR(INDEX(醫師週班表!$C$5:$T$44,$CU29,J$57),"")=0,"",IF(LEN(IFERROR(INDEX(醫師週班表!$C$5:$T$44,$CU29,J$57),""))=4,MID(IFERROR(INDEX(醫師週班表!$C$5:$T$44,$CU29,J$57),""),1+J$58*2,1),IF(LEN(IFERROR(INDEX(醫師週班表!$C$5:$T$44,$CU29,J$57),""))=2,IF(AND(RIGHT(IFERROR(INDEX(醫師週班表!$C$5:$T$44,$CU29,J$57),""),1)="~",J$58=1),"",LEFT(IFERROR(INDEX(醫師週班表!$C$5:$T$44,$CU29,J$57),""),1)),IFERROR(INDEX(醫師週班表!$C$5:$T$44,$CU29,J$57),""))))))</f>
        <v/>
      </c>
      <c r="K29" s="67">
        <f>IF(K$59="X","",IF(K$59&lt;&gt;"",K$59,IF(IFERROR(INDEX(醫師週班表!$C$5:$T$44,$CU29,K$57),"")=0,"",IF(LEN(IFERROR(INDEX(醫師週班表!$C$5:$T$44,$CU29,K$57),""))=4,MID(IFERROR(INDEX(醫師週班表!$C$5:$T$44,$CU29,K$57),""),1+K$58*2,1),IF(LEN(IFERROR(INDEX(醫師週班表!$C$5:$T$44,$CU29,K$57),""))=2,IF(AND(RIGHT(IFERROR(INDEX(醫師週班表!$C$5:$T$44,$CU29,K$57),""),1)="~",K$58=1),"",LEFT(IFERROR(INDEX(醫師週班表!$C$5:$T$44,$CU29,K$57),""),1)),IFERROR(INDEX(醫師週班表!$C$5:$T$44,$CU29,K$57),""))))))</f>
        <v/>
      </c>
      <c r="L29" s="68">
        <f>IF(L$59="X","",IF(L$59&lt;&gt;"",L$59,IF(IFERROR(INDEX(醫師週班表!$C$5:$T$44,$CU29,L$57),"")=0,"",IF(LEN(IFERROR(INDEX(醫師週班表!$C$5:$T$44,$CU29,L$57),""))=4,MID(IFERROR(INDEX(醫師週班表!$C$5:$T$44,$CU29,L$57),""),1+L$58*2,1),IF(LEN(IFERROR(INDEX(醫師週班表!$C$5:$T$44,$CU29,L$57),""))=2,IF(AND(RIGHT(IFERROR(INDEX(醫師週班表!$C$5:$T$44,$CU29,L$57),""),1)="~",L$58=1),"",LEFT(IFERROR(INDEX(醫師週班表!$C$5:$T$44,$CU29,L$57),""),1)),IFERROR(INDEX(醫師週班表!$C$5:$T$44,$CU29,L$57),""))))))</f>
        <v/>
      </c>
      <c r="M29" s="68">
        <f>IF(M$59="X","",IF(M$59&lt;&gt;"",M$59,IF(IFERROR(INDEX(醫師週班表!$C$5:$T$44,$CU29,M$57),"")=0,"",IF(LEN(IFERROR(INDEX(醫師週班表!$C$5:$T$44,$CU29,M$57),""))=4,MID(IFERROR(INDEX(醫師週班表!$C$5:$T$44,$CU29,M$57),""),1+M$58*2,1),IF(LEN(IFERROR(INDEX(醫師週班表!$C$5:$T$44,$CU29,M$57),""))=2,IF(AND(RIGHT(IFERROR(INDEX(醫師週班表!$C$5:$T$44,$CU29,M$57),""),1)="~",M$58=1),"",LEFT(IFERROR(INDEX(醫師週班表!$C$5:$T$44,$CU29,M$57),""),1)),IFERROR(INDEX(醫師週班表!$C$5:$T$44,$CU29,M$57),""))))))</f>
        <v/>
      </c>
      <c r="N29" s="67">
        <f>IF(N$59="X","",IF(N$59&lt;&gt;"",N$59,IF(IFERROR(INDEX(醫師週班表!$C$5:$T$44,$CU29,N$57),"")=0,"",IF(LEN(IFERROR(INDEX(醫師週班表!$C$5:$T$44,$CU29,N$57),""))=4,MID(IFERROR(INDEX(醫師週班表!$C$5:$T$44,$CU29,N$57),""),1+N$58*2,1),IF(LEN(IFERROR(INDEX(醫師週班表!$C$5:$T$44,$CU29,N$57),""))=2,IF(AND(RIGHT(IFERROR(INDEX(醫師週班表!$C$5:$T$44,$CU29,N$57),""),1)="~",N$58=1),"",LEFT(IFERROR(INDEX(醫師週班表!$C$5:$T$44,$CU29,N$57),""),1)),IFERROR(INDEX(醫師週班表!$C$5:$T$44,$CU29,N$57),""))))))</f>
        <v/>
      </c>
      <c r="O29" s="68">
        <f>IF(O$59="X","",IF(O$59&lt;&gt;"",O$59,IF(IFERROR(INDEX(醫師週班表!$C$5:$T$44,$CU29,O$57),"")=0,"",IF(LEN(IFERROR(INDEX(醫師週班表!$C$5:$T$44,$CU29,O$57),""))=4,MID(IFERROR(INDEX(醫師週班表!$C$5:$T$44,$CU29,O$57),""),1+O$58*2,1),IF(LEN(IFERROR(INDEX(醫師週班表!$C$5:$T$44,$CU29,O$57),""))=2,IF(AND(RIGHT(IFERROR(INDEX(醫師週班表!$C$5:$T$44,$CU29,O$57),""),1)="~",O$58=1),"",LEFT(IFERROR(INDEX(醫師週班表!$C$5:$T$44,$CU29,O$57),""),1)),IFERROR(INDEX(醫師週班表!$C$5:$T$44,$CU29,O$57),""))))))</f>
        <v/>
      </c>
      <c r="P29" s="68">
        <f>IF(P$59="X","",IF(P$59&lt;&gt;"",P$59,IF(IFERROR(INDEX(醫師週班表!$C$5:$T$44,$CU29,P$57),"")=0,"",IF(LEN(IFERROR(INDEX(醫師週班表!$C$5:$T$44,$CU29,P$57),""))=4,MID(IFERROR(INDEX(醫師週班表!$C$5:$T$44,$CU29,P$57),""),1+P$58*2,1),IF(LEN(IFERROR(INDEX(醫師週班表!$C$5:$T$44,$CU29,P$57),""))=2,IF(AND(RIGHT(IFERROR(INDEX(醫師週班表!$C$5:$T$44,$CU29,P$57),""),1)="~",P$58=1),"",LEFT(IFERROR(INDEX(醫師週班表!$C$5:$T$44,$CU29,P$57),""),1)),IFERROR(INDEX(醫師週班表!$C$5:$T$44,$CU29,P$57),""))))))</f>
        <v/>
      </c>
      <c r="Q29" s="67">
        <f>IF(Q$59="X","",IF(Q$59&lt;&gt;"",Q$59,IF(IFERROR(INDEX(醫師週班表!$C$5:$T$44,$CU29,Q$57),"")=0,"",IF(LEN(IFERROR(INDEX(醫師週班表!$C$5:$T$44,$CU29,Q$57),""))=4,MID(IFERROR(INDEX(醫師週班表!$C$5:$T$44,$CU29,Q$57),""),1+Q$58*2,1),IF(LEN(IFERROR(INDEX(醫師週班表!$C$5:$T$44,$CU29,Q$57),""))=2,IF(AND(RIGHT(IFERROR(INDEX(醫師週班表!$C$5:$T$44,$CU29,Q$57),""),1)="~",Q$58=1),"",LEFT(IFERROR(INDEX(醫師週班表!$C$5:$T$44,$CU29,Q$57),""),1)),IFERROR(INDEX(醫師週班表!$C$5:$T$44,$CU29,Q$57),""))))))</f>
        <v/>
      </c>
      <c r="R29" s="68">
        <f>IF(R$59="X","",IF(R$59&lt;&gt;"",R$59,IF(IFERROR(INDEX(醫師週班表!$C$5:$T$44,$CU29,R$57),"")=0,"",IF(LEN(IFERROR(INDEX(醫師週班表!$C$5:$T$44,$CU29,R$57),""))=4,MID(IFERROR(INDEX(醫師週班表!$C$5:$T$44,$CU29,R$57),""),1+R$58*2,1),IF(LEN(IFERROR(INDEX(醫師週班表!$C$5:$T$44,$CU29,R$57),""))=2,IF(AND(RIGHT(IFERROR(INDEX(醫師週班表!$C$5:$T$44,$CU29,R$57),""),1)="~",R$58=1),"",LEFT(IFERROR(INDEX(醫師週班表!$C$5:$T$44,$CU29,R$57),""),1)),IFERROR(INDEX(醫師週班表!$C$5:$T$44,$CU29,R$57),""))))))</f>
        <v/>
      </c>
      <c r="S29" s="68">
        <f>IF(S$59="X","",IF(S$59&lt;&gt;"",S$59,IF(IFERROR(INDEX(醫師週班表!$C$5:$T$44,$CU29,S$57),"")=0,"",IF(LEN(IFERROR(INDEX(醫師週班表!$C$5:$T$44,$CU29,S$57),""))=4,MID(IFERROR(INDEX(醫師週班表!$C$5:$T$44,$CU29,S$57),""),1+S$58*2,1),IF(LEN(IFERROR(INDEX(醫師週班表!$C$5:$T$44,$CU29,S$57),""))=2,IF(AND(RIGHT(IFERROR(INDEX(醫師週班表!$C$5:$T$44,$CU29,S$57),""),1)="~",S$58=1),"",LEFT(IFERROR(INDEX(醫師週班表!$C$5:$T$44,$CU29,S$57),""),1)),IFERROR(INDEX(醫師週班表!$C$5:$T$44,$CU29,S$57),""))))))</f>
        <v/>
      </c>
      <c r="T29" s="67">
        <f>IF(T$59="X","",IF(T$59&lt;&gt;"",T$59,IF(IFERROR(INDEX(醫師週班表!$C$5:$T$44,$CU29,T$57),"")=0,"",IF(LEN(IFERROR(INDEX(醫師週班表!$C$5:$T$44,$CU29,T$57),""))=4,MID(IFERROR(INDEX(醫師週班表!$C$5:$T$44,$CU29,T$57),""),1+T$58*2,1),IF(LEN(IFERROR(INDEX(醫師週班表!$C$5:$T$44,$CU29,T$57),""))=2,IF(AND(RIGHT(IFERROR(INDEX(醫師週班表!$C$5:$T$44,$CU29,T$57),""),1)="~",T$58=1),"",LEFT(IFERROR(INDEX(醫師週班表!$C$5:$T$44,$CU29,T$57),""),1)),IFERROR(INDEX(醫師週班表!$C$5:$T$44,$CU29,T$57),""))))))</f>
        <v/>
      </c>
      <c r="U29" s="68">
        <f>IF(U$59="X","",IF(U$59&lt;&gt;"",U$59,IF(IFERROR(INDEX(醫師週班表!$C$5:$T$44,$CU29,U$57),"")=0,"",IF(LEN(IFERROR(INDEX(醫師週班表!$C$5:$T$44,$CU29,U$57),""))=4,MID(IFERROR(INDEX(醫師週班表!$C$5:$T$44,$CU29,U$57),""),1+U$58*2,1),IF(LEN(IFERROR(INDEX(醫師週班表!$C$5:$T$44,$CU29,U$57),""))=2,IF(AND(RIGHT(IFERROR(INDEX(醫師週班表!$C$5:$T$44,$CU29,U$57),""),1)="~",U$58=1),"",LEFT(IFERROR(INDEX(醫師週班表!$C$5:$T$44,$CU29,U$57),""),1)),IFERROR(INDEX(醫師週班表!$C$5:$T$44,$CU29,U$57),""))))))</f>
        <v/>
      </c>
      <c r="V29" s="68">
        <f>IF(V$59="X","",IF(V$59&lt;&gt;"",V$59,IF(IFERROR(INDEX(醫師週班表!$C$5:$T$44,$CU29,V$57),"")=0,"",IF(LEN(IFERROR(INDEX(醫師週班表!$C$5:$T$44,$CU29,V$57),""))=4,MID(IFERROR(INDEX(醫師週班表!$C$5:$T$44,$CU29,V$57),""),1+V$58*2,1),IF(LEN(IFERROR(INDEX(醫師週班表!$C$5:$T$44,$CU29,V$57),""))=2,IF(AND(RIGHT(IFERROR(INDEX(醫師週班表!$C$5:$T$44,$CU29,V$57),""),1)="~",V$58=1),"",LEFT(IFERROR(INDEX(醫師週班表!$C$5:$T$44,$CU29,V$57),""),1)),IFERROR(INDEX(醫師週班表!$C$5:$T$44,$CU29,V$57),""))))))</f>
        <v/>
      </c>
      <c r="W29" s="67">
        <f>IF(W$59="X","",IF(W$59&lt;&gt;"",W$59,IF(IFERROR(INDEX(醫師週班表!$C$5:$T$44,$CU29,W$57),"")=0,"",IF(LEN(IFERROR(INDEX(醫師週班表!$C$5:$T$44,$CU29,W$57),""))=4,MID(IFERROR(INDEX(醫師週班表!$C$5:$T$44,$CU29,W$57),""),1+W$58*2,1),IF(LEN(IFERROR(INDEX(醫師週班表!$C$5:$T$44,$CU29,W$57),""))=2,IF(AND(RIGHT(IFERROR(INDEX(醫師週班表!$C$5:$T$44,$CU29,W$57),""),1)="~",W$58=1),"",LEFT(IFERROR(INDEX(醫師週班表!$C$5:$T$44,$CU29,W$57),""),1)),IFERROR(INDEX(醫師週班表!$C$5:$T$44,$CU29,W$57),""))))))</f>
        <v/>
      </c>
      <c r="X29" s="68">
        <f>IF(X$59="X","",IF(X$59&lt;&gt;"",X$59,IF(IFERROR(INDEX(醫師週班表!$C$5:$T$44,$CU29,X$57),"")=0,"",IF(LEN(IFERROR(INDEX(醫師週班表!$C$5:$T$44,$CU29,X$57),""))=4,MID(IFERROR(INDEX(醫師週班表!$C$5:$T$44,$CU29,X$57),""),1+X$58*2,1),IF(LEN(IFERROR(INDEX(醫師週班表!$C$5:$T$44,$CU29,X$57),""))=2,IF(AND(RIGHT(IFERROR(INDEX(醫師週班表!$C$5:$T$44,$CU29,X$57),""),1)="~",X$58=1),"",LEFT(IFERROR(INDEX(醫師週班表!$C$5:$T$44,$CU29,X$57),""),1)),IFERROR(INDEX(醫師週班表!$C$5:$T$44,$CU29,X$57),""))))))</f>
        <v/>
      </c>
      <c r="Y29" s="68">
        <f>IF(Y$59="X","",IF(Y$59&lt;&gt;"",Y$59,IF(IFERROR(INDEX(醫師週班表!$C$5:$T$44,$CU29,Y$57),"")=0,"",IF(LEN(IFERROR(INDEX(醫師週班表!$C$5:$T$44,$CU29,Y$57),""))=4,MID(IFERROR(INDEX(醫師週班表!$C$5:$T$44,$CU29,Y$57),""),1+Y$58*2,1),IF(LEN(IFERROR(INDEX(醫師週班表!$C$5:$T$44,$CU29,Y$57),""))=2,IF(AND(RIGHT(IFERROR(INDEX(醫師週班表!$C$5:$T$44,$CU29,Y$57),""),1)="~",Y$58=1),"",LEFT(IFERROR(INDEX(醫師週班表!$C$5:$T$44,$CU29,Y$57),""),1)),IFERROR(INDEX(醫師週班表!$C$5:$T$44,$CU29,Y$57),""))))))</f>
        <v/>
      </c>
      <c r="Z29" s="67">
        <f>IF(Z$59="X","",IF(Z$59&lt;&gt;"",Z$59,IF(IFERROR(INDEX(醫師週班表!$C$5:$T$44,$CU29,Z$57),"")=0,"",IF(LEN(IFERROR(INDEX(醫師週班表!$C$5:$T$44,$CU29,Z$57),""))=4,MID(IFERROR(INDEX(醫師週班表!$C$5:$T$44,$CU29,Z$57),""),1+Z$58*2,1),IF(LEN(IFERROR(INDEX(醫師週班表!$C$5:$T$44,$CU29,Z$57),""))=2,IF(AND(RIGHT(IFERROR(INDEX(醫師週班表!$C$5:$T$44,$CU29,Z$57),""),1)="~",Z$58=1),"",LEFT(IFERROR(INDEX(醫師週班表!$C$5:$T$44,$CU29,Z$57),""),1)),IFERROR(INDEX(醫師週班表!$C$5:$T$44,$CU29,Z$57),""))))))</f>
        <v/>
      </c>
      <c r="AA29" s="68">
        <f>IF(AA$59="X","",IF(AA$59&lt;&gt;"",AA$59,IF(IFERROR(INDEX(醫師週班表!$C$5:$T$44,$CU29,AA$57),"")=0,"",IF(LEN(IFERROR(INDEX(醫師週班表!$C$5:$T$44,$CU29,AA$57),""))=4,MID(IFERROR(INDEX(醫師週班表!$C$5:$T$44,$CU29,AA$57),""),1+AA$58*2,1),IF(LEN(IFERROR(INDEX(醫師週班表!$C$5:$T$44,$CU29,AA$57),""))=2,IF(AND(RIGHT(IFERROR(INDEX(醫師週班表!$C$5:$T$44,$CU29,AA$57),""),1)="~",AA$58=1),"",LEFT(IFERROR(INDEX(醫師週班表!$C$5:$T$44,$CU29,AA$57),""),1)),IFERROR(INDEX(醫師週班表!$C$5:$T$44,$CU29,AA$57),""))))))</f>
        <v/>
      </c>
      <c r="AB29" s="68">
        <f>IF(AB$59="X","",IF(AB$59&lt;&gt;"",AB$59,IF(IFERROR(INDEX(醫師週班表!$C$5:$T$44,$CU29,AB$57),"")=0,"",IF(LEN(IFERROR(INDEX(醫師週班表!$C$5:$T$44,$CU29,AB$57),""))=4,MID(IFERROR(INDEX(醫師週班表!$C$5:$T$44,$CU29,AB$57),""),1+AB$58*2,1),IF(LEN(IFERROR(INDEX(醫師週班表!$C$5:$T$44,$CU29,AB$57),""))=2,IF(AND(RIGHT(IFERROR(INDEX(醫師週班表!$C$5:$T$44,$CU29,AB$57),""),1)="~",AB$58=1),"",LEFT(IFERROR(INDEX(醫師週班表!$C$5:$T$44,$CU29,AB$57),""),1)),IFERROR(INDEX(醫師週班表!$C$5:$T$44,$CU29,AB$57),""))))))</f>
        <v/>
      </c>
      <c r="AC29" s="67">
        <f>IF(AC$59="X","",IF(AC$59&lt;&gt;"",AC$59,IF(IFERROR(INDEX(醫師週班表!$C$5:$T$44,$CU29,AC$57),"")=0,"",IF(LEN(IFERROR(INDEX(醫師週班表!$C$5:$T$44,$CU29,AC$57),""))=4,MID(IFERROR(INDEX(醫師週班表!$C$5:$T$44,$CU29,AC$57),""),1+AC$58*2,1),IF(LEN(IFERROR(INDEX(醫師週班表!$C$5:$T$44,$CU29,AC$57),""))=2,IF(AND(RIGHT(IFERROR(INDEX(醫師週班表!$C$5:$T$44,$CU29,AC$57),""),1)="~",AC$58=1),"",LEFT(IFERROR(INDEX(醫師週班表!$C$5:$T$44,$CU29,AC$57),""),1)),IFERROR(INDEX(醫師週班表!$C$5:$T$44,$CU29,AC$57),""))))))</f>
        <v/>
      </c>
      <c r="AD29" s="68">
        <f>IF(AD$59="X","",IF(AD$59&lt;&gt;"",AD$59,IF(IFERROR(INDEX(醫師週班表!$C$5:$T$44,$CU29,AD$57),"")=0,"",IF(LEN(IFERROR(INDEX(醫師週班表!$C$5:$T$44,$CU29,AD$57),""))=4,MID(IFERROR(INDEX(醫師週班表!$C$5:$T$44,$CU29,AD$57),""),1+AD$58*2,1),IF(LEN(IFERROR(INDEX(醫師週班表!$C$5:$T$44,$CU29,AD$57),""))=2,IF(AND(RIGHT(IFERROR(INDEX(醫師週班表!$C$5:$T$44,$CU29,AD$57),""),1)="~",AD$58=1),"",LEFT(IFERROR(INDEX(醫師週班表!$C$5:$T$44,$CU29,AD$57),""),1)),IFERROR(INDEX(醫師週班表!$C$5:$T$44,$CU29,AD$57),""))))))</f>
        <v/>
      </c>
      <c r="AE29" s="68">
        <f>IF(AE$59="X","",IF(AE$59&lt;&gt;"",AE$59,IF(IFERROR(INDEX(醫師週班表!$C$5:$T$44,$CU29,AE$57),"")=0,"",IF(LEN(IFERROR(INDEX(醫師週班表!$C$5:$T$44,$CU29,AE$57),""))=4,MID(IFERROR(INDEX(醫師週班表!$C$5:$T$44,$CU29,AE$57),""),1+AE$58*2,1),IF(LEN(IFERROR(INDEX(醫師週班表!$C$5:$T$44,$CU29,AE$57),""))=2,IF(AND(RIGHT(IFERROR(INDEX(醫師週班表!$C$5:$T$44,$CU29,AE$57),""),1)="~",AE$58=1),"",LEFT(IFERROR(INDEX(醫師週班表!$C$5:$T$44,$CU29,AE$57),""),1)),IFERROR(INDEX(醫師週班表!$C$5:$T$44,$CU29,AE$57),""))))))</f>
        <v/>
      </c>
      <c r="AF29" s="67">
        <f>IF(AF$59="X","",IF(AF$59&lt;&gt;"",AF$59,IF(IFERROR(INDEX(醫師週班表!$C$5:$T$44,$CU29,AF$57),"")=0,"",IF(LEN(IFERROR(INDEX(醫師週班表!$C$5:$T$44,$CU29,AF$57),""))=4,MID(IFERROR(INDEX(醫師週班表!$C$5:$T$44,$CU29,AF$57),""),1+AF$58*2,1),IF(LEN(IFERROR(INDEX(醫師週班表!$C$5:$T$44,$CU29,AF$57),""))=2,IF(AND(RIGHT(IFERROR(INDEX(醫師週班表!$C$5:$T$44,$CU29,AF$57),""),1)="~",AF$58=1),"",LEFT(IFERROR(INDEX(醫師週班表!$C$5:$T$44,$CU29,AF$57),""),1)),IFERROR(INDEX(醫師週班表!$C$5:$T$44,$CU29,AF$57),""))))))</f>
        <v/>
      </c>
      <c r="AG29" s="68">
        <f>IF(AG$59="X","",IF(AG$59&lt;&gt;"",AG$59,IF(IFERROR(INDEX(醫師週班表!$C$5:$T$44,$CU29,AG$57),"")=0,"",IF(LEN(IFERROR(INDEX(醫師週班表!$C$5:$T$44,$CU29,AG$57),""))=4,MID(IFERROR(INDEX(醫師週班表!$C$5:$T$44,$CU29,AG$57),""),1+AG$58*2,1),IF(LEN(IFERROR(INDEX(醫師週班表!$C$5:$T$44,$CU29,AG$57),""))=2,IF(AND(RIGHT(IFERROR(INDEX(醫師週班表!$C$5:$T$44,$CU29,AG$57),""),1)="~",AG$58=1),"",LEFT(IFERROR(INDEX(醫師週班表!$C$5:$T$44,$CU29,AG$57),""),1)),IFERROR(INDEX(醫師週班表!$C$5:$T$44,$CU29,AG$57),""))))))</f>
        <v/>
      </c>
      <c r="AH29" s="68">
        <f>IF(AH$59="X","",IF(AH$59&lt;&gt;"",AH$59,IF(IFERROR(INDEX(醫師週班表!$C$5:$T$44,$CU29,AH$57),"")=0,"",IF(LEN(IFERROR(INDEX(醫師週班表!$C$5:$T$44,$CU29,AH$57),""))=4,MID(IFERROR(INDEX(醫師週班表!$C$5:$T$44,$CU29,AH$57),""),1+AH$58*2,1),IF(LEN(IFERROR(INDEX(醫師週班表!$C$5:$T$44,$CU29,AH$57),""))=2,IF(AND(RIGHT(IFERROR(INDEX(醫師週班表!$C$5:$T$44,$CU29,AH$57),""),1)="~",AH$58=1),"",LEFT(IFERROR(INDEX(醫師週班表!$C$5:$T$44,$CU29,AH$57),""),1)),IFERROR(INDEX(醫師週班表!$C$5:$T$44,$CU29,AH$57),""))))))</f>
        <v/>
      </c>
      <c r="AI29" s="67">
        <f>IF(AI$59="X","",IF(AI$59&lt;&gt;"",AI$59,IF(IFERROR(INDEX(醫師週班表!$C$5:$T$44,$CU29,AI$57),"")=0,"",IF(LEN(IFERROR(INDEX(醫師週班表!$C$5:$T$44,$CU29,AI$57),""))=4,MID(IFERROR(INDEX(醫師週班表!$C$5:$T$44,$CU29,AI$57),""),1+AI$58*2,1),IF(LEN(IFERROR(INDEX(醫師週班表!$C$5:$T$44,$CU29,AI$57),""))=2,IF(AND(RIGHT(IFERROR(INDEX(醫師週班表!$C$5:$T$44,$CU29,AI$57),""),1)="~",AI$58=1),"",LEFT(IFERROR(INDEX(醫師週班表!$C$5:$T$44,$CU29,AI$57),""),1)),IFERROR(INDEX(醫師週班表!$C$5:$T$44,$CU29,AI$57),""))))))</f>
        <v/>
      </c>
      <c r="AJ29" s="68">
        <f>IF(AJ$59="X","",IF(AJ$59&lt;&gt;"",AJ$59,IF(IFERROR(INDEX(醫師週班表!$C$5:$T$44,$CU29,AJ$57),"")=0,"",IF(LEN(IFERROR(INDEX(醫師週班表!$C$5:$T$44,$CU29,AJ$57),""))=4,MID(IFERROR(INDEX(醫師週班表!$C$5:$T$44,$CU29,AJ$57),""),1+AJ$58*2,1),IF(LEN(IFERROR(INDEX(醫師週班表!$C$5:$T$44,$CU29,AJ$57),""))=2,IF(AND(RIGHT(IFERROR(INDEX(醫師週班表!$C$5:$T$44,$CU29,AJ$57),""),1)="~",AJ$58=1),"",LEFT(IFERROR(INDEX(醫師週班表!$C$5:$T$44,$CU29,AJ$57),""),1)),IFERROR(INDEX(醫師週班表!$C$5:$T$44,$CU29,AJ$57),""))))))</f>
        <v/>
      </c>
      <c r="AK29" s="68">
        <f>IF(AK$59="X","",IF(AK$59&lt;&gt;"",AK$59,IF(IFERROR(INDEX(醫師週班表!$C$5:$T$44,$CU29,AK$57),"")=0,"",IF(LEN(IFERROR(INDEX(醫師週班表!$C$5:$T$44,$CU29,AK$57),""))=4,MID(IFERROR(INDEX(醫師週班表!$C$5:$T$44,$CU29,AK$57),""),1+AK$58*2,1),IF(LEN(IFERROR(INDEX(醫師週班表!$C$5:$T$44,$CU29,AK$57),""))=2,IF(AND(RIGHT(IFERROR(INDEX(醫師週班表!$C$5:$T$44,$CU29,AK$57),""),1)="~",AK$58=1),"",LEFT(IFERROR(INDEX(醫師週班表!$C$5:$T$44,$CU29,AK$57),""),1)),IFERROR(INDEX(醫師週班表!$C$5:$T$44,$CU29,AK$57),""))))))</f>
        <v/>
      </c>
      <c r="AL29" s="67">
        <f>IF(AL$59="X","",IF(AL$59&lt;&gt;"",AL$59,IF(IFERROR(INDEX(醫師週班表!$C$5:$T$44,$CU29,AL$57),"")=0,"",IF(LEN(IFERROR(INDEX(醫師週班表!$C$5:$T$44,$CU29,AL$57),""))=4,MID(IFERROR(INDEX(醫師週班表!$C$5:$T$44,$CU29,AL$57),""),1+AL$58*2,1),IF(LEN(IFERROR(INDEX(醫師週班表!$C$5:$T$44,$CU29,AL$57),""))=2,IF(AND(RIGHT(IFERROR(INDEX(醫師週班表!$C$5:$T$44,$CU29,AL$57),""),1)="~",AL$58=1),"",LEFT(IFERROR(INDEX(醫師週班表!$C$5:$T$44,$CU29,AL$57),""),1)),IFERROR(INDEX(醫師週班表!$C$5:$T$44,$CU29,AL$57),""))))))</f>
        <v/>
      </c>
      <c r="AM29" s="68">
        <f>IF(AM$59="X","",IF(AM$59&lt;&gt;"",AM$59,IF(IFERROR(INDEX(醫師週班表!$C$5:$T$44,$CU29,AM$57),"")=0,"",IF(LEN(IFERROR(INDEX(醫師週班表!$C$5:$T$44,$CU29,AM$57),""))=4,MID(IFERROR(INDEX(醫師週班表!$C$5:$T$44,$CU29,AM$57),""),1+AM$58*2,1),IF(LEN(IFERROR(INDEX(醫師週班表!$C$5:$T$44,$CU29,AM$57),""))=2,IF(AND(RIGHT(IFERROR(INDEX(醫師週班表!$C$5:$T$44,$CU29,AM$57),""),1)="~",AM$58=1),"",LEFT(IFERROR(INDEX(醫師週班表!$C$5:$T$44,$CU29,AM$57),""),1)),IFERROR(INDEX(醫師週班表!$C$5:$T$44,$CU29,AM$57),""))))))</f>
        <v/>
      </c>
      <c r="AN29" s="68">
        <f>IF(AN$59="X","",IF(AN$59&lt;&gt;"",AN$59,IF(IFERROR(INDEX(醫師週班表!$C$5:$T$44,$CU29,AN$57),"")=0,"",IF(LEN(IFERROR(INDEX(醫師週班表!$C$5:$T$44,$CU29,AN$57),""))=4,MID(IFERROR(INDEX(醫師週班表!$C$5:$T$44,$CU29,AN$57),""),1+AN$58*2,1),IF(LEN(IFERROR(INDEX(醫師週班表!$C$5:$T$44,$CU29,AN$57),""))=2,IF(AND(RIGHT(IFERROR(INDEX(醫師週班表!$C$5:$T$44,$CU29,AN$57),""),1)="~",AN$58=1),"",LEFT(IFERROR(INDEX(醫師週班表!$C$5:$T$44,$CU29,AN$57),""),1)),IFERROR(INDEX(醫師週班表!$C$5:$T$44,$CU29,AN$57),""))))))</f>
        <v/>
      </c>
      <c r="AO29" s="67">
        <f>IF(AO$59="X","",IF(AO$59&lt;&gt;"",AO$59,IF(IFERROR(INDEX(醫師週班表!$C$5:$T$44,$CU29,AO$57),"")=0,"",IF(LEN(IFERROR(INDEX(醫師週班表!$C$5:$T$44,$CU29,AO$57),""))=4,MID(IFERROR(INDEX(醫師週班表!$C$5:$T$44,$CU29,AO$57),""),1+AO$58*2,1),IF(LEN(IFERROR(INDEX(醫師週班表!$C$5:$T$44,$CU29,AO$57),""))=2,IF(AND(RIGHT(IFERROR(INDEX(醫師週班表!$C$5:$T$44,$CU29,AO$57),""),1)="~",AO$58=1),"",LEFT(IFERROR(INDEX(醫師週班表!$C$5:$T$44,$CU29,AO$57),""),1)),IFERROR(INDEX(醫師週班表!$C$5:$T$44,$CU29,AO$57),""))))))</f>
        <v/>
      </c>
      <c r="AP29" s="68">
        <f>IF(AP$59="X","",IF(AP$59&lt;&gt;"",AP$59,IF(IFERROR(INDEX(醫師週班表!$C$5:$T$44,$CU29,AP$57),"")=0,"",IF(LEN(IFERROR(INDEX(醫師週班表!$C$5:$T$44,$CU29,AP$57),""))=4,MID(IFERROR(INDEX(醫師週班表!$C$5:$T$44,$CU29,AP$57),""),1+AP$58*2,1),IF(LEN(IFERROR(INDEX(醫師週班表!$C$5:$T$44,$CU29,AP$57),""))=2,IF(AND(RIGHT(IFERROR(INDEX(醫師週班表!$C$5:$T$44,$CU29,AP$57),""),1)="~",AP$58=1),"",LEFT(IFERROR(INDEX(醫師週班表!$C$5:$T$44,$CU29,AP$57),""),1)),IFERROR(INDEX(醫師週班表!$C$5:$T$44,$CU29,AP$57),""))))))</f>
        <v/>
      </c>
      <c r="AQ29" s="68">
        <f>IF(AQ$59="X","",IF(AQ$59&lt;&gt;"",AQ$59,IF(IFERROR(INDEX(醫師週班表!$C$5:$T$44,$CU29,AQ$57),"")=0,"",IF(LEN(IFERROR(INDEX(醫師週班表!$C$5:$T$44,$CU29,AQ$57),""))=4,MID(IFERROR(INDEX(醫師週班表!$C$5:$T$44,$CU29,AQ$57),""),1+AQ$58*2,1),IF(LEN(IFERROR(INDEX(醫師週班表!$C$5:$T$44,$CU29,AQ$57),""))=2,IF(AND(RIGHT(IFERROR(INDEX(醫師週班表!$C$5:$T$44,$CU29,AQ$57),""),1)="~",AQ$58=1),"",LEFT(IFERROR(INDEX(醫師週班表!$C$5:$T$44,$CU29,AQ$57),""),1)),IFERROR(INDEX(醫師週班表!$C$5:$T$44,$CU29,AQ$57),""))))))</f>
        <v/>
      </c>
      <c r="AR29" s="67">
        <f>IF(AR$59="X","",IF(AR$59&lt;&gt;"",AR$59,IF(IFERROR(INDEX(醫師週班表!$C$5:$T$44,$CU29,AR$57),"")=0,"",IF(LEN(IFERROR(INDEX(醫師週班表!$C$5:$T$44,$CU29,AR$57),""))=4,MID(IFERROR(INDEX(醫師週班表!$C$5:$T$44,$CU29,AR$57),""),1+AR$58*2,1),IF(LEN(IFERROR(INDEX(醫師週班表!$C$5:$T$44,$CU29,AR$57),""))=2,IF(AND(RIGHT(IFERROR(INDEX(醫師週班表!$C$5:$T$44,$CU29,AR$57),""),1)="~",AR$58=1),"",LEFT(IFERROR(INDEX(醫師週班表!$C$5:$T$44,$CU29,AR$57),""),1)),IFERROR(INDEX(醫師週班表!$C$5:$T$44,$CU29,AR$57),""))))))</f>
        <v/>
      </c>
      <c r="AS29" s="68">
        <f>IF(AS$59="X","",IF(AS$59&lt;&gt;"",AS$59,IF(IFERROR(INDEX(醫師週班表!$C$5:$T$44,$CU29,AS$57),"")=0,"",IF(LEN(IFERROR(INDEX(醫師週班表!$C$5:$T$44,$CU29,AS$57),""))=4,MID(IFERROR(INDEX(醫師週班表!$C$5:$T$44,$CU29,AS$57),""),1+AS$58*2,1),IF(LEN(IFERROR(INDEX(醫師週班表!$C$5:$T$44,$CU29,AS$57),""))=2,IF(AND(RIGHT(IFERROR(INDEX(醫師週班表!$C$5:$T$44,$CU29,AS$57),""),1)="~",AS$58=1),"",LEFT(IFERROR(INDEX(醫師週班表!$C$5:$T$44,$CU29,AS$57),""),1)),IFERROR(INDEX(醫師週班表!$C$5:$T$44,$CU29,AS$57),""))))))</f>
        <v/>
      </c>
      <c r="AT29" s="68">
        <f>IF(AT$59="X","",IF(AT$59&lt;&gt;"",AT$59,IF(IFERROR(INDEX(醫師週班表!$C$5:$T$44,$CU29,AT$57),"")=0,"",IF(LEN(IFERROR(INDEX(醫師週班表!$C$5:$T$44,$CU29,AT$57),""))=4,MID(IFERROR(INDEX(醫師週班表!$C$5:$T$44,$CU29,AT$57),""),1+AT$58*2,1),IF(LEN(IFERROR(INDEX(醫師週班表!$C$5:$T$44,$CU29,AT$57),""))=2,IF(AND(RIGHT(IFERROR(INDEX(醫師週班表!$C$5:$T$44,$CU29,AT$57),""),1)="~",AT$58=1),"",LEFT(IFERROR(INDEX(醫師週班表!$C$5:$T$44,$CU29,AT$57),""),1)),IFERROR(INDEX(醫師週班表!$C$5:$T$44,$CU29,AT$57),""))))))</f>
        <v/>
      </c>
      <c r="AU29" s="67">
        <f>IF(AU$59="X","",IF(AU$59&lt;&gt;"",AU$59,IF(IFERROR(INDEX(醫師週班表!$C$5:$T$44,$CU29,AU$57),"")=0,"",IF(LEN(IFERROR(INDEX(醫師週班表!$C$5:$T$44,$CU29,AU$57),""))=4,MID(IFERROR(INDEX(醫師週班表!$C$5:$T$44,$CU29,AU$57),""),1+AU$58*2,1),IF(LEN(IFERROR(INDEX(醫師週班表!$C$5:$T$44,$CU29,AU$57),""))=2,IF(AND(RIGHT(IFERROR(INDEX(醫師週班表!$C$5:$T$44,$CU29,AU$57),""),1)="~",AU$58=1),"",LEFT(IFERROR(INDEX(醫師週班表!$C$5:$T$44,$CU29,AU$57),""),1)),IFERROR(INDEX(醫師週班表!$C$5:$T$44,$CU29,AU$57),""))))))</f>
        <v/>
      </c>
      <c r="AV29" s="68">
        <f>IF(AV$59="X","",IF(AV$59&lt;&gt;"",AV$59,IF(IFERROR(INDEX(醫師週班表!$C$5:$T$44,$CU29,AV$57),"")=0,"",IF(LEN(IFERROR(INDEX(醫師週班表!$C$5:$T$44,$CU29,AV$57),""))=4,MID(IFERROR(INDEX(醫師週班表!$C$5:$T$44,$CU29,AV$57),""),1+AV$58*2,1),IF(LEN(IFERROR(INDEX(醫師週班表!$C$5:$T$44,$CU29,AV$57),""))=2,IF(AND(RIGHT(IFERROR(INDEX(醫師週班表!$C$5:$T$44,$CU29,AV$57),""),1)="~",AV$58=1),"",LEFT(IFERROR(INDEX(醫師週班表!$C$5:$T$44,$CU29,AV$57),""),1)),IFERROR(INDEX(醫師週班表!$C$5:$T$44,$CU29,AV$57),""))))))</f>
        <v/>
      </c>
      <c r="AW29" s="68">
        <f>IF(AW$59="X","",IF(AW$59&lt;&gt;"",AW$59,IF(IFERROR(INDEX(醫師週班表!$C$5:$T$44,$CU29,AW$57),"")=0,"",IF(LEN(IFERROR(INDEX(醫師週班表!$C$5:$T$44,$CU29,AW$57),""))=4,MID(IFERROR(INDEX(醫師週班表!$C$5:$T$44,$CU29,AW$57),""),1+AW$58*2,1),IF(LEN(IFERROR(INDEX(醫師週班表!$C$5:$T$44,$CU29,AW$57),""))=2,IF(AND(RIGHT(IFERROR(INDEX(醫師週班表!$C$5:$T$44,$CU29,AW$57),""),1)="~",AW$58=1),"",LEFT(IFERROR(INDEX(醫師週班表!$C$5:$T$44,$CU29,AW$57),""),1)),IFERROR(INDEX(醫師週班表!$C$5:$T$44,$CU29,AW$57),""))))))</f>
        <v/>
      </c>
      <c r="AX29" s="67">
        <f>IF(AX$59="X","",IF(AX$59&lt;&gt;"",AX$59,IF(IFERROR(INDEX(醫師週班表!$C$5:$T$44,$CU29,AX$57),"")=0,"",IF(LEN(IFERROR(INDEX(醫師週班表!$C$5:$T$44,$CU29,AX$57),""))=4,MID(IFERROR(INDEX(醫師週班表!$C$5:$T$44,$CU29,AX$57),""),1+AX$58*2,1),IF(LEN(IFERROR(INDEX(醫師週班表!$C$5:$T$44,$CU29,AX$57),""))=2,IF(AND(RIGHT(IFERROR(INDEX(醫師週班表!$C$5:$T$44,$CU29,AX$57),""),1)="~",AX$58=1),"",LEFT(IFERROR(INDEX(醫師週班表!$C$5:$T$44,$CU29,AX$57),""),1)),IFERROR(INDEX(醫師週班表!$C$5:$T$44,$CU29,AX$57),""))))))</f>
        <v/>
      </c>
      <c r="AY29" s="68">
        <f>IF(AY$59="X","",IF(AY$59&lt;&gt;"",AY$59,IF(IFERROR(INDEX(醫師週班表!$C$5:$T$44,$CU29,AY$57),"")=0,"",IF(LEN(IFERROR(INDEX(醫師週班表!$C$5:$T$44,$CU29,AY$57),""))=4,MID(IFERROR(INDEX(醫師週班表!$C$5:$T$44,$CU29,AY$57),""),1+AY$58*2,1),IF(LEN(IFERROR(INDEX(醫師週班表!$C$5:$T$44,$CU29,AY$57),""))=2,IF(AND(RIGHT(IFERROR(INDEX(醫師週班表!$C$5:$T$44,$CU29,AY$57),""),1)="~",AY$58=1),"",LEFT(IFERROR(INDEX(醫師週班表!$C$5:$T$44,$CU29,AY$57),""),1)),IFERROR(INDEX(醫師週班表!$C$5:$T$44,$CU29,AY$57),""))))))</f>
        <v/>
      </c>
      <c r="AZ29" s="68">
        <f>IF(AZ$59="X","",IF(AZ$59&lt;&gt;"",AZ$59,IF(IFERROR(INDEX(醫師週班表!$C$5:$T$44,$CU29,AZ$57),"")=0,"",IF(LEN(IFERROR(INDEX(醫師週班表!$C$5:$T$44,$CU29,AZ$57),""))=4,MID(IFERROR(INDEX(醫師週班表!$C$5:$T$44,$CU29,AZ$57),""),1+AZ$58*2,1),IF(LEN(IFERROR(INDEX(醫師週班表!$C$5:$T$44,$CU29,AZ$57),""))=2,IF(AND(RIGHT(IFERROR(INDEX(醫師週班表!$C$5:$T$44,$CU29,AZ$57),""),1)="~",AZ$58=1),"",LEFT(IFERROR(INDEX(醫師週班表!$C$5:$T$44,$CU29,AZ$57),""),1)),IFERROR(INDEX(醫師週班表!$C$5:$T$44,$CU29,AZ$57),""))))))</f>
        <v/>
      </c>
      <c r="BA29" s="67">
        <f>IF(BA$59="X","",IF(BA$59&lt;&gt;"",BA$59,IF(IFERROR(INDEX(醫師週班表!$C$5:$T$44,$CU29,BA$57),"")=0,"",IF(LEN(IFERROR(INDEX(醫師週班表!$C$5:$T$44,$CU29,BA$57),""))=4,MID(IFERROR(INDEX(醫師週班表!$C$5:$T$44,$CU29,BA$57),""),1+BA$58*2,1),IF(LEN(IFERROR(INDEX(醫師週班表!$C$5:$T$44,$CU29,BA$57),""))=2,IF(AND(RIGHT(IFERROR(INDEX(醫師週班表!$C$5:$T$44,$CU29,BA$57),""),1)="~",BA$58=1),"",LEFT(IFERROR(INDEX(醫師週班表!$C$5:$T$44,$CU29,BA$57),""),1)),IFERROR(INDEX(醫師週班表!$C$5:$T$44,$CU29,BA$57),""))))))</f>
        <v/>
      </c>
      <c r="BB29" s="68">
        <f>IF(BB$59="X","",IF(BB$59&lt;&gt;"",BB$59,IF(IFERROR(INDEX(醫師週班表!$C$5:$T$44,$CU29,BB$57),"")=0,"",IF(LEN(IFERROR(INDEX(醫師週班表!$C$5:$T$44,$CU29,BB$57),""))=4,MID(IFERROR(INDEX(醫師週班表!$C$5:$T$44,$CU29,BB$57),""),1+BB$58*2,1),IF(LEN(IFERROR(INDEX(醫師週班表!$C$5:$T$44,$CU29,BB$57),""))=2,IF(AND(RIGHT(IFERROR(INDEX(醫師週班表!$C$5:$T$44,$CU29,BB$57),""),1)="~",BB$58=1),"",LEFT(IFERROR(INDEX(醫師週班表!$C$5:$T$44,$CU29,BB$57),""),1)),IFERROR(INDEX(醫師週班表!$C$5:$T$44,$CU29,BB$57),""))))))</f>
        <v/>
      </c>
      <c r="BC29" s="68">
        <f>IF(BC$59="X","",IF(BC$59&lt;&gt;"",BC$59,IF(IFERROR(INDEX(醫師週班表!$C$5:$T$44,$CU29,BC$57),"")=0,"",IF(LEN(IFERROR(INDEX(醫師週班表!$C$5:$T$44,$CU29,BC$57),""))=4,MID(IFERROR(INDEX(醫師週班表!$C$5:$T$44,$CU29,BC$57),""),1+BC$58*2,1),IF(LEN(IFERROR(INDEX(醫師週班表!$C$5:$T$44,$CU29,BC$57),""))=2,IF(AND(RIGHT(IFERROR(INDEX(醫師週班表!$C$5:$T$44,$CU29,BC$57),""),1)="~",BC$58=1),"",LEFT(IFERROR(INDEX(醫師週班表!$C$5:$T$44,$CU29,BC$57),""),1)),IFERROR(INDEX(醫師週班表!$C$5:$T$44,$CU29,BC$57),""))))))</f>
        <v/>
      </c>
      <c r="BD29" s="67">
        <f>IF(BD$59="X","",IF(BD$59&lt;&gt;"",BD$59,IF(IFERROR(INDEX(醫師週班表!$C$5:$T$44,$CU29,BD$57),"")=0,"",IF(LEN(IFERROR(INDEX(醫師週班表!$C$5:$T$44,$CU29,BD$57),""))=4,MID(IFERROR(INDEX(醫師週班表!$C$5:$T$44,$CU29,BD$57),""),1+BD$58*2,1),IF(LEN(IFERROR(INDEX(醫師週班表!$C$5:$T$44,$CU29,BD$57),""))=2,IF(AND(RIGHT(IFERROR(INDEX(醫師週班表!$C$5:$T$44,$CU29,BD$57),""),1)="~",BD$58=1),"",LEFT(IFERROR(INDEX(醫師週班表!$C$5:$T$44,$CU29,BD$57),""),1)),IFERROR(INDEX(醫師週班表!$C$5:$T$44,$CU29,BD$57),""))))))</f>
        <v/>
      </c>
      <c r="BE29" s="68">
        <f>IF(BE$59="X","",IF(BE$59&lt;&gt;"",BE$59,IF(IFERROR(INDEX(醫師週班表!$C$5:$T$44,$CU29,BE$57),"")=0,"",IF(LEN(IFERROR(INDEX(醫師週班表!$C$5:$T$44,$CU29,BE$57),""))=4,MID(IFERROR(INDEX(醫師週班表!$C$5:$T$44,$CU29,BE$57),""),1+BE$58*2,1),IF(LEN(IFERROR(INDEX(醫師週班表!$C$5:$T$44,$CU29,BE$57),""))=2,IF(AND(RIGHT(IFERROR(INDEX(醫師週班表!$C$5:$T$44,$CU29,BE$57),""),1)="~",BE$58=1),"",LEFT(IFERROR(INDEX(醫師週班表!$C$5:$T$44,$CU29,BE$57),""),1)),IFERROR(INDEX(醫師週班表!$C$5:$T$44,$CU29,BE$57),""))))))</f>
        <v/>
      </c>
      <c r="BF29" s="68">
        <f>IF(BF$59="X","",IF(BF$59&lt;&gt;"",BF$59,IF(IFERROR(INDEX(醫師週班表!$C$5:$T$44,$CU29,BF$57),"")=0,"",IF(LEN(IFERROR(INDEX(醫師週班表!$C$5:$T$44,$CU29,BF$57),""))=4,MID(IFERROR(INDEX(醫師週班表!$C$5:$T$44,$CU29,BF$57),""),1+BF$58*2,1),IF(LEN(IFERROR(INDEX(醫師週班表!$C$5:$T$44,$CU29,BF$57),""))=2,IF(AND(RIGHT(IFERROR(INDEX(醫師週班表!$C$5:$T$44,$CU29,BF$57),""),1)="~",BF$58=1),"",LEFT(IFERROR(INDEX(醫師週班表!$C$5:$T$44,$CU29,BF$57),""),1)),IFERROR(INDEX(醫師週班表!$C$5:$T$44,$CU29,BF$57),""))))))</f>
        <v/>
      </c>
      <c r="BG29" s="67">
        <f>IF(BG$59="X","",IF(BG$59&lt;&gt;"",BG$59,IF(IFERROR(INDEX(醫師週班表!$C$5:$T$44,$CU29,BG$57),"")=0,"",IF(LEN(IFERROR(INDEX(醫師週班表!$C$5:$T$44,$CU29,BG$57),""))=4,MID(IFERROR(INDEX(醫師週班表!$C$5:$T$44,$CU29,BG$57),""),1+BG$58*2,1),IF(LEN(IFERROR(INDEX(醫師週班表!$C$5:$T$44,$CU29,BG$57),""))=2,IF(AND(RIGHT(IFERROR(INDEX(醫師週班表!$C$5:$T$44,$CU29,BG$57),""),1)="~",BG$58=1),"",LEFT(IFERROR(INDEX(醫師週班表!$C$5:$T$44,$CU29,BG$57),""),1)),IFERROR(INDEX(醫師週班表!$C$5:$T$44,$CU29,BG$57),""))))))</f>
        <v/>
      </c>
      <c r="BH29" s="68">
        <f>IF(BH$59="X","",IF(BH$59&lt;&gt;"",BH$59,IF(IFERROR(INDEX(醫師週班表!$C$5:$T$44,$CU29,BH$57),"")=0,"",IF(LEN(IFERROR(INDEX(醫師週班表!$C$5:$T$44,$CU29,BH$57),""))=4,MID(IFERROR(INDEX(醫師週班表!$C$5:$T$44,$CU29,BH$57),""),1+BH$58*2,1),IF(LEN(IFERROR(INDEX(醫師週班表!$C$5:$T$44,$CU29,BH$57),""))=2,IF(AND(RIGHT(IFERROR(INDEX(醫師週班表!$C$5:$T$44,$CU29,BH$57),""),1)="~",BH$58=1),"",LEFT(IFERROR(INDEX(醫師週班表!$C$5:$T$44,$CU29,BH$57),""),1)),IFERROR(INDEX(醫師週班表!$C$5:$T$44,$CU29,BH$57),""))))))</f>
        <v/>
      </c>
      <c r="BI29" s="68">
        <f>IF(BI$59="X","",IF(BI$59&lt;&gt;"",BI$59,IF(IFERROR(INDEX(醫師週班表!$C$5:$T$44,$CU29,BI$57),"")=0,"",IF(LEN(IFERROR(INDEX(醫師週班表!$C$5:$T$44,$CU29,BI$57),""))=4,MID(IFERROR(INDEX(醫師週班表!$C$5:$T$44,$CU29,BI$57),""),1+BI$58*2,1),IF(LEN(IFERROR(INDEX(醫師週班表!$C$5:$T$44,$CU29,BI$57),""))=2,IF(AND(RIGHT(IFERROR(INDEX(醫師週班表!$C$5:$T$44,$CU29,BI$57),""),1)="~",BI$58=1),"",LEFT(IFERROR(INDEX(醫師週班表!$C$5:$T$44,$CU29,BI$57),""),1)),IFERROR(INDEX(醫師週班表!$C$5:$T$44,$CU29,BI$57),""))))))</f>
        <v/>
      </c>
      <c r="BJ29" s="67">
        <f>IF(BJ$59="X","",IF(BJ$59&lt;&gt;"",BJ$59,IF(IFERROR(INDEX(醫師週班表!$C$5:$T$44,$CU29,BJ$57),"")=0,"",IF(LEN(IFERROR(INDEX(醫師週班表!$C$5:$T$44,$CU29,BJ$57),""))=4,MID(IFERROR(INDEX(醫師週班表!$C$5:$T$44,$CU29,BJ$57),""),1+BJ$58*2,1),IF(LEN(IFERROR(INDEX(醫師週班表!$C$5:$T$44,$CU29,BJ$57),""))=2,IF(AND(RIGHT(IFERROR(INDEX(醫師週班表!$C$5:$T$44,$CU29,BJ$57),""),1)="~",BJ$58=1),"",LEFT(IFERROR(INDEX(醫師週班表!$C$5:$T$44,$CU29,BJ$57),""),1)),IFERROR(INDEX(醫師週班表!$C$5:$T$44,$CU29,BJ$57),""))))))</f>
        <v/>
      </c>
      <c r="BK29" s="68">
        <f>IF(BK$59="X","",IF(BK$59&lt;&gt;"",BK$59,IF(IFERROR(INDEX(醫師週班表!$C$5:$T$44,$CU29,BK$57),"")=0,"",IF(LEN(IFERROR(INDEX(醫師週班表!$C$5:$T$44,$CU29,BK$57),""))=4,MID(IFERROR(INDEX(醫師週班表!$C$5:$T$44,$CU29,BK$57),""),1+BK$58*2,1),IF(LEN(IFERROR(INDEX(醫師週班表!$C$5:$T$44,$CU29,BK$57),""))=2,IF(AND(RIGHT(IFERROR(INDEX(醫師週班表!$C$5:$T$44,$CU29,BK$57),""),1)="~",BK$58=1),"",LEFT(IFERROR(INDEX(醫師週班表!$C$5:$T$44,$CU29,BK$57),""),1)),IFERROR(INDEX(醫師週班表!$C$5:$T$44,$CU29,BK$57),""))))))</f>
        <v/>
      </c>
      <c r="BL29" s="68">
        <f>IF(BL$59="X","",IF(BL$59&lt;&gt;"",BL$59,IF(IFERROR(INDEX(醫師週班表!$C$5:$T$44,$CU29,BL$57),"")=0,"",IF(LEN(IFERROR(INDEX(醫師週班表!$C$5:$T$44,$CU29,BL$57),""))=4,MID(IFERROR(INDEX(醫師週班表!$C$5:$T$44,$CU29,BL$57),""),1+BL$58*2,1),IF(LEN(IFERROR(INDEX(醫師週班表!$C$5:$T$44,$CU29,BL$57),""))=2,IF(AND(RIGHT(IFERROR(INDEX(醫師週班表!$C$5:$T$44,$CU29,BL$57),""),1)="~",BL$58=1),"",LEFT(IFERROR(INDEX(醫師週班表!$C$5:$T$44,$CU29,BL$57),""),1)),IFERROR(INDEX(醫師週班表!$C$5:$T$44,$CU29,BL$57),""))))))</f>
        <v/>
      </c>
      <c r="BM29" s="67">
        <f>IF(BM$59="X","",IF(BM$59&lt;&gt;"",BM$59,IF(IFERROR(INDEX(醫師週班表!$C$5:$T$44,$CU29,BM$57),"")=0,"",IF(LEN(IFERROR(INDEX(醫師週班表!$C$5:$T$44,$CU29,BM$57),""))=4,MID(IFERROR(INDEX(醫師週班表!$C$5:$T$44,$CU29,BM$57),""),1+BM$58*2,1),IF(LEN(IFERROR(INDEX(醫師週班表!$C$5:$T$44,$CU29,BM$57),""))=2,IF(AND(RIGHT(IFERROR(INDEX(醫師週班表!$C$5:$T$44,$CU29,BM$57),""),1)="~",BM$58=1),"",LEFT(IFERROR(INDEX(醫師週班表!$C$5:$T$44,$CU29,BM$57),""),1)),IFERROR(INDEX(醫師週班表!$C$5:$T$44,$CU29,BM$57),""))))))</f>
        <v/>
      </c>
      <c r="BN29" s="68">
        <f>IF(BN$59="X","",IF(BN$59&lt;&gt;"",BN$59,IF(IFERROR(INDEX(醫師週班表!$C$5:$T$44,$CU29,BN$57),"")=0,"",IF(LEN(IFERROR(INDEX(醫師週班表!$C$5:$T$44,$CU29,BN$57),""))=4,MID(IFERROR(INDEX(醫師週班表!$C$5:$T$44,$CU29,BN$57),""),1+BN$58*2,1),IF(LEN(IFERROR(INDEX(醫師週班表!$C$5:$T$44,$CU29,BN$57),""))=2,IF(AND(RIGHT(IFERROR(INDEX(醫師週班表!$C$5:$T$44,$CU29,BN$57),""),1)="~",BN$58=1),"",LEFT(IFERROR(INDEX(醫師週班表!$C$5:$T$44,$CU29,BN$57),""),1)),IFERROR(INDEX(醫師週班表!$C$5:$T$44,$CU29,BN$57),""))))))</f>
        <v/>
      </c>
      <c r="BO29" s="68">
        <f>IF(BO$59="X","",IF(BO$59&lt;&gt;"",BO$59,IF(IFERROR(INDEX(醫師週班表!$C$5:$T$44,$CU29,BO$57),"")=0,"",IF(LEN(IFERROR(INDEX(醫師週班表!$C$5:$T$44,$CU29,BO$57),""))=4,MID(IFERROR(INDEX(醫師週班表!$C$5:$T$44,$CU29,BO$57),""),1+BO$58*2,1),IF(LEN(IFERROR(INDEX(醫師週班表!$C$5:$T$44,$CU29,BO$57),""))=2,IF(AND(RIGHT(IFERROR(INDEX(醫師週班表!$C$5:$T$44,$CU29,BO$57),""),1)="~",BO$58=1),"",LEFT(IFERROR(INDEX(醫師週班表!$C$5:$T$44,$CU29,BO$57),""),1)),IFERROR(INDEX(醫師週班表!$C$5:$T$44,$CU29,BO$57),""))))))</f>
        <v/>
      </c>
      <c r="BP29" s="67">
        <f>IF(BP$59="X","",IF(BP$59&lt;&gt;"",BP$59,IF(IFERROR(INDEX(醫師週班表!$C$5:$T$44,$CU29,BP$57),"")=0,"",IF(LEN(IFERROR(INDEX(醫師週班表!$C$5:$T$44,$CU29,BP$57),""))=4,MID(IFERROR(INDEX(醫師週班表!$C$5:$T$44,$CU29,BP$57),""),1+BP$58*2,1),IF(LEN(IFERROR(INDEX(醫師週班表!$C$5:$T$44,$CU29,BP$57),""))=2,IF(AND(RIGHT(IFERROR(INDEX(醫師週班表!$C$5:$T$44,$CU29,BP$57),""),1)="~",BP$58=1),"",LEFT(IFERROR(INDEX(醫師週班表!$C$5:$T$44,$CU29,BP$57),""),1)),IFERROR(INDEX(醫師週班表!$C$5:$T$44,$CU29,BP$57),""))))))</f>
        <v/>
      </c>
      <c r="BQ29" s="68">
        <f>IF(BQ$59="X","",IF(BQ$59&lt;&gt;"",BQ$59,IF(IFERROR(INDEX(醫師週班表!$C$5:$T$44,$CU29,BQ$57),"")=0,"",IF(LEN(IFERROR(INDEX(醫師週班表!$C$5:$T$44,$CU29,BQ$57),""))=4,MID(IFERROR(INDEX(醫師週班表!$C$5:$T$44,$CU29,BQ$57),""),1+BQ$58*2,1),IF(LEN(IFERROR(INDEX(醫師週班表!$C$5:$T$44,$CU29,BQ$57),""))=2,IF(AND(RIGHT(IFERROR(INDEX(醫師週班表!$C$5:$T$44,$CU29,BQ$57),""),1)="~",BQ$58=1),"",LEFT(IFERROR(INDEX(醫師週班表!$C$5:$T$44,$CU29,BQ$57),""),1)),IFERROR(INDEX(醫師週班表!$C$5:$T$44,$CU29,BQ$57),""))))))</f>
        <v/>
      </c>
      <c r="BR29" s="68">
        <f>IF(BR$59="X","",IF(BR$59&lt;&gt;"",BR$59,IF(IFERROR(INDEX(醫師週班表!$C$5:$T$44,$CU29,BR$57),"")=0,"",IF(LEN(IFERROR(INDEX(醫師週班表!$C$5:$T$44,$CU29,BR$57),""))=4,MID(IFERROR(INDEX(醫師週班表!$C$5:$T$44,$CU29,BR$57),""),1+BR$58*2,1),IF(LEN(IFERROR(INDEX(醫師週班表!$C$5:$T$44,$CU29,BR$57),""))=2,IF(AND(RIGHT(IFERROR(INDEX(醫師週班表!$C$5:$T$44,$CU29,BR$57),""),1)="~",BR$58=1),"",LEFT(IFERROR(INDEX(醫師週班表!$C$5:$T$44,$CU29,BR$57),""),1)),IFERROR(INDEX(醫師週班表!$C$5:$T$44,$CU29,BR$57),""))))))</f>
        <v/>
      </c>
      <c r="BS29" s="67">
        <f>IF(BS$59="X","",IF(BS$59&lt;&gt;"",BS$59,IF(IFERROR(INDEX(醫師週班表!$C$5:$T$44,$CU29,BS$57),"")=0,"",IF(LEN(IFERROR(INDEX(醫師週班表!$C$5:$T$44,$CU29,BS$57),""))=4,MID(IFERROR(INDEX(醫師週班表!$C$5:$T$44,$CU29,BS$57),""),1+BS$58*2,1),IF(LEN(IFERROR(INDEX(醫師週班表!$C$5:$T$44,$CU29,BS$57),""))=2,IF(AND(RIGHT(IFERROR(INDEX(醫師週班表!$C$5:$T$44,$CU29,BS$57),""),1)="~",BS$58=1),"",LEFT(IFERROR(INDEX(醫師週班表!$C$5:$T$44,$CU29,BS$57),""),1)),IFERROR(INDEX(醫師週班表!$C$5:$T$44,$CU29,BS$57),""))))))</f>
        <v/>
      </c>
      <c r="BT29" s="68">
        <f>IF(BT$59="X","",IF(BT$59&lt;&gt;"",BT$59,IF(IFERROR(INDEX(醫師週班表!$C$5:$T$44,$CU29,BT$57),"")=0,"",IF(LEN(IFERROR(INDEX(醫師週班表!$C$5:$T$44,$CU29,BT$57),""))=4,MID(IFERROR(INDEX(醫師週班表!$C$5:$T$44,$CU29,BT$57),""),1+BT$58*2,1),IF(LEN(IFERROR(INDEX(醫師週班表!$C$5:$T$44,$CU29,BT$57),""))=2,IF(AND(RIGHT(IFERROR(INDEX(醫師週班表!$C$5:$T$44,$CU29,BT$57),""),1)="~",BT$58=1),"",LEFT(IFERROR(INDEX(醫師週班表!$C$5:$T$44,$CU29,BT$57),""),1)),IFERROR(INDEX(醫師週班表!$C$5:$T$44,$CU29,BT$57),""))))))</f>
        <v/>
      </c>
      <c r="BU29" s="68">
        <f>IF(BU$59="X","",IF(BU$59&lt;&gt;"",BU$59,IF(IFERROR(INDEX(醫師週班表!$C$5:$T$44,$CU29,BU$57),"")=0,"",IF(LEN(IFERROR(INDEX(醫師週班表!$C$5:$T$44,$CU29,BU$57),""))=4,MID(IFERROR(INDEX(醫師週班表!$C$5:$T$44,$CU29,BU$57),""),1+BU$58*2,1),IF(LEN(IFERROR(INDEX(醫師週班表!$C$5:$T$44,$CU29,BU$57),""))=2,IF(AND(RIGHT(IFERROR(INDEX(醫師週班表!$C$5:$T$44,$CU29,BU$57),""),1)="~",BU$58=1),"",LEFT(IFERROR(INDEX(醫師週班表!$C$5:$T$44,$CU29,BU$57),""),1)),IFERROR(INDEX(醫師週班表!$C$5:$T$44,$CU29,BU$57),""))))))</f>
        <v/>
      </c>
      <c r="BV29" s="67">
        <f>IF(BV$59="X","",IF(BV$59&lt;&gt;"",BV$59,IF(IFERROR(INDEX(醫師週班表!$C$5:$T$44,$CU29,BV$57),"")=0,"",IF(LEN(IFERROR(INDEX(醫師週班表!$C$5:$T$44,$CU29,BV$57),""))=4,MID(IFERROR(INDEX(醫師週班表!$C$5:$T$44,$CU29,BV$57),""),1+BV$58*2,1),IF(LEN(IFERROR(INDEX(醫師週班表!$C$5:$T$44,$CU29,BV$57),""))=2,IF(AND(RIGHT(IFERROR(INDEX(醫師週班表!$C$5:$T$44,$CU29,BV$57),""),1)="~",BV$58=1),"",LEFT(IFERROR(INDEX(醫師週班表!$C$5:$T$44,$CU29,BV$57),""),1)),IFERROR(INDEX(醫師週班表!$C$5:$T$44,$CU29,BV$57),""))))))</f>
        <v/>
      </c>
      <c r="BW29" s="68">
        <f>IF(BW$59="X","",IF(BW$59&lt;&gt;"",BW$59,IF(IFERROR(INDEX(醫師週班表!$C$5:$T$44,$CU29,BW$57),"")=0,"",IF(LEN(IFERROR(INDEX(醫師週班表!$C$5:$T$44,$CU29,BW$57),""))=4,MID(IFERROR(INDEX(醫師週班表!$C$5:$T$44,$CU29,BW$57),""),1+BW$58*2,1),IF(LEN(IFERROR(INDEX(醫師週班表!$C$5:$T$44,$CU29,BW$57),""))=2,IF(AND(RIGHT(IFERROR(INDEX(醫師週班表!$C$5:$T$44,$CU29,BW$57),""),1)="~",BW$58=1),"",LEFT(IFERROR(INDEX(醫師週班表!$C$5:$T$44,$CU29,BW$57),""),1)),IFERROR(INDEX(醫師週班表!$C$5:$T$44,$CU29,BW$57),""))))))</f>
        <v/>
      </c>
      <c r="BX29" s="68">
        <f>IF(BX$59="X","",IF(BX$59&lt;&gt;"",BX$59,IF(IFERROR(INDEX(醫師週班表!$C$5:$T$44,$CU29,BX$57),"")=0,"",IF(LEN(IFERROR(INDEX(醫師週班表!$C$5:$T$44,$CU29,BX$57),""))=4,MID(IFERROR(INDEX(醫師週班表!$C$5:$T$44,$CU29,BX$57),""),1+BX$58*2,1),IF(LEN(IFERROR(INDEX(醫師週班表!$C$5:$T$44,$CU29,BX$57),""))=2,IF(AND(RIGHT(IFERROR(INDEX(醫師週班表!$C$5:$T$44,$CU29,BX$57),""),1)="~",BX$58=1),"",LEFT(IFERROR(INDEX(醫師週班表!$C$5:$T$44,$CU29,BX$57),""),1)),IFERROR(INDEX(醫師週班表!$C$5:$T$44,$CU29,BX$57),""))))))</f>
        <v/>
      </c>
      <c r="BY29" s="67">
        <f>IF(BY$59="X","",IF(BY$59&lt;&gt;"",BY$59,IF(IFERROR(INDEX(醫師週班表!$C$5:$T$44,$CU29,BY$57),"")=0,"",IF(LEN(IFERROR(INDEX(醫師週班表!$C$5:$T$44,$CU29,BY$57),""))=4,MID(IFERROR(INDEX(醫師週班表!$C$5:$T$44,$CU29,BY$57),""),1+BY$58*2,1),IF(LEN(IFERROR(INDEX(醫師週班表!$C$5:$T$44,$CU29,BY$57),""))=2,IF(AND(RIGHT(IFERROR(INDEX(醫師週班表!$C$5:$T$44,$CU29,BY$57),""),1)="~",BY$58=1),"",LEFT(IFERROR(INDEX(醫師週班表!$C$5:$T$44,$CU29,BY$57),""),1)),IFERROR(INDEX(醫師週班表!$C$5:$T$44,$CU29,BY$57),""))))))</f>
        <v/>
      </c>
      <c r="BZ29" s="68">
        <f>IF(BZ$59="X","",IF(BZ$59&lt;&gt;"",BZ$59,IF(IFERROR(INDEX(醫師週班表!$C$5:$T$44,$CU29,BZ$57),"")=0,"",IF(LEN(IFERROR(INDEX(醫師週班表!$C$5:$T$44,$CU29,BZ$57),""))=4,MID(IFERROR(INDEX(醫師週班表!$C$5:$T$44,$CU29,BZ$57),""),1+BZ$58*2,1),IF(LEN(IFERROR(INDEX(醫師週班表!$C$5:$T$44,$CU29,BZ$57),""))=2,IF(AND(RIGHT(IFERROR(INDEX(醫師週班表!$C$5:$T$44,$CU29,BZ$57),""),1)="~",BZ$58=1),"",LEFT(IFERROR(INDEX(醫師週班表!$C$5:$T$44,$CU29,BZ$57),""),1)),IFERROR(INDEX(醫師週班表!$C$5:$T$44,$CU29,BZ$57),""))))))</f>
        <v/>
      </c>
      <c r="CA29" s="68">
        <f>IF(CA$59="X","",IF(CA$59&lt;&gt;"",CA$59,IF(IFERROR(INDEX(醫師週班表!$C$5:$T$44,$CU29,CA$57),"")=0,"",IF(LEN(IFERROR(INDEX(醫師週班表!$C$5:$T$44,$CU29,CA$57),""))=4,MID(IFERROR(INDEX(醫師週班表!$C$5:$T$44,$CU29,CA$57),""),1+CA$58*2,1),IF(LEN(IFERROR(INDEX(醫師週班表!$C$5:$T$44,$CU29,CA$57),""))=2,IF(AND(RIGHT(IFERROR(INDEX(醫師週班表!$C$5:$T$44,$CU29,CA$57),""),1)="~",CA$58=1),"",LEFT(IFERROR(INDEX(醫師週班表!$C$5:$T$44,$CU29,CA$57),""),1)),IFERROR(INDEX(醫師週班表!$C$5:$T$44,$CU29,CA$57),""))))))</f>
        <v/>
      </c>
      <c r="CB29" s="67">
        <f>IF(CB$59="X","",IF(CB$59&lt;&gt;"",CB$59,IF(IFERROR(INDEX(醫師週班表!$C$5:$T$44,$CU29,CB$57),"")=0,"",IF(LEN(IFERROR(INDEX(醫師週班表!$C$5:$T$44,$CU29,CB$57),""))=4,MID(IFERROR(INDEX(醫師週班表!$C$5:$T$44,$CU29,CB$57),""),1+CB$58*2,1),IF(LEN(IFERROR(INDEX(醫師週班表!$C$5:$T$44,$CU29,CB$57),""))=2,IF(AND(RIGHT(IFERROR(INDEX(醫師週班表!$C$5:$T$44,$CU29,CB$57),""),1)="~",CB$58=1),"",LEFT(IFERROR(INDEX(醫師週班表!$C$5:$T$44,$CU29,CB$57),""),1)),IFERROR(INDEX(醫師週班表!$C$5:$T$44,$CU29,CB$57),""))))))</f>
        <v/>
      </c>
      <c r="CC29" s="68">
        <f>IF(CC$59="X","",IF(CC$59&lt;&gt;"",CC$59,IF(IFERROR(INDEX(醫師週班表!$C$5:$T$44,$CU29,CC$57),"")=0,"",IF(LEN(IFERROR(INDEX(醫師週班表!$C$5:$T$44,$CU29,CC$57),""))=4,MID(IFERROR(INDEX(醫師週班表!$C$5:$T$44,$CU29,CC$57),""),1+CC$58*2,1),IF(LEN(IFERROR(INDEX(醫師週班表!$C$5:$T$44,$CU29,CC$57),""))=2,IF(AND(RIGHT(IFERROR(INDEX(醫師週班表!$C$5:$T$44,$CU29,CC$57),""),1)="~",CC$58=1),"",LEFT(IFERROR(INDEX(醫師週班表!$C$5:$T$44,$CU29,CC$57),""),1)),IFERROR(INDEX(醫師週班表!$C$5:$T$44,$CU29,CC$57),""))))))</f>
        <v/>
      </c>
      <c r="CD29" s="68">
        <f>IF(CD$59="X","",IF(CD$59&lt;&gt;"",CD$59,IF(IFERROR(INDEX(醫師週班表!$C$5:$T$44,$CU29,CD$57),"")=0,"",IF(LEN(IFERROR(INDEX(醫師週班表!$C$5:$T$44,$CU29,CD$57),""))=4,MID(IFERROR(INDEX(醫師週班表!$C$5:$T$44,$CU29,CD$57),""),1+CD$58*2,1),IF(LEN(IFERROR(INDEX(醫師週班表!$C$5:$T$44,$CU29,CD$57),""))=2,IF(AND(RIGHT(IFERROR(INDEX(醫師週班表!$C$5:$T$44,$CU29,CD$57),""),1)="~",CD$58=1),"",LEFT(IFERROR(INDEX(醫師週班表!$C$5:$T$44,$CU29,CD$57),""),1)),IFERROR(INDEX(醫師週班表!$C$5:$T$44,$CU29,CD$57),""))))))</f>
        <v/>
      </c>
      <c r="CE29" s="67">
        <f>IF(CE$59="X","",IF(CE$59&lt;&gt;"",CE$59,IF(IFERROR(INDEX(醫師週班表!$C$5:$T$44,$CU29,CE$57),"")=0,"",IF(LEN(IFERROR(INDEX(醫師週班表!$C$5:$T$44,$CU29,CE$57),""))=4,MID(IFERROR(INDEX(醫師週班表!$C$5:$T$44,$CU29,CE$57),""),1+CE$58*2,1),IF(LEN(IFERROR(INDEX(醫師週班表!$C$5:$T$44,$CU29,CE$57),""))=2,IF(AND(RIGHT(IFERROR(INDEX(醫師週班表!$C$5:$T$44,$CU29,CE$57),""),1)="~",CE$58=1),"",LEFT(IFERROR(INDEX(醫師週班表!$C$5:$T$44,$CU29,CE$57),""),1)),IFERROR(INDEX(醫師週班表!$C$5:$T$44,$CU29,CE$57),""))))))</f>
        <v/>
      </c>
      <c r="CF29" s="68">
        <f>IF(CF$59="X","",IF(CF$59&lt;&gt;"",CF$59,IF(IFERROR(INDEX(醫師週班表!$C$5:$T$44,$CU29,CF$57),"")=0,"",IF(LEN(IFERROR(INDEX(醫師週班表!$C$5:$T$44,$CU29,CF$57),""))=4,MID(IFERROR(INDEX(醫師週班表!$C$5:$T$44,$CU29,CF$57),""),1+CF$58*2,1),IF(LEN(IFERROR(INDEX(醫師週班表!$C$5:$T$44,$CU29,CF$57),""))=2,IF(AND(RIGHT(IFERROR(INDEX(醫師週班表!$C$5:$T$44,$CU29,CF$57),""),1)="~",CF$58=1),"",LEFT(IFERROR(INDEX(醫師週班表!$C$5:$T$44,$CU29,CF$57),""),1)),IFERROR(INDEX(醫師週班表!$C$5:$T$44,$CU29,CF$57),""))))))</f>
        <v/>
      </c>
      <c r="CG29" s="68">
        <f>IF(CG$59="X","",IF(CG$59&lt;&gt;"",CG$59,IF(IFERROR(INDEX(醫師週班表!$C$5:$T$44,$CU29,CG$57),"")=0,"",IF(LEN(IFERROR(INDEX(醫師週班表!$C$5:$T$44,$CU29,CG$57),""))=4,MID(IFERROR(INDEX(醫師週班表!$C$5:$T$44,$CU29,CG$57),""),1+CG$58*2,1),IF(LEN(IFERROR(INDEX(醫師週班表!$C$5:$T$44,$CU29,CG$57),""))=2,IF(AND(RIGHT(IFERROR(INDEX(醫師週班表!$C$5:$T$44,$CU29,CG$57),""),1)="~",CG$58=1),"",LEFT(IFERROR(INDEX(醫師週班表!$C$5:$T$44,$CU29,CG$57),""),1)),IFERROR(INDEX(醫師週班表!$C$5:$T$44,$CU29,CG$57),""))))))</f>
        <v/>
      </c>
      <c r="CH29" s="67">
        <f>IF(CH$59="X","",IF(CH$59&lt;&gt;"",CH$59,IF(IFERROR(INDEX(醫師週班表!$C$5:$T$44,$CU29,CH$57),"")=0,"",IF(LEN(IFERROR(INDEX(醫師週班表!$C$5:$T$44,$CU29,CH$57),""))=4,MID(IFERROR(INDEX(醫師週班表!$C$5:$T$44,$CU29,CH$57),""),1+CH$58*2,1),IF(LEN(IFERROR(INDEX(醫師週班表!$C$5:$T$44,$CU29,CH$57),""))=2,IF(AND(RIGHT(IFERROR(INDEX(醫師週班表!$C$5:$T$44,$CU29,CH$57),""),1)="~",CH$58=1),"",LEFT(IFERROR(INDEX(醫師週班表!$C$5:$T$44,$CU29,CH$57),""),1)),IFERROR(INDEX(醫師週班表!$C$5:$T$44,$CU29,CH$57),""))))))</f>
        <v/>
      </c>
      <c r="CI29" s="68">
        <f>IF(CI$59="X","",IF(CI$59&lt;&gt;"",CI$59,IF(IFERROR(INDEX(醫師週班表!$C$5:$T$44,$CU29,CI$57),"")=0,"",IF(LEN(IFERROR(INDEX(醫師週班表!$C$5:$T$44,$CU29,CI$57),""))=4,MID(IFERROR(INDEX(醫師週班表!$C$5:$T$44,$CU29,CI$57),""),1+CI$58*2,1),IF(LEN(IFERROR(INDEX(醫師週班表!$C$5:$T$44,$CU29,CI$57),""))=2,IF(AND(RIGHT(IFERROR(INDEX(醫師週班表!$C$5:$T$44,$CU29,CI$57),""),1)="~",CI$58=1),"",LEFT(IFERROR(INDEX(醫師週班表!$C$5:$T$44,$CU29,CI$57),""),1)),IFERROR(INDEX(醫師週班表!$C$5:$T$44,$CU29,CI$57),""))))))</f>
        <v/>
      </c>
      <c r="CJ29" s="68">
        <f>IF(CJ$59="X","",IF(CJ$59&lt;&gt;"",CJ$59,IF(IFERROR(INDEX(醫師週班表!$C$5:$T$44,$CU29,CJ$57),"")=0,"",IF(LEN(IFERROR(INDEX(醫師週班表!$C$5:$T$44,$CU29,CJ$57),""))=4,MID(IFERROR(INDEX(醫師週班表!$C$5:$T$44,$CU29,CJ$57),""),1+CJ$58*2,1),IF(LEN(IFERROR(INDEX(醫師週班表!$C$5:$T$44,$CU29,CJ$57),""))=2,IF(AND(RIGHT(IFERROR(INDEX(醫師週班表!$C$5:$T$44,$CU29,CJ$57),""),1)="~",CJ$58=1),"",LEFT(IFERROR(INDEX(醫師週班表!$C$5:$T$44,$CU29,CJ$57),""),1)),IFERROR(INDEX(醫師週班表!$C$5:$T$44,$CU29,CJ$57),""))))))</f>
        <v/>
      </c>
      <c r="CK29" s="67">
        <f>IF(CK$59="X","",IF(CK$59&lt;&gt;"",CK$59,IF(IFERROR(INDEX(醫師週班表!$C$5:$T$44,$CU29,CK$57),"")=0,"",IF(LEN(IFERROR(INDEX(醫師週班表!$C$5:$T$44,$CU29,CK$57),""))=4,MID(IFERROR(INDEX(醫師週班表!$C$5:$T$44,$CU29,CK$57),""),1+CK$58*2,1),IF(LEN(IFERROR(INDEX(醫師週班表!$C$5:$T$44,$CU29,CK$57),""))=2,IF(AND(RIGHT(IFERROR(INDEX(醫師週班表!$C$5:$T$44,$CU29,CK$57),""),1)="~",CK$58=1),"",LEFT(IFERROR(INDEX(醫師週班表!$C$5:$T$44,$CU29,CK$57),""),1)),IFERROR(INDEX(醫師週班表!$C$5:$T$44,$CU29,CK$57),""))))))</f>
        <v/>
      </c>
      <c r="CL29" s="68">
        <f>IF(CL$59="X","",IF(CL$59&lt;&gt;"",CL$59,IF(IFERROR(INDEX(醫師週班表!$C$5:$T$44,$CU29,CL$57),"")=0,"",IF(LEN(IFERROR(INDEX(醫師週班表!$C$5:$T$44,$CU29,CL$57),""))=4,MID(IFERROR(INDEX(醫師週班表!$C$5:$T$44,$CU29,CL$57),""),1+CL$58*2,1),IF(LEN(IFERROR(INDEX(醫師週班表!$C$5:$T$44,$CU29,CL$57),""))=2,IF(AND(RIGHT(IFERROR(INDEX(醫師週班表!$C$5:$T$44,$CU29,CL$57),""),1)="~",CL$58=1),"",LEFT(IFERROR(INDEX(醫師週班表!$C$5:$T$44,$CU29,CL$57),""),1)),IFERROR(INDEX(醫師週班表!$C$5:$T$44,$CU29,CL$57),""))))))</f>
        <v/>
      </c>
      <c r="CM29" s="68">
        <f>IF(CM$59="X","",IF(CM$59&lt;&gt;"",CM$59,IF(IFERROR(INDEX(醫師週班表!$C$5:$T$44,$CU29,CM$57),"")=0,"",IF(LEN(IFERROR(INDEX(醫師週班表!$C$5:$T$44,$CU29,CM$57),""))=4,MID(IFERROR(INDEX(醫師週班表!$C$5:$T$44,$CU29,CM$57),""),1+CM$58*2,1),IF(LEN(IFERROR(INDEX(醫師週班表!$C$5:$T$44,$CU29,CM$57),""))=2,IF(AND(RIGHT(IFERROR(INDEX(醫師週班表!$C$5:$T$44,$CU29,CM$57),""),1)="~",CM$58=1),"",LEFT(IFERROR(INDEX(醫師週班表!$C$5:$T$44,$CU29,CM$57),""),1)),IFERROR(INDEX(醫師週班表!$C$5:$T$44,$CU29,CM$57),""))))))</f>
        <v/>
      </c>
      <c r="CN29" s="67">
        <f>IF(CN$59="X","",IF(CN$59&lt;&gt;"",CN$59,IF(IFERROR(INDEX(醫師週班表!$C$5:$T$44,$CU29,CN$57),"")=0,"",IF(LEN(IFERROR(INDEX(醫師週班表!$C$5:$T$44,$CU29,CN$57),""))=4,MID(IFERROR(INDEX(醫師週班表!$C$5:$T$44,$CU29,CN$57),""),1+CN$58*2,1),IF(LEN(IFERROR(INDEX(醫師週班表!$C$5:$T$44,$CU29,CN$57),""))=2,IF(AND(RIGHT(IFERROR(INDEX(醫師週班表!$C$5:$T$44,$CU29,CN$57),""),1)="~",CN$58=1),"",LEFT(IFERROR(INDEX(醫師週班表!$C$5:$T$44,$CU29,CN$57),""),1)),IFERROR(INDEX(醫師週班表!$C$5:$T$44,$CU29,CN$57),""))))))</f>
        <v/>
      </c>
      <c r="CO29" s="68">
        <f>IF(CO$59="X","",IF(CO$59&lt;&gt;"",CO$59,IF(IFERROR(INDEX(醫師週班表!$C$5:$T$44,$CU29,CO$57),"")=0,"",IF(LEN(IFERROR(INDEX(醫師週班表!$C$5:$T$44,$CU29,CO$57),""))=4,MID(IFERROR(INDEX(醫師週班表!$C$5:$T$44,$CU29,CO$57),""),1+CO$58*2,1),IF(LEN(IFERROR(INDEX(醫師週班表!$C$5:$T$44,$CU29,CO$57),""))=2,IF(AND(RIGHT(IFERROR(INDEX(醫師週班表!$C$5:$T$44,$CU29,CO$57),""),1)="~",CO$58=1),"",LEFT(IFERROR(INDEX(醫師週班表!$C$5:$T$44,$CU29,CO$57),""),1)),IFERROR(INDEX(醫師週班表!$C$5:$T$44,$CU29,CO$57),""))))))</f>
        <v/>
      </c>
      <c r="CP29" s="68">
        <f>IF(CP$59="X","",IF(CP$59&lt;&gt;"",CP$59,IF(IFERROR(INDEX(醫師週班表!$C$5:$T$44,$CU29,CP$57),"")=0,"",IF(LEN(IFERROR(INDEX(醫師週班表!$C$5:$T$44,$CU29,CP$57),""))=4,MID(IFERROR(INDEX(醫師週班表!$C$5:$T$44,$CU29,CP$57),""),1+CP$58*2,1),IF(LEN(IFERROR(INDEX(醫師週班表!$C$5:$T$44,$CU29,CP$57),""))=2,IF(AND(RIGHT(IFERROR(INDEX(醫師週班表!$C$5:$T$44,$CU29,CP$57),""),1)="~",CP$58=1),"",LEFT(IFERROR(INDEX(醫師週班表!$C$5:$T$44,$CU29,CP$57),""),1)),IFERROR(INDEX(醫師週班表!$C$5:$T$44,$CU29,CP$57),""))))))</f>
        <v/>
      </c>
      <c r="CQ29" s="67">
        <f>IF(CQ$59="X","",IF(CQ$59&lt;&gt;"",CQ$59,IF(IFERROR(INDEX(醫師週班表!$C$5:$T$44,$CU29,CQ$57),"")=0,"",IF(LEN(IFERROR(INDEX(醫師週班表!$C$5:$T$44,$CU29,CQ$57),""))=4,MID(IFERROR(INDEX(醫師週班表!$C$5:$T$44,$CU29,CQ$57),""),1+CQ$58*2,1),IF(LEN(IFERROR(INDEX(醫師週班表!$C$5:$T$44,$CU29,CQ$57),""))=2,IF(AND(RIGHT(IFERROR(INDEX(醫師週班表!$C$5:$T$44,$CU29,CQ$57),""),1)="~",CQ$58=1),"",LEFT(IFERROR(INDEX(醫師週班表!$C$5:$T$44,$CU29,CQ$57),""),1)),IFERROR(INDEX(醫師週班表!$C$5:$T$44,$CU29,CQ$57),""))))))</f>
        <v/>
      </c>
      <c r="CR29" s="68">
        <f>IF(CR$59="X","",IF(CR$59&lt;&gt;"",CR$59,IF(IFERROR(INDEX(醫師週班表!$C$5:$T$44,$CU29,CR$57),"")=0,"",IF(LEN(IFERROR(INDEX(醫師週班表!$C$5:$T$44,$CU29,CR$57),""))=4,MID(IFERROR(INDEX(醫師週班表!$C$5:$T$44,$CU29,CR$57),""),1+CR$58*2,1),IF(LEN(IFERROR(INDEX(醫師週班表!$C$5:$T$44,$CU29,CR$57),""))=2,IF(AND(RIGHT(IFERROR(INDEX(醫師週班表!$C$5:$T$44,$CU29,CR$57),""),1)="~",CR$58=1),"",LEFT(IFERROR(INDEX(醫師週班表!$C$5:$T$44,$CU29,CR$57),""),1)),IFERROR(INDEX(醫師週班表!$C$5:$T$44,$CU29,CR$57),""))))))</f>
        <v/>
      </c>
      <c r="CS29" s="68">
        <f>IF(CS$59="X","",IF(CS$59&lt;&gt;"",CS$59,IF(IFERROR(INDEX(醫師週班表!$C$5:$T$44,$CU29,CS$57),"")=0,"",IF(LEN(IFERROR(INDEX(醫師週班表!$C$5:$T$44,$CU29,CS$57),""))=4,MID(IFERROR(INDEX(醫師週班表!$C$5:$T$44,$CU29,CS$57),""),1+CS$58*2,1),IF(LEN(IFERROR(INDEX(醫師週班表!$C$5:$T$44,$CU29,CS$57),""))=2,IF(AND(RIGHT(IFERROR(INDEX(醫師週班表!$C$5:$T$44,$CU29,CS$57),""),1)="~",CS$58=1),"",LEFT(IFERROR(INDEX(醫師週班表!$C$5:$T$44,$CU29,CS$57),""),1)),IFERROR(INDEX(醫師週班表!$C$5:$T$44,$CU29,CS$57),""))))))</f>
        <v/>
      </c>
      <c r="CU29" s="69">
        <f>IFERROR(MATCH($A29,醫師週班表!$A$5:$A$44,0),0)</f>
        <v/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IFERROR(INDEX(醫師週班表!$C$5:$T$44,$CU30,E$57),"")=0,"",IF(LEN(IFERROR(INDEX(醫師週班表!$C$5:$T$44,$CU30,E$57),""))=4,MID(IFERROR(INDEX(醫師週班表!$C$5:$T$44,$CU30,E$57),""),1+E$58*2,1),IF(LEN(IFERROR(INDEX(醫師週班表!$C$5:$T$44,$CU30,E$57),""))=2,IF(AND(RIGHT(IFERROR(INDEX(醫師週班表!$C$5:$T$44,$CU30,E$57),""),1)="~",E$58=1),"",LEFT(IFERROR(INDEX(醫師週班表!$C$5:$T$44,$CU30,E$57),""),1)),IFERROR(INDEX(醫師週班表!$C$5:$T$44,$CU30,E$57),""))))))</f>
        <v/>
      </c>
      <c r="F30" s="68">
        <f>IF(F$59="X","",IF(F$59&lt;&gt;"",F$59,IF(IFERROR(INDEX(醫師週班表!$C$5:$T$44,$CU30,F$57),"")=0,"",IF(LEN(IFERROR(INDEX(醫師週班表!$C$5:$T$44,$CU30,F$57),""))=4,MID(IFERROR(INDEX(醫師週班表!$C$5:$T$44,$CU30,F$57),""),1+F$58*2,1),IF(LEN(IFERROR(INDEX(醫師週班表!$C$5:$T$44,$CU30,F$57),""))=2,IF(AND(RIGHT(IFERROR(INDEX(醫師週班表!$C$5:$T$44,$CU30,F$57),""),1)="~",F$58=1),"",LEFT(IFERROR(INDEX(醫師週班表!$C$5:$T$44,$CU30,F$57),""),1)),IFERROR(INDEX(醫師週班表!$C$5:$T$44,$CU30,F$57),""))))))</f>
        <v/>
      </c>
      <c r="G30" s="68">
        <f>IF(G$59="X","",IF(G$59&lt;&gt;"",G$59,IF(IFERROR(INDEX(醫師週班表!$C$5:$T$44,$CU30,G$57),"")=0,"",IF(LEN(IFERROR(INDEX(醫師週班表!$C$5:$T$44,$CU30,G$57),""))=4,MID(IFERROR(INDEX(醫師週班表!$C$5:$T$44,$CU30,G$57),""),1+G$58*2,1),IF(LEN(IFERROR(INDEX(醫師週班表!$C$5:$T$44,$CU30,G$57),""))=2,IF(AND(RIGHT(IFERROR(INDEX(醫師週班表!$C$5:$T$44,$CU30,G$57),""),1)="~",G$58=1),"",LEFT(IFERROR(INDEX(醫師週班表!$C$5:$T$44,$CU30,G$57),""),1)),IFERROR(INDEX(醫師週班表!$C$5:$T$44,$CU30,G$57),""))))))</f>
        <v/>
      </c>
      <c r="H30" s="67">
        <f>IF(H$59="X","",IF(H$59&lt;&gt;"",H$59,IF(IFERROR(INDEX(醫師週班表!$C$5:$T$44,$CU30,H$57),"")=0,"",IF(LEN(IFERROR(INDEX(醫師週班表!$C$5:$T$44,$CU30,H$57),""))=4,MID(IFERROR(INDEX(醫師週班表!$C$5:$T$44,$CU30,H$57),""),1+H$58*2,1),IF(LEN(IFERROR(INDEX(醫師週班表!$C$5:$T$44,$CU30,H$57),""))=2,IF(AND(RIGHT(IFERROR(INDEX(醫師週班表!$C$5:$T$44,$CU30,H$57),""),1)="~",H$58=1),"",LEFT(IFERROR(INDEX(醫師週班表!$C$5:$T$44,$CU30,H$57),""),1)),IFERROR(INDEX(醫師週班表!$C$5:$T$44,$CU30,H$57),""))))))</f>
        <v/>
      </c>
      <c r="I30" s="68">
        <f>IF(I$59="X","",IF(I$59&lt;&gt;"",I$59,IF(IFERROR(INDEX(醫師週班表!$C$5:$T$44,$CU30,I$57),"")=0,"",IF(LEN(IFERROR(INDEX(醫師週班表!$C$5:$T$44,$CU30,I$57),""))=4,MID(IFERROR(INDEX(醫師週班表!$C$5:$T$44,$CU30,I$57),""),1+I$58*2,1),IF(LEN(IFERROR(INDEX(醫師週班表!$C$5:$T$44,$CU30,I$57),""))=2,IF(AND(RIGHT(IFERROR(INDEX(醫師週班表!$C$5:$T$44,$CU30,I$57),""),1)="~",I$58=1),"",LEFT(IFERROR(INDEX(醫師週班表!$C$5:$T$44,$CU30,I$57),""),1)),IFERROR(INDEX(醫師週班表!$C$5:$T$44,$CU30,I$57),""))))))</f>
        <v/>
      </c>
      <c r="J30" s="68">
        <f>IF(J$59="X","",IF(J$59&lt;&gt;"",J$59,IF(IFERROR(INDEX(醫師週班表!$C$5:$T$44,$CU30,J$57),"")=0,"",IF(LEN(IFERROR(INDEX(醫師週班表!$C$5:$T$44,$CU30,J$57),""))=4,MID(IFERROR(INDEX(醫師週班表!$C$5:$T$44,$CU30,J$57),""),1+J$58*2,1),IF(LEN(IFERROR(INDEX(醫師週班表!$C$5:$T$44,$CU30,J$57),""))=2,IF(AND(RIGHT(IFERROR(INDEX(醫師週班表!$C$5:$T$44,$CU30,J$57),""),1)="~",J$58=1),"",LEFT(IFERROR(INDEX(醫師週班表!$C$5:$T$44,$CU30,J$57),""),1)),IFERROR(INDEX(醫師週班表!$C$5:$T$44,$CU30,J$57),""))))))</f>
        <v/>
      </c>
      <c r="K30" s="67">
        <f>IF(K$59="X","",IF(K$59&lt;&gt;"",K$59,IF(IFERROR(INDEX(醫師週班表!$C$5:$T$44,$CU30,K$57),"")=0,"",IF(LEN(IFERROR(INDEX(醫師週班表!$C$5:$T$44,$CU30,K$57),""))=4,MID(IFERROR(INDEX(醫師週班表!$C$5:$T$44,$CU30,K$57),""),1+K$58*2,1),IF(LEN(IFERROR(INDEX(醫師週班表!$C$5:$T$44,$CU30,K$57),""))=2,IF(AND(RIGHT(IFERROR(INDEX(醫師週班表!$C$5:$T$44,$CU30,K$57),""),1)="~",K$58=1),"",LEFT(IFERROR(INDEX(醫師週班表!$C$5:$T$44,$CU30,K$57),""),1)),IFERROR(INDEX(醫師週班表!$C$5:$T$44,$CU30,K$57),""))))))</f>
        <v/>
      </c>
      <c r="L30" s="68">
        <f>IF(L$59="X","",IF(L$59&lt;&gt;"",L$59,IF(IFERROR(INDEX(醫師週班表!$C$5:$T$44,$CU30,L$57),"")=0,"",IF(LEN(IFERROR(INDEX(醫師週班表!$C$5:$T$44,$CU30,L$57),""))=4,MID(IFERROR(INDEX(醫師週班表!$C$5:$T$44,$CU30,L$57),""),1+L$58*2,1),IF(LEN(IFERROR(INDEX(醫師週班表!$C$5:$T$44,$CU30,L$57),""))=2,IF(AND(RIGHT(IFERROR(INDEX(醫師週班表!$C$5:$T$44,$CU30,L$57),""),1)="~",L$58=1),"",LEFT(IFERROR(INDEX(醫師週班表!$C$5:$T$44,$CU30,L$57),""),1)),IFERROR(INDEX(醫師週班表!$C$5:$T$44,$CU30,L$57),""))))))</f>
        <v/>
      </c>
      <c r="M30" s="68">
        <f>IF(M$59="X","",IF(M$59&lt;&gt;"",M$59,IF(IFERROR(INDEX(醫師週班表!$C$5:$T$44,$CU30,M$57),"")=0,"",IF(LEN(IFERROR(INDEX(醫師週班表!$C$5:$T$44,$CU30,M$57),""))=4,MID(IFERROR(INDEX(醫師週班表!$C$5:$T$44,$CU30,M$57),""),1+M$58*2,1),IF(LEN(IFERROR(INDEX(醫師週班表!$C$5:$T$44,$CU30,M$57),""))=2,IF(AND(RIGHT(IFERROR(INDEX(醫師週班表!$C$5:$T$44,$CU30,M$57),""),1)="~",M$58=1),"",LEFT(IFERROR(INDEX(醫師週班表!$C$5:$T$44,$CU30,M$57),""),1)),IFERROR(INDEX(醫師週班表!$C$5:$T$44,$CU30,M$57),""))))))</f>
        <v/>
      </c>
      <c r="N30" s="67">
        <f>IF(N$59="X","",IF(N$59&lt;&gt;"",N$59,IF(IFERROR(INDEX(醫師週班表!$C$5:$T$44,$CU30,N$57),"")=0,"",IF(LEN(IFERROR(INDEX(醫師週班表!$C$5:$T$44,$CU30,N$57),""))=4,MID(IFERROR(INDEX(醫師週班表!$C$5:$T$44,$CU30,N$57),""),1+N$58*2,1),IF(LEN(IFERROR(INDEX(醫師週班表!$C$5:$T$44,$CU30,N$57),""))=2,IF(AND(RIGHT(IFERROR(INDEX(醫師週班表!$C$5:$T$44,$CU30,N$57),""),1)="~",N$58=1),"",LEFT(IFERROR(INDEX(醫師週班表!$C$5:$T$44,$CU30,N$57),""),1)),IFERROR(INDEX(醫師週班表!$C$5:$T$44,$CU30,N$57),""))))))</f>
        <v/>
      </c>
      <c r="O30" s="68">
        <f>IF(O$59="X","",IF(O$59&lt;&gt;"",O$59,IF(IFERROR(INDEX(醫師週班表!$C$5:$T$44,$CU30,O$57),"")=0,"",IF(LEN(IFERROR(INDEX(醫師週班表!$C$5:$T$44,$CU30,O$57),""))=4,MID(IFERROR(INDEX(醫師週班表!$C$5:$T$44,$CU30,O$57),""),1+O$58*2,1),IF(LEN(IFERROR(INDEX(醫師週班表!$C$5:$T$44,$CU30,O$57),""))=2,IF(AND(RIGHT(IFERROR(INDEX(醫師週班表!$C$5:$T$44,$CU30,O$57),""),1)="~",O$58=1),"",LEFT(IFERROR(INDEX(醫師週班表!$C$5:$T$44,$CU30,O$57),""),1)),IFERROR(INDEX(醫師週班表!$C$5:$T$44,$CU30,O$57),""))))))</f>
        <v/>
      </c>
      <c r="P30" s="68">
        <f>IF(P$59="X","",IF(P$59&lt;&gt;"",P$59,IF(IFERROR(INDEX(醫師週班表!$C$5:$T$44,$CU30,P$57),"")=0,"",IF(LEN(IFERROR(INDEX(醫師週班表!$C$5:$T$44,$CU30,P$57),""))=4,MID(IFERROR(INDEX(醫師週班表!$C$5:$T$44,$CU30,P$57),""),1+P$58*2,1),IF(LEN(IFERROR(INDEX(醫師週班表!$C$5:$T$44,$CU30,P$57),""))=2,IF(AND(RIGHT(IFERROR(INDEX(醫師週班表!$C$5:$T$44,$CU30,P$57),""),1)="~",P$58=1),"",LEFT(IFERROR(INDEX(醫師週班表!$C$5:$T$44,$CU30,P$57),""),1)),IFERROR(INDEX(醫師週班表!$C$5:$T$44,$CU30,P$57),""))))))</f>
        <v/>
      </c>
      <c r="Q30" s="67">
        <f>IF(Q$59="X","",IF(Q$59&lt;&gt;"",Q$59,IF(IFERROR(INDEX(醫師週班表!$C$5:$T$44,$CU30,Q$57),"")=0,"",IF(LEN(IFERROR(INDEX(醫師週班表!$C$5:$T$44,$CU30,Q$57),""))=4,MID(IFERROR(INDEX(醫師週班表!$C$5:$T$44,$CU30,Q$57),""),1+Q$58*2,1),IF(LEN(IFERROR(INDEX(醫師週班表!$C$5:$T$44,$CU30,Q$57),""))=2,IF(AND(RIGHT(IFERROR(INDEX(醫師週班表!$C$5:$T$44,$CU30,Q$57),""),1)="~",Q$58=1),"",LEFT(IFERROR(INDEX(醫師週班表!$C$5:$T$44,$CU30,Q$57),""),1)),IFERROR(INDEX(醫師週班表!$C$5:$T$44,$CU30,Q$57),""))))))</f>
        <v/>
      </c>
      <c r="R30" s="68">
        <f>IF(R$59="X","",IF(R$59&lt;&gt;"",R$59,IF(IFERROR(INDEX(醫師週班表!$C$5:$T$44,$CU30,R$57),"")=0,"",IF(LEN(IFERROR(INDEX(醫師週班表!$C$5:$T$44,$CU30,R$57),""))=4,MID(IFERROR(INDEX(醫師週班表!$C$5:$T$44,$CU30,R$57),""),1+R$58*2,1),IF(LEN(IFERROR(INDEX(醫師週班表!$C$5:$T$44,$CU30,R$57),""))=2,IF(AND(RIGHT(IFERROR(INDEX(醫師週班表!$C$5:$T$44,$CU30,R$57),""),1)="~",R$58=1),"",LEFT(IFERROR(INDEX(醫師週班表!$C$5:$T$44,$CU30,R$57),""),1)),IFERROR(INDEX(醫師週班表!$C$5:$T$44,$CU30,R$57),""))))))</f>
        <v/>
      </c>
      <c r="S30" s="68">
        <f>IF(S$59="X","",IF(S$59&lt;&gt;"",S$59,IF(IFERROR(INDEX(醫師週班表!$C$5:$T$44,$CU30,S$57),"")=0,"",IF(LEN(IFERROR(INDEX(醫師週班表!$C$5:$T$44,$CU30,S$57),""))=4,MID(IFERROR(INDEX(醫師週班表!$C$5:$T$44,$CU30,S$57),""),1+S$58*2,1),IF(LEN(IFERROR(INDEX(醫師週班表!$C$5:$T$44,$CU30,S$57),""))=2,IF(AND(RIGHT(IFERROR(INDEX(醫師週班表!$C$5:$T$44,$CU30,S$57),""),1)="~",S$58=1),"",LEFT(IFERROR(INDEX(醫師週班表!$C$5:$T$44,$CU30,S$57),""),1)),IFERROR(INDEX(醫師週班表!$C$5:$T$44,$CU30,S$57),""))))))</f>
        <v/>
      </c>
      <c r="T30" s="67">
        <f>IF(T$59="X","",IF(T$59&lt;&gt;"",T$59,IF(IFERROR(INDEX(醫師週班表!$C$5:$T$44,$CU30,T$57),"")=0,"",IF(LEN(IFERROR(INDEX(醫師週班表!$C$5:$T$44,$CU30,T$57),""))=4,MID(IFERROR(INDEX(醫師週班表!$C$5:$T$44,$CU30,T$57),""),1+T$58*2,1),IF(LEN(IFERROR(INDEX(醫師週班表!$C$5:$T$44,$CU30,T$57),""))=2,IF(AND(RIGHT(IFERROR(INDEX(醫師週班表!$C$5:$T$44,$CU30,T$57),""),1)="~",T$58=1),"",LEFT(IFERROR(INDEX(醫師週班表!$C$5:$T$44,$CU30,T$57),""),1)),IFERROR(INDEX(醫師週班表!$C$5:$T$44,$CU30,T$57),""))))))</f>
        <v/>
      </c>
      <c r="U30" s="68">
        <f>IF(U$59="X","",IF(U$59&lt;&gt;"",U$59,IF(IFERROR(INDEX(醫師週班表!$C$5:$T$44,$CU30,U$57),"")=0,"",IF(LEN(IFERROR(INDEX(醫師週班表!$C$5:$T$44,$CU30,U$57),""))=4,MID(IFERROR(INDEX(醫師週班表!$C$5:$T$44,$CU30,U$57),""),1+U$58*2,1),IF(LEN(IFERROR(INDEX(醫師週班表!$C$5:$T$44,$CU30,U$57),""))=2,IF(AND(RIGHT(IFERROR(INDEX(醫師週班表!$C$5:$T$44,$CU30,U$57),""),1)="~",U$58=1),"",LEFT(IFERROR(INDEX(醫師週班表!$C$5:$T$44,$CU30,U$57),""),1)),IFERROR(INDEX(醫師週班表!$C$5:$T$44,$CU30,U$57),""))))))</f>
        <v/>
      </c>
      <c r="V30" s="68">
        <f>IF(V$59="X","",IF(V$59&lt;&gt;"",V$59,IF(IFERROR(INDEX(醫師週班表!$C$5:$T$44,$CU30,V$57),"")=0,"",IF(LEN(IFERROR(INDEX(醫師週班表!$C$5:$T$44,$CU30,V$57),""))=4,MID(IFERROR(INDEX(醫師週班表!$C$5:$T$44,$CU30,V$57),""),1+V$58*2,1),IF(LEN(IFERROR(INDEX(醫師週班表!$C$5:$T$44,$CU30,V$57),""))=2,IF(AND(RIGHT(IFERROR(INDEX(醫師週班表!$C$5:$T$44,$CU30,V$57),""),1)="~",V$58=1),"",LEFT(IFERROR(INDEX(醫師週班表!$C$5:$T$44,$CU30,V$57),""),1)),IFERROR(INDEX(醫師週班表!$C$5:$T$44,$CU30,V$57),""))))))</f>
        <v/>
      </c>
      <c r="W30" s="67">
        <f>IF(W$59="X","",IF(W$59&lt;&gt;"",W$59,IF(IFERROR(INDEX(醫師週班表!$C$5:$T$44,$CU30,W$57),"")=0,"",IF(LEN(IFERROR(INDEX(醫師週班表!$C$5:$T$44,$CU30,W$57),""))=4,MID(IFERROR(INDEX(醫師週班表!$C$5:$T$44,$CU30,W$57),""),1+W$58*2,1),IF(LEN(IFERROR(INDEX(醫師週班表!$C$5:$T$44,$CU30,W$57),""))=2,IF(AND(RIGHT(IFERROR(INDEX(醫師週班表!$C$5:$T$44,$CU30,W$57),""),1)="~",W$58=1),"",LEFT(IFERROR(INDEX(醫師週班表!$C$5:$T$44,$CU30,W$57),""),1)),IFERROR(INDEX(醫師週班表!$C$5:$T$44,$CU30,W$57),""))))))</f>
        <v/>
      </c>
      <c r="X30" s="68">
        <f>IF(X$59="X","",IF(X$59&lt;&gt;"",X$59,IF(IFERROR(INDEX(醫師週班表!$C$5:$T$44,$CU30,X$57),"")=0,"",IF(LEN(IFERROR(INDEX(醫師週班表!$C$5:$T$44,$CU30,X$57),""))=4,MID(IFERROR(INDEX(醫師週班表!$C$5:$T$44,$CU30,X$57),""),1+X$58*2,1),IF(LEN(IFERROR(INDEX(醫師週班表!$C$5:$T$44,$CU30,X$57),""))=2,IF(AND(RIGHT(IFERROR(INDEX(醫師週班表!$C$5:$T$44,$CU30,X$57),""),1)="~",X$58=1),"",LEFT(IFERROR(INDEX(醫師週班表!$C$5:$T$44,$CU30,X$57),""),1)),IFERROR(INDEX(醫師週班表!$C$5:$T$44,$CU30,X$57),""))))))</f>
        <v/>
      </c>
      <c r="Y30" s="68">
        <f>IF(Y$59="X","",IF(Y$59&lt;&gt;"",Y$59,IF(IFERROR(INDEX(醫師週班表!$C$5:$T$44,$CU30,Y$57),"")=0,"",IF(LEN(IFERROR(INDEX(醫師週班表!$C$5:$T$44,$CU30,Y$57),""))=4,MID(IFERROR(INDEX(醫師週班表!$C$5:$T$44,$CU30,Y$57),""),1+Y$58*2,1),IF(LEN(IFERROR(INDEX(醫師週班表!$C$5:$T$44,$CU30,Y$57),""))=2,IF(AND(RIGHT(IFERROR(INDEX(醫師週班表!$C$5:$T$44,$CU30,Y$57),""),1)="~",Y$58=1),"",LEFT(IFERROR(INDEX(醫師週班表!$C$5:$T$44,$CU30,Y$57),""),1)),IFERROR(INDEX(醫師週班表!$C$5:$T$44,$CU30,Y$57),""))))))</f>
        <v/>
      </c>
      <c r="Z30" s="67">
        <f>IF(Z$59="X","",IF(Z$59&lt;&gt;"",Z$59,IF(IFERROR(INDEX(醫師週班表!$C$5:$T$44,$CU30,Z$57),"")=0,"",IF(LEN(IFERROR(INDEX(醫師週班表!$C$5:$T$44,$CU30,Z$57),""))=4,MID(IFERROR(INDEX(醫師週班表!$C$5:$T$44,$CU30,Z$57),""),1+Z$58*2,1),IF(LEN(IFERROR(INDEX(醫師週班表!$C$5:$T$44,$CU30,Z$57),""))=2,IF(AND(RIGHT(IFERROR(INDEX(醫師週班表!$C$5:$T$44,$CU30,Z$57),""),1)="~",Z$58=1),"",LEFT(IFERROR(INDEX(醫師週班表!$C$5:$T$44,$CU30,Z$57),""),1)),IFERROR(INDEX(醫師週班表!$C$5:$T$44,$CU30,Z$57),""))))))</f>
        <v/>
      </c>
      <c r="AA30" s="68">
        <f>IF(AA$59="X","",IF(AA$59&lt;&gt;"",AA$59,IF(IFERROR(INDEX(醫師週班表!$C$5:$T$44,$CU30,AA$57),"")=0,"",IF(LEN(IFERROR(INDEX(醫師週班表!$C$5:$T$44,$CU30,AA$57),""))=4,MID(IFERROR(INDEX(醫師週班表!$C$5:$T$44,$CU30,AA$57),""),1+AA$58*2,1),IF(LEN(IFERROR(INDEX(醫師週班表!$C$5:$T$44,$CU30,AA$57),""))=2,IF(AND(RIGHT(IFERROR(INDEX(醫師週班表!$C$5:$T$44,$CU30,AA$57),""),1)="~",AA$58=1),"",LEFT(IFERROR(INDEX(醫師週班表!$C$5:$T$44,$CU30,AA$57),""),1)),IFERROR(INDEX(醫師週班表!$C$5:$T$44,$CU30,AA$57),""))))))</f>
        <v/>
      </c>
      <c r="AB30" s="68">
        <f>IF(AB$59="X","",IF(AB$59&lt;&gt;"",AB$59,IF(IFERROR(INDEX(醫師週班表!$C$5:$T$44,$CU30,AB$57),"")=0,"",IF(LEN(IFERROR(INDEX(醫師週班表!$C$5:$T$44,$CU30,AB$57),""))=4,MID(IFERROR(INDEX(醫師週班表!$C$5:$T$44,$CU30,AB$57),""),1+AB$58*2,1),IF(LEN(IFERROR(INDEX(醫師週班表!$C$5:$T$44,$CU30,AB$57),""))=2,IF(AND(RIGHT(IFERROR(INDEX(醫師週班表!$C$5:$T$44,$CU30,AB$57),""),1)="~",AB$58=1),"",LEFT(IFERROR(INDEX(醫師週班表!$C$5:$T$44,$CU30,AB$57),""),1)),IFERROR(INDEX(醫師週班表!$C$5:$T$44,$CU30,AB$57),""))))))</f>
        <v/>
      </c>
      <c r="AC30" s="67">
        <f>IF(AC$59="X","",IF(AC$59&lt;&gt;"",AC$59,IF(IFERROR(INDEX(醫師週班表!$C$5:$T$44,$CU30,AC$57),"")=0,"",IF(LEN(IFERROR(INDEX(醫師週班表!$C$5:$T$44,$CU30,AC$57),""))=4,MID(IFERROR(INDEX(醫師週班表!$C$5:$T$44,$CU30,AC$57),""),1+AC$58*2,1),IF(LEN(IFERROR(INDEX(醫師週班表!$C$5:$T$44,$CU30,AC$57),""))=2,IF(AND(RIGHT(IFERROR(INDEX(醫師週班表!$C$5:$T$44,$CU30,AC$57),""),1)="~",AC$58=1),"",LEFT(IFERROR(INDEX(醫師週班表!$C$5:$T$44,$CU30,AC$57),""),1)),IFERROR(INDEX(醫師週班表!$C$5:$T$44,$CU30,AC$57),""))))))</f>
        <v/>
      </c>
      <c r="AD30" s="68">
        <f>IF(AD$59="X","",IF(AD$59&lt;&gt;"",AD$59,IF(IFERROR(INDEX(醫師週班表!$C$5:$T$44,$CU30,AD$57),"")=0,"",IF(LEN(IFERROR(INDEX(醫師週班表!$C$5:$T$44,$CU30,AD$57),""))=4,MID(IFERROR(INDEX(醫師週班表!$C$5:$T$44,$CU30,AD$57),""),1+AD$58*2,1),IF(LEN(IFERROR(INDEX(醫師週班表!$C$5:$T$44,$CU30,AD$57),""))=2,IF(AND(RIGHT(IFERROR(INDEX(醫師週班表!$C$5:$T$44,$CU30,AD$57),""),1)="~",AD$58=1),"",LEFT(IFERROR(INDEX(醫師週班表!$C$5:$T$44,$CU30,AD$57),""),1)),IFERROR(INDEX(醫師週班表!$C$5:$T$44,$CU30,AD$57),""))))))</f>
        <v/>
      </c>
      <c r="AE30" s="68">
        <f>IF(AE$59="X","",IF(AE$59&lt;&gt;"",AE$59,IF(IFERROR(INDEX(醫師週班表!$C$5:$T$44,$CU30,AE$57),"")=0,"",IF(LEN(IFERROR(INDEX(醫師週班表!$C$5:$T$44,$CU30,AE$57),""))=4,MID(IFERROR(INDEX(醫師週班表!$C$5:$T$44,$CU30,AE$57),""),1+AE$58*2,1),IF(LEN(IFERROR(INDEX(醫師週班表!$C$5:$T$44,$CU30,AE$57),""))=2,IF(AND(RIGHT(IFERROR(INDEX(醫師週班表!$C$5:$T$44,$CU30,AE$57),""),1)="~",AE$58=1),"",LEFT(IFERROR(INDEX(醫師週班表!$C$5:$T$44,$CU30,AE$57),""),1)),IFERROR(INDEX(醫師週班表!$C$5:$T$44,$CU30,AE$57),""))))))</f>
        <v/>
      </c>
      <c r="AF30" s="67">
        <f>IF(AF$59="X","",IF(AF$59&lt;&gt;"",AF$59,IF(IFERROR(INDEX(醫師週班表!$C$5:$T$44,$CU30,AF$57),"")=0,"",IF(LEN(IFERROR(INDEX(醫師週班表!$C$5:$T$44,$CU30,AF$57),""))=4,MID(IFERROR(INDEX(醫師週班表!$C$5:$T$44,$CU30,AF$57),""),1+AF$58*2,1),IF(LEN(IFERROR(INDEX(醫師週班表!$C$5:$T$44,$CU30,AF$57),""))=2,IF(AND(RIGHT(IFERROR(INDEX(醫師週班表!$C$5:$T$44,$CU30,AF$57),""),1)="~",AF$58=1),"",LEFT(IFERROR(INDEX(醫師週班表!$C$5:$T$44,$CU30,AF$57),""),1)),IFERROR(INDEX(醫師週班表!$C$5:$T$44,$CU30,AF$57),""))))))</f>
        <v/>
      </c>
      <c r="AG30" s="68">
        <f>IF(AG$59="X","",IF(AG$59&lt;&gt;"",AG$59,IF(IFERROR(INDEX(醫師週班表!$C$5:$T$44,$CU30,AG$57),"")=0,"",IF(LEN(IFERROR(INDEX(醫師週班表!$C$5:$T$44,$CU30,AG$57),""))=4,MID(IFERROR(INDEX(醫師週班表!$C$5:$T$44,$CU30,AG$57),""),1+AG$58*2,1),IF(LEN(IFERROR(INDEX(醫師週班表!$C$5:$T$44,$CU30,AG$57),""))=2,IF(AND(RIGHT(IFERROR(INDEX(醫師週班表!$C$5:$T$44,$CU30,AG$57),""),1)="~",AG$58=1),"",LEFT(IFERROR(INDEX(醫師週班表!$C$5:$T$44,$CU30,AG$57),""),1)),IFERROR(INDEX(醫師週班表!$C$5:$T$44,$CU30,AG$57),""))))))</f>
        <v/>
      </c>
      <c r="AH30" s="68">
        <f>IF(AH$59="X","",IF(AH$59&lt;&gt;"",AH$59,IF(IFERROR(INDEX(醫師週班表!$C$5:$T$44,$CU30,AH$57),"")=0,"",IF(LEN(IFERROR(INDEX(醫師週班表!$C$5:$T$44,$CU30,AH$57),""))=4,MID(IFERROR(INDEX(醫師週班表!$C$5:$T$44,$CU30,AH$57),""),1+AH$58*2,1),IF(LEN(IFERROR(INDEX(醫師週班表!$C$5:$T$44,$CU30,AH$57),""))=2,IF(AND(RIGHT(IFERROR(INDEX(醫師週班表!$C$5:$T$44,$CU30,AH$57),""),1)="~",AH$58=1),"",LEFT(IFERROR(INDEX(醫師週班表!$C$5:$T$44,$CU30,AH$57),""),1)),IFERROR(INDEX(醫師週班表!$C$5:$T$44,$CU30,AH$57),""))))))</f>
        <v/>
      </c>
      <c r="AI30" s="67">
        <f>IF(AI$59="X","",IF(AI$59&lt;&gt;"",AI$59,IF(IFERROR(INDEX(醫師週班表!$C$5:$T$44,$CU30,AI$57),"")=0,"",IF(LEN(IFERROR(INDEX(醫師週班表!$C$5:$T$44,$CU30,AI$57),""))=4,MID(IFERROR(INDEX(醫師週班表!$C$5:$T$44,$CU30,AI$57),""),1+AI$58*2,1),IF(LEN(IFERROR(INDEX(醫師週班表!$C$5:$T$44,$CU30,AI$57),""))=2,IF(AND(RIGHT(IFERROR(INDEX(醫師週班表!$C$5:$T$44,$CU30,AI$57),""),1)="~",AI$58=1),"",LEFT(IFERROR(INDEX(醫師週班表!$C$5:$T$44,$CU30,AI$57),""),1)),IFERROR(INDEX(醫師週班表!$C$5:$T$44,$CU30,AI$57),""))))))</f>
        <v/>
      </c>
      <c r="AJ30" s="68">
        <f>IF(AJ$59="X","",IF(AJ$59&lt;&gt;"",AJ$59,IF(IFERROR(INDEX(醫師週班表!$C$5:$T$44,$CU30,AJ$57),"")=0,"",IF(LEN(IFERROR(INDEX(醫師週班表!$C$5:$T$44,$CU30,AJ$57),""))=4,MID(IFERROR(INDEX(醫師週班表!$C$5:$T$44,$CU30,AJ$57),""),1+AJ$58*2,1),IF(LEN(IFERROR(INDEX(醫師週班表!$C$5:$T$44,$CU30,AJ$57),""))=2,IF(AND(RIGHT(IFERROR(INDEX(醫師週班表!$C$5:$T$44,$CU30,AJ$57),""),1)="~",AJ$58=1),"",LEFT(IFERROR(INDEX(醫師週班表!$C$5:$T$44,$CU30,AJ$57),""),1)),IFERROR(INDEX(醫師週班表!$C$5:$T$44,$CU30,AJ$57),""))))))</f>
        <v/>
      </c>
      <c r="AK30" s="68">
        <f>IF(AK$59="X","",IF(AK$59&lt;&gt;"",AK$59,IF(IFERROR(INDEX(醫師週班表!$C$5:$T$44,$CU30,AK$57),"")=0,"",IF(LEN(IFERROR(INDEX(醫師週班表!$C$5:$T$44,$CU30,AK$57),""))=4,MID(IFERROR(INDEX(醫師週班表!$C$5:$T$44,$CU30,AK$57),""),1+AK$58*2,1),IF(LEN(IFERROR(INDEX(醫師週班表!$C$5:$T$44,$CU30,AK$57),""))=2,IF(AND(RIGHT(IFERROR(INDEX(醫師週班表!$C$5:$T$44,$CU30,AK$57),""),1)="~",AK$58=1),"",LEFT(IFERROR(INDEX(醫師週班表!$C$5:$T$44,$CU30,AK$57),""),1)),IFERROR(INDEX(醫師週班表!$C$5:$T$44,$CU30,AK$57),""))))))</f>
        <v/>
      </c>
      <c r="AL30" s="67">
        <f>IF(AL$59="X","",IF(AL$59&lt;&gt;"",AL$59,IF(IFERROR(INDEX(醫師週班表!$C$5:$T$44,$CU30,AL$57),"")=0,"",IF(LEN(IFERROR(INDEX(醫師週班表!$C$5:$T$44,$CU30,AL$57),""))=4,MID(IFERROR(INDEX(醫師週班表!$C$5:$T$44,$CU30,AL$57),""),1+AL$58*2,1),IF(LEN(IFERROR(INDEX(醫師週班表!$C$5:$T$44,$CU30,AL$57),""))=2,IF(AND(RIGHT(IFERROR(INDEX(醫師週班表!$C$5:$T$44,$CU30,AL$57),""),1)="~",AL$58=1),"",LEFT(IFERROR(INDEX(醫師週班表!$C$5:$T$44,$CU30,AL$57),""),1)),IFERROR(INDEX(醫師週班表!$C$5:$T$44,$CU30,AL$57),""))))))</f>
        <v/>
      </c>
      <c r="AM30" s="68">
        <f>IF(AM$59="X","",IF(AM$59&lt;&gt;"",AM$59,IF(IFERROR(INDEX(醫師週班表!$C$5:$T$44,$CU30,AM$57),"")=0,"",IF(LEN(IFERROR(INDEX(醫師週班表!$C$5:$T$44,$CU30,AM$57),""))=4,MID(IFERROR(INDEX(醫師週班表!$C$5:$T$44,$CU30,AM$57),""),1+AM$58*2,1),IF(LEN(IFERROR(INDEX(醫師週班表!$C$5:$T$44,$CU30,AM$57),""))=2,IF(AND(RIGHT(IFERROR(INDEX(醫師週班表!$C$5:$T$44,$CU30,AM$57),""),1)="~",AM$58=1),"",LEFT(IFERROR(INDEX(醫師週班表!$C$5:$T$44,$CU30,AM$57),""),1)),IFERROR(INDEX(醫師週班表!$C$5:$T$44,$CU30,AM$57),""))))))</f>
        <v/>
      </c>
      <c r="AN30" s="68">
        <f>IF(AN$59="X","",IF(AN$59&lt;&gt;"",AN$59,IF(IFERROR(INDEX(醫師週班表!$C$5:$T$44,$CU30,AN$57),"")=0,"",IF(LEN(IFERROR(INDEX(醫師週班表!$C$5:$T$44,$CU30,AN$57),""))=4,MID(IFERROR(INDEX(醫師週班表!$C$5:$T$44,$CU30,AN$57),""),1+AN$58*2,1),IF(LEN(IFERROR(INDEX(醫師週班表!$C$5:$T$44,$CU30,AN$57),""))=2,IF(AND(RIGHT(IFERROR(INDEX(醫師週班表!$C$5:$T$44,$CU30,AN$57),""),1)="~",AN$58=1),"",LEFT(IFERROR(INDEX(醫師週班表!$C$5:$T$44,$CU30,AN$57),""),1)),IFERROR(INDEX(醫師週班表!$C$5:$T$44,$CU30,AN$57),""))))))</f>
        <v/>
      </c>
      <c r="AO30" s="67">
        <f>IF(AO$59="X","",IF(AO$59&lt;&gt;"",AO$59,IF(IFERROR(INDEX(醫師週班表!$C$5:$T$44,$CU30,AO$57),"")=0,"",IF(LEN(IFERROR(INDEX(醫師週班表!$C$5:$T$44,$CU30,AO$57),""))=4,MID(IFERROR(INDEX(醫師週班表!$C$5:$T$44,$CU30,AO$57),""),1+AO$58*2,1),IF(LEN(IFERROR(INDEX(醫師週班表!$C$5:$T$44,$CU30,AO$57),""))=2,IF(AND(RIGHT(IFERROR(INDEX(醫師週班表!$C$5:$T$44,$CU30,AO$57),""),1)="~",AO$58=1),"",LEFT(IFERROR(INDEX(醫師週班表!$C$5:$T$44,$CU30,AO$57),""),1)),IFERROR(INDEX(醫師週班表!$C$5:$T$44,$CU30,AO$57),""))))))</f>
        <v/>
      </c>
      <c r="AP30" s="68">
        <f>IF(AP$59="X","",IF(AP$59&lt;&gt;"",AP$59,IF(IFERROR(INDEX(醫師週班表!$C$5:$T$44,$CU30,AP$57),"")=0,"",IF(LEN(IFERROR(INDEX(醫師週班表!$C$5:$T$44,$CU30,AP$57),""))=4,MID(IFERROR(INDEX(醫師週班表!$C$5:$T$44,$CU30,AP$57),""),1+AP$58*2,1),IF(LEN(IFERROR(INDEX(醫師週班表!$C$5:$T$44,$CU30,AP$57),""))=2,IF(AND(RIGHT(IFERROR(INDEX(醫師週班表!$C$5:$T$44,$CU30,AP$57),""),1)="~",AP$58=1),"",LEFT(IFERROR(INDEX(醫師週班表!$C$5:$T$44,$CU30,AP$57),""),1)),IFERROR(INDEX(醫師週班表!$C$5:$T$44,$CU30,AP$57),""))))))</f>
        <v/>
      </c>
      <c r="AQ30" s="68">
        <f>IF(AQ$59="X","",IF(AQ$59&lt;&gt;"",AQ$59,IF(IFERROR(INDEX(醫師週班表!$C$5:$T$44,$CU30,AQ$57),"")=0,"",IF(LEN(IFERROR(INDEX(醫師週班表!$C$5:$T$44,$CU30,AQ$57),""))=4,MID(IFERROR(INDEX(醫師週班表!$C$5:$T$44,$CU30,AQ$57),""),1+AQ$58*2,1),IF(LEN(IFERROR(INDEX(醫師週班表!$C$5:$T$44,$CU30,AQ$57),""))=2,IF(AND(RIGHT(IFERROR(INDEX(醫師週班表!$C$5:$T$44,$CU30,AQ$57),""),1)="~",AQ$58=1),"",LEFT(IFERROR(INDEX(醫師週班表!$C$5:$T$44,$CU30,AQ$57),""),1)),IFERROR(INDEX(醫師週班表!$C$5:$T$44,$CU30,AQ$57),""))))))</f>
        <v/>
      </c>
      <c r="AR30" s="67">
        <f>IF(AR$59="X","",IF(AR$59&lt;&gt;"",AR$59,IF(IFERROR(INDEX(醫師週班表!$C$5:$T$44,$CU30,AR$57),"")=0,"",IF(LEN(IFERROR(INDEX(醫師週班表!$C$5:$T$44,$CU30,AR$57),""))=4,MID(IFERROR(INDEX(醫師週班表!$C$5:$T$44,$CU30,AR$57),""),1+AR$58*2,1),IF(LEN(IFERROR(INDEX(醫師週班表!$C$5:$T$44,$CU30,AR$57),""))=2,IF(AND(RIGHT(IFERROR(INDEX(醫師週班表!$C$5:$T$44,$CU30,AR$57),""),1)="~",AR$58=1),"",LEFT(IFERROR(INDEX(醫師週班表!$C$5:$T$44,$CU30,AR$57),""),1)),IFERROR(INDEX(醫師週班表!$C$5:$T$44,$CU30,AR$57),""))))))</f>
        <v/>
      </c>
      <c r="AS30" s="68">
        <f>IF(AS$59="X","",IF(AS$59&lt;&gt;"",AS$59,IF(IFERROR(INDEX(醫師週班表!$C$5:$T$44,$CU30,AS$57),"")=0,"",IF(LEN(IFERROR(INDEX(醫師週班表!$C$5:$T$44,$CU30,AS$57),""))=4,MID(IFERROR(INDEX(醫師週班表!$C$5:$T$44,$CU30,AS$57),""),1+AS$58*2,1),IF(LEN(IFERROR(INDEX(醫師週班表!$C$5:$T$44,$CU30,AS$57),""))=2,IF(AND(RIGHT(IFERROR(INDEX(醫師週班表!$C$5:$T$44,$CU30,AS$57),""),1)="~",AS$58=1),"",LEFT(IFERROR(INDEX(醫師週班表!$C$5:$T$44,$CU30,AS$57),""),1)),IFERROR(INDEX(醫師週班表!$C$5:$T$44,$CU30,AS$57),""))))))</f>
        <v/>
      </c>
      <c r="AT30" s="68">
        <f>IF(AT$59="X","",IF(AT$59&lt;&gt;"",AT$59,IF(IFERROR(INDEX(醫師週班表!$C$5:$T$44,$CU30,AT$57),"")=0,"",IF(LEN(IFERROR(INDEX(醫師週班表!$C$5:$T$44,$CU30,AT$57),""))=4,MID(IFERROR(INDEX(醫師週班表!$C$5:$T$44,$CU30,AT$57),""),1+AT$58*2,1),IF(LEN(IFERROR(INDEX(醫師週班表!$C$5:$T$44,$CU30,AT$57),""))=2,IF(AND(RIGHT(IFERROR(INDEX(醫師週班表!$C$5:$T$44,$CU30,AT$57),""),1)="~",AT$58=1),"",LEFT(IFERROR(INDEX(醫師週班表!$C$5:$T$44,$CU30,AT$57),""),1)),IFERROR(INDEX(醫師週班表!$C$5:$T$44,$CU30,AT$57),""))))))</f>
        <v/>
      </c>
      <c r="AU30" s="67">
        <f>IF(AU$59="X","",IF(AU$59&lt;&gt;"",AU$59,IF(IFERROR(INDEX(醫師週班表!$C$5:$T$44,$CU30,AU$57),"")=0,"",IF(LEN(IFERROR(INDEX(醫師週班表!$C$5:$T$44,$CU30,AU$57),""))=4,MID(IFERROR(INDEX(醫師週班表!$C$5:$T$44,$CU30,AU$57),""),1+AU$58*2,1),IF(LEN(IFERROR(INDEX(醫師週班表!$C$5:$T$44,$CU30,AU$57),""))=2,IF(AND(RIGHT(IFERROR(INDEX(醫師週班表!$C$5:$T$44,$CU30,AU$57),""),1)="~",AU$58=1),"",LEFT(IFERROR(INDEX(醫師週班表!$C$5:$T$44,$CU30,AU$57),""),1)),IFERROR(INDEX(醫師週班表!$C$5:$T$44,$CU30,AU$57),""))))))</f>
        <v/>
      </c>
      <c r="AV30" s="68">
        <f>IF(AV$59="X","",IF(AV$59&lt;&gt;"",AV$59,IF(IFERROR(INDEX(醫師週班表!$C$5:$T$44,$CU30,AV$57),"")=0,"",IF(LEN(IFERROR(INDEX(醫師週班表!$C$5:$T$44,$CU30,AV$57),""))=4,MID(IFERROR(INDEX(醫師週班表!$C$5:$T$44,$CU30,AV$57),""),1+AV$58*2,1),IF(LEN(IFERROR(INDEX(醫師週班表!$C$5:$T$44,$CU30,AV$57),""))=2,IF(AND(RIGHT(IFERROR(INDEX(醫師週班表!$C$5:$T$44,$CU30,AV$57),""),1)="~",AV$58=1),"",LEFT(IFERROR(INDEX(醫師週班表!$C$5:$T$44,$CU30,AV$57),""),1)),IFERROR(INDEX(醫師週班表!$C$5:$T$44,$CU30,AV$57),""))))))</f>
        <v/>
      </c>
      <c r="AW30" s="68">
        <f>IF(AW$59="X","",IF(AW$59&lt;&gt;"",AW$59,IF(IFERROR(INDEX(醫師週班表!$C$5:$T$44,$CU30,AW$57),"")=0,"",IF(LEN(IFERROR(INDEX(醫師週班表!$C$5:$T$44,$CU30,AW$57),""))=4,MID(IFERROR(INDEX(醫師週班表!$C$5:$T$44,$CU30,AW$57),""),1+AW$58*2,1),IF(LEN(IFERROR(INDEX(醫師週班表!$C$5:$T$44,$CU30,AW$57),""))=2,IF(AND(RIGHT(IFERROR(INDEX(醫師週班表!$C$5:$T$44,$CU30,AW$57),""),1)="~",AW$58=1),"",LEFT(IFERROR(INDEX(醫師週班表!$C$5:$T$44,$CU30,AW$57),""),1)),IFERROR(INDEX(醫師週班表!$C$5:$T$44,$CU30,AW$57),""))))))</f>
        <v/>
      </c>
      <c r="AX30" s="67">
        <f>IF(AX$59="X","",IF(AX$59&lt;&gt;"",AX$59,IF(IFERROR(INDEX(醫師週班表!$C$5:$T$44,$CU30,AX$57),"")=0,"",IF(LEN(IFERROR(INDEX(醫師週班表!$C$5:$T$44,$CU30,AX$57),""))=4,MID(IFERROR(INDEX(醫師週班表!$C$5:$T$44,$CU30,AX$57),""),1+AX$58*2,1),IF(LEN(IFERROR(INDEX(醫師週班表!$C$5:$T$44,$CU30,AX$57),""))=2,IF(AND(RIGHT(IFERROR(INDEX(醫師週班表!$C$5:$T$44,$CU30,AX$57),""),1)="~",AX$58=1),"",LEFT(IFERROR(INDEX(醫師週班表!$C$5:$T$44,$CU30,AX$57),""),1)),IFERROR(INDEX(醫師週班表!$C$5:$T$44,$CU30,AX$57),""))))))</f>
        <v/>
      </c>
      <c r="AY30" s="68">
        <f>IF(AY$59="X","",IF(AY$59&lt;&gt;"",AY$59,IF(IFERROR(INDEX(醫師週班表!$C$5:$T$44,$CU30,AY$57),"")=0,"",IF(LEN(IFERROR(INDEX(醫師週班表!$C$5:$T$44,$CU30,AY$57),""))=4,MID(IFERROR(INDEX(醫師週班表!$C$5:$T$44,$CU30,AY$57),""),1+AY$58*2,1),IF(LEN(IFERROR(INDEX(醫師週班表!$C$5:$T$44,$CU30,AY$57),""))=2,IF(AND(RIGHT(IFERROR(INDEX(醫師週班表!$C$5:$T$44,$CU30,AY$57),""),1)="~",AY$58=1),"",LEFT(IFERROR(INDEX(醫師週班表!$C$5:$T$44,$CU30,AY$57),""),1)),IFERROR(INDEX(醫師週班表!$C$5:$T$44,$CU30,AY$57),""))))))</f>
        <v/>
      </c>
      <c r="AZ30" s="68">
        <f>IF(AZ$59="X","",IF(AZ$59&lt;&gt;"",AZ$59,IF(IFERROR(INDEX(醫師週班表!$C$5:$T$44,$CU30,AZ$57),"")=0,"",IF(LEN(IFERROR(INDEX(醫師週班表!$C$5:$T$44,$CU30,AZ$57),""))=4,MID(IFERROR(INDEX(醫師週班表!$C$5:$T$44,$CU30,AZ$57),""),1+AZ$58*2,1),IF(LEN(IFERROR(INDEX(醫師週班表!$C$5:$T$44,$CU30,AZ$57),""))=2,IF(AND(RIGHT(IFERROR(INDEX(醫師週班表!$C$5:$T$44,$CU30,AZ$57),""),1)="~",AZ$58=1),"",LEFT(IFERROR(INDEX(醫師週班表!$C$5:$T$44,$CU30,AZ$57),""),1)),IFERROR(INDEX(醫師週班表!$C$5:$T$44,$CU30,AZ$57),""))))))</f>
        <v/>
      </c>
      <c r="BA30" s="67">
        <f>IF(BA$59="X","",IF(BA$59&lt;&gt;"",BA$59,IF(IFERROR(INDEX(醫師週班表!$C$5:$T$44,$CU30,BA$57),"")=0,"",IF(LEN(IFERROR(INDEX(醫師週班表!$C$5:$T$44,$CU30,BA$57),""))=4,MID(IFERROR(INDEX(醫師週班表!$C$5:$T$44,$CU30,BA$57),""),1+BA$58*2,1),IF(LEN(IFERROR(INDEX(醫師週班表!$C$5:$T$44,$CU30,BA$57),""))=2,IF(AND(RIGHT(IFERROR(INDEX(醫師週班表!$C$5:$T$44,$CU30,BA$57),""),1)="~",BA$58=1),"",LEFT(IFERROR(INDEX(醫師週班表!$C$5:$T$44,$CU30,BA$57),""),1)),IFERROR(INDEX(醫師週班表!$C$5:$T$44,$CU30,BA$57),""))))))</f>
        <v/>
      </c>
      <c r="BB30" s="68">
        <f>IF(BB$59="X","",IF(BB$59&lt;&gt;"",BB$59,IF(IFERROR(INDEX(醫師週班表!$C$5:$T$44,$CU30,BB$57),"")=0,"",IF(LEN(IFERROR(INDEX(醫師週班表!$C$5:$T$44,$CU30,BB$57),""))=4,MID(IFERROR(INDEX(醫師週班表!$C$5:$T$44,$CU30,BB$57),""),1+BB$58*2,1),IF(LEN(IFERROR(INDEX(醫師週班表!$C$5:$T$44,$CU30,BB$57),""))=2,IF(AND(RIGHT(IFERROR(INDEX(醫師週班表!$C$5:$T$44,$CU30,BB$57),""),1)="~",BB$58=1),"",LEFT(IFERROR(INDEX(醫師週班表!$C$5:$T$44,$CU30,BB$57),""),1)),IFERROR(INDEX(醫師週班表!$C$5:$T$44,$CU30,BB$57),""))))))</f>
        <v/>
      </c>
      <c r="BC30" s="68">
        <f>IF(BC$59="X","",IF(BC$59&lt;&gt;"",BC$59,IF(IFERROR(INDEX(醫師週班表!$C$5:$T$44,$CU30,BC$57),"")=0,"",IF(LEN(IFERROR(INDEX(醫師週班表!$C$5:$T$44,$CU30,BC$57),""))=4,MID(IFERROR(INDEX(醫師週班表!$C$5:$T$44,$CU30,BC$57),""),1+BC$58*2,1),IF(LEN(IFERROR(INDEX(醫師週班表!$C$5:$T$44,$CU30,BC$57),""))=2,IF(AND(RIGHT(IFERROR(INDEX(醫師週班表!$C$5:$T$44,$CU30,BC$57),""),1)="~",BC$58=1),"",LEFT(IFERROR(INDEX(醫師週班表!$C$5:$T$44,$CU30,BC$57),""),1)),IFERROR(INDEX(醫師週班表!$C$5:$T$44,$CU30,BC$57),""))))))</f>
        <v/>
      </c>
      <c r="BD30" s="67">
        <f>IF(BD$59="X","",IF(BD$59&lt;&gt;"",BD$59,IF(IFERROR(INDEX(醫師週班表!$C$5:$T$44,$CU30,BD$57),"")=0,"",IF(LEN(IFERROR(INDEX(醫師週班表!$C$5:$T$44,$CU30,BD$57),""))=4,MID(IFERROR(INDEX(醫師週班表!$C$5:$T$44,$CU30,BD$57),""),1+BD$58*2,1),IF(LEN(IFERROR(INDEX(醫師週班表!$C$5:$T$44,$CU30,BD$57),""))=2,IF(AND(RIGHT(IFERROR(INDEX(醫師週班表!$C$5:$T$44,$CU30,BD$57),""),1)="~",BD$58=1),"",LEFT(IFERROR(INDEX(醫師週班表!$C$5:$T$44,$CU30,BD$57),""),1)),IFERROR(INDEX(醫師週班表!$C$5:$T$44,$CU30,BD$57),""))))))</f>
        <v/>
      </c>
      <c r="BE30" s="68">
        <f>IF(BE$59="X","",IF(BE$59&lt;&gt;"",BE$59,IF(IFERROR(INDEX(醫師週班表!$C$5:$T$44,$CU30,BE$57),"")=0,"",IF(LEN(IFERROR(INDEX(醫師週班表!$C$5:$T$44,$CU30,BE$57),""))=4,MID(IFERROR(INDEX(醫師週班表!$C$5:$T$44,$CU30,BE$57),""),1+BE$58*2,1),IF(LEN(IFERROR(INDEX(醫師週班表!$C$5:$T$44,$CU30,BE$57),""))=2,IF(AND(RIGHT(IFERROR(INDEX(醫師週班表!$C$5:$T$44,$CU30,BE$57),""),1)="~",BE$58=1),"",LEFT(IFERROR(INDEX(醫師週班表!$C$5:$T$44,$CU30,BE$57),""),1)),IFERROR(INDEX(醫師週班表!$C$5:$T$44,$CU30,BE$57),""))))))</f>
        <v/>
      </c>
      <c r="BF30" s="68">
        <f>IF(BF$59="X","",IF(BF$59&lt;&gt;"",BF$59,IF(IFERROR(INDEX(醫師週班表!$C$5:$T$44,$CU30,BF$57),"")=0,"",IF(LEN(IFERROR(INDEX(醫師週班表!$C$5:$T$44,$CU30,BF$57),""))=4,MID(IFERROR(INDEX(醫師週班表!$C$5:$T$44,$CU30,BF$57),""),1+BF$58*2,1),IF(LEN(IFERROR(INDEX(醫師週班表!$C$5:$T$44,$CU30,BF$57),""))=2,IF(AND(RIGHT(IFERROR(INDEX(醫師週班表!$C$5:$T$44,$CU30,BF$57),""),1)="~",BF$58=1),"",LEFT(IFERROR(INDEX(醫師週班表!$C$5:$T$44,$CU30,BF$57),""),1)),IFERROR(INDEX(醫師週班表!$C$5:$T$44,$CU30,BF$57),""))))))</f>
        <v/>
      </c>
      <c r="BG30" s="67">
        <f>IF(BG$59="X","",IF(BG$59&lt;&gt;"",BG$59,IF(IFERROR(INDEX(醫師週班表!$C$5:$T$44,$CU30,BG$57),"")=0,"",IF(LEN(IFERROR(INDEX(醫師週班表!$C$5:$T$44,$CU30,BG$57),""))=4,MID(IFERROR(INDEX(醫師週班表!$C$5:$T$44,$CU30,BG$57),""),1+BG$58*2,1),IF(LEN(IFERROR(INDEX(醫師週班表!$C$5:$T$44,$CU30,BG$57),""))=2,IF(AND(RIGHT(IFERROR(INDEX(醫師週班表!$C$5:$T$44,$CU30,BG$57),""),1)="~",BG$58=1),"",LEFT(IFERROR(INDEX(醫師週班表!$C$5:$T$44,$CU30,BG$57),""),1)),IFERROR(INDEX(醫師週班表!$C$5:$T$44,$CU30,BG$57),""))))))</f>
        <v/>
      </c>
      <c r="BH30" s="68">
        <f>IF(BH$59="X","",IF(BH$59&lt;&gt;"",BH$59,IF(IFERROR(INDEX(醫師週班表!$C$5:$T$44,$CU30,BH$57),"")=0,"",IF(LEN(IFERROR(INDEX(醫師週班表!$C$5:$T$44,$CU30,BH$57),""))=4,MID(IFERROR(INDEX(醫師週班表!$C$5:$T$44,$CU30,BH$57),""),1+BH$58*2,1),IF(LEN(IFERROR(INDEX(醫師週班表!$C$5:$T$44,$CU30,BH$57),""))=2,IF(AND(RIGHT(IFERROR(INDEX(醫師週班表!$C$5:$T$44,$CU30,BH$57),""),1)="~",BH$58=1),"",LEFT(IFERROR(INDEX(醫師週班表!$C$5:$T$44,$CU30,BH$57),""),1)),IFERROR(INDEX(醫師週班表!$C$5:$T$44,$CU30,BH$57),""))))))</f>
        <v/>
      </c>
      <c r="BI30" s="68">
        <f>IF(BI$59="X","",IF(BI$59&lt;&gt;"",BI$59,IF(IFERROR(INDEX(醫師週班表!$C$5:$T$44,$CU30,BI$57),"")=0,"",IF(LEN(IFERROR(INDEX(醫師週班表!$C$5:$T$44,$CU30,BI$57),""))=4,MID(IFERROR(INDEX(醫師週班表!$C$5:$T$44,$CU30,BI$57),""),1+BI$58*2,1),IF(LEN(IFERROR(INDEX(醫師週班表!$C$5:$T$44,$CU30,BI$57),""))=2,IF(AND(RIGHT(IFERROR(INDEX(醫師週班表!$C$5:$T$44,$CU30,BI$57),""),1)="~",BI$58=1),"",LEFT(IFERROR(INDEX(醫師週班表!$C$5:$T$44,$CU30,BI$57),""),1)),IFERROR(INDEX(醫師週班表!$C$5:$T$44,$CU30,BI$57),""))))))</f>
        <v/>
      </c>
      <c r="BJ30" s="67">
        <f>IF(BJ$59="X","",IF(BJ$59&lt;&gt;"",BJ$59,IF(IFERROR(INDEX(醫師週班表!$C$5:$T$44,$CU30,BJ$57),"")=0,"",IF(LEN(IFERROR(INDEX(醫師週班表!$C$5:$T$44,$CU30,BJ$57),""))=4,MID(IFERROR(INDEX(醫師週班表!$C$5:$T$44,$CU30,BJ$57),""),1+BJ$58*2,1),IF(LEN(IFERROR(INDEX(醫師週班表!$C$5:$T$44,$CU30,BJ$57),""))=2,IF(AND(RIGHT(IFERROR(INDEX(醫師週班表!$C$5:$T$44,$CU30,BJ$57),""),1)="~",BJ$58=1),"",LEFT(IFERROR(INDEX(醫師週班表!$C$5:$T$44,$CU30,BJ$57),""),1)),IFERROR(INDEX(醫師週班表!$C$5:$T$44,$CU30,BJ$57),""))))))</f>
        <v/>
      </c>
      <c r="BK30" s="68">
        <f>IF(BK$59="X","",IF(BK$59&lt;&gt;"",BK$59,IF(IFERROR(INDEX(醫師週班表!$C$5:$T$44,$CU30,BK$57),"")=0,"",IF(LEN(IFERROR(INDEX(醫師週班表!$C$5:$T$44,$CU30,BK$57),""))=4,MID(IFERROR(INDEX(醫師週班表!$C$5:$T$44,$CU30,BK$57),""),1+BK$58*2,1),IF(LEN(IFERROR(INDEX(醫師週班表!$C$5:$T$44,$CU30,BK$57),""))=2,IF(AND(RIGHT(IFERROR(INDEX(醫師週班表!$C$5:$T$44,$CU30,BK$57),""),1)="~",BK$58=1),"",LEFT(IFERROR(INDEX(醫師週班表!$C$5:$T$44,$CU30,BK$57),""),1)),IFERROR(INDEX(醫師週班表!$C$5:$T$44,$CU30,BK$57),""))))))</f>
        <v/>
      </c>
      <c r="BL30" s="68">
        <f>IF(BL$59="X","",IF(BL$59&lt;&gt;"",BL$59,IF(IFERROR(INDEX(醫師週班表!$C$5:$T$44,$CU30,BL$57),"")=0,"",IF(LEN(IFERROR(INDEX(醫師週班表!$C$5:$T$44,$CU30,BL$57),""))=4,MID(IFERROR(INDEX(醫師週班表!$C$5:$T$44,$CU30,BL$57),""),1+BL$58*2,1),IF(LEN(IFERROR(INDEX(醫師週班表!$C$5:$T$44,$CU30,BL$57),""))=2,IF(AND(RIGHT(IFERROR(INDEX(醫師週班表!$C$5:$T$44,$CU30,BL$57),""),1)="~",BL$58=1),"",LEFT(IFERROR(INDEX(醫師週班表!$C$5:$T$44,$CU30,BL$57),""),1)),IFERROR(INDEX(醫師週班表!$C$5:$T$44,$CU30,BL$57),""))))))</f>
        <v/>
      </c>
      <c r="BM30" s="67">
        <f>IF(BM$59="X","",IF(BM$59&lt;&gt;"",BM$59,IF(IFERROR(INDEX(醫師週班表!$C$5:$T$44,$CU30,BM$57),"")=0,"",IF(LEN(IFERROR(INDEX(醫師週班表!$C$5:$T$44,$CU30,BM$57),""))=4,MID(IFERROR(INDEX(醫師週班表!$C$5:$T$44,$CU30,BM$57),""),1+BM$58*2,1),IF(LEN(IFERROR(INDEX(醫師週班表!$C$5:$T$44,$CU30,BM$57),""))=2,IF(AND(RIGHT(IFERROR(INDEX(醫師週班表!$C$5:$T$44,$CU30,BM$57),""),1)="~",BM$58=1),"",LEFT(IFERROR(INDEX(醫師週班表!$C$5:$T$44,$CU30,BM$57),""),1)),IFERROR(INDEX(醫師週班表!$C$5:$T$44,$CU30,BM$57),""))))))</f>
        <v/>
      </c>
      <c r="BN30" s="68">
        <f>IF(BN$59="X","",IF(BN$59&lt;&gt;"",BN$59,IF(IFERROR(INDEX(醫師週班表!$C$5:$T$44,$CU30,BN$57),"")=0,"",IF(LEN(IFERROR(INDEX(醫師週班表!$C$5:$T$44,$CU30,BN$57),""))=4,MID(IFERROR(INDEX(醫師週班表!$C$5:$T$44,$CU30,BN$57),""),1+BN$58*2,1),IF(LEN(IFERROR(INDEX(醫師週班表!$C$5:$T$44,$CU30,BN$57),""))=2,IF(AND(RIGHT(IFERROR(INDEX(醫師週班表!$C$5:$T$44,$CU30,BN$57),""),1)="~",BN$58=1),"",LEFT(IFERROR(INDEX(醫師週班表!$C$5:$T$44,$CU30,BN$57),""),1)),IFERROR(INDEX(醫師週班表!$C$5:$T$44,$CU30,BN$57),""))))))</f>
        <v/>
      </c>
      <c r="BO30" s="68">
        <f>IF(BO$59="X","",IF(BO$59&lt;&gt;"",BO$59,IF(IFERROR(INDEX(醫師週班表!$C$5:$T$44,$CU30,BO$57),"")=0,"",IF(LEN(IFERROR(INDEX(醫師週班表!$C$5:$T$44,$CU30,BO$57),""))=4,MID(IFERROR(INDEX(醫師週班表!$C$5:$T$44,$CU30,BO$57),""),1+BO$58*2,1),IF(LEN(IFERROR(INDEX(醫師週班表!$C$5:$T$44,$CU30,BO$57),""))=2,IF(AND(RIGHT(IFERROR(INDEX(醫師週班表!$C$5:$T$44,$CU30,BO$57),""),1)="~",BO$58=1),"",LEFT(IFERROR(INDEX(醫師週班表!$C$5:$T$44,$CU30,BO$57),""),1)),IFERROR(INDEX(醫師週班表!$C$5:$T$44,$CU30,BO$57),""))))))</f>
        <v/>
      </c>
      <c r="BP30" s="67">
        <f>IF(BP$59="X","",IF(BP$59&lt;&gt;"",BP$59,IF(IFERROR(INDEX(醫師週班表!$C$5:$T$44,$CU30,BP$57),"")=0,"",IF(LEN(IFERROR(INDEX(醫師週班表!$C$5:$T$44,$CU30,BP$57),""))=4,MID(IFERROR(INDEX(醫師週班表!$C$5:$T$44,$CU30,BP$57),""),1+BP$58*2,1),IF(LEN(IFERROR(INDEX(醫師週班表!$C$5:$T$44,$CU30,BP$57),""))=2,IF(AND(RIGHT(IFERROR(INDEX(醫師週班表!$C$5:$T$44,$CU30,BP$57),""),1)="~",BP$58=1),"",LEFT(IFERROR(INDEX(醫師週班表!$C$5:$T$44,$CU30,BP$57),""),1)),IFERROR(INDEX(醫師週班表!$C$5:$T$44,$CU30,BP$57),""))))))</f>
        <v/>
      </c>
      <c r="BQ30" s="68">
        <f>IF(BQ$59="X","",IF(BQ$59&lt;&gt;"",BQ$59,IF(IFERROR(INDEX(醫師週班表!$C$5:$T$44,$CU30,BQ$57),"")=0,"",IF(LEN(IFERROR(INDEX(醫師週班表!$C$5:$T$44,$CU30,BQ$57),""))=4,MID(IFERROR(INDEX(醫師週班表!$C$5:$T$44,$CU30,BQ$57),""),1+BQ$58*2,1),IF(LEN(IFERROR(INDEX(醫師週班表!$C$5:$T$44,$CU30,BQ$57),""))=2,IF(AND(RIGHT(IFERROR(INDEX(醫師週班表!$C$5:$T$44,$CU30,BQ$57),""),1)="~",BQ$58=1),"",LEFT(IFERROR(INDEX(醫師週班表!$C$5:$T$44,$CU30,BQ$57),""),1)),IFERROR(INDEX(醫師週班表!$C$5:$T$44,$CU30,BQ$57),""))))))</f>
        <v/>
      </c>
      <c r="BR30" s="68">
        <f>IF(BR$59="X","",IF(BR$59&lt;&gt;"",BR$59,IF(IFERROR(INDEX(醫師週班表!$C$5:$T$44,$CU30,BR$57),"")=0,"",IF(LEN(IFERROR(INDEX(醫師週班表!$C$5:$T$44,$CU30,BR$57),""))=4,MID(IFERROR(INDEX(醫師週班表!$C$5:$T$44,$CU30,BR$57),""),1+BR$58*2,1),IF(LEN(IFERROR(INDEX(醫師週班表!$C$5:$T$44,$CU30,BR$57),""))=2,IF(AND(RIGHT(IFERROR(INDEX(醫師週班表!$C$5:$T$44,$CU30,BR$57),""),1)="~",BR$58=1),"",LEFT(IFERROR(INDEX(醫師週班表!$C$5:$T$44,$CU30,BR$57),""),1)),IFERROR(INDEX(醫師週班表!$C$5:$T$44,$CU30,BR$57),""))))))</f>
        <v/>
      </c>
      <c r="BS30" s="67">
        <f>IF(BS$59="X","",IF(BS$59&lt;&gt;"",BS$59,IF(IFERROR(INDEX(醫師週班表!$C$5:$T$44,$CU30,BS$57),"")=0,"",IF(LEN(IFERROR(INDEX(醫師週班表!$C$5:$T$44,$CU30,BS$57),""))=4,MID(IFERROR(INDEX(醫師週班表!$C$5:$T$44,$CU30,BS$57),""),1+BS$58*2,1),IF(LEN(IFERROR(INDEX(醫師週班表!$C$5:$T$44,$CU30,BS$57),""))=2,IF(AND(RIGHT(IFERROR(INDEX(醫師週班表!$C$5:$T$44,$CU30,BS$57),""),1)="~",BS$58=1),"",LEFT(IFERROR(INDEX(醫師週班表!$C$5:$T$44,$CU30,BS$57),""),1)),IFERROR(INDEX(醫師週班表!$C$5:$T$44,$CU30,BS$57),""))))))</f>
        <v/>
      </c>
      <c r="BT30" s="68">
        <f>IF(BT$59="X","",IF(BT$59&lt;&gt;"",BT$59,IF(IFERROR(INDEX(醫師週班表!$C$5:$T$44,$CU30,BT$57),"")=0,"",IF(LEN(IFERROR(INDEX(醫師週班表!$C$5:$T$44,$CU30,BT$57),""))=4,MID(IFERROR(INDEX(醫師週班表!$C$5:$T$44,$CU30,BT$57),""),1+BT$58*2,1),IF(LEN(IFERROR(INDEX(醫師週班表!$C$5:$T$44,$CU30,BT$57),""))=2,IF(AND(RIGHT(IFERROR(INDEX(醫師週班表!$C$5:$T$44,$CU30,BT$57),""),1)="~",BT$58=1),"",LEFT(IFERROR(INDEX(醫師週班表!$C$5:$T$44,$CU30,BT$57),""),1)),IFERROR(INDEX(醫師週班表!$C$5:$T$44,$CU30,BT$57),""))))))</f>
        <v/>
      </c>
      <c r="BU30" s="68">
        <f>IF(BU$59="X","",IF(BU$59&lt;&gt;"",BU$59,IF(IFERROR(INDEX(醫師週班表!$C$5:$T$44,$CU30,BU$57),"")=0,"",IF(LEN(IFERROR(INDEX(醫師週班表!$C$5:$T$44,$CU30,BU$57),""))=4,MID(IFERROR(INDEX(醫師週班表!$C$5:$T$44,$CU30,BU$57),""),1+BU$58*2,1),IF(LEN(IFERROR(INDEX(醫師週班表!$C$5:$T$44,$CU30,BU$57),""))=2,IF(AND(RIGHT(IFERROR(INDEX(醫師週班表!$C$5:$T$44,$CU30,BU$57),""),1)="~",BU$58=1),"",LEFT(IFERROR(INDEX(醫師週班表!$C$5:$T$44,$CU30,BU$57),""),1)),IFERROR(INDEX(醫師週班表!$C$5:$T$44,$CU30,BU$57),""))))))</f>
        <v/>
      </c>
      <c r="BV30" s="67">
        <f>IF(BV$59="X","",IF(BV$59&lt;&gt;"",BV$59,IF(IFERROR(INDEX(醫師週班表!$C$5:$T$44,$CU30,BV$57),"")=0,"",IF(LEN(IFERROR(INDEX(醫師週班表!$C$5:$T$44,$CU30,BV$57),""))=4,MID(IFERROR(INDEX(醫師週班表!$C$5:$T$44,$CU30,BV$57),""),1+BV$58*2,1),IF(LEN(IFERROR(INDEX(醫師週班表!$C$5:$T$44,$CU30,BV$57),""))=2,IF(AND(RIGHT(IFERROR(INDEX(醫師週班表!$C$5:$T$44,$CU30,BV$57),""),1)="~",BV$58=1),"",LEFT(IFERROR(INDEX(醫師週班表!$C$5:$T$44,$CU30,BV$57),""),1)),IFERROR(INDEX(醫師週班表!$C$5:$T$44,$CU30,BV$57),""))))))</f>
        <v/>
      </c>
      <c r="BW30" s="68">
        <f>IF(BW$59="X","",IF(BW$59&lt;&gt;"",BW$59,IF(IFERROR(INDEX(醫師週班表!$C$5:$T$44,$CU30,BW$57),"")=0,"",IF(LEN(IFERROR(INDEX(醫師週班表!$C$5:$T$44,$CU30,BW$57),""))=4,MID(IFERROR(INDEX(醫師週班表!$C$5:$T$44,$CU30,BW$57),""),1+BW$58*2,1),IF(LEN(IFERROR(INDEX(醫師週班表!$C$5:$T$44,$CU30,BW$57),""))=2,IF(AND(RIGHT(IFERROR(INDEX(醫師週班表!$C$5:$T$44,$CU30,BW$57),""),1)="~",BW$58=1),"",LEFT(IFERROR(INDEX(醫師週班表!$C$5:$T$44,$CU30,BW$57),""),1)),IFERROR(INDEX(醫師週班表!$C$5:$T$44,$CU30,BW$57),""))))))</f>
        <v/>
      </c>
      <c r="BX30" s="68">
        <f>IF(BX$59="X","",IF(BX$59&lt;&gt;"",BX$59,IF(IFERROR(INDEX(醫師週班表!$C$5:$T$44,$CU30,BX$57),"")=0,"",IF(LEN(IFERROR(INDEX(醫師週班表!$C$5:$T$44,$CU30,BX$57),""))=4,MID(IFERROR(INDEX(醫師週班表!$C$5:$T$44,$CU30,BX$57),""),1+BX$58*2,1),IF(LEN(IFERROR(INDEX(醫師週班表!$C$5:$T$44,$CU30,BX$57),""))=2,IF(AND(RIGHT(IFERROR(INDEX(醫師週班表!$C$5:$T$44,$CU30,BX$57),""),1)="~",BX$58=1),"",LEFT(IFERROR(INDEX(醫師週班表!$C$5:$T$44,$CU30,BX$57),""),1)),IFERROR(INDEX(醫師週班表!$C$5:$T$44,$CU30,BX$57),""))))))</f>
        <v/>
      </c>
      <c r="BY30" s="67">
        <f>IF(BY$59="X","",IF(BY$59&lt;&gt;"",BY$59,IF(IFERROR(INDEX(醫師週班表!$C$5:$T$44,$CU30,BY$57),"")=0,"",IF(LEN(IFERROR(INDEX(醫師週班表!$C$5:$T$44,$CU30,BY$57),""))=4,MID(IFERROR(INDEX(醫師週班表!$C$5:$T$44,$CU30,BY$57),""),1+BY$58*2,1),IF(LEN(IFERROR(INDEX(醫師週班表!$C$5:$T$44,$CU30,BY$57),""))=2,IF(AND(RIGHT(IFERROR(INDEX(醫師週班表!$C$5:$T$44,$CU30,BY$57),""),1)="~",BY$58=1),"",LEFT(IFERROR(INDEX(醫師週班表!$C$5:$T$44,$CU30,BY$57),""),1)),IFERROR(INDEX(醫師週班表!$C$5:$T$44,$CU30,BY$57),""))))))</f>
        <v/>
      </c>
      <c r="BZ30" s="68">
        <f>IF(BZ$59="X","",IF(BZ$59&lt;&gt;"",BZ$59,IF(IFERROR(INDEX(醫師週班表!$C$5:$T$44,$CU30,BZ$57),"")=0,"",IF(LEN(IFERROR(INDEX(醫師週班表!$C$5:$T$44,$CU30,BZ$57),""))=4,MID(IFERROR(INDEX(醫師週班表!$C$5:$T$44,$CU30,BZ$57),""),1+BZ$58*2,1),IF(LEN(IFERROR(INDEX(醫師週班表!$C$5:$T$44,$CU30,BZ$57),""))=2,IF(AND(RIGHT(IFERROR(INDEX(醫師週班表!$C$5:$T$44,$CU30,BZ$57),""),1)="~",BZ$58=1),"",LEFT(IFERROR(INDEX(醫師週班表!$C$5:$T$44,$CU30,BZ$57),""),1)),IFERROR(INDEX(醫師週班表!$C$5:$T$44,$CU30,BZ$57),""))))))</f>
        <v/>
      </c>
      <c r="CA30" s="68">
        <f>IF(CA$59="X","",IF(CA$59&lt;&gt;"",CA$59,IF(IFERROR(INDEX(醫師週班表!$C$5:$T$44,$CU30,CA$57),"")=0,"",IF(LEN(IFERROR(INDEX(醫師週班表!$C$5:$T$44,$CU30,CA$57),""))=4,MID(IFERROR(INDEX(醫師週班表!$C$5:$T$44,$CU30,CA$57),""),1+CA$58*2,1),IF(LEN(IFERROR(INDEX(醫師週班表!$C$5:$T$44,$CU30,CA$57),""))=2,IF(AND(RIGHT(IFERROR(INDEX(醫師週班表!$C$5:$T$44,$CU30,CA$57),""),1)="~",CA$58=1),"",LEFT(IFERROR(INDEX(醫師週班表!$C$5:$T$44,$CU30,CA$57),""),1)),IFERROR(INDEX(醫師週班表!$C$5:$T$44,$CU30,CA$57),""))))))</f>
        <v/>
      </c>
      <c r="CB30" s="67">
        <f>IF(CB$59="X","",IF(CB$59&lt;&gt;"",CB$59,IF(IFERROR(INDEX(醫師週班表!$C$5:$T$44,$CU30,CB$57),"")=0,"",IF(LEN(IFERROR(INDEX(醫師週班表!$C$5:$T$44,$CU30,CB$57),""))=4,MID(IFERROR(INDEX(醫師週班表!$C$5:$T$44,$CU30,CB$57),""),1+CB$58*2,1),IF(LEN(IFERROR(INDEX(醫師週班表!$C$5:$T$44,$CU30,CB$57),""))=2,IF(AND(RIGHT(IFERROR(INDEX(醫師週班表!$C$5:$T$44,$CU30,CB$57),""),1)="~",CB$58=1),"",LEFT(IFERROR(INDEX(醫師週班表!$C$5:$T$44,$CU30,CB$57),""),1)),IFERROR(INDEX(醫師週班表!$C$5:$T$44,$CU30,CB$57),""))))))</f>
        <v/>
      </c>
      <c r="CC30" s="68">
        <f>IF(CC$59="X","",IF(CC$59&lt;&gt;"",CC$59,IF(IFERROR(INDEX(醫師週班表!$C$5:$T$44,$CU30,CC$57),"")=0,"",IF(LEN(IFERROR(INDEX(醫師週班表!$C$5:$T$44,$CU30,CC$57),""))=4,MID(IFERROR(INDEX(醫師週班表!$C$5:$T$44,$CU30,CC$57),""),1+CC$58*2,1),IF(LEN(IFERROR(INDEX(醫師週班表!$C$5:$T$44,$CU30,CC$57),""))=2,IF(AND(RIGHT(IFERROR(INDEX(醫師週班表!$C$5:$T$44,$CU30,CC$57),""),1)="~",CC$58=1),"",LEFT(IFERROR(INDEX(醫師週班表!$C$5:$T$44,$CU30,CC$57),""),1)),IFERROR(INDEX(醫師週班表!$C$5:$T$44,$CU30,CC$57),""))))))</f>
        <v/>
      </c>
      <c r="CD30" s="68">
        <f>IF(CD$59="X","",IF(CD$59&lt;&gt;"",CD$59,IF(IFERROR(INDEX(醫師週班表!$C$5:$T$44,$CU30,CD$57),"")=0,"",IF(LEN(IFERROR(INDEX(醫師週班表!$C$5:$T$44,$CU30,CD$57),""))=4,MID(IFERROR(INDEX(醫師週班表!$C$5:$T$44,$CU30,CD$57),""),1+CD$58*2,1),IF(LEN(IFERROR(INDEX(醫師週班表!$C$5:$T$44,$CU30,CD$57),""))=2,IF(AND(RIGHT(IFERROR(INDEX(醫師週班表!$C$5:$T$44,$CU30,CD$57),""),1)="~",CD$58=1),"",LEFT(IFERROR(INDEX(醫師週班表!$C$5:$T$44,$CU30,CD$57),""),1)),IFERROR(INDEX(醫師週班表!$C$5:$T$44,$CU30,CD$57),""))))))</f>
        <v/>
      </c>
      <c r="CE30" s="67">
        <f>IF(CE$59="X","",IF(CE$59&lt;&gt;"",CE$59,IF(IFERROR(INDEX(醫師週班表!$C$5:$T$44,$CU30,CE$57),"")=0,"",IF(LEN(IFERROR(INDEX(醫師週班表!$C$5:$T$44,$CU30,CE$57),""))=4,MID(IFERROR(INDEX(醫師週班表!$C$5:$T$44,$CU30,CE$57),""),1+CE$58*2,1),IF(LEN(IFERROR(INDEX(醫師週班表!$C$5:$T$44,$CU30,CE$57),""))=2,IF(AND(RIGHT(IFERROR(INDEX(醫師週班表!$C$5:$T$44,$CU30,CE$57),""),1)="~",CE$58=1),"",LEFT(IFERROR(INDEX(醫師週班表!$C$5:$T$44,$CU30,CE$57),""),1)),IFERROR(INDEX(醫師週班表!$C$5:$T$44,$CU30,CE$57),""))))))</f>
        <v/>
      </c>
      <c r="CF30" s="68">
        <f>IF(CF$59="X","",IF(CF$59&lt;&gt;"",CF$59,IF(IFERROR(INDEX(醫師週班表!$C$5:$T$44,$CU30,CF$57),"")=0,"",IF(LEN(IFERROR(INDEX(醫師週班表!$C$5:$T$44,$CU30,CF$57),""))=4,MID(IFERROR(INDEX(醫師週班表!$C$5:$T$44,$CU30,CF$57),""),1+CF$58*2,1),IF(LEN(IFERROR(INDEX(醫師週班表!$C$5:$T$44,$CU30,CF$57),""))=2,IF(AND(RIGHT(IFERROR(INDEX(醫師週班表!$C$5:$T$44,$CU30,CF$57),""),1)="~",CF$58=1),"",LEFT(IFERROR(INDEX(醫師週班表!$C$5:$T$44,$CU30,CF$57),""),1)),IFERROR(INDEX(醫師週班表!$C$5:$T$44,$CU30,CF$57),""))))))</f>
        <v/>
      </c>
      <c r="CG30" s="68">
        <f>IF(CG$59="X","",IF(CG$59&lt;&gt;"",CG$59,IF(IFERROR(INDEX(醫師週班表!$C$5:$T$44,$CU30,CG$57),"")=0,"",IF(LEN(IFERROR(INDEX(醫師週班表!$C$5:$T$44,$CU30,CG$57),""))=4,MID(IFERROR(INDEX(醫師週班表!$C$5:$T$44,$CU30,CG$57),""),1+CG$58*2,1),IF(LEN(IFERROR(INDEX(醫師週班表!$C$5:$T$44,$CU30,CG$57),""))=2,IF(AND(RIGHT(IFERROR(INDEX(醫師週班表!$C$5:$T$44,$CU30,CG$57),""),1)="~",CG$58=1),"",LEFT(IFERROR(INDEX(醫師週班表!$C$5:$T$44,$CU30,CG$57),""),1)),IFERROR(INDEX(醫師週班表!$C$5:$T$44,$CU30,CG$57),""))))))</f>
        <v/>
      </c>
      <c r="CH30" s="67">
        <f>IF(CH$59="X","",IF(CH$59&lt;&gt;"",CH$59,IF(IFERROR(INDEX(醫師週班表!$C$5:$T$44,$CU30,CH$57),"")=0,"",IF(LEN(IFERROR(INDEX(醫師週班表!$C$5:$T$44,$CU30,CH$57),""))=4,MID(IFERROR(INDEX(醫師週班表!$C$5:$T$44,$CU30,CH$57),""),1+CH$58*2,1),IF(LEN(IFERROR(INDEX(醫師週班表!$C$5:$T$44,$CU30,CH$57),""))=2,IF(AND(RIGHT(IFERROR(INDEX(醫師週班表!$C$5:$T$44,$CU30,CH$57),""),1)="~",CH$58=1),"",LEFT(IFERROR(INDEX(醫師週班表!$C$5:$T$44,$CU30,CH$57),""),1)),IFERROR(INDEX(醫師週班表!$C$5:$T$44,$CU30,CH$57),""))))))</f>
        <v/>
      </c>
      <c r="CI30" s="68">
        <f>IF(CI$59="X","",IF(CI$59&lt;&gt;"",CI$59,IF(IFERROR(INDEX(醫師週班表!$C$5:$T$44,$CU30,CI$57),"")=0,"",IF(LEN(IFERROR(INDEX(醫師週班表!$C$5:$T$44,$CU30,CI$57),""))=4,MID(IFERROR(INDEX(醫師週班表!$C$5:$T$44,$CU30,CI$57),""),1+CI$58*2,1),IF(LEN(IFERROR(INDEX(醫師週班表!$C$5:$T$44,$CU30,CI$57),""))=2,IF(AND(RIGHT(IFERROR(INDEX(醫師週班表!$C$5:$T$44,$CU30,CI$57),""),1)="~",CI$58=1),"",LEFT(IFERROR(INDEX(醫師週班表!$C$5:$T$44,$CU30,CI$57),""),1)),IFERROR(INDEX(醫師週班表!$C$5:$T$44,$CU30,CI$57),""))))))</f>
        <v/>
      </c>
      <c r="CJ30" s="68">
        <f>IF(CJ$59="X","",IF(CJ$59&lt;&gt;"",CJ$59,IF(IFERROR(INDEX(醫師週班表!$C$5:$T$44,$CU30,CJ$57),"")=0,"",IF(LEN(IFERROR(INDEX(醫師週班表!$C$5:$T$44,$CU30,CJ$57),""))=4,MID(IFERROR(INDEX(醫師週班表!$C$5:$T$44,$CU30,CJ$57),""),1+CJ$58*2,1),IF(LEN(IFERROR(INDEX(醫師週班表!$C$5:$T$44,$CU30,CJ$57),""))=2,IF(AND(RIGHT(IFERROR(INDEX(醫師週班表!$C$5:$T$44,$CU30,CJ$57),""),1)="~",CJ$58=1),"",LEFT(IFERROR(INDEX(醫師週班表!$C$5:$T$44,$CU30,CJ$57),""),1)),IFERROR(INDEX(醫師週班表!$C$5:$T$44,$CU30,CJ$57),""))))))</f>
        <v/>
      </c>
      <c r="CK30" s="67">
        <f>IF(CK$59="X","",IF(CK$59&lt;&gt;"",CK$59,IF(IFERROR(INDEX(醫師週班表!$C$5:$T$44,$CU30,CK$57),"")=0,"",IF(LEN(IFERROR(INDEX(醫師週班表!$C$5:$T$44,$CU30,CK$57),""))=4,MID(IFERROR(INDEX(醫師週班表!$C$5:$T$44,$CU30,CK$57),""),1+CK$58*2,1),IF(LEN(IFERROR(INDEX(醫師週班表!$C$5:$T$44,$CU30,CK$57),""))=2,IF(AND(RIGHT(IFERROR(INDEX(醫師週班表!$C$5:$T$44,$CU30,CK$57),""),1)="~",CK$58=1),"",LEFT(IFERROR(INDEX(醫師週班表!$C$5:$T$44,$CU30,CK$57),""),1)),IFERROR(INDEX(醫師週班表!$C$5:$T$44,$CU30,CK$57),""))))))</f>
        <v/>
      </c>
      <c r="CL30" s="68">
        <f>IF(CL$59="X","",IF(CL$59&lt;&gt;"",CL$59,IF(IFERROR(INDEX(醫師週班表!$C$5:$T$44,$CU30,CL$57),"")=0,"",IF(LEN(IFERROR(INDEX(醫師週班表!$C$5:$T$44,$CU30,CL$57),""))=4,MID(IFERROR(INDEX(醫師週班表!$C$5:$T$44,$CU30,CL$57),""),1+CL$58*2,1),IF(LEN(IFERROR(INDEX(醫師週班表!$C$5:$T$44,$CU30,CL$57),""))=2,IF(AND(RIGHT(IFERROR(INDEX(醫師週班表!$C$5:$T$44,$CU30,CL$57),""),1)="~",CL$58=1),"",LEFT(IFERROR(INDEX(醫師週班表!$C$5:$T$44,$CU30,CL$57),""),1)),IFERROR(INDEX(醫師週班表!$C$5:$T$44,$CU30,CL$57),""))))))</f>
        <v/>
      </c>
      <c r="CM30" s="68">
        <f>IF(CM$59="X","",IF(CM$59&lt;&gt;"",CM$59,IF(IFERROR(INDEX(醫師週班表!$C$5:$T$44,$CU30,CM$57),"")=0,"",IF(LEN(IFERROR(INDEX(醫師週班表!$C$5:$T$44,$CU30,CM$57),""))=4,MID(IFERROR(INDEX(醫師週班表!$C$5:$T$44,$CU30,CM$57),""),1+CM$58*2,1),IF(LEN(IFERROR(INDEX(醫師週班表!$C$5:$T$44,$CU30,CM$57),""))=2,IF(AND(RIGHT(IFERROR(INDEX(醫師週班表!$C$5:$T$44,$CU30,CM$57),""),1)="~",CM$58=1),"",LEFT(IFERROR(INDEX(醫師週班表!$C$5:$T$44,$CU30,CM$57),""),1)),IFERROR(INDEX(醫師週班表!$C$5:$T$44,$CU30,CM$57),""))))))</f>
        <v/>
      </c>
      <c r="CN30" s="67">
        <f>IF(CN$59="X","",IF(CN$59&lt;&gt;"",CN$59,IF(IFERROR(INDEX(醫師週班表!$C$5:$T$44,$CU30,CN$57),"")=0,"",IF(LEN(IFERROR(INDEX(醫師週班表!$C$5:$T$44,$CU30,CN$57),""))=4,MID(IFERROR(INDEX(醫師週班表!$C$5:$T$44,$CU30,CN$57),""),1+CN$58*2,1),IF(LEN(IFERROR(INDEX(醫師週班表!$C$5:$T$44,$CU30,CN$57),""))=2,IF(AND(RIGHT(IFERROR(INDEX(醫師週班表!$C$5:$T$44,$CU30,CN$57),""),1)="~",CN$58=1),"",LEFT(IFERROR(INDEX(醫師週班表!$C$5:$T$44,$CU30,CN$57),""),1)),IFERROR(INDEX(醫師週班表!$C$5:$T$44,$CU30,CN$57),""))))))</f>
        <v/>
      </c>
      <c r="CO30" s="68">
        <f>IF(CO$59="X","",IF(CO$59&lt;&gt;"",CO$59,IF(IFERROR(INDEX(醫師週班表!$C$5:$T$44,$CU30,CO$57),"")=0,"",IF(LEN(IFERROR(INDEX(醫師週班表!$C$5:$T$44,$CU30,CO$57),""))=4,MID(IFERROR(INDEX(醫師週班表!$C$5:$T$44,$CU30,CO$57),""),1+CO$58*2,1),IF(LEN(IFERROR(INDEX(醫師週班表!$C$5:$T$44,$CU30,CO$57),""))=2,IF(AND(RIGHT(IFERROR(INDEX(醫師週班表!$C$5:$T$44,$CU30,CO$57),""),1)="~",CO$58=1),"",LEFT(IFERROR(INDEX(醫師週班表!$C$5:$T$44,$CU30,CO$57),""),1)),IFERROR(INDEX(醫師週班表!$C$5:$T$44,$CU30,CO$57),""))))))</f>
        <v/>
      </c>
      <c r="CP30" s="68">
        <f>IF(CP$59="X","",IF(CP$59&lt;&gt;"",CP$59,IF(IFERROR(INDEX(醫師週班表!$C$5:$T$44,$CU30,CP$57),"")=0,"",IF(LEN(IFERROR(INDEX(醫師週班表!$C$5:$T$44,$CU30,CP$57),""))=4,MID(IFERROR(INDEX(醫師週班表!$C$5:$T$44,$CU30,CP$57),""),1+CP$58*2,1),IF(LEN(IFERROR(INDEX(醫師週班表!$C$5:$T$44,$CU30,CP$57),""))=2,IF(AND(RIGHT(IFERROR(INDEX(醫師週班表!$C$5:$T$44,$CU30,CP$57),""),1)="~",CP$58=1),"",LEFT(IFERROR(INDEX(醫師週班表!$C$5:$T$44,$CU30,CP$57),""),1)),IFERROR(INDEX(醫師週班表!$C$5:$T$44,$CU30,CP$57),""))))))</f>
        <v/>
      </c>
      <c r="CQ30" s="67">
        <f>IF(CQ$59="X","",IF(CQ$59&lt;&gt;"",CQ$59,IF(IFERROR(INDEX(醫師週班表!$C$5:$T$44,$CU30,CQ$57),"")=0,"",IF(LEN(IFERROR(INDEX(醫師週班表!$C$5:$T$44,$CU30,CQ$57),""))=4,MID(IFERROR(INDEX(醫師週班表!$C$5:$T$44,$CU30,CQ$57),""),1+CQ$58*2,1),IF(LEN(IFERROR(INDEX(醫師週班表!$C$5:$T$44,$CU30,CQ$57),""))=2,IF(AND(RIGHT(IFERROR(INDEX(醫師週班表!$C$5:$T$44,$CU30,CQ$57),""),1)="~",CQ$58=1),"",LEFT(IFERROR(INDEX(醫師週班表!$C$5:$T$44,$CU30,CQ$57),""),1)),IFERROR(INDEX(醫師週班表!$C$5:$T$44,$CU30,CQ$57),""))))))</f>
        <v/>
      </c>
      <c r="CR30" s="68">
        <f>IF(CR$59="X","",IF(CR$59&lt;&gt;"",CR$59,IF(IFERROR(INDEX(醫師週班表!$C$5:$T$44,$CU30,CR$57),"")=0,"",IF(LEN(IFERROR(INDEX(醫師週班表!$C$5:$T$44,$CU30,CR$57),""))=4,MID(IFERROR(INDEX(醫師週班表!$C$5:$T$44,$CU30,CR$57),""),1+CR$58*2,1),IF(LEN(IFERROR(INDEX(醫師週班表!$C$5:$T$44,$CU30,CR$57),""))=2,IF(AND(RIGHT(IFERROR(INDEX(醫師週班表!$C$5:$T$44,$CU30,CR$57),""),1)="~",CR$58=1),"",LEFT(IFERROR(INDEX(醫師週班表!$C$5:$T$44,$CU30,CR$57),""),1)),IFERROR(INDEX(醫師週班表!$C$5:$T$44,$CU30,CR$57),""))))))</f>
        <v/>
      </c>
      <c r="CS30" s="68">
        <f>IF(CS$59="X","",IF(CS$59&lt;&gt;"",CS$59,IF(IFERROR(INDEX(醫師週班表!$C$5:$T$44,$CU30,CS$57),"")=0,"",IF(LEN(IFERROR(INDEX(醫師週班表!$C$5:$T$44,$CU30,CS$57),""))=4,MID(IFERROR(INDEX(醫師週班表!$C$5:$T$44,$CU30,CS$57),""),1+CS$58*2,1),IF(LEN(IFERROR(INDEX(醫師週班表!$C$5:$T$44,$CU30,CS$57),""))=2,IF(AND(RIGHT(IFERROR(INDEX(醫師週班表!$C$5:$T$44,$CU30,CS$57),""),1)="~",CS$58=1),"",LEFT(IFERROR(INDEX(醫師週班表!$C$5:$T$44,$CU30,CS$57),""),1)),IFERROR(INDEX(醫師週班表!$C$5:$T$44,$CU30,CS$57),""))))))</f>
        <v/>
      </c>
      <c r="CU30" s="69">
        <f>IFERROR(MATCH($A30,醫師週班表!$A$5:$A$44,0),0)</f>
        <v/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IFERROR(INDEX(醫師週班表!$C$5:$T$44,$CU31,E$57),"")=0,"",IF(LEN(IFERROR(INDEX(醫師週班表!$C$5:$T$44,$CU31,E$57),""))=4,MID(IFERROR(INDEX(醫師週班表!$C$5:$T$44,$CU31,E$57),""),1+E$58*2,1),IF(LEN(IFERROR(INDEX(醫師週班表!$C$5:$T$44,$CU31,E$57),""))=2,IF(AND(RIGHT(IFERROR(INDEX(醫師週班表!$C$5:$T$44,$CU31,E$57),""),1)="~",E$58=1),"",LEFT(IFERROR(INDEX(醫師週班表!$C$5:$T$44,$CU31,E$57),""),1)),IFERROR(INDEX(醫師週班表!$C$5:$T$44,$CU31,E$57),""))))))</f>
        <v/>
      </c>
      <c r="F31" s="68">
        <f>IF(F$59="X","",IF(F$59&lt;&gt;"",F$59,IF(IFERROR(INDEX(醫師週班表!$C$5:$T$44,$CU31,F$57),"")=0,"",IF(LEN(IFERROR(INDEX(醫師週班表!$C$5:$T$44,$CU31,F$57),""))=4,MID(IFERROR(INDEX(醫師週班表!$C$5:$T$44,$CU31,F$57),""),1+F$58*2,1),IF(LEN(IFERROR(INDEX(醫師週班表!$C$5:$T$44,$CU31,F$57),""))=2,IF(AND(RIGHT(IFERROR(INDEX(醫師週班表!$C$5:$T$44,$CU31,F$57),""),1)="~",F$58=1),"",LEFT(IFERROR(INDEX(醫師週班表!$C$5:$T$44,$CU31,F$57),""),1)),IFERROR(INDEX(醫師週班表!$C$5:$T$44,$CU31,F$57),""))))))</f>
        <v/>
      </c>
      <c r="G31" s="68">
        <f>IF(G$59="X","",IF(G$59&lt;&gt;"",G$59,IF(IFERROR(INDEX(醫師週班表!$C$5:$T$44,$CU31,G$57),"")=0,"",IF(LEN(IFERROR(INDEX(醫師週班表!$C$5:$T$44,$CU31,G$57),""))=4,MID(IFERROR(INDEX(醫師週班表!$C$5:$T$44,$CU31,G$57),""),1+G$58*2,1),IF(LEN(IFERROR(INDEX(醫師週班表!$C$5:$T$44,$CU31,G$57),""))=2,IF(AND(RIGHT(IFERROR(INDEX(醫師週班表!$C$5:$T$44,$CU31,G$57),""),1)="~",G$58=1),"",LEFT(IFERROR(INDEX(醫師週班表!$C$5:$T$44,$CU31,G$57),""),1)),IFERROR(INDEX(醫師週班表!$C$5:$T$44,$CU31,G$57),""))))))</f>
        <v/>
      </c>
      <c r="H31" s="67">
        <f>IF(H$59="X","",IF(H$59&lt;&gt;"",H$59,IF(IFERROR(INDEX(醫師週班表!$C$5:$T$44,$CU31,H$57),"")=0,"",IF(LEN(IFERROR(INDEX(醫師週班表!$C$5:$T$44,$CU31,H$57),""))=4,MID(IFERROR(INDEX(醫師週班表!$C$5:$T$44,$CU31,H$57),""),1+H$58*2,1),IF(LEN(IFERROR(INDEX(醫師週班表!$C$5:$T$44,$CU31,H$57),""))=2,IF(AND(RIGHT(IFERROR(INDEX(醫師週班表!$C$5:$T$44,$CU31,H$57),""),1)="~",H$58=1),"",LEFT(IFERROR(INDEX(醫師週班表!$C$5:$T$44,$CU31,H$57),""),1)),IFERROR(INDEX(醫師週班表!$C$5:$T$44,$CU31,H$57),""))))))</f>
        <v/>
      </c>
      <c r="I31" s="68">
        <f>IF(I$59="X","",IF(I$59&lt;&gt;"",I$59,IF(IFERROR(INDEX(醫師週班表!$C$5:$T$44,$CU31,I$57),"")=0,"",IF(LEN(IFERROR(INDEX(醫師週班表!$C$5:$T$44,$CU31,I$57),""))=4,MID(IFERROR(INDEX(醫師週班表!$C$5:$T$44,$CU31,I$57),""),1+I$58*2,1),IF(LEN(IFERROR(INDEX(醫師週班表!$C$5:$T$44,$CU31,I$57),""))=2,IF(AND(RIGHT(IFERROR(INDEX(醫師週班表!$C$5:$T$44,$CU31,I$57),""),1)="~",I$58=1),"",LEFT(IFERROR(INDEX(醫師週班表!$C$5:$T$44,$CU31,I$57),""),1)),IFERROR(INDEX(醫師週班表!$C$5:$T$44,$CU31,I$57),""))))))</f>
        <v/>
      </c>
      <c r="J31" s="68">
        <f>IF(J$59="X","",IF(J$59&lt;&gt;"",J$59,IF(IFERROR(INDEX(醫師週班表!$C$5:$T$44,$CU31,J$57),"")=0,"",IF(LEN(IFERROR(INDEX(醫師週班表!$C$5:$T$44,$CU31,J$57),""))=4,MID(IFERROR(INDEX(醫師週班表!$C$5:$T$44,$CU31,J$57),""),1+J$58*2,1),IF(LEN(IFERROR(INDEX(醫師週班表!$C$5:$T$44,$CU31,J$57),""))=2,IF(AND(RIGHT(IFERROR(INDEX(醫師週班表!$C$5:$T$44,$CU31,J$57),""),1)="~",J$58=1),"",LEFT(IFERROR(INDEX(醫師週班表!$C$5:$T$44,$CU31,J$57),""),1)),IFERROR(INDEX(醫師週班表!$C$5:$T$44,$CU31,J$57),""))))))</f>
        <v/>
      </c>
      <c r="K31" s="67">
        <f>IF(K$59="X","",IF(K$59&lt;&gt;"",K$59,IF(IFERROR(INDEX(醫師週班表!$C$5:$T$44,$CU31,K$57),"")=0,"",IF(LEN(IFERROR(INDEX(醫師週班表!$C$5:$T$44,$CU31,K$57),""))=4,MID(IFERROR(INDEX(醫師週班表!$C$5:$T$44,$CU31,K$57),""),1+K$58*2,1),IF(LEN(IFERROR(INDEX(醫師週班表!$C$5:$T$44,$CU31,K$57),""))=2,IF(AND(RIGHT(IFERROR(INDEX(醫師週班表!$C$5:$T$44,$CU31,K$57),""),1)="~",K$58=1),"",LEFT(IFERROR(INDEX(醫師週班表!$C$5:$T$44,$CU31,K$57),""),1)),IFERROR(INDEX(醫師週班表!$C$5:$T$44,$CU31,K$57),""))))))</f>
        <v/>
      </c>
      <c r="L31" s="68">
        <f>IF(L$59="X","",IF(L$59&lt;&gt;"",L$59,IF(IFERROR(INDEX(醫師週班表!$C$5:$T$44,$CU31,L$57),"")=0,"",IF(LEN(IFERROR(INDEX(醫師週班表!$C$5:$T$44,$CU31,L$57),""))=4,MID(IFERROR(INDEX(醫師週班表!$C$5:$T$44,$CU31,L$57),""),1+L$58*2,1),IF(LEN(IFERROR(INDEX(醫師週班表!$C$5:$T$44,$CU31,L$57),""))=2,IF(AND(RIGHT(IFERROR(INDEX(醫師週班表!$C$5:$T$44,$CU31,L$57),""),1)="~",L$58=1),"",LEFT(IFERROR(INDEX(醫師週班表!$C$5:$T$44,$CU31,L$57),""),1)),IFERROR(INDEX(醫師週班表!$C$5:$T$44,$CU31,L$57),""))))))</f>
        <v/>
      </c>
      <c r="M31" s="68">
        <f>IF(M$59="X","",IF(M$59&lt;&gt;"",M$59,IF(IFERROR(INDEX(醫師週班表!$C$5:$T$44,$CU31,M$57),"")=0,"",IF(LEN(IFERROR(INDEX(醫師週班表!$C$5:$T$44,$CU31,M$57),""))=4,MID(IFERROR(INDEX(醫師週班表!$C$5:$T$44,$CU31,M$57),""),1+M$58*2,1),IF(LEN(IFERROR(INDEX(醫師週班表!$C$5:$T$44,$CU31,M$57),""))=2,IF(AND(RIGHT(IFERROR(INDEX(醫師週班表!$C$5:$T$44,$CU31,M$57),""),1)="~",M$58=1),"",LEFT(IFERROR(INDEX(醫師週班表!$C$5:$T$44,$CU31,M$57),""),1)),IFERROR(INDEX(醫師週班表!$C$5:$T$44,$CU31,M$57),""))))))</f>
        <v/>
      </c>
      <c r="N31" s="67">
        <f>IF(N$59="X","",IF(N$59&lt;&gt;"",N$59,IF(IFERROR(INDEX(醫師週班表!$C$5:$T$44,$CU31,N$57),"")=0,"",IF(LEN(IFERROR(INDEX(醫師週班表!$C$5:$T$44,$CU31,N$57),""))=4,MID(IFERROR(INDEX(醫師週班表!$C$5:$T$44,$CU31,N$57),""),1+N$58*2,1),IF(LEN(IFERROR(INDEX(醫師週班表!$C$5:$T$44,$CU31,N$57),""))=2,IF(AND(RIGHT(IFERROR(INDEX(醫師週班表!$C$5:$T$44,$CU31,N$57),""),1)="~",N$58=1),"",LEFT(IFERROR(INDEX(醫師週班表!$C$5:$T$44,$CU31,N$57),""),1)),IFERROR(INDEX(醫師週班表!$C$5:$T$44,$CU31,N$57),""))))))</f>
        <v/>
      </c>
      <c r="O31" s="68">
        <f>IF(O$59="X","",IF(O$59&lt;&gt;"",O$59,IF(IFERROR(INDEX(醫師週班表!$C$5:$T$44,$CU31,O$57),"")=0,"",IF(LEN(IFERROR(INDEX(醫師週班表!$C$5:$T$44,$CU31,O$57),""))=4,MID(IFERROR(INDEX(醫師週班表!$C$5:$T$44,$CU31,O$57),""),1+O$58*2,1),IF(LEN(IFERROR(INDEX(醫師週班表!$C$5:$T$44,$CU31,O$57),""))=2,IF(AND(RIGHT(IFERROR(INDEX(醫師週班表!$C$5:$T$44,$CU31,O$57),""),1)="~",O$58=1),"",LEFT(IFERROR(INDEX(醫師週班表!$C$5:$T$44,$CU31,O$57),""),1)),IFERROR(INDEX(醫師週班表!$C$5:$T$44,$CU31,O$57),""))))))</f>
        <v/>
      </c>
      <c r="P31" s="68">
        <f>IF(P$59="X","",IF(P$59&lt;&gt;"",P$59,IF(IFERROR(INDEX(醫師週班表!$C$5:$T$44,$CU31,P$57),"")=0,"",IF(LEN(IFERROR(INDEX(醫師週班表!$C$5:$T$44,$CU31,P$57),""))=4,MID(IFERROR(INDEX(醫師週班表!$C$5:$T$44,$CU31,P$57),""),1+P$58*2,1),IF(LEN(IFERROR(INDEX(醫師週班表!$C$5:$T$44,$CU31,P$57),""))=2,IF(AND(RIGHT(IFERROR(INDEX(醫師週班表!$C$5:$T$44,$CU31,P$57),""),1)="~",P$58=1),"",LEFT(IFERROR(INDEX(醫師週班表!$C$5:$T$44,$CU31,P$57),""),1)),IFERROR(INDEX(醫師週班表!$C$5:$T$44,$CU31,P$57),""))))))</f>
        <v/>
      </c>
      <c r="Q31" s="67">
        <f>IF(Q$59="X","",IF(Q$59&lt;&gt;"",Q$59,IF(IFERROR(INDEX(醫師週班表!$C$5:$T$44,$CU31,Q$57),"")=0,"",IF(LEN(IFERROR(INDEX(醫師週班表!$C$5:$T$44,$CU31,Q$57),""))=4,MID(IFERROR(INDEX(醫師週班表!$C$5:$T$44,$CU31,Q$57),""),1+Q$58*2,1),IF(LEN(IFERROR(INDEX(醫師週班表!$C$5:$T$44,$CU31,Q$57),""))=2,IF(AND(RIGHT(IFERROR(INDEX(醫師週班表!$C$5:$T$44,$CU31,Q$57),""),1)="~",Q$58=1),"",LEFT(IFERROR(INDEX(醫師週班表!$C$5:$T$44,$CU31,Q$57),""),1)),IFERROR(INDEX(醫師週班表!$C$5:$T$44,$CU31,Q$57),""))))))</f>
        <v/>
      </c>
      <c r="R31" s="68">
        <f>IF(R$59="X","",IF(R$59&lt;&gt;"",R$59,IF(IFERROR(INDEX(醫師週班表!$C$5:$T$44,$CU31,R$57),"")=0,"",IF(LEN(IFERROR(INDEX(醫師週班表!$C$5:$T$44,$CU31,R$57),""))=4,MID(IFERROR(INDEX(醫師週班表!$C$5:$T$44,$CU31,R$57),""),1+R$58*2,1),IF(LEN(IFERROR(INDEX(醫師週班表!$C$5:$T$44,$CU31,R$57),""))=2,IF(AND(RIGHT(IFERROR(INDEX(醫師週班表!$C$5:$T$44,$CU31,R$57),""),1)="~",R$58=1),"",LEFT(IFERROR(INDEX(醫師週班表!$C$5:$T$44,$CU31,R$57),""),1)),IFERROR(INDEX(醫師週班表!$C$5:$T$44,$CU31,R$57),""))))))</f>
        <v/>
      </c>
      <c r="S31" s="68">
        <f>IF(S$59="X","",IF(S$59&lt;&gt;"",S$59,IF(IFERROR(INDEX(醫師週班表!$C$5:$T$44,$CU31,S$57),"")=0,"",IF(LEN(IFERROR(INDEX(醫師週班表!$C$5:$T$44,$CU31,S$57),""))=4,MID(IFERROR(INDEX(醫師週班表!$C$5:$T$44,$CU31,S$57),""),1+S$58*2,1),IF(LEN(IFERROR(INDEX(醫師週班表!$C$5:$T$44,$CU31,S$57),""))=2,IF(AND(RIGHT(IFERROR(INDEX(醫師週班表!$C$5:$T$44,$CU31,S$57),""),1)="~",S$58=1),"",LEFT(IFERROR(INDEX(醫師週班表!$C$5:$T$44,$CU31,S$57),""),1)),IFERROR(INDEX(醫師週班表!$C$5:$T$44,$CU31,S$57),""))))))</f>
        <v/>
      </c>
      <c r="T31" s="67">
        <f>IF(T$59="X","",IF(T$59&lt;&gt;"",T$59,IF(IFERROR(INDEX(醫師週班表!$C$5:$T$44,$CU31,T$57),"")=0,"",IF(LEN(IFERROR(INDEX(醫師週班表!$C$5:$T$44,$CU31,T$57),""))=4,MID(IFERROR(INDEX(醫師週班表!$C$5:$T$44,$CU31,T$57),""),1+T$58*2,1),IF(LEN(IFERROR(INDEX(醫師週班表!$C$5:$T$44,$CU31,T$57),""))=2,IF(AND(RIGHT(IFERROR(INDEX(醫師週班表!$C$5:$T$44,$CU31,T$57),""),1)="~",T$58=1),"",LEFT(IFERROR(INDEX(醫師週班表!$C$5:$T$44,$CU31,T$57),""),1)),IFERROR(INDEX(醫師週班表!$C$5:$T$44,$CU31,T$57),""))))))</f>
        <v/>
      </c>
      <c r="U31" s="68">
        <f>IF(U$59="X","",IF(U$59&lt;&gt;"",U$59,IF(IFERROR(INDEX(醫師週班表!$C$5:$T$44,$CU31,U$57),"")=0,"",IF(LEN(IFERROR(INDEX(醫師週班表!$C$5:$T$44,$CU31,U$57),""))=4,MID(IFERROR(INDEX(醫師週班表!$C$5:$T$44,$CU31,U$57),""),1+U$58*2,1),IF(LEN(IFERROR(INDEX(醫師週班表!$C$5:$T$44,$CU31,U$57),""))=2,IF(AND(RIGHT(IFERROR(INDEX(醫師週班表!$C$5:$T$44,$CU31,U$57),""),1)="~",U$58=1),"",LEFT(IFERROR(INDEX(醫師週班表!$C$5:$T$44,$CU31,U$57),""),1)),IFERROR(INDEX(醫師週班表!$C$5:$T$44,$CU31,U$57),""))))))</f>
        <v/>
      </c>
      <c r="V31" s="68">
        <f>IF(V$59="X","",IF(V$59&lt;&gt;"",V$59,IF(IFERROR(INDEX(醫師週班表!$C$5:$T$44,$CU31,V$57),"")=0,"",IF(LEN(IFERROR(INDEX(醫師週班表!$C$5:$T$44,$CU31,V$57),""))=4,MID(IFERROR(INDEX(醫師週班表!$C$5:$T$44,$CU31,V$57),""),1+V$58*2,1),IF(LEN(IFERROR(INDEX(醫師週班表!$C$5:$T$44,$CU31,V$57),""))=2,IF(AND(RIGHT(IFERROR(INDEX(醫師週班表!$C$5:$T$44,$CU31,V$57),""),1)="~",V$58=1),"",LEFT(IFERROR(INDEX(醫師週班表!$C$5:$T$44,$CU31,V$57),""),1)),IFERROR(INDEX(醫師週班表!$C$5:$T$44,$CU31,V$57),""))))))</f>
        <v/>
      </c>
      <c r="W31" s="67">
        <f>IF(W$59="X","",IF(W$59&lt;&gt;"",W$59,IF(IFERROR(INDEX(醫師週班表!$C$5:$T$44,$CU31,W$57),"")=0,"",IF(LEN(IFERROR(INDEX(醫師週班表!$C$5:$T$44,$CU31,W$57),""))=4,MID(IFERROR(INDEX(醫師週班表!$C$5:$T$44,$CU31,W$57),""),1+W$58*2,1),IF(LEN(IFERROR(INDEX(醫師週班表!$C$5:$T$44,$CU31,W$57),""))=2,IF(AND(RIGHT(IFERROR(INDEX(醫師週班表!$C$5:$T$44,$CU31,W$57),""),1)="~",W$58=1),"",LEFT(IFERROR(INDEX(醫師週班表!$C$5:$T$44,$CU31,W$57),""),1)),IFERROR(INDEX(醫師週班表!$C$5:$T$44,$CU31,W$57),""))))))</f>
        <v/>
      </c>
      <c r="X31" s="68">
        <f>IF(X$59="X","",IF(X$59&lt;&gt;"",X$59,IF(IFERROR(INDEX(醫師週班表!$C$5:$T$44,$CU31,X$57),"")=0,"",IF(LEN(IFERROR(INDEX(醫師週班表!$C$5:$T$44,$CU31,X$57),""))=4,MID(IFERROR(INDEX(醫師週班表!$C$5:$T$44,$CU31,X$57),""),1+X$58*2,1),IF(LEN(IFERROR(INDEX(醫師週班表!$C$5:$T$44,$CU31,X$57),""))=2,IF(AND(RIGHT(IFERROR(INDEX(醫師週班表!$C$5:$T$44,$CU31,X$57),""),1)="~",X$58=1),"",LEFT(IFERROR(INDEX(醫師週班表!$C$5:$T$44,$CU31,X$57),""),1)),IFERROR(INDEX(醫師週班表!$C$5:$T$44,$CU31,X$57),""))))))</f>
        <v/>
      </c>
      <c r="Y31" s="68">
        <f>IF(Y$59="X","",IF(Y$59&lt;&gt;"",Y$59,IF(IFERROR(INDEX(醫師週班表!$C$5:$T$44,$CU31,Y$57),"")=0,"",IF(LEN(IFERROR(INDEX(醫師週班表!$C$5:$T$44,$CU31,Y$57),""))=4,MID(IFERROR(INDEX(醫師週班表!$C$5:$T$44,$CU31,Y$57),""),1+Y$58*2,1),IF(LEN(IFERROR(INDEX(醫師週班表!$C$5:$T$44,$CU31,Y$57),""))=2,IF(AND(RIGHT(IFERROR(INDEX(醫師週班表!$C$5:$T$44,$CU31,Y$57),""),1)="~",Y$58=1),"",LEFT(IFERROR(INDEX(醫師週班表!$C$5:$T$44,$CU31,Y$57),""),1)),IFERROR(INDEX(醫師週班表!$C$5:$T$44,$CU31,Y$57),""))))))</f>
        <v/>
      </c>
      <c r="Z31" s="67">
        <f>IF(Z$59="X","",IF(Z$59&lt;&gt;"",Z$59,IF(IFERROR(INDEX(醫師週班表!$C$5:$T$44,$CU31,Z$57),"")=0,"",IF(LEN(IFERROR(INDEX(醫師週班表!$C$5:$T$44,$CU31,Z$57),""))=4,MID(IFERROR(INDEX(醫師週班表!$C$5:$T$44,$CU31,Z$57),""),1+Z$58*2,1),IF(LEN(IFERROR(INDEX(醫師週班表!$C$5:$T$44,$CU31,Z$57),""))=2,IF(AND(RIGHT(IFERROR(INDEX(醫師週班表!$C$5:$T$44,$CU31,Z$57),""),1)="~",Z$58=1),"",LEFT(IFERROR(INDEX(醫師週班表!$C$5:$T$44,$CU31,Z$57),""),1)),IFERROR(INDEX(醫師週班表!$C$5:$T$44,$CU31,Z$57),""))))))</f>
        <v/>
      </c>
      <c r="AA31" s="68">
        <f>IF(AA$59="X","",IF(AA$59&lt;&gt;"",AA$59,IF(IFERROR(INDEX(醫師週班表!$C$5:$T$44,$CU31,AA$57),"")=0,"",IF(LEN(IFERROR(INDEX(醫師週班表!$C$5:$T$44,$CU31,AA$57),""))=4,MID(IFERROR(INDEX(醫師週班表!$C$5:$T$44,$CU31,AA$57),""),1+AA$58*2,1),IF(LEN(IFERROR(INDEX(醫師週班表!$C$5:$T$44,$CU31,AA$57),""))=2,IF(AND(RIGHT(IFERROR(INDEX(醫師週班表!$C$5:$T$44,$CU31,AA$57),""),1)="~",AA$58=1),"",LEFT(IFERROR(INDEX(醫師週班表!$C$5:$T$44,$CU31,AA$57),""),1)),IFERROR(INDEX(醫師週班表!$C$5:$T$44,$CU31,AA$57),""))))))</f>
        <v/>
      </c>
      <c r="AB31" s="68">
        <f>IF(AB$59="X","",IF(AB$59&lt;&gt;"",AB$59,IF(IFERROR(INDEX(醫師週班表!$C$5:$T$44,$CU31,AB$57),"")=0,"",IF(LEN(IFERROR(INDEX(醫師週班表!$C$5:$T$44,$CU31,AB$57),""))=4,MID(IFERROR(INDEX(醫師週班表!$C$5:$T$44,$CU31,AB$57),""),1+AB$58*2,1),IF(LEN(IFERROR(INDEX(醫師週班表!$C$5:$T$44,$CU31,AB$57),""))=2,IF(AND(RIGHT(IFERROR(INDEX(醫師週班表!$C$5:$T$44,$CU31,AB$57),""),1)="~",AB$58=1),"",LEFT(IFERROR(INDEX(醫師週班表!$C$5:$T$44,$CU31,AB$57),""),1)),IFERROR(INDEX(醫師週班表!$C$5:$T$44,$CU31,AB$57),""))))))</f>
        <v/>
      </c>
      <c r="AC31" s="67">
        <f>IF(AC$59="X","",IF(AC$59&lt;&gt;"",AC$59,IF(IFERROR(INDEX(醫師週班表!$C$5:$T$44,$CU31,AC$57),"")=0,"",IF(LEN(IFERROR(INDEX(醫師週班表!$C$5:$T$44,$CU31,AC$57),""))=4,MID(IFERROR(INDEX(醫師週班表!$C$5:$T$44,$CU31,AC$57),""),1+AC$58*2,1),IF(LEN(IFERROR(INDEX(醫師週班表!$C$5:$T$44,$CU31,AC$57),""))=2,IF(AND(RIGHT(IFERROR(INDEX(醫師週班表!$C$5:$T$44,$CU31,AC$57),""),1)="~",AC$58=1),"",LEFT(IFERROR(INDEX(醫師週班表!$C$5:$T$44,$CU31,AC$57),""),1)),IFERROR(INDEX(醫師週班表!$C$5:$T$44,$CU31,AC$57),""))))))</f>
        <v/>
      </c>
      <c r="AD31" s="68">
        <f>IF(AD$59="X","",IF(AD$59&lt;&gt;"",AD$59,IF(IFERROR(INDEX(醫師週班表!$C$5:$T$44,$CU31,AD$57),"")=0,"",IF(LEN(IFERROR(INDEX(醫師週班表!$C$5:$T$44,$CU31,AD$57),""))=4,MID(IFERROR(INDEX(醫師週班表!$C$5:$T$44,$CU31,AD$57),""),1+AD$58*2,1),IF(LEN(IFERROR(INDEX(醫師週班表!$C$5:$T$44,$CU31,AD$57),""))=2,IF(AND(RIGHT(IFERROR(INDEX(醫師週班表!$C$5:$T$44,$CU31,AD$57),""),1)="~",AD$58=1),"",LEFT(IFERROR(INDEX(醫師週班表!$C$5:$T$44,$CU31,AD$57),""),1)),IFERROR(INDEX(醫師週班表!$C$5:$T$44,$CU31,AD$57),""))))))</f>
        <v/>
      </c>
      <c r="AE31" s="68">
        <f>IF(AE$59="X","",IF(AE$59&lt;&gt;"",AE$59,IF(IFERROR(INDEX(醫師週班表!$C$5:$T$44,$CU31,AE$57),"")=0,"",IF(LEN(IFERROR(INDEX(醫師週班表!$C$5:$T$44,$CU31,AE$57),""))=4,MID(IFERROR(INDEX(醫師週班表!$C$5:$T$44,$CU31,AE$57),""),1+AE$58*2,1),IF(LEN(IFERROR(INDEX(醫師週班表!$C$5:$T$44,$CU31,AE$57),""))=2,IF(AND(RIGHT(IFERROR(INDEX(醫師週班表!$C$5:$T$44,$CU31,AE$57),""),1)="~",AE$58=1),"",LEFT(IFERROR(INDEX(醫師週班表!$C$5:$T$44,$CU31,AE$57),""),1)),IFERROR(INDEX(醫師週班表!$C$5:$T$44,$CU31,AE$57),""))))))</f>
        <v/>
      </c>
      <c r="AF31" s="67">
        <f>IF(AF$59="X","",IF(AF$59&lt;&gt;"",AF$59,IF(IFERROR(INDEX(醫師週班表!$C$5:$T$44,$CU31,AF$57),"")=0,"",IF(LEN(IFERROR(INDEX(醫師週班表!$C$5:$T$44,$CU31,AF$57),""))=4,MID(IFERROR(INDEX(醫師週班表!$C$5:$T$44,$CU31,AF$57),""),1+AF$58*2,1),IF(LEN(IFERROR(INDEX(醫師週班表!$C$5:$T$44,$CU31,AF$57),""))=2,IF(AND(RIGHT(IFERROR(INDEX(醫師週班表!$C$5:$T$44,$CU31,AF$57),""),1)="~",AF$58=1),"",LEFT(IFERROR(INDEX(醫師週班表!$C$5:$T$44,$CU31,AF$57),""),1)),IFERROR(INDEX(醫師週班表!$C$5:$T$44,$CU31,AF$57),""))))))</f>
        <v/>
      </c>
      <c r="AG31" s="68">
        <f>IF(AG$59="X","",IF(AG$59&lt;&gt;"",AG$59,IF(IFERROR(INDEX(醫師週班表!$C$5:$T$44,$CU31,AG$57),"")=0,"",IF(LEN(IFERROR(INDEX(醫師週班表!$C$5:$T$44,$CU31,AG$57),""))=4,MID(IFERROR(INDEX(醫師週班表!$C$5:$T$44,$CU31,AG$57),""),1+AG$58*2,1),IF(LEN(IFERROR(INDEX(醫師週班表!$C$5:$T$44,$CU31,AG$57),""))=2,IF(AND(RIGHT(IFERROR(INDEX(醫師週班表!$C$5:$T$44,$CU31,AG$57),""),1)="~",AG$58=1),"",LEFT(IFERROR(INDEX(醫師週班表!$C$5:$T$44,$CU31,AG$57),""),1)),IFERROR(INDEX(醫師週班表!$C$5:$T$44,$CU31,AG$57),""))))))</f>
        <v/>
      </c>
      <c r="AH31" s="68">
        <f>IF(AH$59="X","",IF(AH$59&lt;&gt;"",AH$59,IF(IFERROR(INDEX(醫師週班表!$C$5:$T$44,$CU31,AH$57),"")=0,"",IF(LEN(IFERROR(INDEX(醫師週班表!$C$5:$T$44,$CU31,AH$57),""))=4,MID(IFERROR(INDEX(醫師週班表!$C$5:$T$44,$CU31,AH$57),""),1+AH$58*2,1),IF(LEN(IFERROR(INDEX(醫師週班表!$C$5:$T$44,$CU31,AH$57),""))=2,IF(AND(RIGHT(IFERROR(INDEX(醫師週班表!$C$5:$T$44,$CU31,AH$57),""),1)="~",AH$58=1),"",LEFT(IFERROR(INDEX(醫師週班表!$C$5:$T$44,$CU31,AH$57),""),1)),IFERROR(INDEX(醫師週班表!$C$5:$T$44,$CU31,AH$57),""))))))</f>
        <v/>
      </c>
      <c r="AI31" s="67">
        <f>IF(AI$59="X","",IF(AI$59&lt;&gt;"",AI$59,IF(IFERROR(INDEX(醫師週班表!$C$5:$T$44,$CU31,AI$57),"")=0,"",IF(LEN(IFERROR(INDEX(醫師週班表!$C$5:$T$44,$CU31,AI$57),""))=4,MID(IFERROR(INDEX(醫師週班表!$C$5:$T$44,$CU31,AI$57),""),1+AI$58*2,1),IF(LEN(IFERROR(INDEX(醫師週班表!$C$5:$T$44,$CU31,AI$57),""))=2,IF(AND(RIGHT(IFERROR(INDEX(醫師週班表!$C$5:$T$44,$CU31,AI$57),""),1)="~",AI$58=1),"",LEFT(IFERROR(INDEX(醫師週班表!$C$5:$T$44,$CU31,AI$57),""),1)),IFERROR(INDEX(醫師週班表!$C$5:$T$44,$CU31,AI$57),""))))))</f>
        <v/>
      </c>
      <c r="AJ31" s="68">
        <f>IF(AJ$59="X","",IF(AJ$59&lt;&gt;"",AJ$59,IF(IFERROR(INDEX(醫師週班表!$C$5:$T$44,$CU31,AJ$57),"")=0,"",IF(LEN(IFERROR(INDEX(醫師週班表!$C$5:$T$44,$CU31,AJ$57),""))=4,MID(IFERROR(INDEX(醫師週班表!$C$5:$T$44,$CU31,AJ$57),""),1+AJ$58*2,1),IF(LEN(IFERROR(INDEX(醫師週班表!$C$5:$T$44,$CU31,AJ$57),""))=2,IF(AND(RIGHT(IFERROR(INDEX(醫師週班表!$C$5:$T$44,$CU31,AJ$57),""),1)="~",AJ$58=1),"",LEFT(IFERROR(INDEX(醫師週班表!$C$5:$T$44,$CU31,AJ$57),""),1)),IFERROR(INDEX(醫師週班表!$C$5:$T$44,$CU31,AJ$57),""))))))</f>
        <v/>
      </c>
      <c r="AK31" s="68">
        <f>IF(AK$59="X","",IF(AK$59&lt;&gt;"",AK$59,IF(IFERROR(INDEX(醫師週班表!$C$5:$T$44,$CU31,AK$57),"")=0,"",IF(LEN(IFERROR(INDEX(醫師週班表!$C$5:$T$44,$CU31,AK$57),""))=4,MID(IFERROR(INDEX(醫師週班表!$C$5:$T$44,$CU31,AK$57),""),1+AK$58*2,1),IF(LEN(IFERROR(INDEX(醫師週班表!$C$5:$T$44,$CU31,AK$57),""))=2,IF(AND(RIGHT(IFERROR(INDEX(醫師週班表!$C$5:$T$44,$CU31,AK$57),""),1)="~",AK$58=1),"",LEFT(IFERROR(INDEX(醫師週班表!$C$5:$T$44,$CU31,AK$57),""),1)),IFERROR(INDEX(醫師週班表!$C$5:$T$44,$CU31,AK$57),""))))))</f>
        <v/>
      </c>
      <c r="AL31" s="67">
        <f>IF(AL$59="X","",IF(AL$59&lt;&gt;"",AL$59,IF(IFERROR(INDEX(醫師週班表!$C$5:$T$44,$CU31,AL$57),"")=0,"",IF(LEN(IFERROR(INDEX(醫師週班表!$C$5:$T$44,$CU31,AL$57),""))=4,MID(IFERROR(INDEX(醫師週班表!$C$5:$T$44,$CU31,AL$57),""),1+AL$58*2,1),IF(LEN(IFERROR(INDEX(醫師週班表!$C$5:$T$44,$CU31,AL$57),""))=2,IF(AND(RIGHT(IFERROR(INDEX(醫師週班表!$C$5:$T$44,$CU31,AL$57),""),1)="~",AL$58=1),"",LEFT(IFERROR(INDEX(醫師週班表!$C$5:$T$44,$CU31,AL$57),""),1)),IFERROR(INDEX(醫師週班表!$C$5:$T$44,$CU31,AL$57),""))))))</f>
        <v/>
      </c>
      <c r="AM31" s="68">
        <f>IF(AM$59="X","",IF(AM$59&lt;&gt;"",AM$59,IF(IFERROR(INDEX(醫師週班表!$C$5:$T$44,$CU31,AM$57),"")=0,"",IF(LEN(IFERROR(INDEX(醫師週班表!$C$5:$T$44,$CU31,AM$57),""))=4,MID(IFERROR(INDEX(醫師週班表!$C$5:$T$44,$CU31,AM$57),""),1+AM$58*2,1),IF(LEN(IFERROR(INDEX(醫師週班表!$C$5:$T$44,$CU31,AM$57),""))=2,IF(AND(RIGHT(IFERROR(INDEX(醫師週班表!$C$5:$T$44,$CU31,AM$57),""),1)="~",AM$58=1),"",LEFT(IFERROR(INDEX(醫師週班表!$C$5:$T$44,$CU31,AM$57),""),1)),IFERROR(INDEX(醫師週班表!$C$5:$T$44,$CU31,AM$57),""))))))</f>
        <v/>
      </c>
      <c r="AN31" s="68">
        <f>IF(AN$59="X","",IF(AN$59&lt;&gt;"",AN$59,IF(IFERROR(INDEX(醫師週班表!$C$5:$T$44,$CU31,AN$57),"")=0,"",IF(LEN(IFERROR(INDEX(醫師週班表!$C$5:$T$44,$CU31,AN$57),""))=4,MID(IFERROR(INDEX(醫師週班表!$C$5:$T$44,$CU31,AN$57),""),1+AN$58*2,1),IF(LEN(IFERROR(INDEX(醫師週班表!$C$5:$T$44,$CU31,AN$57),""))=2,IF(AND(RIGHT(IFERROR(INDEX(醫師週班表!$C$5:$T$44,$CU31,AN$57),""),1)="~",AN$58=1),"",LEFT(IFERROR(INDEX(醫師週班表!$C$5:$T$44,$CU31,AN$57),""),1)),IFERROR(INDEX(醫師週班表!$C$5:$T$44,$CU31,AN$57),""))))))</f>
        <v/>
      </c>
      <c r="AO31" s="67">
        <f>IF(AO$59="X","",IF(AO$59&lt;&gt;"",AO$59,IF(IFERROR(INDEX(醫師週班表!$C$5:$T$44,$CU31,AO$57),"")=0,"",IF(LEN(IFERROR(INDEX(醫師週班表!$C$5:$T$44,$CU31,AO$57),""))=4,MID(IFERROR(INDEX(醫師週班表!$C$5:$T$44,$CU31,AO$57),""),1+AO$58*2,1),IF(LEN(IFERROR(INDEX(醫師週班表!$C$5:$T$44,$CU31,AO$57),""))=2,IF(AND(RIGHT(IFERROR(INDEX(醫師週班表!$C$5:$T$44,$CU31,AO$57),""),1)="~",AO$58=1),"",LEFT(IFERROR(INDEX(醫師週班表!$C$5:$T$44,$CU31,AO$57),""),1)),IFERROR(INDEX(醫師週班表!$C$5:$T$44,$CU31,AO$57),""))))))</f>
        <v/>
      </c>
      <c r="AP31" s="68">
        <f>IF(AP$59="X","",IF(AP$59&lt;&gt;"",AP$59,IF(IFERROR(INDEX(醫師週班表!$C$5:$T$44,$CU31,AP$57),"")=0,"",IF(LEN(IFERROR(INDEX(醫師週班表!$C$5:$T$44,$CU31,AP$57),""))=4,MID(IFERROR(INDEX(醫師週班表!$C$5:$T$44,$CU31,AP$57),""),1+AP$58*2,1),IF(LEN(IFERROR(INDEX(醫師週班表!$C$5:$T$44,$CU31,AP$57),""))=2,IF(AND(RIGHT(IFERROR(INDEX(醫師週班表!$C$5:$T$44,$CU31,AP$57),""),1)="~",AP$58=1),"",LEFT(IFERROR(INDEX(醫師週班表!$C$5:$T$44,$CU31,AP$57),""),1)),IFERROR(INDEX(醫師週班表!$C$5:$T$44,$CU31,AP$57),""))))))</f>
        <v/>
      </c>
      <c r="AQ31" s="68">
        <f>IF(AQ$59="X","",IF(AQ$59&lt;&gt;"",AQ$59,IF(IFERROR(INDEX(醫師週班表!$C$5:$T$44,$CU31,AQ$57),"")=0,"",IF(LEN(IFERROR(INDEX(醫師週班表!$C$5:$T$44,$CU31,AQ$57),""))=4,MID(IFERROR(INDEX(醫師週班表!$C$5:$T$44,$CU31,AQ$57),""),1+AQ$58*2,1),IF(LEN(IFERROR(INDEX(醫師週班表!$C$5:$T$44,$CU31,AQ$57),""))=2,IF(AND(RIGHT(IFERROR(INDEX(醫師週班表!$C$5:$T$44,$CU31,AQ$57),""),1)="~",AQ$58=1),"",LEFT(IFERROR(INDEX(醫師週班表!$C$5:$T$44,$CU31,AQ$57),""),1)),IFERROR(INDEX(醫師週班表!$C$5:$T$44,$CU31,AQ$57),""))))))</f>
        <v/>
      </c>
      <c r="AR31" s="67">
        <f>IF(AR$59="X","",IF(AR$59&lt;&gt;"",AR$59,IF(IFERROR(INDEX(醫師週班表!$C$5:$T$44,$CU31,AR$57),"")=0,"",IF(LEN(IFERROR(INDEX(醫師週班表!$C$5:$T$44,$CU31,AR$57),""))=4,MID(IFERROR(INDEX(醫師週班表!$C$5:$T$44,$CU31,AR$57),""),1+AR$58*2,1),IF(LEN(IFERROR(INDEX(醫師週班表!$C$5:$T$44,$CU31,AR$57),""))=2,IF(AND(RIGHT(IFERROR(INDEX(醫師週班表!$C$5:$T$44,$CU31,AR$57),""),1)="~",AR$58=1),"",LEFT(IFERROR(INDEX(醫師週班表!$C$5:$T$44,$CU31,AR$57),""),1)),IFERROR(INDEX(醫師週班表!$C$5:$T$44,$CU31,AR$57),""))))))</f>
        <v/>
      </c>
      <c r="AS31" s="68">
        <f>IF(AS$59="X","",IF(AS$59&lt;&gt;"",AS$59,IF(IFERROR(INDEX(醫師週班表!$C$5:$T$44,$CU31,AS$57),"")=0,"",IF(LEN(IFERROR(INDEX(醫師週班表!$C$5:$T$44,$CU31,AS$57),""))=4,MID(IFERROR(INDEX(醫師週班表!$C$5:$T$44,$CU31,AS$57),""),1+AS$58*2,1),IF(LEN(IFERROR(INDEX(醫師週班表!$C$5:$T$44,$CU31,AS$57),""))=2,IF(AND(RIGHT(IFERROR(INDEX(醫師週班表!$C$5:$T$44,$CU31,AS$57),""),1)="~",AS$58=1),"",LEFT(IFERROR(INDEX(醫師週班表!$C$5:$T$44,$CU31,AS$57),""),1)),IFERROR(INDEX(醫師週班表!$C$5:$T$44,$CU31,AS$57),""))))))</f>
        <v/>
      </c>
      <c r="AT31" s="68">
        <f>IF(AT$59="X","",IF(AT$59&lt;&gt;"",AT$59,IF(IFERROR(INDEX(醫師週班表!$C$5:$T$44,$CU31,AT$57),"")=0,"",IF(LEN(IFERROR(INDEX(醫師週班表!$C$5:$T$44,$CU31,AT$57),""))=4,MID(IFERROR(INDEX(醫師週班表!$C$5:$T$44,$CU31,AT$57),""),1+AT$58*2,1),IF(LEN(IFERROR(INDEX(醫師週班表!$C$5:$T$44,$CU31,AT$57),""))=2,IF(AND(RIGHT(IFERROR(INDEX(醫師週班表!$C$5:$T$44,$CU31,AT$57),""),1)="~",AT$58=1),"",LEFT(IFERROR(INDEX(醫師週班表!$C$5:$T$44,$CU31,AT$57),""),1)),IFERROR(INDEX(醫師週班表!$C$5:$T$44,$CU31,AT$57),""))))))</f>
        <v/>
      </c>
      <c r="AU31" s="67">
        <f>IF(AU$59="X","",IF(AU$59&lt;&gt;"",AU$59,IF(IFERROR(INDEX(醫師週班表!$C$5:$T$44,$CU31,AU$57),"")=0,"",IF(LEN(IFERROR(INDEX(醫師週班表!$C$5:$T$44,$CU31,AU$57),""))=4,MID(IFERROR(INDEX(醫師週班表!$C$5:$T$44,$CU31,AU$57),""),1+AU$58*2,1),IF(LEN(IFERROR(INDEX(醫師週班表!$C$5:$T$44,$CU31,AU$57),""))=2,IF(AND(RIGHT(IFERROR(INDEX(醫師週班表!$C$5:$T$44,$CU31,AU$57),""),1)="~",AU$58=1),"",LEFT(IFERROR(INDEX(醫師週班表!$C$5:$T$44,$CU31,AU$57),""),1)),IFERROR(INDEX(醫師週班表!$C$5:$T$44,$CU31,AU$57),""))))))</f>
        <v/>
      </c>
      <c r="AV31" s="68">
        <f>IF(AV$59="X","",IF(AV$59&lt;&gt;"",AV$59,IF(IFERROR(INDEX(醫師週班表!$C$5:$T$44,$CU31,AV$57),"")=0,"",IF(LEN(IFERROR(INDEX(醫師週班表!$C$5:$T$44,$CU31,AV$57),""))=4,MID(IFERROR(INDEX(醫師週班表!$C$5:$T$44,$CU31,AV$57),""),1+AV$58*2,1),IF(LEN(IFERROR(INDEX(醫師週班表!$C$5:$T$44,$CU31,AV$57),""))=2,IF(AND(RIGHT(IFERROR(INDEX(醫師週班表!$C$5:$T$44,$CU31,AV$57),""),1)="~",AV$58=1),"",LEFT(IFERROR(INDEX(醫師週班表!$C$5:$T$44,$CU31,AV$57),""),1)),IFERROR(INDEX(醫師週班表!$C$5:$T$44,$CU31,AV$57),""))))))</f>
        <v/>
      </c>
      <c r="AW31" s="68">
        <f>IF(AW$59="X","",IF(AW$59&lt;&gt;"",AW$59,IF(IFERROR(INDEX(醫師週班表!$C$5:$T$44,$CU31,AW$57),"")=0,"",IF(LEN(IFERROR(INDEX(醫師週班表!$C$5:$T$44,$CU31,AW$57),""))=4,MID(IFERROR(INDEX(醫師週班表!$C$5:$T$44,$CU31,AW$57),""),1+AW$58*2,1),IF(LEN(IFERROR(INDEX(醫師週班表!$C$5:$T$44,$CU31,AW$57),""))=2,IF(AND(RIGHT(IFERROR(INDEX(醫師週班表!$C$5:$T$44,$CU31,AW$57),""),1)="~",AW$58=1),"",LEFT(IFERROR(INDEX(醫師週班表!$C$5:$T$44,$CU31,AW$57),""),1)),IFERROR(INDEX(醫師週班表!$C$5:$T$44,$CU31,AW$57),""))))))</f>
        <v/>
      </c>
      <c r="AX31" s="67">
        <f>IF(AX$59="X","",IF(AX$59&lt;&gt;"",AX$59,IF(IFERROR(INDEX(醫師週班表!$C$5:$T$44,$CU31,AX$57),"")=0,"",IF(LEN(IFERROR(INDEX(醫師週班表!$C$5:$T$44,$CU31,AX$57),""))=4,MID(IFERROR(INDEX(醫師週班表!$C$5:$T$44,$CU31,AX$57),""),1+AX$58*2,1),IF(LEN(IFERROR(INDEX(醫師週班表!$C$5:$T$44,$CU31,AX$57),""))=2,IF(AND(RIGHT(IFERROR(INDEX(醫師週班表!$C$5:$T$44,$CU31,AX$57),""),1)="~",AX$58=1),"",LEFT(IFERROR(INDEX(醫師週班表!$C$5:$T$44,$CU31,AX$57),""),1)),IFERROR(INDEX(醫師週班表!$C$5:$T$44,$CU31,AX$57),""))))))</f>
        <v/>
      </c>
      <c r="AY31" s="68">
        <f>IF(AY$59="X","",IF(AY$59&lt;&gt;"",AY$59,IF(IFERROR(INDEX(醫師週班表!$C$5:$T$44,$CU31,AY$57),"")=0,"",IF(LEN(IFERROR(INDEX(醫師週班表!$C$5:$T$44,$CU31,AY$57),""))=4,MID(IFERROR(INDEX(醫師週班表!$C$5:$T$44,$CU31,AY$57),""),1+AY$58*2,1),IF(LEN(IFERROR(INDEX(醫師週班表!$C$5:$T$44,$CU31,AY$57),""))=2,IF(AND(RIGHT(IFERROR(INDEX(醫師週班表!$C$5:$T$44,$CU31,AY$57),""),1)="~",AY$58=1),"",LEFT(IFERROR(INDEX(醫師週班表!$C$5:$T$44,$CU31,AY$57),""),1)),IFERROR(INDEX(醫師週班表!$C$5:$T$44,$CU31,AY$57),""))))))</f>
        <v/>
      </c>
      <c r="AZ31" s="68">
        <f>IF(AZ$59="X","",IF(AZ$59&lt;&gt;"",AZ$59,IF(IFERROR(INDEX(醫師週班表!$C$5:$T$44,$CU31,AZ$57),"")=0,"",IF(LEN(IFERROR(INDEX(醫師週班表!$C$5:$T$44,$CU31,AZ$57),""))=4,MID(IFERROR(INDEX(醫師週班表!$C$5:$T$44,$CU31,AZ$57),""),1+AZ$58*2,1),IF(LEN(IFERROR(INDEX(醫師週班表!$C$5:$T$44,$CU31,AZ$57),""))=2,IF(AND(RIGHT(IFERROR(INDEX(醫師週班表!$C$5:$T$44,$CU31,AZ$57),""),1)="~",AZ$58=1),"",LEFT(IFERROR(INDEX(醫師週班表!$C$5:$T$44,$CU31,AZ$57),""),1)),IFERROR(INDEX(醫師週班表!$C$5:$T$44,$CU31,AZ$57),""))))))</f>
        <v/>
      </c>
      <c r="BA31" s="67">
        <f>IF(BA$59="X","",IF(BA$59&lt;&gt;"",BA$59,IF(IFERROR(INDEX(醫師週班表!$C$5:$T$44,$CU31,BA$57),"")=0,"",IF(LEN(IFERROR(INDEX(醫師週班表!$C$5:$T$44,$CU31,BA$57),""))=4,MID(IFERROR(INDEX(醫師週班表!$C$5:$T$44,$CU31,BA$57),""),1+BA$58*2,1),IF(LEN(IFERROR(INDEX(醫師週班表!$C$5:$T$44,$CU31,BA$57),""))=2,IF(AND(RIGHT(IFERROR(INDEX(醫師週班表!$C$5:$T$44,$CU31,BA$57),""),1)="~",BA$58=1),"",LEFT(IFERROR(INDEX(醫師週班表!$C$5:$T$44,$CU31,BA$57),""),1)),IFERROR(INDEX(醫師週班表!$C$5:$T$44,$CU31,BA$57),""))))))</f>
        <v/>
      </c>
      <c r="BB31" s="68">
        <f>IF(BB$59="X","",IF(BB$59&lt;&gt;"",BB$59,IF(IFERROR(INDEX(醫師週班表!$C$5:$T$44,$CU31,BB$57),"")=0,"",IF(LEN(IFERROR(INDEX(醫師週班表!$C$5:$T$44,$CU31,BB$57),""))=4,MID(IFERROR(INDEX(醫師週班表!$C$5:$T$44,$CU31,BB$57),""),1+BB$58*2,1),IF(LEN(IFERROR(INDEX(醫師週班表!$C$5:$T$44,$CU31,BB$57),""))=2,IF(AND(RIGHT(IFERROR(INDEX(醫師週班表!$C$5:$T$44,$CU31,BB$57),""),1)="~",BB$58=1),"",LEFT(IFERROR(INDEX(醫師週班表!$C$5:$T$44,$CU31,BB$57),""),1)),IFERROR(INDEX(醫師週班表!$C$5:$T$44,$CU31,BB$57),""))))))</f>
        <v/>
      </c>
      <c r="BC31" s="68">
        <f>IF(BC$59="X","",IF(BC$59&lt;&gt;"",BC$59,IF(IFERROR(INDEX(醫師週班表!$C$5:$T$44,$CU31,BC$57),"")=0,"",IF(LEN(IFERROR(INDEX(醫師週班表!$C$5:$T$44,$CU31,BC$57),""))=4,MID(IFERROR(INDEX(醫師週班表!$C$5:$T$44,$CU31,BC$57),""),1+BC$58*2,1),IF(LEN(IFERROR(INDEX(醫師週班表!$C$5:$T$44,$CU31,BC$57),""))=2,IF(AND(RIGHT(IFERROR(INDEX(醫師週班表!$C$5:$T$44,$CU31,BC$57),""),1)="~",BC$58=1),"",LEFT(IFERROR(INDEX(醫師週班表!$C$5:$T$44,$CU31,BC$57),""),1)),IFERROR(INDEX(醫師週班表!$C$5:$T$44,$CU31,BC$57),""))))))</f>
        <v/>
      </c>
      <c r="BD31" s="67">
        <f>IF(BD$59="X","",IF(BD$59&lt;&gt;"",BD$59,IF(IFERROR(INDEX(醫師週班表!$C$5:$T$44,$CU31,BD$57),"")=0,"",IF(LEN(IFERROR(INDEX(醫師週班表!$C$5:$T$44,$CU31,BD$57),""))=4,MID(IFERROR(INDEX(醫師週班表!$C$5:$T$44,$CU31,BD$57),""),1+BD$58*2,1),IF(LEN(IFERROR(INDEX(醫師週班表!$C$5:$T$44,$CU31,BD$57),""))=2,IF(AND(RIGHT(IFERROR(INDEX(醫師週班表!$C$5:$T$44,$CU31,BD$57),""),1)="~",BD$58=1),"",LEFT(IFERROR(INDEX(醫師週班表!$C$5:$T$44,$CU31,BD$57),""),1)),IFERROR(INDEX(醫師週班表!$C$5:$T$44,$CU31,BD$57),""))))))</f>
        <v/>
      </c>
      <c r="BE31" s="68">
        <f>IF(BE$59="X","",IF(BE$59&lt;&gt;"",BE$59,IF(IFERROR(INDEX(醫師週班表!$C$5:$T$44,$CU31,BE$57),"")=0,"",IF(LEN(IFERROR(INDEX(醫師週班表!$C$5:$T$44,$CU31,BE$57),""))=4,MID(IFERROR(INDEX(醫師週班表!$C$5:$T$44,$CU31,BE$57),""),1+BE$58*2,1),IF(LEN(IFERROR(INDEX(醫師週班表!$C$5:$T$44,$CU31,BE$57),""))=2,IF(AND(RIGHT(IFERROR(INDEX(醫師週班表!$C$5:$T$44,$CU31,BE$57),""),1)="~",BE$58=1),"",LEFT(IFERROR(INDEX(醫師週班表!$C$5:$T$44,$CU31,BE$57),""),1)),IFERROR(INDEX(醫師週班表!$C$5:$T$44,$CU31,BE$57),""))))))</f>
        <v/>
      </c>
      <c r="BF31" s="68">
        <f>IF(BF$59="X","",IF(BF$59&lt;&gt;"",BF$59,IF(IFERROR(INDEX(醫師週班表!$C$5:$T$44,$CU31,BF$57),"")=0,"",IF(LEN(IFERROR(INDEX(醫師週班表!$C$5:$T$44,$CU31,BF$57),""))=4,MID(IFERROR(INDEX(醫師週班表!$C$5:$T$44,$CU31,BF$57),""),1+BF$58*2,1),IF(LEN(IFERROR(INDEX(醫師週班表!$C$5:$T$44,$CU31,BF$57),""))=2,IF(AND(RIGHT(IFERROR(INDEX(醫師週班表!$C$5:$T$44,$CU31,BF$57),""),1)="~",BF$58=1),"",LEFT(IFERROR(INDEX(醫師週班表!$C$5:$T$44,$CU31,BF$57),""),1)),IFERROR(INDEX(醫師週班表!$C$5:$T$44,$CU31,BF$57),""))))))</f>
        <v/>
      </c>
      <c r="BG31" s="67">
        <f>IF(BG$59="X","",IF(BG$59&lt;&gt;"",BG$59,IF(IFERROR(INDEX(醫師週班表!$C$5:$T$44,$CU31,BG$57),"")=0,"",IF(LEN(IFERROR(INDEX(醫師週班表!$C$5:$T$44,$CU31,BG$57),""))=4,MID(IFERROR(INDEX(醫師週班表!$C$5:$T$44,$CU31,BG$57),""),1+BG$58*2,1),IF(LEN(IFERROR(INDEX(醫師週班表!$C$5:$T$44,$CU31,BG$57),""))=2,IF(AND(RIGHT(IFERROR(INDEX(醫師週班表!$C$5:$T$44,$CU31,BG$57),""),1)="~",BG$58=1),"",LEFT(IFERROR(INDEX(醫師週班表!$C$5:$T$44,$CU31,BG$57),""),1)),IFERROR(INDEX(醫師週班表!$C$5:$T$44,$CU31,BG$57),""))))))</f>
        <v/>
      </c>
      <c r="BH31" s="68">
        <f>IF(BH$59="X","",IF(BH$59&lt;&gt;"",BH$59,IF(IFERROR(INDEX(醫師週班表!$C$5:$T$44,$CU31,BH$57),"")=0,"",IF(LEN(IFERROR(INDEX(醫師週班表!$C$5:$T$44,$CU31,BH$57),""))=4,MID(IFERROR(INDEX(醫師週班表!$C$5:$T$44,$CU31,BH$57),""),1+BH$58*2,1),IF(LEN(IFERROR(INDEX(醫師週班表!$C$5:$T$44,$CU31,BH$57),""))=2,IF(AND(RIGHT(IFERROR(INDEX(醫師週班表!$C$5:$T$44,$CU31,BH$57),""),1)="~",BH$58=1),"",LEFT(IFERROR(INDEX(醫師週班表!$C$5:$T$44,$CU31,BH$57),""),1)),IFERROR(INDEX(醫師週班表!$C$5:$T$44,$CU31,BH$57),""))))))</f>
        <v/>
      </c>
      <c r="BI31" s="68">
        <f>IF(BI$59="X","",IF(BI$59&lt;&gt;"",BI$59,IF(IFERROR(INDEX(醫師週班表!$C$5:$T$44,$CU31,BI$57),"")=0,"",IF(LEN(IFERROR(INDEX(醫師週班表!$C$5:$T$44,$CU31,BI$57),""))=4,MID(IFERROR(INDEX(醫師週班表!$C$5:$T$44,$CU31,BI$57),""),1+BI$58*2,1),IF(LEN(IFERROR(INDEX(醫師週班表!$C$5:$T$44,$CU31,BI$57),""))=2,IF(AND(RIGHT(IFERROR(INDEX(醫師週班表!$C$5:$T$44,$CU31,BI$57),""),1)="~",BI$58=1),"",LEFT(IFERROR(INDEX(醫師週班表!$C$5:$T$44,$CU31,BI$57),""),1)),IFERROR(INDEX(醫師週班表!$C$5:$T$44,$CU31,BI$57),""))))))</f>
        <v/>
      </c>
      <c r="BJ31" s="67">
        <f>IF(BJ$59="X","",IF(BJ$59&lt;&gt;"",BJ$59,IF(IFERROR(INDEX(醫師週班表!$C$5:$T$44,$CU31,BJ$57),"")=0,"",IF(LEN(IFERROR(INDEX(醫師週班表!$C$5:$T$44,$CU31,BJ$57),""))=4,MID(IFERROR(INDEX(醫師週班表!$C$5:$T$44,$CU31,BJ$57),""),1+BJ$58*2,1),IF(LEN(IFERROR(INDEX(醫師週班表!$C$5:$T$44,$CU31,BJ$57),""))=2,IF(AND(RIGHT(IFERROR(INDEX(醫師週班表!$C$5:$T$44,$CU31,BJ$57),""),1)="~",BJ$58=1),"",LEFT(IFERROR(INDEX(醫師週班表!$C$5:$T$44,$CU31,BJ$57),""),1)),IFERROR(INDEX(醫師週班表!$C$5:$T$44,$CU31,BJ$57),""))))))</f>
        <v/>
      </c>
      <c r="BK31" s="68">
        <f>IF(BK$59="X","",IF(BK$59&lt;&gt;"",BK$59,IF(IFERROR(INDEX(醫師週班表!$C$5:$T$44,$CU31,BK$57),"")=0,"",IF(LEN(IFERROR(INDEX(醫師週班表!$C$5:$T$44,$CU31,BK$57),""))=4,MID(IFERROR(INDEX(醫師週班表!$C$5:$T$44,$CU31,BK$57),""),1+BK$58*2,1),IF(LEN(IFERROR(INDEX(醫師週班表!$C$5:$T$44,$CU31,BK$57),""))=2,IF(AND(RIGHT(IFERROR(INDEX(醫師週班表!$C$5:$T$44,$CU31,BK$57),""),1)="~",BK$58=1),"",LEFT(IFERROR(INDEX(醫師週班表!$C$5:$T$44,$CU31,BK$57),""),1)),IFERROR(INDEX(醫師週班表!$C$5:$T$44,$CU31,BK$57),""))))))</f>
        <v/>
      </c>
      <c r="BL31" s="68">
        <f>IF(BL$59="X","",IF(BL$59&lt;&gt;"",BL$59,IF(IFERROR(INDEX(醫師週班表!$C$5:$T$44,$CU31,BL$57),"")=0,"",IF(LEN(IFERROR(INDEX(醫師週班表!$C$5:$T$44,$CU31,BL$57),""))=4,MID(IFERROR(INDEX(醫師週班表!$C$5:$T$44,$CU31,BL$57),""),1+BL$58*2,1),IF(LEN(IFERROR(INDEX(醫師週班表!$C$5:$T$44,$CU31,BL$57),""))=2,IF(AND(RIGHT(IFERROR(INDEX(醫師週班表!$C$5:$T$44,$CU31,BL$57),""),1)="~",BL$58=1),"",LEFT(IFERROR(INDEX(醫師週班表!$C$5:$T$44,$CU31,BL$57),""),1)),IFERROR(INDEX(醫師週班表!$C$5:$T$44,$CU31,BL$57),""))))))</f>
        <v/>
      </c>
      <c r="BM31" s="67">
        <f>IF(BM$59="X","",IF(BM$59&lt;&gt;"",BM$59,IF(IFERROR(INDEX(醫師週班表!$C$5:$T$44,$CU31,BM$57),"")=0,"",IF(LEN(IFERROR(INDEX(醫師週班表!$C$5:$T$44,$CU31,BM$57),""))=4,MID(IFERROR(INDEX(醫師週班表!$C$5:$T$44,$CU31,BM$57),""),1+BM$58*2,1),IF(LEN(IFERROR(INDEX(醫師週班表!$C$5:$T$44,$CU31,BM$57),""))=2,IF(AND(RIGHT(IFERROR(INDEX(醫師週班表!$C$5:$T$44,$CU31,BM$57),""),1)="~",BM$58=1),"",LEFT(IFERROR(INDEX(醫師週班表!$C$5:$T$44,$CU31,BM$57),""),1)),IFERROR(INDEX(醫師週班表!$C$5:$T$44,$CU31,BM$57),""))))))</f>
        <v/>
      </c>
      <c r="BN31" s="68">
        <f>IF(BN$59="X","",IF(BN$59&lt;&gt;"",BN$59,IF(IFERROR(INDEX(醫師週班表!$C$5:$T$44,$CU31,BN$57),"")=0,"",IF(LEN(IFERROR(INDEX(醫師週班表!$C$5:$T$44,$CU31,BN$57),""))=4,MID(IFERROR(INDEX(醫師週班表!$C$5:$T$44,$CU31,BN$57),""),1+BN$58*2,1),IF(LEN(IFERROR(INDEX(醫師週班表!$C$5:$T$44,$CU31,BN$57),""))=2,IF(AND(RIGHT(IFERROR(INDEX(醫師週班表!$C$5:$T$44,$CU31,BN$57),""),1)="~",BN$58=1),"",LEFT(IFERROR(INDEX(醫師週班表!$C$5:$T$44,$CU31,BN$57),""),1)),IFERROR(INDEX(醫師週班表!$C$5:$T$44,$CU31,BN$57),""))))))</f>
        <v/>
      </c>
      <c r="BO31" s="68">
        <f>IF(BO$59="X","",IF(BO$59&lt;&gt;"",BO$59,IF(IFERROR(INDEX(醫師週班表!$C$5:$T$44,$CU31,BO$57),"")=0,"",IF(LEN(IFERROR(INDEX(醫師週班表!$C$5:$T$44,$CU31,BO$57),""))=4,MID(IFERROR(INDEX(醫師週班表!$C$5:$T$44,$CU31,BO$57),""),1+BO$58*2,1),IF(LEN(IFERROR(INDEX(醫師週班表!$C$5:$T$44,$CU31,BO$57),""))=2,IF(AND(RIGHT(IFERROR(INDEX(醫師週班表!$C$5:$T$44,$CU31,BO$57),""),1)="~",BO$58=1),"",LEFT(IFERROR(INDEX(醫師週班表!$C$5:$T$44,$CU31,BO$57),""),1)),IFERROR(INDEX(醫師週班表!$C$5:$T$44,$CU31,BO$57),""))))))</f>
        <v/>
      </c>
      <c r="BP31" s="67">
        <f>IF(BP$59="X","",IF(BP$59&lt;&gt;"",BP$59,IF(IFERROR(INDEX(醫師週班表!$C$5:$T$44,$CU31,BP$57),"")=0,"",IF(LEN(IFERROR(INDEX(醫師週班表!$C$5:$T$44,$CU31,BP$57),""))=4,MID(IFERROR(INDEX(醫師週班表!$C$5:$T$44,$CU31,BP$57),""),1+BP$58*2,1),IF(LEN(IFERROR(INDEX(醫師週班表!$C$5:$T$44,$CU31,BP$57),""))=2,IF(AND(RIGHT(IFERROR(INDEX(醫師週班表!$C$5:$T$44,$CU31,BP$57),""),1)="~",BP$58=1),"",LEFT(IFERROR(INDEX(醫師週班表!$C$5:$T$44,$CU31,BP$57),""),1)),IFERROR(INDEX(醫師週班表!$C$5:$T$44,$CU31,BP$57),""))))))</f>
        <v/>
      </c>
      <c r="BQ31" s="68">
        <f>IF(BQ$59="X","",IF(BQ$59&lt;&gt;"",BQ$59,IF(IFERROR(INDEX(醫師週班表!$C$5:$T$44,$CU31,BQ$57),"")=0,"",IF(LEN(IFERROR(INDEX(醫師週班表!$C$5:$T$44,$CU31,BQ$57),""))=4,MID(IFERROR(INDEX(醫師週班表!$C$5:$T$44,$CU31,BQ$57),""),1+BQ$58*2,1),IF(LEN(IFERROR(INDEX(醫師週班表!$C$5:$T$44,$CU31,BQ$57),""))=2,IF(AND(RIGHT(IFERROR(INDEX(醫師週班表!$C$5:$T$44,$CU31,BQ$57),""),1)="~",BQ$58=1),"",LEFT(IFERROR(INDEX(醫師週班表!$C$5:$T$44,$CU31,BQ$57),""),1)),IFERROR(INDEX(醫師週班表!$C$5:$T$44,$CU31,BQ$57),""))))))</f>
        <v/>
      </c>
      <c r="BR31" s="68">
        <f>IF(BR$59="X","",IF(BR$59&lt;&gt;"",BR$59,IF(IFERROR(INDEX(醫師週班表!$C$5:$T$44,$CU31,BR$57),"")=0,"",IF(LEN(IFERROR(INDEX(醫師週班表!$C$5:$T$44,$CU31,BR$57),""))=4,MID(IFERROR(INDEX(醫師週班表!$C$5:$T$44,$CU31,BR$57),""),1+BR$58*2,1),IF(LEN(IFERROR(INDEX(醫師週班表!$C$5:$T$44,$CU31,BR$57),""))=2,IF(AND(RIGHT(IFERROR(INDEX(醫師週班表!$C$5:$T$44,$CU31,BR$57),""),1)="~",BR$58=1),"",LEFT(IFERROR(INDEX(醫師週班表!$C$5:$T$44,$CU31,BR$57),""),1)),IFERROR(INDEX(醫師週班表!$C$5:$T$44,$CU31,BR$57),""))))))</f>
        <v/>
      </c>
      <c r="BS31" s="67">
        <f>IF(BS$59="X","",IF(BS$59&lt;&gt;"",BS$59,IF(IFERROR(INDEX(醫師週班表!$C$5:$T$44,$CU31,BS$57),"")=0,"",IF(LEN(IFERROR(INDEX(醫師週班表!$C$5:$T$44,$CU31,BS$57),""))=4,MID(IFERROR(INDEX(醫師週班表!$C$5:$T$44,$CU31,BS$57),""),1+BS$58*2,1),IF(LEN(IFERROR(INDEX(醫師週班表!$C$5:$T$44,$CU31,BS$57),""))=2,IF(AND(RIGHT(IFERROR(INDEX(醫師週班表!$C$5:$T$44,$CU31,BS$57),""),1)="~",BS$58=1),"",LEFT(IFERROR(INDEX(醫師週班表!$C$5:$T$44,$CU31,BS$57),""),1)),IFERROR(INDEX(醫師週班表!$C$5:$T$44,$CU31,BS$57),""))))))</f>
        <v/>
      </c>
      <c r="BT31" s="68">
        <f>IF(BT$59="X","",IF(BT$59&lt;&gt;"",BT$59,IF(IFERROR(INDEX(醫師週班表!$C$5:$T$44,$CU31,BT$57),"")=0,"",IF(LEN(IFERROR(INDEX(醫師週班表!$C$5:$T$44,$CU31,BT$57),""))=4,MID(IFERROR(INDEX(醫師週班表!$C$5:$T$44,$CU31,BT$57),""),1+BT$58*2,1),IF(LEN(IFERROR(INDEX(醫師週班表!$C$5:$T$44,$CU31,BT$57),""))=2,IF(AND(RIGHT(IFERROR(INDEX(醫師週班表!$C$5:$T$44,$CU31,BT$57),""),1)="~",BT$58=1),"",LEFT(IFERROR(INDEX(醫師週班表!$C$5:$T$44,$CU31,BT$57),""),1)),IFERROR(INDEX(醫師週班表!$C$5:$T$44,$CU31,BT$57),""))))))</f>
        <v/>
      </c>
      <c r="BU31" s="68">
        <f>IF(BU$59="X","",IF(BU$59&lt;&gt;"",BU$59,IF(IFERROR(INDEX(醫師週班表!$C$5:$T$44,$CU31,BU$57),"")=0,"",IF(LEN(IFERROR(INDEX(醫師週班表!$C$5:$T$44,$CU31,BU$57),""))=4,MID(IFERROR(INDEX(醫師週班表!$C$5:$T$44,$CU31,BU$57),""),1+BU$58*2,1),IF(LEN(IFERROR(INDEX(醫師週班表!$C$5:$T$44,$CU31,BU$57),""))=2,IF(AND(RIGHT(IFERROR(INDEX(醫師週班表!$C$5:$T$44,$CU31,BU$57),""),1)="~",BU$58=1),"",LEFT(IFERROR(INDEX(醫師週班表!$C$5:$T$44,$CU31,BU$57),""),1)),IFERROR(INDEX(醫師週班表!$C$5:$T$44,$CU31,BU$57),""))))))</f>
        <v/>
      </c>
      <c r="BV31" s="67">
        <f>IF(BV$59="X","",IF(BV$59&lt;&gt;"",BV$59,IF(IFERROR(INDEX(醫師週班表!$C$5:$T$44,$CU31,BV$57),"")=0,"",IF(LEN(IFERROR(INDEX(醫師週班表!$C$5:$T$44,$CU31,BV$57),""))=4,MID(IFERROR(INDEX(醫師週班表!$C$5:$T$44,$CU31,BV$57),""),1+BV$58*2,1),IF(LEN(IFERROR(INDEX(醫師週班表!$C$5:$T$44,$CU31,BV$57),""))=2,IF(AND(RIGHT(IFERROR(INDEX(醫師週班表!$C$5:$T$44,$CU31,BV$57),""),1)="~",BV$58=1),"",LEFT(IFERROR(INDEX(醫師週班表!$C$5:$T$44,$CU31,BV$57),""),1)),IFERROR(INDEX(醫師週班表!$C$5:$T$44,$CU31,BV$57),""))))))</f>
        <v/>
      </c>
      <c r="BW31" s="68">
        <f>IF(BW$59="X","",IF(BW$59&lt;&gt;"",BW$59,IF(IFERROR(INDEX(醫師週班表!$C$5:$T$44,$CU31,BW$57),"")=0,"",IF(LEN(IFERROR(INDEX(醫師週班表!$C$5:$T$44,$CU31,BW$57),""))=4,MID(IFERROR(INDEX(醫師週班表!$C$5:$T$44,$CU31,BW$57),""),1+BW$58*2,1),IF(LEN(IFERROR(INDEX(醫師週班表!$C$5:$T$44,$CU31,BW$57),""))=2,IF(AND(RIGHT(IFERROR(INDEX(醫師週班表!$C$5:$T$44,$CU31,BW$57),""),1)="~",BW$58=1),"",LEFT(IFERROR(INDEX(醫師週班表!$C$5:$T$44,$CU31,BW$57),""),1)),IFERROR(INDEX(醫師週班表!$C$5:$T$44,$CU31,BW$57),""))))))</f>
        <v/>
      </c>
      <c r="BX31" s="68">
        <f>IF(BX$59="X","",IF(BX$59&lt;&gt;"",BX$59,IF(IFERROR(INDEX(醫師週班表!$C$5:$T$44,$CU31,BX$57),"")=0,"",IF(LEN(IFERROR(INDEX(醫師週班表!$C$5:$T$44,$CU31,BX$57),""))=4,MID(IFERROR(INDEX(醫師週班表!$C$5:$T$44,$CU31,BX$57),""),1+BX$58*2,1),IF(LEN(IFERROR(INDEX(醫師週班表!$C$5:$T$44,$CU31,BX$57),""))=2,IF(AND(RIGHT(IFERROR(INDEX(醫師週班表!$C$5:$T$44,$CU31,BX$57),""),1)="~",BX$58=1),"",LEFT(IFERROR(INDEX(醫師週班表!$C$5:$T$44,$CU31,BX$57),""),1)),IFERROR(INDEX(醫師週班表!$C$5:$T$44,$CU31,BX$57),""))))))</f>
        <v/>
      </c>
      <c r="BY31" s="67">
        <f>IF(BY$59="X","",IF(BY$59&lt;&gt;"",BY$59,IF(IFERROR(INDEX(醫師週班表!$C$5:$T$44,$CU31,BY$57),"")=0,"",IF(LEN(IFERROR(INDEX(醫師週班表!$C$5:$T$44,$CU31,BY$57),""))=4,MID(IFERROR(INDEX(醫師週班表!$C$5:$T$44,$CU31,BY$57),""),1+BY$58*2,1),IF(LEN(IFERROR(INDEX(醫師週班表!$C$5:$T$44,$CU31,BY$57),""))=2,IF(AND(RIGHT(IFERROR(INDEX(醫師週班表!$C$5:$T$44,$CU31,BY$57),""),1)="~",BY$58=1),"",LEFT(IFERROR(INDEX(醫師週班表!$C$5:$T$44,$CU31,BY$57),""),1)),IFERROR(INDEX(醫師週班表!$C$5:$T$44,$CU31,BY$57),""))))))</f>
        <v/>
      </c>
      <c r="BZ31" s="68">
        <f>IF(BZ$59="X","",IF(BZ$59&lt;&gt;"",BZ$59,IF(IFERROR(INDEX(醫師週班表!$C$5:$T$44,$CU31,BZ$57),"")=0,"",IF(LEN(IFERROR(INDEX(醫師週班表!$C$5:$T$44,$CU31,BZ$57),""))=4,MID(IFERROR(INDEX(醫師週班表!$C$5:$T$44,$CU31,BZ$57),""),1+BZ$58*2,1),IF(LEN(IFERROR(INDEX(醫師週班表!$C$5:$T$44,$CU31,BZ$57),""))=2,IF(AND(RIGHT(IFERROR(INDEX(醫師週班表!$C$5:$T$44,$CU31,BZ$57),""),1)="~",BZ$58=1),"",LEFT(IFERROR(INDEX(醫師週班表!$C$5:$T$44,$CU31,BZ$57),""),1)),IFERROR(INDEX(醫師週班表!$C$5:$T$44,$CU31,BZ$57),""))))))</f>
        <v/>
      </c>
      <c r="CA31" s="68">
        <f>IF(CA$59="X","",IF(CA$59&lt;&gt;"",CA$59,IF(IFERROR(INDEX(醫師週班表!$C$5:$T$44,$CU31,CA$57),"")=0,"",IF(LEN(IFERROR(INDEX(醫師週班表!$C$5:$T$44,$CU31,CA$57),""))=4,MID(IFERROR(INDEX(醫師週班表!$C$5:$T$44,$CU31,CA$57),""),1+CA$58*2,1),IF(LEN(IFERROR(INDEX(醫師週班表!$C$5:$T$44,$CU31,CA$57),""))=2,IF(AND(RIGHT(IFERROR(INDEX(醫師週班表!$C$5:$T$44,$CU31,CA$57),""),1)="~",CA$58=1),"",LEFT(IFERROR(INDEX(醫師週班表!$C$5:$T$44,$CU31,CA$57),""),1)),IFERROR(INDEX(醫師週班表!$C$5:$T$44,$CU31,CA$57),""))))))</f>
        <v/>
      </c>
      <c r="CB31" s="67">
        <f>IF(CB$59="X","",IF(CB$59&lt;&gt;"",CB$59,IF(IFERROR(INDEX(醫師週班表!$C$5:$T$44,$CU31,CB$57),"")=0,"",IF(LEN(IFERROR(INDEX(醫師週班表!$C$5:$T$44,$CU31,CB$57),""))=4,MID(IFERROR(INDEX(醫師週班表!$C$5:$T$44,$CU31,CB$57),""),1+CB$58*2,1),IF(LEN(IFERROR(INDEX(醫師週班表!$C$5:$T$44,$CU31,CB$57),""))=2,IF(AND(RIGHT(IFERROR(INDEX(醫師週班表!$C$5:$T$44,$CU31,CB$57),""),1)="~",CB$58=1),"",LEFT(IFERROR(INDEX(醫師週班表!$C$5:$T$44,$CU31,CB$57),""),1)),IFERROR(INDEX(醫師週班表!$C$5:$T$44,$CU31,CB$57),""))))))</f>
        <v/>
      </c>
      <c r="CC31" s="68">
        <f>IF(CC$59="X","",IF(CC$59&lt;&gt;"",CC$59,IF(IFERROR(INDEX(醫師週班表!$C$5:$T$44,$CU31,CC$57),"")=0,"",IF(LEN(IFERROR(INDEX(醫師週班表!$C$5:$T$44,$CU31,CC$57),""))=4,MID(IFERROR(INDEX(醫師週班表!$C$5:$T$44,$CU31,CC$57),""),1+CC$58*2,1),IF(LEN(IFERROR(INDEX(醫師週班表!$C$5:$T$44,$CU31,CC$57),""))=2,IF(AND(RIGHT(IFERROR(INDEX(醫師週班表!$C$5:$T$44,$CU31,CC$57),""),1)="~",CC$58=1),"",LEFT(IFERROR(INDEX(醫師週班表!$C$5:$T$44,$CU31,CC$57),""),1)),IFERROR(INDEX(醫師週班表!$C$5:$T$44,$CU31,CC$57),""))))))</f>
        <v/>
      </c>
      <c r="CD31" s="68">
        <f>IF(CD$59="X","",IF(CD$59&lt;&gt;"",CD$59,IF(IFERROR(INDEX(醫師週班表!$C$5:$T$44,$CU31,CD$57),"")=0,"",IF(LEN(IFERROR(INDEX(醫師週班表!$C$5:$T$44,$CU31,CD$57),""))=4,MID(IFERROR(INDEX(醫師週班表!$C$5:$T$44,$CU31,CD$57),""),1+CD$58*2,1),IF(LEN(IFERROR(INDEX(醫師週班表!$C$5:$T$44,$CU31,CD$57),""))=2,IF(AND(RIGHT(IFERROR(INDEX(醫師週班表!$C$5:$T$44,$CU31,CD$57),""),1)="~",CD$58=1),"",LEFT(IFERROR(INDEX(醫師週班表!$C$5:$T$44,$CU31,CD$57),""),1)),IFERROR(INDEX(醫師週班表!$C$5:$T$44,$CU31,CD$57),""))))))</f>
        <v/>
      </c>
      <c r="CE31" s="67">
        <f>IF(CE$59="X","",IF(CE$59&lt;&gt;"",CE$59,IF(IFERROR(INDEX(醫師週班表!$C$5:$T$44,$CU31,CE$57),"")=0,"",IF(LEN(IFERROR(INDEX(醫師週班表!$C$5:$T$44,$CU31,CE$57),""))=4,MID(IFERROR(INDEX(醫師週班表!$C$5:$T$44,$CU31,CE$57),""),1+CE$58*2,1),IF(LEN(IFERROR(INDEX(醫師週班表!$C$5:$T$44,$CU31,CE$57),""))=2,IF(AND(RIGHT(IFERROR(INDEX(醫師週班表!$C$5:$T$44,$CU31,CE$57),""),1)="~",CE$58=1),"",LEFT(IFERROR(INDEX(醫師週班表!$C$5:$T$44,$CU31,CE$57),""),1)),IFERROR(INDEX(醫師週班表!$C$5:$T$44,$CU31,CE$57),""))))))</f>
        <v/>
      </c>
      <c r="CF31" s="68">
        <f>IF(CF$59="X","",IF(CF$59&lt;&gt;"",CF$59,IF(IFERROR(INDEX(醫師週班表!$C$5:$T$44,$CU31,CF$57),"")=0,"",IF(LEN(IFERROR(INDEX(醫師週班表!$C$5:$T$44,$CU31,CF$57),""))=4,MID(IFERROR(INDEX(醫師週班表!$C$5:$T$44,$CU31,CF$57),""),1+CF$58*2,1),IF(LEN(IFERROR(INDEX(醫師週班表!$C$5:$T$44,$CU31,CF$57),""))=2,IF(AND(RIGHT(IFERROR(INDEX(醫師週班表!$C$5:$T$44,$CU31,CF$57),""),1)="~",CF$58=1),"",LEFT(IFERROR(INDEX(醫師週班表!$C$5:$T$44,$CU31,CF$57),""),1)),IFERROR(INDEX(醫師週班表!$C$5:$T$44,$CU31,CF$57),""))))))</f>
        <v/>
      </c>
      <c r="CG31" s="68">
        <f>IF(CG$59="X","",IF(CG$59&lt;&gt;"",CG$59,IF(IFERROR(INDEX(醫師週班表!$C$5:$T$44,$CU31,CG$57),"")=0,"",IF(LEN(IFERROR(INDEX(醫師週班表!$C$5:$T$44,$CU31,CG$57),""))=4,MID(IFERROR(INDEX(醫師週班表!$C$5:$T$44,$CU31,CG$57),""),1+CG$58*2,1),IF(LEN(IFERROR(INDEX(醫師週班表!$C$5:$T$44,$CU31,CG$57),""))=2,IF(AND(RIGHT(IFERROR(INDEX(醫師週班表!$C$5:$T$44,$CU31,CG$57),""),1)="~",CG$58=1),"",LEFT(IFERROR(INDEX(醫師週班表!$C$5:$T$44,$CU31,CG$57),""),1)),IFERROR(INDEX(醫師週班表!$C$5:$T$44,$CU31,CG$57),""))))))</f>
        <v/>
      </c>
      <c r="CH31" s="67">
        <f>IF(CH$59="X","",IF(CH$59&lt;&gt;"",CH$59,IF(IFERROR(INDEX(醫師週班表!$C$5:$T$44,$CU31,CH$57),"")=0,"",IF(LEN(IFERROR(INDEX(醫師週班表!$C$5:$T$44,$CU31,CH$57),""))=4,MID(IFERROR(INDEX(醫師週班表!$C$5:$T$44,$CU31,CH$57),""),1+CH$58*2,1),IF(LEN(IFERROR(INDEX(醫師週班表!$C$5:$T$44,$CU31,CH$57),""))=2,IF(AND(RIGHT(IFERROR(INDEX(醫師週班表!$C$5:$T$44,$CU31,CH$57),""),1)="~",CH$58=1),"",LEFT(IFERROR(INDEX(醫師週班表!$C$5:$T$44,$CU31,CH$57),""),1)),IFERROR(INDEX(醫師週班表!$C$5:$T$44,$CU31,CH$57),""))))))</f>
        <v/>
      </c>
      <c r="CI31" s="68">
        <f>IF(CI$59="X","",IF(CI$59&lt;&gt;"",CI$59,IF(IFERROR(INDEX(醫師週班表!$C$5:$T$44,$CU31,CI$57),"")=0,"",IF(LEN(IFERROR(INDEX(醫師週班表!$C$5:$T$44,$CU31,CI$57),""))=4,MID(IFERROR(INDEX(醫師週班表!$C$5:$T$44,$CU31,CI$57),""),1+CI$58*2,1),IF(LEN(IFERROR(INDEX(醫師週班表!$C$5:$T$44,$CU31,CI$57),""))=2,IF(AND(RIGHT(IFERROR(INDEX(醫師週班表!$C$5:$T$44,$CU31,CI$57),""),1)="~",CI$58=1),"",LEFT(IFERROR(INDEX(醫師週班表!$C$5:$T$44,$CU31,CI$57),""),1)),IFERROR(INDEX(醫師週班表!$C$5:$T$44,$CU31,CI$57),""))))))</f>
        <v/>
      </c>
      <c r="CJ31" s="68">
        <f>IF(CJ$59="X","",IF(CJ$59&lt;&gt;"",CJ$59,IF(IFERROR(INDEX(醫師週班表!$C$5:$T$44,$CU31,CJ$57),"")=0,"",IF(LEN(IFERROR(INDEX(醫師週班表!$C$5:$T$44,$CU31,CJ$57),""))=4,MID(IFERROR(INDEX(醫師週班表!$C$5:$T$44,$CU31,CJ$57),""),1+CJ$58*2,1),IF(LEN(IFERROR(INDEX(醫師週班表!$C$5:$T$44,$CU31,CJ$57),""))=2,IF(AND(RIGHT(IFERROR(INDEX(醫師週班表!$C$5:$T$44,$CU31,CJ$57),""),1)="~",CJ$58=1),"",LEFT(IFERROR(INDEX(醫師週班表!$C$5:$T$44,$CU31,CJ$57),""),1)),IFERROR(INDEX(醫師週班表!$C$5:$T$44,$CU31,CJ$57),""))))))</f>
        <v/>
      </c>
      <c r="CK31" s="67">
        <f>IF(CK$59="X","",IF(CK$59&lt;&gt;"",CK$59,IF(IFERROR(INDEX(醫師週班表!$C$5:$T$44,$CU31,CK$57),"")=0,"",IF(LEN(IFERROR(INDEX(醫師週班表!$C$5:$T$44,$CU31,CK$57),""))=4,MID(IFERROR(INDEX(醫師週班表!$C$5:$T$44,$CU31,CK$57),""),1+CK$58*2,1),IF(LEN(IFERROR(INDEX(醫師週班表!$C$5:$T$44,$CU31,CK$57),""))=2,IF(AND(RIGHT(IFERROR(INDEX(醫師週班表!$C$5:$T$44,$CU31,CK$57),""),1)="~",CK$58=1),"",LEFT(IFERROR(INDEX(醫師週班表!$C$5:$T$44,$CU31,CK$57),""),1)),IFERROR(INDEX(醫師週班表!$C$5:$T$44,$CU31,CK$57),""))))))</f>
        <v/>
      </c>
      <c r="CL31" s="68">
        <f>IF(CL$59="X","",IF(CL$59&lt;&gt;"",CL$59,IF(IFERROR(INDEX(醫師週班表!$C$5:$T$44,$CU31,CL$57),"")=0,"",IF(LEN(IFERROR(INDEX(醫師週班表!$C$5:$T$44,$CU31,CL$57),""))=4,MID(IFERROR(INDEX(醫師週班表!$C$5:$T$44,$CU31,CL$57),""),1+CL$58*2,1),IF(LEN(IFERROR(INDEX(醫師週班表!$C$5:$T$44,$CU31,CL$57),""))=2,IF(AND(RIGHT(IFERROR(INDEX(醫師週班表!$C$5:$T$44,$CU31,CL$57),""),1)="~",CL$58=1),"",LEFT(IFERROR(INDEX(醫師週班表!$C$5:$T$44,$CU31,CL$57),""),1)),IFERROR(INDEX(醫師週班表!$C$5:$T$44,$CU31,CL$57),""))))))</f>
        <v/>
      </c>
      <c r="CM31" s="68">
        <f>IF(CM$59="X","",IF(CM$59&lt;&gt;"",CM$59,IF(IFERROR(INDEX(醫師週班表!$C$5:$T$44,$CU31,CM$57),"")=0,"",IF(LEN(IFERROR(INDEX(醫師週班表!$C$5:$T$44,$CU31,CM$57),""))=4,MID(IFERROR(INDEX(醫師週班表!$C$5:$T$44,$CU31,CM$57),""),1+CM$58*2,1),IF(LEN(IFERROR(INDEX(醫師週班表!$C$5:$T$44,$CU31,CM$57),""))=2,IF(AND(RIGHT(IFERROR(INDEX(醫師週班表!$C$5:$T$44,$CU31,CM$57),""),1)="~",CM$58=1),"",LEFT(IFERROR(INDEX(醫師週班表!$C$5:$T$44,$CU31,CM$57),""),1)),IFERROR(INDEX(醫師週班表!$C$5:$T$44,$CU31,CM$57),""))))))</f>
        <v/>
      </c>
      <c r="CN31" s="67">
        <f>IF(CN$59="X","",IF(CN$59&lt;&gt;"",CN$59,IF(IFERROR(INDEX(醫師週班表!$C$5:$T$44,$CU31,CN$57),"")=0,"",IF(LEN(IFERROR(INDEX(醫師週班表!$C$5:$T$44,$CU31,CN$57),""))=4,MID(IFERROR(INDEX(醫師週班表!$C$5:$T$44,$CU31,CN$57),""),1+CN$58*2,1),IF(LEN(IFERROR(INDEX(醫師週班表!$C$5:$T$44,$CU31,CN$57),""))=2,IF(AND(RIGHT(IFERROR(INDEX(醫師週班表!$C$5:$T$44,$CU31,CN$57),""),1)="~",CN$58=1),"",LEFT(IFERROR(INDEX(醫師週班表!$C$5:$T$44,$CU31,CN$57),""),1)),IFERROR(INDEX(醫師週班表!$C$5:$T$44,$CU31,CN$57),""))))))</f>
        <v/>
      </c>
      <c r="CO31" s="68">
        <f>IF(CO$59="X","",IF(CO$59&lt;&gt;"",CO$59,IF(IFERROR(INDEX(醫師週班表!$C$5:$T$44,$CU31,CO$57),"")=0,"",IF(LEN(IFERROR(INDEX(醫師週班表!$C$5:$T$44,$CU31,CO$57),""))=4,MID(IFERROR(INDEX(醫師週班表!$C$5:$T$44,$CU31,CO$57),""),1+CO$58*2,1),IF(LEN(IFERROR(INDEX(醫師週班表!$C$5:$T$44,$CU31,CO$57),""))=2,IF(AND(RIGHT(IFERROR(INDEX(醫師週班表!$C$5:$T$44,$CU31,CO$57),""),1)="~",CO$58=1),"",LEFT(IFERROR(INDEX(醫師週班表!$C$5:$T$44,$CU31,CO$57),""),1)),IFERROR(INDEX(醫師週班表!$C$5:$T$44,$CU31,CO$57),""))))))</f>
        <v/>
      </c>
      <c r="CP31" s="68">
        <f>IF(CP$59="X","",IF(CP$59&lt;&gt;"",CP$59,IF(IFERROR(INDEX(醫師週班表!$C$5:$T$44,$CU31,CP$57),"")=0,"",IF(LEN(IFERROR(INDEX(醫師週班表!$C$5:$T$44,$CU31,CP$57),""))=4,MID(IFERROR(INDEX(醫師週班表!$C$5:$T$44,$CU31,CP$57),""),1+CP$58*2,1),IF(LEN(IFERROR(INDEX(醫師週班表!$C$5:$T$44,$CU31,CP$57),""))=2,IF(AND(RIGHT(IFERROR(INDEX(醫師週班表!$C$5:$T$44,$CU31,CP$57),""),1)="~",CP$58=1),"",LEFT(IFERROR(INDEX(醫師週班表!$C$5:$T$44,$CU31,CP$57),""),1)),IFERROR(INDEX(醫師週班表!$C$5:$T$44,$CU31,CP$57),""))))))</f>
        <v/>
      </c>
      <c r="CQ31" s="67">
        <f>IF(CQ$59="X","",IF(CQ$59&lt;&gt;"",CQ$59,IF(IFERROR(INDEX(醫師週班表!$C$5:$T$44,$CU31,CQ$57),"")=0,"",IF(LEN(IFERROR(INDEX(醫師週班表!$C$5:$T$44,$CU31,CQ$57),""))=4,MID(IFERROR(INDEX(醫師週班表!$C$5:$T$44,$CU31,CQ$57),""),1+CQ$58*2,1),IF(LEN(IFERROR(INDEX(醫師週班表!$C$5:$T$44,$CU31,CQ$57),""))=2,IF(AND(RIGHT(IFERROR(INDEX(醫師週班表!$C$5:$T$44,$CU31,CQ$57),""),1)="~",CQ$58=1),"",LEFT(IFERROR(INDEX(醫師週班表!$C$5:$T$44,$CU31,CQ$57),""),1)),IFERROR(INDEX(醫師週班表!$C$5:$T$44,$CU31,CQ$57),""))))))</f>
        <v/>
      </c>
      <c r="CR31" s="68">
        <f>IF(CR$59="X","",IF(CR$59&lt;&gt;"",CR$59,IF(IFERROR(INDEX(醫師週班表!$C$5:$T$44,$CU31,CR$57),"")=0,"",IF(LEN(IFERROR(INDEX(醫師週班表!$C$5:$T$44,$CU31,CR$57),""))=4,MID(IFERROR(INDEX(醫師週班表!$C$5:$T$44,$CU31,CR$57),""),1+CR$58*2,1),IF(LEN(IFERROR(INDEX(醫師週班表!$C$5:$T$44,$CU31,CR$57),""))=2,IF(AND(RIGHT(IFERROR(INDEX(醫師週班表!$C$5:$T$44,$CU31,CR$57),""),1)="~",CR$58=1),"",LEFT(IFERROR(INDEX(醫師週班表!$C$5:$T$44,$CU31,CR$57),""),1)),IFERROR(INDEX(醫師週班表!$C$5:$T$44,$CU31,CR$57),""))))))</f>
        <v/>
      </c>
      <c r="CS31" s="68">
        <f>IF(CS$59="X","",IF(CS$59&lt;&gt;"",CS$59,IF(IFERROR(INDEX(醫師週班表!$C$5:$T$44,$CU31,CS$57),"")=0,"",IF(LEN(IFERROR(INDEX(醫師週班表!$C$5:$T$44,$CU31,CS$57),""))=4,MID(IFERROR(INDEX(醫師週班表!$C$5:$T$44,$CU31,CS$57),""),1+CS$58*2,1),IF(LEN(IFERROR(INDEX(醫師週班表!$C$5:$T$44,$CU31,CS$57),""))=2,IF(AND(RIGHT(IFERROR(INDEX(醫師週班表!$C$5:$T$44,$CU31,CS$57),""),1)="~",CS$58=1),"",LEFT(IFERROR(INDEX(醫師週班表!$C$5:$T$44,$CU31,CS$57),""),1)),IFERROR(INDEX(醫師週班表!$C$5:$T$44,$CU31,CS$57),""))))))</f>
        <v/>
      </c>
      <c r="CU31" s="69">
        <f>IFERROR(MATCH($A31,醫師週班表!$A$5:$A$44,0),0)</f>
        <v/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IFERROR(INDEX(醫師週班表!$C$5:$T$44,$CU32,E$57),"")=0,"",IF(LEN(IFERROR(INDEX(醫師週班表!$C$5:$T$44,$CU32,E$57),""))=4,MID(IFERROR(INDEX(醫師週班表!$C$5:$T$44,$CU32,E$57),""),1+E$58*2,1),IF(LEN(IFERROR(INDEX(醫師週班表!$C$5:$T$44,$CU32,E$57),""))=2,IF(AND(RIGHT(IFERROR(INDEX(醫師週班表!$C$5:$T$44,$CU32,E$57),""),1)="~",E$58=1),"",LEFT(IFERROR(INDEX(醫師週班表!$C$5:$T$44,$CU32,E$57),""),1)),IFERROR(INDEX(醫師週班表!$C$5:$T$44,$CU32,E$57),""))))))</f>
        <v/>
      </c>
      <c r="F32" s="68">
        <f>IF(F$59="X","",IF(F$59&lt;&gt;"",F$59,IF(IFERROR(INDEX(醫師週班表!$C$5:$T$44,$CU32,F$57),"")=0,"",IF(LEN(IFERROR(INDEX(醫師週班表!$C$5:$T$44,$CU32,F$57),""))=4,MID(IFERROR(INDEX(醫師週班表!$C$5:$T$44,$CU32,F$57),""),1+F$58*2,1),IF(LEN(IFERROR(INDEX(醫師週班表!$C$5:$T$44,$CU32,F$57),""))=2,IF(AND(RIGHT(IFERROR(INDEX(醫師週班表!$C$5:$T$44,$CU32,F$57),""),1)="~",F$58=1),"",LEFT(IFERROR(INDEX(醫師週班表!$C$5:$T$44,$CU32,F$57),""),1)),IFERROR(INDEX(醫師週班表!$C$5:$T$44,$CU32,F$57),""))))))</f>
        <v/>
      </c>
      <c r="G32" s="68">
        <f>IF(G$59="X","",IF(G$59&lt;&gt;"",G$59,IF(IFERROR(INDEX(醫師週班表!$C$5:$T$44,$CU32,G$57),"")=0,"",IF(LEN(IFERROR(INDEX(醫師週班表!$C$5:$T$44,$CU32,G$57),""))=4,MID(IFERROR(INDEX(醫師週班表!$C$5:$T$44,$CU32,G$57),""),1+G$58*2,1),IF(LEN(IFERROR(INDEX(醫師週班表!$C$5:$T$44,$CU32,G$57),""))=2,IF(AND(RIGHT(IFERROR(INDEX(醫師週班表!$C$5:$T$44,$CU32,G$57),""),1)="~",G$58=1),"",LEFT(IFERROR(INDEX(醫師週班表!$C$5:$T$44,$CU32,G$57),""),1)),IFERROR(INDEX(醫師週班表!$C$5:$T$44,$CU32,G$57),""))))))</f>
        <v/>
      </c>
      <c r="H32" s="67">
        <f>IF(H$59="X","",IF(H$59&lt;&gt;"",H$59,IF(IFERROR(INDEX(醫師週班表!$C$5:$T$44,$CU32,H$57),"")=0,"",IF(LEN(IFERROR(INDEX(醫師週班表!$C$5:$T$44,$CU32,H$57),""))=4,MID(IFERROR(INDEX(醫師週班表!$C$5:$T$44,$CU32,H$57),""),1+H$58*2,1),IF(LEN(IFERROR(INDEX(醫師週班表!$C$5:$T$44,$CU32,H$57),""))=2,IF(AND(RIGHT(IFERROR(INDEX(醫師週班表!$C$5:$T$44,$CU32,H$57),""),1)="~",H$58=1),"",LEFT(IFERROR(INDEX(醫師週班表!$C$5:$T$44,$CU32,H$57),""),1)),IFERROR(INDEX(醫師週班表!$C$5:$T$44,$CU32,H$57),""))))))</f>
        <v/>
      </c>
      <c r="I32" s="68">
        <f>IF(I$59="X","",IF(I$59&lt;&gt;"",I$59,IF(IFERROR(INDEX(醫師週班表!$C$5:$T$44,$CU32,I$57),"")=0,"",IF(LEN(IFERROR(INDEX(醫師週班表!$C$5:$T$44,$CU32,I$57),""))=4,MID(IFERROR(INDEX(醫師週班表!$C$5:$T$44,$CU32,I$57),""),1+I$58*2,1),IF(LEN(IFERROR(INDEX(醫師週班表!$C$5:$T$44,$CU32,I$57),""))=2,IF(AND(RIGHT(IFERROR(INDEX(醫師週班表!$C$5:$T$44,$CU32,I$57),""),1)="~",I$58=1),"",LEFT(IFERROR(INDEX(醫師週班表!$C$5:$T$44,$CU32,I$57),""),1)),IFERROR(INDEX(醫師週班表!$C$5:$T$44,$CU32,I$57),""))))))</f>
        <v/>
      </c>
      <c r="J32" s="68">
        <f>IF(J$59="X","",IF(J$59&lt;&gt;"",J$59,IF(IFERROR(INDEX(醫師週班表!$C$5:$T$44,$CU32,J$57),"")=0,"",IF(LEN(IFERROR(INDEX(醫師週班表!$C$5:$T$44,$CU32,J$57),""))=4,MID(IFERROR(INDEX(醫師週班表!$C$5:$T$44,$CU32,J$57),""),1+J$58*2,1),IF(LEN(IFERROR(INDEX(醫師週班表!$C$5:$T$44,$CU32,J$57),""))=2,IF(AND(RIGHT(IFERROR(INDEX(醫師週班表!$C$5:$T$44,$CU32,J$57),""),1)="~",J$58=1),"",LEFT(IFERROR(INDEX(醫師週班表!$C$5:$T$44,$CU32,J$57),""),1)),IFERROR(INDEX(醫師週班表!$C$5:$T$44,$CU32,J$57),""))))))</f>
        <v/>
      </c>
      <c r="K32" s="67">
        <f>IF(K$59="X","",IF(K$59&lt;&gt;"",K$59,IF(IFERROR(INDEX(醫師週班表!$C$5:$T$44,$CU32,K$57),"")=0,"",IF(LEN(IFERROR(INDEX(醫師週班表!$C$5:$T$44,$CU32,K$57),""))=4,MID(IFERROR(INDEX(醫師週班表!$C$5:$T$44,$CU32,K$57),""),1+K$58*2,1),IF(LEN(IFERROR(INDEX(醫師週班表!$C$5:$T$44,$CU32,K$57),""))=2,IF(AND(RIGHT(IFERROR(INDEX(醫師週班表!$C$5:$T$44,$CU32,K$57),""),1)="~",K$58=1),"",LEFT(IFERROR(INDEX(醫師週班表!$C$5:$T$44,$CU32,K$57),""),1)),IFERROR(INDEX(醫師週班表!$C$5:$T$44,$CU32,K$57),""))))))</f>
        <v/>
      </c>
      <c r="L32" s="68">
        <f>IF(L$59="X","",IF(L$59&lt;&gt;"",L$59,IF(IFERROR(INDEX(醫師週班表!$C$5:$T$44,$CU32,L$57),"")=0,"",IF(LEN(IFERROR(INDEX(醫師週班表!$C$5:$T$44,$CU32,L$57),""))=4,MID(IFERROR(INDEX(醫師週班表!$C$5:$T$44,$CU32,L$57),""),1+L$58*2,1),IF(LEN(IFERROR(INDEX(醫師週班表!$C$5:$T$44,$CU32,L$57),""))=2,IF(AND(RIGHT(IFERROR(INDEX(醫師週班表!$C$5:$T$44,$CU32,L$57),""),1)="~",L$58=1),"",LEFT(IFERROR(INDEX(醫師週班表!$C$5:$T$44,$CU32,L$57),""),1)),IFERROR(INDEX(醫師週班表!$C$5:$T$44,$CU32,L$57),""))))))</f>
        <v/>
      </c>
      <c r="M32" s="68">
        <f>IF(M$59="X","",IF(M$59&lt;&gt;"",M$59,IF(IFERROR(INDEX(醫師週班表!$C$5:$T$44,$CU32,M$57),"")=0,"",IF(LEN(IFERROR(INDEX(醫師週班表!$C$5:$T$44,$CU32,M$57),""))=4,MID(IFERROR(INDEX(醫師週班表!$C$5:$T$44,$CU32,M$57),""),1+M$58*2,1),IF(LEN(IFERROR(INDEX(醫師週班表!$C$5:$T$44,$CU32,M$57),""))=2,IF(AND(RIGHT(IFERROR(INDEX(醫師週班表!$C$5:$T$44,$CU32,M$57),""),1)="~",M$58=1),"",LEFT(IFERROR(INDEX(醫師週班表!$C$5:$T$44,$CU32,M$57),""),1)),IFERROR(INDEX(醫師週班表!$C$5:$T$44,$CU32,M$57),""))))))</f>
        <v/>
      </c>
      <c r="N32" s="67">
        <f>IF(N$59="X","",IF(N$59&lt;&gt;"",N$59,IF(IFERROR(INDEX(醫師週班表!$C$5:$T$44,$CU32,N$57),"")=0,"",IF(LEN(IFERROR(INDEX(醫師週班表!$C$5:$T$44,$CU32,N$57),""))=4,MID(IFERROR(INDEX(醫師週班表!$C$5:$T$44,$CU32,N$57),""),1+N$58*2,1),IF(LEN(IFERROR(INDEX(醫師週班表!$C$5:$T$44,$CU32,N$57),""))=2,IF(AND(RIGHT(IFERROR(INDEX(醫師週班表!$C$5:$T$44,$CU32,N$57),""),1)="~",N$58=1),"",LEFT(IFERROR(INDEX(醫師週班表!$C$5:$T$44,$CU32,N$57),""),1)),IFERROR(INDEX(醫師週班表!$C$5:$T$44,$CU32,N$57),""))))))</f>
        <v/>
      </c>
      <c r="O32" s="68">
        <f>IF(O$59="X","",IF(O$59&lt;&gt;"",O$59,IF(IFERROR(INDEX(醫師週班表!$C$5:$T$44,$CU32,O$57),"")=0,"",IF(LEN(IFERROR(INDEX(醫師週班表!$C$5:$T$44,$CU32,O$57),""))=4,MID(IFERROR(INDEX(醫師週班表!$C$5:$T$44,$CU32,O$57),""),1+O$58*2,1),IF(LEN(IFERROR(INDEX(醫師週班表!$C$5:$T$44,$CU32,O$57),""))=2,IF(AND(RIGHT(IFERROR(INDEX(醫師週班表!$C$5:$T$44,$CU32,O$57),""),1)="~",O$58=1),"",LEFT(IFERROR(INDEX(醫師週班表!$C$5:$T$44,$CU32,O$57),""),1)),IFERROR(INDEX(醫師週班表!$C$5:$T$44,$CU32,O$57),""))))))</f>
        <v/>
      </c>
      <c r="P32" s="68">
        <f>IF(P$59="X","",IF(P$59&lt;&gt;"",P$59,IF(IFERROR(INDEX(醫師週班表!$C$5:$T$44,$CU32,P$57),"")=0,"",IF(LEN(IFERROR(INDEX(醫師週班表!$C$5:$T$44,$CU32,P$57),""))=4,MID(IFERROR(INDEX(醫師週班表!$C$5:$T$44,$CU32,P$57),""),1+P$58*2,1),IF(LEN(IFERROR(INDEX(醫師週班表!$C$5:$T$44,$CU32,P$57),""))=2,IF(AND(RIGHT(IFERROR(INDEX(醫師週班表!$C$5:$T$44,$CU32,P$57),""),1)="~",P$58=1),"",LEFT(IFERROR(INDEX(醫師週班表!$C$5:$T$44,$CU32,P$57),""),1)),IFERROR(INDEX(醫師週班表!$C$5:$T$44,$CU32,P$57),""))))))</f>
        <v/>
      </c>
      <c r="Q32" s="67">
        <f>IF(Q$59="X","",IF(Q$59&lt;&gt;"",Q$59,IF(IFERROR(INDEX(醫師週班表!$C$5:$T$44,$CU32,Q$57),"")=0,"",IF(LEN(IFERROR(INDEX(醫師週班表!$C$5:$T$44,$CU32,Q$57),""))=4,MID(IFERROR(INDEX(醫師週班表!$C$5:$T$44,$CU32,Q$57),""),1+Q$58*2,1),IF(LEN(IFERROR(INDEX(醫師週班表!$C$5:$T$44,$CU32,Q$57),""))=2,IF(AND(RIGHT(IFERROR(INDEX(醫師週班表!$C$5:$T$44,$CU32,Q$57),""),1)="~",Q$58=1),"",LEFT(IFERROR(INDEX(醫師週班表!$C$5:$T$44,$CU32,Q$57),""),1)),IFERROR(INDEX(醫師週班表!$C$5:$T$44,$CU32,Q$57),""))))))</f>
        <v/>
      </c>
      <c r="R32" s="68">
        <f>IF(R$59="X","",IF(R$59&lt;&gt;"",R$59,IF(IFERROR(INDEX(醫師週班表!$C$5:$T$44,$CU32,R$57),"")=0,"",IF(LEN(IFERROR(INDEX(醫師週班表!$C$5:$T$44,$CU32,R$57),""))=4,MID(IFERROR(INDEX(醫師週班表!$C$5:$T$44,$CU32,R$57),""),1+R$58*2,1),IF(LEN(IFERROR(INDEX(醫師週班表!$C$5:$T$44,$CU32,R$57),""))=2,IF(AND(RIGHT(IFERROR(INDEX(醫師週班表!$C$5:$T$44,$CU32,R$57),""),1)="~",R$58=1),"",LEFT(IFERROR(INDEX(醫師週班表!$C$5:$T$44,$CU32,R$57),""),1)),IFERROR(INDEX(醫師週班表!$C$5:$T$44,$CU32,R$57),""))))))</f>
        <v/>
      </c>
      <c r="S32" s="68">
        <f>IF(S$59="X","",IF(S$59&lt;&gt;"",S$59,IF(IFERROR(INDEX(醫師週班表!$C$5:$T$44,$CU32,S$57),"")=0,"",IF(LEN(IFERROR(INDEX(醫師週班表!$C$5:$T$44,$CU32,S$57),""))=4,MID(IFERROR(INDEX(醫師週班表!$C$5:$T$44,$CU32,S$57),""),1+S$58*2,1),IF(LEN(IFERROR(INDEX(醫師週班表!$C$5:$T$44,$CU32,S$57),""))=2,IF(AND(RIGHT(IFERROR(INDEX(醫師週班表!$C$5:$T$44,$CU32,S$57),""),1)="~",S$58=1),"",LEFT(IFERROR(INDEX(醫師週班表!$C$5:$T$44,$CU32,S$57),""),1)),IFERROR(INDEX(醫師週班表!$C$5:$T$44,$CU32,S$57),""))))))</f>
        <v/>
      </c>
      <c r="T32" s="67">
        <f>IF(T$59="X","",IF(T$59&lt;&gt;"",T$59,IF(IFERROR(INDEX(醫師週班表!$C$5:$T$44,$CU32,T$57),"")=0,"",IF(LEN(IFERROR(INDEX(醫師週班表!$C$5:$T$44,$CU32,T$57),""))=4,MID(IFERROR(INDEX(醫師週班表!$C$5:$T$44,$CU32,T$57),""),1+T$58*2,1),IF(LEN(IFERROR(INDEX(醫師週班表!$C$5:$T$44,$CU32,T$57),""))=2,IF(AND(RIGHT(IFERROR(INDEX(醫師週班表!$C$5:$T$44,$CU32,T$57),""),1)="~",T$58=1),"",LEFT(IFERROR(INDEX(醫師週班表!$C$5:$T$44,$CU32,T$57),""),1)),IFERROR(INDEX(醫師週班表!$C$5:$T$44,$CU32,T$57),""))))))</f>
        <v/>
      </c>
      <c r="U32" s="68">
        <f>IF(U$59="X","",IF(U$59&lt;&gt;"",U$59,IF(IFERROR(INDEX(醫師週班表!$C$5:$T$44,$CU32,U$57),"")=0,"",IF(LEN(IFERROR(INDEX(醫師週班表!$C$5:$T$44,$CU32,U$57),""))=4,MID(IFERROR(INDEX(醫師週班表!$C$5:$T$44,$CU32,U$57),""),1+U$58*2,1),IF(LEN(IFERROR(INDEX(醫師週班表!$C$5:$T$44,$CU32,U$57),""))=2,IF(AND(RIGHT(IFERROR(INDEX(醫師週班表!$C$5:$T$44,$CU32,U$57),""),1)="~",U$58=1),"",LEFT(IFERROR(INDEX(醫師週班表!$C$5:$T$44,$CU32,U$57),""),1)),IFERROR(INDEX(醫師週班表!$C$5:$T$44,$CU32,U$57),""))))))</f>
        <v/>
      </c>
      <c r="V32" s="68">
        <f>IF(V$59="X","",IF(V$59&lt;&gt;"",V$59,IF(IFERROR(INDEX(醫師週班表!$C$5:$T$44,$CU32,V$57),"")=0,"",IF(LEN(IFERROR(INDEX(醫師週班表!$C$5:$T$44,$CU32,V$57),""))=4,MID(IFERROR(INDEX(醫師週班表!$C$5:$T$44,$CU32,V$57),""),1+V$58*2,1),IF(LEN(IFERROR(INDEX(醫師週班表!$C$5:$T$44,$CU32,V$57),""))=2,IF(AND(RIGHT(IFERROR(INDEX(醫師週班表!$C$5:$T$44,$CU32,V$57),""),1)="~",V$58=1),"",LEFT(IFERROR(INDEX(醫師週班表!$C$5:$T$44,$CU32,V$57),""),1)),IFERROR(INDEX(醫師週班表!$C$5:$T$44,$CU32,V$57),""))))))</f>
        <v/>
      </c>
      <c r="W32" s="67">
        <f>IF(W$59="X","",IF(W$59&lt;&gt;"",W$59,IF(IFERROR(INDEX(醫師週班表!$C$5:$T$44,$CU32,W$57),"")=0,"",IF(LEN(IFERROR(INDEX(醫師週班表!$C$5:$T$44,$CU32,W$57),""))=4,MID(IFERROR(INDEX(醫師週班表!$C$5:$T$44,$CU32,W$57),""),1+W$58*2,1),IF(LEN(IFERROR(INDEX(醫師週班表!$C$5:$T$44,$CU32,W$57),""))=2,IF(AND(RIGHT(IFERROR(INDEX(醫師週班表!$C$5:$T$44,$CU32,W$57),""),1)="~",W$58=1),"",LEFT(IFERROR(INDEX(醫師週班表!$C$5:$T$44,$CU32,W$57),""),1)),IFERROR(INDEX(醫師週班表!$C$5:$T$44,$CU32,W$57),""))))))</f>
        <v/>
      </c>
      <c r="X32" s="68">
        <f>IF(X$59="X","",IF(X$59&lt;&gt;"",X$59,IF(IFERROR(INDEX(醫師週班表!$C$5:$T$44,$CU32,X$57),"")=0,"",IF(LEN(IFERROR(INDEX(醫師週班表!$C$5:$T$44,$CU32,X$57),""))=4,MID(IFERROR(INDEX(醫師週班表!$C$5:$T$44,$CU32,X$57),""),1+X$58*2,1),IF(LEN(IFERROR(INDEX(醫師週班表!$C$5:$T$44,$CU32,X$57),""))=2,IF(AND(RIGHT(IFERROR(INDEX(醫師週班表!$C$5:$T$44,$CU32,X$57),""),1)="~",X$58=1),"",LEFT(IFERROR(INDEX(醫師週班表!$C$5:$T$44,$CU32,X$57),""),1)),IFERROR(INDEX(醫師週班表!$C$5:$T$44,$CU32,X$57),""))))))</f>
        <v/>
      </c>
      <c r="Y32" s="68">
        <f>IF(Y$59="X","",IF(Y$59&lt;&gt;"",Y$59,IF(IFERROR(INDEX(醫師週班表!$C$5:$T$44,$CU32,Y$57),"")=0,"",IF(LEN(IFERROR(INDEX(醫師週班表!$C$5:$T$44,$CU32,Y$57),""))=4,MID(IFERROR(INDEX(醫師週班表!$C$5:$T$44,$CU32,Y$57),""),1+Y$58*2,1),IF(LEN(IFERROR(INDEX(醫師週班表!$C$5:$T$44,$CU32,Y$57),""))=2,IF(AND(RIGHT(IFERROR(INDEX(醫師週班表!$C$5:$T$44,$CU32,Y$57),""),1)="~",Y$58=1),"",LEFT(IFERROR(INDEX(醫師週班表!$C$5:$T$44,$CU32,Y$57),""),1)),IFERROR(INDEX(醫師週班表!$C$5:$T$44,$CU32,Y$57),""))))))</f>
        <v/>
      </c>
      <c r="Z32" s="67">
        <f>IF(Z$59="X","",IF(Z$59&lt;&gt;"",Z$59,IF(IFERROR(INDEX(醫師週班表!$C$5:$T$44,$CU32,Z$57),"")=0,"",IF(LEN(IFERROR(INDEX(醫師週班表!$C$5:$T$44,$CU32,Z$57),""))=4,MID(IFERROR(INDEX(醫師週班表!$C$5:$T$44,$CU32,Z$57),""),1+Z$58*2,1),IF(LEN(IFERROR(INDEX(醫師週班表!$C$5:$T$44,$CU32,Z$57),""))=2,IF(AND(RIGHT(IFERROR(INDEX(醫師週班表!$C$5:$T$44,$CU32,Z$57),""),1)="~",Z$58=1),"",LEFT(IFERROR(INDEX(醫師週班表!$C$5:$T$44,$CU32,Z$57),""),1)),IFERROR(INDEX(醫師週班表!$C$5:$T$44,$CU32,Z$57),""))))))</f>
        <v/>
      </c>
      <c r="AA32" s="68">
        <f>IF(AA$59="X","",IF(AA$59&lt;&gt;"",AA$59,IF(IFERROR(INDEX(醫師週班表!$C$5:$T$44,$CU32,AA$57),"")=0,"",IF(LEN(IFERROR(INDEX(醫師週班表!$C$5:$T$44,$CU32,AA$57),""))=4,MID(IFERROR(INDEX(醫師週班表!$C$5:$T$44,$CU32,AA$57),""),1+AA$58*2,1),IF(LEN(IFERROR(INDEX(醫師週班表!$C$5:$T$44,$CU32,AA$57),""))=2,IF(AND(RIGHT(IFERROR(INDEX(醫師週班表!$C$5:$T$44,$CU32,AA$57),""),1)="~",AA$58=1),"",LEFT(IFERROR(INDEX(醫師週班表!$C$5:$T$44,$CU32,AA$57),""),1)),IFERROR(INDEX(醫師週班表!$C$5:$T$44,$CU32,AA$57),""))))))</f>
        <v/>
      </c>
      <c r="AB32" s="68">
        <f>IF(AB$59="X","",IF(AB$59&lt;&gt;"",AB$59,IF(IFERROR(INDEX(醫師週班表!$C$5:$T$44,$CU32,AB$57),"")=0,"",IF(LEN(IFERROR(INDEX(醫師週班表!$C$5:$T$44,$CU32,AB$57),""))=4,MID(IFERROR(INDEX(醫師週班表!$C$5:$T$44,$CU32,AB$57),""),1+AB$58*2,1),IF(LEN(IFERROR(INDEX(醫師週班表!$C$5:$T$44,$CU32,AB$57),""))=2,IF(AND(RIGHT(IFERROR(INDEX(醫師週班表!$C$5:$T$44,$CU32,AB$57),""),1)="~",AB$58=1),"",LEFT(IFERROR(INDEX(醫師週班表!$C$5:$T$44,$CU32,AB$57),""),1)),IFERROR(INDEX(醫師週班表!$C$5:$T$44,$CU32,AB$57),""))))))</f>
        <v/>
      </c>
      <c r="AC32" s="67">
        <f>IF(AC$59="X","",IF(AC$59&lt;&gt;"",AC$59,IF(IFERROR(INDEX(醫師週班表!$C$5:$T$44,$CU32,AC$57),"")=0,"",IF(LEN(IFERROR(INDEX(醫師週班表!$C$5:$T$44,$CU32,AC$57),""))=4,MID(IFERROR(INDEX(醫師週班表!$C$5:$T$44,$CU32,AC$57),""),1+AC$58*2,1),IF(LEN(IFERROR(INDEX(醫師週班表!$C$5:$T$44,$CU32,AC$57),""))=2,IF(AND(RIGHT(IFERROR(INDEX(醫師週班表!$C$5:$T$44,$CU32,AC$57),""),1)="~",AC$58=1),"",LEFT(IFERROR(INDEX(醫師週班表!$C$5:$T$44,$CU32,AC$57),""),1)),IFERROR(INDEX(醫師週班表!$C$5:$T$44,$CU32,AC$57),""))))))</f>
        <v/>
      </c>
      <c r="AD32" s="68">
        <f>IF(AD$59="X","",IF(AD$59&lt;&gt;"",AD$59,IF(IFERROR(INDEX(醫師週班表!$C$5:$T$44,$CU32,AD$57),"")=0,"",IF(LEN(IFERROR(INDEX(醫師週班表!$C$5:$T$44,$CU32,AD$57),""))=4,MID(IFERROR(INDEX(醫師週班表!$C$5:$T$44,$CU32,AD$57),""),1+AD$58*2,1),IF(LEN(IFERROR(INDEX(醫師週班表!$C$5:$T$44,$CU32,AD$57),""))=2,IF(AND(RIGHT(IFERROR(INDEX(醫師週班表!$C$5:$T$44,$CU32,AD$57),""),1)="~",AD$58=1),"",LEFT(IFERROR(INDEX(醫師週班表!$C$5:$T$44,$CU32,AD$57),""),1)),IFERROR(INDEX(醫師週班表!$C$5:$T$44,$CU32,AD$57),""))))))</f>
        <v/>
      </c>
      <c r="AE32" s="68">
        <f>IF(AE$59="X","",IF(AE$59&lt;&gt;"",AE$59,IF(IFERROR(INDEX(醫師週班表!$C$5:$T$44,$CU32,AE$57),"")=0,"",IF(LEN(IFERROR(INDEX(醫師週班表!$C$5:$T$44,$CU32,AE$57),""))=4,MID(IFERROR(INDEX(醫師週班表!$C$5:$T$44,$CU32,AE$57),""),1+AE$58*2,1),IF(LEN(IFERROR(INDEX(醫師週班表!$C$5:$T$44,$CU32,AE$57),""))=2,IF(AND(RIGHT(IFERROR(INDEX(醫師週班表!$C$5:$T$44,$CU32,AE$57),""),1)="~",AE$58=1),"",LEFT(IFERROR(INDEX(醫師週班表!$C$5:$T$44,$CU32,AE$57),""),1)),IFERROR(INDEX(醫師週班表!$C$5:$T$44,$CU32,AE$57),""))))))</f>
        <v/>
      </c>
      <c r="AF32" s="67">
        <f>IF(AF$59="X","",IF(AF$59&lt;&gt;"",AF$59,IF(IFERROR(INDEX(醫師週班表!$C$5:$T$44,$CU32,AF$57),"")=0,"",IF(LEN(IFERROR(INDEX(醫師週班表!$C$5:$T$44,$CU32,AF$57),""))=4,MID(IFERROR(INDEX(醫師週班表!$C$5:$T$44,$CU32,AF$57),""),1+AF$58*2,1),IF(LEN(IFERROR(INDEX(醫師週班表!$C$5:$T$44,$CU32,AF$57),""))=2,IF(AND(RIGHT(IFERROR(INDEX(醫師週班表!$C$5:$T$44,$CU32,AF$57),""),1)="~",AF$58=1),"",LEFT(IFERROR(INDEX(醫師週班表!$C$5:$T$44,$CU32,AF$57),""),1)),IFERROR(INDEX(醫師週班表!$C$5:$T$44,$CU32,AF$57),""))))))</f>
        <v/>
      </c>
      <c r="AG32" s="68">
        <f>IF(AG$59="X","",IF(AG$59&lt;&gt;"",AG$59,IF(IFERROR(INDEX(醫師週班表!$C$5:$T$44,$CU32,AG$57),"")=0,"",IF(LEN(IFERROR(INDEX(醫師週班表!$C$5:$T$44,$CU32,AG$57),""))=4,MID(IFERROR(INDEX(醫師週班表!$C$5:$T$44,$CU32,AG$57),""),1+AG$58*2,1),IF(LEN(IFERROR(INDEX(醫師週班表!$C$5:$T$44,$CU32,AG$57),""))=2,IF(AND(RIGHT(IFERROR(INDEX(醫師週班表!$C$5:$T$44,$CU32,AG$57),""),1)="~",AG$58=1),"",LEFT(IFERROR(INDEX(醫師週班表!$C$5:$T$44,$CU32,AG$57),""),1)),IFERROR(INDEX(醫師週班表!$C$5:$T$44,$CU32,AG$57),""))))))</f>
        <v/>
      </c>
      <c r="AH32" s="68">
        <f>IF(AH$59="X","",IF(AH$59&lt;&gt;"",AH$59,IF(IFERROR(INDEX(醫師週班表!$C$5:$T$44,$CU32,AH$57),"")=0,"",IF(LEN(IFERROR(INDEX(醫師週班表!$C$5:$T$44,$CU32,AH$57),""))=4,MID(IFERROR(INDEX(醫師週班表!$C$5:$T$44,$CU32,AH$57),""),1+AH$58*2,1),IF(LEN(IFERROR(INDEX(醫師週班表!$C$5:$T$44,$CU32,AH$57),""))=2,IF(AND(RIGHT(IFERROR(INDEX(醫師週班表!$C$5:$T$44,$CU32,AH$57),""),1)="~",AH$58=1),"",LEFT(IFERROR(INDEX(醫師週班表!$C$5:$T$44,$CU32,AH$57),""),1)),IFERROR(INDEX(醫師週班表!$C$5:$T$44,$CU32,AH$57),""))))))</f>
        <v/>
      </c>
      <c r="AI32" s="67">
        <f>IF(AI$59="X","",IF(AI$59&lt;&gt;"",AI$59,IF(IFERROR(INDEX(醫師週班表!$C$5:$T$44,$CU32,AI$57),"")=0,"",IF(LEN(IFERROR(INDEX(醫師週班表!$C$5:$T$44,$CU32,AI$57),""))=4,MID(IFERROR(INDEX(醫師週班表!$C$5:$T$44,$CU32,AI$57),""),1+AI$58*2,1),IF(LEN(IFERROR(INDEX(醫師週班表!$C$5:$T$44,$CU32,AI$57),""))=2,IF(AND(RIGHT(IFERROR(INDEX(醫師週班表!$C$5:$T$44,$CU32,AI$57),""),1)="~",AI$58=1),"",LEFT(IFERROR(INDEX(醫師週班表!$C$5:$T$44,$CU32,AI$57),""),1)),IFERROR(INDEX(醫師週班表!$C$5:$T$44,$CU32,AI$57),""))))))</f>
        <v/>
      </c>
      <c r="AJ32" s="68">
        <f>IF(AJ$59="X","",IF(AJ$59&lt;&gt;"",AJ$59,IF(IFERROR(INDEX(醫師週班表!$C$5:$T$44,$CU32,AJ$57),"")=0,"",IF(LEN(IFERROR(INDEX(醫師週班表!$C$5:$T$44,$CU32,AJ$57),""))=4,MID(IFERROR(INDEX(醫師週班表!$C$5:$T$44,$CU32,AJ$57),""),1+AJ$58*2,1),IF(LEN(IFERROR(INDEX(醫師週班表!$C$5:$T$44,$CU32,AJ$57),""))=2,IF(AND(RIGHT(IFERROR(INDEX(醫師週班表!$C$5:$T$44,$CU32,AJ$57),""),1)="~",AJ$58=1),"",LEFT(IFERROR(INDEX(醫師週班表!$C$5:$T$44,$CU32,AJ$57),""),1)),IFERROR(INDEX(醫師週班表!$C$5:$T$44,$CU32,AJ$57),""))))))</f>
        <v/>
      </c>
      <c r="AK32" s="68">
        <f>IF(AK$59="X","",IF(AK$59&lt;&gt;"",AK$59,IF(IFERROR(INDEX(醫師週班表!$C$5:$T$44,$CU32,AK$57),"")=0,"",IF(LEN(IFERROR(INDEX(醫師週班表!$C$5:$T$44,$CU32,AK$57),""))=4,MID(IFERROR(INDEX(醫師週班表!$C$5:$T$44,$CU32,AK$57),""),1+AK$58*2,1),IF(LEN(IFERROR(INDEX(醫師週班表!$C$5:$T$44,$CU32,AK$57),""))=2,IF(AND(RIGHT(IFERROR(INDEX(醫師週班表!$C$5:$T$44,$CU32,AK$57),""),1)="~",AK$58=1),"",LEFT(IFERROR(INDEX(醫師週班表!$C$5:$T$44,$CU32,AK$57),""),1)),IFERROR(INDEX(醫師週班表!$C$5:$T$44,$CU32,AK$57),""))))))</f>
        <v/>
      </c>
      <c r="AL32" s="67">
        <f>IF(AL$59="X","",IF(AL$59&lt;&gt;"",AL$59,IF(IFERROR(INDEX(醫師週班表!$C$5:$T$44,$CU32,AL$57),"")=0,"",IF(LEN(IFERROR(INDEX(醫師週班表!$C$5:$T$44,$CU32,AL$57),""))=4,MID(IFERROR(INDEX(醫師週班表!$C$5:$T$44,$CU32,AL$57),""),1+AL$58*2,1),IF(LEN(IFERROR(INDEX(醫師週班表!$C$5:$T$44,$CU32,AL$57),""))=2,IF(AND(RIGHT(IFERROR(INDEX(醫師週班表!$C$5:$T$44,$CU32,AL$57),""),1)="~",AL$58=1),"",LEFT(IFERROR(INDEX(醫師週班表!$C$5:$T$44,$CU32,AL$57),""),1)),IFERROR(INDEX(醫師週班表!$C$5:$T$44,$CU32,AL$57),""))))))</f>
        <v/>
      </c>
      <c r="AM32" s="68">
        <f>IF(AM$59="X","",IF(AM$59&lt;&gt;"",AM$59,IF(IFERROR(INDEX(醫師週班表!$C$5:$T$44,$CU32,AM$57),"")=0,"",IF(LEN(IFERROR(INDEX(醫師週班表!$C$5:$T$44,$CU32,AM$57),""))=4,MID(IFERROR(INDEX(醫師週班表!$C$5:$T$44,$CU32,AM$57),""),1+AM$58*2,1),IF(LEN(IFERROR(INDEX(醫師週班表!$C$5:$T$44,$CU32,AM$57),""))=2,IF(AND(RIGHT(IFERROR(INDEX(醫師週班表!$C$5:$T$44,$CU32,AM$57),""),1)="~",AM$58=1),"",LEFT(IFERROR(INDEX(醫師週班表!$C$5:$T$44,$CU32,AM$57),""),1)),IFERROR(INDEX(醫師週班表!$C$5:$T$44,$CU32,AM$57),""))))))</f>
        <v/>
      </c>
      <c r="AN32" s="68">
        <f>IF(AN$59="X","",IF(AN$59&lt;&gt;"",AN$59,IF(IFERROR(INDEX(醫師週班表!$C$5:$T$44,$CU32,AN$57),"")=0,"",IF(LEN(IFERROR(INDEX(醫師週班表!$C$5:$T$44,$CU32,AN$57),""))=4,MID(IFERROR(INDEX(醫師週班表!$C$5:$T$44,$CU32,AN$57),""),1+AN$58*2,1),IF(LEN(IFERROR(INDEX(醫師週班表!$C$5:$T$44,$CU32,AN$57),""))=2,IF(AND(RIGHT(IFERROR(INDEX(醫師週班表!$C$5:$T$44,$CU32,AN$57),""),1)="~",AN$58=1),"",LEFT(IFERROR(INDEX(醫師週班表!$C$5:$T$44,$CU32,AN$57),""),1)),IFERROR(INDEX(醫師週班表!$C$5:$T$44,$CU32,AN$57),""))))))</f>
        <v/>
      </c>
      <c r="AO32" s="67">
        <f>IF(AO$59="X","",IF(AO$59&lt;&gt;"",AO$59,IF(IFERROR(INDEX(醫師週班表!$C$5:$T$44,$CU32,AO$57),"")=0,"",IF(LEN(IFERROR(INDEX(醫師週班表!$C$5:$T$44,$CU32,AO$57),""))=4,MID(IFERROR(INDEX(醫師週班表!$C$5:$T$44,$CU32,AO$57),""),1+AO$58*2,1),IF(LEN(IFERROR(INDEX(醫師週班表!$C$5:$T$44,$CU32,AO$57),""))=2,IF(AND(RIGHT(IFERROR(INDEX(醫師週班表!$C$5:$T$44,$CU32,AO$57),""),1)="~",AO$58=1),"",LEFT(IFERROR(INDEX(醫師週班表!$C$5:$T$44,$CU32,AO$57),""),1)),IFERROR(INDEX(醫師週班表!$C$5:$T$44,$CU32,AO$57),""))))))</f>
        <v/>
      </c>
      <c r="AP32" s="68">
        <f>IF(AP$59="X","",IF(AP$59&lt;&gt;"",AP$59,IF(IFERROR(INDEX(醫師週班表!$C$5:$T$44,$CU32,AP$57),"")=0,"",IF(LEN(IFERROR(INDEX(醫師週班表!$C$5:$T$44,$CU32,AP$57),""))=4,MID(IFERROR(INDEX(醫師週班表!$C$5:$T$44,$CU32,AP$57),""),1+AP$58*2,1),IF(LEN(IFERROR(INDEX(醫師週班表!$C$5:$T$44,$CU32,AP$57),""))=2,IF(AND(RIGHT(IFERROR(INDEX(醫師週班表!$C$5:$T$44,$CU32,AP$57),""),1)="~",AP$58=1),"",LEFT(IFERROR(INDEX(醫師週班表!$C$5:$T$44,$CU32,AP$57),""),1)),IFERROR(INDEX(醫師週班表!$C$5:$T$44,$CU32,AP$57),""))))))</f>
        <v/>
      </c>
      <c r="AQ32" s="68">
        <f>IF(AQ$59="X","",IF(AQ$59&lt;&gt;"",AQ$59,IF(IFERROR(INDEX(醫師週班表!$C$5:$T$44,$CU32,AQ$57),"")=0,"",IF(LEN(IFERROR(INDEX(醫師週班表!$C$5:$T$44,$CU32,AQ$57),""))=4,MID(IFERROR(INDEX(醫師週班表!$C$5:$T$44,$CU32,AQ$57),""),1+AQ$58*2,1),IF(LEN(IFERROR(INDEX(醫師週班表!$C$5:$T$44,$CU32,AQ$57),""))=2,IF(AND(RIGHT(IFERROR(INDEX(醫師週班表!$C$5:$T$44,$CU32,AQ$57),""),1)="~",AQ$58=1),"",LEFT(IFERROR(INDEX(醫師週班表!$C$5:$T$44,$CU32,AQ$57),""),1)),IFERROR(INDEX(醫師週班表!$C$5:$T$44,$CU32,AQ$57),""))))))</f>
        <v/>
      </c>
      <c r="AR32" s="67">
        <f>IF(AR$59="X","",IF(AR$59&lt;&gt;"",AR$59,IF(IFERROR(INDEX(醫師週班表!$C$5:$T$44,$CU32,AR$57),"")=0,"",IF(LEN(IFERROR(INDEX(醫師週班表!$C$5:$T$44,$CU32,AR$57),""))=4,MID(IFERROR(INDEX(醫師週班表!$C$5:$T$44,$CU32,AR$57),""),1+AR$58*2,1),IF(LEN(IFERROR(INDEX(醫師週班表!$C$5:$T$44,$CU32,AR$57),""))=2,IF(AND(RIGHT(IFERROR(INDEX(醫師週班表!$C$5:$T$44,$CU32,AR$57),""),1)="~",AR$58=1),"",LEFT(IFERROR(INDEX(醫師週班表!$C$5:$T$44,$CU32,AR$57),""),1)),IFERROR(INDEX(醫師週班表!$C$5:$T$44,$CU32,AR$57),""))))))</f>
        <v/>
      </c>
      <c r="AS32" s="68">
        <f>IF(AS$59="X","",IF(AS$59&lt;&gt;"",AS$59,IF(IFERROR(INDEX(醫師週班表!$C$5:$T$44,$CU32,AS$57),"")=0,"",IF(LEN(IFERROR(INDEX(醫師週班表!$C$5:$T$44,$CU32,AS$57),""))=4,MID(IFERROR(INDEX(醫師週班表!$C$5:$T$44,$CU32,AS$57),""),1+AS$58*2,1),IF(LEN(IFERROR(INDEX(醫師週班表!$C$5:$T$44,$CU32,AS$57),""))=2,IF(AND(RIGHT(IFERROR(INDEX(醫師週班表!$C$5:$T$44,$CU32,AS$57),""),1)="~",AS$58=1),"",LEFT(IFERROR(INDEX(醫師週班表!$C$5:$T$44,$CU32,AS$57),""),1)),IFERROR(INDEX(醫師週班表!$C$5:$T$44,$CU32,AS$57),""))))))</f>
        <v/>
      </c>
      <c r="AT32" s="68">
        <f>IF(AT$59="X","",IF(AT$59&lt;&gt;"",AT$59,IF(IFERROR(INDEX(醫師週班表!$C$5:$T$44,$CU32,AT$57),"")=0,"",IF(LEN(IFERROR(INDEX(醫師週班表!$C$5:$T$44,$CU32,AT$57),""))=4,MID(IFERROR(INDEX(醫師週班表!$C$5:$T$44,$CU32,AT$57),""),1+AT$58*2,1),IF(LEN(IFERROR(INDEX(醫師週班表!$C$5:$T$44,$CU32,AT$57),""))=2,IF(AND(RIGHT(IFERROR(INDEX(醫師週班表!$C$5:$T$44,$CU32,AT$57),""),1)="~",AT$58=1),"",LEFT(IFERROR(INDEX(醫師週班表!$C$5:$T$44,$CU32,AT$57),""),1)),IFERROR(INDEX(醫師週班表!$C$5:$T$44,$CU32,AT$57),""))))))</f>
        <v/>
      </c>
      <c r="AU32" s="67">
        <f>IF(AU$59="X","",IF(AU$59&lt;&gt;"",AU$59,IF(IFERROR(INDEX(醫師週班表!$C$5:$T$44,$CU32,AU$57),"")=0,"",IF(LEN(IFERROR(INDEX(醫師週班表!$C$5:$T$44,$CU32,AU$57),""))=4,MID(IFERROR(INDEX(醫師週班表!$C$5:$T$44,$CU32,AU$57),""),1+AU$58*2,1),IF(LEN(IFERROR(INDEX(醫師週班表!$C$5:$T$44,$CU32,AU$57),""))=2,IF(AND(RIGHT(IFERROR(INDEX(醫師週班表!$C$5:$T$44,$CU32,AU$57),""),1)="~",AU$58=1),"",LEFT(IFERROR(INDEX(醫師週班表!$C$5:$T$44,$CU32,AU$57),""),1)),IFERROR(INDEX(醫師週班表!$C$5:$T$44,$CU32,AU$57),""))))))</f>
        <v/>
      </c>
      <c r="AV32" s="68">
        <f>IF(AV$59="X","",IF(AV$59&lt;&gt;"",AV$59,IF(IFERROR(INDEX(醫師週班表!$C$5:$T$44,$CU32,AV$57),"")=0,"",IF(LEN(IFERROR(INDEX(醫師週班表!$C$5:$T$44,$CU32,AV$57),""))=4,MID(IFERROR(INDEX(醫師週班表!$C$5:$T$44,$CU32,AV$57),""),1+AV$58*2,1),IF(LEN(IFERROR(INDEX(醫師週班表!$C$5:$T$44,$CU32,AV$57),""))=2,IF(AND(RIGHT(IFERROR(INDEX(醫師週班表!$C$5:$T$44,$CU32,AV$57),""),1)="~",AV$58=1),"",LEFT(IFERROR(INDEX(醫師週班表!$C$5:$T$44,$CU32,AV$57),""),1)),IFERROR(INDEX(醫師週班表!$C$5:$T$44,$CU32,AV$57),""))))))</f>
        <v/>
      </c>
      <c r="AW32" s="68">
        <f>IF(AW$59="X","",IF(AW$59&lt;&gt;"",AW$59,IF(IFERROR(INDEX(醫師週班表!$C$5:$T$44,$CU32,AW$57),"")=0,"",IF(LEN(IFERROR(INDEX(醫師週班表!$C$5:$T$44,$CU32,AW$57),""))=4,MID(IFERROR(INDEX(醫師週班表!$C$5:$T$44,$CU32,AW$57),""),1+AW$58*2,1),IF(LEN(IFERROR(INDEX(醫師週班表!$C$5:$T$44,$CU32,AW$57),""))=2,IF(AND(RIGHT(IFERROR(INDEX(醫師週班表!$C$5:$T$44,$CU32,AW$57),""),1)="~",AW$58=1),"",LEFT(IFERROR(INDEX(醫師週班表!$C$5:$T$44,$CU32,AW$57),""),1)),IFERROR(INDEX(醫師週班表!$C$5:$T$44,$CU32,AW$57),""))))))</f>
        <v/>
      </c>
      <c r="AX32" s="67">
        <f>IF(AX$59="X","",IF(AX$59&lt;&gt;"",AX$59,IF(IFERROR(INDEX(醫師週班表!$C$5:$T$44,$CU32,AX$57),"")=0,"",IF(LEN(IFERROR(INDEX(醫師週班表!$C$5:$T$44,$CU32,AX$57),""))=4,MID(IFERROR(INDEX(醫師週班表!$C$5:$T$44,$CU32,AX$57),""),1+AX$58*2,1),IF(LEN(IFERROR(INDEX(醫師週班表!$C$5:$T$44,$CU32,AX$57),""))=2,IF(AND(RIGHT(IFERROR(INDEX(醫師週班表!$C$5:$T$44,$CU32,AX$57),""),1)="~",AX$58=1),"",LEFT(IFERROR(INDEX(醫師週班表!$C$5:$T$44,$CU32,AX$57),""),1)),IFERROR(INDEX(醫師週班表!$C$5:$T$44,$CU32,AX$57),""))))))</f>
        <v/>
      </c>
      <c r="AY32" s="68">
        <f>IF(AY$59="X","",IF(AY$59&lt;&gt;"",AY$59,IF(IFERROR(INDEX(醫師週班表!$C$5:$T$44,$CU32,AY$57),"")=0,"",IF(LEN(IFERROR(INDEX(醫師週班表!$C$5:$T$44,$CU32,AY$57),""))=4,MID(IFERROR(INDEX(醫師週班表!$C$5:$T$44,$CU32,AY$57),""),1+AY$58*2,1),IF(LEN(IFERROR(INDEX(醫師週班表!$C$5:$T$44,$CU32,AY$57),""))=2,IF(AND(RIGHT(IFERROR(INDEX(醫師週班表!$C$5:$T$44,$CU32,AY$57),""),1)="~",AY$58=1),"",LEFT(IFERROR(INDEX(醫師週班表!$C$5:$T$44,$CU32,AY$57),""),1)),IFERROR(INDEX(醫師週班表!$C$5:$T$44,$CU32,AY$57),""))))))</f>
        <v/>
      </c>
      <c r="AZ32" s="68">
        <f>IF(AZ$59="X","",IF(AZ$59&lt;&gt;"",AZ$59,IF(IFERROR(INDEX(醫師週班表!$C$5:$T$44,$CU32,AZ$57),"")=0,"",IF(LEN(IFERROR(INDEX(醫師週班表!$C$5:$T$44,$CU32,AZ$57),""))=4,MID(IFERROR(INDEX(醫師週班表!$C$5:$T$44,$CU32,AZ$57),""),1+AZ$58*2,1),IF(LEN(IFERROR(INDEX(醫師週班表!$C$5:$T$44,$CU32,AZ$57),""))=2,IF(AND(RIGHT(IFERROR(INDEX(醫師週班表!$C$5:$T$44,$CU32,AZ$57),""),1)="~",AZ$58=1),"",LEFT(IFERROR(INDEX(醫師週班表!$C$5:$T$44,$CU32,AZ$57),""),1)),IFERROR(INDEX(醫師週班表!$C$5:$T$44,$CU32,AZ$57),""))))))</f>
        <v/>
      </c>
      <c r="BA32" s="67">
        <f>IF(BA$59="X","",IF(BA$59&lt;&gt;"",BA$59,IF(IFERROR(INDEX(醫師週班表!$C$5:$T$44,$CU32,BA$57),"")=0,"",IF(LEN(IFERROR(INDEX(醫師週班表!$C$5:$T$44,$CU32,BA$57),""))=4,MID(IFERROR(INDEX(醫師週班表!$C$5:$T$44,$CU32,BA$57),""),1+BA$58*2,1),IF(LEN(IFERROR(INDEX(醫師週班表!$C$5:$T$44,$CU32,BA$57),""))=2,IF(AND(RIGHT(IFERROR(INDEX(醫師週班表!$C$5:$T$44,$CU32,BA$57),""),1)="~",BA$58=1),"",LEFT(IFERROR(INDEX(醫師週班表!$C$5:$T$44,$CU32,BA$57),""),1)),IFERROR(INDEX(醫師週班表!$C$5:$T$44,$CU32,BA$57),""))))))</f>
        <v/>
      </c>
      <c r="BB32" s="68">
        <f>IF(BB$59="X","",IF(BB$59&lt;&gt;"",BB$59,IF(IFERROR(INDEX(醫師週班表!$C$5:$T$44,$CU32,BB$57),"")=0,"",IF(LEN(IFERROR(INDEX(醫師週班表!$C$5:$T$44,$CU32,BB$57),""))=4,MID(IFERROR(INDEX(醫師週班表!$C$5:$T$44,$CU32,BB$57),""),1+BB$58*2,1),IF(LEN(IFERROR(INDEX(醫師週班表!$C$5:$T$44,$CU32,BB$57),""))=2,IF(AND(RIGHT(IFERROR(INDEX(醫師週班表!$C$5:$T$44,$CU32,BB$57),""),1)="~",BB$58=1),"",LEFT(IFERROR(INDEX(醫師週班表!$C$5:$T$44,$CU32,BB$57),""),1)),IFERROR(INDEX(醫師週班表!$C$5:$T$44,$CU32,BB$57),""))))))</f>
        <v/>
      </c>
      <c r="BC32" s="68">
        <f>IF(BC$59="X","",IF(BC$59&lt;&gt;"",BC$59,IF(IFERROR(INDEX(醫師週班表!$C$5:$T$44,$CU32,BC$57),"")=0,"",IF(LEN(IFERROR(INDEX(醫師週班表!$C$5:$T$44,$CU32,BC$57),""))=4,MID(IFERROR(INDEX(醫師週班表!$C$5:$T$44,$CU32,BC$57),""),1+BC$58*2,1),IF(LEN(IFERROR(INDEX(醫師週班表!$C$5:$T$44,$CU32,BC$57),""))=2,IF(AND(RIGHT(IFERROR(INDEX(醫師週班表!$C$5:$T$44,$CU32,BC$57),""),1)="~",BC$58=1),"",LEFT(IFERROR(INDEX(醫師週班表!$C$5:$T$44,$CU32,BC$57),""),1)),IFERROR(INDEX(醫師週班表!$C$5:$T$44,$CU32,BC$57),""))))))</f>
        <v/>
      </c>
      <c r="BD32" s="67">
        <f>IF(BD$59="X","",IF(BD$59&lt;&gt;"",BD$59,IF(IFERROR(INDEX(醫師週班表!$C$5:$T$44,$CU32,BD$57),"")=0,"",IF(LEN(IFERROR(INDEX(醫師週班表!$C$5:$T$44,$CU32,BD$57),""))=4,MID(IFERROR(INDEX(醫師週班表!$C$5:$T$44,$CU32,BD$57),""),1+BD$58*2,1),IF(LEN(IFERROR(INDEX(醫師週班表!$C$5:$T$44,$CU32,BD$57),""))=2,IF(AND(RIGHT(IFERROR(INDEX(醫師週班表!$C$5:$T$44,$CU32,BD$57),""),1)="~",BD$58=1),"",LEFT(IFERROR(INDEX(醫師週班表!$C$5:$T$44,$CU32,BD$57),""),1)),IFERROR(INDEX(醫師週班表!$C$5:$T$44,$CU32,BD$57),""))))))</f>
        <v/>
      </c>
      <c r="BE32" s="68">
        <f>IF(BE$59="X","",IF(BE$59&lt;&gt;"",BE$59,IF(IFERROR(INDEX(醫師週班表!$C$5:$T$44,$CU32,BE$57),"")=0,"",IF(LEN(IFERROR(INDEX(醫師週班表!$C$5:$T$44,$CU32,BE$57),""))=4,MID(IFERROR(INDEX(醫師週班表!$C$5:$T$44,$CU32,BE$57),""),1+BE$58*2,1),IF(LEN(IFERROR(INDEX(醫師週班表!$C$5:$T$44,$CU32,BE$57),""))=2,IF(AND(RIGHT(IFERROR(INDEX(醫師週班表!$C$5:$T$44,$CU32,BE$57),""),1)="~",BE$58=1),"",LEFT(IFERROR(INDEX(醫師週班表!$C$5:$T$44,$CU32,BE$57),""),1)),IFERROR(INDEX(醫師週班表!$C$5:$T$44,$CU32,BE$57),""))))))</f>
        <v/>
      </c>
      <c r="BF32" s="68">
        <f>IF(BF$59="X","",IF(BF$59&lt;&gt;"",BF$59,IF(IFERROR(INDEX(醫師週班表!$C$5:$T$44,$CU32,BF$57),"")=0,"",IF(LEN(IFERROR(INDEX(醫師週班表!$C$5:$T$44,$CU32,BF$57),""))=4,MID(IFERROR(INDEX(醫師週班表!$C$5:$T$44,$CU32,BF$57),""),1+BF$58*2,1),IF(LEN(IFERROR(INDEX(醫師週班表!$C$5:$T$44,$CU32,BF$57),""))=2,IF(AND(RIGHT(IFERROR(INDEX(醫師週班表!$C$5:$T$44,$CU32,BF$57),""),1)="~",BF$58=1),"",LEFT(IFERROR(INDEX(醫師週班表!$C$5:$T$44,$CU32,BF$57),""),1)),IFERROR(INDEX(醫師週班表!$C$5:$T$44,$CU32,BF$57),""))))))</f>
        <v/>
      </c>
      <c r="BG32" s="67">
        <f>IF(BG$59="X","",IF(BG$59&lt;&gt;"",BG$59,IF(IFERROR(INDEX(醫師週班表!$C$5:$T$44,$CU32,BG$57),"")=0,"",IF(LEN(IFERROR(INDEX(醫師週班表!$C$5:$T$44,$CU32,BG$57),""))=4,MID(IFERROR(INDEX(醫師週班表!$C$5:$T$44,$CU32,BG$57),""),1+BG$58*2,1),IF(LEN(IFERROR(INDEX(醫師週班表!$C$5:$T$44,$CU32,BG$57),""))=2,IF(AND(RIGHT(IFERROR(INDEX(醫師週班表!$C$5:$T$44,$CU32,BG$57),""),1)="~",BG$58=1),"",LEFT(IFERROR(INDEX(醫師週班表!$C$5:$T$44,$CU32,BG$57),""),1)),IFERROR(INDEX(醫師週班表!$C$5:$T$44,$CU32,BG$57),""))))))</f>
        <v/>
      </c>
      <c r="BH32" s="68">
        <f>IF(BH$59="X","",IF(BH$59&lt;&gt;"",BH$59,IF(IFERROR(INDEX(醫師週班表!$C$5:$T$44,$CU32,BH$57),"")=0,"",IF(LEN(IFERROR(INDEX(醫師週班表!$C$5:$T$44,$CU32,BH$57),""))=4,MID(IFERROR(INDEX(醫師週班表!$C$5:$T$44,$CU32,BH$57),""),1+BH$58*2,1),IF(LEN(IFERROR(INDEX(醫師週班表!$C$5:$T$44,$CU32,BH$57),""))=2,IF(AND(RIGHT(IFERROR(INDEX(醫師週班表!$C$5:$T$44,$CU32,BH$57),""),1)="~",BH$58=1),"",LEFT(IFERROR(INDEX(醫師週班表!$C$5:$T$44,$CU32,BH$57),""),1)),IFERROR(INDEX(醫師週班表!$C$5:$T$44,$CU32,BH$57),""))))))</f>
        <v/>
      </c>
      <c r="BI32" s="68">
        <f>IF(BI$59="X","",IF(BI$59&lt;&gt;"",BI$59,IF(IFERROR(INDEX(醫師週班表!$C$5:$T$44,$CU32,BI$57),"")=0,"",IF(LEN(IFERROR(INDEX(醫師週班表!$C$5:$T$44,$CU32,BI$57),""))=4,MID(IFERROR(INDEX(醫師週班表!$C$5:$T$44,$CU32,BI$57),""),1+BI$58*2,1),IF(LEN(IFERROR(INDEX(醫師週班表!$C$5:$T$44,$CU32,BI$57),""))=2,IF(AND(RIGHT(IFERROR(INDEX(醫師週班表!$C$5:$T$44,$CU32,BI$57),""),1)="~",BI$58=1),"",LEFT(IFERROR(INDEX(醫師週班表!$C$5:$T$44,$CU32,BI$57),""),1)),IFERROR(INDEX(醫師週班表!$C$5:$T$44,$CU32,BI$57),""))))))</f>
        <v/>
      </c>
      <c r="BJ32" s="67">
        <f>IF(BJ$59="X","",IF(BJ$59&lt;&gt;"",BJ$59,IF(IFERROR(INDEX(醫師週班表!$C$5:$T$44,$CU32,BJ$57),"")=0,"",IF(LEN(IFERROR(INDEX(醫師週班表!$C$5:$T$44,$CU32,BJ$57),""))=4,MID(IFERROR(INDEX(醫師週班表!$C$5:$T$44,$CU32,BJ$57),""),1+BJ$58*2,1),IF(LEN(IFERROR(INDEX(醫師週班表!$C$5:$T$44,$CU32,BJ$57),""))=2,IF(AND(RIGHT(IFERROR(INDEX(醫師週班表!$C$5:$T$44,$CU32,BJ$57),""),1)="~",BJ$58=1),"",LEFT(IFERROR(INDEX(醫師週班表!$C$5:$T$44,$CU32,BJ$57),""),1)),IFERROR(INDEX(醫師週班表!$C$5:$T$44,$CU32,BJ$57),""))))))</f>
        <v/>
      </c>
      <c r="BK32" s="68">
        <f>IF(BK$59="X","",IF(BK$59&lt;&gt;"",BK$59,IF(IFERROR(INDEX(醫師週班表!$C$5:$T$44,$CU32,BK$57),"")=0,"",IF(LEN(IFERROR(INDEX(醫師週班表!$C$5:$T$44,$CU32,BK$57),""))=4,MID(IFERROR(INDEX(醫師週班表!$C$5:$T$44,$CU32,BK$57),""),1+BK$58*2,1),IF(LEN(IFERROR(INDEX(醫師週班表!$C$5:$T$44,$CU32,BK$57),""))=2,IF(AND(RIGHT(IFERROR(INDEX(醫師週班表!$C$5:$T$44,$CU32,BK$57),""),1)="~",BK$58=1),"",LEFT(IFERROR(INDEX(醫師週班表!$C$5:$T$44,$CU32,BK$57),""),1)),IFERROR(INDEX(醫師週班表!$C$5:$T$44,$CU32,BK$57),""))))))</f>
        <v/>
      </c>
      <c r="BL32" s="68">
        <f>IF(BL$59="X","",IF(BL$59&lt;&gt;"",BL$59,IF(IFERROR(INDEX(醫師週班表!$C$5:$T$44,$CU32,BL$57),"")=0,"",IF(LEN(IFERROR(INDEX(醫師週班表!$C$5:$T$44,$CU32,BL$57),""))=4,MID(IFERROR(INDEX(醫師週班表!$C$5:$T$44,$CU32,BL$57),""),1+BL$58*2,1),IF(LEN(IFERROR(INDEX(醫師週班表!$C$5:$T$44,$CU32,BL$57),""))=2,IF(AND(RIGHT(IFERROR(INDEX(醫師週班表!$C$5:$T$44,$CU32,BL$57),""),1)="~",BL$58=1),"",LEFT(IFERROR(INDEX(醫師週班表!$C$5:$T$44,$CU32,BL$57),""),1)),IFERROR(INDEX(醫師週班表!$C$5:$T$44,$CU32,BL$57),""))))))</f>
        <v/>
      </c>
      <c r="BM32" s="67">
        <f>IF(BM$59="X","",IF(BM$59&lt;&gt;"",BM$59,IF(IFERROR(INDEX(醫師週班表!$C$5:$T$44,$CU32,BM$57),"")=0,"",IF(LEN(IFERROR(INDEX(醫師週班表!$C$5:$T$44,$CU32,BM$57),""))=4,MID(IFERROR(INDEX(醫師週班表!$C$5:$T$44,$CU32,BM$57),""),1+BM$58*2,1),IF(LEN(IFERROR(INDEX(醫師週班表!$C$5:$T$44,$CU32,BM$57),""))=2,IF(AND(RIGHT(IFERROR(INDEX(醫師週班表!$C$5:$T$44,$CU32,BM$57),""),1)="~",BM$58=1),"",LEFT(IFERROR(INDEX(醫師週班表!$C$5:$T$44,$CU32,BM$57),""),1)),IFERROR(INDEX(醫師週班表!$C$5:$T$44,$CU32,BM$57),""))))))</f>
        <v/>
      </c>
      <c r="BN32" s="68">
        <f>IF(BN$59="X","",IF(BN$59&lt;&gt;"",BN$59,IF(IFERROR(INDEX(醫師週班表!$C$5:$T$44,$CU32,BN$57),"")=0,"",IF(LEN(IFERROR(INDEX(醫師週班表!$C$5:$T$44,$CU32,BN$57),""))=4,MID(IFERROR(INDEX(醫師週班表!$C$5:$T$44,$CU32,BN$57),""),1+BN$58*2,1),IF(LEN(IFERROR(INDEX(醫師週班表!$C$5:$T$44,$CU32,BN$57),""))=2,IF(AND(RIGHT(IFERROR(INDEX(醫師週班表!$C$5:$T$44,$CU32,BN$57),""),1)="~",BN$58=1),"",LEFT(IFERROR(INDEX(醫師週班表!$C$5:$T$44,$CU32,BN$57),""),1)),IFERROR(INDEX(醫師週班表!$C$5:$T$44,$CU32,BN$57),""))))))</f>
        <v/>
      </c>
      <c r="BO32" s="68">
        <f>IF(BO$59="X","",IF(BO$59&lt;&gt;"",BO$59,IF(IFERROR(INDEX(醫師週班表!$C$5:$T$44,$CU32,BO$57),"")=0,"",IF(LEN(IFERROR(INDEX(醫師週班表!$C$5:$T$44,$CU32,BO$57),""))=4,MID(IFERROR(INDEX(醫師週班表!$C$5:$T$44,$CU32,BO$57),""),1+BO$58*2,1),IF(LEN(IFERROR(INDEX(醫師週班表!$C$5:$T$44,$CU32,BO$57),""))=2,IF(AND(RIGHT(IFERROR(INDEX(醫師週班表!$C$5:$T$44,$CU32,BO$57),""),1)="~",BO$58=1),"",LEFT(IFERROR(INDEX(醫師週班表!$C$5:$T$44,$CU32,BO$57),""),1)),IFERROR(INDEX(醫師週班表!$C$5:$T$44,$CU32,BO$57),""))))))</f>
        <v/>
      </c>
      <c r="BP32" s="67">
        <f>IF(BP$59="X","",IF(BP$59&lt;&gt;"",BP$59,IF(IFERROR(INDEX(醫師週班表!$C$5:$T$44,$CU32,BP$57),"")=0,"",IF(LEN(IFERROR(INDEX(醫師週班表!$C$5:$T$44,$CU32,BP$57),""))=4,MID(IFERROR(INDEX(醫師週班表!$C$5:$T$44,$CU32,BP$57),""),1+BP$58*2,1),IF(LEN(IFERROR(INDEX(醫師週班表!$C$5:$T$44,$CU32,BP$57),""))=2,IF(AND(RIGHT(IFERROR(INDEX(醫師週班表!$C$5:$T$44,$CU32,BP$57),""),1)="~",BP$58=1),"",LEFT(IFERROR(INDEX(醫師週班表!$C$5:$T$44,$CU32,BP$57),""),1)),IFERROR(INDEX(醫師週班表!$C$5:$T$44,$CU32,BP$57),""))))))</f>
        <v/>
      </c>
      <c r="BQ32" s="68">
        <f>IF(BQ$59="X","",IF(BQ$59&lt;&gt;"",BQ$59,IF(IFERROR(INDEX(醫師週班表!$C$5:$T$44,$CU32,BQ$57),"")=0,"",IF(LEN(IFERROR(INDEX(醫師週班表!$C$5:$T$44,$CU32,BQ$57),""))=4,MID(IFERROR(INDEX(醫師週班表!$C$5:$T$44,$CU32,BQ$57),""),1+BQ$58*2,1),IF(LEN(IFERROR(INDEX(醫師週班表!$C$5:$T$44,$CU32,BQ$57),""))=2,IF(AND(RIGHT(IFERROR(INDEX(醫師週班表!$C$5:$T$44,$CU32,BQ$57),""),1)="~",BQ$58=1),"",LEFT(IFERROR(INDEX(醫師週班表!$C$5:$T$44,$CU32,BQ$57),""),1)),IFERROR(INDEX(醫師週班表!$C$5:$T$44,$CU32,BQ$57),""))))))</f>
        <v/>
      </c>
      <c r="BR32" s="68">
        <f>IF(BR$59="X","",IF(BR$59&lt;&gt;"",BR$59,IF(IFERROR(INDEX(醫師週班表!$C$5:$T$44,$CU32,BR$57),"")=0,"",IF(LEN(IFERROR(INDEX(醫師週班表!$C$5:$T$44,$CU32,BR$57),""))=4,MID(IFERROR(INDEX(醫師週班表!$C$5:$T$44,$CU32,BR$57),""),1+BR$58*2,1),IF(LEN(IFERROR(INDEX(醫師週班表!$C$5:$T$44,$CU32,BR$57),""))=2,IF(AND(RIGHT(IFERROR(INDEX(醫師週班表!$C$5:$T$44,$CU32,BR$57),""),1)="~",BR$58=1),"",LEFT(IFERROR(INDEX(醫師週班表!$C$5:$T$44,$CU32,BR$57),""),1)),IFERROR(INDEX(醫師週班表!$C$5:$T$44,$CU32,BR$57),""))))))</f>
        <v/>
      </c>
      <c r="BS32" s="67">
        <f>IF(BS$59="X","",IF(BS$59&lt;&gt;"",BS$59,IF(IFERROR(INDEX(醫師週班表!$C$5:$T$44,$CU32,BS$57),"")=0,"",IF(LEN(IFERROR(INDEX(醫師週班表!$C$5:$T$44,$CU32,BS$57),""))=4,MID(IFERROR(INDEX(醫師週班表!$C$5:$T$44,$CU32,BS$57),""),1+BS$58*2,1),IF(LEN(IFERROR(INDEX(醫師週班表!$C$5:$T$44,$CU32,BS$57),""))=2,IF(AND(RIGHT(IFERROR(INDEX(醫師週班表!$C$5:$T$44,$CU32,BS$57),""),1)="~",BS$58=1),"",LEFT(IFERROR(INDEX(醫師週班表!$C$5:$T$44,$CU32,BS$57),""),1)),IFERROR(INDEX(醫師週班表!$C$5:$T$44,$CU32,BS$57),""))))))</f>
        <v/>
      </c>
      <c r="BT32" s="68">
        <f>IF(BT$59="X","",IF(BT$59&lt;&gt;"",BT$59,IF(IFERROR(INDEX(醫師週班表!$C$5:$T$44,$CU32,BT$57),"")=0,"",IF(LEN(IFERROR(INDEX(醫師週班表!$C$5:$T$44,$CU32,BT$57),""))=4,MID(IFERROR(INDEX(醫師週班表!$C$5:$T$44,$CU32,BT$57),""),1+BT$58*2,1),IF(LEN(IFERROR(INDEX(醫師週班表!$C$5:$T$44,$CU32,BT$57),""))=2,IF(AND(RIGHT(IFERROR(INDEX(醫師週班表!$C$5:$T$44,$CU32,BT$57),""),1)="~",BT$58=1),"",LEFT(IFERROR(INDEX(醫師週班表!$C$5:$T$44,$CU32,BT$57),""),1)),IFERROR(INDEX(醫師週班表!$C$5:$T$44,$CU32,BT$57),""))))))</f>
        <v/>
      </c>
      <c r="BU32" s="68">
        <f>IF(BU$59="X","",IF(BU$59&lt;&gt;"",BU$59,IF(IFERROR(INDEX(醫師週班表!$C$5:$T$44,$CU32,BU$57),"")=0,"",IF(LEN(IFERROR(INDEX(醫師週班表!$C$5:$T$44,$CU32,BU$57),""))=4,MID(IFERROR(INDEX(醫師週班表!$C$5:$T$44,$CU32,BU$57),""),1+BU$58*2,1),IF(LEN(IFERROR(INDEX(醫師週班表!$C$5:$T$44,$CU32,BU$57),""))=2,IF(AND(RIGHT(IFERROR(INDEX(醫師週班表!$C$5:$T$44,$CU32,BU$57),""),1)="~",BU$58=1),"",LEFT(IFERROR(INDEX(醫師週班表!$C$5:$T$44,$CU32,BU$57),""),1)),IFERROR(INDEX(醫師週班表!$C$5:$T$44,$CU32,BU$57),""))))))</f>
        <v/>
      </c>
      <c r="BV32" s="67">
        <f>IF(BV$59="X","",IF(BV$59&lt;&gt;"",BV$59,IF(IFERROR(INDEX(醫師週班表!$C$5:$T$44,$CU32,BV$57),"")=0,"",IF(LEN(IFERROR(INDEX(醫師週班表!$C$5:$T$44,$CU32,BV$57),""))=4,MID(IFERROR(INDEX(醫師週班表!$C$5:$T$44,$CU32,BV$57),""),1+BV$58*2,1),IF(LEN(IFERROR(INDEX(醫師週班表!$C$5:$T$44,$CU32,BV$57),""))=2,IF(AND(RIGHT(IFERROR(INDEX(醫師週班表!$C$5:$T$44,$CU32,BV$57),""),1)="~",BV$58=1),"",LEFT(IFERROR(INDEX(醫師週班表!$C$5:$T$44,$CU32,BV$57),""),1)),IFERROR(INDEX(醫師週班表!$C$5:$T$44,$CU32,BV$57),""))))))</f>
        <v/>
      </c>
      <c r="BW32" s="68">
        <f>IF(BW$59="X","",IF(BW$59&lt;&gt;"",BW$59,IF(IFERROR(INDEX(醫師週班表!$C$5:$T$44,$CU32,BW$57),"")=0,"",IF(LEN(IFERROR(INDEX(醫師週班表!$C$5:$T$44,$CU32,BW$57),""))=4,MID(IFERROR(INDEX(醫師週班表!$C$5:$T$44,$CU32,BW$57),""),1+BW$58*2,1),IF(LEN(IFERROR(INDEX(醫師週班表!$C$5:$T$44,$CU32,BW$57),""))=2,IF(AND(RIGHT(IFERROR(INDEX(醫師週班表!$C$5:$T$44,$CU32,BW$57),""),1)="~",BW$58=1),"",LEFT(IFERROR(INDEX(醫師週班表!$C$5:$T$44,$CU32,BW$57),""),1)),IFERROR(INDEX(醫師週班表!$C$5:$T$44,$CU32,BW$57),""))))))</f>
        <v/>
      </c>
      <c r="BX32" s="68">
        <f>IF(BX$59="X","",IF(BX$59&lt;&gt;"",BX$59,IF(IFERROR(INDEX(醫師週班表!$C$5:$T$44,$CU32,BX$57),"")=0,"",IF(LEN(IFERROR(INDEX(醫師週班表!$C$5:$T$44,$CU32,BX$57),""))=4,MID(IFERROR(INDEX(醫師週班表!$C$5:$T$44,$CU32,BX$57),""),1+BX$58*2,1),IF(LEN(IFERROR(INDEX(醫師週班表!$C$5:$T$44,$CU32,BX$57),""))=2,IF(AND(RIGHT(IFERROR(INDEX(醫師週班表!$C$5:$T$44,$CU32,BX$57),""),1)="~",BX$58=1),"",LEFT(IFERROR(INDEX(醫師週班表!$C$5:$T$44,$CU32,BX$57),""),1)),IFERROR(INDEX(醫師週班表!$C$5:$T$44,$CU32,BX$57),""))))))</f>
        <v/>
      </c>
      <c r="BY32" s="67">
        <f>IF(BY$59="X","",IF(BY$59&lt;&gt;"",BY$59,IF(IFERROR(INDEX(醫師週班表!$C$5:$T$44,$CU32,BY$57),"")=0,"",IF(LEN(IFERROR(INDEX(醫師週班表!$C$5:$T$44,$CU32,BY$57),""))=4,MID(IFERROR(INDEX(醫師週班表!$C$5:$T$44,$CU32,BY$57),""),1+BY$58*2,1),IF(LEN(IFERROR(INDEX(醫師週班表!$C$5:$T$44,$CU32,BY$57),""))=2,IF(AND(RIGHT(IFERROR(INDEX(醫師週班表!$C$5:$T$44,$CU32,BY$57),""),1)="~",BY$58=1),"",LEFT(IFERROR(INDEX(醫師週班表!$C$5:$T$44,$CU32,BY$57),""),1)),IFERROR(INDEX(醫師週班表!$C$5:$T$44,$CU32,BY$57),""))))))</f>
        <v/>
      </c>
      <c r="BZ32" s="68">
        <f>IF(BZ$59="X","",IF(BZ$59&lt;&gt;"",BZ$59,IF(IFERROR(INDEX(醫師週班表!$C$5:$T$44,$CU32,BZ$57),"")=0,"",IF(LEN(IFERROR(INDEX(醫師週班表!$C$5:$T$44,$CU32,BZ$57),""))=4,MID(IFERROR(INDEX(醫師週班表!$C$5:$T$44,$CU32,BZ$57),""),1+BZ$58*2,1),IF(LEN(IFERROR(INDEX(醫師週班表!$C$5:$T$44,$CU32,BZ$57),""))=2,IF(AND(RIGHT(IFERROR(INDEX(醫師週班表!$C$5:$T$44,$CU32,BZ$57),""),1)="~",BZ$58=1),"",LEFT(IFERROR(INDEX(醫師週班表!$C$5:$T$44,$CU32,BZ$57),""),1)),IFERROR(INDEX(醫師週班表!$C$5:$T$44,$CU32,BZ$57),""))))))</f>
        <v/>
      </c>
      <c r="CA32" s="68">
        <f>IF(CA$59="X","",IF(CA$59&lt;&gt;"",CA$59,IF(IFERROR(INDEX(醫師週班表!$C$5:$T$44,$CU32,CA$57),"")=0,"",IF(LEN(IFERROR(INDEX(醫師週班表!$C$5:$T$44,$CU32,CA$57),""))=4,MID(IFERROR(INDEX(醫師週班表!$C$5:$T$44,$CU32,CA$57),""),1+CA$58*2,1),IF(LEN(IFERROR(INDEX(醫師週班表!$C$5:$T$44,$CU32,CA$57),""))=2,IF(AND(RIGHT(IFERROR(INDEX(醫師週班表!$C$5:$T$44,$CU32,CA$57),""),1)="~",CA$58=1),"",LEFT(IFERROR(INDEX(醫師週班表!$C$5:$T$44,$CU32,CA$57),""),1)),IFERROR(INDEX(醫師週班表!$C$5:$T$44,$CU32,CA$57),""))))))</f>
        <v/>
      </c>
      <c r="CB32" s="67">
        <f>IF(CB$59="X","",IF(CB$59&lt;&gt;"",CB$59,IF(IFERROR(INDEX(醫師週班表!$C$5:$T$44,$CU32,CB$57),"")=0,"",IF(LEN(IFERROR(INDEX(醫師週班表!$C$5:$T$44,$CU32,CB$57),""))=4,MID(IFERROR(INDEX(醫師週班表!$C$5:$T$44,$CU32,CB$57),""),1+CB$58*2,1),IF(LEN(IFERROR(INDEX(醫師週班表!$C$5:$T$44,$CU32,CB$57),""))=2,IF(AND(RIGHT(IFERROR(INDEX(醫師週班表!$C$5:$T$44,$CU32,CB$57),""),1)="~",CB$58=1),"",LEFT(IFERROR(INDEX(醫師週班表!$C$5:$T$44,$CU32,CB$57),""),1)),IFERROR(INDEX(醫師週班表!$C$5:$T$44,$CU32,CB$57),""))))))</f>
        <v/>
      </c>
      <c r="CC32" s="68">
        <f>IF(CC$59="X","",IF(CC$59&lt;&gt;"",CC$59,IF(IFERROR(INDEX(醫師週班表!$C$5:$T$44,$CU32,CC$57),"")=0,"",IF(LEN(IFERROR(INDEX(醫師週班表!$C$5:$T$44,$CU32,CC$57),""))=4,MID(IFERROR(INDEX(醫師週班表!$C$5:$T$44,$CU32,CC$57),""),1+CC$58*2,1),IF(LEN(IFERROR(INDEX(醫師週班表!$C$5:$T$44,$CU32,CC$57),""))=2,IF(AND(RIGHT(IFERROR(INDEX(醫師週班表!$C$5:$T$44,$CU32,CC$57),""),1)="~",CC$58=1),"",LEFT(IFERROR(INDEX(醫師週班表!$C$5:$T$44,$CU32,CC$57),""),1)),IFERROR(INDEX(醫師週班表!$C$5:$T$44,$CU32,CC$57),""))))))</f>
        <v/>
      </c>
      <c r="CD32" s="68">
        <f>IF(CD$59="X","",IF(CD$59&lt;&gt;"",CD$59,IF(IFERROR(INDEX(醫師週班表!$C$5:$T$44,$CU32,CD$57),"")=0,"",IF(LEN(IFERROR(INDEX(醫師週班表!$C$5:$T$44,$CU32,CD$57),""))=4,MID(IFERROR(INDEX(醫師週班表!$C$5:$T$44,$CU32,CD$57),""),1+CD$58*2,1),IF(LEN(IFERROR(INDEX(醫師週班表!$C$5:$T$44,$CU32,CD$57),""))=2,IF(AND(RIGHT(IFERROR(INDEX(醫師週班表!$C$5:$T$44,$CU32,CD$57),""),1)="~",CD$58=1),"",LEFT(IFERROR(INDEX(醫師週班表!$C$5:$T$44,$CU32,CD$57),""),1)),IFERROR(INDEX(醫師週班表!$C$5:$T$44,$CU32,CD$57),""))))))</f>
        <v/>
      </c>
      <c r="CE32" s="67">
        <f>IF(CE$59="X","",IF(CE$59&lt;&gt;"",CE$59,IF(IFERROR(INDEX(醫師週班表!$C$5:$T$44,$CU32,CE$57),"")=0,"",IF(LEN(IFERROR(INDEX(醫師週班表!$C$5:$T$44,$CU32,CE$57),""))=4,MID(IFERROR(INDEX(醫師週班表!$C$5:$T$44,$CU32,CE$57),""),1+CE$58*2,1),IF(LEN(IFERROR(INDEX(醫師週班表!$C$5:$T$44,$CU32,CE$57),""))=2,IF(AND(RIGHT(IFERROR(INDEX(醫師週班表!$C$5:$T$44,$CU32,CE$57),""),1)="~",CE$58=1),"",LEFT(IFERROR(INDEX(醫師週班表!$C$5:$T$44,$CU32,CE$57),""),1)),IFERROR(INDEX(醫師週班表!$C$5:$T$44,$CU32,CE$57),""))))))</f>
        <v/>
      </c>
      <c r="CF32" s="68">
        <f>IF(CF$59="X","",IF(CF$59&lt;&gt;"",CF$59,IF(IFERROR(INDEX(醫師週班表!$C$5:$T$44,$CU32,CF$57),"")=0,"",IF(LEN(IFERROR(INDEX(醫師週班表!$C$5:$T$44,$CU32,CF$57),""))=4,MID(IFERROR(INDEX(醫師週班表!$C$5:$T$44,$CU32,CF$57),""),1+CF$58*2,1),IF(LEN(IFERROR(INDEX(醫師週班表!$C$5:$T$44,$CU32,CF$57),""))=2,IF(AND(RIGHT(IFERROR(INDEX(醫師週班表!$C$5:$T$44,$CU32,CF$57),""),1)="~",CF$58=1),"",LEFT(IFERROR(INDEX(醫師週班表!$C$5:$T$44,$CU32,CF$57),""),1)),IFERROR(INDEX(醫師週班表!$C$5:$T$44,$CU32,CF$57),""))))))</f>
        <v/>
      </c>
      <c r="CG32" s="68">
        <f>IF(CG$59="X","",IF(CG$59&lt;&gt;"",CG$59,IF(IFERROR(INDEX(醫師週班表!$C$5:$T$44,$CU32,CG$57),"")=0,"",IF(LEN(IFERROR(INDEX(醫師週班表!$C$5:$T$44,$CU32,CG$57),""))=4,MID(IFERROR(INDEX(醫師週班表!$C$5:$T$44,$CU32,CG$57),""),1+CG$58*2,1),IF(LEN(IFERROR(INDEX(醫師週班表!$C$5:$T$44,$CU32,CG$57),""))=2,IF(AND(RIGHT(IFERROR(INDEX(醫師週班表!$C$5:$T$44,$CU32,CG$57),""),1)="~",CG$58=1),"",LEFT(IFERROR(INDEX(醫師週班表!$C$5:$T$44,$CU32,CG$57),""),1)),IFERROR(INDEX(醫師週班表!$C$5:$T$44,$CU32,CG$57),""))))))</f>
        <v/>
      </c>
      <c r="CH32" s="67">
        <f>IF(CH$59="X","",IF(CH$59&lt;&gt;"",CH$59,IF(IFERROR(INDEX(醫師週班表!$C$5:$T$44,$CU32,CH$57),"")=0,"",IF(LEN(IFERROR(INDEX(醫師週班表!$C$5:$T$44,$CU32,CH$57),""))=4,MID(IFERROR(INDEX(醫師週班表!$C$5:$T$44,$CU32,CH$57),""),1+CH$58*2,1),IF(LEN(IFERROR(INDEX(醫師週班表!$C$5:$T$44,$CU32,CH$57),""))=2,IF(AND(RIGHT(IFERROR(INDEX(醫師週班表!$C$5:$T$44,$CU32,CH$57),""),1)="~",CH$58=1),"",LEFT(IFERROR(INDEX(醫師週班表!$C$5:$T$44,$CU32,CH$57),""),1)),IFERROR(INDEX(醫師週班表!$C$5:$T$44,$CU32,CH$57),""))))))</f>
        <v/>
      </c>
      <c r="CI32" s="68">
        <f>IF(CI$59="X","",IF(CI$59&lt;&gt;"",CI$59,IF(IFERROR(INDEX(醫師週班表!$C$5:$T$44,$CU32,CI$57),"")=0,"",IF(LEN(IFERROR(INDEX(醫師週班表!$C$5:$T$44,$CU32,CI$57),""))=4,MID(IFERROR(INDEX(醫師週班表!$C$5:$T$44,$CU32,CI$57),""),1+CI$58*2,1),IF(LEN(IFERROR(INDEX(醫師週班表!$C$5:$T$44,$CU32,CI$57),""))=2,IF(AND(RIGHT(IFERROR(INDEX(醫師週班表!$C$5:$T$44,$CU32,CI$57),""),1)="~",CI$58=1),"",LEFT(IFERROR(INDEX(醫師週班表!$C$5:$T$44,$CU32,CI$57),""),1)),IFERROR(INDEX(醫師週班表!$C$5:$T$44,$CU32,CI$57),""))))))</f>
        <v/>
      </c>
      <c r="CJ32" s="68">
        <f>IF(CJ$59="X","",IF(CJ$59&lt;&gt;"",CJ$59,IF(IFERROR(INDEX(醫師週班表!$C$5:$T$44,$CU32,CJ$57),"")=0,"",IF(LEN(IFERROR(INDEX(醫師週班表!$C$5:$T$44,$CU32,CJ$57),""))=4,MID(IFERROR(INDEX(醫師週班表!$C$5:$T$44,$CU32,CJ$57),""),1+CJ$58*2,1),IF(LEN(IFERROR(INDEX(醫師週班表!$C$5:$T$44,$CU32,CJ$57),""))=2,IF(AND(RIGHT(IFERROR(INDEX(醫師週班表!$C$5:$T$44,$CU32,CJ$57),""),1)="~",CJ$58=1),"",LEFT(IFERROR(INDEX(醫師週班表!$C$5:$T$44,$CU32,CJ$57),""),1)),IFERROR(INDEX(醫師週班表!$C$5:$T$44,$CU32,CJ$57),""))))))</f>
        <v/>
      </c>
      <c r="CK32" s="67">
        <f>IF(CK$59="X","",IF(CK$59&lt;&gt;"",CK$59,IF(IFERROR(INDEX(醫師週班表!$C$5:$T$44,$CU32,CK$57),"")=0,"",IF(LEN(IFERROR(INDEX(醫師週班表!$C$5:$T$44,$CU32,CK$57),""))=4,MID(IFERROR(INDEX(醫師週班表!$C$5:$T$44,$CU32,CK$57),""),1+CK$58*2,1),IF(LEN(IFERROR(INDEX(醫師週班表!$C$5:$T$44,$CU32,CK$57),""))=2,IF(AND(RIGHT(IFERROR(INDEX(醫師週班表!$C$5:$T$44,$CU32,CK$57),""),1)="~",CK$58=1),"",LEFT(IFERROR(INDEX(醫師週班表!$C$5:$T$44,$CU32,CK$57),""),1)),IFERROR(INDEX(醫師週班表!$C$5:$T$44,$CU32,CK$57),""))))))</f>
        <v/>
      </c>
      <c r="CL32" s="68">
        <f>IF(CL$59="X","",IF(CL$59&lt;&gt;"",CL$59,IF(IFERROR(INDEX(醫師週班表!$C$5:$T$44,$CU32,CL$57),"")=0,"",IF(LEN(IFERROR(INDEX(醫師週班表!$C$5:$T$44,$CU32,CL$57),""))=4,MID(IFERROR(INDEX(醫師週班表!$C$5:$T$44,$CU32,CL$57),""),1+CL$58*2,1),IF(LEN(IFERROR(INDEX(醫師週班表!$C$5:$T$44,$CU32,CL$57),""))=2,IF(AND(RIGHT(IFERROR(INDEX(醫師週班表!$C$5:$T$44,$CU32,CL$57),""),1)="~",CL$58=1),"",LEFT(IFERROR(INDEX(醫師週班表!$C$5:$T$44,$CU32,CL$57),""),1)),IFERROR(INDEX(醫師週班表!$C$5:$T$44,$CU32,CL$57),""))))))</f>
        <v/>
      </c>
      <c r="CM32" s="68">
        <f>IF(CM$59="X","",IF(CM$59&lt;&gt;"",CM$59,IF(IFERROR(INDEX(醫師週班表!$C$5:$T$44,$CU32,CM$57),"")=0,"",IF(LEN(IFERROR(INDEX(醫師週班表!$C$5:$T$44,$CU32,CM$57),""))=4,MID(IFERROR(INDEX(醫師週班表!$C$5:$T$44,$CU32,CM$57),""),1+CM$58*2,1),IF(LEN(IFERROR(INDEX(醫師週班表!$C$5:$T$44,$CU32,CM$57),""))=2,IF(AND(RIGHT(IFERROR(INDEX(醫師週班表!$C$5:$T$44,$CU32,CM$57),""),1)="~",CM$58=1),"",LEFT(IFERROR(INDEX(醫師週班表!$C$5:$T$44,$CU32,CM$57),""),1)),IFERROR(INDEX(醫師週班表!$C$5:$T$44,$CU32,CM$57),""))))))</f>
        <v/>
      </c>
      <c r="CN32" s="67">
        <f>IF(CN$59="X","",IF(CN$59&lt;&gt;"",CN$59,IF(IFERROR(INDEX(醫師週班表!$C$5:$T$44,$CU32,CN$57),"")=0,"",IF(LEN(IFERROR(INDEX(醫師週班表!$C$5:$T$44,$CU32,CN$57),""))=4,MID(IFERROR(INDEX(醫師週班表!$C$5:$T$44,$CU32,CN$57),""),1+CN$58*2,1),IF(LEN(IFERROR(INDEX(醫師週班表!$C$5:$T$44,$CU32,CN$57),""))=2,IF(AND(RIGHT(IFERROR(INDEX(醫師週班表!$C$5:$T$44,$CU32,CN$57),""),1)="~",CN$58=1),"",LEFT(IFERROR(INDEX(醫師週班表!$C$5:$T$44,$CU32,CN$57),""),1)),IFERROR(INDEX(醫師週班表!$C$5:$T$44,$CU32,CN$57),""))))))</f>
        <v/>
      </c>
      <c r="CO32" s="68">
        <f>IF(CO$59="X","",IF(CO$59&lt;&gt;"",CO$59,IF(IFERROR(INDEX(醫師週班表!$C$5:$T$44,$CU32,CO$57),"")=0,"",IF(LEN(IFERROR(INDEX(醫師週班表!$C$5:$T$44,$CU32,CO$57),""))=4,MID(IFERROR(INDEX(醫師週班表!$C$5:$T$44,$CU32,CO$57),""),1+CO$58*2,1),IF(LEN(IFERROR(INDEX(醫師週班表!$C$5:$T$44,$CU32,CO$57),""))=2,IF(AND(RIGHT(IFERROR(INDEX(醫師週班表!$C$5:$T$44,$CU32,CO$57),""),1)="~",CO$58=1),"",LEFT(IFERROR(INDEX(醫師週班表!$C$5:$T$44,$CU32,CO$57),""),1)),IFERROR(INDEX(醫師週班表!$C$5:$T$44,$CU32,CO$57),""))))))</f>
        <v/>
      </c>
      <c r="CP32" s="68">
        <f>IF(CP$59="X","",IF(CP$59&lt;&gt;"",CP$59,IF(IFERROR(INDEX(醫師週班表!$C$5:$T$44,$CU32,CP$57),"")=0,"",IF(LEN(IFERROR(INDEX(醫師週班表!$C$5:$T$44,$CU32,CP$57),""))=4,MID(IFERROR(INDEX(醫師週班表!$C$5:$T$44,$CU32,CP$57),""),1+CP$58*2,1),IF(LEN(IFERROR(INDEX(醫師週班表!$C$5:$T$44,$CU32,CP$57),""))=2,IF(AND(RIGHT(IFERROR(INDEX(醫師週班表!$C$5:$T$44,$CU32,CP$57),""),1)="~",CP$58=1),"",LEFT(IFERROR(INDEX(醫師週班表!$C$5:$T$44,$CU32,CP$57),""),1)),IFERROR(INDEX(醫師週班表!$C$5:$T$44,$CU32,CP$57),""))))))</f>
        <v/>
      </c>
      <c r="CQ32" s="67">
        <f>IF(CQ$59="X","",IF(CQ$59&lt;&gt;"",CQ$59,IF(IFERROR(INDEX(醫師週班表!$C$5:$T$44,$CU32,CQ$57),"")=0,"",IF(LEN(IFERROR(INDEX(醫師週班表!$C$5:$T$44,$CU32,CQ$57),""))=4,MID(IFERROR(INDEX(醫師週班表!$C$5:$T$44,$CU32,CQ$57),""),1+CQ$58*2,1),IF(LEN(IFERROR(INDEX(醫師週班表!$C$5:$T$44,$CU32,CQ$57),""))=2,IF(AND(RIGHT(IFERROR(INDEX(醫師週班表!$C$5:$T$44,$CU32,CQ$57),""),1)="~",CQ$58=1),"",LEFT(IFERROR(INDEX(醫師週班表!$C$5:$T$44,$CU32,CQ$57),""),1)),IFERROR(INDEX(醫師週班表!$C$5:$T$44,$CU32,CQ$57),""))))))</f>
        <v/>
      </c>
      <c r="CR32" s="68">
        <f>IF(CR$59="X","",IF(CR$59&lt;&gt;"",CR$59,IF(IFERROR(INDEX(醫師週班表!$C$5:$T$44,$CU32,CR$57),"")=0,"",IF(LEN(IFERROR(INDEX(醫師週班表!$C$5:$T$44,$CU32,CR$57),""))=4,MID(IFERROR(INDEX(醫師週班表!$C$5:$T$44,$CU32,CR$57),""),1+CR$58*2,1),IF(LEN(IFERROR(INDEX(醫師週班表!$C$5:$T$44,$CU32,CR$57),""))=2,IF(AND(RIGHT(IFERROR(INDEX(醫師週班表!$C$5:$T$44,$CU32,CR$57),""),1)="~",CR$58=1),"",LEFT(IFERROR(INDEX(醫師週班表!$C$5:$T$44,$CU32,CR$57),""),1)),IFERROR(INDEX(醫師週班表!$C$5:$T$44,$CU32,CR$57),""))))))</f>
        <v/>
      </c>
      <c r="CS32" s="68">
        <f>IF(CS$59="X","",IF(CS$59&lt;&gt;"",CS$59,IF(IFERROR(INDEX(醫師週班表!$C$5:$T$44,$CU32,CS$57),"")=0,"",IF(LEN(IFERROR(INDEX(醫師週班表!$C$5:$T$44,$CU32,CS$57),""))=4,MID(IFERROR(INDEX(醫師週班表!$C$5:$T$44,$CU32,CS$57),""),1+CS$58*2,1),IF(LEN(IFERROR(INDEX(醫師週班表!$C$5:$T$44,$CU32,CS$57),""))=2,IF(AND(RIGHT(IFERROR(INDEX(醫師週班表!$C$5:$T$44,$CU32,CS$57),""),1)="~",CS$58=1),"",LEFT(IFERROR(INDEX(醫師週班表!$C$5:$T$44,$CU32,CS$57),""),1)),IFERROR(INDEX(醫師週班表!$C$5:$T$44,$CU32,CS$57),""))))))</f>
        <v/>
      </c>
      <c r="CU32" s="69">
        <f>IFERROR(MATCH($A32,醫師週班表!$A$5:$A$44,0),0)</f>
        <v/>
      </c>
    </row>
    <row r="33" ht="17" customHeight="1">
      <c r="A33" s="20" t="n"/>
      <c r="B33" s="16">
        <f>IFERROR(INDEX(設定!$C$57:$C$196,MATCH($A33,設定!$B$57:$B$196,0)),"")</f>
        <v/>
      </c>
      <c r="C33" s="66">
        <f>IFERROR(INDEX(設定!$E$57:$E$196,MATCH($A33,設定!$B$57:$B$196,0)),"")</f>
        <v/>
      </c>
      <c r="D33" s="16">
        <f>IFERROR(INDEX(設定!$F$57:$F$196,MATCH($A33,設定!$B$57:$B$196,0)),"")</f>
        <v/>
      </c>
      <c r="E33" s="67">
        <f>IF(E$59="X","",IF(E$59&lt;&gt;"",E$59,IF(IFERROR(INDEX(醫師週班表!$C$5:$T$44,$CU33,E$57),"")=0,"",IF(LEN(IFERROR(INDEX(醫師週班表!$C$5:$T$44,$CU33,E$57),""))=4,MID(IFERROR(INDEX(醫師週班表!$C$5:$T$44,$CU33,E$57),""),1+E$58*2,1),IF(LEN(IFERROR(INDEX(醫師週班表!$C$5:$T$44,$CU33,E$57),""))=2,IF(AND(RIGHT(IFERROR(INDEX(醫師週班表!$C$5:$T$44,$CU33,E$57),""),1)="~",E$58=1),"",LEFT(IFERROR(INDEX(醫師週班表!$C$5:$T$44,$CU33,E$57),""),1)),IFERROR(INDEX(醫師週班表!$C$5:$T$44,$CU33,E$57),""))))))</f>
        <v/>
      </c>
      <c r="F33" s="68">
        <f>IF(F$59="X","",IF(F$59&lt;&gt;"",F$59,IF(IFERROR(INDEX(醫師週班表!$C$5:$T$44,$CU33,F$57),"")=0,"",IF(LEN(IFERROR(INDEX(醫師週班表!$C$5:$T$44,$CU33,F$57),""))=4,MID(IFERROR(INDEX(醫師週班表!$C$5:$T$44,$CU33,F$57),""),1+F$58*2,1),IF(LEN(IFERROR(INDEX(醫師週班表!$C$5:$T$44,$CU33,F$57),""))=2,IF(AND(RIGHT(IFERROR(INDEX(醫師週班表!$C$5:$T$44,$CU33,F$57),""),1)="~",F$58=1),"",LEFT(IFERROR(INDEX(醫師週班表!$C$5:$T$44,$CU33,F$57),""),1)),IFERROR(INDEX(醫師週班表!$C$5:$T$44,$CU33,F$57),""))))))</f>
        <v/>
      </c>
      <c r="G33" s="68">
        <f>IF(G$59="X","",IF(G$59&lt;&gt;"",G$59,IF(IFERROR(INDEX(醫師週班表!$C$5:$T$44,$CU33,G$57),"")=0,"",IF(LEN(IFERROR(INDEX(醫師週班表!$C$5:$T$44,$CU33,G$57),""))=4,MID(IFERROR(INDEX(醫師週班表!$C$5:$T$44,$CU33,G$57),""),1+G$58*2,1),IF(LEN(IFERROR(INDEX(醫師週班表!$C$5:$T$44,$CU33,G$57),""))=2,IF(AND(RIGHT(IFERROR(INDEX(醫師週班表!$C$5:$T$44,$CU33,G$57),""),1)="~",G$58=1),"",LEFT(IFERROR(INDEX(醫師週班表!$C$5:$T$44,$CU33,G$57),""),1)),IFERROR(INDEX(醫師週班表!$C$5:$T$44,$CU33,G$57),""))))))</f>
        <v/>
      </c>
      <c r="H33" s="67">
        <f>IF(H$59="X","",IF(H$59&lt;&gt;"",H$59,IF(IFERROR(INDEX(醫師週班表!$C$5:$T$44,$CU33,H$57),"")=0,"",IF(LEN(IFERROR(INDEX(醫師週班表!$C$5:$T$44,$CU33,H$57),""))=4,MID(IFERROR(INDEX(醫師週班表!$C$5:$T$44,$CU33,H$57),""),1+H$58*2,1),IF(LEN(IFERROR(INDEX(醫師週班表!$C$5:$T$44,$CU33,H$57),""))=2,IF(AND(RIGHT(IFERROR(INDEX(醫師週班表!$C$5:$T$44,$CU33,H$57),""),1)="~",H$58=1),"",LEFT(IFERROR(INDEX(醫師週班表!$C$5:$T$44,$CU33,H$57),""),1)),IFERROR(INDEX(醫師週班表!$C$5:$T$44,$CU33,H$57),""))))))</f>
        <v/>
      </c>
      <c r="I33" s="68">
        <f>IF(I$59="X","",IF(I$59&lt;&gt;"",I$59,IF(IFERROR(INDEX(醫師週班表!$C$5:$T$44,$CU33,I$57),"")=0,"",IF(LEN(IFERROR(INDEX(醫師週班表!$C$5:$T$44,$CU33,I$57),""))=4,MID(IFERROR(INDEX(醫師週班表!$C$5:$T$44,$CU33,I$57),""),1+I$58*2,1),IF(LEN(IFERROR(INDEX(醫師週班表!$C$5:$T$44,$CU33,I$57),""))=2,IF(AND(RIGHT(IFERROR(INDEX(醫師週班表!$C$5:$T$44,$CU33,I$57),""),1)="~",I$58=1),"",LEFT(IFERROR(INDEX(醫師週班表!$C$5:$T$44,$CU33,I$57),""),1)),IFERROR(INDEX(醫師週班表!$C$5:$T$44,$CU33,I$57),""))))))</f>
        <v/>
      </c>
      <c r="J33" s="68">
        <f>IF(J$59="X","",IF(J$59&lt;&gt;"",J$59,IF(IFERROR(INDEX(醫師週班表!$C$5:$T$44,$CU33,J$57),"")=0,"",IF(LEN(IFERROR(INDEX(醫師週班表!$C$5:$T$44,$CU33,J$57),""))=4,MID(IFERROR(INDEX(醫師週班表!$C$5:$T$44,$CU33,J$57),""),1+J$58*2,1),IF(LEN(IFERROR(INDEX(醫師週班表!$C$5:$T$44,$CU33,J$57),""))=2,IF(AND(RIGHT(IFERROR(INDEX(醫師週班表!$C$5:$T$44,$CU33,J$57),""),1)="~",J$58=1),"",LEFT(IFERROR(INDEX(醫師週班表!$C$5:$T$44,$CU33,J$57),""),1)),IFERROR(INDEX(醫師週班表!$C$5:$T$44,$CU33,J$57),""))))))</f>
        <v/>
      </c>
      <c r="K33" s="67">
        <f>IF(K$59="X","",IF(K$59&lt;&gt;"",K$59,IF(IFERROR(INDEX(醫師週班表!$C$5:$T$44,$CU33,K$57),"")=0,"",IF(LEN(IFERROR(INDEX(醫師週班表!$C$5:$T$44,$CU33,K$57),""))=4,MID(IFERROR(INDEX(醫師週班表!$C$5:$T$44,$CU33,K$57),""),1+K$58*2,1),IF(LEN(IFERROR(INDEX(醫師週班表!$C$5:$T$44,$CU33,K$57),""))=2,IF(AND(RIGHT(IFERROR(INDEX(醫師週班表!$C$5:$T$44,$CU33,K$57),""),1)="~",K$58=1),"",LEFT(IFERROR(INDEX(醫師週班表!$C$5:$T$44,$CU33,K$57),""),1)),IFERROR(INDEX(醫師週班表!$C$5:$T$44,$CU33,K$57),""))))))</f>
        <v/>
      </c>
      <c r="L33" s="68">
        <f>IF(L$59="X","",IF(L$59&lt;&gt;"",L$59,IF(IFERROR(INDEX(醫師週班表!$C$5:$T$44,$CU33,L$57),"")=0,"",IF(LEN(IFERROR(INDEX(醫師週班表!$C$5:$T$44,$CU33,L$57),""))=4,MID(IFERROR(INDEX(醫師週班表!$C$5:$T$44,$CU33,L$57),""),1+L$58*2,1),IF(LEN(IFERROR(INDEX(醫師週班表!$C$5:$T$44,$CU33,L$57),""))=2,IF(AND(RIGHT(IFERROR(INDEX(醫師週班表!$C$5:$T$44,$CU33,L$57),""),1)="~",L$58=1),"",LEFT(IFERROR(INDEX(醫師週班表!$C$5:$T$44,$CU33,L$57),""),1)),IFERROR(INDEX(醫師週班表!$C$5:$T$44,$CU33,L$57),""))))))</f>
        <v/>
      </c>
      <c r="M33" s="68">
        <f>IF(M$59="X","",IF(M$59&lt;&gt;"",M$59,IF(IFERROR(INDEX(醫師週班表!$C$5:$T$44,$CU33,M$57),"")=0,"",IF(LEN(IFERROR(INDEX(醫師週班表!$C$5:$T$44,$CU33,M$57),""))=4,MID(IFERROR(INDEX(醫師週班表!$C$5:$T$44,$CU33,M$57),""),1+M$58*2,1),IF(LEN(IFERROR(INDEX(醫師週班表!$C$5:$T$44,$CU33,M$57),""))=2,IF(AND(RIGHT(IFERROR(INDEX(醫師週班表!$C$5:$T$44,$CU33,M$57),""),1)="~",M$58=1),"",LEFT(IFERROR(INDEX(醫師週班表!$C$5:$T$44,$CU33,M$57),""),1)),IFERROR(INDEX(醫師週班表!$C$5:$T$44,$CU33,M$57),""))))))</f>
        <v/>
      </c>
      <c r="N33" s="67">
        <f>IF(N$59="X","",IF(N$59&lt;&gt;"",N$59,IF(IFERROR(INDEX(醫師週班表!$C$5:$T$44,$CU33,N$57),"")=0,"",IF(LEN(IFERROR(INDEX(醫師週班表!$C$5:$T$44,$CU33,N$57),""))=4,MID(IFERROR(INDEX(醫師週班表!$C$5:$T$44,$CU33,N$57),""),1+N$58*2,1),IF(LEN(IFERROR(INDEX(醫師週班表!$C$5:$T$44,$CU33,N$57),""))=2,IF(AND(RIGHT(IFERROR(INDEX(醫師週班表!$C$5:$T$44,$CU33,N$57),""),1)="~",N$58=1),"",LEFT(IFERROR(INDEX(醫師週班表!$C$5:$T$44,$CU33,N$57),""),1)),IFERROR(INDEX(醫師週班表!$C$5:$T$44,$CU33,N$57),""))))))</f>
        <v/>
      </c>
      <c r="O33" s="68">
        <f>IF(O$59="X","",IF(O$59&lt;&gt;"",O$59,IF(IFERROR(INDEX(醫師週班表!$C$5:$T$44,$CU33,O$57),"")=0,"",IF(LEN(IFERROR(INDEX(醫師週班表!$C$5:$T$44,$CU33,O$57),""))=4,MID(IFERROR(INDEX(醫師週班表!$C$5:$T$44,$CU33,O$57),""),1+O$58*2,1),IF(LEN(IFERROR(INDEX(醫師週班表!$C$5:$T$44,$CU33,O$57),""))=2,IF(AND(RIGHT(IFERROR(INDEX(醫師週班表!$C$5:$T$44,$CU33,O$57),""),1)="~",O$58=1),"",LEFT(IFERROR(INDEX(醫師週班表!$C$5:$T$44,$CU33,O$57),""),1)),IFERROR(INDEX(醫師週班表!$C$5:$T$44,$CU33,O$57),""))))))</f>
        <v/>
      </c>
      <c r="P33" s="68">
        <f>IF(P$59="X","",IF(P$59&lt;&gt;"",P$59,IF(IFERROR(INDEX(醫師週班表!$C$5:$T$44,$CU33,P$57),"")=0,"",IF(LEN(IFERROR(INDEX(醫師週班表!$C$5:$T$44,$CU33,P$57),""))=4,MID(IFERROR(INDEX(醫師週班表!$C$5:$T$44,$CU33,P$57),""),1+P$58*2,1),IF(LEN(IFERROR(INDEX(醫師週班表!$C$5:$T$44,$CU33,P$57),""))=2,IF(AND(RIGHT(IFERROR(INDEX(醫師週班表!$C$5:$T$44,$CU33,P$57),""),1)="~",P$58=1),"",LEFT(IFERROR(INDEX(醫師週班表!$C$5:$T$44,$CU33,P$57),""),1)),IFERROR(INDEX(醫師週班表!$C$5:$T$44,$CU33,P$57),""))))))</f>
        <v/>
      </c>
      <c r="Q33" s="67">
        <f>IF(Q$59="X","",IF(Q$59&lt;&gt;"",Q$59,IF(IFERROR(INDEX(醫師週班表!$C$5:$T$44,$CU33,Q$57),"")=0,"",IF(LEN(IFERROR(INDEX(醫師週班表!$C$5:$T$44,$CU33,Q$57),""))=4,MID(IFERROR(INDEX(醫師週班表!$C$5:$T$44,$CU33,Q$57),""),1+Q$58*2,1),IF(LEN(IFERROR(INDEX(醫師週班表!$C$5:$T$44,$CU33,Q$57),""))=2,IF(AND(RIGHT(IFERROR(INDEX(醫師週班表!$C$5:$T$44,$CU33,Q$57),""),1)="~",Q$58=1),"",LEFT(IFERROR(INDEX(醫師週班表!$C$5:$T$44,$CU33,Q$57),""),1)),IFERROR(INDEX(醫師週班表!$C$5:$T$44,$CU33,Q$57),""))))))</f>
        <v/>
      </c>
      <c r="R33" s="68">
        <f>IF(R$59="X","",IF(R$59&lt;&gt;"",R$59,IF(IFERROR(INDEX(醫師週班表!$C$5:$T$44,$CU33,R$57),"")=0,"",IF(LEN(IFERROR(INDEX(醫師週班表!$C$5:$T$44,$CU33,R$57),""))=4,MID(IFERROR(INDEX(醫師週班表!$C$5:$T$44,$CU33,R$57),""),1+R$58*2,1),IF(LEN(IFERROR(INDEX(醫師週班表!$C$5:$T$44,$CU33,R$57),""))=2,IF(AND(RIGHT(IFERROR(INDEX(醫師週班表!$C$5:$T$44,$CU33,R$57),""),1)="~",R$58=1),"",LEFT(IFERROR(INDEX(醫師週班表!$C$5:$T$44,$CU33,R$57),""),1)),IFERROR(INDEX(醫師週班表!$C$5:$T$44,$CU33,R$57),""))))))</f>
        <v/>
      </c>
      <c r="S33" s="68">
        <f>IF(S$59="X","",IF(S$59&lt;&gt;"",S$59,IF(IFERROR(INDEX(醫師週班表!$C$5:$T$44,$CU33,S$57),"")=0,"",IF(LEN(IFERROR(INDEX(醫師週班表!$C$5:$T$44,$CU33,S$57),""))=4,MID(IFERROR(INDEX(醫師週班表!$C$5:$T$44,$CU33,S$57),""),1+S$58*2,1),IF(LEN(IFERROR(INDEX(醫師週班表!$C$5:$T$44,$CU33,S$57),""))=2,IF(AND(RIGHT(IFERROR(INDEX(醫師週班表!$C$5:$T$44,$CU33,S$57),""),1)="~",S$58=1),"",LEFT(IFERROR(INDEX(醫師週班表!$C$5:$T$44,$CU33,S$57),""),1)),IFERROR(INDEX(醫師週班表!$C$5:$T$44,$CU33,S$57),""))))))</f>
        <v/>
      </c>
      <c r="T33" s="67">
        <f>IF(T$59="X","",IF(T$59&lt;&gt;"",T$59,IF(IFERROR(INDEX(醫師週班表!$C$5:$T$44,$CU33,T$57),"")=0,"",IF(LEN(IFERROR(INDEX(醫師週班表!$C$5:$T$44,$CU33,T$57),""))=4,MID(IFERROR(INDEX(醫師週班表!$C$5:$T$44,$CU33,T$57),""),1+T$58*2,1),IF(LEN(IFERROR(INDEX(醫師週班表!$C$5:$T$44,$CU33,T$57),""))=2,IF(AND(RIGHT(IFERROR(INDEX(醫師週班表!$C$5:$T$44,$CU33,T$57),""),1)="~",T$58=1),"",LEFT(IFERROR(INDEX(醫師週班表!$C$5:$T$44,$CU33,T$57),""),1)),IFERROR(INDEX(醫師週班表!$C$5:$T$44,$CU33,T$57),""))))))</f>
        <v/>
      </c>
      <c r="U33" s="68">
        <f>IF(U$59="X","",IF(U$59&lt;&gt;"",U$59,IF(IFERROR(INDEX(醫師週班表!$C$5:$T$44,$CU33,U$57),"")=0,"",IF(LEN(IFERROR(INDEX(醫師週班表!$C$5:$T$44,$CU33,U$57),""))=4,MID(IFERROR(INDEX(醫師週班表!$C$5:$T$44,$CU33,U$57),""),1+U$58*2,1),IF(LEN(IFERROR(INDEX(醫師週班表!$C$5:$T$44,$CU33,U$57),""))=2,IF(AND(RIGHT(IFERROR(INDEX(醫師週班表!$C$5:$T$44,$CU33,U$57),""),1)="~",U$58=1),"",LEFT(IFERROR(INDEX(醫師週班表!$C$5:$T$44,$CU33,U$57),""),1)),IFERROR(INDEX(醫師週班表!$C$5:$T$44,$CU33,U$57),""))))))</f>
        <v/>
      </c>
      <c r="V33" s="68">
        <f>IF(V$59="X","",IF(V$59&lt;&gt;"",V$59,IF(IFERROR(INDEX(醫師週班表!$C$5:$T$44,$CU33,V$57),"")=0,"",IF(LEN(IFERROR(INDEX(醫師週班表!$C$5:$T$44,$CU33,V$57),""))=4,MID(IFERROR(INDEX(醫師週班表!$C$5:$T$44,$CU33,V$57),""),1+V$58*2,1),IF(LEN(IFERROR(INDEX(醫師週班表!$C$5:$T$44,$CU33,V$57),""))=2,IF(AND(RIGHT(IFERROR(INDEX(醫師週班表!$C$5:$T$44,$CU33,V$57),""),1)="~",V$58=1),"",LEFT(IFERROR(INDEX(醫師週班表!$C$5:$T$44,$CU33,V$57),""),1)),IFERROR(INDEX(醫師週班表!$C$5:$T$44,$CU33,V$57),""))))))</f>
        <v/>
      </c>
      <c r="W33" s="67">
        <f>IF(W$59="X","",IF(W$59&lt;&gt;"",W$59,IF(IFERROR(INDEX(醫師週班表!$C$5:$T$44,$CU33,W$57),"")=0,"",IF(LEN(IFERROR(INDEX(醫師週班表!$C$5:$T$44,$CU33,W$57),""))=4,MID(IFERROR(INDEX(醫師週班表!$C$5:$T$44,$CU33,W$57),""),1+W$58*2,1),IF(LEN(IFERROR(INDEX(醫師週班表!$C$5:$T$44,$CU33,W$57),""))=2,IF(AND(RIGHT(IFERROR(INDEX(醫師週班表!$C$5:$T$44,$CU33,W$57),""),1)="~",W$58=1),"",LEFT(IFERROR(INDEX(醫師週班表!$C$5:$T$44,$CU33,W$57),""),1)),IFERROR(INDEX(醫師週班表!$C$5:$T$44,$CU33,W$57),""))))))</f>
        <v/>
      </c>
      <c r="X33" s="68">
        <f>IF(X$59="X","",IF(X$59&lt;&gt;"",X$59,IF(IFERROR(INDEX(醫師週班表!$C$5:$T$44,$CU33,X$57),"")=0,"",IF(LEN(IFERROR(INDEX(醫師週班表!$C$5:$T$44,$CU33,X$57),""))=4,MID(IFERROR(INDEX(醫師週班表!$C$5:$T$44,$CU33,X$57),""),1+X$58*2,1),IF(LEN(IFERROR(INDEX(醫師週班表!$C$5:$T$44,$CU33,X$57),""))=2,IF(AND(RIGHT(IFERROR(INDEX(醫師週班表!$C$5:$T$44,$CU33,X$57),""),1)="~",X$58=1),"",LEFT(IFERROR(INDEX(醫師週班表!$C$5:$T$44,$CU33,X$57),""),1)),IFERROR(INDEX(醫師週班表!$C$5:$T$44,$CU33,X$57),""))))))</f>
        <v/>
      </c>
      <c r="Y33" s="68">
        <f>IF(Y$59="X","",IF(Y$59&lt;&gt;"",Y$59,IF(IFERROR(INDEX(醫師週班表!$C$5:$T$44,$CU33,Y$57),"")=0,"",IF(LEN(IFERROR(INDEX(醫師週班表!$C$5:$T$44,$CU33,Y$57),""))=4,MID(IFERROR(INDEX(醫師週班表!$C$5:$T$44,$CU33,Y$57),""),1+Y$58*2,1),IF(LEN(IFERROR(INDEX(醫師週班表!$C$5:$T$44,$CU33,Y$57),""))=2,IF(AND(RIGHT(IFERROR(INDEX(醫師週班表!$C$5:$T$44,$CU33,Y$57),""),1)="~",Y$58=1),"",LEFT(IFERROR(INDEX(醫師週班表!$C$5:$T$44,$CU33,Y$57),""),1)),IFERROR(INDEX(醫師週班表!$C$5:$T$44,$CU33,Y$57),""))))))</f>
        <v/>
      </c>
      <c r="Z33" s="67">
        <f>IF(Z$59="X","",IF(Z$59&lt;&gt;"",Z$59,IF(IFERROR(INDEX(醫師週班表!$C$5:$T$44,$CU33,Z$57),"")=0,"",IF(LEN(IFERROR(INDEX(醫師週班表!$C$5:$T$44,$CU33,Z$57),""))=4,MID(IFERROR(INDEX(醫師週班表!$C$5:$T$44,$CU33,Z$57),""),1+Z$58*2,1),IF(LEN(IFERROR(INDEX(醫師週班表!$C$5:$T$44,$CU33,Z$57),""))=2,IF(AND(RIGHT(IFERROR(INDEX(醫師週班表!$C$5:$T$44,$CU33,Z$57),""),1)="~",Z$58=1),"",LEFT(IFERROR(INDEX(醫師週班表!$C$5:$T$44,$CU33,Z$57),""),1)),IFERROR(INDEX(醫師週班表!$C$5:$T$44,$CU33,Z$57),""))))))</f>
        <v/>
      </c>
      <c r="AA33" s="68">
        <f>IF(AA$59="X","",IF(AA$59&lt;&gt;"",AA$59,IF(IFERROR(INDEX(醫師週班表!$C$5:$T$44,$CU33,AA$57),"")=0,"",IF(LEN(IFERROR(INDEX(醫師週班表!$C$5:$T$44,$CU33,AA$57),""))=4,MID(IFERROR(INDEX(醫師週班表!$C$5:$T$44,$CU33,AA$57),""),1+AA$58*2,1),IF(LEN(IFERROR(INDEX(醫師週班表!$C$5:$T$44,$CU33,AA$57),""))=2,IF(AND(RIGHT(IFERROR(INDEX(醫師週班表!$C$5:$T$44,$CU33,AA$57),""),1)="~",AA$58=1),"",LEFT(IFERROR(INDEX(醫師週班表!$C$5:$T$44,$CU33,AA$57),""),1)),IFERROR(INDEX(醫師週班表!$C$5:$T$44,$CU33,AA$57),""))))))</f>
        <v/>
      </c>
      <c r="AB33" s="68">
        <f>IF(AB$59="X","",IF(AB$59&lt;&gt;"",AB$59,IF(IFERROR(INDEX(醫師週班表!$C$5:$T$44,$CU33,AB$57),"")=0,"",IF(LEN(IFERROR(INDEX(醫師週班表!$C$5:$T$44,$CU33,AB$57),""))=4,MID(IFERROR(INDEX(醫師週班表!$C$5:$T$44,$CU33,AB$57),""),1+AB$58*2,1),IF(LEN(IFERROR(INDEX(醫師週班表!$C$5:$T$44,$CU33,AB$57),""))=2,IF(AND(RIGHT(IFERROR(INDEX(醫師週班表!$C$5:$T$44,$CU33,AB$57),""),1)="~",AB$58=1),"",LEFT(IFERROR(INDEX(醫師週班表!$C$5:$T$44,$CU33,AB$57),""),1)),IFERROR(INDEX(醫師週班表!$C$5:$T$44,$CU33,AB$57),""))))))</f>
        <v/>
      </c>
      <c r="AC33" s="67">
        <f>IF(AC$59="X","",IF(AC$59&lt;&gt;"",AC$59,IF(IFERROR(INDEX(醫師週班表!$C$5:$T$44,$CU33,AC$57),"")=0,"",IF(LEN(IFERROR(INDEX(醫師週班表!$C$5:$T$44,$CU33,AC$57),""))=4,MID(IFERROR(INDEX(醫師週班表!$C$5:$T$44,$CU33,AC$57),""),1+AC$58*2,1),IF(LEN(IFERROR(INDEX(醫師週班表!$C$5:$T$44,$CU33,AC$57),""))=2,IF(AND(RIGHT(IFERROR(INDEX(醫師週班表!$C$5:$T$44,$CU33,AC$57),""),1)="~",AC$58=1),"",LEFT(IFERROR(INDEX(醫師週班表!$C$5:$T$44,$CU33,AC$57),""),1)),IFERROR(INDEX(醫師週班表!$C$5:$T$44,$CU33,AC$57),""))))))</f>
        <v/>
      </c>
      <c r="AD33" s="68">
        <f>IF(AD$59="X","",IF(AD$59&lt;&gt;"",AD$59,IF(IFERROR(INDEX(醫師週班表!$C$5:$T$44,$CU33,AD$57),"")=0,"",IF(LEN(IFERROR(INDEX(醫師週班表!$C$5:$T$44,$CU33,AD$57),""))=4,MID(IFERROR(INDEX(醫師週班表!$C$5:$T$44,$CU33,AD$57),""),1+AD$58*2,1),IF(LEN(IFERROR(INDEX(醫師週班表!$C$5:$T$44,$CU33,AD$57),""))=2,IF(AND(RIGHT(IFERROR(INDEX(醫師週班表!$C$5:$T$44,$CU33,AD$57),""),1)="~",AD$58=1),"",LEFT(IFERROR(INDEX(醫師週班表!$C$5:$T$44,$CU33,AD$57),""),1)),IFERROR(INDEX(醫師週班表!$C$5:$T$44,$CU33,AD$57),""))))))</f>
        <v/>
      </c>
      <c r="AE33" s="68">
        <f>IF(AE$59="X","",IF(AE$59&lt;&gt;"",AE$59,IF(IFERROR(INDEX(醫師週班表!$C$5:$T$44,$CU33,AE$57),"")=0,"",IF(LEN(IFERROR(INDEX(醫師週班表!$C$5:$T$44,$CU33,AE$57),""))=4,MID(IFERROR(INDEX(醫師週班表!$C$5:$T$44,$CU33,AE$57),""),1+AE$58*2,1),IF(LEN(IFERROR(INDEX(醫師週班表!$C$5:$T$44,$CU33,AE$57),""))=2,IF(AND(RIGHT(IFERROR(INDEX(醫師週班表!$C$5:$T$44,$CU33,AE$57),""),1)="~",AE$58=1),"",LEFT(IFERROR(INDEX(醫師週班表!$C$5:$T$44,$CU33,AE$57),""),1)),IFERROR(INDEX(醫師週班表!$C$5:$T$44,$CU33,AE$57),""))))))</f>
        <v/>
      </c>
      <c r="AF33" s="67">
        <f>IF(AF$59="X","",IF(AF$59&lt;&gt;"",AF$59,IF(IFERROR(INDEX(醫師週班表!$C$5:$T$44,$CU33,AF$57),"")=0,"",IF(LEN(IFERROR(INDEX(醫師週班表!$C$5:$T$44,$CU33,AF$57),""))=4,MID(IFERROR(INDEX(醫師週班表!$C$5:$T$44,$CU33,AF$57),""),1+AF$58*2,1),IF(LEN(IFERROR(INDEX(醫師週班表!$C$5:$T$44,$CU33,AF$57),""))=2,IF(AND(RIGHT(IFERROR(INDEX(醫師週班表!$C$5:$T$44,$CU33,AF$57),""),1)="~",AF$58=1),"",LEFT(IFERROR(INDEX(醫師週班表!$C$5:$T$44,$CU33,AF$57),""),1)),IFERROR(INDEX(醫師週班表!$C$5:$T$44,$CU33,AF$57),""))))))</f>
        <v/>
      </c>
      <c r="AG33" s="68">
        <f>IF(AG$59="X","",IF(AG$59&lt;&gt;"",AG$59,IF(IFERROR(INDEX(醫師週班表!$C$5:$T$44,$CU33,AG$57),"")=0,"",IF(LEN(IFERROR(INDEX(醫師週班表!$C$5:$T$44,$CU33,AG$57),""))=4,MID(IFERROR(INDEX(醫師週班表!$C$5:$T$44,$CU33,AG$57),""),1+AG$58*2,1),IF(LEN(IFERROR(INDEX(醫師週班表!$C$5:$T$44,$CU33,AG$57),""))=2,IF(AND(RIGHT(IFERROR(INDEX(醫師週班表!$C$5:$T$44,$CU33,AG$57),""),1)="~",AG$58=1),"",LEFT(IFERROR(INDEX(醫師週班表!$C$5:$T$44,$CU33,AG$57),""),1)),IFERROR(INDEX(醫師週班表!$C$5:$T$44,$CU33,AG$57),""))))))</f>
        <v/>
      </c>
      <c r="AH33" s="68">
        <f>IF(AH$59="X","",IF(AH$59&lt;&gt;"",AH$59,IF(IFERROR(INDEX(醫師週班表!$C$5:$T$44,$CU33,AH$57),"")=0,"",IF(LEN(IFERROR(INDEX(醫師週班表!$C$5:$T$44,$CU33,AH$57),""))=4,MID(IFERROR(INDEX(醫師週班表!$C$5:$T$44,$CU33,AH$57),""),1+AH$58*2,1),IF(LEN(IFERROR(INDEX(醫師週班表!$C$5:$T$44,$CU33,AH$57),""))=2,IF(AND(RIGHT(IFERROR(INDEX(醫師週班表!$C$5:$T$44,$CU33,AH$57),""),1)="~",AH$58=1),"",LEFT(IFERROR(INDEX(醫師週班表!$C$5:$T$44,$CU33,AH$57),""),1)),IFERROR(INDEX(醫師週班表!$C$5:$T$44,$CU33,AH$57),""))))))</f>
        <v/>
      </c>
      <c r="AI33" s="67">
        <f>IF(AI$59="X","",IF(AI$59&lt;&gt;"",AI$59,IF(IFERROR(INDEX(醫師週班表!$C$5:$T$44,$CU33,AI$57),"")=0,"",IF(LEN(IFERROR(INDEX(醫師週班表!$C$5:$T$44,$CU33,AI$57),""))=4,MID(IFERROR(INDEX(醫師週班表!$C$5:$T$44,$CU33,AI$57),""),1+AI$58*2,1),IF(LEN(IFERROR(INDEX(醫師週班表!$C$5:$T$44,$CU33,AI$57),""))=2,IF(AND(RIGHT(IFERROR(INDEX(醫師週班表!$C$5:$T$44,$CU33,AI$57),""),1)="~",AI$58=1),"",LEFT(IFERROR(INDEX(醫師週班表!$C$5:$T$44,$CU33,AI$57),""),1)),IFERROR(INDEX(醫師週班表!$C$5:$T$44,$CU33,AI$57),""))))))</f>
        <v/>
      </c>
      <c r="AJ33" s="68">
        <f>IF(AJ$59="X","",IF(AJ$59&lt;&gt;"",AJ$59,IF(IFERROR(INDEX(醫師週班表!$C$5:$T$44,$CU33,AJ$57),"")=0,"",IF(LEN(IFERROR(INDEX(醫師週班表!$C$5:$T$44,$CU33,AJ$57),""))=4,MID(IFERROR(INDEX(醫師週班表!$C$5:$T$44,$CU33,AJ$57),""),1+AJ$58*2,1),IF(LEN(IFERROR(INDEX(醫師週班表!$C$5:$T$44,$CU33,AJ$57),""))=2,IF(AND(RIGHT(IFERROR(INDEX(醫師週班表!$C$5:$T$44,$CU33,AJ$57),""),1)="~",AJ$58=1),"",LEFT(IFERROR(INDEX(醫師週班表!$C$5:$T$44,$CU33,AJ$57),""),1)),IFERROR(INDEX(醫師週班表!$C$5:$T$44,$CU33,AJ$57),""))))))</f>
        <v/>
      </c>
      <c r="AK33" s="68">
        <f>IF(AK$59="X","",IF(AK$59&lt;&gt;"",AK$59,IF(IFERROR(INDEX(醫師週班表!$C$5:$T$44,$CU33,AK$57),"")=0,"",IF(LEN(IFERROR(INDEX(醫師週班表!$C$5:$T$44,$CU33,AK$57),""))=4,MID(IFERROR(INDEX(醫師週班表!$C$5:$T$44,$CU33,AK$57),""),1+AK$58*2,1),IF(LEN(IFERROR(INDEX(醫師週班表!$C$5:$T$44,$CU33,AK$57),""))=2,IF(AND(RIGHT(IFERROR(INDEX(醫師週班表!$C$5:$T$44,$CU33,AK$57),""),1)="~",AK$58=1),"",LEFT(IFERROR(INDEX(醫師週班表!$C$5:$T$44,$CU33,AK$57),""),1)),IFERROR(INDEX(醫師週班表!$C$5:$T$44,$CU33,AK$57),""))))))</f>
        <v/>
      </c>
      <c r="AL33" s="67">
        <f>IF(AL$59="X","",IF(AL$59&lt;&gt;"",AL$59,IF(IFERROR(INDEX(醫師週班表!$C$5:$T$44,$CU33,AL$57),"")=0,"",IF(LEN(IFERROR(INDEX(醫師週班表!$C$5:$T$44,$CU33,AL$57),""))=4,MID(IFERROR(INDEX(醫師週班表!$C$5:$T$44,$CU33,AL$57),""),1+AL$58*2,1),IF(LEN(IFERROR(INDEX(醫師週班表!$C$5:$T$44,$CU33,AL$57),""))=2,IF(AND(RIGHT(IFERROR(INDEX(醫師週班表!$C$5:$T$44,$CU33,AL$57),""),1)="~",AL$58=1),"",LEFT(IFERROR(INDEX(醫師週班表!$C$5:$T$44,$CU33,AL$57),""),1)),IFERROR(INDEX(醫師週班表!$C$5:$T$44,$CU33,AL$57),""))))))</f>
        <v/>
      </c>
      <c r="AM33" s="68">
        <f>IF(AM$59="X","",IF(AM$59&lt;&gt;"",AM$59,IF(IFERROR(INDEX(醫師週班表!$C$5:$T$44,$CU33,AM$57),"")=0,"",IF(LEN(IFERROR(INDEX(醫師週班表!$C$5:$T$44,$CU33,AM$57),""))=4,MID(IFERROR(INDEX(醫師週班表!$C$5:$T$44,$CU33,AM$57),""),1+AM$58*2,1),IF(LEN(IFERROR(INDEX(醫師週班表!$C$5:$T$44,$CU33,AM$57),""))=2,IF(AND(RIGHT(IFERROR(INDEX(醫師週班表!$C$5:$T$44,$CU33,AM$57),""),1)="~",AM$58=1),"",LEFT(IFERROR(INDEX(醫師週班表!$C$5:$T$44,$CU33,AM$57),""),1)),IFERROR(INDEX(醫師週班表!$C$5:$T$44,$CU33,AM$57),""))))))</f>
        <v/>
      </c>
      <c r="AN33" s="68">
        <f>IF(AN$59="X","",IF(AN$59&lt;&gt;"",AN$59,IF(IFERROR(INDEX(醫師週班表!$C$5:$T$44,$CU33,AN$57),"")=0,"",IF(LEN(IFERROR(INDEX(醫師週班表!$C$5:$T$44,$CU33,AN$57),""))=4,MID(IFERROR(INDEX(醫師週班表!$C$5:$T$44,$CU33,AN$57),""),1+AN$58*2,1),IF(LEN(IFERROR(INDEX(醫師週班表!$C$5:$T$44,$CU33,AN$57),""))=2,IF(AND(RIGHT(IFERROR(INDEX(醫師週班表!$C$5:$T$44,$CU33,AN$57),""),1)="~",AN$58=1),"",LEFT(IFERROR(INDEX(醫師週班表!$C$5:$T$44,$CU33,AN$57),""),1)),IFERROR(INDEX(醫師週班表!$C$5:$T$44,$CU33,AN$57),""))))))</f>
        <v/>
      </c>
      <c r="AO33" s="67">
        <f>IF(AO$59="X","",IF(AO$59&lt;&gt;"",AO$59,IF(IFERROR(INDEX(醫師週班表!$C$5:$T$44,$CU33,AO$57),"")=0,"",IF(LEN(IFERROR(INDEX(醫師週班表!$C$5:$T$44,$CU33,AO$57),""))=4,MID(IFERROR(INDEX(醫師週班表!$C$5:$T$44,$CU33,AO$57),""),1+AO$58*2,1),IF(LEN(IFERROR(INDEX(醫師週班表!$C$5:$T$44,$CU33,AO$57),""))=2,IF(AND(RIGHT(IFERROR(INDEX(醫師週班表!$C$5:$T$44,$CU33,AO$57),""),1)="~",AO$58=1),"",LEFT(IFERROR(INDEX(醫師週班表!$C$5:$T$44,$CU33,AO$57),""),1)),IFERROR(INDEX(醫師週班表!$C$5:$T$44,$CU33,AO$57),""))))))</f>
        <v/>
      </c>
      <c r="AP33" s="68">
        <f>IF(AP$59="X","",IF(AP$59&lt;&gt;"",AP$59,IF(IFERROR(INDEX(醫師週班表!$C$5:$T$44,$CU33,AP$57),"")=0,"",IF(LEN(IFERROR(INDEX(醫師週班表!$C$5:$T$44,$CU33,AP$57),""))=4,MID(IFERROR(INDEX(醫師週班表!$C$5:$T$44,$CU33,AP$57),""),1+AP$58*2,1),IF(LEN(IFERROR(INDEX(醫師週班表!$C$5:$T$44,$CU33,AP$57),""))=2,IF(AND(RIGHT(IFERROR(INDEX(醫師週班表!$C$5:$T$44,$CU33,AP$57),""),1)="~",AP$58=1),"",LEFT(IFERROR(INDEX(醫師週班表!$C$5:$T$44,$CU33,AP$57),""),1)),IFERROR(INDEX(醫師週班表!$C$5:$T$44,$CU33,AP$57),""))))))</f>
        <v/>
      </c>
      <c r="AQ33" s="68">
        <f>IF(AQ$59="X","",IF(AQ$59&lt;&gt;"",AQ$59,IF(IFERROR(INDEX(醫師週班表!$C$5:$T$44,$CU33,AQ$57),"")=0,"",IF(LEN(IFERROR(INDEX(醫師週班表!$C$5:$T$44,$CU33,AQ$57),""))=4,MID(IFERROR(INDEX(醫師週班表!$C$5:$T$44,$CU33,AQ$57),""),1+AQ$58*2,1),IF(LEN(IFERROR(INDEX(醫師週班表!$C$5:$T$44,$CU33,AQ$57),""))=2,IF(AND(RIGHT(IFERROR(INDEX(醫師週班表!$C$5:$T$44,$CU33,AQ$57),""),1)="~",AQ$58=1),"",LEFT(IFERROR(INDEX(醫師週班表!$C$5:$T$44,$CU33,AQ$57),""),1)),IFERROR(INDEX(醫師週班表!$C$5:$T$44,$CU33,AQ$57),""))))))</f>
        <v/>
      </c>
      <c r="AR33" s="67">
        <f>IF(AR$59="X","",IF(AR$59&lt;&gt;"",AR$59,IF(IFERROR(INDEX(醫師週班表!$C$5:$T$44,$CU33,AR$57),"")=0,"",IF(LEN(IFERROR(INDEX(醫師週班表!$C$5:$T$44,$CU33,AR$57),""))=4,MID(IFERROR(INDEX(醫師週班表!$C$5:$T$44,$CU33,AR$57),""),1+AR$58*2,1),IF(LEN(IFERROR(INDEX(醫師週班表!$C$5:$T$44,$CU33,AR$57),""))=2,IF(AND(RIGHT(IFERROR(INDEX(醫師週班表!$C$5:$T$44,$CU33,AR$57),""),1)="~",AR$58=1),"",LEFT(IFERROR(INDEX(醫師週班表!$C$5:$T$44,$CU33,AR$57),""),1)),IFERROR(INDEX(醫師週班表!$C$5:$T$44,$CU33,AR$57),""))))))</f>
        <v/>
      </c>
      <c r="AS33" s="68">
        <f>IF(AS$59="X","",IF(AS$59&lt;&gt;"",AS$59,IF(IFERROR(INDEX(醫師週班表!$C$5:$T$44,$CU33,AS$57),"")=0,"",IF(LEN(IFERROR(INDEX(醫師週班表!$C$5:$T$44,$CU33,AS$57),""))=4,MID(IFERROR(INDEX(醫師週班表!$C$5:$T$44,$CU33,AS$57),""),1+AS$58*2,1),IF(LEN(IFERROR(INDEX(醫師週班表!$C$5:$T$44,$CU33,AS$57),""))=2,IF(AND(RIGHT(IFERROR(INDEX(醫師週班表!$C$5:$T$44,$CU33,AS$57),""),1)="~",AS$58=1),"",LEFT(IFERROR(INDEX(醫師週班表!$C$5:$T$44,$CU33,AS$57),""),1)),IFERROR(INDEX(醫師週班表!$C$5:$T$44,$CU33,AS$57),""))))))</f>
        <v/>
      </c>
      <c r="AT33" s="68">
        <f>IF(AT$59="X","",IF(AT$59&lt;&gt;"",AT$59,IF(IFERROR(INDEX(醫師週班表!$C$5:$T$44,$CU33,AT$57),"")=0,"",IF(LEN(IFERROR(INDEX(醫師週班表!$C$5:$T$44,$CU33,AT$57),""))=4,MID(IFERROR(INDEX(醫師週班表!$C$5:$T$44,$CU33,AT$57),""),1+AT$58*2,1),IF(LEN(IFERROR(INDEX(醫師週班表!$C$5:$T$44,$CU33,AT$57),""))=2,IF(AND(RIGHT(IFERROR(INDEX(醫師週班表!$C$5:$T$44,$CU33,AT$57),""),1)="~",AT$58=1),"",LEFT(IFERROR(INDEX(醫師週班表!$C$5:$T$44,$CU33,AT$57),""),1)),IFERROR(INDEX(醫師週班表!$C$5:$T$44,$CU33,AT$57),""))))))</f>
        <v/>
      </c>
      <c r="AU33" s="67">
        <f>IF(AU$59="X","",IF(AU$59&lt;&gt;"",AU$59,IF(IFERROR(INDEX(醫師週班表!$C$5:$T$44,$CU33,AU$57),"")=0,"",IF(LEN(IFERROR(INDEX(醫師週班表!$C$5:$T$44,$CU33,AU$57),""))=4,MID(IFERROR(INDEX(醫師週班表!$C$5:$T$44,$CU33,AU$57),""),1+AU$58*2,1),IF(LEN(IFERROR(INDEX(醫師週班表!$C$5:$T$44,$CU33,AU$57),""))=2,IF(AND(RIGHT(IFERROR(INDEX(醫師週班表!$C$5:$T$44,$CU33,AU$57),""),1)="~",AU$58=1),"",LEFT(IFERROR(INDEX(醫師週班表!$C$5:$T$44,$CU33,AU$57),""),1)),IFERROR(INDEX(醫師週班表!$C$5:$T$44,$CU33,AU$57),""))))))</f>
        <v/>
      </c>
      <c r="AV33" s="68">
        <f>IF(AV$59="X","",IF(AV$59&lt;&gt;"",AV$59,IF(IFERROR(INDEX(醫師週班表!$C$5:$T$44,$CU33,AV$57),"")=0,"",IF(LEN(IFERROR(INDEX(醫師週班表!$C$5:$T$44,$CU33,AV$57),""))=4,MID(IFERROR(INDEX(醫師週班表!$C$5:$T$44,$CU33,AV$57),""),1+AV$58*2,1),IF(LEN(IFERROR(INDEX(醫師週班表!$C$5:$T$44,$CU33,AV$57),""))=2,IF(AND(RIGHT(IFERROR(INDEX(醫師週班表!$C$5:$T$44,$CU33,AV$57),""),1)="~",AV$58=1),"",LEFT(IFERROR(INDEX(醫師週班表!$C$5:$T$44,$CU33,AV$57),""),1)),IFERROR(INDEX(醫師週班表!$C$5:$T$44,$CU33,AV$57),""))))))</f>
        <v/>
      </c>
      <c r="AW33" s="68">
        <f>IF(AW$59="X","",IF(AW$59&lt;&gt;"",AW$59,IF(IFERROR(INDEX(醫師週班表!$C$5:$T$44,$CU33,AW$57),"")=0,"",IF(LEN(IFERROR(INDEX(醫師週班表!$C$5:$T$44,$CU33,AW$57),""))=4,MID(IFERROR(INDEX(醫師週班表!$C$5:$T$44,$CU33,AW$57),""),1+AW$58*2,1),IF(LEN(IFERROR(INDEX(醫師週班表!$C$5:$T$44,$CU33,AW$57),""))=2,IF(AND(RIGHT(IFERROR(INDEX(醫師週班表!$C$5:$T$44,$CU33,AW$57),""),1)="~",AW$58=1),"",LEFT(IFERROR(INDEX(醫師週班表!$C$5:$T$44,$CU33,AW$57),""),1)),IFERROR(INDEX(醫師週班表!$C$5:$T$44,$CU33,AW$57),""))))))</f>
        <v/>
      </c>
      <c r="AX33" s="67">
        <f>IF(AX$59="X","",IF(AX$59&lt;&gt;"",AX$59,IF(IFERROR(INDEX(醫師週班表!$C$5:$T$44,$CU33,AX$57),"")=0,"",IF(LEN(IFERROR(INDEX(醫師週班表!$C$5:$T$44,$CU33,AX$57),""))=4,MID(IFERROR(INDEX(醫師週班表!$C$5:$T$44,$CU33,AX$57),""),1+AX$58*2,1),IF(LEN(IFERROR(INDEX(醫師週班表!$C$5:$T$44,$CU33,AX$57),""))=2,IF(AND(RIGHT(IFERROR(INDEX(醫師週班表!$C$5:$T$44,$CU33,AX$57),""),1)="~",AX$58=1),"",LEFT(IFERROR(INDEX(醫師週班表!$C$5:$T$44,$CU33,AX$57),""),1)),IFERROR(INDEX(醫師週班表!$C$5:$T$44,$CU33,AX$57),""))))))</f>
        <v/>
      </c>
      <c r="AY33" s="68">
        <f>IF(AY$59="X","",IF(AY$59&lt;&gt;"",AY$59,IF(IFERROR(INDEX(醫師週班表!$C$5:$T$44,$CU33,AY$57),"")=0,"",IF(LEN(IFERROR(INDEX(醫師週班表!$C$5:$T$44,$CU33,AY$57),""))=4,MID(IFERROR(INDEX(醫師週班表!$C$5:$T$44,$CU33,AY$57),""),1+AY$58*2,1),IF(LEN(IFERROR(INDEX(醫師週班表!$C$5:$T$44,$CU33,AY$57),""))=2,IF(AND(RIGHT(IFERROR(INDEX(醫師週班表!$C$5:$T$44,$CU33,AY$57),""),1)="~",AY$58=1),"",LEFT(IFERROR(INDEX(醫師週班表!$C$5:$T$44,$CU33,AY$57),""),1)),IFERROR(INDEX(醫師週班表!$C$5:$T$44,$CU33,AY$57),""))))))</f>
        <v/>
      </c>
      <c r="AZ33" s="68">
        <f>IF(AZ$59="X","",IF(AZ$59&lt;&gt;"",AZ$59,IF(IFERROR(INDEX(醫師週班表!$C$5:$T$44,$CU33,AZ$57),"")=0,"",IF(LEN(IFERROR(INDEX(醫師週班表!$C$5:$T$44,$CU33,AZ$57),""))=4,MID(IFERROR(INDEX(醫師週班表!$C$5:$T$44,$CU33,AZ$57),""),1+AZ$58*2,1),IF(LEN(IFERROR(INDEX(醫師週班表!$C$5:$T$44,$CU33,AZ$57),""))=2,IF(AND(RIGHT(IFERROR(INDEX(醫師週班表!$C$5:$T$44,$CU33,AZ$57),""),1)="~",AZ$58=1),"",LEFT(IFERROR(INDEX(醫師週班表!$C$5:$T$44,$CU33,AZ$57),""),1)),IFERROR(INDEX(醫師週班表!$C$5:$T$44,$CU33,AZ$57),""))))))</f>
        <v/>
      </c>
      <c r="BA33" s="67">
        <f>IF(BA$59="X","",IF(BA$59&lt;&gt;"",BA$59,IF(IFERROR(INDEX(醫師週班表!$C$5:$T$44,$CU33,BA$57),"")=0,"",IF(LEN(IFERROR(INDEX(醫師週班表!$C$5:$T$44,$CU33,BA$57),""))=4,MID(IFERROR(INDEX(醫師週班表!$C$5:$T$44,$CU33,BA$57),""),1+BA$58*2,1),IF(LEN(IFERROR(INDEX(醫師週班表!$C$5:$T$44,$CU33,BA$57),""))=2,IF(AND(RIGHT(IFERROR(INDEX(醫師週班表!$C$5:$T$44,$CU33,BA$57),""),1)="~",BA$58=1),"",LEFT(IFERROR(INDEX(醫師週班表!$C$5:$T$44,$CU33,BA$57),""),1)),IFERROR(INDEX(醫師週班表!$C$5:$T$44,$CU33,BA$57),""))))))</f>
        <v/>
      </c>
      <c r="BB33" s="68">
        <f>IF(BB$59="X","",IF(BB$59&lt;&gt;"",BB$59,IF(IFERROR(INDEX(醫師週班表!$C$5:$T$44,$CU33,BB$57),"")=0,"",IF(LEN(IFERROR(INDEX(醫師週班表!$C$5:$T$44,$CU33,BB$57),""))=4,MID(IFERROR(INDEX(醫師週班表!$C$5:$T$44,$CU33,BB$57),""),1+BB$58*2,1),IF(LEN(IFERROR(INDEX(醫師週班表!$C$5:$T$44,$CU33,BB$57),""))=2,IF(AND(RIGHT(IFERROR(INDEX(醫師週班表!$C$5:$T$44,$CU33,BB$57),""),1)="~",BB$58=1),"",LEFT(IFERROR(INDEX(醫師週班表!$C$5:$T$44,$CU33,BB$57),""),1)),IFERROR(INDEX(醫師週班表!$C$5:$T$44,$CU33,BB$57),""))))))</f>
        <v/>
      </c>
      <c r="BC33" s="68">
        <f>IF(BC$59="X","",IF(BC$59&lt;&gt;"",BC$59,IF(IFERROR(INDEX(醫師週班表!$C$5:$T$44,$CU33,BC$57),"")=0,"",IF(LEN(IFERROR(INDEX(醫師週班表!$C$5:$T$44,$CU33,BC$57),""))=4,MID(IFERROR(INDEX(醫師週班表!$C$5:$T$44,$CU33,BC$57),""),1+BC$58*2,1),IF(LEN(IFERROR(INDEX(醫師週班表!$C$5:$T$44,$CU33,BC$57),""))=2,IF(AND(RIGHT(IFERROR(INDEX(醫師週班表!$C$5:$T$44,$CU33,BC$57),""),1)="~",BC$58=1),"",LEFT(IFERROR(INDEX(醫師週班表!$C$5:$T$44,$CU33,BC$57),""),1)),IFERROR(INDEX(醫師週班表!$C$5:$T$44,$CU33,BC$57),""))))))</f>
        <v/>
      </c>
      <c r="BD33" s="67">
        <f>IF(BD$59="X","",IF(BD$59&lt;&gt;"",BD$59,IF(IFERROR(INDEX(醫師週班表!$C$5:$T$44,$CU33,BD$57),"")=0,"",IF(LEN(IFERROR(INDEX(醫師週班表!$C$5:$T$44,$CU33,BD$57),""))=4,MID(IFERROR(INDEX(醫師週班表!$C$5:$T$44,$CU33,BD$57),""),1+BD$58*2,1),IF(LEN(IFERROR(INDEX(醫師週班表!$C$5:$T$44,$CU33,BD$57),""))=2,IF(AND(RIGHT(IFERROR(INDEX(醫師週班表!$C$5:$T$44,$CU33,BD$57),""),1)="~",BD$58=1),"",LEFT(IFERROR(INDEX(醫師週班表!$C$5:$T$44,$CU33,BD$57),""),1)),IFERROR(INDEX(醫師週班表!$C$5:$T$44,$CU33,BD$57),""))))))</f>
        <v/>
      </c>
      <c r="BE33" s="68">
        <f>IF(BE$59="X","",IF(BE$59&lt;&gt;"",BE$59,IF(IFERROR(INDEX(醫師週班表!$C$5:$T$44,$CU33,BE$57),"")=0,"",IF(LEN(IFERROR(INDEX(醫師週班表!$C$5:$T$44,$CU33,BE$57),""))=4,MID(IFERROR(INDEX(醫師週班表!$C$5:$T$44,$CU33,BE$57),""),1+BE$58*2,1),IF(LEN(IFERROR(INDEX(醫師週班表!$C$5:$T$44,$CU33,BE$57),""))=2,IF(AND(RIGHT(IFERROR(INDEX(醫師週班表!$C$5:$T$44,$CU33,BE$57),""),1)="~",BE$58=1),"",LEFT(IFERROR(INDEX(醫師週班表!$C$5:$T$44,$CU33,BE$57),""),1)),IFERROR(INDEX(醫師週班表!$C$5:$T$44,$CU33,BE$57),""))))))</f>
        <v/>
      </c>
      <c r="BF33" s="68">
        <f>IF(BF$59="X","",IF(BF$59&lt;&gt;"",BF$59,IF(IFERROR(INDEX(醫師週班表!$C$5:$T$44,$CU33,BF$57),"")=0,"",IF(LEN(IFERROR(INDEX(醫師週班表!$C$5:$T$44,$CU33,BF$57),""))=4,MID(IFERROR(INDEX(醫師週班表!$C$5:$T$44,$CU33,BF$57),""),1+BF$58*2,1),IF(LEN(IFERROR(INDEX(醫師週班表!$C$5:$T$44,$CU33,BF$57),""))=2,IF(AND(RIGHT(IFERROR(INDEX(醫師週班表!$C$5:$T$44,$CU33,BF$57),""),1)="~",BF$58=1),"",LEFT(IFERROR(INDEX(醫師週班表!$C$5:$T$44,$CU33,BF$57),""),1)),IFERROR(INDEX(醫師週班表!$C$5:$T$44,$CU33,BF$57),""))))))</f>
        <v/>
      </c>
      <c r="BG33" s="67">
        <f>IF(BG$59="X","",IF(BG$59&lt;&gt;"",BG$59,IF(IFERROR(INDEX(醫師週班表!$C$5:$T$44,$CU33,BG$57),"")=0,"",IF(LEN(IFERROR(INDEX(醫師週班表!$C$5:$T$44,$CU33,BG$57),""))=4,MID(IFERROR(INDEX(醫師週班表!$C$5:$T$44,$CU33,BG$57),""),1+BG$58*2,1),IF(LEN(IFERROR(INDEX(醫師週班表!$C$5:$T$44,$CU33,BG$57),""))=2,IF(AND(RIGHT(IFERROR(INDEX(醫師週班表!$C$5:$T$44,$CU33,BG$57),""),1)="~",BG$58=1),"",LEFT(IFERROR(INDEX(醫師週班表!$C$5:$T$44,$CU33,BG$57),""),1)),IFERROR(INDEX(醫師週班表!$C$5:$T$44,$CU33,BG$57),""))))))</f>
        <v/>
      </c>
      <c r="BH33" s="68">
        <f>IF(BH$59="X","",IF(BH$59&lt;&gt;"",BH$59,IF(IFERROR(INDEX(醫師週班表!$C$5:$T$44,$CU33,BH$57),"")=0,"",IF(LEN(IFERROR(INDEX(醫師週班表!$C$5:$T$44,$CU33,BH$57),""))=4,MID(IFERROR(INDEX(醫師週班表!$C$5:$T$44,$CU33,BH$57),""),1+BH$58*2,1),IF(LEN(IFERROR(INDEX(醫師週班表!$C$5:$T$44,$CU33,BH$57),""))=2,IF(AND(RIGHT(IFERROR(INDEX(醫師週班表!$C$5:$T$44,$CU33,BH$57),""),1)="~",BH$58=1),"",LEFT(IFERROR(INDEX(醫師週班表!$C$5:$T$44,$CU33,BH$57),""),1)),IFERROR(INDEX(醫師週班表!$C$5:$T$44,$CU33,BH$57),""))))))</f>
        <v/>
      </c>
      <c r="BI33" s="68">
        <f>IF(BI$59="X","",IF(BI$59&lt;&gt;"",BI$59,IF(IFERROR(INDEX(醫師週班表!$C$5:$T$44,$CU33,BI$57),"")=0,"",IF(LEN(IFERROR(INDEX(醫師週班表!$C$5:$T$44,$CU33,BI$57),""))=4,MID(IFERROR(INDEX(醫師週班表!$C$5:$T$44,$CU33,BI$57),""),1+BI$58*2,1),IF(LEN(IFERROR(INDEX(醫師週班表!$C$5:$T$44,$CU33,BI$57),""))=2,IF(AND(RIGHT(IFERROR(INDEX(醫師週班表!$C$5:$T$44,$CU33,BI$57),""),1)="~",BI$58=1),"",LEFT(IFERROR(INDEX(醫師週班表!$C$5:$T$44,$CU33,BI$57),""),1)),IFERROR(INDEX(醫師週班表!$C$5:$T$44,$CU33,BI$57),""))))))</f>
        <v/>
      </c>
      <c r="BJ33" s="67">
        <f>IF(BJ$59="X","",IF(BJ$59&lt;&gt;"",BJ$59,IF(IFERROR(INDEX(醫師週班表!$C$5:$T$44,$CU33,BJ$57),"")=0,"",IF(LEN(IFERROR(INDEX(醫師週班表!$C$5:$T$44,$CU33,BJ$57),""))=4,MID(IFERROR(INDEX(醫師週班表!$C$5:$T$44,$CU33,BJ$57),""),1+BJ$58*2,1),IF(LEN(IFERROR(INDEX(醫師週班表!$C$5:$T$44,$CU33,BJ$57),""))=2,IF(AND(RIGHT(IFERROR(INDEX(醫師週班表!$C$5:$T$44,$CU33,BJ$57),""),1)="~",BJ$58=1),"",LEFT(IFERROR(INDEX(醫師週班表!$C$5:$T$44,$CU33,BJ$57),""),1)),IFERROR(INDEX(醫師週班表!$C$5:$T$44,$CU33,BJ$57),""))))))</f>
        <v/>
      </c>
      <c r="BK33" s="68">
        <f>IF(BK$59="X","",IF(BK$59&lt;&gt;"",BK$59,IF(IFERROR(INDEX(醫師週班表!$C$5:$T$44,$CU33,BK$57),"")=0,"",IF(LEN(IFERROR(INDEX(醫師週班表!$C$5:$T$44,$CU33,BK$57),""))=4,MID(IFERROR(INDEX(醫師週班表!$C$5:$T$44,$CU33,BK$57),""),1+BK$58*2,1),IF(LEN(IFERROR(INDEX(醫師週班表!$C$5:$T$44,$CU33,BK$57),""))=2,IF(AND(RIGHT(IFERROR(INDEX(醫師週班表!$C$5:$T$44,$CU33,BK$57),""),1)="~",BK$58=1),"",LEFT(IFERROR(INDEX(醫師週班表!$C$5:$T$44,$CU33,BK$57),""),1)),IFERROR(INDEX(醫師週班表!$C$5:$T$44,$CU33,BK$57),""))))))</f>
        <v/>
      </c>
      <c r="BL33" s="68">
        <f>IF(BL$59="X","",IF(BL$59&lt;&gt;"",BL$59,IF(IFERROR(INDEX(醫師週班表!$C$5:$T$44,$CU33,BL$57),"")=0,"",IF(LEN(IFERROR(INDEX(醫師週班表!$C$5:$T$44,$CU33,BL$57),""))=4,MID(IFERROR(INDEX(醫師週班表!$C$5:$T$44,$CU33,BL$57),""),1+BL$58*2,1),IF(LEN(IFERROR(INDEX(醫師週班表!$C$5:$T$44,$CU33,BL$57),""))=2,IF(AND(RIGHT(IFERROR(INDEX(醫師週班表!$C$5:$T$44,$CU33,BL$57),""),1)="~",BL$58=1),"",LEFT(IFERROR(INDEX(醫師週班表!$C$5:$T$44,$CU33,BL$57),""),1)),IFERROR(INDEX(醫師週班表!$C$5:$T$44,$CU33,BL$57),""))))))</f>
        <v/>
      </c>
      <c r="BM33" s="67">
        <f>IF(BM$59="X","",IF(BM$59&lt;&gt;"",BM$59,IF(IFERROR(INDEX(醫師週班表!$C$5:$T$44,$CU33,BM$57),"")=0,"",IF(LEN(IFERROR(INDEX(醫師週班表!$C$5:$T$44,$CU33,BM$57),""))=4,MID(IFERROR(INDEX(醫師週班表!$C$5:$T$44,$CU33,BM$57),""),1+BM$58*2,1),IF(LEN(IFERROR(INDEX(醫師週班表!$C$5:$T$44,$CU33,BM$57),""))=2,IF(AND(RIGHT(IFERROR(INDEX(醫師週班表!$C$5:$T$44,$CU33,BM$57),""),1)="~",BM$58=1),"",LEFT(IFERROR(INDEX(醫師週班表!$C$5:$T$44,$CU33,BM$57),""),1)),IFERROR(INDEX(醫師週班表!$C$5:$T$44,$CU33,BM$57),""))))))</f>
        <v/>
      </c>
      <c r="BN33" s="68">
        <f>IF(BN$59="X","",IF(BN$59&lt;&gt;"",BN$59,IF(IFERROR(INDEX(醫師週班表!$C$5:$T$44,$CU33,BN$57),"")=0,"",IF(LEN(IFERROR(INDEX(醫師週班表!$C$5:$T$44,$CU33,BN$57),""))=4,MID(IFERROR(INDEX(醫師週班表!$C$5:$T$44,$CU33,BN$57),""),1+BN$58*2,1),IF(LEN(IFERROR(INDEX(醫師週班表!$C$5:$T$44,$CU33,BN$57),""))=2,IF(AND(RIGHT(IFERROR(INDEX(醫師週班表!$C$5:$T$44,$CU33,BN$57),""),1)="~",BN$58=1),"",LEFT(IFERROR(INDEX(醫師週班表!$C$5:$T$44,$CU33,BN$57),""),1)),IFERROR(INDEX(醫師週班表!$C$5:$T$44,$CU33,BN$57),""))))))</f>
        <v/>
      </c>
      <c r="BO33" s="68">
        <f>IF(BO$59="X","",IF(BO$59&lt;&gt;"",BO$59,IF(IFERROR(INDEX(醫師週班表!$C$5:$T$44,$CU33,BO$57),"")=0,"",IF(LEN(IFERROR(INDEX(醫師週班表!$C$5:$T$44,$CU33,BO$57),""))=4,MID(IFERROR(INDEX(醫師週班表!$C$5:$T$44,$CU33,BO$57),""),1+BO$58*2,1),IF(LEN(IFERROR(INDEX(醫師週班表!$C$5:$T$44,$CU33,BO$57),""))=2,IF(AND(RIGHT(IFERROR(INDEX(醫師週班表!$C$5:$T$44,$CU33,BO$57),""),1)="~",BO$58=1),"",LEFT(IFERROR(INDEX(醫師週班表!$C$5:$T$44,$CU33,BO$57),""),1)),IFERROR(INDEX(醫師週班表!$C$5:$T$44,$CU33,BO$57),""))))))</f>
        <v/>
      </c>
      <c r="BP33" s="67">
        <f>IF(BP$59="X","",IF(BP$59&lt;&gt;"",BP$59,IF(IFERROR(INDEX(醫師週班表!$C$5:$T$44,$CU33,BP$57),"")=0,"",IF(LEN(IFERROR(INDEX(醫師週班表!$C$5:$T$44,$CU33,BP$57),""))=4,MID(IFERROR(INDEX(醫師週班表!$C$5:$T$44,$CU33,BP$57),""),1+BP$58*2,1),IF(LEN(IFERROR(INDEX(醫師週班表!$C$5:$T$44,$CU33,BP$57),""))=2,IF(AND(RIGHT(IFERROR(INDEX(醫師週班表!$C$5:$T$44,$CU33,BP$57),""),1)="~",BP$58=1),"",LEFT(IFERROR(INDEX(醫師週班表!$C$5:$T$44,$CU33,BP$57),""),1)),IFERROR(INDEX(醫師週班表!$C$5:$T$44,$CU33,BP$57),""))))))</f>
        <v/>
      </c>
      <c r="BQ33" s="68">
        <f>IF(BQ$59="X","",IF(BQ$59&lt;&gt;"",BQ$59,IF(IFERROR(INDEX(醫師週班表!$C$5:$T$44,$CU33,BQ$57),"")=0,"",IF(LEN(IFERROR(INDEX(醫師週班表!$C$5:$T$44,$CU33,BQ$57),""))=4,MID(IFERROR(INDEX(醫師週班表!$C$5:$T$44,$CU33,BQ$57),""),1+BQ$58*2,1),IF(LEN(IFERROR(INDEX(醫師週班表!$C$5:$T$44,$CU33,BQ$57),""))=2,IF(AND(RIGHT(IFERROR(INDEX(醫師週班表!$C$5:$T$44,$CU33,BQ$57),""),1)="~",BQ$58=1),"",LEFT(IFERROR(INDEX(醫師週班表!$C$5:$T$44,$CU33,BQ$57),""),1)),IFERROR(INDEX(醫師週班表!$C$5:$T$44,$CU33,BQ$57),""))))))</f>
        <v/>
      </c>
      <c r="BR33" s="68">
        <f>IF(BR$59="X","",IF(BR$59&lt;&gt;"",BR$59,IF(IFERROR(INDEX(醫師週班表!$C$5:$T$44,$CU33,BR$57),"")=0,"",IF(LEN(IFERROR(INDEX(醫師週班表!$C$5:$T$44,$CU33,BR$57),""))=4,MID(IFERROR(INDEX(醫師週班表!$C$5:$T$44,$CU33,BR$57),""),1+BR$58*2,1),IF(LEN(IFERROR(INDEX(醫師週班表!$C$5:$T$44,$CU33,BR$57),""))=2,IF(AND(RIGHT(IFERROR(INDEX(醫師週班表!$C$5:$T$44,$CU33,BR$57),""),1)="~",BR$58=1),"",LEFT(IFERROR(INDEX(醫師週班表!$C$5:$T$44,$CU33,BR$57),""),1)),IFERROR(INDEX(醫師週班表!$C$5:$T$44,$CU33,BR$57),""))))))</f>
        <v/>
      </c>
      <c r="BS33" s="67">
        <f>IF(BS$59="X","",IF(BS$59&lt;&gt;"",BS$59,IF(IFERROR(INDEX(醫師週班表!$C$5:$T$44,$CU33,BS$57),"")=0,"",IF(LEN(IFERROR(INDEX(醫師週班表!$C$5:$T$44,$CU33,BS$57),""))=4,MID(IFERROR(INDEX(醫師週班表!$C$5:$T$44,$CU33,BS$57),""),1+BS$58*2,1),IF(LEN(IFERROR(INDEX(醫師週班表!$C$5:$T$44,$CU33,BS$57),""))=2,IF(AND(RIGHT(IFERROR(INDEX(醫師週班表!$C$5:$T$44,$CU33,BS$57),""),1)="~",BS$58=1),"",LEFT(IFERROR(INDEX(醫師週班表!$C$5:$T$44,$CU33,BS$57),""),1)),IFERROR(INDEX(醫師週班表!$C$5:$T$44,$CU33,BS$57),""))))))</f>
        <v/>
      </c>
      <c r="BT33" s="68">
        <f>IF(BT$59="X","",IF(BT$59&lt;&gt;"",BT$59,IF(IFERROR(INDEX(醫師週班表!$C$5:$T$44,$CU33,BT$57),"")=0,"",IF(LEN(IFERROR(INDEX(醫師週班表!$C$5:$T$44,$CU33,BT$57),""))=4,MID(IFERROR(INDEX(醫師週班表!$C$5:$T$44,$CU33,BT$57),""),1+BT$58*2,1),IF(LEN(IFERROR(INDEX(醫師週班表!$C$5:$T$44,$CU33,BT$57),""))=2,IF(AND(RIGHT(IFERROR(INDEX(醫師週班表!$C$5:$T$44,$CU33,BT$57),""),1)="~",BT$58=1),"",LEFT(IFERROR(INDEX(醫師週班表!$C$5:$T$44,$CU33,BT$57),""),1)),IFERROR(INDEX(醫師週班表!$C$5:$T$44,$CU33,BT$57),""))))))</f>
        <v/>
      </c>
      <c r="BU33" s="68">
        <f>IF(BU$59="X","",IF(BU$59&lt;&gt;"",BU$59,IF(IFERROR(INDEX(醫師週班表!$C$5:$T$44,$CU33,BU$57),"")=0,"",IF(LEN(IFERROR(INDEX(醫師週班表!$C$5:$T$44,$CU33,BU$57),""))=4,MID(IFERROR(INDEX(醫師週班表!$C$5:$T$44,$CU33,BU$57),""),1+BU$58*2,1),IF(LEN(IFERROR(INDEX(醫師週班表!$C$5:$T$44,$CU33,BU$57),""))=2,IF(AND(RIGHT(IFERROR(INDEX(醫師週班表!$C$5:$T$44,$CU33,BU$57),""),1)="~",BU$58=1),"",LEFT(IFERROR(INDEX(醫師週班表!$C$5:$T$44,$CU33,BU$57),""),1)),IFERROR(INDEX(醫師週班表!$C$5:$T$44,$CU33,BU$57),""))))))</f>
        <v/>
      </c>
      <c r="BV33" s="67">
        <f>IF(BV$59="X","",IF(BV$59&lt;&gt;"",BV$59,IF(IFERROR(INDEX(醫師週班表!$C$5:$T$44,$CU33,BV$57),"")=0,"",IF(LEN(IFERROR(INDEX(醫師週班表!$C$5:$T$44,$CU33,BV$57),""))=4,MID(IFERROR(INDEX(醫師週班表!$C$5:$T$44,$CU33,BV$57),""),1+BV$58*2,1),IF(LEN(IFERROR(INDEX(醫師週班表!$C$5:$T$44,$CU33,BV$57),""))=2,IF(AND(RIGHT(IFERROR(INDEX(醫師週班表!$C$5:$T$44,$CU33,BV$57),""),1)="~",BV$58=1),"",LEFT(IFERROR(INDEX(醫師週班表!$C$5:$T$44,$CU33,BV$57),""),1)),IFERROR(INDEX(醫師週班表!$C$5:$T$44,$CU33,BV$57),""))))))</f>
        <v/>
      </c>
      <c r="BW33" s="68">
        <f>IF(BW$59="X","",IF(BW$59&lt;&gt;"",BW$59,IF(IFERROR(INDEX(醫師週班表!$C$5:$T$44,$CU33,BW$57),"")=0,"",IF(LEN(IFERROR(INDEX(醫師週班表!$C$5:$T$44,$CU33,BW$57),""))=4,MID(IFERROR(INDEX(醫師週班表!$C$5:$T$44,$CU33,BW$57),""),1+BW$58*2,1),IF(LEN(IFERROR(INDEX(醫師週班表!$C$5:$T$44,$CU33,BW$57),""))=2,IF(AND(RIGHT(IFERROR(INDEX(醫師週班表!$C$5:$T$44,$CU33,BW$57),""),1)="~",BW$58=1),"",LEFT(IFERROR(INDEX(醫師週班表!$C$5:$T$44,$CU33,BW$57),""),1)),IFERROR(INDEX(醫師週班表!$C$5:$T$44,$CU33,BW$57),""))))))</f>
        <v/>
      </c>
      <c r="BX33" s="68">
        <f>IF(BX$59="X","",IF(BX$59&lt;&gt;"",BX$59,IF(IFERROR(INDEX(醫師週班表!$C$5:$T$44,$CU33,BX$57),"")=0,"",IF(LEN(IFERROR(INDEX(醫師週班表!$C$5:$T$44,$CU33,BX$57),""))=4,MID(IFERROR(INDEX(醫師週班表!$C$5:$T$44,$CU33,BX$57),""),1+BX$58*2,1),IF(LEN(IFERROR(INDEX(醫師週班表!$C$5:$T$44,$CU33,BX$57),""))=2,IF(AND(RIGHT(IFERROR(INDEX(醫師週班表!$C$5:$T$44,$CU33,BX$57),""),1)="~",BX$58=1),"",LEFT(IFERROR(INDEX(醫師週班表!$C$5:$T$44,$CU33,BX$57),""),1)),IFERROR(INDEX(醫師週班表!$C$5:$T$44,$CU33,BX$57),""))))))</f>
        <v/>
      </c>
      <c r="BY33" s="67">
        <f>IF(BY$59="X","",IF(BY$59&lt;&gt;"",BY$59,IF(IFERROR(INDEX(醫師週班表!$C$5:$T$44,$CU33,BY$57),"")=0,"",IF(LEN(IFERROR(INDEX(醫師週班表!$C$5:$T$44,$CU33,BY$57),""))=4,MID(IFERROR(INDEX(醫師週班表!$C$5:$T$44,$CU33,BY$57),""),1+BY$58*2,1),IF(LEN(IFERROR(INDEX(醫師週班表!$C$5:$T$44,$CU33,BY$57),""))=2,IF(AND(RIGHT(IFERROR(INDEX(醫師週班表!$C$5:$T$44,$CU33,BY$57),""),1)="~",BY$58=1),"",LEFT(IFERROR(INDEX(醫師週班表!$C$5:$T$44,$CU33,BY$57),""),1)),IFERROR(INDEX(醫師週班表!$C$5:$T$44,$CU33,BY$57),""))))))</f>
        <v/>
      </c>
      <c r="BZ33" s="68">
        <f>IF(BZ$59="X","",IF(BZ$59&lt;&gt;"",BZ$59,IF(IFERROR(INDEX(醫師週班表!$C$5:$T$44,$CU33,BZ$57),"")=0,"",IF(LEN(IFERROR(INDEX(醫師週班表!$C$5:$T$44,$CU33,BZ$57),""))=4,MID(IFERROR(INDEX(醫師週班表!$C$5:$T$44,$CU33,BZ$57),""),1+BZ$58*2,1),IF(LEN(IFERROR(INDEX(醫師週班表!$C$5:$T$44,$CU33,BZ$57),""))=2,IF(AND(RIGHT(IFERROR(INDEX(醫師週班表!$C$5:$T$44,$CU33,BZ$57),""),1)="~",BZ$58=1),"",LEFT(IFERROR(INDEX(醫師週班表!$C$5:$T$44,$CU33,BZ$57),""),1)),IFERROR(INDEX(醫師週班表!$C$5:$T$44,$CU33,BZ$57),""))))))</f>
        <v/>
      </c>
      <c r="CA33" s="68">
        <f>IF(CA$59="X","",IF(CA$59&lt;&gt;"",CA$59,IF(IFERROR(INDEX(醫師週班表!$C$5:$T$44,$CU33,CA$57),"")=0,"",IF(LEN(IFERROR(INDEX(醫師週班表!$C$5:$T$44,$CU33,CA$57),""))=4,MID(IFERROR(INDEX(醫師週班表!$C$5:$T$44,$CU33,CA$57),""),1+CA$58*2,1),IF(LEN(IFERROR(INDEX(醫師週班表!$C$5:$T$44,$CU33,CA$57),""))=2,IF(AND(RIGHT(IFERROR(INDEX(醫師週班表!$C$5:$T$44,$CU33,CA$57),""),1)="~",CA$58=1),"",LEFT(IFERROR(INDEX(醫師週班表!$C$5:$T$44,$CU33,CA$57),""),1)),IFERROR(INDEX(醫師週班表!$C$5:$T$44,$CU33,CA$57),""))))))</f>
        <v/>
      </c>
      <c r="CB33" s="67">
        <f>IF(CB$59="X","",IF(CB$59&lt;&gt;"",CB$59,IF(IFERROR(INDEX(醫師週班表!$C$5:$T$44,$CU33,CB$57),"")=0,"",IF(LEN(IFERROR(INDEX(醫師週班表!$C$5:$T$44,$CU33,CB$57),""))=4,MID(IFERROR(INDEX(醫師週班表!$C$5:$T$44,$CU33,CB$57),""),1+CB$58*2,1),IF(LEN(IFERROR(INDEX(醫師週班表!$C$5:$T$44,$CU33,CB$57),""))=2,IF(AND(RIGHT(IFERROR(INDEX(醫師週班表!$C$5:$T$44,$CU33,CB$57),""),1)="~",CB$58=1),"",LEFT(IFERROR(INDEX(醫師週班表!$C$5:$T$44,$CU33,CB$57),""),1)),IFERROR(INDEX(醫師週班表!$C$5:$T$44,$CU33,CB$57),""))))))</f>
        <v/>
      </c>
      <c r="CC33" s="68">
        <f>IF(CC$59="X","",IF(CC$59&lt;&gt;"",CC$59,IF(IFERROR(INDEX(醫師週班表!$C$5:$T$44,$CU33,CC$57),"")=0,"",IF(LEN(IFERROR(INDEX(醫師週班表!$C$5:$T$44,$CU33,CC$57),""))=4,MID(IFERROR(INDEX(醫師週班表!$C$5:$T$44,$CU33,CC$57),""),1+CC$58*2,1),IF(LEN(IFERROR(INDEX(醫師週班表!$C$5:$T$44,$CU33,CC$57),""))=2,IF(AND(RIGHT(IFERROR(INDEX(醫師週班表!$C$5:$T$44,$CU33,CC$57),""),1)="~",CC$58=1),"",LEFT(IFERROR(INDEX(醫師週班表!$C$5:$T$44,$CU33,CC$57),""),1)),IFERROR(INDEX(醫師週班表!$C$5:$T$44,$CU33,CC$57),""))))))</f>
        <v/>
      </c>
      <c r="CD33" s="68">
        <f>IF(CD$59="X","",IF(CD$59&lt;&gt;"",CD$59,IF(IFERROR(INDEX(醫師週班表!$C$5:$T$44,$CU33,CD$57),"")=0,"",IF(LEN(IFERROR(INDEX(醫師週班表!$C$5:$T$44,$CU33,CD$57),""))=4,MID(IFERROR(INDEX(醫師週班表!$C$5:$T$44,$CU33,CD$57),""),1+CD$58*2,1),IF(LEN(IFERROR(INDEX(醫師週班表!$C$5:$T$44,$CU33,CD$57),""))=2,IF(AND(RIGHT(IFERROR(INDEX(醫師週班表!$C$5:$T$44,$CU33,CD$57),""),1)="~",CD$58=1),"",LEFT(IFERROR(INDEX(醫師週班表!$C$5:$T$44,$CU33,CD$57),""),1)),IFERROR(INDEX(醫師週班表!$C$5:$T$44,$CU33,CD$57),""))))))</f>
        <v/>
      </c>
      <c r="CE33" s="67">
        <f>IF(CE$59="X","",IF(CE$59&lt;&gt;"",CE$59,IF(IFERROR(INDEX(醫師週班表!$C$5:$T$44,$CU33,CE$57),"")=0,"",IF(LEN(IFERROR(INDEX(醫師週班表!$C$5:$T$44,$CU33,CE$57),""))=4,MID(IFERROR(INDEX(醫師週班表!$C$5:$T$44,$CU33,CE$57),""),1+CE$58*2,1),IF(LEN(IFERROR(INDEX(醫師週班表!$C$5:$T$44,$CU33,CE$57),""))=2,IF(AND(RIGHT(IFERROR(INDEX(醫師週班表!$C$5:$T$44,$CU33,CE$57),""),1)="~",CE$58=1),"",LEFT(IFERROR(INDEX(醫師週班表!$C$5:$T$44,$CU33,CE$57),""),1)),IFERROR(INDEX(醫師週班表!$C$5:$T$44,$CU33,CE$57),""))))))</f>
        <v/>
      </c>
      <c r="CF33" s="68">
        <f>IF(CF$59="X","",IF(CF$59&lt;&gt;"",CF$59,IF(IFERROR(INDEX(醫師週班表!$C$5:$T$44,$CU33,CF$57),"")=0,"",IF(LEN(IFERROR(INDEX(醫師週班表!$C$5:$T$44,$CU33,CF$57),""))=4,MID(IFERROR(INDEX(醫師週班表!$C$5:$T$44,$CU33,CF$57),""),1+CF$58*2,1),IF(LEN(IFERROR(INDEX(醫師週班表!$C$5:$T$44,$CU33,CF$57),""))=2,IF(AND(RIGHT(IFERROR(INDEX(醫師週班表!$C$5:$T$44,$CU33,CF$57),""),1)="~",CF$58=1),"",LEFT(IFERROR(INDEX(醫師週班表!$C$5:$T$44,$CU33,CF$57),""),1)),IFERROR(INDEX(醫師週班表!$C$5:$T$44,$CU33,CF$57),""))))))</f>
        <v/>
      </c>
      <c r="CG33" s="68">
        <f>IF(CG$59="X","",IF(CG$59&lt;&gt;"",CG$59,IF(IFERROR(INDEX(醫師週班表!$C$5:$T$44,$CU33,CG$57),"")=0,"",IF(LEN(IFERROR(INDEX(醫師週班表!$C$5:$T$44,$CU33,CG$57),""))=4,MID(IFERROR(INDEX(醫師週班表!$C$5:$T$44,$CU33,CG$57),""),1+CG$58*2,1),IF(LEN(IFERROR(INDEX(醫師週班表!$C$5:$T$44,$CU33,CG$57),""))=2,IF(AND(RIGHT(IFERROR(INDEX(醫師週班表!$C$5:$T$44,$CU33,CG$57),""),1)="~",CG$58=1),"",LEFT(IFERROR(INDEX(醫師週班表!$C$5:$T$44,$CU33,CG$57),""),1)),IFERROR(INDEX(醫師週班表!$C$5:$T$44,$CU33,CG$57),""))))))</f>
        <v/>
      </c>
      <c r="CH33" s="67">
        <f>IF(CH$59="X","",IF(CH$59&lt;&gt;"",CH$59,IF(IFERROR(INDEX(醫師週班表!$C$5:$T$44,$CU33,CH$57),"")=0,"",IF(LEN(IFERROR(INDEX(醫師週班表!$C$5:$T$44,$CU33,CH$57),""))=4,MID(IFERROR(INDEX(醫師週班表!$C$5:$T$44,$CU33,CH$57),""),1+CH$58*2,1),IF(LEN(IFERROR(INDEX(醫師週班表!$C$5:$T$44,$CU33,CH$57),""))=2,IF(AND(RIGHT(IFERROR(INDEX(醫師週班表!$C$5:$T$44,$CU33,CH$57),""),1)="~",CH$58=1),"",LEFT(IFERROR(INDEX(醫師週班表!$C$5:$T$44,$CU33,CH$57),""),1)),IFERROR(INDEX(醫師週班表!$C$5:$T$44,$CU33,CH$57),""))))))</f>
        <v/>
      </c>
      <c r="CI33" s="68">
        <f>IF(CI$59="X","",IF(CI$59&lt;&gt;"",CI$59,IF(IFERROR(INDEX(醫師週班表!$C$5:$T$44,$CU33,CI$57),"")=0,"",IF(LEN(IFERROR(INDEX(醫師週班表!$C$5:$T$44,$CU33,CI$57),""))=4,MID(IFERROR(INDEX(醫師週班表!$C$5:$T$44,$CU33,CI$57),""),1+CI$58*2,1),IF(LEN(IFERROR(INDEX(醫師週班表!$C$5:$T$44,$CU33,CI$57),""))=2,IF(AND(RIGHT(IFERROR(INDEX(醫師週班表!$C$5:$T$44,$CU33,CI$57),""),1)="~",CI$58=1),"",LEFT(IFERROR(INDEX(醫師週班表!$C$5:$T$44,$CU33,CI$57),""),1)),IFERROR(INDEX(醫師週班表!$C$5:$T$44,$CU33,CI$57),""))))))</f>
        <v/>
      </c>
      <c r="CJ33" s="68">
        <f>IF(CJ$59="X","",IF(CJ$59&lt;&gt;"",CJ$59,IF(IFERROR(INDEX(醫師週班表!$C$5:$T$44,$CU33,CJ$57),"")=0,"",IF(LEN(IFERROR(INDEX(醫師週班表!$C$5:$T$44,$CU33,CJ$57),""))=4,MID(IFERROR(INDEX(醫師週班表!$C$5:$T$44,$CU33,CJ$57),""),1+CJ$58*2,1),IF(LEN(IFERROR(INDEX(醫師週班表!$C$5:$T$44,$CU33,CJ$57),""))=2,IF(AND(RIGHT(IFERROR(INDEX(醫師週班表!$C$5:$T$44,$CU33,CJ$57),""),1)="~",CJ$58=1),"",LEFT(IFERROR(INDEX(醫師週班表!$C$5:$T$44,$CU33,CJ$57),""),1)),IFERROR(INDEX(醫師週班表!$C$5:$T$44,$CU33,CJ$57),""))))))</f>
        <v/>
      </c>
      <c r="CK33" s="67">
        <f>IF(CK$59="X","",IF(CK$59&lt;&gt;"",CK$59,IF(IFERROR(INDEX(醫師週班表!$C$5:$T$44,$CU33,CK$57),"")=0,"",IF(LEN(IFERROR(INDEX(醫師週班表!$C$5:$T$44,$CU33,CK$57),""))=4,MID(IFERROR(INDEX(醫師週班表!$C$5:$T$44,$CU33,CK$57),""),1+CK$58*2,1),IF(LEN(IFERROR(INDEX(醫師週班表!$C$5:$T$44,$CU33,CK$57),""))=2,IF(AND(RIGHT(IFERROR(INDEX(醫師週班表!$C$5:$T$44,$CU33,CK$57),""),1)="~",CK$58=1),"",LEFT(IFERROR(INDEX(醫師週班表!$C$5:$T$44,$CU33,CK$57),""),1)),IFERROR(INDEX(醫師週班表!$C$5:$T$44,$CU33,CK$57),""))))))</f>
        <v/>
      </c>
      <c r="CL33" s="68">
        <f>IF(CL$59="X","",IF(CL$59&lt;&gt;"",CL$59,IF(IFERROR(INDEX(醫師週班表!$C$5:$T$44,$CU33,CL$57),"")=0,"",IF(LEN(IFERROR(INDEX(醫師週班表!$C$5:$T$44,$CU33,CL$57),""))=4,MID(IFERROR(INDEX(醫師週班表!$C$5:$T$44,$CU33,CL$57),""),1+CL$58*2,1),IF(LEN(IFERROR(INDEX(醫師週班表!$C$5:$T$44,$CU33,CL$57),""))=2,IF(AND(RIGHT(IFERROR(INDEX(醫師週班表!$C$5:$T$44,$CU33,CL$57),""),1)="~",CL$58=1),"",LEFT(IFERROR(INDEX(醫師週班表!$C$5:$T$44,$CU33,CL$57),""),1)),IFERROR(INDEX(醫師週班表!$C$5:$T$44,$CU33,CL$57),""))))))</f>
        <v/>
      </c>
      <c r="CM33" s="68">
        <f>IF(CM$59="X","",IF(CM$59&lt;&gt;"",CM$59,IF(IFERROR(INDEX(醫師週班表!$C$5:$T$44,$CU33,CM$57),"")=0,"",IF(LEN(IFERROR(INDEX(醫師週班表!$C$5:$T$44,$CU33,CM$57),""))=4,MID(IFERROR(INDEX(醫師週班表!$C$5:$T$44,$CU33,CM$57),""),1+CM$58*2,1),IF(LEN(IFERROR(INDEX(醫師週班表!$C$5:$T$44,$CU33,CM$57),""))=2,IF(AND(RIGHT(IFERROR(INDEX(醫師週班表!$C$5:$T$44,$CU33,CM$57),""),1)="~",CM$58=1),"",LEFT(IFERROR(INDEX(醫師週班表!$C$5:$T$44,$CU33,CM$57),""),1)),IFERROR(INDEX(醫師週班表!$C$5:$T$44,$CU33,CM$57),""))))))</f>
        <v/>
      </c>
      <c r="CN33" s="67">
        <f>IF(CN$59="X","",IF(CN$59&lt;&gt;"",CN$59,IF(IFERROR(INDEX(醫師週班表!$C$5:$T$44,$CU33,CN$57),"")=0,"",IF(LEN(IFERROR(INDEX(醫師週班表!$C$5:$T$44,$CU33,CN$57),""))=4,MID(IFERROR(INDEX(醫師週班表!$C$5:$T$44,$CU33,CN$57),""),1+CN$58*2,1),IF(LEN(IFERROR(INDEX(醫師週班表!$C$5:$T$44,$CU33,CN$57),""))=2,IF(AND(RIGHT(IFERROR(INDEX(醫師週班表!$C$5:$T$44,$CU33,CN$57),""),1)="~",CN$58=1),"",LEFT(IFERROR(INDEX(醫師週班表!$C$5:$T$44,$CU33,CN$57),""),1)),IFERROR(INDEX(醫師週班表!$C$5:$T$44,$CU33,CN$57),""))))))</f>
        <v/>
      </c>
      <c r="CO33" s="68">
        <f>IF(CO$59="X","",IF(CO$59&lt;&gt;"",CO$59,IF(IFERROR(INDEX(醫師週班表!$C$5:$T$44,$CU33,CO$57),"")=0,"",IF(LEN(IFERROR(INDEX(醫師週班表!$C$5:$T$44,$CU33,CO$57),""))=4,MID(IFERROR(INDEX(醫師週班表!$C$5:$T$44,$CU33,CO$57),""),1+CO$58*2,1),IF(LEN(IFERROR(INDEX(醫師週班表!$C$5:$T$44,$CU33,CO$57),""))=2,IF(AND(RIGHT(IFERROR(INDEX(醫師週班表!$C$5:$T$44,$CU33,CO$57),""),1)="~",CO$58=1),"",LEFT(IFERROR(INDEX(醫師週班表!$C$5:$T$44,$CU33,CO$57),""),1)),IFERROR(INDEX(醫師週班表!$C$5:$T$44,$CU33,CO$57),""))))))</f>
        <v/>
      </c>
      <c r="CP33" s="68">
        <f>IF(CP$59="X","",IF(CP$59&lt;&gt;"",CP$59,IF(IFERROR(INDEX(醫師週班表!$C$5:$T$44,$CU33,CP$57),"")=0,"",IF(LEN(IFERROR(INDEX(醫師週班表!$C$5:$T$44,$CU33,CP$57),""))=4,MID(IFERROR(INDEX(醫師週班表!$C$5:$T$44,$CU33,CP$57),""),1+CP$58*2,1),IF(LEN(IFERROR(INDEX(醫師週班表!$C$5:$T$44,$CU33,CP$57),""))=2,IF(AND(RIGHT(IFERROR(INDEX(醫師週班表!$C$5:$T$44,$CU33,CP$57),""),1)="~",CP$58=1),"",LEFT(IFERROR(INDEX(醫師週班表!$C$5:$T$44,$CU33,CP$57),""),1)),IFERROR(INDEX(醫師週班表!$C$5:$T$44,$CU33,CP$57),""))))))</f>
        <v/>
      </c>
      <c r="CQ33" s="67">
        <f>IF(CQ$59="X","",IF(CQ$59&lt;&gt;"",CQ$59,IF(IFERROR(INDEX(醫師週班表!$C$5:$T$44,$CU33,CQ$57),"")=0,"",IF(LEN(IFERROR(INDEX(醫師週班表!$C$5:$T$44,$CU33,CQ$57),""))=4,MID(IFERROR(INDEX(醫師週班表!$C$5:$T$44,$CU33,CQ$57),""),1+CQ$58*2,1),IF(LEN(IFERROR(INDEX(醫師週班表!$C$5:$T$44,$CU33,CQ$57),""))=2,IF(AND(RIGHT(IFERROR(INDEX(醫師週班表!$C$5:$T$44,$CU33,CQ$57),""),1)="~",CQ$58=1),"",LEFT(IFERROR(INDEX(醫師週班表!$C$5:$T$44,$CU33,CQ$57),""),1)),IFERROR(INDEX(醫師週班表!$C$5:$T$44,$CU33,CQ$57),""))))))</f>
        <v/>
      </c>
      <c r="CR33" s="68">
        <f>IF(CR$59="X","",IF(CR$59&lt;&gt;"",CR$59,IF(IFERROR(INDEX(醫師週班表!$C$5:$T$44,$CU33,CR$57),"")=0,"",IF(LEN(IFERROR(INDEX(醫師週班表!$C$5:$T$44,$CU33,CR$57),""))=4,MID(IFERROR(INDEX(醫師週班表!$C$5:$T$44,$CU33,CR$57),""),1+CR$58*2,1),IF(LEN(IFERROR(INDEX(醫師週班表!$C$5:$T$44,$CU33,CR$57),""))=2,IF(AND(RIGHT(IFERROR(INDEX(醫師週班表!$C$5:$T$44,$CU33,CR$57),""),1)="~",CR$58=1),"",LEFT(IFERROR(INDEX(醫師週班表!$C$5:$T$44,$CU33,CR$57),""),1)),IFERROR(INDEX(醫師週班表!$C$5:$T$44,$CU33,CR$57),""))))))</f>
        <v/>
      </c>
      <c r="CS33" s="68">
        <f>IF(CS$59="X","",IF(CS$59&lt;&gt;"",CS$59,IF(IFERROR(INDEX(醫師週班表!$C$5:$T$44,$CU33,CS$57),"")=0,"",IF(LEN(IFERROR(INDEX(醫師週班表!$C$5:$T$44,$CU33,CS$57),""))=4,MID(IFERROR(INDEX(醫師週班表!$C$5:$T$44,$CU33,CS$57),""),1+CS$58*2,1),IF(LEN(IFERROR(INDEX(醫師週班表!$C$5:$T$44,$CU33,CS$57),""))=2,IF(AND(RIGHT(IFERROR(INDEX(醫師週班表!$C$5:$T$44,$CU33,CS$57),""),1)="~",CS$58=1),"",LEFT(IFERROR(INDEX(醫師週班表!$C$5:$T$44,$CU33,CS$57),""),1)),IFERROR(INDEX(醫師週班表!$C$5:$T$44,$CU33,CS$57),""))))))</f>
        <v/>
      </c>
      <c r="CU33" s="69">
        <f>IFERROR(MATCH($A33,醫師週班表!$A$5:$A$44,0),0)</f>
        <v/>
      </c>
    </row>
    <row r="34" ht="17" customHeight="1">
      <c r="A34" s="20" t="n"/>
      <c r="B34" s="16">
        <f>IFERROR(INDEX(設定!$C$57:$C$196,MATCH($A34,設定!$B$57:$B$196,0)),"")</f>
        <v/>
      </c>
      <c r="C34" s="66">
        <f>IFERROR(INDEX(設定!$E$57:$E$196,MATCH($A34,設定!$B$57:$B$196,0)),"")</f>
        <v/>
      </c>
      <c r="D34" s="16">
        <f>IFERROR(INDEX(設定!$F$57:$F$196,MATCH($A34,設定!$B$57:$B$196,0)),"")</f>
        <v/>
      </c>
      <c r="E34" s="67">
        <f>IF(E$59="X","",IF(E$59&lt;&gt;"",E$59,IF(IFERROR(INDEX(醫師週班表!$C$5:$T$44,$CU34,E$57),"")=0,"",IF(LEN(IFERROR(INDEX(醫師週班表!$C$5:$T$44,$CU34,E$57),""))=4,MID(IFERROR(INDEX(醫師週班表!$C$5:$T$44,$CU34,E$57),""),1+E$58*2,1),IF(LEN(IFERROR(INDEX(醫師週班表!$C$5:$T$44,$CU34,E$57),""))=2,IF(AND(RIGHT(IFERROR(INDEX(醫師週班表!$C$5:$T$44,$CU34,E$57),""),1)="~",E$58=1),"",LEFT(IFERROR(INDEX(醫師週班表!$C$5:$T$44,$CU34,E$57),""),1)),IFERROR(INDEX(醫師週班表!$C$5:$T$44,$CU34,E$57),""))))))</f>
        <v/>
      </c>
      <c r="F34" s="68">
        <f>IF(F$59="X","",IF(F$59&lt;&gt;"",F$59,IF(IFERROR(INDEX(醫師週班表!$C$5:$T$44,$CU34,F$57),"")=0,"",IF(LEN(IFERROR(INDEX(醫師週班表!$C$5:$T$44,$CU34,F$57),""))=4,MID(IFERROR(INDEX(醫師週班表!$C$5:$T$44,$CU34,F$57),""),1+F$58*2,1),IF(LEN(IFERROR(INDEX(醫師週班表!$C$5:$T$44,$CU34,F$57),""))=2,IF(AND(RIGHT(IFERROR(INDEX(醫師週班表!$C$5:$T$44,$CU34,F$57),""),1)="~",F$58=1),"",LEFT(IFERROR(INDEX(醫師週班表!$C$5:$T$44,$CU34,F$57),""),1)),IFERROR(INDEX(醫師週班表!$C$5:$T$44,$CU34,F$57),""))))))</f>
        <v/>
      </c>
      <c r="G34" s="68">
        <f>IF(G$59="X","",IF(G$59&lt;&gt;"",G$59,IF(IFERROR(INDEX(醫師週班表!$C$5:$T$44,$CU34,G$57),"")=0,"",IF(LEN(IFERROR(INDEX(醫師週班表!$C$5:$T$44,$CU34,G$57),""))=4,MID(IFERROR(INDEX(醫師週班表!$C$5:$T$44,$CU34,G$57),""),1+G$58*2,1),IF(LEN(IFERROR(INDEX(醫師週班表!$C$5:$T$44,$CU34,G$57),""))=2,IF(AND(RIGHT(IFERROR(INDEX(醫師週班表!$C$5:$T$44,$CU34,G$57),""),1)="~",G$58=1),"",LEFT(IFERROR(INDEX(醫師週班表!$C$5:$T$44,$CU34,G$57),""),1)),IFERROR(INDEX(醫師週班表!$C$5:$T$44,$CU34,G$57),""))))))</f>
        <v/>
      </c>
      <c r="H34" s="67">
        <f>IF(H$59="X","",IF(H$59&lt;&gt;"",H$59,IF(IFERROR(INDEX(醫師週班表!$C$5:$T$44,$CU34,H$57),"")=0,"",IF(LEN(IFERROR(INDEX(醫師週班表!$C$5:$T$44,$CU34,H$57),""))=4,MID(IFERROR(INDEX(醫師週班表!$C$5:$T$44,$CU34,H$57),""),1+H$58*2,1),IF(LEN(IFERROR(INDEX(醫師週班表!$C$5:$T$44,$CU34,H$57),""))=2,IF(AND(RIGHT(IFERROR(INDEX(醫師週班表!$C$5:$T$44,$CU34,H$57),""),1)="~",H$58=1),"",LEFT(IFERROR(INDEX(醫師週班表!$C$5:$T$44,$CU34,H$57),""),1)),IFERROR(INDEX(醫師週班表!$C$5:$T$44,$CU34,H$57),""))))))</f>
        <v/>
      </c>
      <c r="I34" s="68">
        <f>IF(I$59="X","",IF(I$59&lt;&gt;"",I$59,IF(IFERROR(INDEX(醫師週班表!$C$5:$T$44,$CU34,I$57),"")=0,"",IF(LEN(IFERROR(INDEX(醫師週班表!$C$5:$T$44,$CU34,I$57),""))=4,MID(IFERROR(INDEX(醫師週班表!$C$5:$T$44,$CU34,I$57),""),1+I$58*2,1),IF(LEN(IFERROR(INDEX(醫師週班表!$C$5:$T$44,$CU34,I$57),""))=2,IF(AND(RIGHT(IFERROR(INDEX(醫師週班表!$C$5:$T$44,$CU34,I$57),""),1)="~",I$58=1),"",LEFT(IFERROR(INDEX(醫師週班表!$C$5:$T$44,$CU34,I$57),""),1)),IFERROR(INDEX(醫師週班表!$C$5:$T$44,$CU34,I$57),""))))))</f>
        <v/>
      </c>
      <c r="J34" s="68">
        <f>IF(J$59="X","",IF(J$59&lt;&gt;"",J$59,IF(IFERROR(INDEX(醫師週班表!$C$5:$T$44,$CU34,J$57),"")=0,"",IF(LEN(IFERROR(INDEX(醫師週班表!$C$5:$T$44,$CU34,J$57),""))=4,MID(IFERROR(INDEX(醫師週班表!$C$5:$T$44,$CU34,J$57),""),1+J$58*2,1),IF(LEN(IFERROR(INDEX(醫師週班表!$C$5:$T$44,$CU34,J$57),""))=2,IF(AND(RIGHT(IFERROR(INDEX(醫師週班表!$C$5:$T$44,$CU34,J$57),""),1)="~",J$58=1),"",LEFT(IFERROR(INDEX(醫師週班表!$C$5:$T$44,$CU34,J$57),""),1)),IFERROR(INDEX(醫師週班表!$C$5:$T$44,$CU34,J$57),""))))))</f>
        <v/>
      </c>
      <c r="K34" s="67">
        <f>IF(K$59="X","",IF(K$59&lt;&gt;"",K$59,IF(IFERROR(INDEX(醫師週班表!$C$5:$T$44,$CU34,K$57),"")=0,"",IF(LEN(IFERROR(INDEX(醫師週班表!$C$5:$T$44,$CU34,K$57),""))=4,MID(IFERROR(INDEX(醫師週班表!$C$5:$T$44,$CU34,K$57),""),1+K$58*2,1),IF(LEN(IFERROR(INDEX(醫師週班表!$C$5:$T$44,$CU34,K$57),""))=2,IF(AND(RIGHT(IFERROR(INDEX(醫師週班表!$C$5:$T$44,$CU34,K$57),""),1)="~",K$58=1),"",LEFT(IFERROR(INDEX(醫師週班表!$C$5:$T$44,$CU34,K$57),""),1)),IFERROR(INDEX(醫師週班表!$C$5:$T$44,$CU34,K$57),""))))))</f>
        <v/>
      </c>
      <c r="L34" s="68">
        <f>IF(L$59="X","",IF(L$59&lt;&gt;"",L$59,IF(IFERROR(INDEX(醫師週班表!$C$5:$T$44,$CU34,L$57),"")=0,"",IF(LEN(IFERROR(INDEX(醫師週班表!$C$5:$T$44,$CU34,L$57),""))=4,MID(IFERROR(INDEX(醫師週班表!$C$5:$T$44,$CU34,L$57),""),1+L$58*2,1),IF(LEN(IFERROR(INDEX(醫師週班表!$C$5:$T$44,$CU34,L$57),""))=2,IF(AND(RIGHT(IFERROR(INDEX(醫師週班表!$C$5:$T$44,$CU34,L$57),""),1)="~",L$58=1),"",LEFT(IFERROR(INDEX(醫師週班表!$C$5:$T$44,$CU34,L$57),""),1)),IFERROR(INDEX(醫師週班表!$C$5:$T$44,$CU34,L$57),""))))))</f>
        <v/>
      </c>
      <c r="M34" s="68">
        <f>IF(M$59="X","",IF(M$59&lt;&gt;"",M$59,IF(IFERROR(INDEX(醫師週班表!$C$5:$T$44,$CU34,M$57),"")=0,"",IF(LEN(IFERROR(INDEX(醫師週班表!$C$5:$T$44,$CU34,M$57),""))=4,MID(IFERROR(INDEX(醫師週班表!$C$5:$T$44,$CU34,M$57),""),1+M$58*2,1),IF(LEN(IFERROR(INDEX(醫師週班表!$C$5:$T$44,$CU34,M$57),""))=2,IF(AND(RIGHT(IFERROR(INDEX(醫師週班表!$C$5:$T$44,$CU34,M$57),""),1)="~",M$58=1),"",LEFT(IFERROR(INDEX(醫師週班表!$C$5:$T$44,$CU34,M$57),""),1)),IFERROR(INDEX(醫師週班表!$C$5:$T$44,$CU34,M$57),""))))))</f>
        <v/>
      </c>
      <c r="N34" s="67">
        <f>IF(N$59="X","",IF(N$59&lt;&gt;"",N$59,IF(IFERROR(INDEX(醫師週班表!$C$5:$T$44,$CU34,N$57),"")=0,"",IF(LEN(IFERROR(INDEX(醫師週班表!$C$5:$T$44,$CU34,N$57),""))=4,MID(IFERROR(INDEX(醫師週班表!$C$5:$T$44,$CU34,N$57),""),1+N$58*2,1),IF(LEN(IFERROR(INDEX(醫師週班表!$C$5:$T$44,$CU34,N$57),""))=2,IF(AND(RIGHT(IFERROR(INDEX(醫師週班表!$C$5:$T$44,$CU34,N$57),""),1)="~",N$58=1),"",LEFT(IFERROR(INDEX(醫師週班表!$C$5:$T$44,$CU34,N$57),""),1)),IFERROR(INDEX(醫師週班表!$C$5:$T$44,$CU34,N$57),""))))))</f>
        <v/>
      </c>
      <c r="O34" s="68">
        <f>IF(O$59="X","",IF(O$59&lt;&gt;"",O$59,IF(IFERROR(INDEX(醫師週班表!$C$5:$T$44,$CU34,O$57),"")=0,"",IF(LEN(IFERROR(INDEX(醫師週班表!$C$5:$T$44,$CU34,O$57),""))=4,MID(IFERROR(INDEX(醫師週班表!$C$5:$T$44,$CU34,O$57),""),1+O$58*2,1),IF(LEN(IFERROR(INDEX(醫師週班表!$C$5:$T$44,$CU34,O$57),""))=2,IF(AND(RIGHT(IFERROR(INDEX(醫師週班表!$C$5:$T$44,$CU34,O$57),""),1)="~",O$58=1),"",LEFT(IFERROR(INDEX(醫師週班表!$C$5:$T$44,$CU34,O$57),""),1)),IFERROR(INDEX(醫師週班表!$C$5:$T$44,$CU34,O$57),""))))))</f>
        <v/>
      </c>
      <c r="P34" s="68">
        <f>IF(P$59="X","",IF(P$59&lt;&gt;"",P$59,IF(IFERROR(INDEX(醫師週班表!$C$5:$T$44,$CU34,P$57),"")=0,"",IF(LEN(IFERROR(INDEX(醫師週班表!$C$5:$T$44,$CU34,P$57),""))=4,MID(IFERROR(INDEX(醫師週班表!$C$5:$T$44,$CU34,P$57),""),1+P$58*2,1),IF(LEN(IFERROR(INDEX(醫師週班表!$C$5:$T$44,$CU34,P$57),""))=2,IF(AND(RIGHT(IFERROR(INDEX(醫師週班表!$C$5:$T$44,$CU34,P$57),""),1)="~",P$58=1),"",LEFT(IFERROR(INDEX(醫師週班表!$C$5:$T$44,$CU34,P$57),""),1)),IFERROR(INDEX(醫師週班表!$C$5:$T$44,$CU34,P$57),""))))))</f>
        <v/>
      </c>
      <c r="Q34" s="67">
        <f>IF(Q$59="X","",IF(Q$59&lt;&gt;"",Q$59,IF(IFERROR(INDEX(醫師週班表!$C$5:$T$44,$CU34,Q$57),"")=0,"",IF(LEN(IFERROR(INDEX(醫師週班表!$C$5:$T$44,$CU34,Q$57),""))=4,MID(IFERROR(INDEX(醫師週班表!$C$5:$T$44,$CU34,Q$57),""),1+Q$58*2,1),IF(LEN(IFERROR(INDEX(醫師週班表!$C$5:$T$44,$CU34,Q$57),""))=2,IF(AND(RIGHT(IFERROR(INDEX(醫師週班表!$C$5:$T$44,$CU34,Q$57),""),1)="~",Q$58=1),"",LEFT(IFERROR(INDEX(醫師週班表!$C$5:$T$44,$CU34,Q$57),""),1)),IFERROR(INDEX(醫師週班表!$C$5:$T$44,$CU34,Q$57),""))))))</f>
        <v/>
      </c>
      <c r="R34" s="68">
        <f>IF(R$59="X","",IF(R$59&lt;&gt;"",R$59,IF(IFERROR(INDEX(醫師週班表!$C$5:$T$44,$CU34,R$57),"")=0,"",IF(LEN(IFERROR(INDEX(醫師週班表!$C$5:$T$44,$CU34,R$57),""))=4,MID(IFERROR(INDEX(醫師週班表!$C$5:$T$44,$CU34,R$57),""),1+R$58*2,1),IF(LEN(IFERROR(INDEX(醫師週班表!$C$5:$T$44,$CU34,R$57),""))=2,IF(AND(RIGHT(IFERROR(INDEX(醫師週班表!$C$5:$T$44,$CU34,R$57),""),1)="~",R$58=1),"",LEFT(IFERROR(INDEX(醫師週班表!$C$5:$T$44,$CU34,R$57),""),1)),IFERROR(INDEX(醫師週班表!$C$5:$T$44,$CU34,R$57),""))))))</f>
        <v/>
      </c>
      <c r="S34" s="68">
        <f>IF(S$59="X","",IF(S$59&lt;&gt;"",S$59,IF(IFERROR(INDEX(醫師週班表!$C$5:$T$44,$CU34,S$57),"")=0,"",IF(LEN(IFERROR(INDEX(醫師週班表!$C$5:$T$44,$CU34,S$57),""))=4,MID(IFERROR(INDEX(醫師週班表!$C$5:$T$44,$CU34,S$57),""),1+S$58*2,1),IF(LEN(IFERROR(INDEX(醫師週班表!$C$5:$T$44,$CU34,S$57),""))=2,IF(AND(RIGHT(IFERROR(INDEX(醫師週班表!$C$5:$T$44,$CU34,S$57),""),1)="~",S$58=1),"",LEFT(IFERROR(INDEX(醫師週班表!$C$5:$T$44,$CU34,S$57),""),1)),IFERROR(INDEX(醫師週班表!$C$5:$T$44,$CU34,S$57),""))))))</f>
        <v/>
      </c>
      <c r="T34" s="67">
        <f>IF(T$59="X","",IF(T$59&lt;&gt;"",T$59,IF(IFERROR(INDEX(醫師週班表!$C$5:$T$44,$CU34,T$57),"")=0,"",IF(LEN(IFERROR(INDEX(醫師週班表!$C$5:$T$44,$CU34,T$57),""))=4,MID(IFERROR(INDEX(醫師週班表!$C$5:$T$44,$CU34,T$57),""),1+T$58*2,1),IF(LEN(IFERROR(INDEX(醫師週班表!$C$5:$T$44,$CU34,T$57),""))=2,IF(AND(RIGHT(IFERROR(INDEX(醫師週班表!$C$5:$T$44,$CU34,T$57),""),1)="~",T$58=1),"",LEFT(IFERROR(INDEX(醫師週班表!$C$5:$T$44,$CU34,T$57),""),1)),IFERROR(INDEX(醫師週班表!$C$5:$T$44,$CU34,T$57),""))))))</f>
        <v/>
      </c>
      <c r="U34" s="68">
        <f>IF(U$59="X","",IF(U$59&lt;&gt;"",U$59,IF(IFERROR(INDEX(醫師週班表!$C$5:$T$44,$CU34,U$57),"")=0,"",IF(LEN(IFERROR(INDEX(醫師週班表!$C$5:$T$44,$CU34,U$57),""))=4,MID(IFERROR(INDEX(醫師週班表!$C$5:$T$44,$CU34,U$57),""),1+U$58*2,1),IF(LEN(IFERROR(INDEX(醫師週班表!$C$5:$T$44,$CU34,U$57),""))=2,IF(AND(RIGHT(IFERROR(INDEX(醫師週班表!$C$5:$T$44,$CU34,U$57),""),1)="~",U$58=1),"",LEFT(IFERROR(INDEX(醫師週班表!$C$5:$T$44,$CU34,U$57),""),1)),IFERROR(INDEX(醫師週班表!$C$5:$T$44,$CU34,U$57),""))))))</f>
        <v/>
      </c>
      <c r="V34" s="68">
        <f>IF(V$59="X","",IF(V$59&lt;&gt;"",V$59,IF(IFERROR(INDEX(醫師週班表!$C$5:$T$44,$CU34,V$57),"")=0,"",IF(LEN(IFERROR(INDEX(醫師週班表!$C$5:$T$44,$CU34,V$57),""))=4,MID(IFERROR(INDEX(醫師週班表!$C$5:$T$44,$CU34,V$57),""),1+V$58*2,1),IF(LEN(IFERROR(INDEX(醫師週班表!$C$5:$T$44,$CU34,V$57),""))=2,IF(AND(RIGHT(IFERROR(INDEX(醫師週班表!$C$5:$T$44,$CU34,V$57),""),1)="~",V$58=1),"",LEFT(IFERROR(INDEX(醫師週班表!$C$5:$T$44,$CU34,V$57),""),1)),IFERROR(INDEX(醫師週班表!$C$5:$T$44,$CU34,V$57),""))))))</f>
        <v/>
      </c>
      <c r="W34" s="67">
        <f>IF(W$59="X","",IF(W$59&lt;&gt;"",W$59,IF(IFERROR(INDEX(醫師週班表!$C$5:$T$44,$CU34,W$57),"")=0,"",IF(LEN(IFERROR(INDEX(醫師週班表!$C$5:$T$44,$CU34,W$57),""))=4,MID(IFERROR(INDEX(醫師週班表!$C$5:$T$44,$CU34,W$57),""),1+W$58*2,1),IF(LEN(IFERROR(INDEX(醫師週班表!$C$5:$T$44,$CU34,W$57),""))=2,IF(AND(RIGHT(IFERROR(INDEX(醫師週班表!$C$5:$T$44,$CU34,W$57),""),1)="~",W$58=1),"",LEFT(IFERROR(INDEX(醫師週班表!$C$5:$T$44,$CU34,W$57),""),1)),IFERROR(INDEX(醫師週班表!$C$5:$T$44,$CU34,W$57),""))))))</f>
        <v/>
      </c>
      <c r="X34" s="68">
        <f>IF(X$59="X","",IF(X$59&lt;&gt;"",X$59,IF(IFERROR(INDEX(醫師週班表!$C$5:$T$44,$CU34,X$57),"")=0,"",IF(LEN(IFERROR(INDEX(醫師週班表!$C$5:$T$44,$CU34,X$57),""))=4,MID(IFERROR(INDEX(醫師週班表!$C$5:$T$44,$CU34,X$57),""),1+X$58*2,1),IF(LEN(IFERROR(INDEX(醫師週班表!$C$5:$T$44,$CU34,X$57),""))=2,IF(AND(RIGHT(IFERROR(INDEX(醫師週班表!$C$5:$T$44,$CU34,X$57),""),1)="~",X$58=1),"",LEFT(IFERROR(INDEX(醫師週班表!$C$5:$T$44,$CU34,X$57),""),1)),IFERROR(INDEX(醫師週班表!$C$5:$T$44,$CU34,X$57),""))))))</f>
        <v/>
      </c>
      <c r="Y34" s="68">
        <f>IF(Y$59="X","",IF(Y$59&lt;&gt;"",Y$59,IF(IFERROR(INDEX(醫師週班表!$C$5:$T$44,$CU34,Y$57),"")=0,"",IF(LEN(IFERROR(INDEX(醫師週班表!$C$5:$T$44,$CU34,Y$57),""))=4,MID(IFERROR(INDEX(醫師週班表!$C$5:$T$44,$CU34,Y$57),""),1+Y$58*2,1),IF(LEN(IFERROR(INDEX(醫師週班表!$C$5:$T$44,$CU34,Y$57),""))=2,IF(AND(RIGHT(IFERROR(INDEX(醫師週班表!$C$5:$T$44,$CU34,Y$57),""),1)="~",Y$58=1),"",LEFT(IFERROR(INDEX(醫師週班表!$C$5:$T$44,$CU34,Y$57),""),1)),IFERROR(INDEX(醫師週班表!$C$5:$T$44,$CU34,Y$57),""))))))</f>
        <v/>
      </c>
      <c r="Z34" s="67">
        <f>IF(Z$59="X","",IF(Z$59&lt;&gt;"",Z$59,IF(IFERROR(INDEX(醫師週班表!$C$5:$T$44,$CU34,Z$57),"")=0,"",IF(LEN(IFERROR(INDEX(醫師週班表!$C$5:$T$44,$CU34,Z$57),""))=4,MID(IFERROR(INDEX(醫師週班表!$C$5:$T$44,$CU34,Z$57),""),1+Z$58*2,1),IF(LEN(IFERROR(INDEX(醫師週班表!$C$5:$T$44,$CU34,Z$57),""))=2,IF(AND(RIGHT(IFERROR(INDEX(醫師週班表!$C$5:$T$44,$CU34,Z$57),""),1)="~",Z$58=1),"",LEFT(IFERROR(INDEX(醫師週班表!$C$5:$T$44,$CU34,Z$57),""),1)),IFERROR(INDEX(醫師週班表!$C$5:$T$44,$CU34,Z$57),""))))))</f>
        <v/>
      </c>
      <c r="AA34" s="68">
        <f>IF(AA$59="X","",IF(AA$59&lt;&gt;"",AA$59,IF(IFERROR(INDEX(醫師週班表!$C$5:$T$44,$CU34,AA$57),"")=0,"",IF(LEN(IFERROR(INDEX(醫師週班表!$C$5:$T$44,$CU34,AA$57),""))=4,MID(IFERROR(INDEX(醫師週班表!$C$5:$T$44,$CU34,AA$57),""),1+AA$58*2,1),IF(LEN(IFERROR(INDEX(醫師週班表!$C$5:$T$44,$CU34,AA$57),""))=2,IF(AND(RIGHT(IFERROR(INDEX(醫師週班表!$C$5:$T$44,$CU34,AA$57),""),1)="~",AA$58=1),"",LEFT(IFERROR(INDEX(醫師週班表!$C$5:$T$44,$CU34,AA$57),""),1)),IFERROR(INDEX(醫師週班表!$C$5:$T$44,$CU34,AA$57),""))))))</f>
        <v/>
      </c>
      <c r="AB34" s="68">
        <f>IF(AB$59="X","",IF(AB$59&lt;&gt;"",AB$59,IF(IFERROR(INDEX(醫師週班表!$C$5:$T$44,$CU34,AB$57),"")=0,"",IF(LEN(IFERROR(INDEX(醫師週班表!$C$5:$T$44,$CU34,AB$57),""))=4,MID(IFERROR(INDEX(醫師週班表!$C$5:$T$44,$CU34,AB$57),""),1+AB$58*2,1),IF(LEN(IFERROR(INDEX(醫師週班表!$C$5:$T$44,$CU34,AB$57),""))=2,IF(AND(RIGHT(IFERROR(INDEX(醫師週班表!$C$5:$T$44,$CU34,AB$57),""),1)="~",AB$58=1),"",LEFT(IFERROR(INDEX(醫師週班表!$C$5:$T$44,$CU34,AB$57),""),1)),IFERROR(INDEX(醫師週班表!$C$5:$T$44,$CU34,AB$57),""))))))</f>
        <v/>
      </c>
      <c r="AC34" s="67">
        <f>IF(AC$59="X","",IF(AC$59&lt;&gt;"",AC$59,IF(IFERROR(INDEX(醫師週班表!$C$5:$T$44,$CU34,AC$57),"")=0,"",IF(LEN(IFERROR(INDEX(醫師週班表!$C$5:$T$44,$CU34,AC$57),""))=4,MID(IFERROR(INDEX(醫師週班表!$C$5:$T$44,$CU34,AC$57),""),1+AC$58*2,1),IF(LEN(IFERROR(INDEX(醫師週班表!$C$5:$T$44,$CU34,AC$57),""))=2,IF(AND(RIGHT(IFERROR(INDEX(醫師週班表!$C$5:$T$44,$CU34,AC$57),""),1)="~",AC$58=1),"",LEFT(IFERROR(INDEX(醫師週班表!$C$5:$T$44,$CU34,AC$57),""),1)),IFERROR(INDEX(醫師週班表!$C$5:$T$44,$CU34,AC$57),""))))))</f>
        <v/>
      </c>
      <c r="AD34" s="68">
        <f>IF(AD$59="X","",IF(AD$59&lt;&gt;"",AD$59,IF(IFERROR(INDEX(醫師週班表!$C$5:$T$44,$CU34,AD$57),"")=0,"",IF(LEN(IFERROR(INDEX(醫師週班表!$C$5:$T$44,$CU34,AD$57),""))=4,MID(IFERROR(INDEX(醫師週班表!$C$5:$T$44,$CU34,AD$57),""),1+AD$58*2,1),IF(LEN(IFERROR(INDEX(醫師週班表!$C$5:$T$44,$CU34,AD$57),""))=2,IF(AND(RIGHT(IFERROR(INDEX(醫師週班表!$C$5:$T$44,$CU34,AD$57),""),1)="~",AD$58=1),"",LEFT(IFERROR(INDEX(醫師週班表!$C$5:$T$44,$CU34,AD$57),""),1)),IFERROR(INDEX(醫師週班表!$C$5:$T$44,$CU34,AD$57),""))))))</f>
        <v/>
      </c>
      <c r="AE34" s="68">
        <f>IF(AE$59="X","",IF(AE$59&lt;&gt;"",AE$59,IF(IFERROR(INDEX(醫師週班表!$C$5:$T$44,$CU34,AE$57),"")=0,"",IF(LEN(IFERROR(INDEX(醫師週班表!$C$5:$T$44,$CU34,AE$57),""))=4,MID(IFERROR(INDEX(醫師週班表!$C$5:$T$44,$CU34,AE$57),""),1+AE$58*2,1),IF(LEN(IFERROR(INDEX(醫師週班表!$C$5:$T$44,$CU34,AE$57),""))=2,IF(AND(RIGHT(IFERROR(INDEX(醫師週班表!$C$5:$T$44,$CU34,AE$57),""),1)="~",AE$58=1),"",LEFT(IFERROR(INDEX(醫師週班表!$C$5:$T$44,$CU34,AE$57),""),1)),IFERROR(INDEX(醫師週班表!$C$5:$T$44,$CU34,AE$57),""))))))</f>
        <v/>
      </c>
      <c r="AF34" s="67">
        <f>IF(AF$59="X","",IF(AF$59&lt;&gt;"",AF$59,IF(IFERROR(INDEX(醫師週班表!$C$5:$T$44,$CU34,AF$57),"")=0,"",IF(LEN(IFERROR(INDEX(醫師週班表!$C$5:$T$44,$CU34,AF$57),""))=4,MID(IFERROR(INDEX(醫師週班表!$C$5:$T$44,$CU34,AF$57),""),1+AF$58*2,1),IF(LEN(IFERROR(INDEX(醫師週班表!$C$5:$T$44,$CU34,AF$57),""))=2,IF(AND(RIGHT(IFERROR(INDEX(醫師週班表!$C$5:$T$44,$CU34,AF$57),""),1)="~",AF$58=1),"",LEFT(IFERROR(INDEX(醫師週班表!$C$5:$T$44,$CU34,AF$57),""),1)),IFERROR(INDEX(醫師週班表!$C$5:$T$44,$CU34,AF$57),""))))))</f>
        <v/>
      </c>
      <c r="AG34" s="68">
        <f>IF(AG$59="X","",IF(AG$59&lt;&gt;"",AG$59,IF(IFERROR(INDEX(醫師週班表!$C$5:$T$44,$CU34,AG$57),"")=0,"",IF(LEN(IFERROR(INDEX(醫師週班表!$C$5:$T$44,$CU34,AG$57),""))=4,MID(IFERROR(INDEX(醫師週班表!$C$5:$T$44,$CU34,AG$57),""),1+AG$58*2,1),IF(LEN(IFERROR(INDEX(醫師週班表!$C$5:$T$44,$CU34,AG$57),""))=2,IF(AND(RIGHT(IFERROR(INDEX(醫師週班表!$C$5:$T$44,$CU34,AG$57),""),1)="~",AG$58=1),"",LEFT(IFERROR(INDEX(醫師週班表!$C$5:$T$44,$CU34,AG$57),""),1)),IFERROR(INDEX(醫師週班表!$C$5:$T$44,$CU34,AG$57),""))))))</f>
        <v/>
      </c>
      <c r="AH34" s="68">
        <f>IF(AH$59="X","",IF(AH$59&lt;&gt;"",AH$59,IF(IFERROR(INDEX(醫師週班表!$C$5:$T$44,$CU34,AH$57),"")=0,"",IF(LEN(IFERROR(INDEX(醫師週班表!$C$5:$T$44,$CU34,AH$57),""))=4,MID(IFERROR(INDEX(醫師週班表!$C$5:$T$44,$CU34,AH$57),""),1+AH$58*2,1),IF(LEN(IFERROR(INDEX(醫師週班表!$C$5:$T$44,$CU34,AH$57),""))=2,IF(AND(RIGHT(IFERROR(INDEX(醫師週班表!$C$5:$T$44,$CU34,AH$57),""),1)="~",AH$58=1),"",LEFT(IFERROR(INDEX(醫師週班表!$C$5:$T$44,$CU34,AH$57),""),1)),IFERROR(INDEX(醫師週班表!$C$5:$T$44,$CU34,AH$57),""))))))</f>
        <v/>
      </c>
      <c r="AI34" s="67">
        <f>IF(AI$59="X","",IF(AI$59&lt;&gt;"",AI$59,IF(IFERROR(INDEX(醫師週班表!$C$5:$T$44,$CU34,AI$57),"")=0,"",IF(LEN(IFERROR(INDEX(醫師週班表!$C$5:$T$44,$CU34,AI$57),""))=4,MID(IFERROR(INDEX(醫師週班表!$C$5:$T$44,$CU34,AI$57),""),1+AI$58*2,1),IF(LEN(IFERROR(INDEX(醫師週班表!$C$5:$T$44,$CU34,AI$57),""))=2,IF(AND(RIGHT(IFERROR(INDEX(醫師週班表!$C$5:$T$44,$CU34,AI$57),""),1)="~",AI$58=1),"",LEFT(IFERROR(INDEX(醫師週班表!$C$5:$T$44,$CU34,AI$57),""),1)),IFERROR(INDEX(醫師週班表!$C$5:$T$44,$CU34,AI$57),""))))))</f>
        <v/>
      </c>
      <c r="AJ34" s="68">
        <f>IF(AJ$59="X","",IF(AJ$59&lt;&gt;"",AJ$59,IF(IFERROR(INDEX(醫師週班表!$C$5:$T$44,$CU34,AJ$57),"")=0,"",IF(LEN(IFERROR(INDEX(醫師週班表!$C$5:$T$44,$CU34,AJ$57),""))=4,MID(IFERROR(INDEX(醫師週班表!$C$5:$T$44,$CU34,AJ$57),""),1+AJ$58*2,1),IF(LEN(IFERROR(INDEX(醫師週班表!$C$5:$T$44,$CU34,AJ$57),""))=2,IF(AND(RIGHT(IFERROR(INDEX(醫師週班表!$C$5:$T$44,$CU34,AJ$57),""),1)="~",AJ$58=1),"",LEFT(IFERROR(INDEX(醫師週班表!$C$5:$T$44,$CU34,AJ$57),""),1)),IFERROR(INDEX(醫師週班表!$C$5:$T$44,$CU34,AJ$57),""))))))</f>
        <v/>
      </c>
      <c r="AK34" s="68">
        <f>IF(AK$59="X","",IF(AK$59&lt;&gt;"",AK$59,IF(IFERROR(INDEX(醫師週班表!$C$5:$T$44,$CU34,AK$57),"")=0,"",IF(LEN(IFERROR(INDEX(醫師週班表!$C$5:$T$44,$CU34,AK$57),""))=4,MID(IFERROR(INDEX(醫師週班表!$C$5:$T$44,$CU34,AK$57),""),1+AK$58*2,1),IF(LEN(IFERROR(INDEX(醫師週班表!$C$5:$T$44,$CU34,AK$57),""))=2,IF(AND(RIGHT(IFERROR(INDEX(醫師週班表!$C$5:$T$44,$CU34,AK$57),""),1)="~",AK$58=1),"",LEFT(IFERROR(INDEX(醫師週班表!$C$5:$T$44,$CU34,AK$57),""),1)),IFERROR(INDEX(醫師週班表!$C$5:$T$44,$CU34,AK$57),""))))))</f>
        <v/>
      </c>
      <c r="AL34" s="67">
        <f>IF(AL$59="X","",IF(AL$59&lt;&gt;"",AL$59,IF(IFERROR(INDEX(醫師週班表!$C$5:$T$44,$CU34,AL$57),"")=0,"",IF(LEN(IFERROR(INDEX(醫師週班表!$C$5:$T$44,$CU34,AL$57),""))=4,MID(IFERROR(INDEX(醫師週班表!$C$5:$T$44,$CU34,AL$57),""),1+AL$58*2,1),IF(LEN(IFERROR(INDEX(醫師週班表!$C$5:$T$44,$CU34,AL$57),""))=2,IF(AND(RIGHT(IFERROR(INDEX(醫師週班表!$C$5:$T$44,$CU34,AL$57),""),1)="~",AL$58=1),"",LEFT(IFERROR(INDEX(醫師週班表!$C$5:$T$44,$CU34,AL$57),""),1)),IFERROR(INDEX(醫師週班表!$C$5:$T$44,$CU34,AL$57),""))))))</f>
        <v/>
      </c>
      <c r="AM34" s="68">
        <f>IF(AM$59="X","",IF(AM$59&lt;&gt;"",AM$59,IF(IFERROR(INDEX(醫師週班表!$C$5:$T$44,$CU34,AM$57),"")=0,"",IF(LEN(IFERROR(INDEX(醫師週班表!$C$5:$T$44,$CU34,AM$57),""))=4,MID(IFERROR(INDEX(醫師週班表!$C$5:$T$44,$CU34,AM$57),""),1+AM$58*2,1),IF(LEN(IFERROR(INDEX(醫師週班表!$C$5:$T$44,$CU34,AM$57),""))=2,IF(AND(RIGHT(IFERROR(INDEX(醫師週班表!$C$5:$T$44,$CU34,AM$57),""),1)="~",AM$58=1),"",LEFT(IFERROR(INDEX(醫師週班表!$C$5:$T$44,$CU34,AM$57),""),1)),IFERROR(INDEX(醫師週班表!$C$5:$T$44,$CU34,AM$57),""))))))</f>
        <v/>
      </c>
      <c r="AN34" s="68">
        <f>IF(AN$59="X","",IF(AN$59&lt;&gt;"",AN$59,IF(IFERROR(INDEX(醫師週班表!$C$5:$T$44,$CU34,AN$57),"")=0,"",IF(LEN(IFERROR(INDEX(醫師週班表!$C$5:$T$44,$CU34,AN$57),""))=4,MID(IFERROR(INDEX(醫師週班表!$C$5:$T$44,$CU34,AN$57),""),1+AN$58*2,1),IF(LEN(IFERROR(INDEX(醫師週班表!$C$5:$T$44,$CU34,AN$57),""))=2,IF(AND(RIGHT(IFERROR(INDEX(醫師週班表!$C$5:$T$44,$CU34,AN$57),""),1)="~",AN$58=1),"",LEFT(IFERROR(INDEX(醫師週班表!$C$5:$T$44,$CU34,AN$57),""),1)),IFERROR(INDEX(醫師週班表!$C$5:$T$44,$CU34,AN$57),""))))))</f>
        <v/>
      </c>
      <c r="AO34" s="67">
        <f>IF(AO$59="X","",IF(AO$59&lt;&gt;"",AO$59,IF(IFERROR(INDEX(醫師週班表!$C$5:$T$44,$CU34,AO$57),"")=0,"",IF(LEN(IFERROR(INDEX(醫師週班表!$C$5:$T$44,$CU34,AO$57),""))=4,MID(IFERROR(INDEX(醫師週班表!$C$5:$T$44,$CU34,AO$57),""),1+AO$58*2,1),IF(LEN(IFERROR(INDEX(醫師週班表!$C$5:$T$44,$CU34,AO$57),""))=2,IF(AND(RIGHT(IFERROR(INDEX(醫師週班表!$C$5:$T$44,$CU34,AO$57),""),1)="~",AO$58=1),"",LEFT(IFERROR(INDEX(醫師週班表!$C$5:$T$44,$CU34,AO$57),""),1)),IFERROR(INDEX(醫師週班表!$C$5:$T$44,$CU34,AO$57),""))))))</f>
        <v/>
      </c>
      <c r="AP34" s="68">
        <f>IF(AP$59="X","",IF(AP$59&lt;&gt;"",AP$59,IF(IFERROR(INDEX(醫師週班表!$C$5:$T$44,$CU34,AP$57),"")=0,"",IF(LEN(IFERROR(INDEX(醫師週班表!$C$5:$T$44,$CU34,AP$57),""))=4,MID(IFERROR(INDEX(醫師週班表!$C$5:$T$44,$CU34,AP$57),""),1+AP$58*2,1),IF(LEN(IFERROR(INDEX(醫師週班表!$C$5:$T$44,$CU34,AP$57),""))=2,IF(AND(RIGHT(IFERROR(INDEX(醫師週班表!$C$5:$T$44,$CU34,AP$57),""),1)="~",AP$58=1),"",LEFT(IFERROR(INDEX(醫師週班表!$C$5:$T$44,$CU34,AP$57),""),1)),IFERROR(INDEX(醫師週班表!$C$5:$T$44,$CU34,AP$57),""))))))</f>
        <v/>
      </c>
      <c r="AQ34" s="68">
        <f>IF(AQ$59="X","",IF(AQ$59&lt;&gt;"",AQ$59,IF(IFERROR(INDEX(醫師週班表!$C$5:$T$44,$CU34,AQ$57),"")=0,"",IF(LEN(IFERROR(INDEX(醫師週班表!$C$5:$T$44,$CU34,AQ$57),""))=4,MID(IFERROR(INDEX(醫師週班表!$C$5:$T$44,$CU34,AQ$57),""),1+AQ$58*2,1),IF(LEN(IFERROR(INDEX(醫師週班表!$C$5:$T$44,$CU34,AQ$57),""))=2,IF(AND(RIGHT(IFERROR(INDEX(醫師週班表!$C$5:$T$44,$CU34,AQ$57),""),1)="~",AQ$58=1),"",LEFT(IFERROR(INDEX(醫師週班表!$C$5:$T$44,$CU34,AQ$57),""),1)),IFERROR(INDEX(醫師週班表!$C$5:$T$44,$CU34,AQ$57),""))))))</f>
        <v/>
      </c>
      <c r="AR34" s="67">
        <f>IF(AR$59="X","",IF(AR$59&lt;&gt;"",AR$59,IF(IFERROR(INDEX(醫師週班表!$C$5:$T$44,$CU34,AR$57),"")=0,"",IF(LEN(IFERROR(INDEX(醫師週班表!$C$5:$T$44,$CU34,AR$57),""))=4,MID(IFERROR(INDEX(醫師週班表!$C$5:$T$44,$CU34,AR$57),""),1+AR$58*2,1),IF(LEN(IFERROR(INDEX(醫師週班表!$C$5:$T$44,$CU34,AR$57),""))=2,IF(AND(RIGHT(IFERROR(INDEX(醫師週班表!$C$5:$T$44,$CU34,AR$57),""),1)="~",AR$58=1),"",LEFT(IFERROR(INDEX(醫師週班表!$C$5:$T$44,$CU34,AR$57),""),1)),IFERROR(INDEX(醫師週班表!$C$5:$T$44,$CU34,AR$57),""))))))</f>
        <v/>
      </c>
      <c r="AS34" s="68">
        <f>IF(AS$59="X","",IF(AS$59&lt;&gt;"",AS$59,IF(IFERROR(INDEX(醫師週班表!$C$5:$T$44,$CU34,AS$57),"")=0,"",IF(LEN(IFERROR(INDEX(醫師週班表!$C$5:$T$44,$CU34,AS$57),""))=4,MID(IFERROR(INDEX(醫師週班表!$C$5:$T$44,$CU34,AS$57),""),1+AS$58*2,1),IF(LEN(IFERROR(INDEX(醫師週班表!$C$5:$T$44,$CU34,AS$57),""))=2,IF(AND(RIGHT(IFERROR(INDEX(醫師週班表!$C$5:$T$44,$CU34,AS$57),""),1)="~",AS$58=1),"",LEFT(IFERROR(INDEX(醫師週班表!$C$5:$T$44,$CU34,AS$57),""),1)),IFERROR(INDEX(醫師週班表!$C$5:$T$44,$CU34,AS$57),""))))))</f>
        <v/>
      </c>
      <c r="AT34" s="68">
        <f>IF(AT$59="X","",IF(AT$59&lt;&gt;"",AT$59,IF(IFERROR(INDEX(醫師週班表!$C$5:$T$44,$CU34,AT$57),"")=0,"",IF(LEN(IFERROR(INDEX(醫師週班表!$C$5:$T$44,$CU34,AT$57),""))=4,MID(IFERROR(INDEX(醫師週班表!$C$5:$T$44,$CU34,AT$57),""),1+AT$58*2,1),IF(LEN(IFERROR(INDEX(醫師週班表!$C$5:$T$44,$CU34,AT$57),""))=2,IF(AND(RIGHT(IFERROR(INDEX(醫師週班表!$C$5:$T$44,$CU34,AT$57),""),1)="~",AT$58=1),"",LEFT(IFERROR(INDEX(醫師週班表!$C$5:$T$44,$CU34,AT$57),""),1)),IFERROR(INDEX(醫師週班表!$C$5:$T$44,$CU34,AT$57),""))))))</f>
        <v/>
      </c>
      <c r="AU34" s="67">
        <f>IF(AU$59="X","",IF(AU$59&lt;&gt;"",AU$59,IF(IFERROR(INDEX(醫師週班表!$C$5:$T$44,$CU34,AU$57),"")=0,"",IF(LEN(IFERROR(INDEX(醫師週班表!$C$5:$T$44,$CU34,AU$57),""))=4,MID(IFERROR(INDEX(醫師週班表!$C$5:$T$44,$CU34,AU$57),""),1+AU$58*2,1),IF(LEN(IFERROR(INDEX(醫師週班表!$C$5:$T$44,$CU34,AU$57),""))=2,IF(AND(RIGHT(IFERROR(INDEX(醫師週班表!$C$5:$T$44,$CU34,AU$57),""),1)="~",AU$58=1),"",LEFT(IFERROR(INDEX(醫師週班表!$C$5:$T$44,$CU34,AU$57),""),1)),IFERROR(INDEX(醫師週班表!$C$5:$T$44,$CU34,AU$57),""))))))</f>
        <v/>
      </c>
      <c r="AV34" s="68">
        <f>IF(AV$59="X","",IF(AV$59&lt;&gt;"",AV$59,IF(IFERROR(INDEX(醫師週班表!$C$5:$T$44,$CU34,AV$57),"")=0,"",IF(LEN(IFERROR(INDEX(醫師週班表!$C$5:$T$44,$CU34,AV$57),""))=4,MID(IFERROR(INDEX(醫師週班表!$C$5:$T$44,$CU34,AV$57),""),1+AV$58*2,1),IF(LEN(IFERROR(INDEX(醫師週班表!$C$5:$T$44,$CU34,AV$57),""))=2,IF(AND(RIGHT(IFERROR(INDEX(醫師週班表!$C$5:$T$44,$CU34,AV$57),""),1)="~",AV$58=1),"",LEFT(IFERROR(INDEX(醫師週班表!$C$5:$T$44,$CU34,AV$57),""),1)),IFERROR(INDEX(醫師週班表!$C$5:$T$44,$CU34,AV$57),""))))))</f>
        <v/>
      </c>
      <c r="AW34" s="68">
        <f>IF(AW$59="X","",IF(AW$59&lt;&gt;"",AW$59,IF(IFERROR(INDEX(醫師週班表!$C$5:$T$44,$CU34,AW$57),"")=0,"",IF(LEN(IFERROR(INDEX(醫師週班表!$C$5:$T$44,$CU34,AW$57),""))=4,MID(IFERROR(INDEX(醫師週班表!$C$5:$T$44,$CU34,AW$57),""),1+AW$58*2,1),IF(LEN(IFERROR(INDEX(醫師週班表!$C$5:$T$44,$CU34,AW$57),""))=2,IF(AND(RIGHT(IFERROR(INDEX(醫師週班表!$C$5:$T$44,$CU34,AW$57),""),1)="~",AW$58=1),"",LEFT(IFERROR(INDEX(醫師週班表!$C$5:$T$44,$CU34,AW$57),""),1)),IFERROR(INDEX(醫師週班表!$C$5:$T$44,$CU34,AW$57),""))))))</f>
        <v/>
      </c>
      <c r="AX34" s="67">
        <f>IF(AX$59="X","",IF(AX$59&lt;&gt;"",AX$59,IF(IFERROR(INDEX(醫師週班表!$C$5:$T$44,$CU34,AX$57),"")=0,"",IF(LEN(IFERROR(INDEX(醫師週班表!$C$5:$T$44,$CU34,AX$57),""))=4,MID(IFERROR(INDEX(醫師週班表!$C$5:$T$44,$CU34,AX$57),""),1+AX$58*2,1),IF(LEN(IFERROR(INDEX(醫師週班表!$C$5:$T$44,$CU34,AX$57),""))=2,IF(AND(RIGHT(IFERROR(INDEX(醫師週班表!$C$5:$T$44,$CU34,AX$57),""),1)="~",AX$58=1),"",LEFT(IFERROR(INDEX(醫師週班表!$C$5:$T$44,$CU34,AX$57),""),1)),IFERROR(INDEX(醫師週班表!$C$5:$T$44,$CU34,AX$57),""))))))</f>
        <v/>
      </c>
      <c r="AY34" s="68">
        <f>IF(AY$59="X","",IF(AY$59&lt;&gt;"",AY$59,IF(IFERROR(INDEX(醫師週班表!$C$5:$T$44,$CU34,AY$57),"")=0,"",IF(LEN(IFERROR(INDEX(醫師週班表!$C$5:$T$44,$CU34,AY$57),""))=4,MID(IFERROR(INDEX(醫師週班表!$C$5:$T$44,$CU34,AY$57),""),1+AY$58*2,1),IF(LEN(IFERROR(INDEX(醫師週班表!$C$5:$T$44,$CU34,AY$57),""))=2,IF(AND(RIGHT(IFERROR(INDEX(醫師週班表!$C$5:$T$44,$CU34,AY$57),""),1)="~",AY$58=1),"",LEFT(IFERROR(INDEX(醫師週班表!$C$5:$T$44,$CU34,AY$57),""),1)),IFERROR(INDEX(醫師週班表!$C$5:$T$44,$CU34,AY$57),""))))))</f>
        <v/>
      </c>
      <c r="AZ34" s="68">
        <f>IF(AZ$59="X","",IF(AZ$59&lt;&gt;"",AZ$59,IF(IFERROR(INDEX(醫師週班表!$C$5:$T$44,$CU34,AZ$57),"")=0,"",IF(LEN(IFERROR(INDEX(醫師週班表!$C$5:$T$44,$CU34,AZ$57),""))=4,MID(IFERROR(INDEX(醫師週班表!$C$5:$T$44,$CU34,AZ$57),""),1+AZ$58*2,1),IF(LEN(IFERROR(INDEX(醫師週班表!$C$5:$T$44,$CU34,AZ$57),""))=2,IF(AND(RIGHT(IFERROR(INDEX(醫師週班表!$C$5:$T$44,$CU34,AZ$57),""),1)="~",AZ$58=1),"",LEFT(IFERROR(INDEX(醫師週班表!$C$5:$T$44,$CU34,AZ$57),""),1)),IFERROR(INDEX(醫師週班表!$C$5:$T$44,$CU34,AZ$57),""))))))</f>
        <v/>
      </c>
      <c r="BA34" s="67">
        <f>IF(BA$59="X","",IF(BA$59&lt;&gt;"",BA$59,IF(IFERROR(INDEX(醫師週班表!$C$5:$T$44,$CU34,BA$57),"")=0,"",IF(LEN(IFERROR(INDEX(醫師週班表!$C$5:$T$44,$CU34,BA$57),""))=4,MID(IFERROR(INDEX(醫師週班表!$C$5:$T$44,$CU34,BA$57),""),1+BA$58*2,1),IF(LEN(IFERROR(INDEX(醫師週班表!$C$5:$T$44,$CU34,BA$57),""))=2,IF(AND(RIGHT(IFERROR(INDEX(醫師週班表!$C$5:$T$44,$CU34,BA$57),""),1)="~",BA$58=1),"",LEFT(IFERROR(INDEX(醫師週班表!$C$5:$T$44,$CU34,BA$57),""),1)),IFERROR(INDEX(醫師週班表!$C$5:$T$44,$CU34,BA$57),""))))))</f>
        <v/>
      </c>
      <c r="BB34" s="68">
        <f>IF(BB$59="X","",IF(BB$59&lt;&gt;"",BB$59,IF(IFERROR(INDEX(醫師週班表!$C$5:$T$44,$CU34,BB$57),"")=0,"",IF(LEN(IFERROR(INDEX(醫師週班表!$C$5:$T$44,$CU34,BB$57),""))=4,MID(IFERROR(INDEX(醫師週班表!$C$5:$T$44,$CU34,BB$57),""),1+BB$58*2,1),IF(LEN(IFERROR(INDEX(醫師週班表!$C$5:$T$44,$CU34,BB$57),""))=2,IF(AND(RIGHT(IFERROR(INDEX(醫師週班表!$C$5:$T$44,$CU34,BB$57),""),1)="~",BB$58=1),"",LEFT(IFERROR(INDEX(醫師週班表!$C$5:$T$44,$CU34,BB$57),""),1)),IFERROR(INDEX(醫師週班表!$C$5:$T$44,$CU34,BB$57),""))))))</f>
        <v/>
      </c>
      <c r="BC34" s="68">
        <f>IF(BC$59="X","",IF(BC$59&lt;&gt;"",BC$59,IF(IFERROR(INDEX(醫師週班表!$C$5:$T$44,$CU34,BC$57),"")=0,"",IF(LEN(IFERROR(INDEX(醫師週班表!$C$5:$T$44,$CU34,BC$57),""))=4,MID(IFERROR(INDEX(醫師週班表!$C$5:$T$44,$CU34,BC$57),""),1+BC$58*2,1),IF(LEN(IFERROR(INDEX(醫師週班表!$C$5:$T$44,$CU34,BC$57),""))=2,IF(AND(RIGHT(IFERROR(INDEX(醫師週班表!$C$5:$T$44,$CU34,BC$57),""),1)="~",BC$58=1),"",LEFT(IFERROR(INDEX(醫師週班表!$C$5:$T$44,$CU34,BC$57),""),1)),IFERROR(INDEX(醫師週班表!$C$5:$T$44,$CU34,BC$57),""))))))</f>
        <v/>
      </c>
      <c r="BD34" s="67">
        <f>IF(BD$59="X","",IF(BD$59&lt;&gt;"",BD$59,IF(IFERROR(INDEX(醫師週班表!$C$5:$T$44,$CU34,BD$57),"")=0,"",IF(LEN(IFERROR(INDEX(醫師週班表!$C$5:$T$44,$CU34,BD$57),""))=4,MID(IFERROR(INDEX(醫師週班表!$C$5:$T$44,$CU34,BD$57),""),1+BD$58*2,1),IF(LEN(IFERROR(INDEX(醫師週班表!$C$5:$T$44,$CU34,BD$57),""))=2,IF(AND(RIGHT(IFERROR(INDEX(醫師週班表!$C$5:$T$44,$CU34,BD$57),""),1)="~",BD$58=1),"",LEFT(IFERROR(INDEX(醫師週班表!$C$5:$T$44,$CU34,BD$57),""),1)),IFERROR(INDEX(醫師週班表!$C$5:$T$44,$CU34,BD$57),""))))))</f>
        <v/>
      </c>
      <c r="BE34" s="68">
        <f>IF(BE$59="X","",IF(BE$59&lt;&gt;"",BE$59,IF(IFERROR(INDEX(醫師週班表!$C$5:$T$44,$CU34,BE$57),"")=0,"",IF(LEN(IFERROR(INDEX(醫師週班表!$C$5:$T$44,$CU34,BE$57),""))=4,MID(IFERROR(INDEX(醫師週班表!$C$5:$T$44,$CU34,BE$57),""),1+BE$58*2,1),IF(LEN(IFERROR(INDEX(醫師週班表!$C$5:$T$44,$CU34,BE$57),""))=2,IF(AND(RIGHT(IFERROR(INDEX(醫師週班表!$C$5:$T$44,$CU34,BE$57),""),1)="~",BE$58=1),"",LEFT(IFERROR(INDEX(醫師週班表!$C$5:$T$44,$CU34,BE$57),""),1)),IFERROR(INDEX(醫師週班表!$C$5:$T$44,$CU34,BE$57),""))))))</f>
        <v/>
      </c>
      <c r="BF34" s="68">
        <f>IF(BF$59="X","",IF(BF$59&lt;&gt;"",BF$59,IF(IFERROR(INDEX(醫師週班表!$C$5:$T$44,$CU34,BF$57),"")=0,"",IF(LEN(IFERROR(INDEX(醫師週班表!$C$5:$T$44,$CU34,BF$57),""))=4,MID(IFERROR(INDEX(醫師週班表!$C$5:$T$44,$CU34,BF$57),""),1+BF$58*2,1),IF(LEN(IFERROR(INDEX(醫師週班表!$C$5:$T$44,$CU34,BF$57),""))=2,IF(AND(RIGHT(IFERROR(INDEX(醫師週班表!$C$5:$T$44,$CU34,BF$57),""),1)="~",BF$58=1),"",LEFT(IFERROR(INDEX(醫師週班表!$C$5:$T$44,$CU34,BF$57),""),1)),IFERROR(INDEX(醫師週班表!$C$5:$T$44,$CU34,BF$57),""))))))</f>
        <v/>
      </c>
      <c r="BG34" s="67">
        <f>IF(BG$59="X","",IF(BG$59&lt;&gt;"",BG$59,IF(IFERROR(INDEX(醫師週班表!$C$5:$T$44,$CU34,BG$57),"")=0,"",IF(LEN(IFERROR(INDEX(醫師週班表!$C$5:$T$44,$CU34,BG$57),""))=4,MID(IFERROR(INDEX(醫師週班表!$C$5:$T$44,$CU34,BG$57),""),1+BG$58*2,1),IF(LEN(IFERROR(INDEX(醫師週班表!$C$5:$T$44,$CU34,BG$57),""))=2,IF(AND(RIGHT(IFERROR(INDEX(醫師週班表!$C$5:$T$44,$CU34,BG$57),""),1)="~",BG$58=1),"",LEFT(IFERROR(INDEX(醫師週班表!$C$5:$T$44,$CU34,BG$57),""),1)),IFERROR(INDEX(醫師週班表!$C$5:$T$44,$CU34,BG$57),""))))))</f>
        <v/>
      </c>
      <c r="BH34" s="68">
        <f>IF(BH$59="X","",IF(BH$59&lt;&gt;"",BH$59,IF(IFERROR(INDEX(醫師週班表!$C$5:$T$44,$CU34,BH$57),"")=0,"",IF(LEN(IFERROR(INDEX(醫師週班表!$C$5:$T$44,$CU34,BH$57),""))=4,MID(IFERROR(INDEX(醫師週班表!$C$5:$T$44,$CU34,BH$57),""),1+BH$58*2,1),IF(LEN(IFERROR(INDEX(醫師週班表!$C$5:$T$44,$CU34,BH$57),""))=2,IF(AND(RIGHT(IFERROR(INDEX(醫師週班表!$C$5:$T$44,$CU34,BH$57),""),1)="~",BH$58=1),"",LEFT(IFERROR(INDEX(醫師週班表!$C$5:$T$44,$CU34,BH$57),""),1)),IFERROR(INDEX(醫師週班表!$C$5:$T$44,$CU34,BH$57),""))))))</f>
        <v/>
      </c>
      <c r="BI34" s="68">
        <f>IF(BI$59="X","",IF(BI$59&lt;&gt;"",BI$59,IF(IFERROR(INDEX(醫師週班表!$C$5:$T$44,$CU34,BI$57),"")=0,"",IF(LEN(IFERROR(INDEX(醫師週班表!$C$5:$T$44,$CU34,BI$57),""))=4,MID(IFERROR(INDEX(醫師週班表!$C$5:$T$44,$CU34,BI$57),""),1+BI$58*2,1),IF(LEN(IFERROR(INDEX(醫師週班表!$C$5:$T$44,$CU34,BI$57),""))=2,IF(AND(RIGHT(IFERROR(INDEX(醫師週班表!$C$5:$T$44,$CU34,BI$57),""),1)="~",BI$58=1),"",LEFT(IFERROR(INDEX(醫師週班表!$C$5:$T$44,$CU34,BI$57),""),1)),IFERROR(INDEX(醫師週班表!$C$5:$T$44,$CU34,BI$57),""))))))</f>
        <v/>
      </c>
      <c r="BJ34" s="67">
        <f>IF(BJ$59="X","",IF(BJ$59&lt;&gt;"",BJ$59,IF(IFERROR(INDEX(醫師週班表!$C$5:$T$44,$CU34,BJ$57),"")=0,"",IF(LEN(IFERROR(INDEX(醫師週班表!$C$5:$T$44,$CU34,BJ$57),""))=4,MID(IFERROR(INDEX(醫師週班表!$C$5:$T$44,$CU34,BJ$57),""),1+BJ$58*2,1),IF(LEN(IFERROR(INDEX(醫師週班表!$C$5:$T$44,$CU34,BJ$57),""))=2,IF(AND(RIGHT(IFERROR(INDEX(醫師週班表!$C$5:$T$44,$CU34,BJ$57),""),1)="~",BJ$58=1),"",LEFT(IFERROR(INDEX(醫師週班表!$C$5:$T$44,$CU34,BJ$57),""),1)),IFERROR(INDEX(醫師週班表!$C$5:$T$44,$CU34,BJ$57),""))))))</f>
        <v/>
      </c>
      <c r="BK34" s="68">
        <f>IF(BK$59="X","",IF(BK$59&lt;&gt;"",BK$59,IF(IFERROR(INDEX(醫師週班表!$C$5:$T$44,$CU34,BK$57),"")=0,"",IF(LEN(IFERROR(INDEX(醫師週班表!$C$5:$T$44,$CU34,BK$57),""))=4,MID(IFERROR(INDEX(醫師週班表!$C$5:$T$44,$CU34,BK$57),""),1+BK$58*2,1),IF(LEN(IFERROR(INDEX(醫師週班表!$C$5:$T$44,$CU34,BK$57),""))=2,IF(AND(RIGHT(IFERROR(INDEX(醫師週班表!$C$5:$T$44,$CU34,BK$57),""),1)="~",BK$58=1),"",LEFT(IFERROR(INDEX(醫師週班表!$C$5:$T$44,$CU34,BK$57),""),1)),IFERROR(INDEX(醫師週班表!$C$5:$T$44,$CU34,BK$57),""))))))</f>
        <v/>
      </c>
      <c r="BL34" s="68">
        <f>IF(BL$59="X","",IF(BL$59&lt;&gt;"",BL$59,IF(IFERROR(INDEX(醫師週班表!$C$5:$T$44,$CU34,BL$57),"")=0,"",IF(LEN(IFERROR(INDEX(醫師週班表!$C$5:$T$44,$CU34,BL$57),""))=4,MID(IFERROR(INDEX(醫師週班表!$C$5:$T$44,$CU34,BL$57),""),1+BL$58*2,1),IF(LEN(IFERROR(INDEX(醫師週班表!$C$5:$T$44,$CU34,BL$57),""))=2,IF(AND(RIGHT(IFERROR(INDEX(醫師週班表!$C$5:$T$44,$CU34,BL$57),""),1)="~",BL$58=1),"",LEFT(IFERROR(INDEX(醫師週班表!$C$5:$T$44,$CU34,BL$57),""),1)),IFERROR(INDEX(醫師週班表!$C$5:$T$44,$CU34,BL$57),""))))))</f>
        <v/>
      </c>
      <c r="BM34" s="67">
        <f>IF(BM$59="X","",IF(BM$59&lt;&gt;"",BM$59,IF(IFERROR(INDEX(醫師週班表!$C$5:$T$44,$CU34,BM$57),"")=0,"",IF(LEN(IFERROR(INDEX(醫師週班表!$C$5:$T$44,$CU34,BM$57),""))=4,MID(IFERROR(INDEX(醫師週班表!$C$5:$T$44,$CU34,BM$57),""),1+BM$58*2,1),IF(LEN(IFERROR(INDEX(醫師週班表!$C$5:$T$44,$CU34,BM$57),""))=2,IF(AND(RIGHT(IFERROR(INDEX(醫師週班表!$C$5:$T$44,$CU34,BM$57),""),1)="~",BM$58=1),"",LEFT(IFERROR(INDEX(醫師週班表!$C$5:$T$44,$CU34,BM$57),""),1)),IFERROR(INDEX(醫師週班表!$C$5:$T$44,$CU34,BM$57),""))))))</f>
        <v/>
      </c>
      <c r="BN34" s="68">
        <f>IF(BN$59="X","",IF(BN$59&lt;&gt;"",BN$59,IF(IFERROR(INDEX(醫師週班表!$C$5:$T$44,$CU34,BN$57),"")=0,"",IF(LEN(IFERROR(INDEX(醫師週班表!$C$5:$T$44,$CU34,BN$57),""))=4,MID(IFERROR(INDEX(醫師週班表!$C$5:$T$44,$CU34,BN$57),""),1+BN$58*2,1),IF(LEN(IFERROR(INDEX(醫師週班表!$C$5:$T$44,$CU34,BN$57),""))=2,IF(AND(RIGHT(IFERROR(INDEX(醫師週班表!$C$5:$T$44,$CU34,BN$57),""),1)="~",BN$58=1),"",LEFT(IFERROR(INDEX(醫師週班表!$C$5:$T$44,$CU34,BN$57),""),1)),IFERROR(INDEX(醫師週班表!$C$5:$T$44,$CU34,BN$57),""))))))</f>
        <v/>
      </c>
      <c r="BO34" s="68">
        <f>IF(BO$59="X","",IF(BO$59&lt;&gt;"",BO$59,IF(IFERROR(INDEX(醫師週班表!$C$5:$T$44,$CU34,BO$57),"")=0,"",IF(LEN(IFERROR(INDEX(醫師週班表!$C$5:$T$44,$CU34,BO$57),""))=4,MID(IFERROR(INDEX(醫師週班表!$C$5:$T$44,$CU34,BO$57),""),1+BO$58*2,1),IF(LEN(IFERROR(INDEX(醫師週班表!$C$5:$T$44,$CU34,BO$57),""))=2,IF(AND(RIGHT(IFERROR(INDEX(醫師週班表!$C$5:$T$44,$CU34,BO$57),""),1)="~",BO$58=1),"",LEFT(IFERROR(INDEX(醫師週班表!$C$5:$T$44,$CU34,BO$57),""),1)),IFERROR(INDEX(醫師週班表!$C$5:$T$44,$CU34,BO$57),""))))))</f>
        <v/>
      </c>
      <c r="BP34" s="67">
        <f>IF(BP$59="X","",IF(BP$59&lt;&gt;"",BP$59,IF(IFERROR(INDEX(醫師週班表!$C$5:$T$44,$CU34,BP$57),"")=0,"",IF(LEN(IFERROR(INDEX(醫師週班表!$C$5:$T$44,$CU34,BP$57),""))=4,MID(IFERROR(INDEX(醫師週班表!$C$5:$T$44,$CU34,BP$57),""),1+BP$58*2,1),IF(LEN(IFERROR(INDEX(醫師週班表!$C$5:$T$44,$CU34,BP$57),""))=2,IF(AND(RIGHT(IFERROR(INDEX(醫師週班表!$C$5:$T$44,$CU34,BP$57),""),1)="~",BP$58=1),"",LEFT(IFERROR(INDEX(醫師週班表!$C$5:$T$44,$CU34,BP$57),""),1)),IFERROR(INDEX(醫師週班表!$C$5:$T$44,$CU34,BP$57),""))))))</f>
        <v/>
      </c>
      <c r="BQ34" s="68">
        <f>IF(BQ$59="X","",IF(BQ$59&lt;&gt;"",BQ$59,IF(IFERROR(INDEX(醫師週班表!$C$5:$T$44,$CU34,BQ$57),"")=0,"",IF(LEN(IFERROR(INDEX(醫師週班表!$C$5:$T$44,$CU34,BQ$57),""))=4,MID(IFERROR(INDEX(醫師週班表!$C$5:$T$44,$CU34,BQ$57),""),1+BQ$58*2,1),IF(LEN(IFERROR(INDEX(醫師週班表!$C$5:$T$44,$CU34,BQ$57),""))=2,IF(AND(RIGHT(IFERROR(INDEX(醫師週班表!$C$5:$T$44,$CU34,BQ$57),""),1)="~",BQ$58=1),"",LEFT(IFERROR(INDEX(醫師週班表!$C$5:$T$44,$CU34,BQ$57),""),1)),IFERROR(INDEX(醫師週班表!$C$5:$T$44,$CU34,BQ$57),""))))))</f>
        <v/>
      </c>
      <c r="BR34" s="68">
        <f>IF(BR$59="X","",IF(BR$59&lt;&gt;"",BR$59,IF(IFERROR(INDEX(醫師週班表!$C$5:$T$44,$CU34,BR$57),"")=0,"",IF(LEN(IFERROR(INDEX(醫師週班表!$C$5:$T$44,$CU34,BR$57),""))=4,MID(IFERROR(INDEX(醫師週班表!$C$5:$T$44,$CU34,BR$57),""),1+BR$58*2,1),IF(LEN(IFERROR(INDEX(醫師週班表!$C$5:$T$44,$CU34,BR$57),""))=2,IF(AND(RIGHT(IFERROR(INDEX(醫師週班表!$C$5:$T$44,$CU34,BR$57),""),1)="~",BR$58=1),"",LEFT(IFERROR(INDEX(醫師週班表!$C$5:$T$44,$CU34,BR$57),""),1)),IFERROR(INDEX(醫師週班表!$C$5:$T$44,$CU34,BR$57),""))))))</f>
        <v/>
      </c>
      <c r="BS34" s="67">
        <f>IF(BS$59="X","",IF(BS$59&lt;&gt;"",BS$59,IF(IFERROR(INDEX(醫師週班表!$C$5:$T$44,$CU34,BS$57),"")=0,"",IF(LEN(IFERROR(INDEX(醫師週班表!$C$5:$T$44,$CU34,BS$57),""))=4,MID(IFERROR(INDEX(醫師週班表!$C$5:$T$44,$CU34,BS$57),""),1+BS$58*2,1),IF(LEN(IFERROR(INDEX(醫師週班表!$C$5:$T$44,$CU34,BS$57),""))=2,IF(AND(RIGHT(IFERROR(INDEX(醫師週班表!$C$5:$T$44,$CU34,BS$57),""),1)="~",BS$58=1),"",LEFT(IFERROR(INDEX(醫師週班表!$C$5:$T$44,$CU34,BS$57),""),1)),IFERROR(INDEX(醫師週班表!$C$5:$T$44,$CU34,BS$57),""))))))</f>
        <v/>
      </c>
      <c r="BT34" s="68">
        <f>IF(BT$59="X","",IF(BT$59&lt;&gt;"",BT$59,IF(IFERROR(INDEX(醫師週班表!$C$5:$T$44,$CU34,BT$57),"")=0,"",IF(LEN(IFERROR(INDEX(醫師週班表!$C$5:$T$44,$CU34,BT$57),""))=4,MID(IFERROR(INDEX(醫師週班表!$C$5:$T$44,$CU34,BT$57),""),1+BT$58*2,1),IF(LEN(IFERROR(INDEX(醫師週班表!$C$5:$T$44,$CU34,BT$57),""))=2,IF(AND(RIGHT(IFERROR(INDEX(醫師週班表!$C$5:$T$44,$CU34,BT$57),""),1)="~",BT$58=1),"",LEFT(IFERROR(INDEX(醫師週班表!$C$5:$T$44,$CU34,BT$57),""),1)),IFERROR(INDEX(醫師週班表!$C$5:$T$44,$CU34,BT$57),""))))))</f>
        <v/>
      </c>
      <c r="BU34" s="68">
        <f>IF(BU$59="X","",IF(BU$59&lt;&gt;"",BU$59,IF(IFERROR(INDEX(醫師週班表!$C$5:$T$44,$CU34,BU$57),"")=0,"",IF(LEN(IFERROR(INDEX(醫師週班表!$C$5:$T$44,$CU34,BU$57),""))=4,MID(IFERROR(INDEX(醫師週班表!$C$5:$T$44,$CU34,BU$57),""),1+BU$58*2,1),IF(LEN(IFERROR(INDEX(醫師週班表!$C$5:$T$44,$CU34,BU$57),""))=2,IF(AND(RIGHT(IFERROR(INDEX(醫師週班表!$C$5:$T$44,$CU34,BU$57),""),1)="~",BU$58=1),"",LEFT(IFERROR(INDEX(醫師週班表!$C$5:$T$44,$CU34,BU$57),""),1)),IFERROR(INDEX(醫師週班表!$C$5:$T$44,$CU34,BU$57),""))))))</f>
        <v/>
      </c>
      <c r="BV34" s="67">
        <f>IF(BV$59="X","",IF(BV$59&lt;&gt;"",BV$59,IF(IFERROR(INDEX(醫師週班表!$C$5:$T$44,$CU34,BV$57),"")=0,"",IF(LEN(IFERROR(INDEX(醫師週班表!$C$5:$T$44,$CU34,BV$57),""))=4,MID(IFERROR(INDEX(醫師週班表!$C$5:$T$44,$CU34,BV$57),""),1+BV$58*2,1),IF(LEN(IFERROR(INDEX(醫師週班表!$C$5:$T$44,$CU34,BV$57),""))=2,IF(AND(RIGHT(IFERROR(INDEX(醫師週班表!$C$5:$T$44,$CU34,BV$57),""),1)="~",BV$58=1),"",LEFT(IFERROR(INDEX(醫師週班表!$C$5:$T$44,$CU34,BV$57),""),1)),IFERROR(INDEX(醫師週班表!$C$5:$T$44,$CU34,BV$57),""))))))</f>
        <v/>
      </c>
      <c r="BW34" s="68">
        <f>IF(BW$59="X","",IF(BW$59&lt;&gt;"",BW$59,IF(IFERROR(INDEX(醫師週班表!$C$5:$T$44,$CU34,BW$57),"")=0,"",IF(LEN(IFERROR(INDEX(醫師週班表!$C$5:$T$44,$CU34,BW$57),""))=4,MID(IFERROR(INDEX(醫師週班表!$C$5:$T$44,$CU34,BW$57),""),1+BW$58*2,1),IF(LEN(IFERROR(INDEX(醫師週班表!$C$5:$T$44,$CU34,BW$57),""))=2,IF(AND(RIGHT(IFERROR(INDEX(醫師週班表!$C$5:$T$44,$CU34,BW$57),""),1)="~",BW$58=1),"",LEFT(IFERROR(INDEX(醫師週班表!$C$5:$T$44,$CU34,BW$57),""),1)),IFERROR(INDEX(醫師週班表!$C$5:$T$44,$CU34,BW$57),""))))))</f>
        <v/>
      </c>
      <c r="BX34" s="68">
        <f>IF(BX$59="X","",IF(BX$59&lt;&gt;"",BX$59,IF(IFERROR(INDEX(醫師週班表!$C$5:$T$44,$CU34,BX$57),"")=0,"",IF(LEN(IFERROR(INDEX(醫師週班表!$C$5:$T$44,$CU34,BX$57),""))=4,MID(IFERROR(INDEX(醫師週班表!$C$5:$T$44,$CU34,BX$57),""),1+BX$58*2,1),IF(LEN(IFERROR(INDEX(醫師週班表!$C$5:$T$44,$CU34,BX$57),""))=2,IF(AND(RIGHT(IFERROR(INDEX(醫師週班表!$C$5:$T$44,$CU34,BX$57),""),1)="~",BX$58=1),"",LEFT(IFERROR(INDEX(醫師週班表!$C$5:$T$44,$CU34,BX$57),""),1)),IFERROR(INDEX(醫師週班表!$C$5:$T$44,$CU34,BX$57),""))))))</f>
        <v/>
      </c>
      <c r="BY34" s="67">
        <f>IF(BY$59="X","",IF(BY$59&lt;&gt;"",BY$59,IF(IFERROR(INDEX(醫師週班表!$C$5:$T$44,$CU34,BY$57),"")=0,"",IF(LEN(IFERROR(INDEX(醫師週班表!$C$5:$T$44,$CU34,BY$57),""))=4,MID(IFERROR(INDEX(醫師週班表!$C$5:$T$44,$CU34,BY$57),""),1+BY$58*2,1),IF(LEN(IFERROR(INDEX(醫師週班表!$C$5:$T$44,$CU34,BY$57),""))=2,IF(AND(RIGHT(IFERROR(INDEX(醫師週班表!$C$5:$T$44,$CU34,BY$57),""),1)="~",BY$58=1),"",LEFT(IFERROR(INDEX(醫師週班表!$C$5:$T$44,$CU34,BY$57),""),1)),IFERROR(INDEX(醫師週班表!$C$5:$T$44,$CU34,BY$57),""))))))</f>
        <v/>
      </c>
      <c r="BZ34" s="68">
        <f>IF(BZ$59="X","",IF(BZ$59&lt;&gt;"",BZ$59,IF(IFERROR(INDEX(醫師週班表!$C$5:$T$44,$CU34,BZ$57),"")=0,"",IF(LEN(IFERROR(INDEX(醫師週班表!$C$5:$T$44,$CU34,BZ$57),""))=4,MID(IFERROR(INDEX(醫師週班表!$C$5:$T$44,$CU34,BZ$57),""),1+BZ$58*2,1),IF(LEN(IFERROR(INDEX(醫師週班表!$C$5:$T$44,$CU34,BZ$57),""))=2,IF(AND(RIGHT(IFERROR(INDEX(醫師週班表!$C$5:$T$44,$CU34,BZ$57),""),1)="~",BZ$58=1),"",LEFT(IFERROR(INDEX(醫師週班表!$C$5:$T$44,$CU34,BZ$57),""),1)),IFERROR(INDEX(醫師週班表!$C$5:$T$44,$CU34,BZ$57),""))))))</f>
        <v/>
      </c>
      <c r="CA34" s="68">
        <f>IF(CA$59="X","",IF(CA$59&lt;&gt;"",CA$59,IF(IFERROR(INDEX(醫師週班表!$C$5:$T$44,$CU34,CA$57),"")=0,"",IF(LEN(IFERROR(INDEX(醫師週班表!$C$5:$T$44,$CU34,CA$57),""))=4,MID(IFERROR(INDEX(醫師週班表!$C$5:$T$44,$CU34,CA$57),""),1+CA$58*2,1),IF(LEN(IFERROR(INDEX(醫師週班表!$C$5:$T$44,$CU34,CA$57),""))=2,IF(AND(RIGHT(IFERROR(INDEX(醫師週班表!$C$5:$T$44,$CU34,CA$57),""),1)="~",CA$58=1),"",LEFT(IFERROR(INDEX(醫師週班表!$C$5:$T$44,$CU34,CA$57),""),1)),IFERROR(INDEX(醫師週班表!$C$5:$T$44,$CU34,CA$57),""))))))</f>
        <v/>
      </c>
      <c r="CB34" s="67">
        <f>IF(CB$59="X","",IF(CB$59&lt;&gt;"",CB$59,IF(IFERROR(INDEX(醫師週班表!$C$5:$T$44,$CU34,CB$57),"")=0,"",IF(LEN(IFERROR(INDEX(醫師週班表!$C$5:$T$44,$CU34,CB$57),""))=4,MID(IFERROR(INDEX(醫師週班表!$C$5:$T$44,$CU34,CB$57),""),1+CB$58*2,1),IF(LEN(IFERROR(INDEX(醫師週班表!$C$5:$T$44,$CU34,CB$57),""))=2,IF(AND(RIGHT(IFERROR(INDEX(醫師週班表!$C$5:$T$44,$CU34,CB$57),""),1)="~",CB$58=1),"",LEFT(IFERROR(INDEX(醫師週班表!$C$5:$T$44,$CU34,CB$57),""),1)),IFERROR(INDEX(醫師週班表!$C$5:$T$44,$CU34,CB$57),""))))))</f>
        <v/>
      </c>
      <c r="CC34" s="68">
        <f>IF(CC$59="X","",IF(CC$59&lt;&gt;"",CC$59,IF(IFERROR(INDEX(醫師週班表!$C$5:$T$44,$CU34,CC$57),"")=0,"",IF(LEN(IFERROR(INDEX(醫師週班表!$C$5:$T$44,$CU34,CC$57),""))=4,MID(IFERROR(INDEX(醫師週班表!$C$5:$T$44,$CU34,CC$57),""),1+CC$58*2,1),IF(LEN(IFERROR(INDEX(醫師週班表!$C$5:$T$44,$CU34,CC$57),""))=2,IF(AND(RIGHT(IFERROR(INDEX(醫師週班表!$C$5:$T$44,$CU34,CC$57),""),1)="~",CC$58=1),"",LEFT(IFERROR(INDEX(醫師週班表!$C$5:$T$44,$CU34,CC$57),""),1)),IFERROR(INDEX(醫師週班表!$C$5:$T$44,$CU34,CC$57),""))))))</f>
        <v/>
      </c>
      <c r="CD34" s="68">
        <f>IF(CD$59="X","",IF(CD$59&lt;&gt;"",CD$59,IF(IFERROR(INDEX(醫師週班表!$C$5:$T$44,$CU34,CD$57),"")=0,"",IF(LEN(IFERROR(INDEX(醫師週班表!$C$5:$T$44,$CU34,CD$57),""))=4,MID(IFERROR(INDEX(醫師週班表!$C$5:$T$44,$CU34,CD$57),""),1+CD$58*2,1),IF(LEN(IFERROR(INDEX(醫師週班表!$C$5:$T$44,$CU34,CD$57),""))=2,IF(AND(RIGHT(IFERROR(INDEX(醫師週班表!$C$5:$T$44,$CU34,CD$57),""),1)="~",CD$58=1),"",LEFT(IFERROR(INDEX(醫師週班表!$C$5:$T$44,$CU34,CD$57),""),1)),IFERROR(INDEX(醫師週班表!$C$5:$T$44,$CU34,CD$57),""))))))</f>
        <v/>
      </c>
      <c r="CE34" s="67">
        <f>IF(CE$59="X","",IF(CE$59&lt;&gt;"",CE$59,IF(IFERROR(INDEX(醫師週班表!$C$5:$T$44,$CU34,CE$57),"")=0,"",IF(LEN(IFERROR(INDEX(醫師週班表!$C$5:$T$44,$CU34,CE$57),""))=4,MID(IFERROR(INDEX(醫師週班表!$C$5:$T$44,$CU34,CE$57),""),1+CE$58*2,1),IF(LEN(IFERROR(INDEX(醫師週班表!$C$5:$T$44,$CU34,CE$57),""))=2,IF(AND(RIGHT(IFERROR(INDEX(醫師週班表!$C$5:$T$44,$CU34,CE$57),""),1)="~",CE$58=1),"",LEFT(IFERROR(INDEX(醫師週班表!$C$5:$T$44,$CU34,CE$57),""),1)),IFERROR(INDEX(醫師週班表!$C$5:$T$44,$CU34,CE$57),""))))))</f>
        <v/>
      </c>
      <c r="CF34" s="68">
        <f>IF(CF$59="X","",IF(CF$59&lt;&gt;"",CF$59,IF(IFERROR(INDEX(醫師週班表!$C$5:$T$44,$CU34,CF$57),"")=0,"",IF(LEN(IFERROR(INDEX(醫師週班表!$C$5:$T$44,$CU34,CF$57),""))=4,MID(IFERROR(INDEX(醫師週班表!$C$5:$T$44,$CU34,CF$57),""),1+CF$58*2,1),IF(LEN(IFERROR(INDEX(醫師週班表!$C$5:$T$44,$CU34,CF$57),""))=2,IF(AND(RIGHT(IFERROR(INDEX(醫師週班表!$C$5:$T$44,$CU34,CF$57),""),1)="~",CF$58=1),"",LEFT(IFERROR(INDEX(醫師週班表!$C$5:$T$44,$CU34,CF$57),""),1)),IFERROR(INDEX(醫師週班表!$C$5:$T$44,$CU34,CF$57),""))))))</f>
        <v/>
      </c>
      <c r="CG34" s="68">
        <f>IF(CG$59="X","",IF(CG$59&lt;&gt;"",CG$59,IF(IFERROR(INDEX(醫師週班表!$C$5:$T$44,$CU34,CG$57),"")=0,"",IF(LEN(IFERROR(INDEX(醫師週班表!$C$5:$T$44,$CU34,CG$57),""))=4,MID(IFERROR(INDEX(醫師週班表!$C$5:$T$44,$CU34,CG$57),""),1+CG$58*2,1),IF(LEN(IFERROR(INDEX(醫師週班表!$C$5:$T$44,$CU34,CG$57),""))=2,IF(AND(RIGHT(IFERROR(INDEX(醫師週班表!$C$5:$T$44,$CU34,CG$57),""),1)="~",CG$58=1),"",LEFT(IFERROR(INDEX(醫師週班表!$C$5:$T$44,$CU34,CG$57),""),1)),IFERROR(INDEX(醫師週班表!$C$5:$T$44,$CU34,CG$57),""))))))</f>
        <v/>
      </c>
      <c r="CH34" s="67">
        <f>IF(CH$59="X","",IF(CH$59&lt;&gt;"",CH$59,IF(IFERROR(INDEX(醫師週班表!$C$5:$T$44,$CU34,CH$57),"")=0,"",IF(LEN(IFERROR(INDEX(醫師週班表!$C$5:$T$44,$CU34,CH$57),""))=4,MID(IFERROR(INDEX(醫師週班表!$C$5:$T$44,$CU34,CH$57),""),1+CH$58*2,1),IF(LEN(IFERROR(INDEX(醫師週班表!$C$5:$T$44,$CU34,CH$57),""))=2,IF(AND(RIGHT(IFERROR(INDEX(醫師週班表!$C$5:$T$44,$CU34,CH$57),""),1)="~",CH$58=1),"",LEFT(IFERROR(INDEX(醫師週班表!$C$5:$T$44,$CU34,CH$57),""),1)),IFERROR(INDEX(醫師週班表!$C$5:$T$44,$CU34,CH$57),""))))))</f>
        <v/>
      </c>
      <c r="CI34" s="68">
        <f>IF(CI$59="X","",IF(CI$59&lt;&gt;"",CI$59,IF(IFERROR(INDEX(醫師週班表!$C$5:$T$44,$CU34,CI$57),"")=0,"",IF(LEN(IFERROR(INDEX(醫師週班表!$C$5:$T$44,$CU34,CI$57),""))=4,MID(IFERROR(INDEX(醫師週班表!$C$5:$T$44,$CU34,CI$57),""),1+CI$58*2,1),IF(LEN(IFERROR(INDEX(醫師週班表!$C$5:$T$44,$CU34,CI$57),""))=2,IF(AND(RIGHT(IFERROR(INDEX(醫師週班表!$C$5:$T$44,$CU34,CI$57),""),1)="~",CI$58=1),"",LEFT(IFERROR(INDEX(醫師週班表!$C$5:$T$44,$CU34,CI$57),""),1)),IFERROR(INDEX(醫師週班表!$C$5:$T$44,$CU34,CI$57),""))))))</f>
        <v/>
      </c>
      <c r="CJ34" s="68">
        <f>IF(CJ$59="X","",IF(CJ$59&lt;&gt;"",CJ$59,IF(IFERROR(INDEX(醫師週班表!$C$5:$T$44,$CU34,CJ$57),"")=0,"",IF(LEN(IFERROR(INDEX(醫師週班表!$C$5:$T$44,$CU34,CJ$57),""))=4,MID(IFERROR(INDEX(醫師週班表!$C$5:$T$44,$CU34,CJ$57),""),1+CJ$58*2,1),IF(LEN(IFERROR(INDEX(醫師週班表!$C$5:$T$44,$CU34,CJ$57),""))=2,IF(AND(RIGHT(IFERROR(INDEX(醫師週班表!$C$5:$T$44,$CU34,CJ$57),""),1)="~",CJ$58=1),"",LEFT(IFERROR(INDEX(醫師週班表!$C$5:$T$44,$CU34,CJ$57),""),1)),IFERROR(INDEX(醫師週班表!$C$5:$T$44,$CU34,CJ$57),""))))))</f>
        <v/>
      </c>
      <c r="CK34" s="67">
        <f>IF(CK$59="X","",IF(CK$59&lt;&gt;"",CK$59,IF(IFERROR(INDEX(醫師週班表!$C$5:$T$44,$CU34,CK$57),"")=0,"",IF(LEN(IFERROR(INDEX(醫師週班表!$C$5:$T$44,$CU34,CK$57),""))=4,MID(IFERROR(INDEX(醫師週班表!$C$5:$T$44,$CU34,CK$57),""),1+CK$58*2,1),IF(LEN(IFERROR(INDEX(醫師週班表!$C$5:$T$44,$CU34,CK$57),""))=2,IF(AND(RIGHT(IFERROR(INDEX(醫師週班表!$C$5:$T$44,$CU34,CK$57),""),1)="~",CK$58=1),"",LEFT(IFERROR(INDEX(醫師週班表!$C$5:$T$44,$CU34,CK$57),""),1)),IFERROR(INDEX(醫師週班表!$C$5:$T$44,$CU34,CK$57),""))))))</f>
        <v/>
      </c>
      <c r="CL34" s="68">
        <f>IF(CL$59="X","",IF(CL$59&lt;&gt;"",CL$59,IF(IFERROR(INDEX(醫師週班表!$C$5:$T$44,$CU34,CL$57),"")=0,"",IF(LEN(IFERROR(INDEX(醫師週班表!$C$5:$T$44,$CU34,CL$57),""))=4,MID(IFERROR(INDEX(醫師週班表!$C$5:$T$44,$CU34,CL$57),""),1+CL$58*2,1),IF(LEN(IFERROR(INDEX(醫師週班表!$C$5:$T$44,$CU34,CL$57),""))=2,IF(AND(RIGHT(IFERROR(INDEX(醫師週班表!$C$5:$T$44,$CU34,CL$57),""),1)="~",CL$58=1),"",LEFT(IFERROR(INDEX(醫師週班表!$C$5:$T$44,$CU34,CL$57),""),1)),IFERROR(INDEX(醫師週班表!$C$5:$T$44,$CU34,CL$57),""))))))</f>
        <v/>
      </c>
      <c r="CM34" s="68">
        <f>IF(CM$59="X","",IF(CM$59&lt;&gt;"",CM$59,IF(IFERROR(INDEX(醫師週班表!$C$5:$T$44,$CU34,CM$57),"")=0,"",IF(LEN(IFERROR(INDEX(醫師週班表!$C$5:$T$44,$CU34,CM$57),""))=4,MID(IFERROR(INDEX(醫師週班表!$C$5:$T$44,$CU34,CM$57),""),1+CM$58*2,1),IF(LEN(IFERROR(INDEX(醫師週班表!$C$5:$T$44,$CU34,CM$57),""))=2,IF(AND(RIGHT(IFERROR(INDEX(醫師週班表!$C$5:$T$44,$CU34,CM$57),""),1)="~",CM$58=1),"",LEFT(IFERROR(INDEX(醫師週班表!$C$5:$T$44,$CU34,CM$57),""),1)),IFERROR(INDEX(醫師週班表!$C$5:$T$44,$CU34,CM$57),""))))))</f>
        <v/>
      </c>
      <c r="CN34" s="67">
        <f>IF(CN$59="X","",IF(CN$59&lt;&gt;"",CN$59,IF(IFERROR(INDEX(醫師週班表!$C$5:$T$44,$CU34,CN$57),"")=0,"",IF(LEN(IFERROR(INDEX(醫師週班表!$C$5:$T$44,$CU34,CN$57),""))=4,MID(IFERROR(INDEX(醫師週班表!$C$5:$T$44,$CU34,CN$57),""),1+CN$58*2,1),IF(LEN(IFERROR(INDEX(醫師週班表!$C$5:$T$44,$CU34,CN$57),""))=2,IF(AND(RIGHT(IFERROR(INDEX(醫師週班表!$C$5:$T$44,$CU34,CN$57),""),1)="~",CN$58=1),"",LEFT(IFERROR(INDEX(醫師週班表!$C$5:$T$44,$CU34,CN$57),""),1)),IFERROR(INDEX(醫師週班表!$C$5:$T$44,$CU34,CN$57),""))))))</f>
        <v/>
      </c>
      <c r="CO34" s="68">
        <f>IF(CO$59="X","",IF(CO$59&lt;&gt;"",CO$59,IF(IFERROR(INDEX(醫師週班表!$C$5:$T$44,$CU34,CO$57),"")=0,"",IF(LEN(IFERROR(INDEX(醫師週班表!$C$5:$T$44,$CU34,CO$57),""))=4,MID(IFERROR(INDEX(醫師週班表!$C$5:$T$44,$CU34,CO$57),""),1+CO$58*2,1),IF(LEN(IFERROR(INDEX(醫師週班表!$C$5:$T$44,$CU34,CO$57),""))=2,IF(AND(RIGHT(IFERROR(INDEX(醫師週班表!$C$5:$T$44,$CU34,CO$57),""),1)="~",CO$58=1),"",LEFT(IFERROR(INDEX(醫師週班表!$C$5:$T$44,$CU34,CO$57),""),1)),IFERROR(INDEX(醫師週班表!$C$5:$T$44,$CU34,CO$57),""))))))</f>
        <v/>
      </c>
      <c r="CP34" s="68">
        <f>IF(CP$59="X","",IF(CP$59&lt;&gt;"",CP$59,IF(IFERROR(INDEX(醫師週班表!$C$5:$T$44,$CU34,CP$57),"")=0,"",IF(LEN(IFERROR(INDEX(醫師週班表!$C$5:$T$44,$CU34,CP$57),""))=4,MID(IFERROR(INDEX(醫師週班表!$C$5:$T$44,$CU34,CP$57),""),1+CP$58*2,1),IF(LEN(IFERROR(INDEX(醫師週班表!$C$5:$T$44,$CU34,CP$57),""))=2,IF(AND(RIGHT(IFERROR(INDEX(醫師週班表!$C$5:$T$44,$CU34,CP$57),""),1)="~",CP$58=1),"",LEFT(IFERROR(INDEX(醫師週班表!$C$5:$T$44,$CU34,CP$57),""),1)),IFERROR(INDEX(醫師週班表!$C$5:$T$44,$CU34,CP$57),""))))))</f>
        <v/>
      </c>
      <c r="CQ34" s="67">
        <f>IF(CQ$59="X","",IF(CQ$59&lt;&gt;"",CQ$59,IF(IFERROR(INDEX(醫師週班表!$C$5:$T$44,$CU34,CQ$57),"")=0,"",IF(LEN(IFERROR(INDEX(醫師週班表!$C$5:$T$44,$CU34,CQ$57),""))=4,MID(IFERROR(INDEX(醫師週班表!$C$5:$T$44,$CU34,CQ$57),""),1+CQ$58*2,1),IF(LEN(IFERROR(INDEX(醫師週班表!$C$5:$T$44,$CU34,CQ$57),""))=2,IF(AND(RIGHT(IFERROR(INDEX(醫師週班表!$C$5:$T$44,$CU34,CQ$57),""),1)="~",CQ$58=1),"",LEFT(IFERROR(INDEX(醫師週班表!$C$5:$T$44,$CU34,CQ$57),""),1)),IFERROR(INDEX(醫師週班表!$C$5:$T$44,$CU34,CQ$57),""))))))</f>
        <v/>
      </c>
      <c r="CR34" s="68">
        <f>IF(CR$59="X","",IF(CR$59&lt;&gt;"",CR$59,IF(IFERROR(INDEX(醫師週班表!$C$5:$T$44,$CU34,CR$57),"")=0,"",IF(LEN(IFERROR(INDEX(醫師週班表!$C$5:$T$44,$CU34,CR$57),""))=4,MID(IFERROR(INDEX(醫師週班表!$C$5:$T$44,$CU34,CR$57),""),1+CR$58*2,1),IF(LEN(IFERROR(INDEX(醫師週班表!$C$5:$T$44,$CU34,CR$57),""))=2,IF(AND(RIGHT(IFERROR(INDEX(醫師週班表!$C$5:$T$44,$CU34,CR$57),""),1)="~",CR$58=1),"",LEFT(IFERROR(INDEX(醫師週班表!$C$5:$T$44,$CU34,CR$57),""),1)),IFERROR(INDEX(醫師週班表!$C$5:$T$44,$CU34,CR$57),""))))))</f>
        <v/>
      </c>
      <c r="CS34" s="68">
        <f>IF(CS$59="X","",IF(CS$59&lt;&gt;"",CS$59,IF(IFERROR(INDEX(醫師週班表!$C$5:$T$44,$CU34,CS$57),"")=0,"",IF(LEN(IFERROR(INDEX(醫師週班表!$C$5:$T$44,$CU34,CS$57),""))=4,MID(IFERROR(INDEX(醫師週班表!$C$5:$T$44,$CU34,CS$57),""),1+CS$58*2,1),IF(LEN(IFERROR(INDEX(醫師週班表!$C$5:$T$44,$CU34,CS$57),""))=2,IF(AND(RIGHT(IFERROR(INDEX(醫師週班表!$C$5:$T$44,$CU34,CS$57),""),1)="~",CS$58=1),"",LEFT(IFERROR(INDEX(醫師週班表!$C$5:$T$44,$CU34,CS$57),""),1)),IFERROR(INDEX(醫師週班表!$C$5:$T$44,$CU34,CS$57),""))))))</f>
        <v/>
      </c>
      <c r="CU34" s="69">
        <f>IFERROR(MATCH($A34,醫師週班表!$A$5:$A$44,0),0)</f>
        <v/>
      </c>
    </row>
    <row r="35" ht="17" customHeight="1">
      <c r="A35" s="20" t="n"/>
      <c r="B35" s="16">
        <f>IFERROR(INDEX(設定!$C$57:$C$196,MATCH($A35,設定!$B$57:$B$196,0)),"")</f>
        <v/>
      </c>
      <c r="C35" s="66">
        <f>IFERROR(INDEX(設定!$E$57:$E$196,MATCH($A35,設定!$B$57:$B$196,0)),"")</f>
        <v/>
      </c>
      <c r="D35" s="16">
        <f>IFERROR(INDEX(設定!$F$57:$F$196,MATCH($A35,設定!$B$57:$B$196,0)),"")</f>
        <v/>
      </c>
      <c r="E35" s="67">
        <f>IF(E$59="X","",IF(E$59&lt;&gt;"",E$59,IF(IFERROR(INDEX(醫師週班表!$C$5:$T$44,$CU35,E$57),"")=0,"",IF(LEN(IFERROR(INDEX(醫師週班表!$C$5:$T$44,$CU35,E$57),""))=4,MID(IFERROR(INDEX(醫師週班表!$C$5:$T$44,$CU35,E$57),""),1+E$58*2,1),IF(LEN(IFERROR(INDEX(醫師週班表!$C$5:$T$44,$CU35,E$57),""))=2,IF(AND(RIGHT(IFERROR(INDEX(醫師週班表!$C$5:$T$44,$CU35,E$57),""),1)="~",E$58=1),"",LEFT(IFERROR(INDEX(醫師週班表!$C$5:$T$44,$CU35,E$57),""),1)),IFERROR(INDEX(醫師週班表!$C$5:$T$44,$CU35,E$57),""))))))</f>
        <v/>
      </c>
      <c r="F35" s="68">
        <f>IF(F$59="X","",IF(F$59&lt;&gt;"",F$59,IF(IFERROR(INDEX(醫師週班表!$C$5:$T$44,$CU35,F$57),"")=0,"",IF(LEN(IFERROR(INDEX(醫師週班表!$C$5:$T$44,$CU35,F$57),""))=4,MID(IFERROR(INDEX(醫師週班表!$C$5:$T$44,$CU35,F$57),""),1+F$58*2,1),IF(LEN(IFERROR(INDEX(醫師週班表!$C$5:$T$44,$CU35,F$57),""))=2,IF(AND(RIGHT(IFERROR(INDEX(醫師週班表!$C$5:$T$44,$CU35,F$57),""),1)="~",F$58=1),"",LEFT(IFERROR(INDEX(醫師週班表!$C$5:$T$44,$CU35,F$57),""),1)),IFERROR(INDEX(醫師週班表!$C$5:$T$44,$CU35,F$57),""))))))</f>
        <v/>
      </c>
      <c r="G35" s="68">
        <f>IF(G$59="X","",IF(G$59&lt;&gt;"",G$59,IF(IFERROR(INDEX(醫師週班表!$C$5:$T$44,$CU35,G$57),"")=0,"",IF(LEN(IFERROR(INDEX(醫師週班表!$C$5:$T$44,$CU35,G$57),""))=4,MID(IFERROR(INDEX(醫師週班表!$C$5:$T$44,$CU35,G$57),""),1+G$58*2,1),IF(LEN(IFERROR(INDEX(醫師週班表!$C$5:$T$44,$CU35,G$57),""))=2,IF(AND(RIGHT(IFERROR(INDEX(醫師週班表!$C$5:$T$44,$CU35,G$57),""),1)="~",G$58=1),"",LEFT(IFERROR(INDEX(醫師週班表!$C$5:$T$44,$CU35,G$57),""),1)),IFERROR(INDEX(醫師週班表!$C$5:$T$44,$CU35,G$57),""))))))</f>
        <v/>
      </c>
      <c r="H35" s="67">
        <f>IF(H$59="X","",IF(H$59&lt;&gt;"",H$59,IF(IFERROR(INDEX(醫師週班表!$C$5:$T$44,$CU35,H$57),"")=0,"",IF(LEN(IFERROR(INDEX(醫師週班表!$C$5:$T$44,$CU35,H$57),""))=4,MID(IFERROR(INDEX(醫師週班表!$C$5:$T$44,$CU35,H$57),""),1+H$58*2,1),IF(LEN(IFERROR(INDEX(醫師週班表!$C$5:$T$44,$CU35,H$57),""))=2,IF(AND(RIGHT(IFERROR(INDEX(醫師週班表!$C$5:$T$44,$CU35,H$57),""),1)="~",H$58=1),"",LEFT(IFERROR(INDEX(醫師週班表!$C$5:$T$44,$CU35,H$57),""),1)),IFERROR(INDEX(醫師週班表!$C$5:$T$44,$CU35,H$57),""))))))</f>
        <v/>
      </c>
      <c r="I35" s="68">
        <f>IF(I$59="X","",IF(I$59&lt;&gt;"",I$59,IF(IFERROR(INDEX(醫師週班表!$C$5:$T$44,$CU35,I$57),"")=0,"",IF(LEN(IFERROR(INDEX(醫師週班表!$C$5:$T$44,$CU35,I$57),""))=4,MID(IFERROR(INDEX(醫師週班表!$C$5:$T$44,$CU35,I$57),""),1+I$58*2,1),IF(LEN(IFERROR(INDEX(醫師週班表!$C$5:$T$44,$CU35,I$57),""))=2,IF(AND(RIGHT(IFERROR(INDEX(醫師週班表!$C$5:$T$44,$CU35,I$57),""),1)="~",I$58=1),"",LEFT(IFERROR(INDEX(醫師週班表!$C$5:$T$44,$CU35,I$57),""),1)),IFERROR(INDEX(醫師週班表!$C$5:$T$44,$CU35,I$57),""))))))</f>
        <v/>
      </c>
      <c r="J35" s="68">
        <f>IF(J$59="X","",IF(J$59&lt;&gt;"",J$59,IF(IFERROR(INDEX(醫師週班表!$C$5:$T$44,$CU35,J$57),"")=0,"",IF(LEN(IFERROR(INDEX(醫師週班表!$C$5:$T$44,$CU35,J$57),""))=4,MID(IFERROR(INDEX(醫師週班表!$C$5:$T$44,$CU35,J$57),""),1+J$58*2,1),IF(LEN(IFERROR(INDEX(醫師週班表!$C$5:$T$44,$CU35,J$57),""))=2,IF(AND(RIGHT(IFERROR(INDEX(醫師週班表!$C$5:$T$44,$CU35,J$57),""),1)="~",J$58=1),"",LEFT(IFERROR(INDEX(醫師週班表!$C$5:$T$44,$CU35,J$57),""),1)),IFERROR(INDEX(醫師週班表!$C$5:$T$44,$CU35,J$57),""))))))</f>
        <v/>
      </c>
      <c r="K35" s="67">
        <f>IF(K$59="X","",IF(K$59&lt;&gt;"",K$59,IF(IFERROR(INDEX(醫師週班表!$C$5:$T$44,$CU35,K$57),"")=0,"",IF(LEN(IFERROR(INDEX(醫師週班表!$C$5:$T$44,$CU35,K$57),""))=4,MID(IFERROR(INDEX(醫師週班表!$C$5:$T$44,$CU35,K$57),""),1+K$58*2,1),IF(LEN(IFERROR(INDEX(醫師週班表!$C$5:$T$44,$CU35,K$57),""))=2,IF(AND(RIGHT(IFERROR(INDEX(醫師週班表!$C$5:$T$44,$CU35,K$57),""),1)="~",K$58=1),"",LEFT(IFERROR(INDEX(醫師週班表!$C$5:$T$44,$CU35,K$57),""),1)),IFERROR(INDEX(醫師週班表!$C$5:$T$44,$CU35,K$57),""))))))</f>
        <v/>
      </c>
      <c r="L35" s="68">
        <f>IF(L$59="X","",IF(L$59&lt;&gt;"",L$59,IF(IFERROR(INDEX(醫師週班表!$C$5:$T$44,$CU35,L$57),"")=0,"",IF(LEN(IFERROR(INDEX(醫師週班表!$C$5:$T$44,$CU35,L$57),""))=4,MID(IFERROR(INDEX(醫師週班表!$C$5:$T$44,$CU35,L$57),""),1+L$58*2,1),IF(LEN(IFERROR(INDEX(醫師週班表!$C$5:$T$44,$CU35,L$57),""))=2,IF(AND(RIGHT(IFERROR(INDEX(醫師週班表!$C$5:$T$44,$CU35,L$57),""),1)="~",L$58=1),"",LEFT(IFERROR(INDEX(醫師週班表!$C$5:$T$44,$CU35,L$57),""),1)),IFERROR(INDEX(醫師週班表!$C$5:$T$44,$CU35,L$57),""))))))</f>
        <v/>
      </c>
      <c r="M35" s="68">
        <f>IF(M$59="X","",IF(M$59&lt;&gt;"",M$59,IF(IFERROR(INDEX(醫師週班表!$C$5:$T$44,$CU35,M$57),"")=0,"",IF(LEN(IFERROR(INDEX(醫師週班表!$C$5:$T$44,$CU35,M$57),""))=4,MID(IFERROR(INDEX(醫師週班表!$C$5:$T$44,$CU35,M$57),""),1+M$58*2,1),IF(LEN(IFERROR(INDEX(醫師週班表!$C$5:$T$44,$CU35,M$57),""))=2,IF(AND(RIGHT(IFERROR(INDEX(醫師週班表!$C$5:$T$44,$CU35,M$57),""),1)="~",M$58=1),"",LEFT(IFERROR(INDEX(醫師週班表!$C$5:$T$44,$CU35,M$57),""),1)),IFERROR(INDEX(醫師週班表!$C$5:$T$44,$CU35,M$57),""))))))</f>
        <v/>
      </c>
      <c r="N35" s="67">
        <f>IF(N$59="X","",IF(N$59&lt;&gt;"",N$59,IF(IFERROR(INDEX(醫師週班表!$C$5:$T$44,$CU35,N$57),"")=0,"",IF(LEN(IFERROR(INDEX(醫師週班表!$C$5:$T$44,$CU35,N$57),""))=4,MID(IFERROR(INDEX(醫師週班表!$C$5:$T$44,$CU35,N$57),""),1+N$58*2,1),IF(LEN(IFERROR(INDEX(醫師週班表!$C$5:$T$44,$CU35,N$57),""))=2,IF(AND(RIGHT(IFERROR(INDEX(醫師週班表!$C$5:$T$44,$CU35,N$57),""),1)="~",N$58=1),"",LEFT(IFERROR(INDEX(醫師週班表!$C$5:$T$44,$CU35,N$57),""),1)),IFERROR(INDEX(醫師週班表!$C$5:$T$44,$CU35,N$57),""))))))</f>
        <v/>
      </c>
      <c r="O35" s="68">
        <f>IF(O$59="X","",IF(O$59&lt;&gt;"",O$59,IF(IFERROR(INDEX(醫師週班表!$C$5:$T$44,$CU35,O$57),"")=0,"",IF(LEN(IFERROR(INDEX(醫師週班表!$C$5:$T$44,$CU35,O$57),""))=4,MID(IFERROR(INDEX(醫師週班表!$C$5:$T$44,$CU35,O$57),""),1+O$58*2,1),IF(LEN(IFERROR(INDEX(醫師週班表!$C$5:$T$44,$CU35,O$57),""))=2,IF(AND(RIGHT(IFERROR(INDEX(醫師週班表!$C$5:$T$44,$CU35,O$57),""),1)="~",O$58=1),"",LEFT(IFERROR(INDEX(醫師週班表!$C$5:$T$44,$CU35,O$57),""),1)),IFERROR(INDEX(醫師週班表!$C$5:$T$44,$CU35,O$57),""))))))</f>
        <v/>
      </c>
      <c r="P35" s="68">
        <f>IF(P$59="X","",IF(P$59&lt;&gt;"",P$59,IF(IFERROR(INDEX(醫師週班表!$C$5:$T$44,$CU35,P$57),"")=0,"",IF(LEN(IFERROR(INDEX(醫師週班表!$C$5:$T$44,$CU35,P$57),""))=4,MID(IFERROR(INDEX(醫師週班表!$C$5:$T$44,$CU35,P$57),""),1+P$58*2,1),IF(LEN(IFERROR(INDEX(醫師週班表!$C$5:$T$44,$CU35,P$57),""))=2,IF(AND(RIGHT(IFERROR(INDEX(醫師週班表!$C$5:$T$44,$CU35,P$57),""),1)="~",P$58=1),"",LEFT(IFERROR(INDEX(醫師週班表!$C$5:$T$44,$CU35,P$57),""),1)),IFERROR(INDEX(醫師週班表!$C$5:$T$44,$CU35,P$57),""))))))</f>
        <v/>
      </c>
      <c r="Q35" s="67">
        <f>IF(Q$59="X","",IF(Q$59&lt;&gt;"",Q$59,IF(IFERROR(INDEX(醫師週班表!$C$5:$T$44,$CU35,Q$57),"")=0,"",IF(LEN(IFERROR(INDEX(醫師週班表!$C$5:$T$44,$CU35,Q$57),""))=4,MID(IFERROR(INDEX(醫師週班表!$C$5:$T$44,$CU35,Q$57),""),1+Q$58*2,1),IF(LEN(IFERROR(INDEX(醫師週班表!$C$5:$T$44,$CU35,Q$57),""))=2,IF(AND(RIGHT(IFERROR(INDEX(醫師週班表!$C$5:$T$44,$CU35,Q$57),""),1)="~",Q$58=1),"",LEFT(IFERROR(INDEX(醫師週班表!$C$5:$T$44,$CU35,Q$57),""),1)),IFERROR(INDEX(醫師週班表!$C$5:$T$44,$CU35,Q$57),""))))))</f>
        <v/>
      </c>
      <c r="R35" s="68">
        <f>IF(R$59="X","",IF(R$59&lt;&gt;"",R$59,IF(IFERROR(INDEX(醫師週班表!$C$5:$T$44,$CU35,R$57),"")=0,"",IF(LEN(IFERROR(INDEX(醫師週班表!$C$5:$T$44,$CU35,R$57),""))=4,MID(IFERROR(INDEX(醫師週班表!$C$5:$T$44,$CU35,R$57),""),1+R$58*2,1),IF(LEN(IFERROR(INDEX(醫師週班表!$C$5:$T$44,$CU35,R$57),""))=2,IF(AND(RIGHT(IFERROR(INDEX(醫師週班表!$C$5:$T$44,$CU35,R$57),""),1)="~",R$58=1),"",LEFT(IFERROR(INDEX(醫師週班表!$C$5:$T$44,$CU35,R$57),""),1)),IFERROR(INDEX(醫師週班表!$C$5:$T$44,$CU35,R$57),""))))))</f>
        <v/>
      </c>
      <c r="S35" s="68">
        <f>IF(S$59="X","",IF(S$59&lt;&gt;"",S$59,IF(IFERROR(INDEX(醫師週班表!$C$5:$T$44,$CU35,S$57),"")=0,"",IF(LEN(IFERROR(INDEX(醫師週班表!$C$5:$T$44,$CU35,S$57),""))=4,MID(IFERROR(INDEX(醫師週班表!$C$5:$T$44,$CU35,S$57),""),1+S$58*2,1),IF(LEN(IFERROR(INDEX(醫師週班表!$C$5:$T$44,$CU35,S$57),""))=2,IF(AND(RIGHT(IFERROR(INDEX(醫師週班表!$C$5:$T$44,$CU35,S$57),""),1)="~",S$58=1),"",LEFT(IFERROR(INDEX(醫師週班表!$C$5:$T$44,$CU35,S$57),""),1)),IFERROR(INDEX(醫師週班表!$C$5:$T$44,$CU35,S$57),""))))))</f>
        <v/>
      </c>
      <c r="T35" s="67">
        <f>IF(T$59="X","",IF(T$59&lt;&gt;"",T$59,IF(IFERROR(INDEX(醫師週班表!$C$5:$T$44,$CU35,T$57),"")=0,"",IF(LEN(IFERROR(INDEX(醫師週班表!$C$5:$T$44,$CU35,T$57),""))=4,MID(IFERROR(INDEX(醫師週班表!$C$5:$T$44,$CU35,T$57),""),1+T$58*2,1),IF(LEN(IFERROR(INDEX(醫師週班表!$C$5:$T$44,$CU35,T$57),""))=2,IF(AND(RIGHT(IFERROR(INDEX(醫師週班表!$C$5:$T$44,$CU35,T$57),""),1)="~",T$58=1),"",LEFT(IFERROR(INDEX(醫師週班表!$C$5:$T$44,$CU35,T$57),""),1)),IFERROR(INDEX(醫師週班表!$C$5:$T$44,$CU35,T$57),""))))))</f>
        <v/>
      </c>
      <c r="U35" s="68">
        <f>IF(U$59="X","",IF(U$59&lt;&gt;"",U$59,IF(IFERROR(INDEX(醫師週班表!$C$5:$T$44,$CU35,U$57),"")=0,"",IF(LEN(IFERROR(INDEX(醫師週班表!$C$5:$T$44,$CU35,U$57),""))=4,MID(IFERROR(INDEX(醫師週班表!$C$5:$T$44,$CU35,U$57),""),1+U$58*2,1),IF(LEN(IFERROR(INDEX(醫師週班表!$C$5:$T$44,$CU35,U$57),""))=2,IF(AND(RIGHT(IFERROR(INDEX(醫師週班表!$C$5:$T$44,$CU35,U$57),""),1)="~",U$58=1),"",LEFT(IFERROR(INDEX(醫師週班表!$C$5:$T$44,$CU35,U$57),""),1)),IFERROR(INDEX(醫師週班表!$C$5:$T$44,$CU35,U$57),""))))))</f>
        <v/>
      </c>
      <c r="V35" s="68">
        <f>IF(V$59="X","",IF(V$59&lt;&gt;"",V$59,IF(IFERROR(INDEX(醫師週班表!$C$5:$T$44,$CU35,V$57),"")=0,"",IF(LEN(IFERROR(INDEX(醫師週班表!$C$5:$T$44,$CU35,V$57),""))=4,MID(IFERROR(INDEX(醫師週班表!$C$5:$T$44,$CU35,V$57),""),1+V$58*2,1),IF(LEN(IFERROR(INDEX(醫師週班表!$C$5:$T$44,$CU35,V$57),""))=2,IF(AND(RIGHT(IFERROR(INDEX(醫師週班表!$C$5:$T$44,$CU35,V$57),""),1)="~",V$58=1),"",LEFT(IFERROR(INDEX(醫師週班表!$C$5:$T$44,$CU35,V$57),""),1)),IFERROR(INDEX(醫師週班表!$C$5:$T$44,$CU35,V$57),""))))))</f>
        <v/>
      </c>
      <c r="W35" s="67">
        <f>IF(W$59="X","",IF(W$59&lt;&gt;"",W$59,IF(IFERROR(INDEX(醫師週班表!$C$5:$T$44,$CU35,W$57),"")=0,"",IF(LEN(IFERROR(INDEX(醫師週班表!$C$5:$T$44,$CU35,W$57),""))=4,MID(IFERROR(INDEX(醫師週班表!$C$5:$T$44,$CU35,W$57),""),1+W$58*2,1),IF(LEN(IFERROR(INDEX(醫師週班表!$C$5:$T$44,$CU35,W$57),""))=2,IF(AND(RIGHT(IFERROR(INDEX(醫師週班表!$C$5:$T$44,$CU35,W$57),""),1)="~",W$58=1),"",LEFT(IFERROR(INDEX(醫師週班表!$C$5:$T$44,$CU35,W$57),""),1)),IFERROR(INDEX(醫師週班表!$C$5:$T$44,$CU35,W$57),""))))))</f>
        <v/>
      </c>
      <c r="X35" s="68">
        <f>IF(X$59="X","",IF(X$59&lt;&gt;"",X$59,IF(IFERROR(INDEX(醫師週班表!$C$5:$T$44,$CU35,X$57),"")=0,"",IF(LEN(IFERROR(INDEX(醫師週班表!$C$5:$T$44,$CU35,X$57),""))=4,MID(IFERROR(INDEX(醫師週班表!$C$5:$T$44,$CU35,X$57),""),1+X$58*2,1),IF(LEN(IFERROR(INDEX(醫師週班表!$C$5:$T$44,$CU35,X$57),""))=2,IF(AND(RIGHT(IFERROR(INDEX(醫師週班表!$C$5:$T$44,$CU35,X$57),""),1)="~",X$58=1),"",LEFT(IFERROR(INDEX(醫師週班表!$C$5:$T$44,$CU35,X$57),""),1)),IFERROR(INDEX(醫師週班表!$C$5:$T$44,$CU35,X$57),""))))))</f>
        <v/>
      </c>
      <c r="Y35" s="68">
        <f>IF(Y$59="X","",IF(Y$59&lt;&gt;"",Y$59,IF(IFERROR(INDEX(醫師週班表!$C$5:$T$44,$CU35,Y$57),"")=0,"",IF(LEN(IFERROR(INDEX(醫師週班表!$C$5:$T$44,$CU35,Y$57),""))=4,MID(IFERROR(INDEX(醫師週班表!$C$5:$T$44,$CU35,Y$57),""),1+Y$58*2,1),IF(LEN(IFERROR(INDEX(醫師週班表!$C$5:$T$44,$CU35,Y$57),""))=2,IF(AND(RIGHT(IFERROR(INDEX(醫師週班表!$C$5:$T$44,$CU35,Y$57),""),1)="~",Y$58=1),"",LEFT(IFERROR(INDEX(醫師週班表!$C$5:$T$44,$CU35,Y$57),""),1)),IFERROR(INDEX(醫師週班表!$C$5:$T$44,$CU35,Y$57),""))))))</f>
        <v/>
      </c>
      <c r="Z35" s="67">
        <f>IF(Z$59="X","",IF(Z$59&lt;&gt;"",Z$59,IF(IFERROR(INDEX(醫師週班表!$C$5:$T$44,$CU35,Z$57),"")=0,"",IF(LEN(IFERROR(INDEX(醫師週班表!$C$5:$T$44,$CU35,Z$57),""))=4,MID(IFERROR(INDEX(醫師週班表!$C$5:$T$44,$CU35,Z$57),""),1+Z$58*2,1),IF(LEN(IFERROR(INDEX(醫師週班表!$C$5:$T$44,$CU35,Z$57),""))=2,IF(AND(RIGHT(IFERROR(INDEX(醫師週班表!$C$5:$T$44,$CU35,Z$57),""),1)="~",Z$58=1),"",LEFT(IFERROR(INDEX(醫師週班表!$C$5:$T$44,$CU35,Z$57),""),1)),IFERROR(INDEX(醫師週班表!$C$5:$T$44,$CU35,Z$57),""))))))</f>
        <v/>
      </c>
      <c r="AA35" s="68">
        <f>IF(AA$59="X","",IF(AA$59&lt;&gt;"",AA$59,IF(IFERROR(INDEX(醫師週班表!$C$5:$T$44,$CU35,AA$57),"")=0,"",IF(LEN(IFERROR(INDEX(醫師週班表!$C$5:$T$44,$CU35,AA$57),""))=4,MID(IFERROR(INDEX(醫師週班表!$C$5:$T$44,$CU35,AA$57),""),1+AA$58*2,1),IF(LEN(IFERROR(INDEX(醫師週班表!$C$5:$T$44,$CU35,AA$57),""))=2,IF(AND(RIGHT(IFERROR(INDEX(醫師週班表!$C$5:$T$44,$CU35,AA$57),""),1)="~",AA$58=1),"",LEFT(IFERROR(INDEX(醫師週班表!$C$5:$T$44,$CU35,AA$57),""),1)),IFERROR(INDEX(醫師週班表!$C$5:$T$44,$CU35,AA$57),""))))))</f>
        <v/>
      </c>
      <c r="AB35" s="68">
        <f>IF(AB$59="X","",IF(AB$59&lt;&gt;"",AB$59,IF(IFERROR(INDEX(醫師週班表!$C$5:$T$44,$CU35,AB$57),"")=0,"",IF(LEN(IFERROR(INDEX(醫師週班表!$C$5:$T$44,$CU35,AB$57),""))=4,MID(IFERROR(INDEX(醫師週班表!$C$5:$T$44,$CU35,AB$57),""),1+AB$58*2,1),IF(LEN(IFERROR(INDEX(醫師週班表!$C$5:$T$44,$CU35,AB$57),""))=2,IF(AND(RIGHT(IFERROR(INDEX(醫師週班表!$C$5:$T$44,$CU35,AB$57),""),1)="~",AB$58=1),"",LEFT(IFERROR(INDEX(醫師週班表!$C$5:$T$44,$CU35,AB$57),""),1)),IFERROR(INDEX(醫師週班表!$C$5:$T$44,$CU35,AB$57),""))))))</f>
        <v/>
      </c>
      <c r="AC35" s="67">
        <f>IF(AC$59="X","",IF(AC$59&lt;&gt;"",AC$59,IF(IFERROR(INDEX(醫師週班表!$C$5:$T$44,$CU35,AC$57),"")=0,"",IF(LEN(IFERROR(INDEX(醫師週班表!$C$5:$T$44,$CU35,AC$57),""))=4,MID(IFERROR(INDEX(醫師週班表!$C$5:$T$44,$CU35,AC$57),""),1+AC$58*2,1),IF(LEN(IFERROR(INDEX(醫師週班表!$C$5:$T$44,$CU35,AC$57),""))=2,IF(AND(RIGHT(IFERROR(INDEX(醫師週班表!$C$5:$T$44,$CU35,AC$57),""),1)="~",AC$58=1),"",LEFT(IFERROR(INDEX(醫師週班表!$C$5:$T$44,$CU35,AC$57),""),1)),IFERROR(INDEX(醫師週班表!$C$5:$T$44,$CU35,AC$57),""))))))</f>
        <v/>
      </c>
      <c r="AD35" s="68">
        <f>IF(AD$59="X","",IF(AD$59&lt;&gt;"",AD$59,IF(IFERROR(INDEX(醫師週班表!$C$5:$T$44,$CU35,AD$57),"")=0,"",IF(LEN(IFERROR(INDEX(醫師週班表!$C$5:$T$44,$CU35,AD$57),""))=4,MID(IFERROR(INDEX(醫師週班表!$C$5:$T$44,$CU35,AD$57),""),1+AD$58*2,1),IF(LEN(IFERROR(INDEX(醫師週班表!$C$5:$T$44,$CU35,AD$57),""))=2,IF(AND(RIGHT(IFERROR(INDEX(醫師週班表!$C$5:$T$44,$CU35,AD$57),""),1)="~",AD$58=1),"",LEFT(IFERROR(INDEX(醫師週班表!$C$5:$T$44,$CU35,AD$57),""),1)),IFERROR(INDEX(醫師週班表!$C$5:$T$44,$CU35,AD$57),""))))))</f>
        <v/>
      </c>
      <c r="AE35" s="68">
        <f>IF(AE$59="X","",IF(AE$59&lt;&gt;"",AE$59,IF(IFERROR(INDEX(醫師週班表!$C$5:$T$44,$CU35,AE$57),"")=0,"",IF(LEN(IFERROR(INDEX(醫師週班表!$C$5:$T$44,$CU35,AE$57),""))=4,MID(IFERROR(INDEX(醫師週班表!$C$5:$T$44,$CU35,AE$57),""),1+AE$58*2,1),IF(LEN(IFERROR(INDEX(醫師週班表!$C$5:$T$44,$CU35,AE$57),""))=2,IF(AND(RIGHT(IFERROR(INDEX(醫師週班表!$C$5:$T$44,$CU35,AE$57),""),1)="~",AE$58=1),"",LEFT(IFERROR(INDEX(醫師週班表!$C$5:$T$44,$CU35,AE$57),""),1)),IFERROR(INDEX(醫師週班表!$C$5:$T$44,$CU35,AE$57),""))))))</f>
        <v/>
      </c>
      <c r="AF35" s="67">
        <f>IF(AF$59="X","",IF(AF$59&lt;&gt;"",AF$59,IF(IFERROR(INDEX(醫師週班表!$C$5:$T$44,$CU35,AF$57),"")=0,"",IF(LEN(IFERROR(INDEX(醫師週班表!$C$5:$T$44,$CU35,AF$57),""))=4,MID(IFERROR(INDEX(醫師週班表!$C$5:$T$44,$CU35,AF$57),""),1+AF$58*2,1),IF(LEN(IFERROR(INDEX(醫師週班表!$C$5:$T$44,$CU35,AF$57),""))=2,IF(AND(RIGHT(IFERROR(INDEX(醫師週班表!$C$5:$T$44,$CU35,AF$57),""),1)="~",AF$58=1),"",LEFT(IFERROR(INDEX(醫師週班表!$C$5:$T$44,$CU35,AF$57),""),1)),IFERROR(INDEX(醫師週班表!$C$5:$T$44,$CU35,AF$57),""))))))</f>
        <v/>
      </c>
      <c r="AG35" s="68">
        <f>IF(AG$59="X","",IF(AG$59&lt;&gt;"",AG$59,IF(IFERROR(INDEX(醫師週班表!$C$5:$T$44,$CU35,AG$57),"")=0,"",IF(LEN(IFERROR(INDEX(醫師週班表!$C$5:$T$44,$CU35,AG$57),""))=4,MID(IFERROR(INDEX(醫師週班表!$C$5:$T$44,$CU35,AG$57),""),1+AG$58*2,1),IF(LEN(IFERROR(INDEX(醫師週班表!$C$5:$T$44,$CU35,AG$57),""))=2,IF(AND(RIGHT(IFERROR(INDEX(醫師週班表!$C$5:$T$44,$CU35,AG$57),""),1)="~",AG$58=1),"",LEFT(IFERROR(INDEX(醫師週班表!$C$5:$T$44,$CU35,AG$57),""),1)),IFERROR(INDEX(醫師週班表!$C$5:$T$44,$CU35,AG$57),""))))))</f>
        <v/>
      </c>
      <c r="AH35" s="68">
        <f>IF(AH$59="X","",IF(AH$59&lt;&gt;"",AH$59,IF(IFERROR(INDEX(醫師週班表!$C$5:$T$44,$CU35,AH$57),"")=0,"",IF(LEN(IFERROR(INDEX(醫師週班表!$C$5:$T$44,$CU35,AH$57),""))=4,MID(IFERROR(INDEX(醫師週班表!$C$5:$T$44,$CU35,AH$57),""),1+AH$58*2,1),IF(LEN(IFERROR(INDEX(醫師週班表!$C$5:$T$44,$CU35,AH$57),""))=2,IF(AND(RIGHT(IFERROR(INDEX(醫師週班表!$C$5:$T$44,$CU35,AH$57),""),1)="~",AH$58=1),"",LEFT(IFERROR(INDEX(醫師週班表!$C$5:$T$44,$CU35,AH$57),""),1)),IFERROR(INDEX(醫師週班表!$C$5:$T$44,$CU35,AH$57),""))))))</f>
        <v/>
      </c>
      <c r="AI35" s="67">
        <f>IF(AI$59="X","",IF(AI$59&lt;&gt;"",AI$59,IF(IFERROR(INDEX(醫師週班表!$C$5:$T$44,$CU35,AI$57),"")=0,"",IF(LEN(IFERROR(INDEX(醫師週班表!$C$5:$T$44,$CU35,AI$57),""))=4,MID(IFERROR(INDEX(醫師週班表!$C$5:$T$44,$CU35,AI$57),""),1+AI$58*2,1),IF(LEN(IFERROR(INDEX(醫師週班表!$C$5:$T$44,$CU35,AI$57),""))=2,IF(AND(RIGHT(IFERROR(INDEX(醫師週班表!$C$5:$T$44,$CU35,AI$57),""),1)="~",AI$58=1),"",LEFT(IFERROR(INDEX(醫師週班表!$C$5:$T$44,$CU35,AI$57),""),1)),IFERROR(INDEX(醫師週班表!$C$5:$T$44,$CU35,AI$57),""))))))</f>
        <v/>
      </c>
      <c r="AJ35" s="68">
        <f>IF(AJ$59="X","",IF(AJ$59&lt;&gt;"",AJ$59,IF(IFERROR(INDEX(醫師週班表!$C$5:$T$44,$CU35,AJ$57),"")=0,"",IF(LEN(IFERROR(INDEX(醫師週班表!$C$5:$T$44,$CU35,AJ$57),""))=4,MID(IFERROR(INDEX(醫師週班表!$C$5:$T$44,$CU35,AJ$57),""),1+AJ$58*2,1),IF(LEN(IFERROR(INDEX(醫師週班表!$C$5:$T$44,$CU35,AJ$57),""))=2,IF(AND(RIGHT(IFERROR(INDEX(醫師週班表!$C$5:$T$44,$CU35,AJ$57),""),1)="~",AJ$58=1),"",LEFT(IFERROR(INDEX(醫師週班表!$C$5:$T$44,$CU35,AJ$57),""),1)),IFERROR(INDEX(醫師週班表!$C$5:$T$44,$CU35,AJ$57),""))))))</f>
        <v/>
      </c>
      <c r="AK35" s="68">
        <f>IF(AK$59="X","",IF(AK$59&lt;&gt;"",AK$59,IF(IFERROR(INDEX(醫師週班表!$C$5:$T$44,$CU35,AK$57),"")=0,"",IF(LEN(IFERROR(INDEX(醫師週班表!$C$5:$T$44,$CU35,AK$57),""))=4,MID(IFERROR(INDEX(醫師週班表!$C$5:$T$44,$CU35,AK$57),""),1+AK$58*2,1),IF(LEN(IFERROR(INDEX(醫師週班表!$C$5:$T$44,$CU35,AK$57),""))=2,IF(AND(RIGHT(IFERROR(INDEX(醫師週班表!$C$5:$T$44,$CU35,AK$57),""),1)="~",AK$58=1),"",LEFT(IFERROR(INDEX(醫師週班表!$C$5:$T$44,$CU35,AK$57),""),1)),IFERROR(INDEX(醫師週班表!$C$5:$T$44,$CU35,AK$57),""))))))</f>
        <v/>
      </c>
      <c r="AL35" s="67">
        <f>IF(AL$59="X","",IF(AL$59&lt;&gt;"",AL$59,IF(IFERROR(INDEX(醫師週班表!$C$5:$T$44,$CU35,AL$57),"")=0,"",IF(LEN(IFERROR(INDEX(醫師週班表!$C$5:$T$44,$CU35,AL$57),""))=4,MID(IFERROR(INDEX(醫師週班表!$C$5:$T$44,$CU35,AL$57),""),1+AL$58*2,1),IF(LEN(IFERROR(INDEX(醫師週班表!$C$5:$T$44,$CU35,AL$57),""))=2,IF(AND(RIGHT(IFERROR(INDEX(醫師週班表!$C$5:$T$44,$CU35,AL$57),""),1)="~",AL$58=1),"",LEFT(IFERROR(INDEX(醫師週班表!$C$5:$T$44,$CU35,AL$57),""),1)),IFERROR(INDEX(醫師週班表!$C$5:$T$44,$CU35,AL$57),""))))))</f>
        <v/>
      </c>
      <c r="AM35" s="68">
        <f>IF(AM$59="X","",IF(AM$59&lt;&gt;"",AM$59,IF(IFERROR(INDEX(醫師週班表!$C$5:$T$44,$CU35,AM$57),"")=0,"",IF(LEN(IFERROR(INDEX(醫師週班表!$C$5:$T$44,$CU35,AM$57),""))=4,MID(IFERROR(INDEX(醫師週班表!$C$5:$T$44,$CU35,AM$57),""),1+AM$58*2,1),IF(LEN(IFERROR(INDEX(醫師週班表!$C$5:$T$44,$CU35,AM$57),""))=2,IF(AND(RIGHT(IFERROR(INDEX(醫師週班表!$C$5:$T$44,$CU35,AM$57),""),1)="~",AM$58=1),"",LEFT(IFERROR(INDEX(醫師週班表!$C$5:$T$44,$CU35,AM$57),""),1)),IFERROR(INDEX(醫師週班表!$C$5:$T$44,$CU35,AM$57),""))))))</f>
        <v/>
      </c>
      <c r="AN35" s="68">
        <f>IF(AN$59="X","",IF(AN$59&lt;&gt;"",AN$59,IF(IFERROR(INDEX(醫師週班表!$C$5:$T$44,$CU35,AN$57),"")=0,"",IF(LEN(IFERROR(INDEX(醫師週班表!$C$5:$T$44,$CU35,AN$57),""))=4,MID(IFERROR(INDEX(醫師週班表!$C$5:$T$44,$CU35,AN$57),""),1+AN$58*2,1),IF(LEN(IFERROR(INDEX(醫師週班表!$C$5:$T$44,$CU35,AN$57),""))=2,IF(AND(RIGHT(IFERROR(INDEX(醫師週班表!$C$5:$T$44,$CU35,AN$57),""),1)="~",AN$58=1),"",LEFT(IFERROR(INDEX(醫師週班表!$C$5:$T$44,$CU35,AN$57),""),1)),IFERROR(INDEX(醫師週班表!$C$5:$T$44,$CU35,AN$57),""))))))</f>
        <v/>
      </c>
      <c r="AO35" s="67">
        <f>IF(AO$59="X","",IF(AO$59&lt;&gt;"",AO$59,IF(IFERROR(INDEX(醫師週班表!$C$5:$T$44,$CU35,AO$57),"")=0,"",IF(LEN(IFERROR(INDEX(醫師週班表!$C$5:$T$44,$CU35,AO$57),""))=4,MID(IFERROR(INDEX(醫師週班表!$C$5:$T$44,$CU35,AO$57),""),1+AO$58*2,1),IF(LEN(IFERROR(INDEX(醫師週班表!$C$5:$T$44,$CU35,AO$57),""))=2,IF(AND(RIGHT(IFERROR(INDEX(醫師週班表!$C$5:$T$44,$CU35,AO$57),""),1)="~",AO$58=1),"",LEFT(IFERROR(INDEX(醫師週班表!$C$5:$T$44,$CU35,AO$57),""),1)),IFERROR(INDEX(醫師週班表!$C$5:$T$44,$CU35,AO$57),""))))))</f>
        <v/>
      </c>
      <c r="AP35" s="68">
        <f>IF(AP$59="X","",IF(AP$59&lt;&gt;"",AP$59,IF(IFERROR(INDEX(醫師週班表!$C$5:$T$44,$CU35,AP$57),"")=0,"",IF(LEN(IFERROR(INDEX(醫師週班表!$C$5:$T$44,$CU35,AP$57),""))=4,MID(IFERROR(INDEX(醫師週班表!$C$5:$T$44,$CU35,AP$57),""),1+AP$58*2,1),IF(LEN(IFERROR(INDEX(醫師週班表!$C$5:$T$44,$CU35,AP$57),""))=2,IF(AND(RIGHT(IFERROR(INDEX(醫師週班表!$C$5:$T$44,$CU35,AP$57),""),1)="~",AP$58=1),"",LEFT(IFERROR(INDEX(醫師週班表!$C$5:$T$44,$CU35,AP$57),""),1)),IFERROR(INDEX(醫師週班表!$C$5:$T$44,$CU35,AP$57),""))))))</f>
        <v/>
      </c>
      <c r="AQ35" s="68">
        <f>IF(AQ$59="X","",IF(AQ$59&lt;&gt;"",AQ$59,IF(IFERROR(INDEX(醫師週班表!$C$5:$T$44,$CU35,AQ$57),"")=0,"",IF(LEN(IFERROR(INDEX(醫師週班表!$C$5:$T$44,$CU35,AQ$57),""))=4,MID(IFERROR(INDEX(醫師週班表!$C$5:$T$44,$CU35,AQ$57),""),1+AQ$58*2,1),IF(LEN(IFERROR(INDEX(醫師週班表!$C$5:$T$44,$CU35,AQ$57),""))=2,IF(AND(RIGHT(IFERROR(INDEX(醫師週班表!$C$5:$T$44,$CU35,AQ$57),""),1)="~",AQ$58=1),"",LEFT(IFERROR(INDEX(醫師週班表!$C$5:$T$44,$CU35,AQ$57),""),1)),IFERROR(INDEX(醫師週班表!$C$5:$T$44,$CU35,AQ$57),""))))))</f>
        <v/>
      </c>
      <c r="AR35" s="67">
        <f>IF(AR$59="X","",IF(AR$59&lt;&gt;"",AR$59,IF(IFERROR(INDEX(醫師週班表!$C$5:$T$44,$CU35,AR$57),"")=0,"",IF(LEN(IFERROR(INDEX(醫師週班表!$C$5:$T$44,$CU35,AR$57),""))=4,MID(IFERROR(INDEX(醫師週班表!$C$5:$T$44,$CU35,AR$57),""),1+AR$58*2,1),IF(LEN(IFERROR(INDEX(醫師週班表!$C$5:$T$44,$CU35,AR$57),""))=2,IF(AND(RIGHT(IFERROR(INDEX(醫師週班表!$C$5:$T$44,$CU35,AR$57),""),1)="~",AR$58=1),"",LEFT(IFERROR(INDEX(醫師週班表!$C$5:$T$44,$CU35,AR$57),""),1)),IFERROR(INDEX(醫師週班表!$C$5:$T$44,$CU35,AR$57),""))))))</f>
        <v/>
      </c>
      <c r="AS35" s="68">
        <f>IF(AS$59="X","",IF(AS$59&lt;&gt;"",AS$59,IF(IFERROR(INDEX(醫師週班表!$C$5:$T$44,$CU35,AS$57),"")=0,"",IF(LEN(IFERROR(INDEX(醫師週班表!$C$5:$T$44,$CU35,AS$57),""))=4,MID(IFERROR(INDEX(醫師週班表!$C$5:$T$44,$CU35,AS$57),""),1+AS$58*2,1),IF(LEN(IFERROR(INDEX(醫師週班表!$C$5:$T$44,$CU35,AS$57),""))=2,IF(AND(RIGHT(IFERROR(INDEX(醫師週班表!$C$5:$T$44,$CU35,AS$57),""),1)="~",AS$58=1),"",LEFT(IFERROR(INDEX(醫師週班表!$C$5:$T$44,$CU35,AS$57),""),1)),IFERROR(INDEX(醫師週班表!$C$5:$T$44,$CU35,AS$57),""))))))</f>
        <v/>
      </c>
      <c r="AT35" s="68">
        <f>IF(AT$59="X","",IF(AT$59&lt;&gt;"",AT$59,IF(IFERROR(INDEX(醫師週班表!$C$5:$T$44,$CU35,AT$57),"")=0,"",IF(LEN(IFERROR(INDEX(醫師週班表!$C$5:$T$44,$CU35,AT$57),""))=4,MID(IFERROR(INDEX(醫師週班表!$C$5:$T$44,$CU35,AT$57),""),1+AT$58*2,1),IF(LEN(IFERROR(INDEX(醫師週班表!$C$5:$T$44,$CU35,AT$57),""))=2,IF(AND(RIGHT(IFERROR(INDEX(醫師週班表!$C$5:$T$44,$CU35,AT$57),""),1)="~",AT$58=1),"",LEFT(IFERROR(INDEX(醫師週班表!$C$5:$T$44,$CU35,AT$57),""),1)),IFERROR(INDEX(醫師週班表!$C$5:$T$44,$CU35,AT$57),""))))))</f>
        <v/>
      </c>
      <c r="AU35" s="67">
        <f>IF(AU$59="X","",IF(AU$59&lt;&gt;"",AU$59,IF(IFERROR(INDEX(醫師週班表!$C$5:$T$44,$CU35,AU$57),"")=0,"",IF(LEN(IFERROR(INDEX(醫師週班表!$C$5:$T$44,$CU35,AU$57),""))=4,MID(IFERROR(INDEX(醫師週班表!$C$5:$T$44,$CU35,AU$57),""),1+AU$58*2,1),IF(LEN(IFERROR(INDEX(醫師週班表!$C$5:$T$44,$CU35,AU$57),""))=2,IF(AND(RIGHT(IFERROR(INDEX(醫師週班表!$C$5:$T$44,$CU35,AU$57),""),1)="~",AU$58=1),"",LEFT(IFERROR(INDEX(醫師週班表!$C$5:$T$44,$CU35,AU$57),""),1)),IFERROR(INDEX(醫師週班表!$C$5:$T$44,$CU35,AU$57),""))))))</f>
        <v/>
      </c>
      <c r="AV35" s="68">
        <f>IF(AV$59="X","",IF(AV$59&lt;&gt;"",AV$59,IF(IFERROR(INDEX(醫師週班表!$C$5:$T$44,$CU35,AV$57),"")=0,"",IF(LEN(IFERROR(INDEX(醫師週班表!$C$5:$T$44,$CU35,AV$57),""))=4,MID(IFERROR(INDEX(醫師週班表!$C$5:$T$44,$CU35,AV$57),""),1+AV$58*2,1),IF(LEN(IFERROR(INDEX(醫師週班表!$C$5:$T$44,$CU35,AV$57),""))=2,IF(AND(RIGHT(IFERROR(INDEX(醫師週班表!$C$5:$T$44,$CU35,AV$57),""),1)="~",AV$58=1),"",LEFT(IFERROR(INDEX(醫師週班表!$C$5:$T$44,$CU35,AV$57),""),1)),IFERROR(INDEX(醫師週班表!$C$5:$T$44,$CU35,AV$57),""))))))</f>
        <v/>
      </c>
      <c r="AW35" s="68">
        <f>IF(AW$59="X","",IF(AW$59&lt;&gt;"",AW$59,IF(IFERROR(INDEX(醫師週班表!$C$5:$T$44,$CU35,AW$57),"")=0,"",IF(LEN(IFERROR(INDEX(醫師週班表!$C$5:$T$44,$CU35,AW$57),""))=4,MID(IFERROR(INDEX(醫師週班表!$C$5:$T$44,$CU35,AW$57),""),1+AW$58*2,1),IF(LEN(IFERROR(INDEX(醫師週班表!$C$5:$T$44,$CU35,AW$57),""))=2,IF(AND(RIGHT(IFERROR(INDEX(醫師週班表!$C$5:$T$44,$CU35,AW$57),""),1)="~",AW$58=1),"",LEFT(IFERROR(INDEX(醫師週班表!$C$5:$T$44,$CU35,AW$57),""),1)),IFERROR(INDEX(醫師週班表!$C$5:$T$44,$CU35,AW$57),""))))))</f>
        <v/>
      </c>
      <c r="AX35" s="67">
        <f>IF(AX$59="X","",IF(AX$59&lt;&gt;"",AX$59,IF(IFERROR(INDEX(醫師週班表!$C$5:$T$44,$CU35,AX$57),"")=0,"",IF(LEN(IFERROR(INDEX(醫師週班表!$C$5:$T$44,$CU35,AX$57),""))=4,MID(IFERROR(INDEX(醫師週班表!$C$5:$T$44,$CU35,AX$57),""),1+AX$58*2,1),IF(LEN(IFERROR(INDEX(醫師週班表!$C$5:$T$44,$CU35,AX$57),""))=2,IF(AND(RIGHT(IFERROR(INDEX(醫師週班表!$C$5:$T$44,$CU35,AX$57),""),1)="~",AX$58=1),"",LEFT(IFERROR(INDEX(醫師週班表!$C$5:$T$44,$CU35,AX$57),""),1)),IFERROR(INDEX(醫師週班表!$C$5:$T$44,$CU35,AX$57),""))))))</f>
        <v/>
      </c>
      <c r="AY35" s="68">
        <f>IF(AY$59="X","",IF(AY$59&lt;&gt;"",AY$59,IF(IFERROR(INDEX(醫師週班表!$C$5:$T$44,$CU35,AY$57),"")=0,"",IF(LEN(IFERROR(INDEX(醫師週班表!$C$5:$T$44,$CU35,AY$57),""))=4,MID(IFERROR(INDEX(醫師週班表!$C$5:$T$44,$CU35,AY$57),""),1+AY$58*2,1),IF(LEN(IFERROR(INDEX(醫師週班表!$C$5:$T$44,$CU35,AY$57),""))=2,IF(AND(RIGHT(IFERROR(INDEX(醫師週班表!$C$5:$T$44,$CU35,AY$57),""),1)="~",AY$58=1),"",LEFT(IFERROR(INDEX(醫師週班表!$C$5:$T$44,$CU35,AY$57),""),1)),IFERROR(INDEX(醫師週班表!$C$5:$T$44,$CU35,AY$57),""))))))</f>
        <v/>
      </c>
      <c r="AZ35" s="68">
        <f>IF(AZ$59="X","",IF(AZ$59&lt;&gt;"",AZ$59,IF(IFERROR(INDEX(醫師週班表!$C$5:$T$44,$CU35,AZ$57),"")=0,"",IF(LEN(IFERROR(INDEX(醫師週班表!$C$5:$T$44,$CU35,AZ$57),""))=4,MID(IFERROR(INDEX(醫師週班表!$C$5:$T$44,$CU35,AZ$57),""),1+AZ$58*2,1),IF(LEN(IFERROR(INDEX(醫師週班表!$C$5:$T$44,$CU35,AZ$57),""))=2,IF(AND(RIGHT(IFERROR(INDEX(醫師週班表!$C$5:$T$44,$CU35,AZ$57),""),1)="~",AZ$58=1),"",LEFT(IFERROR(INDEX(醫師週班表!$C$5:$T$44,$CU35,AZ$57),""),1)),IFERROR(INDEX(醫師週班表!$C$5:$T$44,$CU35,AZ$57),""))))))</f>
        <v/>
      </c>
      <c r="BA35" s="67">
        <f>IF(BA$59="X","",IF(BA$59&lt;&gt;"",BA$59,IF(IFERROR(INDEX(醫師週班表!$C$5:$T$44,$CU35,BA$57),"")=0,"",IF(LEN(IFERROR(INDEX(醫師週班表!$C$5:$T$44,$CU35,BA$57),""))=4,MID(IFERROR(INDEX(醫師週班表!$C$5:$T$44,$CU35,BA$57),""),1+BA$58*2,1),IF(LEN(IFERROR(INDEX(醫師週班表!$C$5:$T$44,$CU35,BA$57),""))=2,IF(AND(RIGHT(IFERROR(INDEX(醫師週班表!$C$5:$T$44,$CU35,BA$57),""),1)="~",BA$58=1),"",LEFT(IFERROR(INDEX(醫師週班表!$C$5:$T$44,$CU35,BA$57),""),1)),IFERROR(INDEX(醫師週班表!$C$5:$T$44,$CU35,BA$57),""))))))</f>
        <v/>
      </c>
      <c r="BB35" s="68">
        <f>IF(BB$59="X","",IF(BB$59&lt;&gt;"",BB$59,IF(IFERROR(INDEX(醫師週班表!$C$5:$T$44,$CU35,BB$57),"")=0,"",IF(LEN(IFERROR(INDEX(醫師週班表!$C$5:$T$44,$CU35,BB$57),""))=4,MID(IFERROR(INDEX(醫師週班表!$C$5:$T$44,$CU35,BB$57),""),1+BB$58*2,1),IF(LEN(IFERROR(INDEX(醫師週班表!$C$5:$T$44,$CU35,BB$57),""))=2,IF(AND(RIGHT(IFERROR(INDEX(醫師週班表!$C$5:$T$44,$CU35,BB$57),""),1)="~",BB$58=1),"",LEFT(IFERROR(INDEX(醫師週班表!$C$5:$T$44,$CU35,BB$57),""),1)),IFERROR(INDEX(醫師週班表!$C$5:$T$44,$CU35,BB$57),""))))))</f>
        <v/>
      </c>
      <c r="BC35" s="68">
        <f>IF(BC$59="X","",IF(BC$59&lt;&gt;"",BC$59,IF(IFERROR(INDEX(醫師週班表!$C$5:$T$44,$CU35,BC$57),"")=0,"",IF(LEN(IFERROR(INDEX(醫師週班表!$C$5:$T$44,$CU35,BC$57),""))=4,MID(IFERROR(INDEX(醫師週班表!$C$5:$T$44,$CU35,BC$57),""),1+BC$58*2,1),IF(LEN(IFERROR(INDEX(醫師週班表!$C$5:$T$44,$CU35,BC$57),""))=2,IF(AND(RIGHT(IFERROR(INDEX(醫師週班表!$C$5:$T$44,$CU35,BC$57),""),1)="~",BC$58=1),"",LEFT(IFERROR(INDEX(醫師週班表!$C$5:$T$44,$CU35,BC$57),""),1)),IFERROR(INDEX(醫師週班表!$C$5:$T$44,$CU35,BC$57),""))))))</f>
        <v/>
      </c>
      <c r="BD35" s="67">
        <f>IF(BD$59="X","",IF(BD$59&lt;&gt;"",BD$59,IF(IFERROR(INDEX(醫師週班表!$C$5:$T$44,$CU35,BD$57),"")=0,"",IF(LEN(IFERROR(INDEX(醫師週班表!$C$5:$T$44,$CU35,BD$57),""))=4,MID(IFERROR(INDEX(醫師週班表!$C$5:$T$44,$CU35,BD$57),""),1+BD$58*2,1),IF(LEN(IFERROR(INDEX(醫師週班表!$C$5:$T$44,$CU35,BD$57),""))=2,IF(AND(RIGHT(IFERROR(INDEX(醫師週班表!$C$5:$T$44,$CU35,BD$57),""),1)="~",BD$58=1),"",LEFT(IFERROR(INDEX(醫師週班表!$C$5:$T$44,$CU35,BD$57),""),1)),IFERROR(INDEX(醫師週班表!$C$5:$T$44,$CU35,BD$57),""))))))</f>
        <v/>
      </c>
      <c r="BE35" s="68">
        <f>IF(BE$59="X","",IF(BE$59&lt;&gt;"",BE$59,IF(IFERROR(INDEX(醫師週班表!$C$5:$T$44,$CU35,BE$57),"")=0,"",IF(LEN(IFERROR(INDEX(醫師週班表!$C$5:$T$44,$CU35,BE$57),""))=4,MID(IFERROR(INDEX(醫師週班表!$C$5:$T$44,$CU35,BE$57),""),1+BE$58*2,1),IF(LEN(IFERROR(INDEX(醫師週班表!$C$5:$T$44,$CU35,BE$57),""))=2,IF(AND(RIGHT(IFERROR(INDEX(醫師週班表!$C$5:$T$44,$CU35,BE$57),""),1)="~",BE$58=1),"",LEFT(IFERROR(INDEX(醫師週班表!$C$5:$T$44,$CU35,BE$57),""),1)),IFERROR(INDEX(醫師週班表!$C$5:$T$44,$CU35,BE$57),""))))))</f>
        <v/>
      </c>
      <c r="BF35" s="68">
        <f>IF(BF$59="X","",IF(BF$59&lt;&gt;"",BF$59,IF(IFERROR(INDEX(醫師週班表!$C$5:$T$44,$CU35,BF$57),"")=0,"",IF(LEN(IFERROR(INDEX(醫師週班表!$C$5:$T$44,$CU35,BF$57),""))=4,MID(IFERROR(INDEX(醫師週班表!$C$5:$T$44,$CU35,BF$57),""),1+BF$58*2,1),IF(LEN(IFERROR(INDEX(醫師週班表!$C$5:$T$44,$CU35,BF$57),""))=2,IF(AND(RIGHT(IFERROR(INDEX(醫師週班表!$C$5:$T$44,$CU35,BF$57),""),1)="~",BF$58=1),"",LEFT(IFERROR(INDEX(醫師週班表!$C$5:$T$44,$CU35,BF$57),""),1)),IFERROR(INDEX(醫師週班表!$C$5:$T$44,$CU35,BF$57),""))))))</f>
        <v/>
      </c>
      <c r="BG35" s="67">
        <f>IF(BG$59="X","",IF(BG$59&lt;&gt;"",BG$59,IF(IFERROR(INDEX(醫師週班表!$C$5:$T$44,$CU35,BG$57),"")=0,"",IF(LEN(IFERROR(INDEX(醫師週班表!$C$5:$T$44,$CU35,BG$57),""))=4,MID(IFERROR(INDEX(醫師週班表!$C$5:$T$44,$CU35,BG$57),""),1+BG$58*2,1),IF(LEN(IFERROR(INDEX(醫師週班表!$C$5:$T$44,$CU35,BG$57),""))=2,IF(AND(RIGHT(IFERROR(INDEX(醫師週班表!$C$5:$T$44,$CU35,BG$57),""),1)="~",BG$58=1),"",LEFT(IFERROR(INDEX(醫師週班表!$C$5:$T$44,$CU35,BG$57),""),1)),IFERROR(INDEX(醫師週班表!$C$5:$T$44,$CU35,BG$57),""))))))</f>
        <v/>
      </c>
      <c r="BH35" s="68">
        <f>IF(BH$59="X","",IF(BH$59&lt;&gt;"",BH$59,IF(IFERROR(INDEX(醫師週班表!$C$5:$T$44,$CU35,BH$57),"")=0,"",IF(LEN(IFERROR(INDEX(醫師週班表!$C$5:$T$44,$CU35,BH$57),""))=4,MID(IFERROR(INDEX(醫師週班表!$C$5:$T$44,$CU35,BH$57),""),1+BH$58*2,1),IF(LEN(IFERROR(INDEX(醫師週班表!$C$5:$T$44,$CU35,BH$57),""))=2,IF(AND(RIGHT(IFERROR(INDEX(醫師週班表!$C$5:$T$44,$CU35,BH$57),""),1)="~",BH$58=1),"",LEFT(IFERROR(INDEX(醫師週班表!$C$5:$T$44,$CU35,BH$57),""),1)),IFERROR(INDEX(醫師週班表!$C$5:$T$44,$CU35,BH$57),""))))))</f>
        <v/>
      </c>
      <c r="BI35" s="68">
        <f>IF(BI$59="X","",IF(BI$59&lt;&gt;"",BI$59,IF(IFERROR(INDEX(醫師週班表!$C$5:$T$44,$CU35,BI$57),"")=0,"",IF(LEN(IFERROR(INDEX(醫師週班表!$C$5:$T$44,$CU35,BI$57),""))=4,MID(IFERROR(INDEX(醫師週班表!$C$5:$T$44,$CU35,BI$57),""),1+BI$58*2,1),IF(LEN(IFERROR(INDEX(醫師週班表!$C$5:$T$44,$CU35,BI$57),""))=2,IF(AND(RIGHT(IFERROR(INDEX(醫師週班表!$C$5:$T$44,$CU35,BI$57),""),1)="~",BI$58=1),"",LEFT(IFERROR(INDEX(醫師週班表!$C$5:$T$44,$CU35,BI$57),""),1)),IFERROR(INDEX(醫師週班表!$C$5:$T$44,$CU35,BI$57),""))))))</f>
        <v/>
      </c>
      <c r="BJ35" s="67">
        <f>IF(BJ$59="X","",IF(BJ$59&lt;&gt;"",BJ$59,IF(IFERROR(INDEX(醫師週班表!$C$5:$T$44,$CU35,BJ$57),"")=0,"",IF(LEN(IFERROR(INDEX(醫師週班表!$C$5:$T$44,$CU35,BJ$57),""))=4,MID(IFERROR(INDEX(醫師週班表!$C$5:$T$44,$CU35,BJ$57),""),1+BJ$58*2,1),IF(LEN(IFERROR(INDEX(醫師週班表!$C$5:$T$44,$CU35,BJ$57),""))=2,IF(AND(RIGHT(IFERROR(INDEX(醫師週班表!$C$5:$T$44,$CU35,BJ$57),""),1)="~",BJ$58=1),"",LEFT(IFERROR(INDEX(醫師週班表!$C$5:$T$44,$CU35,BJ$57),""),1)),IFERROR(INDEX(醫師週班表!$C$5:$T$44,$CU35,BJ$57),""))))))</f>
        <v/>
      </c>
      <c r="BK35" s="68">
        <f>IF(BK$59="X","",IF(BK$59&lt;&gt;"",BK$59,IF(IFERROR(INDEX(醫師週班表!$C$5:$T$44,$CU35,BK$57),"")=0,"",IF(LEN(IFERROR(INDEX(醫師週班表!$C$5:$T$44,$CU35,BK$57),""))=4,MID(IFERROR(INDEX(醫師週班表!$C$5:$T$44,$CU35,BK$57),""),1+BK$58*2,1),IF(LEN(IFERROR(INDEX(醫師週班表!$C$5:$T$44,$CU35,BK$57),""))=2,IF(AND(RIGHT(IFERROR(INDEX(醫師週班表!$C$5:$T$44,$CU35,BK$57),""),1)="~",BK$58=1),"",LEFT(IFERROR(INDEX(醫師週班表!$C$5:$T$44,$CU35,BK$57),""),1)),IFERROR(INDEX(醫師週班表!$C$5:$T$44,$CU35,BK$57),""))))))</f>
        <v/>
      </c>
      <c r="BL35" s="68">
        <f>IF(BL$59="X","",IF(BL$59&lt;&gt;"",BL$59,IF(IFERROR(INDEX(醫師週班表!$C$5:$T$44,$CU35,BL$57),"")=0,"",IF(LEN(IFERROR(INDEX(醫師週班表!$C$5:$T$44,$CU35,BL$57),""))=4,MID(IFERROR(INDEX(醫師週班表!$C$5:$T$44,$CU35,BL$57),""),1+BL$58*2,1),IF(LEN(IFERROR(INDEX(醫師週班表!$C$5:$T$44,$CU35,BL$57),""))=2,IF(AND(RIGHT(IFERROR(INDEX(醫師週班表!$C$5:$T$44,$CU35,BL$57),""),1)="~",BL$58=1),"",LEFT(IFERROR(INDEX(醫師週班表!$C$5:$T$44,$CU35,BL$57),""),1)),IFERROR(INDEX(醫師週班表!$C$5:$T$44,$CU35,BL$57),""))))))</f>
        <v/>
      </c>
      <c r="BM35" s="67">
        <f>IF(BM$59="X","",IF(BM$59&lt;&gt;"",BM$59,IF(IFERROR(INDEX(醫師週班表!$C$5:$T$44,$CU35,BM$57),"")=0,"",IF(LEN(IFERROR(INDEX(醫師週班表!$C$5:$T$44,$CU35,BM$57),""))=4,MID(IFERROR(INDEX(醫師週班表!$C$5:$T$44,$CU35,BM$57),""),1+BM$58*2,1),IF(LEN(IFERROR(INDEX(醫師週班表!$C$5:$T$44,$CU35,BM$57),""))=2,IF(AND(RIGHT(IFERROR(INDEX(醫師週班表!$C$5:$T$44,$CU35,BM$57),""),1)="~",BM$58=1),"",LEFT(IFERROR(INDEX(醫師週班表!$C$5:$T$44,$CU35,BM$57),""),1)),IFERROR(INDEX(醫師週班表!$C$5:$T$44,$CU35,BM$57),""))))))</f>
        <v/>
      </c>
      <c r="BN35" s="68">
        <f>IF(BN$59="X","",IF(BN$59&lt;&gt;"",BN$59,IF(IFERROR(INDEX(醫師週班表!$C$5:$T$44,$CU35,BN$57),"")=0,"",IF(LEN(IFERROR(INDEX(醫師週班表!$C$5:$T$44,$CU35,BN$57),""))=4,MID(IFERROR(INDEX(醫師週班表!$C$5:$T$44,$CU35,BN$57),""),1+BN$58*2,1),IF(LEN(IFERROR(INDEX(醫師週班表!$C$5:$T$44,$CU35,BN$57),""))=2,IF(AND(RIGHT(IFERROR(INDEX(醫師週班表!$C$5:$T$44,$CU35,BN$57),""),1)="~",BN$58=1),"",LEFT(IFERROR(INDEX(醫師週班表!$C$5:$T$44,$CU35,BN$57),""),1)),IFERROR(INDEX(醫師週班表!$C$5:$T$44,$CU35,BN$57),""))))))</f>
        <v/>
      </c>
      <c r="BO35" s="68">
        <f>IF(BO$59="X","",IF(BO$59&lt;&gt;"",BO$59,IF(IFERROR(INDEX(醫師週班表!$C$5:$T$44,$CU35,BO$57),"")=0,"",IF(LEN(IFERROR(INDEX(醫師週班表!$C$5:$T$44,$CU35,BO$57),""))=4,MID(IFERROR(INDEX(醫師週班表!$C$5:$T$44,$CU35,BO$57),""),1+BO$58*2,1),IF(LEN(IFERROR(INDEX(醫師週班表!$C$5:$T$44,$CU35,BO$57),""))=2,IF(AND(RIGHT(IFERROR(INDEX(醫師週班表!$C$5:$T$44,$CU35,BO$57),""),1)="~",BO$58=1),"",LEFT(IFERROR(INDEX(醫師週班表!$C$5:$T$44,$CU35,BO$57),""),1)),IFERROR(INDEX(醫師週班表!$C$5:$T$44,$CU35,BO$57),""))))))</f>
        <v/>
      </c>
      <c r="BP35" s="67">
        <f>IF(BP$59="X","",IF(BP$59&lt;&gt;"",BP$59,IF(IFERROR(INDEX(醫師週班表!$C$5:$T$44,$CU35,BP$57),"")=0,"",IF(LEN(IFERROR(INDEX(醫師週班表!$C$5:$T$44,$CU35,BP$57),""))=4,MID(IFERROR(INDEX(醫師週班表!$C$5:$T$44,$CU35,BP$57),""),1+BP$58*2,1),IF(LEN(IFERROR(INDEX(醫師週班表!$C$5:$T$44,$CU35,BP$57),""))=2,IF(AND(RIGHT(IFERROR(INDEX(醫師週班表!$C$5:$T$44,$CU35,BP$57),""),1)="~",BP$58=1),"",LEFT(IFERROR(INDEX(醫師週班表!$C$5:$T$44,$CU35,BP$57),""),1)),IFERROR(INDEX(醫師週班表!$C$5:$T$44,$CU35,BP$57),""))))))</f>
        <v/>
      </c>
      <c r="BQ35" s="68">
        <f>IF(BQ$59="X","",IF(BQ$59&lt;&gt;"",BQ$59,IF(IFERROR(INDEX(醫師週班表!$C$5:$T$44,$CU35,BQ$57),"")=0,"",IF(LEN(IFERROR(INDEX(醫師週班表!$C$5:$T$44,$CU35,BQ$57),""))=4,MID(IFERROR(INDEX(醫師週班表!$C$5:$T$44,$CU35,BQ$57),""),1+BQ$58*2,1),IF(LEN(IFERROR(INDEX(醫師週班表!$C$5:$T$44,$CU35,BQ$57),""))=2,IF(AND(RIGHT(IFERROR(INDEX(醫師週班表!$C$5:$T$44,$CU35,BQ$57),""),1)="~",BQ$58=1),"",LEFT(IFERROR(INDEX(醫師週班表!$C$5:$T$44,$CU35,BQ$57),""),1)),IFERROR(INDEX(醫師週班表!$C$5:$T$44,$CU35,BQ$57),""))))))</f>
        <v/>
      </c>
      <c r="BR35" s="68">
        <f>IF(BR$59="X","",IF(BR$59&lt;&gt;"",BR$59,IF(IFERROR(INDEX(醫師週班表!$C$5:$T$44,$CU35,BR$57),"")=0,"",IF(LEN(IFERROR(INDEX(醫師週班表!$C$5:$T$44,$CU35,BR$57),""))=4,MID(IFERROR(INDEX(醫師週班表!$C$5:$T$44,$CU35,BR$57),""),1+BR$58*2,1),IF(LEN(IFERROR(INDEX(醫師週班表!$C$5:$T$44,$CU35,BR$57),""))=2,IF(AND(RIGHT(IFERROR(INDEX(醫師週班表!$C$5:$T$44,$CU35,BR$57),""),1)="~",BR$58=1),"",LEFT(IFERROR(INDEX(醫師週班表!$C$5:$T$44,$CU35,BR$57),""),1)),IFERROR(INDEX(醫師週班表!$C$5:$T$44,$CU35,BR$57),""))))))</f>
        <v/>
      </c>
      <c r="BS35" s="67">
        <f>IF(BS$59="X","",IF(BS$59&lt;&gt;"",BS$59,IF(IFERROR(INDEX(醫師週班表!$C$5:$T$44,$CU35,BS$57),"")=0,"",IF(LEN(IFERROR(INDEX(醫師週班表!$C$5:$T$44,$CU35,BS$57),""))=4,MID(IFERROR(INDEX(醫師週班表!$C$5:$T$44,$CU35,BS$57),""),1+BS$58*2,1),IF(LEN(IFERROR(INDEX(醫師週班表!$C$5:$T$44,$CU35,BS$57),""))=2,IF(AND(RIGHT(IFERROR(INDEX(醫師週班表!$C$5:$T$44,$CU35,BS$57),""),1)="~",BS$58=1),"",LEFT(IFERROR(INDEX(醫師週班表!$C$5:$T$44,$CU35,BS$57),""),1)),IFERROR(INDEX(醫師週班表!$C$5:$T$44,$CU35,BS$57),""))))))</f>
        <v/>
      </c>
      <c r="BT35" s="68">
        <f>IF(BT$59="X","",IF(BT$59&lt;&gt;"",BT$59,IF(IFERROR(INDEX(醫師週班表!$C$5:$T$44,$CU35,BT$57),"")=0,"",IF(LEN(IFERROR(INDEX(醫師週班表!$C$5:$T$44,$CU35,BT$57),""))=4,MID(IFERROR(INDEX(醫師週班表!$C$5:$T$44,$CU35,BT$57),""),1+BT$58*2,1),IF(LEN(IFERROR(INDEX(醫師週班表!$C$5:$T$44,$CU35,BT$57),""))=2,IF(AND(RIGHT(IFERROR(INDEX(醫師週班表!$C$5:$T$44,$CU35,BT$57),""),1)="~",BT$58=1),"",LEFT(IFERROR(INDEX(醫師週班表!$C$5:$T$44,$CU35,BT$57),""),1)),IFERROR(INDEX(醫師週班表!$C$5:$T$44,$CU35,BT$57),""))))))</f>
        <v/>
      </c>
      <c r="BU35" s="68">
        <f>IF(BU$59="X","",IF(BU$59&lt;&gt;"",BU$59,IF(IFERROR(INDEX(醫師週班表!$C$5:$T$44,$CU35,BU$57),"")=0,"",IF(LEN(IFERROR(INDEX(醫師週班表!$C$5:$T$44,$CU35,BU$57),""))=4,MID(IFERROR(INDEX(醫師週班表!$C$5:$T$44,$CU35,BU$57),""),1+BU$58*2,1),IF(LEN(IFERROR(INDEX(醫師週班表!$C$5:$T$44,$CU35,BU$57),""))=2,IF(AND(RIGHT(IFERROR(INDEX(醫師週班表!$C$5:$T$44,$CU35,BU$57),""),1)="~",BU$58=1),"",LEFT(IFERROR(INDEX(醫師週班表!$C$5:$T$44,$CU35,BU$57),""),1)),IFERROR(INDEX(醫師週班表!$C$5:$T$44,$CU35,BU$57),""))))))</f>
        <v/>
      </c>
      <c r="BV35" s="67">
        <f>IF(BV$59="X","",IF(BV$59&lt;&gt;"",BV$59,IF(IFERROR(INDEX(醫師週班表!$C$5:$T$44,$CU35,BV$57),"")=0,"",IF(LEN(IFERROR(INDEX(醫師週班表!$C$5:$T$44,$CU35,BV$57),""))=4,MID(IFERROR(INDEX(醫師週班表!$C$5:$T$44,$CU35,BV$57),""),1+BV$58*2,1),IF(LEN(IFERROR(INDEX(醫師週班表!$C$5:$T$44,$CU35,BV$57),""))=2,IF(AND(RIGHT(IFERROR(INDEX(醫師週班表!$C$5:$T$44,$CU35,BV$57),""),1)="~",BV$58=1),"",LEFT(IFERROR(INDEX(醫師週班表!$C$5:$T$44,$CU35,BV$57),""),1)),IFERROR(INDEX(醫師週班表!$C$5:$T$44,$CU35,BV$57),""))))))</f>
        <v/>
      </c>
      <c r="BW35" s="68">
        <f>IF(BW$59="X","",IF(BW$59&lt;&gt;"",BW$59,IF(IFERROR(INDEX(醫師週班表!$C$5:$T$44,$CU35,BW$57),"")=0,"",IF(LEN(IFERROR(INDEX(醫師週班表!$C$5:$T$44,$CU35,BW$57),""))=4,MID(IFERROR(INDEX(醫師週班表!$C$5:$T$44,$CU35,BW$57),""),1+BW$58*2,1),IF(LEN(IFERROR(INDEX(醫師週班表!$C$5:$T$44,$CU35,BW$57),""))=2,IF(AND(RIGHT(IFERROR(INDEX(醫師週班表!$C$5:$T$44,$CU35,BW$57),""),1)="~",BW$58=1),"",LEFT(IFERROR(INDEX(醫師週班表!$C$5:$T$44,$CU35,BW$57),""),1)),IFERROR(INDEX(醫師週班表!$C$5:$T$44,$CU35,BW$57),""))))))</f>
        <v/>
      </c>
      <c r="BX35" s="68">
        <f>IF(BX$59="X","",IF(BX$59&lt;&gt;"",BX$59,IF(IFERROR(INDEX(醫師週班表!$C$5:$T$44,$CU35,BX$57),"")=0,"",IF(LEN(IFERROR(INDEX(醫師週班表!$C$5:$T$44,$CU35,BX$57),""))=4,MID(IFERROR(INDEX(醫師週班表!$C$5:$T$44,$CU35,BX$57),""),1+BX$58*2,1),IF(LEN(IFERROR(INDEX(醫師週班表!$C$5:$T$44,$CU35,BX$57),""))=2,IF(AND(RIGHT(IFERROR(INDEX(醫師週班表!$C$5:$T$44,$CU35,BX$57),""),1)="~",BX$58=1),"",LEFT(IFERROR(INDEX(醫師週班表!$C$5:$T$44,$CU35,BX$57),""),1)),IFERROR(INDEX(醫師週班表!$C$5:$T$44,$CU35,BX$57),""))))))</f>
        <v/>
      </c>
      <c r="BY35" s="67">
        <f>IF(BY$59="X","",IF(BY$59&lt;&gt;"",BY$59,IF(IFERROR(INDEX(醫師週班表!$C$5:$T$44,$CU35,BY$57),"")=0,"",IF(LEN(IFERROR(INDEX(醫師週班表!$C$5:$T$44,$CU35,BY$57),""))=4,MID(IFERROR(INDEX(醫師週班表!$C$5:$T$44,$CU35,BY$57),""),1+BY$58*2,1),IF(LEN(IFERROR(INDEX(醫師週班表!$C$5:$T$44,$CU35,BY$57),""))=2,IF(AND(RIGHT(IFERROR(INDEX(醫師週班表!$C$5:$T$44,$CU35,BY$57),""),1)="~",BY$58=1),"",LEFT(IFERROR(INDEX(醫師週班表!$C$5:$T$44,$CU35,BY$57),""),1)),IFERROR(INDEX(醫師週班表!$C$5:$T$44,$CU35,BY$57),""))))))</f>
        <v/>
      </c>
      <c r="BZ35" s="68">
        <f>IF(BZ$59="X","",IF(BZ$59&lt;&gt;"",BZ$59,IF(IFERROR(INDEX(醫師週班表!$C$5:$T$44,$CU35,BZ$57),"")=0,"",IF(LEN(IFERROR(INDEX(醫師週班表!$C$5:$T$44,$CU35,BZ$57),""))=4,MID(IFERROR(INDEX(醫師週班表!$C$5:$T$44,$CU35,BZ$57),""),1+BZ$58*2,1),IF(LEN(IFERROR(INDEX(醫師週班表!$C$5:$T$44,$CU35,BZ$57),""))=2,IF(AND(RIGHT(IFERROR(INDEX(醫師週班表!$C$5:$T$44,$CU35,BZ$57),""),1)="~",BZ$58=1),"",LEFT(IFERROR(INDEX(醫師週班表!$C$5:$T$44,$CU35,BZ$57),""),1)),IFERROR(INDEX(醫師週班表!$C$5:$T$44,$CU35,BZ$57),""))))))</f>
        <v/>
      </c>
      <c r="CA35" s="68">
        <f>IF(CA$59="X","",IF(CA$59&lt;&gt;"",CA$59,IF(IFERROR(INDEX(醫師週班表!$C$5:$T$44,$CU35,CA$57),"")=0,"",IF(LEN(IFERROR(INDEX(醫師週班表!$C$5:$T$44,$CU35,CA$57),""))=4,MID(IFERROR(INDEX(醫師週班表!$C$5:$T$44,$CU35,CA$57),""),1+CA$58*2,1),IF(LEN(IFERROR(INDEX(醫師週班表!$C$5:$T$44,$CU35,CA$57),""))=2,IF(AND(RIGHT(IFERROR(INDEX(醫師週班表!$C$5:$T$44,$CU35,CA$57),""),1)="~",CA$58=1),"",LEFT(IFERROR(INDEX(醫師週班表!$C$5:$T$44,$CU35,CA$57),""),1)),IFERROR(INDEX(醫師週班表!$C$5:$T$44,$CU35,CA$57),""))))))</f>
        <v/>
      </c>
      <c r="CB35" s="67">
        <f>IF(CB$59="X","",IF(CB$59&lt;&gt;"",CB$59,IF(IFERROR(INDEX(醫師週班表!$C$5:$T$44,$CU35,CB$57),"")=0,"",IF(LEN(IFERROR(INDEX(醫師週班表!$C$5:$T$44,$CU35,CB$57),""))=4,MID(IFERROR(INDEX(醫師週班表!$C$5:$T$44,$CU35,CB$57),""),1+CB$58*2,1),IF(LEN(IFERROR(INDEX(醫師週班表!$C$5:$T$44,$CU35,CB$57),""))=2,IF(AND(RIGHT(IFERROR(INDEX(醫師週班表!$C$5:$T$44,$CU35,CB$57),""),1)="~",CB$58=1),"",LEFT(IFERROR(INDEX(醫師週班表!$C$5:$T$44,$CU35,CB$57),""),1)),IFERROR(INDEX(醫師週班表!$C$5:$T$44,$CU35,CB$57),""))))))</f>
        <v/>
      </c>
      <c r="CC35" s="68">
        <f>IF(CC$59="X","",IF(CC$59&lt;&gt;"",CC$59,IF(IFERROR(INDEX(醫師週班表!$C$5:$T$44,$CU35,CC$57),"")=0,"",IF(LEN(IFERROR(INDEX(醫師週班表!$C$5:$T$44,$CU35,CC$57),""))=4,MID(IFERROR(INDEX(醫師週班表!$C$5:$T$44,$CU35,CC$57),""),1+CC$58*2,1),IF(LEN(IFERROR(INDEX(醫師週班表!$C$5:$T$44,$CU35,CC$57),""))=2,IF(AND(RIGHT(IFERROR(INDEX(醫師週班表!$C$5:$T$44,$CU35,CC$57),""),1)="~",CC$58=1),"",LEFT(IFERROR(INDEX(醫師週班表!$C$5:$T$44,$CU35,CC$57),""),1)),IFERROR(INDEX(醫師週班表!$C$5:$T$44,$CU35,CC$57),""))))))</f>
        <v/>
      </c>
      <c r="CD35" s="68">
        <f>IF(CD$59="X","",IF(CD$59&lt;&gt;"",CD$59,IF(IFERROR(INDEX(醫師週班表!$C$5:$T$44,$CU35,CD$57),"")=0,"",IF(LEN(IFERROR(INDEX(醫師週班表!$C$5:$T$44,$CU35,CD$57),""))=4,MID(IFERROR(INDEX(醫師週班表!$C$5:$T$44,$CU35,CD$57),""),1+CD$58*2,1),IF(LEN(IFERROR(INDEX(醫師週班表!$C$5:$T$44,$CU35,CD$57),""))=2,IF(AND(RIGHT(IFERROR(INDEX(醫師週班表!$C$5:$T$44,$CU35,CD$57),""),1)="~",CD$58=1),"",LEFT(IFERROR(INDEX(醫師週班表!$C$5:$T$44,$CU35,CD$57),""),1)),IFERROR(INDEX(醫師週班表!$C$5:$T$44,$CU35,CD$57),""))))))</f>
        <v/>
      </c>
      <c r="CE35" s="67">
        <f>IF(CE$59="X","",IF(CE$59&lt;&gt;"",CE$59,IF(IFERROR(INDEX(醫師週班表!$C$5:$T$44,$CU35,CE$57),"")=0,"",IF(LEN(IFERROR(INDEX(醫師週班表!$C$5:$T$44,$CU35,CE$57),""))=4,MID(IFERROR(INDEX(醫師週班表!$C$5:$T$44,$CU35,CE$57),""),1+CE$58*2,1),IF(LEN(IFERROR(INDEX(醫師週班表!$C$5:$T$44,$CU35,CE$57),""))=2,IF(AND(RIGHT(IFERROR(INDEX(醫師週班表!$C$5:$T$44,$CU35,CE$57),""),1)="~",CE$58=1),"",LEFT(IFERROR(INDEX(醫師週班表!$C$5:$T$44,$CU35,CE$57),""),1)),IFERROR(INDEX(醫師週班表!$C$5:$T$44,$CU35,CE$57),""))))))</f>
        <v/>
      </c>
      <c r="CF35" s="68">
        <f>IF(CF$59="X","",IF(CF$59&lt;&gt;"",CF$59,IF(IFERROR(INDEX(醫師週班表!$C$5:$T$44,$CU35,CF$57),"")=0,"",IF(LEN(IFERROR(INDEX(醫師週班表!$C$5:$T$44,$CU35,CF$57),""))=4,MID(IFERROR(INDEX(醫師週班表!$C$5:$T$44,$CU35,CF$57),""),1+CF$58*2,1),IF(LEN(IFERROR(INDEX(醫師週班表!$C$5:$T$44,$CU35,CF$57),""))=2,IF(AND(RIGHT(IFERROR(INDEX(醫師週班表!$C$5:$T$44,$CU35,CF$57),""),1)="~",CF$58=1),"",LEFT(IFERROR(INDEX(醫師週班表!$C$5:$T$44,$CU35,CF$57),""),1)),IFERROR(INDEX(醫師週班表!$C$5:$T$44,$CU35,CF$57),""))))))</f>
        <v/>
      </c>
      <c r="CG35" s="68">
        <f>IF(CG$59="X","",IF(CG$59&lt;&gt;"",CG$59,IF(IFERROR(INDEX(醫師週班表!$C$5:$T$44,$CU35,CG$57),"")=0,"",IF(LEN(IFERROR(INDEX(醫師週班表!$C$5:$T$44,$CU35,CG$57),""))=4,MID(IFERROR(INDEX(醫師週班表!$C$5:$T$44,$CU35,CG$57),""),1+CG$58*2,1),IF(LEN(IFERROR(INDEX(醫師週班表!$C$5:$T$44,$CU35,CG$57),""))=2,IF(AND(RIGHT(IFERROR(INDEX(醫師週班表!$C$5:$T$44,$CU35,CG$57),""),1)="~",CG$58=1),"",LEFT(IFERROR(INDEX(醫師週班表!$C$5:$T$44,$CU35,CG$57),""),1)),IFERROR(INDEX(醫師週班表!$C$5:$T$44,$CU35,CG$57),""))))))</f>
        <v/>
      </c>
      <c r="CH35" s="67">
        <f>IF(CH$59="X","",IF(CH$59&lt;&gt;"",CH$59,IF(IFERROR(INDEX(醫師週班表!$C$5:$T$44,$CU35,CH$57),"")=0,"",IF(LEN(IFERROR(INDEX(醫師週班表!$C$5:$T$44,$CU35,CH$57),""))=4,MID(IFERROR(INDEX(醫師週班表!$C$5:$T$44,$CU35,CH$57),""),1+CH$58*2,1),IF(LEN(IFERROR(INDEX(醫師週班表!$C$5:$T$44,$CU35,CH$57),""))=2,IF(AND(RIGHT(IFERROR(INDEX(醫師週班表!$C$5:$T$44,$CU35,CH$57),""),1)="~",CH$58=1),"",LEFT(IFERROR(INDEX(醫師週班表!$C$5:$T$44,$CU35,CH$57),""),1)),IFERROR(INDEX(醫師週班表!$C$5:$T$44,$CU35,CH$57),""))))))</f>
        <v/>
      </c>
      <c r="CI35" s="68">
        <f>IF(CI$59="X","",IF(CI$59&lt;&gt;"",CI$59,IF(IFERROR(INDEX(醫師週班表!$C$5:$T$44,$CU35,CI$57),"")=0,"",IF(LEN(IFERROR(INDEX(醫師週班表!$C$5:$T$44,$CU35,CI$57),""))=4,MID(IFERROR(INDEX(醫師週班表!$C$5:$T$44,$CU35,CI$57),""),1+CI$58*2,1),IF(LEN(IFERROR(INDEX(醫師週班表!$C$5:$T$44,$CU35,CI$57),""))=2,IF(AND(RIGHT(IFERROR(INDEX(醫師週班表!$C$5:$T$44,$CU35,CI$57),""),1)="~",CI$58=1),"",LEFT(IFERROR(INDEX(醫師週班表!$C$5:$T$44,$CU35,CI$57),""),1)),IFERROR(INDEX(醫師週班表!$C$5:$T$44,$CU35,CI$57),""))))))</f>
        <v/>
      </c>
      <c r="CJ35" s="68">
        <f>IF(CJ$59="X","",IF(CJ$59&lt;&gt;"",CJ$59,IF(IFERROR(INDEX(醫師週班表!$C$5:$T$44,$CU35,CJ$57),"")=0,"",IF(LEN(IFERROR(INDEX(醫師週班表!$C$5:$T$44,$CU35,CJ$57),""))=4,MID(IFERROR(INDEX(醫師週班表!$C$5:$T$44,$CU35,CJ$57),""),1+CJ$58*2,1),IF(LEN(IFERROR(INDEX(醫師週班表!$C$5:$T$44,$CU35,CJ$57),""))=2,IF(AND(RIGHT(IFERROR(INDEX(醫師週班表!$C$5:$T$44,$CU35,CJ$57),""),1)="~",CJ$58=1),"",LEFT(IFERROR(INDEX(醫師週班表!$C$5:$T$44,$CU35,CJ$57),""),1)),IFERROR(INDEX(醫師週班表!$C$5:$T$44,$CU35,CJ$57),""))))))</f>
        <v/>
      </c>
      <c r="CK35" s="67">
        <f>IF(CK$59="X","",IF(CK$59&lt;&gt;"",CK$59,IF(IFERROR(INDEX(醫師週班表!$C$5:$T$44,$CU35,CK$57),"")=0,"",IF(LEN(IFERROR(INDEX(醫師週班表!$C$5:$T$44,$CU35,CK$57),""))=4,MID(IFERROR(INDEX(醫師週班表!$C$5:$T$44,$CU35,CK$57),""),1+CK$58*2,1),IF(LEN(IFERROR(INDEX(醫師週班表!$C$5:$T$44,$CU35,CK$57),""))=2,IF(AND(RIGHT(IFERROR(INDEX(醫師週班表!$C$5:$T$44,$CU35,CK$57),""),1)="~",CK$58=1),"",LEFT(IFERROR(INDEX(醫師週班表!$C$5:$T$44,$CU35,CK$57),""),1)),IFERROR(INDEX(醫師週班表!$C$5:$T$44,$CU35,CK$57),""))))))</f>
        <v/>
      </c>
      <c r="CL35" s="68">
        <f>IF(CL$59="X","",IF(CL$59&lt;&gt;"",CL$59,IF(IFERROR(INDEX(醫師週班表!$C$5:$T$44,$CU35,CL$57),"")=0,"",IF(LEN(IFERROR(INDEX(醫師週班表!$C$5:$T$44,$CU35,CL$57),""))=4,MID(IFERROR(INDEX(醫師週班表!$C$5:$T$44,$CU35,CL$57),""),1+CL$58*2,1),IF(LEN(IFERROR(INDEX(醫師週班表!$C$5:$T$44,$CU35,CL$57),""))=2,IF(AND(RIGHT(IFERROR(INDEX(醫師週班表!$C$5:$T$44,$CU35,CL$57),""),1)="~",CL$58=1),"",LEFT(IFERROR(INDEX(醫師週班表!$C$5:$T$44,$CU35,CL$57),""),1)),IFERROR(INDEX(醫師週班表!$C$5:$T$44,$CU35,CL$57),""))))))</f>
        <v/>
      </c>
      <c r="CM35" s="68">
        <f>IF(CM$59="X","",IF(CM$59&lt;&gt;"",CM$59,IF(IFERROR(INDEX(醫師週班表!$C$5:$T$44,$CU35,CM$57),"")=0,"",IF(LEN(IFERROR(INDEX(醫師週班表!$C$5:$T$44,$CU35,CM$57),""))=4,MID(IFERROR(INDEX(醫師週班表!$C$5:$T$44,$CU35,CM$57),""),1+CM$58*2,1),IF(LEN(IFERROR(INDEX(醫師週班表!$C$5:$T$44,$CU35,CM$57),""))=2,IF(AND(RIGHT(IFERROR(INDEX(醫師週班表!$C$5:$T$44,$CU35,CM$57),""),1)="~",CM$58=1),"",LEFT(IFERROR(INDEX(醫師週班表!$C$5:$T$44,$CU35,CM$57),""),1)),IFERROR(INDEX(醫師週班表!$C$5:$T$44,$CU35,CM$57),""))))))</f>
        <v/>
      </c>
      <c r="CN35" s="67">
        <f>IF(CN$59="X","",IF(CN$59&lt;&gt;"",CN$59,IF(IFERROR(INDEX(醫師週班表!$C$5:$T$44,$CU35,CN$57),"")=0,"",IF(LEN(IFERROR(INDEX(醫師週班表!$C$5:$T$44,$CU35,CN$57),""))=4,MID(IFERROR(INDEX(醫師週班表!$C$5:$T$44,$CU35,CN$57),""),1+CN$58*2,1),IF(LEN(IFERROR(INDEX(醫師週班表!$C$5:$T$44,$CU35,CN$57),""))=2,IF(AND(RIGHT(IFERROR(INDEX(醫師週班表!$C$5:$T$44,$CU35,CN$57),""),1)="~",CN$58=1),"",LEFT(IFERROR(INDEX(醫師週班表!$C$5:$T$44,$CU35,CN$57),""),1)),IFERROR(INDEX(醫師週班表!$C$5:$T$44,$CU35,CN$57),""))))))</f>
        <v/>
      </c>
      <c r="CO35" s="68">
        <f>IF(CO$59="X","",IF(CO$59&lt;&gt;"",CO$59,IF(IFERROR(INDEX(醫師週班表!$C$5:$T$44,$CU35,CO$57),"")=0,"",IF(LEN(IFERROR(INDEX(醫師週班表!$C$5:$T$44,$CU35,CO$57),""))=4,MID(IFERROR(INDEX(醫師週班表!$C$5:$T$44,$CU35,CO$57),""),1+CO$58*2,1),IF(LEN(IFERROR(INDEX(醫師週班表!$C$5:$T$44,$CU35,CO$57),""))=2,IF(AND(RIGHT(IFERROR(INDEX(醫師週班表!$C$5:$T$44,$CU35,CO$57),""),1)="~",CO$58=1),"",LEFT(IFERROR(INDEX(醫師週班表!$C$5:$T$44,$CU35,CO$57),""),1)),IFERROR(INDEX(醫師週班表!$C$5:$T$44,$CU35,CO$57),""))))))</f>
        <v/>
      </c>
      <c r="CP35" s="68">
        <f>IF(CP$59="X","",IF(CP$59&lt;&gt;"",CP$59,IF(IFERROR(INDEX(醫師週班表!$C$5:$T$44,$CU35,CP$57),"")=0,"",IF(LEN(IFERROR(INDEX(醫師週班表!$C$5:$T$44,$CU35,CP$57),""))=4,MID(IFERROR(INDEX(醫師週班表!$C$5:$T$44,$CU35,CP$57),""),1+CP$58*2,1),IF(LEN(IFERROR(INDEX(醫師週班表!$C$5:$T$44,$CU35,CP$57),""))=2,IF(AND(RIGHT(IFERROR(INDEX(醫師週班表!$C$5:$T$44,$CU35,CP$57),""),1)="~",CP$58=1),"",LEFT(IFERROR(INDEX(醫師週班表!$C$5:$T$44,$CU35,CP$57),""),1)),IFERROR(INDEX(醫師週班表!$C$5:$T$44,$CU35,CP$57),""))))))</f>
        <v/>
      </c>
      <c r="CQ35" s="67">
        <f>IF(CQ$59="X","",IF(CQ$59&lt;&gt;"",CQ$59,IF(IFERROR(INDEX(醫師週班表!$C$5:$T$44,$CU35,CQ$57),"")=0,"",IF(LEN(IFERROR(INDEX(醫師週班表!$C$5:$T$44,$CU35,CQ$57),""))=4,MID(IFERROR(INDEX(醫師週班表!$C$5:$T$44,$CU35,CQ$57),""),1+CQ$58*2,1),IF(LEN(IFERROR(INDEX(醫師週班表!$C$5:$T$44,$CU35,CQ$57),""))=2,IF(AND(RIGHT(IFERROR(INDEX(醫師週班表!$C$5:$T$44,$CU35,CQ$57),""),1)="~",CQ$58=1),"",LEFT(IFERROR(INDEX(醫師週班表!$C$5:$T$44,$CU35,CQ$57),""),1)),IFERROR(INDEX(醫師週班表!$C$5:$T$44,$CU35,CQ$57),""))))))</f>
        <v/>
      </c>
      <c r="CR35" s="68">
        <f>IF(CR$59="X","",IF(CR$59&lt;&gt;"",CR$59,IF(IFERROR(INDEX(醫師週班表!$C$5:$T$44,$CU35,CR$57),"")=0,"",IF(LEN(IFERROR(INDEX(醫師週班表!$C$5:$T$44,$CU35,CR$57),""))=4,MID(IFERROR(INDEX(醫師週班表!$C$5:$T$44,$CU35,CR$57),""),1+CR$58*2,1),IF(LEN(IFERROR(INDEX(醫師週班表!$C$5:$T$44,$CU35,CR$57),""))=2,IF(AND(RIGHT(IFERROR(INDEX(醫師週班表!$C$5:$T$44,$CU35,CR$57),""),1)="~",CR$58=1),"",LEFT(IFERROR(INDEX(醫師週班表!$C$5:$T$44,$CU35,CR$57),""),1)),IFERROR(INDEX(醫師週班表!$C$5:$T$44,$CU35,CR$57),""))))))</f>
        <v/>
      </c>
      <c r="CS35" s="68">
        <f>IF(CS$59="X","",IF(CS$59&lt;&gt;"",CS$59,IF(IFERROR(INDEX(醫師週班表!$C$5:$T$44,$CU35,CS$57),"")=0,"",IF(LEN(IFERROR(INDEX(醫師週班表!$C$5:$T$44,$CU35,CS$57),""))=4,MID(IFERROR(INDEX(醫師週班表!$C$5:$T$44,$CU35,CS$57),""),1+CS$58*2,1),IF(LEN(IFERROR(INDEX(醫師週班表!$C$5:$T$44,$CU35,CS$57),""))=2,IF(AND(RIGHT(IFERROR(INDEX(醫師週班表!$C$5:$T$44,$CU35,CS$57),""),1)="~",CS$58=1),"",LEFT(IFERROR(INDEX(醫師週班表!$C$5:$T$44,$CU35,CS$57),""),1)),IFERROR(INDEX(醫師週班表!$C$5:$T$44,$CU35,CS$57),""))))))</f>
        <v/>
      </c>
      <c r="CU35" s="69">
        <f>IFERROR(MATCH($A35,醫師週班表!$A$5:$A$44,0),0)</f>
        <v/>
      </c>
    </row>
    <row r="36" ht="17" customHeight="1">
      <c r="A36" s="20" t="n"/>
      <c r="B36" s="16">
        <f>IFERROR(INDEX(設定!$C$57:$C$196,MATCH($A36,設定!$B$57:$B$196,0)),"")</f>
        <v/>
      </c>
      <c r="C36" s="66">
        <f>IFERROR(INDEX(設定!$E$57:$E$196,MATCH($A36,設定!$B$57:$B$196,0)),"")</f>
        <v/>
      </c>
      <c r="D36" s="16">
        <f>IFERROR(INDEX(設定!$F$57:$F$196,MATCH($A36,設定!$B$57:$B$196,0)),"")</f>
        <v/>
      </c>
      <c r="E36" s="67">
        <f>IF(E$59="X","",IF(E$59&lt;&gt;"",E$59,IF(IFERROR(INDEX(醫師週班表!$C$5:$T$44,$CU36,E$57),"")=0,"",IF(LEN(IFERROR(INDEX(醫師週班表!$C$5:$T$44,$CU36,E$57),""))=4,MID(IFERROR(INDEX(醫師週班表!$C$5:$T$44,$CU36,E$57),""),1+E$58*2,1),IF(LEN(IFERROR(INDEX(醫師週班表!$C$5:$T$44,$CU36,E$57),""))=2,IF(AND(RIGHT(IFERROR(INDEX(醫師週班表!$C$5:$T$44,$CU36,E$57),""),1)="~",E$58=1),"",LEFT(IFERROR(INDEX(醫師週班表!$C$5:$T$44,$CU36,E$57),""),1)),IFERROR(INDEX(醫師週班表!$C$5:$T$44,$CU36,E$57),""))))))</f>
        <v/>
      </c>
      <c r="F36" s="68">
        <f>IF(F$59="X","",IF(F$59&lt;&gt;"",F$59,IF(IFERROR(INDEX(醫師週班表!$C$5:$T$44,$CU36,F$57),"")=0,"",IF(LEN(IFERROR(INDEX(醫師週班表!$C$5:$T$44,$CU36,F$57),""))=4,MID(IFERROR(INDEX(醫師週班表!$C$5:$T$44,$CU36,F$57),""),1+F$58*2,1),IF(LEN(IFERROR(INDEX(醫師週班表!$C$5:$T$44,$CU36,F$57),""))=2,IF(AND(RIGHT(IFERROR(INDEX(醫師週班表!$C$5:$T$44,$CU36,F$57),""),1)="~",F$58=1),"",LEFT(IFERROR(INDEX(醫師週班表!$C$5:$T$44,$CU36,F$57),""),1)),IFERROR(INDEX(醫師週班表!$C$5:$T$44,$CU36,F$57),""))))))</f>
        <v/>
      </c>
      <c r="G36" s="68">
        <f>IF(G$59="X","",IF(G$59&lt;&gt;"",G$59,IF(IFERROR(INDEX(醫師週班表!$C$5:$T$44,$CU36,G$57),"")=0,"",IF(LEN(IFERROR(INDEX(醫師週班表!$C$5:$T$44,$CU36,G$57),""))=4,MID(IFERROR(INDEX(醫師週班表!$C$5:$T$44,$CU36,G$57),""),1+G$58*2,1),IF(LEN(IFERROR(INDEX(醫師週班表!$C$5:$T$44,$CU36,G$57),""))=2,IF(AND(RIGHT(IFERROR(INDEX(醫師週班表!$C$5:$T$44,$CU36,G$57),""),1)="~",G$58=1),"",LEFT(IFERROR(INDEX(醫師週班表!$C$5:$T$44,$CU36,G$57),""),1)),IFERROR(INDEX(醫師週班表!$C$5:$T$44,$CU36,G$57),""))))))</f>
        <v/>
      </c>
      <c r="H36" s="67">
        <f>IF(H$59="X","",IF(H$59&lt;&gt;"",H$59,IF(IFERROR(INDEX(醫師週班表!$C$5:$T$44,$CU36,H$57),"")=0,"",IF(LEN(IFERROR(INDEX(醫師週班表!$C$5:$T$44,$CU36,H$57),""))=4,MID(IFERROR(INDEX(醫師週班表!$C$5:$T$44,$CU36,H$57),""),1+H$58*2,1),IF(LEN(IFERROR(INDEX(醫師週班表!$C$5:$T$44,$CU36,H$57),""))=2,IF(AND(RIGHT(IFERROR(INDEX(醫師週班表!$C$5:$T$44,$CU36,H$57),""),1)="~",H$58=1),"",LEFT(IFERROR(INDEX(醫師週班表!$C$5:$T$44,$CU36,H$57),""),1)),IFERROR(INDEX(醫師週班表!$C$5:$T$44,$CU36,H$57),""))))))</f>
        <v/>
      </c>
      <c r="I36" s="68">
        <f>IF(I$59="X","",IF(I$59&lt;&gt;"",I$59,IF(IFERROR(INDEX(醫師週班表!$C$5:$T$44,$CU36,I$57),"")=0,"",IF(LEN(IFERROR(INDEX(醫師週班表!$C$5:$T$44,$CU36,I$57),""))=4,MID(IFERROR(INDEX(醫師週班表!$C$5:$T$44,$CU36,I$57),""),1+I$58*2,1),IF(LEN(IFERROR(INDEX(醫師週班表!$C$5:$T$44,$CU36,I$57),""))=2,IF(AND(RIGHT(IFERROR(INDEX(醫師週班表!$C$5:$T$44,$CU36,I$57),""),1)="~",I$58=1),"",LEFT(IFERROR(INDEX(醫師週班表!$C$5:$T$44,$CU36,I$57),""),1)),IFERROR(INDEX(醫師週班表!$C$5:$T$44,$CU36,I$57),""))))))</f>
        <v/>
      </c>
      <c r="J36" s="68">
        <f>IF(J$59="X","",IF(J$59&lt;&gt;"",J$59,IF(IFERROR(INDEX(醫師週班表!$C$5:$T$44,$CU36,J$57),"")=0,"",IF(LEN(IFERROR(INDEX(醫師週班表!$C$5:$T$44,$CU36,J$57),""))=4,MID(IFERROR(INDEX(醫師週班表!$C$5:$T$44,$CU36,J$57),""),1+J$58*2,1),IF(LEN(IFERROR(INDEX(醫師週班表!$C$5:$T$44,$CU36,J$57),""))=2,IF(AND(RIGHT(IFERROR(INDEX(醫師週班表!$C$5:$T$44,$CU36,J$57),""),1)="~",J$58=1),"",LEFT(IFERROR(INDEX(醫師週班表!$C$5:$T$44,$CU36,J$57),""),1)),IFERROR(INDEX(醫師週班表!$C$5:$T$44,$CU36,J$57),""))))))</f>
        <v/>
      </c>
      <c r="K36" s="67">
        <f>IF(K$59="X","",IF(K$59&lt;&gt;"",K$59,IF(IFERROR(INDEX(醫師週班表!$C$5:$T$44,$CU36,K$57),"")=0,"",IF(LEN(IFERROR(INDEX(醫師週班表!$C$5:$T$44,$CU36,K$57),""))=4,MID(IFERROR(INDEX(醫師週班表!$C$5:$T$44,$CU36,K$57),""),1+K$58*2,1),IF(LEN(IFERROR(INDEX(醫師週班表!$C$5:$T$44,$CU36,K$57),""))=2,IF(AND(RIGHT(IFERROR(INDEX(醫師週班表!$C$5:$T$44,$CU36,K$57),""),1)="~",K$58=1),"",LEFT(IFERROR(INDEX(醫師週班表!$C$5:$T$44,$CU36,K$57),""),1)),IFERROR(INDEX(醫師週班表!$C$5:$T$44,$CU36,K$57),""))))))</f>
        <v/>
      </c>
      <c r="L36" s="68">
        <f>IF(L$59="X","",IF(L$59&lt;&gt;"",L$59,IF(IFERROR(INDEX(醫師週班表!$C$5:$T$44,$CU36,L$57),"")=0,"",IF(LEN(IFERROR(INDEX(醫師週班表!$C$5:$T$44,$CU36,L$57),""))=4,MID(IFERROR(INDEX(醫師週班表!$C$5:$T$44,$CU36,L$57),""),1+L$58*2,1),IF(LEN(IFERROR(INDEX(醫師週班表!$C$5:$T$44,$CU36,L$57),""))=2,IF(AND(RIGHT(IFERROR(INDEX(醫師週班表!$C$5:$T$44,$CU36,L$57),""),1)="~",L$58=1),"",LEFT(IFERROR(INDEX(醫師週班表!$C$5:$T$44,$CU36,L$57),""),1)),IFERROR(INDEX(醫師週班表!$C$5:$T$44,$CU36,L$57),""))))))</f>
        <v/>
      </c>
      <c r="M36" s="68">
        <f>IF(M$59="X","",IF(M$59&lt;&gt;"",M$59,IF(IFERROR(INDEX(醫師週班表!$C$5:$T$44,$CU36,M$57),"")=0,"",IF(LEN(IFERROR(INDEX(醫師週班表!$C$5:$T$44,$CU36,M$57),""))=4,MID(IFERROR(INDEX(醫師週班表!$C$5:$T$44,$CU36,M$57),""),1+M$58*2,1),IF(LEN(IFERROR(INDEX(醫師週班表!$C$5:$T$44,$CU36,M$57),""))=2,IF(AND(RIGHT(IFERROR(INDEX(醫師週班表!$C$5:$T$44,$CU36,M$57),""),1)="~",M$58=1),"",LEFT(IFERROR(INDEX(醫師週班表!$C$5:$T$44,$CU36,M$57),""),1)),IFERROR(INDEX(醫師週班表!$C$5:$T$44,$CU36,M$57),""))))))</f>
        <v/>
      </c>
      <c r="N36" s="67">
        <f>IF(N$59="X","",IF(N$59&lt;&gt;"",N$59,IF(IFERROR(INDEX(醫師週班表!$C$5:$T$44,$CU36,N$57),"")=0,"",IF(LEN(IFERROR(INDEX(醫師週班表!$C$5:$T$44,$CU36,N$57),""))=4,MID(IFERROR(INDEX(醫師週班表!$C$5:$T$44,$CU36,N$57),""),1+N$58*2,1),IF(LEN(IFERROR(INDEX(醫師週班表!$C$5:$T$44,$CU36,N$57),""))=2,IF(AND(RIGHT(IFERROR(INDEX(醫師週班表!$C$5:$T$44,$CU36,N$57),""),1)="~",N$58=1),"",LEFT(IFERROR(INDEX(醫師週班表!$C$5:$T$44,$CU36,N$57),""),1)),IFERROR(INDEX(醫師週班表!$C$5:$T$44,$CU36,N$57),""))))))</f>
        <v/>
      </c>
      <c r="O36" s="68">
        <f>IF(O$59="X","",IF(O$59&lt;&gt;"",O$59,IF(IFERROR(INDEX(醫師週班表!$C$5:$T$44,$CU36,O$57),"")=0,"",IF(LEN(IFERROR(INDEX(醫師週班表!$C$5:$T$44,$CU36,O$57),""))=4,MID(IFERROR(INDEX(醫師週班表!$C$5:$T$44,$CU36,O$57),""),1+O$58*2,1),IF(LEN(IFERROR(INDEX(醫師週班表!$C$5:$T$44,$CU36,O$57),""))=2,IF(AND(RIGHT(IFERROR(INDEX(醫師週班表!$C$5:$T$44,$CU36,O$57),""),1)="~",O$58=1),"",LEFT(IFERROR(INDEX(醫師週班表!$C$5:$T$44,$CU36,O$57),""),1)),IFERROR(INDEX(醫師週班表!$C$5:$T$44,$CU36,O$57),""))))))</f>
        <v/>
      </c>
      <c r="P36" s="68">
        <f>IF(P$59="X","",IF(P$59&lt;&gt;"",P$59,IF(IFERROR(INDEX(醫師週班表!$C$5:$T$44,$CU36,P$57),"")=0,"",IF(LEN(IFERROR(INDEX(醫師週班表!$C$5:$T$44,$CU36,P$57),""))=4,MID(IFERROR(INDEX(醫師週班表!$C$5:$T$44,$CU36,P$57),""),1+P$58*2,1),IF(LEN(IFERROR(INDEX(醫師週班表!$C$5:$T$44,$CU36,P$57),""))=2,IF(AND(RIGHT(IFERROR(INDEX(醫師週班表!$C$5:$T$44,$CU36,P$57),""),1)="~",P$58=1),"",LEFT(IFERROR(INDEX(醫師週班表!$C$5:$T$44,$CU36,P$57),""),1)),IFERROR(INDEX(醫師週班表!$C$5:$T$44,$CU36,P$57),""))))))</f>
        <v/>
      </c>
      <c r="Q36" s="67">
        <f>IF(Q$59="X","",IF(Q$59&lt;&gt;"",Q$59,IF(IFERROR(INDEX(醫師週班表!$C$5:$T$44,$CU36,Q$57),"")=0,"",IF(LEN(IFERROR(INDEX(醫師週班表!$C$5:$T$44,$CU36,Q$57),""))=4,MID(IFERROR(INDEX(醫師週班表!$C$5:$T$44,$CU36,Q$57),""),1+Q$58*2,1),IF(LEN(IFERROR(INDEX(醫師週班表!$C$5:$T$44,$CU36,Q$57),""))=2,IF(AND(RIGHT(IFERROR(INDEX(醫師週班表!$C$5:$T$44,$CU36,Q$57),""),1)="~",Q$58=1),"",LEFT(IFERROR(INDEX(醫師週班表!$C$5:$T$44,$CU36,Q$57),""),1)),IFERROR(INDEX(醫師週班表!$C$5:$T$44,$CU36,Q$57),""))))))</f>
        <v/>
      </c>
      <c r="R36" s="68">
        <f>IF(R$59="X","",IF(R$59&lt;&gt;"",R$59,IF(IFERROR(INDEX(醫師週班表!$C$5:$T$44,$CU36,R$57),"")=0,"",IF(LEN(IFERROR(INDEX(醫師週班表!$C$5:$T$44,$CU36,R$57),""))=4,MID(IFERROR(INDEX(醫師週班表!$C$5:$T$44,$CU36,R$57),""),1+R$58*2,1),IF(LEN(IFERROR(INDEX(醫師週班表!$C$5:$T$44,$CU36,R$57),""))=2,IF(AND(RIGHT(IFERROR(INDEX(醫師週班表!$C$5:$T$44,$CU36,R$57),""),1)="~",R$58=1),"",LEFT(IFERROR(INDEX(醫師週班表!$C$5:$T$44,$CU36,R$57),""),1)),IFERROR(INDEX(醫師週班表!$C$5:$T$44,$CU36,R$57),""))))))</f>
        <v/>
      </c>
      <c r="S36" s="68">
        <f>IF(S$59="X","",IF(S$59&lt;&gt;"",S$59,IF(IFERROR(INDEX(醫師週班表!$C$5:$T$44,$CU36,S$57),"")=0,"",IF(LEN(IFERROR(INDEX(醫師週班表!$C$5:$T$44,$CU36,S$57),""))=4,MID(IFERROR(INDEX(醫師週班表!$C$5:$T$44,$CU36,S$57),""),1+S$58*2,1),IF(LEN(IFERROR(INDEX(醫師週班表!$C$5:$T$44,$CU36,S$57),""))=2,IF(AND(RIGHT(IFERROR(INDEX(醫師週班表!$C$5:$T$44,$CU36,S$57),""),1)="~",S$58=1),"",LEFT(IFERROR(INDEX(醫師週班表!$C$5:$T$44,$CU36,S$57),""),1)),IFERROR(INDEX(醫師週班表!$C$5:$T$44,$CU36,S$57),""))))))</f>
        <v/>
      </c>
      <c r="T36" s="67">
        <f>IF(T$59="X","",IF(T$59&lt;&gt;"",T$59,IF(IFERROR(INDEX(醫師週班表!$C$5:$T$44,$CU36,T$57),"")=0,"",IF(LEN(IFERROR(INDEX(醫師週班表!$C$5:$T$44,$CU36,T$57),""))=4,MID(IFERROR(INDEX(醫師週班表!$C$5:$T$44,$CU36,T$57),""),1+T$58*2,1),IF(LEN(IFERROR(INDEX(醫師週班表!$C$5:$T$44,$CU36,T$57),""))=2,IF(AND(RIGHT(IFERROR(INDEX(醫師週班表!$C$5:$T$44,$CU36,T$57),""),1)="~",T$58=1),"",LEFT(IFERROR(INDEX(醫師週班表!$C$5:$T$44,$CU36,T$57),""),1)),IFERROR(INDEX(醫師週班表!$C$5:$T$44,$CU36,T$57),""))))))</f>
        <v/>
      </c>
      <c r="U36" s="68">
        <f>IF(U$59="X","",IF(U$59&lt;&gt;"",U$59,IF(IFERROR(INDEX(醫師週班表!$C$5:$T$44,$CU36,U$57),"")=0,"",IF(LEN(IFERROR(INDEX(醫師週班表!$C$5:$T$44,$CU36,U$57),""))=4,MID(IFERROR(INDEX(醫師週班表!$C$5:$T$44,$CU36,U$57),""),1+U$58*2,1),IF(LEN(IFERROR(INDEX(醫師週班表!$C$5:$T$44,$CU36,U$57),""))=2,IF(AND(RIGHT(IFERROR(INDEX(醫師週班表!$C$5:$T$44,$CU36,U$57),""),1)="~",U$58=1),"",LEFT(IFERROR(INDEX(醫師週班表!$C$5:$T$44,$CU36,U$57),""),1)),IFERROR(INDEX(醫師週班表!$C$5:$T$44,$CU36,U$57),""))))))</f>
        <v/>
      </c>
      <c r="V36" s="68">
        <f>IF(V$59="X","",IF(V$59&lt;&gt;"",V$59,IF(IFERROR(INDEX(醫師週班表!$C$5:$T$44,$CU36,V$57),"")=0,"",IF(LEN(IFERROR(INDEX(醫師週班表!$C$5:$T$44,$CU36,V$57),""))=4,MID(IFERROR(INDEX(醫師週班表!$C$5:$T$44,$CU36,V$57),""),1+V$58*2,1),IF(LEN(IFERROR(INDEX(醫師週班表!$C$5:$T$44,$CU36,V$57),""))=2,IF(AND(RIGHT(IFERROR(INDEX(醫師週班表!$C$5:$T$44,$CU36,V$57),""),1)="~",V$58=1),"",LEFT(IFERROR(INDEX(醫師週班表!$C$5:$T$44,$CU36,V$57),""),1)),IFERROR(INDEX(醫師週班表!$C$5:$T$44,$CU36,V$57),""))))))</f>
        <v/>
      </c>
      <c r="W36" s="67">
        <f>IF(W$59="X","",IF(W$59&lt;&gt;"",W$59,IF(IFERROR(INDEX(醫師週班表!$C$5:$T$44,$CU36,W$57),"")=0,"",IF(LEN(IFERROR(INDEX(醫師週班表!$C$5:$T$44,$CU36,W$57),""))=4,MID(IFERROR(INDEX(醫師週班表!$C$5:$T$44,$CU36,W$57),""),1+W$58*2,1),IF(LEN(IFERROR(INDEX(醫師週班表!$C$5:$T$44,$CU36,W$57),""))=2,IF(AND(RIGHT(IFERROR(INDEX(醫師週班表!$C$5:$T$44,$CU36,W$57),""),1)="~",W$58=1),"",LEFT(IFERROR(INDEX(醫師週班表!$C$5:$T$44,$CU36,W$57),""),1)),IFERROR(INDEX(醫師週班表!$C$5:$T$44,$CU36,W$57),""))))))</f>
        <v/>
      </c>
      <c r="X36" s="68">
        <f>IF(X$59="X","",IF(X$59&lt;&gt;"",X$59,IF(IFERROR(INDEX(醫師週班表!$C$5:$T$44,$CU36,X$57),"")=0,"",IF(LEN(IFERROR(INDEX(醫師週班表!$C$5:$T$44,$CU36,X$57),""))=4,MID(IFERROR(INDEX(醫師週班表!$C$5:$T$44,$CU36,X$57),""),1+X$58*2,1),IF(LEN(IFERROR(INDEX(醫師週班表!$C$5:$T$44,$CU36,X$57),""))=2,IF(AND(RIGHT(IFERROR(INDEX(醫師週班表!$C$5:$T$44,$CU36,X$57),""),1)="~",X$58=1),"",LEFT(IFERROR(INDEX(醫師週班表!$C$5:$T$44,$CU36,X$57),""),1)),IFERROR(INDEX(醫師週班表!$C$5:$T$44,$CU36,X$57),""))))))</f>
        <v/>
      </c>
      <c r="Y36" s="68">
        <f>IF(Y$59="X","",IF(Y$59&lt;&gt;"",Y$59,IF(IFERROR(INDEX(醫師週班表!$C$5:$T$44,$CU36,Y$57),"")=0,"",IF(LEN(IFERROR(INDEX(醫師週班表!$C$5:$T$44,$CU36,Y$57),""))=4,MID(IFERROR(INDEX(醫師週班表!$C$5:$T$44,$CU36,Y$57),""),1+Y$58*2,1),IF(LEN(IFERROR(INDEX(醫師週班表!$C$5:$T$44,$CU36,Y$57),""))=2,IF(AND(RIGHT(IFERROR(INDEX(醫師週班表!$C$5:$T$44,$CU36,Y$57),""),1)="~",Y$58=1),"",LEFT(IFERROR(INDEX(醫師週班表!$C$5:$T$44,$CU36,Y$57),""),1)),IFERROR(INDEX(醫師週班表!$C$5:$T$44,$CU36,Y$57),""))))))</f>
        <v/>
      </c>
      <c r="Z36" s="67">
        <f>IF(Z$59="X","",IF(Z$59&lt;&gt;"",Z$59,IF(IFERROR(INDEX(醫師週班表!$C$5:$T$44,$CU36,Z$57),"")=0,"",IF(LEN(IFERROR(INDEX(醫師週班表!$C$5:$T$44,$CU36,Z$57),""))=4,MID(IFERROR(INDEX(醫師週班表!$C$5:$T$44,$CU36,Z$57),""),1+Z$58*2,1),IF(LEN(IFERROR(INDEX(醫師週班表!$C$5:$T$44,$CU36,Z$57),""))=2,IF(AND(RIGHT(IFERROR(INDEX(醫師週班表!$C$5:$T$44,$CU36,Z$57),""),1)="~",Z$58=1),"",LEFT(IFERROR(INDEX(醫師週班表!$C$5:$T$44,$CU36,Z$57),""),1)),IFERROR(INDEX(醫師週班表!$C$5:$T$44,$CU36,Z$57),""))))))</f>
        <v/>
      </c>
      <c r="AA36" s="68">
        <f>IF(AA$59="X","",IF(AA$59&lt;&gt;"",AA$59,IF(IFERROR(INDEX(醫師週班表!$C$5:$T$44,$CU36,AA$57),"")=0,"",IF(LEN(IFERROR(INDEX(醫師週班表!$C$5:$T$44,$CU36,AA$57),""))=4,MID(IFERROR(INDEX(醫師週班表!$C$5:$T$44,$CU36,AA$57),""),1+AA$58*2,1),IF(LEN(IFERROR(INDEX(醫師週班表!$C$5:$T$44,$CU36,AA$57),""))=2,IF(AND(RIGHT(IFERROR(INDEX(醫師週班表!$C$5:$T$44,$CU36,AA$57),""),1)="~",AA$58=1),"",LEFT(IFERROR(INDEX(醫師週班表!$C$5:$T$44,$CU36,AA$57),""),1)),IFERROR(INDEX(醫師週班表!$C$5:$T$44,$CU36,AA$57),""))))))</f>
        <v/>
      </c>
      <c r="AB36" s="68">
        <f>IF(AB$59="X","",IF(AB$59&lt;&gt;"",AB$59,IF(IFERROR(INDEX(醫師週班表!$C$5:$T$44,$CU36,AB$57),"")=0,"",IF(LEN(IFERROR(INDEX(醫師週班表!$C$5:$T$44,$CU36,AB$57),""))=4,MID(IFERROR(INDEX(醫師週班表!$C$5:$T$44,$CU36,AB$57),""),1+AB$58*2,1),IF(LEN(IFERROR(INDEX(醫師週班表!$C$5:$T$44,$CU36,AB$57),""))=2,IF(AND(RIGHT(IFERROR(INDEX(醫師週班表!$C$5:$T$44,$CU36,AB$57),""),1)="~",AB$58=1),"",LEFT(IFERROR(INDEX(醫師週班表!$C$5:$T$44,$CU36,AB$57),""),1)),IFERROR(INDEX(醫師週班表!$C$5:$T$44,$CU36,AB$57),""))))))</f>
        <v/>
      </c>
      <c r="AC36" s="67">
        <f>IF(AC$59="X","",IF(AC$59&lt;&gt;"",AC$59,IF(IFERROR(INDEX(醫師週班表!$C$5:$T$44,$CU36,AC$57),"")=0,"",IF(LEN(IFERROR(INDEX(醫師週班表!$C$5:$T$44,$CU36,AC$57),""))=4,MID(IFERROR(INDEX(醫師週班表!$C$5:$T$44,$CU36,AC$57),""),1+AC$58*2,1),IF(LEN(IFERROR(INDEX(醫師週班表!$C$5:$T$44,$CU36,AC$57),""))=2,IF(AND(RIGHT(IFERROR(INDEX(醫師週班表!$C$5:$T$44,$CU36,AC$57),""),1)="~",AC$58=1),"",LEFT(IFERROR(INDEX(醫師週班表!$C$5:$T$44,$CU36,AC$57),""),1)),IFERROR(INDEX(醫師週班表!$C$5:$T$44,$CU36,AC$57),""))))))</f>
        <v/>
      </c>
      <c r="AD36" s="68">
        <f>IF(AD$59="X","",IF(AD$59&lt;&gt;"",AD$59,IF(IFERROR(INDEX(醫師週班表!$C$5:$T$44,$CU36,AD$57),"")=0,"",IF(LEN(IFERROR(INDEX(醫師週班表!$C$5:$T$44,$CU36,AD$57),""))=4,MID(IFERROR(INDEX(醫師週班表!$C$5:$T$44,$CU36,AD$57),""),1+AD$58*2,1),IF(LEN(IFERROR(INDEX(醫師週班表!$C$5:$T$44,$CU36,AD$57),""))=2,IF(AND(RIGHT(IFERROR(INDEX(醫師週班表!$C$5:$T$44,$CU36,AD$57),""),1)="~",AD$58=1),"",LEFT(IFERROR(INDEX(醫師週班表!$C$5:$T$44,$CU36,AD$57),""),1)),IFERROR(INDEX(醫師週班表!$C$5:$T$44,$CU36,AD$57),""))))))</f>
        <v/>
      </c>
      <c r="AE36" s="68">
        <f>IF(AE$59="X","",IF(AE$59&lt;&gt;"",AE$59,IF(IFERROR(INDEX(醫師週班表!$C$5:$T$44,$CU36,AE$57),"")=0,"",IF(LEN(IFERROR(INDEX(醫師週班表!$C$5:$T$44,$CU36,AE$57),""))=4,MID(IFERROR(INDEX(醫師週班表!$C$5:$T$44,$CU36,AE$57),""),1+AE$58*2,1),IF(LEN(IFERROR(INDEX(醫師週班表!$C$5:$T$44,$CU36,AE$57),""))=2,IF(AND(RIGHT(IFERROR(INDEX(醫師週班表!$C$5:$T$44,$CU36,AE$57),""),1)="~",AE$58=1),"",LEFT(IFERROR(INDEX(醫師週班表!$C$5:$T$44,$CU36,AE$57),""),1)),IFERROR(INDEX(醫師週班表!$C$5:$T$44,$CU36,AE$57),""))))))</f>
        <v/>
      </c>
      <c r="AF36" s="67">
        <f>IF(AF$59="X","",IF(AF$59&lt;&gt;"",AF$59,IF(IFERROR(INDEX(醫師週班表!$C$5:$T$44,$CU36,AF$57),"")=0,"",IF(LEN(IFERROR(INDEX(醫師週班表!$C$5:$T$44,$CU36,AF$57),""))=4,MID(IFERROR(INDEX(醫師週班表!$C$5:$T$44,$CU36,AF$57),""),1+AF$58*2,1),IF(LEN(IFERROR(INDEX(醫師週班表!$C$5:$T$44,$CU36,AF$57),""))=2,IF(AND(RIGHT(IFERROR(INDEX(醫師週班表!$C$5:$T$44,$CU36,AF$57),""),1)="~",AF$58=1),"",LEFT(IFERROR(INDEX(醫師週班表!$C$5:$T$44,$CU36,AF$57),""),1)),IFERROR(INDEX(醫師週班表!$C$5:$T$44,$CU36,AF$57),""))))))</f>
        <v/>
      </c>
      <c r="AG36" s="68">
        <f>IF(AG$59="X","",IF(AG$59&lt;&gt;"",AG$59,IF(IFERROR(INDEX(醫師週班表!$C$5:$T$44,$CU36,AG$57),"")=0,"",IF(LEN(IFERROR(INDEX(醫師週班表!$C$5:$T$44,$CU36,AG$57),""))=4,MID(IFERROR(INDEX(醫師週班表!$C$5:$T$44,$CU36,AG$57),""),1+AG$58*2,1),IF(LEN(IFERROR(INDEX(醫師週班表!$C$5:$T$44,$CU36,AG$57),""))=2,IF(AND(RIGHT(IFERROR(INDEX(醫師週班表!$C$5:$T$44,$CU36,AG$57),""),1)="~",AG$58=1),"",LEFT(IFERROR(INDEX(醫師週班表!$C$5:$T$44,$CU36,AG$57),""),1)),IFERROR(INDEX(醫師週班表!$C$5:$T$44,$CU36,AG$57),""))))))</f>
        <v/>
      </c>
      <c r="AH36" s="68">
        <f>IF(AH$59="X","",IF(AH$59&lt;&gt;"",AH$59,IF(IFERROR(INDEX(醫師週班表!$C$5:$T$44,$CU36,AH$57),"")=0,"",IF(LEN(IFERROR(INDEX(醫師週班表!$C$5:$T$44,$CU36,AH$57),""))=4,MID(IFERROR(INDEX(醫師週班表!$C$5:$T$44,$CU36,AH$57),""),1+AH$58*2,1),IF(LEN(IFERROR(INDEX(醫師週班表!$C$5:$T$44,$CU36,AH$57),""))=2,IF(AND(RIGHT(IFERROR(INDEX(醫師週班表!$C$5:$T$44,$CU36,AH$57),""),1)="~",AH$58=1),"",LEFT(IFERROR(INDEX(醫師週班表!$C$5:$T$44,$CU36,AH$57),""),1)),IFERROR(INDEX(醫師週班表!$C$5:$T$44,$CU36,AH$57),""))))))</f>
        <v/>
      </c>
      <c r="AI36" s="67">
        <f>IF(AI$59="X","",IF(AI$59&lt;&gt;"",AI$59,IF(IFERROR(INDEX(醫師週班表!$C$5:$T$44,$CU36,AI$57),"")=0,"",IF(LEN(IFERROR(INDEX(醫師週班表!$C$5:$T$44,$CU36,AI$57),""))=4,MID(IFERROR(INDEX(醫師週班表!$C$5:$T$44,$CU36,AI$57),""),1+AI$58*2,1),IF(LEN(IFERROR(INDEX(醫師週班表!$C$5:$T$44,$CU36,AI$57),""))=2,IF(AND(RIGHT(IFERROR(INDEX(醫師週班表!$C$5:$T$44,$CU36,AI$57),""),1)="~",AI$58=1),"",LEFT(IFERROR(INDEX(醫師週班表!$C$5:$T$44,$CU36,AI$57),""),1)),IFERROR(INDEX(醫師週班表!$C$5:$T$44,$CU36,AI$57),""))))))</f>
        <v/>
      </c>
      <c r="AJ36" s="68">
        <f>IF(AJ$59="X","",IF(AJ$59&lt;&gt;"",AJ$59,IF(IFERROR(INDEX(醫師週班表!$C$5:$T$44,$CU36,AJ$57),"")=0,"",IF(LEN(IFERROR(INDEX(醫師週班表!$C$5:$T$44,$CU36,AJ$57),""))=4,MID(IFERROR(INDEX(醫師週班表!$C$5:$T$44,$CU36,AJ$57),""),1+AJ$58*2,1),IF(LEN(IFERROR(INDEX(醫師週班表!$C$5:$T$44,$CU36,AJ$57),""))=2,IF(AND(RIGHT(IFERROR(INDEX(醫師週班表!$C$5:$T$44,$CU36,AJ$57),""),1)="~",AJ$58=1),"",LEFT(IFERROR(INDEX(醫師週班表!$C$5:$T$44,$CU36,AJ$57),""),1)),IFERROR(INDEX(醫師週班表!$C$5:$T$44,$CU36,AJ$57),""))))))</f>
        <v/>
      </c>
      <c r="AK36" s="68">
        <f>IF(AK$59="X","",IF(AK$59&lt;&gt;"",AK$59,IF(IFERROR(INDEX(醫師週班表!$C$5:$T$44,$CU36,AK$57),"")=0,"",IF(LEN(IFERROR(INDEX(醫師週班表!$C$5:$T$44,$CU36,AK$57),""))=4,MID(IFERROR(INDEX(醫師週班表!$C$5:$T$44,$CU36,AK$57),""),1+AK$58*2,1),IF(LEN(IFERROR(INDEX(醫師週班表!$C$5:$T$44,$CU36,AK$57),""))=2,IF(AND(RIGHT(IFERROR(INDEX(醫師週班表!$C$5:$T$44,$CU36,AK$57),""),1)="~",AK$58=1),"",LEFT(IFERROR(INDEX(醫師週班表!$C$5:$T$44,$CU36,AK$57),""),1)),IFERROR(INDEX(醫師週班表!$C$5:$T$44,$CU36,AK$57),""))))))</f>
        <v/>
      </c>
      <c r="AL36" s="67">
        <f>IF(AL$59="X","",IF(AL$59&lt;&gt;"",AL$59,IF(IFERROR(INDEX(醫師週班表!$C$5:$T$44,$CU36,AL$57),"")=0,"",IF(LEN(IFERROR(INDEX(醫師週班表!$C$5:$T$44,$CU36,AL$57),""))=4,MID(IFERROR(INDEX(醫師週班表!$C$5:$T$44,$CU36,AL$57),""),1+AL$58*2,1),IF(LEN(IFERROR(INDEX(醫師週班表!$C$5:$T$44,$CU36,AL$57),""))=2,IF(AND(RIGHT(IFERROR(INDEX(醫師週班表!$C$5:$T$44,$CU36,AL$57),""),1)="~",AL$58=1),"",LEFT(IFERROR(INDEX(醫師週班表!$C$5:$T$44,$CU36,AL$57),""),1)),IFERROR(INDEX(醫師週班表!$C$5:$T$44,$CU36,AL$57),""))))))</f>
        <v/>
      </c>
      <c r="AM36" s="68">
        <f>IF(AM$59="X","",IF(AM$59&lt;&gt;"",AM$59,IF(IFERROR(INDEX(醫師週班表!$C$5:$T$44,$CU36,AM$57),"")=0,"",IF(LEN(IFERROR(INDEX(醫師週班表!$C$5:$T$44,$CU36,AM$57),""))=4,MID(IFERROR(INDEX(醫師週班表!$C$5:$T$44,$CU36,AM$57),""),1+AM$58*2,1),IF(LEN(IFERROR(INDEX(醫師週班表!$C$5:$T$44,$CU36,AM$57),""))=2,IF(AND(RIGHT(IFERROR(INDEX(醫師週班表!$C$5:$T$44,$CU36,AM$57),""),1)="~",AM$58=1),"",LEFT(IFERROR(INDEX(醫師週班表!$C$5:$T$44,$CU36,AM$57),""),1)),IFERROR(INDEX(醫師週班表!$C$5:$T$44,$CU36,AM$57),""))))))</f>
        <v/>
      </c>
      <c r="AN36" s="68">
        <f>IF(AN$59="X","",IF(AN$59&lt;&gt;"",AN$59,IF(IFERROR(INDEX(醫師週班表!$C$5:$T$44,$CU36,AN$57),"")=0,"",IF(LEN(IFERROR(INDEX(醫師週班表!$C$5:$T$44,$CU36,AN$57),""))=4,MID(IFERROR(INDEX(醫師週班表!$C$5:$T$44,$CU36,AN$57),""),1+AN$58*2,1),IF(LEN(IFERROR(INDEX(醫師週班表!$C$5:$T$44,$CU36,AN$57),""))=2,IF(AND(RIGHT(IFERROR(INDEX(醫師週班表!$C$5:$T$44,$CU36,AN$57),""),1)="~",AN$58=1),"",LEFT(IFERROR(INDEX(醫師週班表!$C$5:$T$44,$CU36,AN$57),""),1)),IFERROR(INDEX(醫師週班表!$C$5:$T$44,$CU36,AN$57),""))))))</f>
        <v/>
      </c>
      <c r="AO36" s="67">
        <f>IF(AO$59="X","",IF(AO$59&lt;&gt;"",AO$59,IF(IFERROR(INDEX(醫師週班表!$C$5:$T$44,$CU36,AO$57),"")=0,"",IF(LEN(IFERROR(INDEX(醫師週班表!$C$5:$T$44,$CU36,AO$57),""))=4,MID(IFERROR(INDEX(醫師週班表!$C$5:$T$44,$CU36,AO$57),""),1+AO$58*2,1),IF(LEN(IFERROR(INDEX(醫師週班表!$C$5:$T$44,$CU36,AO$57),""))=2,IF(AND(RIGHT(IFERROR(INDEX(醫師週班表!$C$5:$T$44,$CU36,AO$57),""),1)="~",AO$58=1),"",LEFT(IFERROR(INDEX(醫師週班表!$C$5:$T$44,$CU36,AO$57),""),1)),IFERROR(INDEX(醫師週班表!$C$5:$T$44,$CU36,AO$57),""))))))</f>
        <v/>
      </c>
      <c r="AP36" s="68">
        <f>IF(AP$59="X","",IF(AP$59&lt;&gt;"",AP$59,IF(IFERROR(INDEX(醫師週班表!$C$5:$T$44,$CU36,AP$57),"")=0,"",IF(LEN(IFERROR(INDEX(醫師週班表!$C$5:$T$44,$CU36,AP$57),""))=4,MID(IFERROR(INDEX(醫師週班表!$C$5:$T$44,$CU36,AP$57),""),1+AP$58*2,1),IF(LEN(IFERROR(INDEX(醫師週班表!$C$5:$T$44,$CU36,AP$57),""))=2,IF(AND(RIGHT(IFERROR(INDEX(醫師週班表!$C$5:$T$44,$CU36,AP$57),""),1)="~",AP$58=1),"",LEFT(IFERROR(INDEX(醫師週班表!$C$5:$T$44,$CU36,AP$57),""),1)),IFERROR(INDEX(醫師週班表!$C$5:$T$44,$CU36,AP$57),""))))))</f>
        <v/>
      </c>
      <c r="AQ36" s="68">
        <f>IF(AQ$59="X","",IF(AQ$59&lt;&gt;"",AQ$59,IF(IFERROR(INDEX(醫師週班表!$C$5:$T$44,$CU36,AQ$57),"")=0,"",IF(LEN(IFERROR(INDEX(醫師週班表!$C$5:$T$44,$CU36,AQ$57),""))=4,MID(IFERROR(INDEX(醫師週班表!$C$5:$T$44,$CU36,AQ$57),""),1+AQ$58*2,1),IF(LEN(IFERROR(INDEX(醫師週班表!$C$5:$T$44,$CU36,AQ$57),""))=2,IF(AND(RIGHT(IFERROR(INDEX(醫師週班表!$C$5:$T$44,$CU36,AQ$57),""),1)="~",AQ$58=1),"",LEFT(IFERROR(INDEX(醫師週班表!$C$5:$T$44,$CU36,AQ$57),""),1)),IFERROR(INDEX(醫師週班表!$C$5:$T$44,$CU36,AQ$57),""))))))</f>
        <v/>
      </c>
      <c r="AR36" s="67">
        <f>IF(AR$59="X","",IF(AR$59&lt;&gt;"",AR$59,IF(IFERROR(INDEX(醫師週班表!$C$5:$T$44,$CU36,AR$57),"")=0,"",IF(LEN(IFERROR(INDEX(醫師週班表!$C$5:$T$44,$CU36,AR$57),""))=4,MID(IFERROR(INDEX(醫師週班表!$C$5:$T$44,$CU36,AR$57),""),1+AR$58*2,1),IF(LEN(IFERROR(INDEX(醫師週班表!$C$5:$T$44,$CU36,AR$57),""))=2,IF(AND(RIGHT(IFERROR(INDEX(醫師週班表!$C$5:$T$44,$CU36,AR$57),""),1)="~",AR$58=1),"",LEFT(IFERROR(INDEX(醫師週班表!$C$5:$T$44,$CU36,AR$57),""),1)),IFERROR(INDEX(醫師週班表!$C$5:$T$44,$CU36,AR$57),""))))))</f>
        <v/>
      </c>
      <c r="AS36" s="68">
        <f>IF(AS$59="X","",IF(AS$59&lt;&gt;"",AS$59,IF(IFERROR(INDEX(醫師週班表!$C$5:$T$44,$CU36,AS$57),"")=0,"",IF(LEN(IFERROR(INDEX(醫師週班表!$C$5:$T$44,$CU36,AS$57),""))=4,MID(IFERROR(INDEX(醫師週班表!$C$5:$T$44,$CU36,AS$57),""),1+AS$58*2,1),IF(LEN(IFERROR(INDEX(醫師週班表!$C$5:$T$44,$CU36,AS$57),""))=2,IF(AND(RIGHT(IFERROR(INDEX(醫師週班表!$C$5:$T$44,$CU36,AS$57),""),1)="~",AS$58=1),"",LEFT(IFERROR(INDEX(醫師週班表!$C$5:$T$44,$CU36,AS$57),""),1)),IFERROR(INDEX(醫師週班表!$C$5:$T$44,$CU36,AS$57),""))))))</f>
        <v/>
      </c>
      <c r="AT36" s="68">
        <f>IF(AT$59="X","",IF(AT$59&lt;&gt;"",AT$59,IF(IFERROR(INDEX(醫師週班表!$C$5:$T$44,$CU36,AT$57),"")=0,"",IF(LEN(IFERROR(INDEX(醫師週班表!$C$5:$T$44,$CU36,AT$57),""))=4,MID(IFERROR(INDEX(醫師週班表!$C$5:$T$44,$CU36,AT$57),""),1+AT$58*2,1),IF(LEN(IFERROR(INDEX(醫師週班表!$C$5:$T$44,$CU36,AT$57),""))=2,IF(AND(RIGHT(IFERROR(INDEX(醫師週班表!$C$5:$T$44,$CU36,AT$57),""),1)="~",AT$58=1),"",LEFT(IFERROR(INDEX(醫師週班表!$C$5:$T$44,$CU36,AT$57),""),1)),IFERROR(INDEX(醫師週班表!$C$5:$T$44,$CU36,AT$57),""))))))</f>
        <v/>
      </c>
      <c r="AU36" s="67">
        <f>IF(AU$59="X","",IF(AU$59&lt;&gt;"",AU$59,IF(IFERROR(INDEX(醫師週班表!$C$5:$T$44,$CU36,AU$57),"")=0,"",IF(LEN(IFERROR(INDEX(醫師週班表!$C$5:$T$44,$CU36,AU$57),""))=4,MID(IFERROR(INDEX(醫師週班表!$C$5:$T$44,$CU36,AU$57),""),1+AU$58*2,1),IF(LEN(IFERROR(INDEX(醫師週班表!$C$5:$T$44,$CU36,AU$57),""))=2,IF(AND(RIGHT(IFERROR(INDEX(醫師週班表!$C$5:$T$44,$CU36,AU$57),""),1)="~",AU$58=1),"",LEFT(IFERROR(INDEX(醫師週班表!$C$5:$T$44,$CU36,AU$57),""),1)),IFERROR(INDEX(醫師週班表!$C$5:$T$44,$CU36,AU$57),""))))))</f>
        <v/>
      </c>
      <c r="AV36" s="68">
        <f>IF(AV$59="X","",IF(AV$59&lt;&gt;"",AV$59,IF(IFERROR(INDEX(醫師週班表!$C$5:$T$44,$CU36,AV$57),"")=0,"",IF(LEN(IFERROR(INDEX(醫師週班表!$C$5:$T$44,$CU36,AV$57),""))=4,MID(IFERROR(INDEX(醫師週班表!$C$5:$T$44,$CU36,AV$57),""),1+AV$58*2,1),IF(LEN(IFERROR(INDEX(醫師週班表!$C$5:$T$44,$CU36,AV$57),""))=2,IF(AND(RIGHT(IFERROR(INDEX(醫師週班表!$C$5:$T$44,$CU36,AV$57),""),1)="~",AV$58=1),"",LEFT(IFERROR(INDEX(醫師週班表!$C$5:$T$44,$CU36,AV$57),""),1)),IFERROR(INDEX(醫師週班表!$C$5:$T$44,$CU36,AV$57),""))))))</f>
        <v/>
      </c>
      <c r="AW36" s="68">
        <f>IF(AW$59="X","",IF(AW$59&lt;&gt;"",AW$59,IF(IFERROR(INDEX(醫師週班表!$C$5:$T$44,$CU36,AW$57),"")=0,"",IF(LEN(IFERROR(INDEX(醫師週班表!$C$5:$T$44,$CU36,AW$57),""))=4,MID(IFERROR(INDEX(醫師週班表!$C$5:$T$44,$CU36,AW$57),""),1+AW$58*2,1),IF(LEN(IFERROR(INDEX(醫師週班表!$C$5:$T$44,$CU36,AW$57),""))=2,IF(AND(RIGHT(IFERROR(INDEX(醫師週班表!$C$5:$T$44,$CU36,AW$57),""),1)="~",AW$58=1),"",LEFT(IFERROR(INDEX(醫師週班表!$C$5:$T$44,$CU36,AW$57),""),1)),IFERROR(INDEX(醫師週班表!$C$5:$T$44,$CU36,AW$57),""))))))</f>
        <v/>
      </c>
      <c r="AX36" s="67">
        <f>IF(AX$59="X","",IF(AX$59&lt;&gt;"",AX$59,IF(IFERROR(INDEX(醫師週班表!$C$5:$T$44,$CU36,AX$57),"")=0,"",IF(LEN(IFERROR(INDEX(醫師週班表!$C$5:$T$44,$CU36,AX$57),""))=4,MID(IFERROR(INDEX(醫師週班表!$C$5:$T$44,$CU36,AX$57),""),1+AX$58*2,1),IF(LEN(IFERROR(INDEX(醫師週班表!$C$5:$T$44,$CU36,AX$57),""))=2,IF(AND(RIGHT(IFERROR(INDEX(醫師週班表!$C$5:$T$44,$CU36,AX$57),""),1)="~",AX$58=1),"",LEFT(IFERROR(INDEX(醫師週班表!$C$5:$T$44,$CU36,AX$57),""),1)),IFERROR(INDEX(醫師週班表!$C$5:$T$44,$CU36,AX$57),""))))))</f>
        <v/>
      </c>
      <c r="AY36" s="68">
        <f>IF(AY$59="X","",IF(AY$59&lt;&gt;"",AY$59,IF(IFERROR(INDEX(醫師週班表!$C$5:$T$44,$CU36,AY$57),"")=0,"",IF(LEN(IFERROR(INDEX(醫師週班表!$C$5:$T$44,$CU36,AY$57),""))=4,MID(IFERROR(INDEX(醫師週班表!$C$5:$T$44,$CU36,AY$57),""),1+AY$58*2,1),IF(LEN(IFERROR(INDEX(醫師週班表!$C$5:$T$44,$CU36,AY$57),""))=2,IF(AND(RIGHT(IFERROR(INDEX(醫師週班表!$C$5:$T$44,$CU36,AY$57),""),1)="~",AY$58=1),"",LEFT(IFERROR(INDEX(醫師週班表!$C$5:$T$44,$CU36,AY$57),""),1)),IFERROR(INDEX(醫師週班表!$C$5:$T$44,$CU36,AY$57),""))))))</f>
        <v/>
      </c>
      <c r="AZ36" s="68">
        <f>IF(AZ$59="X","",IF(AZ$59&lt;&gt;"",AZ$59,IF(IFERROR(INDEX(醫師週班表!$C$5:$T$44,$CU36,AZ$57),"")=0,"",IF(LEN(IFERROR(INDEX(醫師週班表!$C$5:$T$44,$CU36,AZ$57),""))=4,MID(IFERROR(INDEX(醫師週班表!$C$5:$T$44,$CU36,AZ$57),""),1+AZ$58*2,1),IF(LEN(IFERROR(INDEX(醫師週班表!$C$5:$T$44,$CU36,AZ$57),""))=2,IF(AND(RIGHT(IFERROR(INDEX(醫師週班表!$C$5:$T$44,$CU36,AZ$57),""),1)="~",AZ$58=1),"",LEFT(IFERROR(INDEX(醫師週班表!$C$5:$T$44,$CU36,AZ$57),""),1)),IFERROR(INDEX(醫師週班表!$C$5:$T$44,$CU36,AZ$57),""))))))</f>
        <v/>
      </c>
      <c r="BA36" s="67">
        <f>IF(BA$59="X","",IF(BA$59&lt;&gt;"",BA$59,IF(IFERROR(INDEX(醫師週班表!$C$5:$T$44,$CU36,BA$57),"")=0,"",IF(LEN(IFERROR(INDEX(醫師週班表!$C$5:$T$44,$CU36,BA$57),""))=4,MID(IFERROR(INDEX(醫師週班表!$C$5:$T$44,$CU36,BA$57),""),1+BA$58*2,1),IF(LEN(IFERROR(INDEX(醫師週班表!$C$5:$T$44,$CU36,BA$57),""))=2,IF(AND(RIGHT(IFERROR(INDEX(醫師週班表!$C$5:$T$44,$CU36,BA$57),""),1)="~",BA$58=1),"",LEFT(IFERROR(INDEX(醫師週班表!$C$5:$T$44,$CU36,BA$57),""),1)),IFERROR(INDEX(醫師週班表!$C$5:$T$44,$CU36,BA$57),""))))))</f>
        <v/>
      </c>
      <c r="BB36" s="68">
        <f>IF(BB$59="X","",IF(BB$59&lt;&gt;"",BB$59,IF(IFERROR(INDEX(醫師週班表!$C$5:$T$44,$CU36,BB$57),"")=0,"",IF(LEN(IFERROR(INDEX(醫師週班表!$C$5:$T$44,$CU36,BB$57),""))=4,MID(IFERROR(INDEX(醫師週班表!$C$5:$T$44,$CU36,BB$57),""),1+BB$58*2,1),IF(LEN(IFERROR(INDEX(醫師週班表!$C$5:$T$44,$CU36,BB$57),""))=2,IF(AND(RIGHT(IFERROR(INDEX(醫師週班表!$C$5:$T$44,$CU36,BB$57),""),1)="~",BB$58=1),"",LEFT(IFERROR(INDEX(醫師週班表!$C$5:$T$44,$CU36,BB$57),""),1)),IFERROR(INDEX(醫師週班表!$C$5:$T$44,$CU36,BB$57),""))))))</f>
        <v/>
      </c>
      <c r="BC36" s="68">
        <f>IF(BC$59="X","",IF(BC$59&lt;&gt;"",BC$59,IF(IFERROR(INDEX(醫師週班表!$C$5:$T$44,$CU36,BC$57),"")=0,"",IF(LEN(IFERROR(INDEX(醫師週班表!$C$5:$T$44,$CU36,BC$57),""))=4,MID(IFERROR(INDEX(醫師週班表!$C$5:$T$44,$CU36,BC$57),""),1+BC$58*2,1),IF(LEN(IFERROR(INDEX(醫師週班表!$C$5:$T$44,$CU36,BC$57),""))=2,IF(AND(RIGHT(IFERROR(INDEX(醫師週班表!$C$5:$T$44,$CU36,BC$57),""),1)="~",BC$58=1),"",LEFT(IFERROR(INDEX(醫師週班表!$C$5:$T$44,$CU36,BC$57),""),1)),IFERROR(INDEX(醫師週班表!$C$5:$T$44,$CU36,BC$57),""))))))</f>
        <v/>
      </c>
      <c r="BD36" s="67">
        <f>IF(BD$59="X","",IF(BD$59&lt;&gt;"",BD$59,IF(IFERROR(INDEX(醫師週班表!$C$5:$T$44,$CU36,BD$57),"")=0,"",IF(LEN(IFERROR(INDEX(醫師週班表!$C$5:$T$44,$CU36,BD$57),""))=4,MID(IFERROR(INDEX(醫師週班表!$C$5:$T$44,$CU36,BD$57),""),1+BD$58*2,1),IF(LEN(IFERROR(INDEX(醫師週班表!$C$5:$T$44,$CU36,BD$57),""))=2,IF(AND(RIGHT(IFERROR(INDEX(醫師週班表!$C$5:$T$44,$CU36,BD$57),""),1)="~",BD$58=1),"",LEFT(IFERROR(INDEX(醫師週班表!$C$5:$T$44,$CU36,BD$57),""),1)),IFERROR(INDEX(醫師週班表!$C$5:$T$44,$CU36,BD$57),""))))))</f>
        <v/>
      </c>
      <c r="BE36" s="68">
        <f>IF(BE$59="X","",IF(BE$59&lt;&gt;"",BE$59,IF(IFERROR(INDEX(醫師週班表!$C$5:$T$44,$CU36,BE$57),"")=0,"",IF(LEN(IFERROR(INDEX(醫師週班表!$C$5:$T$44,$CU36,BE$57),""))=4,MID(IFERROR(INDEX(醫師週班表!$C$5:$T$44,$CU36,BE$57),""),1+BE$58*2,1),IF(LEN(IFERROR(INDEX(醫師週班表!$C$5:$T$44,$CU36,BE$57),""))=2,IF(AND(RIGHT(IFERROR(INDEX(醫師週班表!$C$5:$T$44,$CU36,BE$57),""),1)="~",BE$58=1),"",LEFT(IFERROR(INDEX(醫師週班表!$C$5:$T$44,$CU36,BE$57),""),1)),IFERROR(INDEX(醫師週班表!$C$5:$T$44,$CU36,BE$57),""))))))</f>
        <v/>
      </c>
      <c r="BF36" s="68">
        <f>IF(BF$59="X","",IF(BF$59&lt;&gt;"",BF$59,IF(IFERROR(INDEX(醫師週班表!$C$5:$T$44,$CU36,BF$57),"")=0,"",IF(LEN(IFERROR(INDEX(醫師週班表!$C$5:$T$44,$CU36,BF$57),""))=4,MID(IFERROR(INDEX(醫師週班表!$C$5:$T$44,$CU36,BF$57),""),1+BF$58*2,1),IF(LEN(IFERROR(INDEX(醫師週班表!$C$5:$T$44,$CU36,BF$57),""))=2,IF(AND(RIGHT(IFERROR(INDEX(醫師週班表!$C$5:$T$44,$CU36,BF$57),""),1)="~",BF$58=1),"",LEFT(IFERROR(INDEX(醫師週班表!$C$5:$T$44,$CU36,BF$57),""),1)),IFERROR(INDEX(醫師週班表!$C$5:$T$44,$CU36,BF$57),""))))))</f>
        <v/>
      </c>
      <c r="BG36" s="67">
        <f>IF(BG$59="X","",IF(BG$59&lt;&gt;"",BG$59,IF(IFERROR(INDEX(醫師週班表!$C$5:$T$44,$CU36,BG$57),"")=0,"",IF(LEN(IFERROR(INDEX(醫師週班表!$C$5:$T$44,$CU36,BG$57),""))=4,MID(IFERROR(INDEX(醫師週班表!$C$5:$T$44,$CU36,BG$57),""),1+BG$58*2,1),IF(LEN(IFERROR(INDEX(醫師週班表!$C$5:$T$44,$CU36,BG$57),""))=2,IF(AND(RIGHT(IFERROR(INDEX(醫師週班表!$C$5:$T$44,$CU36,BG$57),""),1)="~",BG$58=1),"",LEFT(IFERROR(INDEX(醫師週班表!$C$5:$T$44,$CU36,BG$57),""),1)),IFERROR(INDEX(醫師週班表!$C$5:$T$44,$CU36,BG$57),""))))))</f>
        <v/>
      </c>
      <c r="BH36" s="68">
        <f>IF(BH$59="X","",IF(BH$59&lt;&gt;"",BH$59,IF(IFERROR(INDEX(醫師週班表!$C$5:$T$44,$CU36,BH$57),"")=0,"",IF(LEN(IFERROR(INDEX(醫師週班表!$C$5:$T$44,$CU36,BH$57),""))=4,MID(IFERROR(INDEX(醫師週班表!$C$5:$T$44,$CU36,BH$57),""),1+BH$58*2,1),IF(LEN(IFERROR(INDEX(醫師週班表!$C$5:$T$44,$CU36,BH$57),""))=2,IF(AND(RIGHT(IFERROR(INDEX(醫師週班表!$C$5:$T$44,$CU36,BH$57),""),1)="~",BH$58=1),"",LEFT(IFERROR(INDEX(醫師週班表!$C$5:$T$44,$CU36,BH$57),""),1)),IFERROR(INDEX(醫師週班表!$C$5:$T$44,$CU36,BH$57),""))))))</f>
        <v/>
      </c>
      <c r="BI36" s="68">
        <f>IF(BI$59="X","",IF(BI$59&lt;&gt;"",BI$59,IF(IFERROR(INDEX(醫師週班表!$C$5:$T$44,$CU36,BI$57),"")=0,"",IF(LEN(IFERROR(INDEX(醫師週班表!$C$5:$T$44,$CU36,BI$57),""))=4,MID(IFERROR(INDEX(醫師週班表!$C$5:$T$44,$CU36,BI$57),""),1+BI$58*2,1),IF(LEN(IFERROR(INDEX(醫師週班表!$C$5:$T$44,$CU36,BI$57),""))=2,IF(AND(RIGHT(IFERROR(INDEX(醫師週班表!$C$5:$T$44,$CU36,BI$57),""),1)="~",BI$58=1),"",LEFT(IFERROR(INDEX(醫師週班表!$C$5:$T$44,$CU36,BI$57),""),1)),IFERROR(INDEX(醫師週班表!$C$5:$T$44,$CU36,BI$57),""))))))</f>
        <v/>
      </c>
      <c r="BJ36" s="67">
        <f>IF(BJ$59="X","",IF(BJ$59&lt;&gt;"",BJ$59,IF(IFERROR(INDEX(醫師週班表!$C$5:$T$44,$CU36,BJ$57),"")=0,"",IF(LEN(IFERROR(INDEX(醫師週班表!$C$5:$T$44,$CU36,BJ$57),""))=4,MID(IFERROR(INDEX(醫師週班表!$C$5:$T$44,$CU36,BJ$57),""),1+BJ$58*2,1),IF(LEN(IFERROR(INDEX(醫師週班表!$C$5:$T$44,$CU36,BJ$57),""))=2,IF(AND(RIGHT(IFERROR(INDEX(醫師週班表!$C$5:$T$44,$CU36,BJ$57),""),1)="~",BJ$58=1),"",LEFT(IFERROR(INDEX(醫師週班表!$C$5:$T$44,$CU36,BJ$57),""),1)),IFERROR(INDEX(醫師週班表!$C$5:$T$44,$CU36,BJ$57),""))))))</f>
        <v/>
      </c>
      <c r="BK36" s="68">
        <f>IF(BK$59="X","",IF(BK$59&lt;&gt;"",BK$59,IF(IFERROR(INDEX(醫師週班表!$C$5:$T$44,$CU36,BK$57),"")=0,"",IF(LEN(IFERROR(INDEX(醫師週班表!$C$5:$T$44,$CU36,BK$57),""))=4,MID(IFERROR(INDEX(醫師週班表!$C$5:$T$44,$CU36,BK$57),""),1+BK$58*2,1),IF(LEN(IFERROR(INDEX(醫師週班表!$C$5:$T$44,$CU36,BK$57),""))=2,IF(AND(RIGHT(IFERROR(INDEX(醫師週班表!$C$5:$T$44,$CU36,BK$57),""),1)="~",BK$58=1),"",LEFT(IFERROR(INDEX(醫師週班表!$C$5:$T$44,$CU36,BK$57),""),1)),IFERROR(INDEX(醫師週班表!$C$5:$T$44,$CU36,BK$57),""))))))</f>
        <v/>
      </c>
      <c r="BL36" s="68">
        <f>IF(BL$59="X","",IF(BL$59&lt;&gt;"",BL$59,IF(IFERROR(INDEX(醫師週班表!$C$5:$T$44,$CU36,BL$57),"")=0,"",IF(LEN(IFERROR(INDEX(醫師週班表!$C$5:$T$44,$CU36,BL$57),""))=4,MID(IFERROR(INDEX(醫師週班表!$C$5:$T$44,$CU36,BL$57),""),1+BL$58*2,1),IF(LEN(IFERROR(INDEX(醫師週班表!$C$5:$T$44,$CU36,BL$57),""))=2,IF(AND(RIGHT(IFERROR(INDEX(醫師週班表!$C$5:$T$44,$CU36,BL$57),""),1)="~",BL$58=1),"",LEFT(IFERROR(INDEX(醫師週班表!$C$5:$T$44,$CU36,BL$57),""),1)),IFERROR(INDEX(醫師週班表!$C$5:$T$44,$CU36,BL$57),""))))))</f>
        <v/>
      </c>
      <c r="BM36" s="67">
        <f>IF(BM$59="X","",IF(BM$59&lt;&gt;"",BM$59,IF(IFERROR(INDEX(醫師週班表!$C$5:$T$44,$CU36,BM$57),"")=0,"",IF(LEN(IFERROR(INDEX(醫師週班表!$C$5:$T$44,$CU36,BM$57),""))=4,MID(IFERROR(INDEX(醫師週班表!$C$5:$T$44,$CU36,BM$57),""),1+BM$58*2,1),IF(LEN(IFERROR(INDEX(醫師週班表!$C$5:$T$44,$CU36,BM$57),""))=2,IF(AND(RIGHT(IFERROR(INDEX(醫師週班表!$C$5:$T$44,$CU36,BM$57),""),1)="~",BM$58=1),"",LEFT(IFERROR(INDEX(醫師週班表!$C$5:$T$44,$CU36,BM$57),""),1)),IFERROR(INDEX(醫師週班表!$C$5:$T$44,$CU36,BM$57),""))))))</f>
        <v/>
      </c>
      <c r="BN36" s="68">
        <f>IF(BN$59="X","",IF(BN$59&lt;&gt;"",BN$59,IF(IFERROR(INDEX(醫師週班表!$C$5:$T$44,$CU36,BN$57),"")=0,"",IF(LEN(IFERROR(INDEX(醫師週班表!$C$5:$T$44,$CU36,BN$57),""))=4,MID(IFERROR(INDEX(醫師週班表!$C$5:$T$44,$CU36,BN$57),""),1+BN$58*2,1),IF(LEN(IFERROR(INDEX(醫師週班表!$C$5:$T$44,$CU36,BN$57),""))=2,IF(AND(RIGHT(IFERROR(INDEX(醫師週班表!$C$5:$T$44,$CU36,BN$57),""),1)="~",BN$58=1),"",LEFT(IFERROR(INDEX(醫師週班表!$C$5:$T$44,$CU36,BN$57),""),1)),IFERROR(INDEX(醫師週班表!$C$5:$T$44,$CU36,BN$57),""))))))</f>
        <v/>
      </c>
      <c r="BO36" s="68">
        <f>IF(BO$59="X","",IF(BO$59&lt;&gt;"",BO$59,IF(IFERROR(INDEX(醫師週班表!$C$5:$T$44,$CU36,BO$57),"")=0,"",IF(LEN(IFERROR(INDEX(醫師週班表!$C$5:$T$44,$CU36,BO$57),""))=4,MID(IFERROR(INDEX(醫師週班表!$C$5:$T$44,$CU36,BO$57),""),1+BO$58*2,1),IF(LEN(IFERROR(INDEX(醫師週班表!$C$5:$T$44,$CU36,BO$57),""))=2,IF(AND(RIGHT(IFERROR(INDEX(醫師週班表!$C$5:$T$44,$CU36,BO$57),""),1)="~",BO$58=1),"",LEFT(IFERROR(INDEX(醫師週班表!$C$5:$T$44,$CU36,BO$57),""),1)),IFERROR(INDEX(醫師週班表!$C$5:$T$44,$CU36,BO$57),""))))))</f>
        <v/>
      </c>
      <c r="BP36" s="67">
        <f>IF(BP$59="X","",IF(BP$59&lt;&gt;"",BP$59,IF(IFERROR(INDEX(醫師週班表!$C$5:$T$44,$CU36,BP$57),"")=0,"",IF(LEN(IFERROR(INDEX(醫師週班表!$C$5:$T$44,$CU36,BP$57),""))=4,MID(IFERROR(INDEX(醫師週班表!$C$5:$T$44,$CU36,BP$57),""),1+BP$58*2,1),IF(LEN(IFERROR(INDEX(醫師週班表!$C$5:$T$44,$CU36,BP$57),""))=2,IF(AND(RIGHT(IFERROR(INDEX(醫師週班表!$C$5:$T$44,$CU36,BP$57),""),1)="~",BP$58=1),"",LEFT(IFERROR(INDEX(醫師週班表!$C$5:$T$44,$CU36,BP$57),""),1)),IFERROR(INDEX(醫師週班表!$C$5:$T$44,$CU36,BP$57),""))))))</f>
        <v/>
      </c>
      <c r="BQ36" s="68">
        <f>IF(BQ$59="X","",IF(BQ$59&lt;&gt;"",BQ$59,IF(IFERROR(INDEX(醫師週班表!$C$5:$T$44,$CU36,BQ$57),"")=0,"",IF(LEN(IFERROR(INDEX(醫師週班表!$C$5:$T$44,$CU36,BQ$57),""))=4,MID(IFERROR(INDEX(醫師週班表!$C$5:$T$44,$CU36,BQ$57),""),1+BQ$58*2,1),IF(LEN(IFERROR(INDEX(醫師週班表!$C$5:$T$44,$CU36,BQ$57),""))=2,IF(AND(RIGHT(IFERROR(INDEX(醫師週班表!$C$5:$T$44,$CU36,BQ$57),""),1)="~",BQ$58=1),"",LEFT(IFERROR(INDEX(醫師週班表!$C$5:$T$44,$CU36,BQ$57),""),1)),IFERROR(INDEX(醫師週班表!$C$5:$T$44,$CU36,BQ$57),""))))))</f>
        <v/>
      </c>
      <c r="BR36" s="68">
        <f>IF(BR$59="X","",IF(BR$59&lt;&gt;"",BR$59,IF(IFERROR(INDEX(醫師週班表!$C$5:$T$44,$CU36,BR$57),"")=0,"",IF(LEN(IFERROR(INDEX(醫師週班表!$C$5:$T$44,$CU36,BR$57),""))=4,MID(IFERROR(INDEX(醫師週班表!$C$5:$T$44,$CU36,BR$57),""),1+BR$58*2,1),IF(LEN(IFERROR(INDEX(醫師週班表!$C$5:$T$44,$CU36,BR$57),""))=2,IF(AND(RIGHT(IFERROR(INDEX(醫師週班表!$C$5:$T$44,$CU36,BR$57),""),1)="~",BR$58=1),"",LEFT(IFERROR(INDEX(醫師週班表!$C$5:$T$44,$CU36,BR$57),""),1)),IFERROR(INDEX(醫師週班表!$C$5:$T$44,$CU36,BR$57),""))))))</f>
        <v/>
      </c>
      <c r="BS36" s="67">
        <f>IF(BS$59="X","",IF(BS$59&lt;&gt;"",BS$59,IF(IFERROR(INDEX(醫師週班表!$C$5:$T$44,$CU36,BS$57),"")=0,"",IF(LEN(IFERROR(INDEX(醫師週班表!$C$5:$T$44,$CU36,BS$57),""))=4,MID(IFERROR(INDEX(醫師週班表!$C$5:$T$44,$CU36,BS$57),""),1+BS$58*2,1),IF(LEN(IFERROR(INDEX(醫師週班表!$C$5:$T$44,$CU36,BS$57),""))=2,IF(AND(RIGHT(IFERROR(INDEX(醫師週班表!$C$5:$T$44,$CU36,BS$57),""),1)="~",BS$58=1),"",LEFT(IFERROR(INDEX(醫師週班表!$C$5:$T$44,$CU36,BS$57),""),1)),IFERROR(INDEX(醫師週班表!$C$5:$T$44,$CU36,BS$57),""))))))</f>
        <v/>
      </c>
      <c r="BT36" s="68">
        <f>IF(BT$59="X","",IF(BT$59&lt;&gt;"",BT$59,IF(IFERROR(INDEX(醫師週班表!$C$5:$T$44,$CU36,BT$57),"")=0,"",IF(LEN(IFERROR(INDEX(醫師週班表!$C$5:$T$44,$CU36,BT$57),""))=4,MID(IFERROR(INDEX(醫師週班表!$C$5:$T$44,$CU36,BT$57),""),1+BT$58*2,1),IF(LEN(IFERROR(INDEX(醫師週班表!$C$5:$T$44,$CU36,BT$57),""))=2,IF(AND(RIGHT(IFERROR(INDEX(醫師週班表!$C$5:$T$44,$CU36,BT$57),""),1)="~",BT$58=1),"",LEFT(IFERROR(INDEX(醫師週班表!$C$5:$T$44,$CU36,BT$57),""),1)),IFERROR(INDEX(醫師週班表!$C$5:$T$44,$CU36,BT$57),""))))))</f>
        <v/>
      </c>
      <c r="BU36" s="68">
        <f>IF(BU$59="X","",IF(BU$59&lt;&gt;"",BU$59,IF(IFERROR(INDEX(醫師週班表!$C$5:$T$44,$CU36,BU$57),"")=0,"",IF(LEN(IFERROR(INDEX(醫師週班表!$C$5:$T$44,$CU36,BU$57),""))=4,MID(IFERROR(INDEX(醫師週班表!$C$5:$T$44,$CU36,BU$57),""),1+BU$58*2,1),IF(LEN(IFERROR(INDEX(醫師週班表!$C$5:$T$44,$CU36,BU$57),""))=2,IF(AND(RIGHT(IFERROR(INDEX(醫師週班表!$C$5:$T$44,$CU36,BU$57),""),1)="~",BU$58=1),"",LEFT(IFERROR(INDEX(醫師週班表!$C$5:$T$44,$CU36,BU$57),""),1)),IFERROR(INDEX(醫師週班表!$C$5:$T$44,$CU36,BU$57),""))))))</f>
        <v/>
      </c>
      <c r="BV36" s="67">
        <f>IF(BV$59="X","",IF(BV$59&lt;&gt;"",BV$59,IF(IFERROR(INDEX(醫師週班表!$C$5:$T$44,$CU36,BV$57),"")=0,"",IF(LEN(IFERROR(INDEX(醫師週班表!$C$5:$T$44,$CU36,BV$57),""))=4,MID(IFERROR(INDEX(醫師週班表!$C$5:$T$44,$CU36,BV$57),""),1+BV$58*2,1),IF(LEN(IFERROR(INDEX(醫師週班表!$C$5:$T$44,$CU36,BV$57),""))=2,IF(AND(RIGHT(IFERROR(INDEX(醫師週班表!$C$5:$T$44,$CU36,BV$57),""),1)="~",BV$58=1),"",LEFT(IFERROR(INDEX(醫師週班表!$C$5:$T$44,$CU36,BV$57),""),1)),IFERROR(INDEX(醫師週班表!$C$5:$T$44,$CU36,BV$57),""))))))</f>
        <v/>
      </c>
      <c r="BW36" s="68">
        <f>IF(BW$59="X","",IF(BW$59&lt;&gt;"",BW$59,IF(IFERROR(INDEX(醫師週班表!$C$5:$T$44,$CU36,BW$57),"")=0,"",IF(LEN(IFERROR(INDEX(醫師週班表!$C$5:$T$44,$CU36,BW$57),""))=4,MID(IFERROR(INDEX(醫師週班表!$C$5:$T$44,$CU36,BW$57),""),1+BW$58*2,1),IF(LEN(IFERROR(INDEX(醫師週班表!$C$5:$T$44,$CU36,BW$57),""))=2,IF(AND(RIGHT(IFERROR(INDEX(醫師週班表!$C$5:$T$44,$CU36,BW$57),""),1)="~",BW$58=1),"",LEFT(IFERROR(INDEX(醫師週班表!$C$5:$T$44,$CU36,BW$57),""),1)),IFERROR(INDEX(醫師週班表!$C$5:$T$44,$CU36,BW$57),""))))))</f>
        <v/>
      </c>
      <c r="BX36" s="68">
        <f>IF(BX$59="X","",IF(BX$59&lt;&gt;"",BX$59,IF(IFERROR(INDEX(醫師週班表!$C$5:$T$44,$CU36,BX$57),"")=0,"",IF(LEN(IFERROR(INDEX(醫師週班表!$C$5:$T$44,$CU36,BX$57),""))=4,MID(IFERROR(INDEX(醫師週班表!$C$5:$T$44,$CU36,BX$57),""),1+BX$58*2,1),IF(LEN(IFERROR(INDEX(醫師週班表!$C$5:$T$44,$CU36,BX$57),""))=2,IF(AND(RIGHT(IFERROR(INDEX(醫師週班表!$C$5:$T$44,$CU36,BX$57),""),1)="~",BX$58=1),"",LEFT(IFERROR(INDEX(醫師週班表!$C$5:$T$44,$CU36,BX$57),""),1)),IFERROR(INDEX(醫師週班表!$C$5:$T$44,$CU36,BX$57),""))))))</f>
        <v/>
      </c>
      <c r="BY36" s="67">
        <f>IF(BY$59="X","",IF(BY$59&lt;&gt;"",BY$59,IF(IFERROR(INDEX(醫師週班表!$C$5:$T$44,$CU36,BY$57),"")=0,"",IF(LEN(IFERROR(INDEX(醫師週班表!$C$5:$T$44,$CU36,BY$57),""))=4,MID(IFERROR(INDEX(醫師週班表!$C$5:$T$44,$CU36,BY$57),""),1+BY$58*2,1),IF(LEN(IFERROR(INDEX(醫師週班表!$C$5:$T$44,$CU36,BY$57),""))=2,IF(AND(RIGHT(IFERROR(INDEX(醫師週班表!$C$5:$T$44,$CU36,BY$57),""),1)="~",BY$58=1),"",LEFT(IFERROR(INDEX(醫師週班表!$C$5:$T$44,$CU36,BY$57),""),1)),IFERROR(INDEX(醫師週班表!$C$5:$T$44,$CU36,BY$57),""))))))</f>
        <v/>
      </c>
      <c r="BZ36" s="68">
        <f>IF(BZ$59="X","",IF(BZ$59&lt;&gt;"",BZ$59,IF(IFERROR(INDEX(醫師週班表!$C$5:$T$44,$CU36,BZ$57),"")=0,"",IF(LEN(IFERROR(INDEX(醫師週班表!$C$5:$T$44,$CU36,BZ$57),""))=4,MID(IFERROR(INDEX(醫師週班表!$C$5:$T$44,$CU36,BZ$57),""),1+BZ$58*2,1),IF(LEN(IFERROR(INDEX(醫師週班表!$C$5:$T$44,$CU36,BZ$57),""))=2,IF(AND(RIGHT(IFERROR(INDEX(醫師週班表!$C$5:$T$44,$CU36,BZ$57),""),1)="~",BZ$58=1),"",LEFT(IFERROR(INDEX(醫師週班表!$C$5:$T$44,$CU36,BZ$57),""),1)),IFERROR(INDEX(醫師週班表!$C$5:$T$44,$CU36,BZ$57),""))))))</f>
        <v/>
      </c>
      <c r="CA36" s="68">
        <f>IF(CA$59="X","",IF(CA$59&lt;&gt;"",CA$59,IF(IFERROR(INDEX(醫師週班表!$C$5:$T$44,$CU36,CA$57),"")=0,"",IF(LEN(IFERROR(INDEX(醫師週班表!$C$5:$T$44,$CU36,CA$57),""))=4,MID(IFERROR(INDEX(醫師週班表!$C$5:$T$44,$CU36,CA$57),""),1+CA$58*2,1),IF(LEN(IFERROR(INDEX(醫師週班表!$C$5:$T$44,$CU36,CA$57),""))=2,IF(AND(RIGHT(IFERROR(INDEX(醫師週班表!$C$5:$T$44,$CU36,CA$57),""),1)="~",CA$58=1),"",LEFT(IFERROR(INDEX(醫師週班表!$C$5:$T$44,$CU36,CA$57),""),1)),IFERROR(INDEX(醫師週班表!$C$5:$T$44,$CU36,CA$57),""))))))</f>
        <v/>
      </c>
      <c r="CB36" s="67">
        <f>IF(CB$59="X","",IF(CB$59&lt;&gt;"",CB$59,IF(IFERROR(INDEX(醫師週班表!$C$5:$T$44,$CU36,CB$57),"")=0,"",IF(LEN(IFERROR(INDEX(醫師週班表!$C$5:$T$44,$CU36,CB$57),""))=4,MID(IFERROR(INDEX(醫師週班表!$C$5:$T$44,$CU36,CB$57),""),1+CB$58*2,1),IF(LEN(IFERROR(INDEX(醫師週班表!$C$5:$T$44,$CU36,CB$57),""))=2,IF(AND(RIGHT(IFERROR(INDEX(醫師週班表!$C$5:$T$44,$CU36,CB$57),""),1)="~",CB$58=1),"",LEFT(IFERROR(INDEX(醫師週班表!$C$5:$T$44,$CU36,CB$57),""),1)),IFERROR(INDEX(醫師週班表!$C$5:$T$44,$CU36,CB$57),""))))))</f>
        <v/>
      </c>
      <c r="CC36" s="68">
        <f>IF(CC$59="X","",IF(CC$59&lt;&gt;"",CC$59,IF(IFERROR(INDEX(醫師週班表!$C$5:$T$44,$CU36,CC$57),"")=0,"",IF(LEN(IFERROR(INDEX(醫師週班表!$C$5:$T$44,$CU36,CC$57),""))=4,MID(IFERROR(INDEX(醫師週班表!$C$5:$T$44,$CU36,CC$57),""),1+CC$58*2,1),IF(LEN(IFERROR(INDEX(醫師週班表!$C$5:$T$44,$CU36,CC$57),""))=2,IF(AND(RIGHT(IFERROR(INDEX(醫師週班表!$C$5:$T$44,$CU36,CC$57),""),1)="~",CC$58=1),"",LEFT(IFERROR(INDEX(醫師週班表!$C$5:$T$44,$CU36,CC$57),""),1)),IFERROR(INDEX(醫師週班表!$C$5:$T$44,$CU36,CC$57),""))))))</f>
        <v/>
      </c>
      <c r="CD36" s="68">
        <f>IF(CD$59="X","",IF(CD$59&lt;&gt;"",CD$59,IF(IFERROR(INDEX(醫師週班表!$C$5:$T$44,$CU36,CD$57),"")=0,"",IF(LEN(IFERROR(INDEX(醫師週班表!$C$5:$T$44,$CU36,CD$57),""))=4,MID(IFERROR(INDEX(醫師週班表!$C$5:$T$44,$CU36,CD$57),""),1+CD$58*2,1),IF(LEN(IFERROR(INDEX(醫師週班表!$C$5:$T$44,$CU36,CD$57),""))=2,IF(AND(RIGHT(IFERROR(INDEX(醫師週班表!$C$5:$T$44,$CU36,CD$57),""),1)="~",CD$58=1),"",LEFT(IFERROR(INDEX(醫師週班表!$C$5:$T$44,$CU36,CD$57),""),1)),IFERROR(INDEX(醫師週班表!$C$5:$T$44,$CU36,CD$57),""))))))</f>
        <v/>
      </c>
      <c r="CE36" s="67">
        <f>IF(CE$59="X","",IF(CE$59&lt;&gt;"",CE$59,IF(IFERROR(INDEX(醫師週班表!$C$5:$T$44,$CU36,CE$57),"")=0,"",IF(LEN(IFERROR(INDEX(醫師週班表!$C$5:$T$44,$CU36,CE$57),""))=4,MID(IFERROR(INDEX(醫師週班表!$C$5:$T$44,$CU36,CE$57),""),1+CE$58*2,1),IF(LEN(IFERROR(INDEX(醫師週班表!$C$5:$T$44,$CU36,CE$57),""))=2,IF(AND(RIGHT(IFERROR(INDEX(醫師週班表!$C$5:$T$44,$CU36,CE$57),""),1)="~",CE$58=1),"",LEFT(IFERROR(INDEX(醫師週班表!$C$5:$T$44,$CU36,CE$57),""),1)),IFERROR(INDEX(醫師週班表!$C$5:$T$44,$CU36,CE$57),""))))))</f>
        <v/>
      </c>
      <c r="CF36" s="68">
        <f>IF(CF$59="X","",IF(CF$59&lt;&gt;"",CF$59,IF(IFERROR(INDEX(醫師週班表!$C$5:$T$44,$CU36,CF$57),"")=0,"",IF(LEN(IFERROR(INDEX(醫師週班表!$C$5:$T$44,$CU36,CF$57),""))=4,MID(IFERROR(INDEX(醫師週班表!$C$5:$T$44,$CU36,CF$57),""),1+CF$58*2,1),IF(LEN(IFERROR(INDEX(醫師週班表!$C$5:$T$44,$CU36,CF$57),""))=2,IF(AND(RIGHT(IFERROR(INDEX(醫師週班表!$C$5:$T$44,$CU36,CF$57),""),1)="~",CF$58=1),"",LEFT(IFERROR(INDEX(醫師週班表!$C$5:$T$44,$CU36,CF$57),""),1)),IFERROR(INDEX(醫師週班表!$C$5:$T$44,$CU36,CF$57),""))))))</f>
        <v/>
      </c>
      <c r="CG36" s="68">
        <f>IF(CG$59="X","",IF(CG$59&lt;&gt;"",CG$59,IF(IFERROR(INDEX(醫師週班表!$C$5:$T$44,$CU36,CG$57),"")=0,"",IF(LEN(IFERROR(INDEX(醫師週班表!$C$5:$T$44,$CU36,CG$57),""))=4,MID(IFERROR(INDEX(醫師週班表!$C$5:$T$44,$CU36,CG$57),""),1+CG$58*2,1),IF(LEN(IFERROR(INDEX(醫師週班表!$C$5:$T$44,$CU36,CG$57),""))=2,IF(AND(RIGHT(IFERROR(INDEX(醫師週班表!$C$5:$T$44,$CU36,CG$57),""),1)="~",CG$58=1),"",LEFT(IFERROR(INDEX(醫師週班表!$C$5:$T$44,$CU36,CG$57),""),1)),IFERROR(INDEX(醫師週班表!$C$5:$T$44,$CU36,CG$57),""))))))</f>
        <v/>
      </c>
      <c r="CH36" s="67">
        <f>IF(CH$59="X","",IF(CH$59&lt;&gt;"",CH$59,IF(IFERROR(INDEX(醫師週班表!$C$5:$T$44,$CU36,CH$57),"")=0,"",IF(LEN(IFERROR(INDEX(醫師週班表!$C$5:$T$44,$CU36,CH$57),""))=4,MID(IFERROR(INDEX(醫師週班表!$C$5:$T$44,$CU36,CH$57),""),1+CH$58*2,1),IF(LEN(IFERROR(INDEX(醫師週班表!$C$5:$T$44,$CU36,CH$57),""))=2,IF(AND(RIGHT(IFERROR(INDEX(醫師週班表!$C$5:$T$44,$CU36,CH$57),""),1)="~",CH$58=1),"",LEFT(IFERROR(INDEX(醫師週班表!$C$5:$T$44,$CU36,CH$57),""),1)),IFERROR(INDEX(醫師週班表!$C$5:$T$44,$CU36,CH$57),""))))))</f>
        <v/>
      </c>
      <c r="CI36" s="68">
        <f>IF(CI$59="X","",IF(CI$59&lt;&gt;"",CI$59,IF(IFERROR(INDEX(醫師週班表!$C$5:$T$44,$CU36,CI$57),"")=0,"",IF(LEN(IFERROR(INDEX(醫師週班表!$C$5:$T$44,$CU36,CI$57),""))=4,MID(IFERROR(INDEX(醫師週班表!$C$5:$T$44,$CU36,CI$57),""),1+CI$58*2,1),IF(LEN(IFERROR(INDEX(醫師週班表!$C$5:$T$44,$CU36,CI$57),""))=2,IF(AND(RIGHT(IFERROR(INDEX(醫師週班表!$C$5:$T$44,$CU36,CI$57),""),1)="~",CI$58=1),"",LEFT(IFERROR(INDEX(醫師週班表!$C$5:$T$44,$CU36,CI$57),""),1)),IFERROR(INDEX(醫師週班表!$C$5:$T$44,$CU36,CI$57),""))))))</f>
        <v/>
      </c>
      <c r="CJ36" s="68">
        <f>IF(CJ$59="X","",IF(CJ$59&lt;&gt;"",CJ$59,IF(IFERROR(INDEX(醫師週班表!$C$5:$T$44,$CU36,CJ$57),"")=0,"",IF(LEN(IFERROR(INDEX(醫師週班表!$C$5:$T$44,$CU36,CJ$57),""))=4,MID(IFERROR(INDEX(醫師週班表!$C$5:$T$44,$CU36,CJ$57),""),1+CJ$58*2,1),IF(LEN(IFERROR(INDEX(醫師週班表!$C$5:$T$44,$CU36,CJ$57),""))=2,IF(AND(RIGHT(IFERROR(INDEX(醫師週班表!$C$5:$T$44,$CU36,CJ$57),""),1)="~",CJ$58=1),"",LEFT(IFERROR(INDEX(醫師週班表!$C$5:$T$44,$CU36,CJ$57),""),1)),IFERROR(INDEX(醫師週班表!$C$5:$T$44,$CU36,CJ$57),""))))))</f>
        <v/>
      </c>
      <c r="CK36" s="67">
        <f>IF(CK$59="X","",IF(CK$59&lt;&gt;"",CK$59,IF(IFERROR(INDEX(醫師週班表!$C$5:$T$44,$CU36,CK$57),"")=0,"",IF(LEN(IFERROR(INDEX(醫師週班表!$C$5:$T$44,$CU36,CK$57),""))=4,MID(IFERROR(INDEX(醫師週班表!$C$5:$T$44,$CU36,CK$57),""),1+CK$58*2,1),IF(LEN(IFERROR(INDEX(醫師週班表!$C$5:$T$44,$CU36,CK$57),""))=2,IF(AND(RIGHT(IFERROR(INDEX(醫師週班表!$C$5:$T$44,$CU36,CK$57),""),1)="~",CK$58=1),"",LEFT(IFERROR(INDEX(醫師週班表!$C$5:$T$44,$CU36,CK$57),""),1)),IFERROR(INDEX(醫師週班表!$C$5:$T$44,$CU36,CK$57),""))))))</f>
        <v/>
      </c>
      <c r="CL36" s="68">
        <f>IF(CL$59="X","",IF(CL$59&lt;&gt;"",CL$59,IF(IFERROR(INDEX(醫師週班表!$C$5:$T$44,$CU36,CL$57),"")=0,"",IF(LEN(IFERROR(INDEX(醫師週班表!$C$5:$T$44,$CU36,CL$57),""))=4,MID(IFERROR(INDEX(醫師週班表!$C$5:$T$44,$CU36,CL$57),""),1+CL$58*2,1),IF(LEN(IFERROR(INDEX(醫師週班表!$C$5:$T$44,$CU36,CL$57),""))=2,IF(AND(RIGHT(IFERROR(INDEX(醫師週班表!$C$5:$T$44,$CU36,CL$57),""),1)="~",CL$58=1),"",LEFT(IFERROR(INDEX(醫師週班表!$C$5:$T$44,$CU36,CL$57),""),1)),IFERROR(INDEX(醫師週班表!$C$5:$T$44,$CU36,CL$57),""))))))</f>
        <v/>
      </c>
      <c r="CM36" s="68">
        <f>IF(CM$59="X","",IF(CM$59&lt;&gt;"",CM$59,IF(IFERROR(INDEX(醫師週班表!$C$5:$T$44,$CU36,CM$57),"")=0,"",IF(LEN(IFERROR(INDEX(醫師週班表!$C$5:$T$44,$CU36,CM$57),""))=4,MID(IFERROR(INDEX(醫師週班表!$C$5:$T$44,$CU36,CM$57),""),1+CM$58*2,1),IF(LEN(IFERROR(INDEX(醫師週班表!$C$5:$T$44,$CU36,CM$57),""))=2,IF(AND(RIGHT(IFERROR(INDEX(醫師週班表!$C$5:$T$44,$CU36,CM$57),""),1)="~",CM$58=1),"",LEFT(IFERROR(INDEX(醫師週班表!$C$5:$T$44,$CU36,CM$57),""),1)),IFERROR(INDEX(醫師週班表!$C$5:$T$44,$CU36,CM$57),""))))))</f>
        <v/>
      </c>
      <c r="CN36" s="67">
        <f>IF(CN$59="X","",IF(CN$59&lt;&gt;"",CN$59,IF(IFERROR(INDEX(醫師週班表!$C$5:$T$44,$CU36,CN$57),"")=0,"",IF(LEN(IFERROR(INDEX(醫師週班表!$C$5:$T$44,$CU36,CN$57),""))=4,MID(IFERROR(INDEX(醫師週班表!$C$5:$T$44,$CU36,CN$57),""),1+CN$58*2,1),IF(LEN(IFERROR(INDEX(醫師週班表!$C$5:$T$44,$CU36,CN$57),""))=2,IF(AND(RIGHT(IFERROR(INDEX(醫師週班表!$C$5:$T$44,$CU36,CN$57),""),1)="~",CN$58=1),"",LEFT(IFERROR(INDEX(醫師週班表!$C$5:$T$44,$CU36,CN$57),""),1)),IFERROR(INDEX(醫師週班表!$C$5:$T$44,$CU36,CN$57),""))))))</f>
        <v/>
      </c>
      <c r="CO36" s="68">
        <f>IF(CO$59="X","",IF(CO$59&lt;&gt;"",CO$59,IF(IFERROR(INDEX(醫師週班表!$C$5:$T$44,$CU36,CO$57),"")=0,"",IF(LEN(IFERROR(INDEX(醫師週班表!$C$5:$T$44,$CU36,CO$57),""))=4,MID(IFERROR(INDEX(醫師週班表!$C$5:$T$44,$CU36,CO$57),""),1+CO$58*2,1),IF(LEN(IFERROR(INDEX(醫師週班表!$C$5:$T$44,$CU36,CO$57),""))=2,IF(AND(RIGHT(IFERROR(INDEX(醫師週班表!$C$5:$T$44,$CU36,CO$57),""),1)="~",CO$58=1),"",LEFT(IFERROR(INDEX(醫師週班表!$C$5:$T$44,$CU36,CO$57),""),1)),IFERROR(INDEX(醫師週班表!$C$5:$T$44,$CU36,CO$57),""))))))</f>
        <v/>
      </c>
      <c r="CP36" s="68">
        <f>IF(CP$59="X","",IF(CP$59&lt;&gt;"",CP$59,IF(IFERROR(INDEX(醫師週班表!$C$5:$T$44,$CU36,CP$57),"")=0,"",IF(LEN(IFERROR(INDEX(醫師週班表!$C$5:$T$44,$CU36,CP$57),""))=4,MID(IFERROR(INDEX(醫師週班表!$C$5:$T$44,$CU36,CP$57),""),1+CP$58*2,1),IF(LEN(IFERROR(INDEX(醫師週班表!$C$5:$T$44,$CU36,CP$57),""))=2,IF(AND(RIGHT(IFERROR(INDEX(醫師週班表!$C$5:$T$44,$CU36,CP$57),""),1)="~",CP$58=1),"",LEFT(IFERROR(INDEX(醫師週班表!$C$5:$T$44,$CU36,CP$57),""),1)),IFERROR(INDEX(醫師週班表!$C$5:$T$44,$CU36,CP$57),""))))))</f>
        <v/>
      </c>
      <c r="CQ36" s="67">
        <f>IF(CQ$59="X","",IF(CQ$59&lt;&gt;"",CQ$59,IF(IFERROR(INDEX(醫師週班表!$C$5:$T$44,$CU36,CQ$57),"")=0,"",IF(LEN(IFERROR(INDEX(醫師週班表!$C$5:$T$44,$CU36,CQ$57),""))=4,MID(IFERROR(INDEX(醫師週班表!$C$5:$T$44,$CU36,CQ$57),""),1+CQ$58*2,1),IF(LEN(IFERROR(INDEX(醫師週班表!$C$5:$T$44,$CU36,CQ$57),""))=2,IF(AND(RIGHT(IFERROR(INDEX(醫師週班表!$C$5:$T$44,$CU36,CQ$57),""),1)="~",CQ$58=1),"",LEFT(IFERROR(INDEX(醫師週班表!$C$5:$T$44,$CU36,CQ$57),""),1)),IFERROR(INDEX(醫師週班表!$C$5:$T$44,$CU36,CQ$57),""))))))</f>
        <v/>
      </c>
      <c r="CR36" s="68">
        <f>IF(CR$59="X","",IF(CR$59&lt;&gt;"",CR$59,IF(IFERROR(INDEX(醫師週班表!$C$5:$T$44,$CU36,CR$57),"")=0,"",IF(LEN(IFERROR(INDEX(醫師週班表!$C$5:$T$44,$CU36,CR$57),""))=4,MID(IFERROR(INDEX(醫師週班表!$C$5:$T$44,$CU36,CR$57),""),1+CR$58*2,1),IF(LEN(IFERROR(INDEX(醫師週班表!$C$5:$T$44,$CU36,CR$57),""))=2,IF(AND(RIGHT(IFERROR(INDEX(醫師週班表!$C$5:$T$44,$CU36,CR$57),""),1)="~",CR$58=1),"",LEFT(IFERROR(INDEX(醫師週班表!$C$5:$T$44,$CU36,CR$57),""),1)),IFERROR(INDEX(醫師週班表!$C$5:$T$44,$CU36,CR$57),""))))))</f>
        <v/>
      </c>
      <c r="CS36" s="68">
        <f>IF(CS$59="X","",IF(CS$59&lt;&gt;"",CS$59,IF(IFERROR(INDEX(醫師週班表!$C$5:$T$44,$CU36,CS$57),"")=0,"",IF(LEN(IFERROR(INDEX(醫師週班表!$C$5:$T$44,$CU36,CS$57),""))=4,MID(IFERROR(INDEX(醫師週班表!$C$5:$T$44,$CU36,CS$57),""),1+CS$58*2,1),IF(LEN(IFERROR(INDEX(醫師週班表!$C$5:$T$44,$CU36,CS$57),""))=2,IF(AND(RIGHT(IFERROR(INDEX(醫師週班表!$C$5:$T$44,$CU36,CS$57),""),1)="~",CS$58=1),"",LEFT(IFERROR(INDEX(醫師週班表!$C$5:$T$44,$CU36,CS$57),""),1)),IFERROR(INDEX(醫師週班表!$C$5:$T$44,$CU36,CS$57),""))))))</f>
        <v/>
      </c>
      <c r="CU36" s="69">
        <f>IFERROR(MATCH($A36,醫師週班表!$A$5:$A$44,0),0)</f>
        <v/>
      </c>
    </row>
    <row r="37" ht="17" customHeight="1">
      <c r="A37" s="20" t="n"/>
      <c r="B37" s="16">
        <f>IFERROR(INDEX(設定!$C$57:$C$196,MATCH($A37,設定!$B$57:$B$196,0)),"")</f>
        <v/>
      </c>
      <c r="C37" s="66">
        <f>IFERROR(INDEX(設定!$E$57:$E$196,MATCH($A37,設定!$B$57:$B$196,0)),"")</f>
        <v/>
      </c>
      <c r="D37" s="16">
        <f>IFERROR(INDEX(設定!$F$57:$F$196,MATCH($A37,設定!$B$57:$B$196,0)),"")</f>
        <v/>
      </c>
      <c r="E37" s="67">
        <f>IF(E$59="X","",IF(E$59&lt;&gt;"",E$59,IF(IFERROR(INDEX(醫師週班表!$C$5:$T$44,$CU37,E$57),"")=0,"",IF(LEN(IFERROR(INDEX(醫師週班表!$C$5:$T$44,$CU37,E$57),""))=4,MID(IFERROR(INDEX(醫師週班表!$C$5:$T$44,$CU37,E$57),""),1+E$58*2,1),IF(LEN(IFERROR(INDEX(醫師週班表!$C$5:$T$44,$CU37,E$57),""))=2,IF(AND(RIGHT(IFERROR(INDEX(醫師週班表!$C$5:$T$44,$CU37,E$57),""),1)="~",E$58=1),"",LEFT(IFERROR(INDEX(醫師週班表!$C$5:$T$44,$CU37,E$57),""),1)),IFERROR(INDEX(醫師週班表!$C$5:$T$44,$CU37,E$57),""))))))</f>
        <v/>
      </c>
      <c r="F37" s="68">
        <f>IF(F$59="X","",IF(F$59&lt;&gt;"",F$59,IF(IFERROR(INDEX(醫師週班表!$C$5:$T$44,$CU37,F$57),"")=0,"",IF(LEN(IFERROR(INDEX(醫師週班表!$C$5:$T$44,$CU37,F$57),""))=4,MID(IFERROR(INDEX(醫師週班表!$C$5:$T$44,$CU37,F$57),""),1+F$58*2,1),IF(LEN(IFERROR(INDEX(醫師週班表!$C$5:$T$44,$CU37,F$57),""))=2,IF(AND(RIGHT(IFERROR(INDEX(醫師週班表!$C$5:$T$44,$CU37,F$57),""),1)="~",F$58=1),"",LEFT(IFERROR(INDEX(醫師週班表!$C$5:$T$44,$CU37,F$57),""),1)),IFERROR(INDEX(醫師週班表!$C$5:$T$44,$CU37,F$57),""))))))</f>
        <v/>
      </c>
      <c r="G37" s="68">
        <f>IF(G$59="X","",IF(G$59&lt;&gt;"",G$59,IF(IFERROR(INDEX(醫師週班表!$C$5:$T$44,$CU37,G$57),"")=0,"",IF(LEN(IFERROR(INDEX(醫師週班表!$C$5:$T$44,$CU37,G$57),""))=4,MID(IFERROR(INDEX(醫師週班表!$C$5:$T$44,$CU37,G$57),""),1+G$58*2,1),IF(LEN(IFERROR(INDEX(醫師週班表!$C$5:$T$44,$CU37,G$57),""))=2,IF(AND(RIGHT(IFERROR(INDEX(醫師週班表!$C$5:$T$44,$CU37,G$57),""),1)="~",G$58=1),"",LEFT(IFERROR(INDEX(醫師週班表!$C$5:$T$44,$CU37,G$57),""),1)),IFERROR(INDEX(醫師週班表!$C$5:$T$44,$CU37,G$57),""))))))</f>
        <v/>
      </c>
      <c r="H37" s="67">
        <f>IF(H$59="X","",IF(H$59&lt;&gt;"",H$59,IF(IFERROR(INDEX(醫師週班表!$C$5:$T$44,$CU37,H$57),"")=0,"",IF(LEN(IFERROR(INDEX(醫師週班表!$C$5:$T$44,$CU37,H$57),""))=4,MID(IFERROR(INDEX(醫師週班表!$C$5:$T$44,$CU37,H$57),""),1+H$58*2,1),IF(LEN(IFERROR(INDEX(醫師週班表!$C$5:$T$44,$CU37,H$57),""))=2,IF(AND(RIGHT(IFERROR(INDEX(醫師週班表!$C$5:$T$44,$CU37,H$57),""),1)="~",H$58=1),"",LEFT(IFERROR(INDEX(醫師週班表!$C$5:$T$44,$CU37,H$57),""),1)),IFERROR(INDEX(醫師週班表!$C$5:$T$44,$CU37,H$57),""))))))</f>
        <v/>
      </c>
      <c r="I37" s="68">
        <f>IF(I$59="X","",IF(I$59&lt;&gt;"",I$59,IF(IFERROR(INDEX(醫師週班表!$C$5:$T$44,$CU37,I$57),"")=0,"",IF(LEN(IFERROR(INDEX(醫師週班表!$C$5:$T$44,$CU37,I$57),""))=4,MID(IFERROR(INDEX(醫師週班表!$C$5:$T$44,$CU37,I$57),""),1+I$58*2,1),IF(LEN(IFERROR(INDEX(醫師週班表!$C$5:$T$44,$CU37,I$57),""))=2,IF(AND(RIGHT(IFERROR(INDEX(醫師週班表!$C$5:$T$44,$CU37,I$57),""),1)="~",I$58=1),"",LEFT(IFERROR(INDEX(醫師週班表!$C$5:$T$44,$CU37,I$57),""),1)),IFERROR(INDEX(醫師週班表!$C$5:$T$44,$CU37,I$57),""))))))</f>
        <v/>
      </c>
      <c r="J37" s="68">
        <f>IF(J$59="X","",IF(J$59&lt;&gt;"",J$59,IF(IFERROR(INDEX(醫師週班表!$C$5:$T$44,$CU37,J$57),"")=0,"",IF(LEN(IFERROR(INDEX(醫師週班表!$C$5:$T$44,$CU37,J$57),""))=4,MID(IFERROR(INDEX(醫師週班表!$C$5:$T$44,$CU37,J$57),""),1+J$58*2,1),IF(LEN(IFERROR(INDEX(醫師週班表!$C$5:$T$44,$CU37,J$57),""))=2,IF(AND(RIGHT(IFERROR(INDEX(醫師週班表!$C$5:$T$44,$CU37,J$57),""),1)="~",J$58=1),"",LEFT(IFERROR(INDEX(醫師週班表!$C$5:$T$44,$CU37,J$57),""),1)),IFERROR(INDEX(醫師週班表!$C$5:$T$44,$CU37,J$57),""))))))</f>
        <v/>
      </c>
      <c r="K37" s="67">
        <f>IF(K$59="X","",IF(K$59&lt;&gt;"",K$59,IF(IFERROR(INDEX(醫師週班表!$C$5:$T$44,$CU37,K$57),"")=0,"",IF(LEN(IFERROR(INDEX(醫師週班表!$C$5:$T$44,$CU37,K$57),""))=4,MID(IFERROR(INDEX(醫師週班表!$C$5:$T$44,$CU37,K$57),""),1+K$58*2,1),IF(LEN(IFERROR(INDEX(醫師週班表!$C$5:$T$44,$CU37,K$57),""))=2,IF(AND(RIGHT(IFERROR(INDEX(醫師週班表!$C$5:$T$44,$CU37,K$57),""),1)="~",K$58=1),"",LEFT(IFERROR(INDEX(醫師週班表!$C$5:$T$44,$CU37,K$57),""),1)),IFERROR(INDEX(醫師週班表!$C$5:$T$44,$CU37,K$57),""))))))</f>
        <v/>
      </c>
      <c r="L37" s="68">
        <f>IF(L$59="X","",IF(L$59&lt;&gt;"",L$59,IF(IFERROR(INDEX(醫師週班表!$C$5:$T$44,$CU37,L$57),"")=0,"",IF(LEN(IFERROR(INDEX(醫師週班表!$C$5:$T$44,$CU37,L$57),""))=4,MID(IFERROR(INDEX(醫師週班表!$C$5:$T$44,$CU37,L$57),""),1+L$58*2,1),IF(LEN(IFERROR(INDEX(醫師週班表!$C$5:$T$44,$CU37,L$57),""))=2,IF(AND(RIGHT(IFERROR(INDEX(醫師週班表!$C$5:$T$44,$CU37,L$57),""),1)="~",L$58=1),"",LEFT(IFERROR(INDEX(醫師週班表!$C$5:$T$44,$CU37,L$57),""),1)),IFERROR(INDEX(醫師週班表!$C$5:$T$44,$CU37,L$57),""))))))</f>
        <v/>
      </c>
      <c r="M37" s="68">
        <f>IF(M$59="X","",IF(M$59&lt;&gt;"",M$59,IF(IFERROR(INDEX(醫師週班表!$C$5:$T$44,$CU37,M$57),"")=0,"",IF(LEN(IFERROR(INDEX(醫師週班表!$C$5:$T$44,$CU37,M$57),""))=4,MID(IFERROR(INDEX(醫師週班表!$C$5:$T$44,$CU37,M$57),""),1+M$58*2,1),IF(LEN(IFERROR(INDEX(醫師週班表!$C$5:$T$44,$CU37,M$57),""))=2,IF(AND(RIGHT(IFERROR(INDEX(醫師週班表!$C$5:$T$44,$CU37,M$57),""),1)="~",M$58=1),"",LEFT(IFERROR(INDEX(醫師週班表!$C$5:$T$44,$CU37,M$57),""),1)),IFERROR(INDEX(醫師週班表!$C$5:$T$44,$CU37,M$57),""))))))</f>
        <v/>
      </c>
      <c r="N37" s="67">
        <f>IF(N$59="X","",IF(N$59&lt;&gt;"",N$59,IF(IFERROR(INDEX(醫師週班表!$C$5:$T$44,$CU37,N$57),"")=0,"",IF(LEN(IFERROR(INDEX(醫師週班表!$C$5:$T$44,$CU37,N$57),""))=4,MID(IFERROR(INDEX(醫師週班表!$C$5:$T$44,$CU37,N$57),""),1+N$58*2,1),IF(LEN(IFERROR(INDEX(醫師週班表!$C$5:$T$44,$CU37,N$57),""))=2,IF(AND(RIGHT(IFERROR(INDEX(醫師週班表!$C$5:$T$44,$CU37,N$57),""),1)="~",N$58=1),"",LEFT(IFERROR(INDEX(醫師週班表!$C$5:$T$44,$CU37,N$57),""),1)),IFERROR(INDEX(醫師週班表!$C$5:$T$44,$CU37,N$57),""))))))</f>
        <v/>
      </c>
      <c r="O37" s="68">
        <f>IF(O$59="X","",IF(O$59&lt;&gt;"",O$59,IF(IFERROR(INDEX(醫師週班表!$C$5:$T$44,$CU37,O$57),"")=0,"",IF(LEN(IFERROR(INDEX(醫師週班表!$C$5:$T$44,$CU37,O$57),""))=4,MID(IFERROR(INDEX(醫師週班表!$C$5:$T$44,$CU37,O$57),""),1+O$58*2,1),IF(LEN(IFERROR(INDEX(醫師週班表!$C$5:$T$44,$CU37,O$57),""))=2,IF(AND(RIGHT(IFERROR(INDEX(醫師週班表!$C$5:$T$44,$CU37,O$57),""),1)="~",O$58=1),"",LEFT(IFERROR(INDEX(醫師週班表!$C$5:$T$44,$CU37,O$57),""),1)),IFERROR(INDEX(醫師週班表!$C$5:$T$44,$CU37,O$57),""))))))</f>
        <v/>
      </c>
      <c r="P37" s="68">
        <f>IF(P$59="X","",IF(P$59&lt;&gt;"",P$59,IF(IFERROR(INDEX(醫師週班表!$C$5:$T$44,$CU37,P$57),"")=0,"",IF(LEN(IFERROR(INDEX(醫師週班表!$C$5:$T$44,$CU37,P$57),""))=4,MID(IFERROR(INDEX(醫師週班表!$C$5:$T$44,$CU37,P$57),""),1+P$58*2,1),IF(LEN(IFERROR(INDEX(醫師週班表!$C$5:$T$44,$CU37,P$57),""))=2,IF(AND(RIGHT(IFERROR(INDEX(醫師週班表!$C$5:$T$44,$CU37,P$57),""),1)="~",P$58=1),"",LEFT(IFERROR(INDEX(醫師週班表!$C$5:$T$44,$CU37,P$57),""),1)),IFERROR(INDEX(醫師週班表!$C$5:$T$44,$CU37,P$57),""))))))</f>
        <v/>
      </c>
      <c r="Q37" s="67">
        <f>IF(Q$59="X","",IF(Q$59&lt;&gt;"",Q$59,IF(IFERROR(INDEX(醫師週班表!$C$5:$T$44,$CU37,Q$57),"")=0,"",IF(LEN(IFERROR(INDEX(醫師週班表!$C$5:$T$44,$CU37,Q$57),""))=4,MID(IFERROR(INDEX(醫師週班表!$C$5:$T$44,$CU37,Q$57),""),1+Q$58*2,1),IF(LEN(IFERROR(INDEX(醫師週班表!$C$5:$T$44,$CU37,Q$57),""))=2,IF(AND(RIGHT(IFERROR(INDEX(醫師週班表!$C$5:$T$44,$CU37,Q$57),""),1)="~",Q$58=1),"",LEFT(IFERROR(INDEX(醫師週班表!$C$5:$T$44,$CU37,Q$57),""),1)),IFERROR(INDEX(醫師週班表!$C$5:$T$44,$CU37,Q$57),""))))))</f>
        <v/>
      </c>
      <c r="R37" s="68">
        <f>IF(R$59="X","",IF(R$59&lt;&gt;"",R$59,IF(IFERROR(INDEX(醫師週班表!$C$5:$T$44,$CU37,R$57),"")=0,"",IF(LEN(IFERROR(INDEX(醫師週班表!$C$5:$T$44,$CU37,R$57),""))=4,MID(IFERROR(INDEX(醫師週班表!$C$5:$T$44,$CU37,R$57),""),1+R$58*2,1),IF(LEN(IFERROR(INDEX(醫師週班表!$C$5:$T$44,$CU37,R$57),""))=2,IF(AND(RIGHT(IFERROR(INDEX(醫師週班表!$C$5:$T$44,$CU37,R$57),""),1)="~",R$58=1),"",LEFT(IFERROR(INDEX(醫師週班表!$C$5:$T$44,$CU37,R$57),""),1)),IFERROR(INDEX(醫師週班表!$C$5:$T$44,$CU37,R$57),""))))))</f>
        <v/>
      </c>
      <c r="S37" s="68">
        <f>IF(S$59="X","",IF(S$59&lt;&gt;"",S$59,IF(IFERROR(INDEX(醫師週班表!$C$5:$T$44,$CU37,S$57),"")=0,"",IF(LEN(IFERROR(INDEX(醫師週班表!$C$5:$T$44,$CU37,S$57),""))=4,MID(IFERROR(INDEX(醫師週班表!$C$5:$T$44,$CU37,S$57),""),1+S$58*2,1),IF(LEN(IFERROR(INDEX(醫師週班表!$C$5:$T$44,$CU37,S$57),""))=2,IF(AND(RIGHT(IFERROR(INDEX(醫師週班表!$C$5:$T$44,$CU37,S$57),""),1)="~",S$58=1),"",LEFT(IFERROR(INDEX(醫師週班表!$C$5:$T$44,$CU37,S$57),""),1)),IFERROR(INDEX(醫師週班表!$C$5:$T$44,$CU37,S$57),""))))))</f>
        <v/>
      </c>
      <c r="T37" s="67">
        <f>IF(T$59="X","",IF(T$59&lt;&gt;"",T$59,IF(IFERROR(INDEX(醫師週班表!$C$5:$T$44,$CU37,T$57),"")=0,"",IF(LEN(IFERROR(INDEX(醫師週班表!$C$5:$T$44,$CU37,T$57),""))=4,MID(IFERROR(INDEX(醫師週班表!$C$5:$T$44,$CU37,T$57),""),1+T$58*2,1),IF(LEN(IFERROR(INDEX(醫師週班表!$C$5:$T$44,$CU37,T$57),""))=2,IF(AND(RIGHT(IFERROR(INDEX(醫師週班表!$C$5:$T$44,$CU37,T$57),""),1)="~",T$58=1),"",LEFT(IFERROR(INDEX(醫師週班表!$C$5:$T$44,$CU37,T$57),""),1)),IFERROR(INDEX(醫師週班表!$C$5:$T$44,$CU37,T$57),""))))))</f>
        <v/>
      </c>
      <c r="U37" s="68">
        <f>IF(U$59="X","",IF(U$59&lt;&gt;"",U$59,IF(IFERROR(INDEX(醫師週班表!$C$5:$T$44,$CU37,U$57),"")=0,"",IF(LEN(IFERROR(INDEX(醫師週班表!$C$5:$T$44,$CU37,U$57),""))=4,MID(IFERROR(INDEX(醫師週班表!$C$5:$T$44,$CU37,U$57),""),1+U$58*2,1),IF(LEN(IFERROR(INDEX(醫師週班表!$C$5:$T$44,$CU37,U$57),""))=2,IF(AND(RIGHT(IFERROR(INDEX(醫師週班表!$C$5:$T$44,$CU37,U$57),""),1)="~",U$58=1),"",LEFT(IFERROR(INDEX(醫師週班表!$C$5:$T$44,$CU37,U$57),""),1)),IFERROR(INDEX(醫師週班表!$C$5:$T$44,$CU37,U$57),""))))))</f>
        <v/>
      </c>
      <c r="V37" s="68">
        <f>IF(V$59="X","",IF(V$59&lt;&gt;"",V$59,IF(IFERROR(INDEX(醫師週班表!$C$5:$T$44,$CU37,V$57),"")=0,"",IF(LEN(IFERROR(INDEX(醫師週班表!$C$5:$T$44,$CU37,V$57),""))=4,MID(IFERROR(INDEX(醫師週班表!$C$5:$T$44,$CU37,V$57),""),1+V$58*2,1),IF(LEN(IFERROR(INDEX(醫師週班表!$C$5:$T$44,$CU37,V$57),""))=2,IF(AND(RIGHT(IFERROR(INDEX(醫師週班表!$C$5:$T$44,$CU37,V$57),""),1)="~",V$58=1),"",LEFT(IFERROR(INDEX(醫師週班表!$C$5:$T$44,$CU37,V$57),""),1)),IFERROR(INDEX(醫師週班表!$C$5:$T$44,$CU37,V$57),""))))))</f>
        <v/>
      </c>
      <c r="W37" s="67">
        <f>IF(W$59="X","",IF(W$59&lt;&gt;"",W$59,IF(IFERROR(INDEX(醫師週班表!$C$5:$T$44,$CU37,W$57),"")=0,"",IF(LEN(IFERROR(INDEX(醫師週班表!$C$5:$T$44,$CU37,W$57),""))=4,MID(IFERROR(INDEX(醫師週班表!$C$5:$T$44,$CU37,W$57),""),1+W$58*2,1),IF(LEN(IFERROR(INDEX(醫師週班表!$C$5:$T$44,$CU37,W$57),""))=2,IF(AND(RIGHT(IFERROR(INDEX(醫師週班表!$C$5:$T$44,$CU37,W$57),""),1)="~",W$58=1),"",LEFT(IFERROR(INDEX(醫師週班表!$C$5:$T$44,$CU37,W$57),""),1)),IFERROR(INDEX(醫師週班表!$C$5:$T$44,$CU37,W$57),""))))))</f>
        <v/>
      </c>
      <c r="X37" s="68">
        <f>IF(X$59="X","",IF(X$59&lt;&gt;"",X$59,IF(IFERROR(INDEX(醫師週班表!$C$5:$T$44,$CU37,X$57),"")=0,"",IF(LEN(IFERROR(INDEX(醫師週班表!$C$5:$T$44,$CU37,X$57),""))=4,MID(IFERROR(INDEX(醫師週班表!$C$5:$T$44,$CU37,X$57),""),1+X$58*2,1),IF(LEN(IFERROR(INDEX(醫師週班表!$C$5:$T$44,$CU37,X$57),""))=2,IF(AND(RIGHT(IFERROR(INDEX(醫師週班表!$C$5:$T$44,$CU37,X$57),""),1)="~",X$58=1),"",LEFT(IFERROR(INDEX(醫師週班表!$C$5:$T$44,$CU37,X$57),""),1)),IFERROR(INDEX(醫師週班表!$C$5:$T$44,$CU37,X$57),""))))))</f>
        <v/>
      </c>
      <c r="Y37" s="68">
        <f>IF(Y$59="X","",IF(Y$59&lt;&gt;"",Y$59,IF(IFERROR(INDEX(醫師週班表!$C$5:$T$44,$CU37,Y$57),"")=0,"",IF(LEN(IFERROR(INDEX(醫師週班表!$C$5:$T$44,$CU37,Y$57),""))=4,MID(IFERROR(INDEX(醫師週班表!$C$5:$T$44,$CU37,Y$57),""),1+Y$58*2,1),IF(LEN(IFERROR(INDEX(醫師週班表!$C$5:$T$44,$CU37,Y$57),""))=2,IF(AND(RIGHT(IFERROR(INDEX(醫師週班表!$C$5:$T$44,$CU37,Y$57),""),1)="~",Y$58=1),"",LEFT(IFERROR(INDEX(醫師週班表!$C$5:$T$44,$CU37,Y$57),""),1)),IFERROR(INDEX(醫師週班表!$C$5:$T$44,$CU37,Y$57),""))))))</f>
        <v/>
      </c>
      <c r="Z37" s="67">
        <f>IF(Z$59="X","",IF(Z$59&lt;&gt;"",Z$59,IF(IFERROR(INDEX(醫師週班表!$C$5:$T$44,$CU37,Z$57),"")=0,"",IF(LEN(IFERROR(INDEX(醫師週班表!$C$5:$T$44,$CU37,Z$57),""))=4,MID(IFERROR(INDEX(醫師週班表!$C$5:$T$44,$CU37,Z$57),""),1+Z$58*2,1),IF(LEN(IFERROR(INDEX(醫師週班表!$C$5:$T$44,$CU37,Z$57),""))=2,IF(AND(RIGHT(IFERROR(INDEX(醫師週班表!$C$5:$T$44,$CU37,Z$57),""),1)="~",Z$58=1),"",LEFT(IFERROR(INDEX(醫師週班表!$C$5:$T$44,$CU37,Z$57),""),1)),IFERROR(INDEX(醫師週班表!$C$5:$T$44,$CU37,Z$57),""))))))</f>
        <v/>
      </c>
      <c r="AA37" s="68">
        <f>IF(AA$59="X","",IF(AA$59&lt;&gt;"",AA$59,IF(IFERROR(INDEX(醫師週班表!$C$5:$T$44,$CU37,AA$57),"")=0,"",IF(LEN(IFERROR(INDEX(醫師週班表!$C$5:$T$44,$CU37,AA$57),""))=4,MID(IFERROR(INDEX(醫師週班表!$C$5:$T$44,$CU37,AA$57),""),1+AA$58*2,1),IF(LEN(IFERROR(INDEX(醫師週班表!$C$5:$T$44,$CU37,AA$57),""))=2,IF(AND(RIGHT(IFERROR(INDEX(醫師週班表!$C$5:$T$44,$CU37,AA$57),""),1)="~",AA$58=1),"",LEFT(IFERROR(INDEX(醫師週班表!$C$5:$T$44,$CU37,AA$57),""),1)),IFERROR(INDEX(醫師週班表!$C$5:$T$44,$CU37,AA$57),""))))))</f>
        <v/>
      </c>
      <c r="AB37" s="68">
        <f>IF(AB$59="X","",IF(AB$59&lt;&gt;"",AB$59,IF(IFERROR(INDEX(醫師週班表!$C$5:$T$44,$CU37,AB$57),"")=0,"",IF(LEN(IFERROR(INDEX(醫師週班表!$C$5:$T$44,$CU37,AB$57),""))=4,MID(IFERROR(INDEX(醫師週班表!$C$5:$T$44,$CU37,AB$57),""),1+AB$58*2,1),IF(LEN(IFERROR(INDEX(醫師週班表!$C$5:$T$44,$CU37,AB$57),""))=2,IF(AND(RIGHT(IFERROR(INDEX(醫師週班表!$C$5:$T$44,$CU37,AB$57),""),1)="~",AB$58=1),"",LEFT(IFERROR(INDEX(醫師週班表!$C$5:$T$44,$CU37,AB$57),""),1)),IFERROR(INDEX(醫師週班表!$C$5:$T$44,$CU37,AB$57),""))))))</f>
        <v/>
      </c>
      <c r="AC37" s="67">
        <f>IF(AC$59="X","",IF(AC$59&lt;&gt;"",AC$59,IF(IFERROR(INDEX(醫師週班表!$C$5:$T$44,$CU37,AC$57),"")=0,"",IF(LEN(IFERROR(INDEX(醫師週班表!$C$5:$T$44,$CU37,AC$57),""))=4,MID(IFERROR(INDEX(醫師週班表!$C$5:$T$44,$CU37,AC$57),""),1+AC$58*2,1),IF(LEN(IFERROR(INDEX(醫師週班表!$C$5:$T$44,$CU37,AC$57),""))=2,IF(AND(RIGHT(IFERROR(INDEX(醫師週班表!$C$5:$T$44,$CU37,AC$57),""),1)="~",AC$58=1),"",LEFT(IFERROR(INDEX(醫師週班表!$C$5:$T$44,$CU37,AC$57),""),1)),IFERROR(INDEX(醫師週班表!$C$5:$T$44,$CU37,AC$57),""))))))</f>
        <v/>
      </c>
      <c r="AD37" s="68">
        <f>IF(AD$59="X","",IF(AD$59&lt;&gt;"",AD$59,IF(IFERROR(INDEX(醫師週班表!$C$5:$T$44,$CU37,AD$57),"")=0,"",IF(LEN(IFERROR(INDEX(醫師週班表!$C$5:$T$44,$CU37,AD$57),""))=4,MID(IFERROR(INDEX(醫師週班表!$C$5:$T$44,$CU37,AD$57),""),1+AD$58*2,1),IF(LEN(IFERROR(INDEX(醫師週班表!$C$5:$T$44,$CU37,AD$57),""))=2,IF(AND(RIGHT(IFERROR(INDEX(醫師週班表!$C$5:$T$44,$CU37,AD$57),""),1)="~",AD$58=1),"",LEFT(IFERROR(INDEX(醫師週班表!$C$5:$T$44,$CU37,AD$57),""),1)),IFERROR(INDEX(醫師週班表!$C$5:$T$44,$CU37,AD$57),""))))))</f>
        <v/>
      </c>
      <c r="AE37" s="68">
        <f>IF(AE$59="X","",IF(AE$59&lt;&gt;"",AE$59,IF(IFERROR(INDEX(醫師週班表!$C$5:$T$44,$CU37,AE$57),"")=0,"",IF(LEN(IFERROR(INDEX(醫師週班表!$C$5:$T$44,$CU37,AE$57),""))=4,MID(IFERROR(INDEX(醫師週班表!$C$5:$T$44,$CU37,AE$57),""),1+AE$58*2,1),IF(LEN(IFERROR(INDEX(醫師週班表!$C$5:$T$44,$CU37,AE$57),""))=2,IF(AND(RIGHT(IFERROR(INDEX(醫師週班表!$C$5:$T$44,$CU37,AE$57),""),1)="~",AE$58=1),"",LEFT(IFERROR(INDEX(醫師週班表!$C$5:$T$44,$CU37,AE$57),""),1)),IFERROR(INDEX(醫師週班表!$C$5:$T$44,$CU37,AE$57),""))))))</f>
        <v/>
      </c>
      <c r="AF37" s="67">
        <f>IF(AF$59="X","",IF(AF$59&lt;&gt;"",AF$59,IF(IFERROR(INDEX(醫師週班表!$C$5:$T$44,$CU37,AF$57),"")=0,"",IF(LEN(IFERROR(INDEX(醫師週班表!$C$5:$T$44,$CU37,AF$57),""))=4,MID(IFERROR(INDEX(醫師週班表!$C$5:$T$44,$CU37,AF$57),""),1+AF$58*2,1),IF(LEN(IFERROR(INDEX(醫師週班表!$C$5:$T$44,$CU37,AF$57),""))=2,IF(AND(RIGHT(IFERROR(INDEX(醫師週班表!$C$5:$T$44,$CU37,AF$57),""),1)="~",AF$58=1),"",LEFT(IFERROR(INDEX(醫師週班表!$C$5:$T$44,$CU37,AF$57),""),1)),IFERROR(INDEX(醫師週班表!$C$5:$T$44,$CU37,AF$57),""))))))</f>
        <v/>
      </c>
      <c r="AG37" s="68">
        <f>IF(AG$59="X","",IF(AG$59&lt;&gt;"",AG$59,IF(IFERROR(INDEX(醫師週班表!$C$5:$T$44,$CU37,AG$57),"")=0,"",IF(LEN(IFERROR(INDEX(醫師週班表!$C$5:$T$44,$CU37,AG$57),""))=4,MID(IFERROR(INDEX(醫師週班表!$C$5:$T$44,$CU37,AG$57),""),1+AG$58*2,1),IF(LEN(IFERROR(INDEX(醫師週班表!$C$5:$T$44,$CU37,AG$57),""))=2,IF(AND(RIGHT(IFERROR(INDEX(醫師週班表!$C$5:$T$44,$CU37,AG$57),""),1)="~",AG$58=1),"",LEFT(IFERROR(INDEX(醫師週班表!$C$5:$T$44,$CU37,AG$57),""),1)),IFERROR(INDEX(醫師週班表!$C$5:$T$44,$CU37,AG$57),""))))))</f>
        <v/>
      </c>
      <c r="AH37" s="68">
        <f>IF(AH$59="X","",IF(AH$59&lt;&gt;"",AH$59,IF(IFERROR(INDEX(醫師週班表!$C$5:$T$44,$CU37,AH$57),"")=0,"",IF(LEN(IFERROR(INDEX(醫師週班表!$C$5:$T$44,$CU37,AH$57),""))=4,MID(IFERROR(INDEX(醫師週班表!$C$5:$T$44,$CU37,AH$57),""),1+AH$58*2,1),IF(LEN(IFERROR(INDEX(醫師週班表!$C$5:$T$44,$CU37,AH$57),""))=2,IF(AND(RIGHT(IFERROR(INDEX(醫師週班表!$C$5:$T$44,$CU37,AH$57),""),1)="~",AH$58=1),"",LEFT(IFERROR(INDEX(醫師週班表!$C$5:$T$44,$CU37,AH$57),""),1)),IFERROR(INDEX(醫師週班表!$C$5:$T$44,$CU37,AH$57),""))))))</f>
        <v/>
      </c>
      <c r="AI37" s="67">
        <f>IF(AI$59="X","",IF(AI$59&lt;&gt;"",AI$59,IF(IFERROR(INDEX(醫師週班表!$C$5:$T$44,$CU37,AI$57),"")=0,"",IF(LEN(IFERROR(INDEX(醫師週班表!$C$5:$T$44,$CU37,AI$57),""))=4,MID(IFERROR(INDEX(醫師週班表!$C$5:$T$44,$CU37,AI$57),""),1+AI$58*2,1),IF(LEN(IFERROR(INDEX(醫師週班表!$C$5:$T$44,$CU37,AI$57),""))=2,IF(AND(RIGHT(IFERROR(INDEX(醫師週班表!$C$5:$T$44,$CU37,AI$57),""),1)="~",AI$58=1),"",LEFT(IFERROR(INDEX(醫師週班表!$C$5:$T$44,$CU37,AI$57),""),1)),IFERROR(INDEX(醫師週班表!$C$5:$T$44,$CU37,AI$57),""))))))</f>
        <v/>
      </c>
      <c r="AJ37" s="68">
        <f>IF(AJ$59="X","",IF(AJ$59&lt;&gt;"",AJ$59,IF(IFERROR(INDEX(醫師週班表!$C$5:$T$44,$CU37,AJ$57),"")=0,"",IF(LEN(IFERROR(INDEX(醫師週班表!$C$5:$T$44,$CU37,AJ$57),""))=4,MID(IFERROR(INDEX(醫師週班表!$C$5:$T$44,$CU37,AJ$57),""),1+AJ$58*2,1),IF(LEN(IFERROR(INDEX(醫師週班表!$C$5:$T$44,$CU37,AJ$57),""))=2,IF(AND(RIGHT(IFERROR(INDEX(醫師週班表!$C$5:$T$44,$CU37,AJ$57),""),1)="~",AJ$58=1),"",LEFT(IFERROR(INDEX(醫師週班表!$C$5:$T$44,$CU37,AJ$57),""),1)),IFERROR(INDEX(醫師週班表!$C$5:$T$44,$CU37,AJ$57),""))))))</f>
        <v/>
      </c>
      <c r="AK37" s="68">
        <f>IF(AK$59="X","",IF(AK$59&lt;&gt;"",AK$59,IF(IFERROR(INDEX(醫師週班表!$C$5:$T$44,$CU37,AK$57),"")=0,"",IF(LEN(IFERROR(INDEX(醫師週班表!$C$5:$T$44,$CU37,AK$57),""))=4,MID(IFERROR(INDEX(醫師週班表!$C$5:$T$44,$CU37,AK$57),""),1+AK$58*2,1),IF(LEN(IFERROR(INDEX(醫師週班表!$C$5:$T$44,$CU37,AK$57),""))=2,IF(AND(RIGHT(IFERROR(INDEX(醫師週班表!$C$5:$T$44,$CU37,AK$57),""),1)="~",AK$58=1),"",LEFT(IFERROR(INDEX(醫師週班表!$C$5:$T$44,$CU37,AK$57),""),1)),IFERROR(INDEX(醫師週班表!$C$5:$T$44,$CU37,AK$57),""))))))</f>
        <v/>
      </c>
      <c r="AL37" s="67">
        <f>IF(AL$59="X","",IF(AL$59&lt;&gt;"",AL$59,IF(IFERROR(INDEX(醫師週班表!$C$5:$T$44,$CU37,AL$57),"")=0,"",IF(LEN(IFERROR(INDEX(醫師週班表!$C$5:$T$44,$CU37,AL$57),""))=4,MID(IFERROR(INDEX(醫師週班表!$C$5:$T$44,$CU37,AL$57),""),1+AL$58*2,1),IF(LEN(IFERROR(INDEX(醫師週班表!$C$5:$T$44,$CU37,AL$57),""))=2,IF(AND(RIGHT(IFERROR(INDEX(醫師週班表!$C$5:$T$44,$CU37,AL$57),""),1)="~",AL$58=1),"",LEFT(IFERROR(INDEX(醫師週班表!$C$5:$T$44,$CU37,AL$57),""),1)),IFERROR(INDEX(醫師週班表!$C$5:$T$44,$CU37,AL$57),""))))))</f>
        <v/>
      </c>
      <c r="AM37" s="68">
        <f>IF(AM$59="X","",IF(AM$59&lt;&gt;"",AM$59,IF(IFERROR(INDEX(醫師週班表!$C$5:$T$44,$CU37,AM$57),"")=0,"",IF(LEN(IFERROR(INDEX(醫師週班表!$C$5:$T$44,$CU37,AM$57),""))=4,MID(IFERROR(INDEX(醫師週班表!$C$5:$T$44,$CU37,AM$57),""),1+AM$58*2,1),IF(LEN(IFERROR(INDEX(醫師週班表!$C$5:$T$44,$CU37,AM$57),""))=2,IF(AND(RIGHT(IFERROR(INDEX(醫師週班表!$C$5:$T$44,$CU37,AM$57),""),1)="~",AM$58=1),"",LEFT(IFERROR(INDEX(醫師週班表!$C$5:$T$44,$CU37,AM$57),""),1)),IFERROR(INDEX(醫師週班表!$C$5:$T$44,$CU37,AM$57),""))))))</f>
        <v/>
      </c>
      <c r="AN37" s="68">
        <f>IF(AN$59="X","",IF(AN$59&lt;&gt;"",AN$59,IF(IFERROR(INDEX(醫師週班表!$C$5:$T$44,$CU37,AN$57),"")=0,"",IF(LEN(IFERROR(INDEX(醫師週班表!$C$5:$T$44,$CU37,AN$57),""))=4,MID(IFERROR(INDEX(醫師週班表!$C$5:$T$44,$CU37,AN$57),""),1+AN$58*2,1),IF(LEN(IFERROR(INDEX(醫師週班表!$C$5:$T$44,$CU37,AN$57),""))=2,IF(AND(RIGHT(IFERROR(INDEX(醫師週班表!$C$5:$T$44,$CU37,AN$57),""),1)="~",AN$58=1),"",LEFT(IFERROR(INDEX(醫師週班表!$C$5:$T$44,$CU37,AN$57),""),1)),IFERROR(INDEX(醫師週班表!$C$5:$T$44,$CU37,AN$57),""))))))</f>
        <v/>
      </c>
      <c r="AO37" s="67">
        <f>IF(AO$59="X","",IF(AO$59&lt;&gt;"",AO$59,IF(IFERROR(INDEX(醫師週班表!$C$5:$T$44,$CU37,AO$57),"")=0,"",IF(LEN(IFERROR(INDEX(醫師週班表!$C$5:$T$44,$CU37,AO$57),""))=4,MID(IFERROR(INDEX(醫師週班表!$C$5:$T$44,$CU37,AO$57),""),1+AO$58*2,1),IF(LEN(IFERROR(INDEX(醫師週班表!$C$5:$T$44,$CU37,AO$57),""))=2,IF(AND(RIGHT(IFERROR(INDEX(醫師週班表!$C$5:$T$44,$CU37,AO$57),""),1)="~",AO$58=1),"",LEFT(IFERROR(INDEX(醫師週班表!$C$5:$T$44,$CU37,AO$57),""),1)),IFERROR(INDEX(醫師週班表!$C$5:$T$44,$CU37,AO$57),""))))))</f>
        <v/>
      </c>
      <c r="AP37" s="68">
        <f>IF(AP$59="X","",IF(AP$59&lt;&gt;"",AP$59,IF(IFERROR(INDEX(醫師週班表!$C$5:$T$44,$CU37,AP$57),"")=0,"",IF(LEN(IFERROR(INDEX(醫師週班表!$C$5:$T$44,$CU37,AP$57),""))=4,MID(IFERROR(INDEX(醫師週班表!$C$5:$T$44,$CU37,AP$57),""),1+AP$58*2,1),IF(LEN(IFERROR(INDEX(醫師週班表!$C$5:$T$44,$CU37,AP$57),""))=2,IF(AND(RIGHT(IFERROR(INDEX(醫師週班表!$C$5:$T$44,$CU37,AP$57),""),1)="~",AP$58=1),"",LEFT(IFERROR(INDEX(醫師週班表!$C$5:$T$44,$CU37,AP$57),""),1)),IFERROR(INDEX(醫師週班表!$C$5:$T$44,$CU37,AP$57),""))))))</f>
        <v/>
      </c>
      <c r="AQ37" s="68">
        <f>IF(AQ$59="X","",IF(AQ$59&lt;&gt;"",AQ$59,IF(IFERROR(INDEX(醫師週班表!$C$5:$T$44,$CU37,AQ$57),"")=0,"",IF(LEN(IFERROR(INDEX(醫師週班表!$C$5:$T$44,$CU37,AQ$57),""))=4,MID(IFERROR(INDEX(醫師週班表!$C$5:$T$44,$CU37,AQ$57),""),1+AQ$58*2,1),IF(LEN(IFERROR(INDEX(醫師週班表!$C$5:$T$44,$CU37,AQ$57),""))=2,IF(AND(RIGHT(IFERROR(INDEX(醫師週班表!$C$5:$T$44,$CU37,AQ$57),""),1)="~",AQ$58=1),"",LEFT(IFERROR(INDEX(醫師週班表!$C$5:$T$44,$CU37,AQ$57),""),1)),IFERROR(INDEX(醫師週班表!$C$5:$T$44,$CU37,AQ$57),""))))))</f>
        <v/>
      </c>
      <c r="AR37" s="67">
        <f>IF(AR$59="X","",IF(AR$59&lt;&gt;"",AR$59,IF(IFERROR(INDEX(醫師週班表!$C$5:$T$44,$CU37,AR$57),"")=0,"",IF(LEN(IFERROR(INDEX(醫師週班表!$C$5:$T$44,$CU37,AR$57),""))=4,MID(IFERROR(INDEX(醫師週班表!$C$5:$T$44,$CU37,AR$57),""),1+AR$58*2,1),IF(LEN(IFERROR(INDEX(醫師週班表!$C$5:$T$44,$CU37,AR$57),""))=2,IF(AND(RIGHT(IFERROR(INDEX(醫師週班表!$C$5:$T$44,$CU37,AR$57),""),1)="~",AR$58=1),"",LEFT(IFERROR(INDEX(醫師週班表!$C$5:$T$44,$CU37,AR$57),""),1)),IFERROR(INDEX(醫師週班表!$C$5:$T$44,$CU37,AR$57),""))))))</f>
        <v/>
      </c>
      <c r="AS37" s="68">
        <f>IF(AS$59="X","",IF(AS$59&lt;&gt;"",AS$59,IF(IFERROR(INDEX(醫師週班表!$C$5:$T$44,$CU37,AS$57),"")=0,"",IF(LEN(IFERROR(INDEX(醫師週班表!$C$5:$T$44,$CU37,AS$57),""))=4,MID(IFERROR(INDEX(醫師週班表!$C$5:$T$44,$CU37,AS$57),""),1+AS$58*2,1),IF(LEN(IFERROR(INDEX(醫師週班表!$C$5:$T$44,$CU37,AS$57),""))=2,IF(AND(RIGHT(IFERROR(INDEX(醫師週班表!$C$5:$T$44,$CU37,AS$57),""),1)="~",AS$58=1),"",LEFT(IFERROR(INDEX(醫師週班表!$C$5:$T$44,$CU37,AS$57),""),1)),IFERROR(INDEX(醫師週班表!$C$5:$T$44,$CU37,AS$57),""))))))</f>
        <v/>
      </c>
      <c r="AT37" s="68">
        <f>IF(AT$59="X","",IF(AT$59&lt;&gt;"",AT$59,IF(IFERROR(INDEX(醫師週班表!$C$5:$T$44,$CU37,AT$57),"")=0,"",IF(LEN(IFERROR(INDEX(醫師週班表!$C$5:$T$44,$CU37,AT$57),""))=4,MID(IFERROR(INDEX(醫師週班表!$C$5:$T$44,$CU37,AT$57),""),1+AT$58*2,1),IF(LEN(IFERROR(INDEX(醫師週班表!$C$5:$T$44,$CU37,AT$57),""))=2,IF(AND(RIGHT(IFERROR(INDEX(醫師週班表!$C$5:$T$44,$CU37,AT$57),""),1)="~",AT$58=1),"",LEFT(IFERROR(INDEX(醫師週班表!$C$5:$T$44,$CU37,AT$57),""),1)),IFERROR(INDEX(醫師週班表!$C$5:$T$44,$CU37,AT$57),""))))))</f>
        <v/>
      </c>
      <c r="AU37" s="67">
        <f>IF(AU$59="X","",IF(AU$59&lt;&gt;"",AU$59,IF(IFERROR(INDEX(醫師週班表!$C$5:$T$44,$CU37,AU$57),"")=0,"",IF(LEN(IFERROR(INDEX(醫師週班表!$C$5:$T$44,$CU37,AU$57),""))=4,MID(IFERROR(INDEX(醫師週班表!$C$5:$T$44,$CU37,AU$57),""),1+AU$58*2,1),IF(LEN(IFERROR(INDEX(醫師週班表!$C$5:$T$44,$CU37,AU$57),""))=2,IF(AND(RIGHT(IFERROR(INDEX(醫師週班表!$C$5:$T$44,$CU37,AU$57),""),1)="~",AU$58=1),"",LEFT(IFERROR(INDEX(醫師週班表!$C$5:$T$44,$CU37,AU$57),""),1)),IFERROR(INDEX(醫師週班表!$C$5:$T$44,$CU37,AU$57),""))))))</f>
        <v/>
      </c>
      <c r="AV37" s="68">
        <f>IF(AV$59="X","",IF(AV$59&lt;&gt;"",AV$59,IF(IFERROR(INDEX(醫師週班表!$C$5:$T$44,$CU37,AV$57),"")=0,"",IF(LEN(IFERROR(INDEX(醫師週班表!$C$5:$T$44,$CU37,AV$57),""))=4,MID(IFERROR(INDEX(醫師週班表!$C$5:$T$44,$CU37,AV$57),""),1+AV$58*2,1),IF(LEN(IFERROR(INDEX(醫師週班表!$C$5:$T$44,$CU37,AV$57),""))=2,IF(AND(RIGHT(IFERROR(INDEX(醫師週班表!$C$5:$T$44,$CU37,AV$57),""),1)="~",AV$58=1),"",LEFT(IFERROR(INDEX(醫師週班表!$C$5:$T$44,$CU37,AV$57),""),1)),IFERROR(INDEX(醫師週班表!$C$5:$T$44,$CU37,AV$57),""))))))</f>
        <v/>
      </c>
      <c r="AW37" s="68">
        <f>IF(AW$59="X","",IF(AW$59&lt;&gt;"",AW$59,IF(IFERROR(INDEX(醫師週班表!$C$5:$T$44,$CU37,AW$57),"")=0,"",IF(LEN(IFERROR(INDEX(醫師週班表!$C$5:$T$44,$CU37,AW$57),""))=4,MID(IFERROR(INDEX(醫師週班表!$C$5:$T$44,$CU37,AW$57),""),1+AW$58*2,1),IF(LEN(IFERROR(INDEX(醫師週班表!$C$5:$T$44,$CU37,AW$57),""))=2,IF(AND(RIGHT(IFERROR(INDEX(醫師週班表!$C$5:$T$44,$CU37,AW$57),""),1)="~",AW$58=1),"",LEFT(IFERROR(INDEX(醫師週班表!$C$5:$T$44,$CU37,AW$57),""),1)),IFERROR(INDEX(醫師週班表!$C$5:$T$44,$CU37,AW$57),""))))))</f>
        <v/>
      </c>
      <c r="AX37" s="67">
        <f>IF(AX$59="X","",IF(AX$59&lt;&gt;"",AX$59,IF(IFERROR(INDEX(醫師週班表!$C$5:$T$44,$CU37,AX$57),"")=0,"",IF(LEN(IFERROR(INDEX(醫師週班表!$C$5:$T$44,$CU37,AX$57),""))=4,MID(IFERROR(INDEX(醫師週班表!$C$5:$T$44,$CU37,AX$57),""),1+AX$58*2,1),IF(LEN(IFERROR(INDEX(醫師週班表!$C$5:$T$44,$CU37,AX$57),""))=2,IF(AND(RIGHT(IFERROR(INDEX(醫師週班表!$C$5:$T$44,$CU37,AX$57),""),1)="~",AX$58=1),"",LEFT(IFERROR(INDEX(醫師週班表!$C$5:$T$44,$CU37,AX$57),""),1)),IFERROR(INDEX(醫師週班表!$C$5:$T$44,$CU37,AX$57),""))))))</f>
        <v/>
      </c>
      <c r="AY37" s="68">
        <f>IF(AY$59="X","",IF(AY$59&lt;&gt;"",AY$59,IF(IFERROR(INDEX(醫師週班表!$C$5:$T$44,$CU37,AY$57),"")=0,"",IF(LEN(IFERROR(INDEX(醫師週班表!$C$5:$T$44,$CU37,AY$57),""))=4,MID(IFERROR(INDEX(醫師週班表!$C$5:$T$44,$CU37,AY$57),""),1+AY$58*2,1),IF(LEN(IFERROR(INDEX(醫師週班表!$C$5:$T$44,$CU37,AY$57),""))=2,IF(AND(RIGHT(IFERROR(INDEX(醫師週班表!$C$5:$T$44,$CU37,AY$57),""),1)="~",AY$58=1),"",LEFT(IFERROR(INDEX(醫師週班表!$C$5:$T$44,$CU37,AY$57),""),1)),IFERROR(INDEX(醫師週班表!$C$5:$T$44,$CU37,AY$57),""))))))</f>
        <v/>
      </c>
      <c r="AZ37" s="68">
        <f>IF(AZ$59="X","",IF(AZ$59&lt;&gt;"",AZ$59,IF(IFERROR(INDEX(醫師週班表!$C$5:$T$44,$CU37,AZ$57),"")=0,"",IF(LEN(IFERROR(INDEX(醫師週班表!$C$5:$T$44,$CU37,AZ$57),""))=4,MID(IFERROR(INDEX(醫師週班表!$C$5:$T$44,$CU37,AZ$57),""),1+AZ$58*2,1),IF(LEN(IFERROR(INDEX(醫師週班表!$C$5:$T$44,$CU37,AZ$57),""))=2,IF(AND(RIGHT(IFERROR(INDEX(醫師週班表!$C$5:$T$44,$CU37,AZ$57),""),1)="~",AZ$58=1),"",LEFT(IFERROR(INDEX(醫師週班表!$C$5:$T$44,$CU37,AZ$57),""),1)),IFERROR(INDEX(醫師週班表!$C$5:$T$44,$CU37,AZ$57),""))))))</f>
        <v/>
      </c>
      <c r="BA37" s="67">
        <f>IF(BA$59="X","",IF(BA$59&lt;&gt;"",BA$59,IF(IFERROR(INDEX(醫師週班表!$C$5:$T$44,$CU37,BA$57),"")=0,"",IF(LEN(IFERROR(INDEX(醫師週班表!$C$5:$T$44,$CU37,BA$57),""))=4,MID(IFERROR(INDEX(醫師週班表!$C$5:$T$44,$CU37,BA$57),""),1+BA$58*2,1),IF(LEN(IFERROR(INDEX(醫師週班表!$C$5:$T$44,$CU37,BA$57),""))=2,IF(AND(RIGHT(IFERROR(INDEX(醫師週班表!$C$5:$T$44,$CU37,BA$57),""),1)="~",BA$58=1),"",LEFT(IFERROR(INDEX(醫師週班表!$C$5:$T$44,$CU37,BA$57),""),1)),IFERROR(INDEX(醫師週班表!$C$5:$T$44,$CU37,BA$57),""))))))</f>
        <v/>
      </c>
      <c r="BB37" s="68">
        <f>IF(BB$59="X","",IF(BB$59&lt;&gt;"",BB$59,IF(IFERROR(INDEX(醫師週班表!$C$5:$T$44,$CU37,BB$57),"")=0,"",IF(LEN(IFERROR(INDEX(醫師週班表!$C$5:$T$44,$CU37,BB$57),""))=4,MID(IFERROR(INDEX(醫師週班表!$C$5:$T$44,$CU37,BB$57),""),1+BB$58*2,1),IF(LEN(IFERROR(INDEX(醫師週班表!$C$5:$T$44,$CU37,BB$57),""))=2,IF(AND(RIGHT(IFERROR(INDEX(醫師週班表!$C$5:$T$44,$CU37,BB$57),""),1)="~",BB$58=1),"",LEFT(IFERROR(INDEX(醫師週班表!$C$5:$T$44,$CU37,BB$57),""),1)),IFERROR(INDEX(醫師週班表!$C$5:$T$44,$CU37,BB$57),""))))))</f>
        <v/>
      </c>
      <c r="BC37" s="68">
        <f>IF(BC$59="X","",IF(BC$59&lt;&gt;"",BC$59,IF(IFERROR(INDEX(醫師週班表!$C$5:$T$44,$CU37,BC$57),"")=0,"",IF(LEN(IFERROR(INDEX(醫師週班表!$C$5:$T$44,$CU37,BC$57),""))=4,MID(IFERROR(INDEX(醫師週班表!$C$5:$T$44,$CU37,BC$57),""),1+BC$58*2,1),IF(LEN(IFERROR(INDEX(醫師週班表!$C$5:$T$44,$CU37,BC$57),""))=2,IF(AND(RIGHT(IFERROR(INDEX(醫師週班表!$C$5:$T$44,$CU37,BC$57),""),1)="~",BC$58=1),"",LEFT(IFERROR(INDEX(醫師週班表!$C$5:$T$44,$CU37,BC$57),""),1)),IFERROR(INDEX(醫師週班表!$C$5:$T$44,$CU37,BC$57),""))))))</f>
        <v/>
      </c>
      <c r="BD37" s="67">
        <f>IF(BD$59="X","",IF(BD$59&lt;&gt;"",BD$59,IF(IFERROR(INDEX(醫師週班表!$C$5:$T$44,$CU37,BD$57),"")=0,"",IF(LEN(IFERROR(INDEX(醫師週班表!$C$5:$T$44,$CU37,BD$57),""))=4,MID(IFERROR(INDEX(醫師週班表!$C$5:$T$44,$CU37,BD$57),""),1+BD$58*2,1),IF(LEN(IFERROR(INDEX(醫師週班表!$C$5:$T$44,$CU37,BD$57),""))=2,IF(AND(RIGHT(IFERROR(INDEX(醫師週班表!$C$5:$T$44,$CU37,BD$57),""),1)="~",BD$58=1),"",LEFT(IFERROR(INDEX(醫師週班表!$C$5:$T$44,$CU37,BD$57),""),1)),IFERROR(INDEX(醫師週班表!$C$5:$T$44,$CU37,BD$57),""))))))</f>
        <v/>
      </c>
      <c r="BE37" s="68">
        <f>IF(BE$59="X","",IF(BE$59&lt;&gt;"",BE$59,IF(IFERROR(INDEX(醫師週班表!$C$5:$T$44,$CU37,BE$57),"")=0,"",IF(LEN(IFERROR(INDEX(醫師週班表!$C$5:$T$44,$CU37,BE$57),""))=4,MID(IFERROR(INDEX(醫師週班表!$C$5:$T$44,$CU37,BE$57),""),1+BE$58*2,1),IF(LEN(IFERROR(INDEX(醫師週班表!$C$5:$T$44,$CU37,BE$57),""))=2,IF(AND(RIGHT(IFERROR(INDEX(醫師週班表!$C$5:$T$44,$CU37,BE$57),""),1)="~",BE$58=1),"",LEFT(IFERROR(INDEX(醫師週班表!$C$5:$T$44,$CU37,BE$57),""),1)),IFERROR(INDEX(醫師週班表!$C$5:$T$44,$CU37,BE$57),""))))))</f>
        <v/>
      </c>
      <c r="BF37" s="68">
        <f>IF(BF$59="X","",IF(BF$59&lt;&gt;"",BF$59,IF(IFERROR(INDEX(醫師週班表!$C$5:$T$44,$CU37,BF$57),"")=0,"",IF(LEN(IFERROR(INDEX(醫師週班表!$C$5:$T$44,$CU37,BF$57),""))=4,MID(IFERROR(INDEX(醫師週班表!$C$5:$T$44,$CU37,BF$57),""),1+BF$58*2,1),IF(LEN(IFERROR(INDEX(醫師週班表!$C$5:$T$44,$CU37,BF$57),""))=2,IF(AND(RIGHT(IFERROR(INDEX(醫師週班表!$C$5:$T$44,$CU37,BF$57),""),1)="~",BF$58=1),"",LEFT(IFERROR(INDEX(醫師週班表!$C$5:$T$44,$CU37,BF$57),""),1)),IFERROR(INDEX(醫師週班表!$C$5:$T$44,$CU37,BF$57),""))))))</f>
        <v/>
      </c>
      <c r="BG37" s="67">
        <f>IF(BG$59="X","",IF(BG$59&lt;&gt;"",BG$59,IF(IFERROR(INDEX(醫師週班表!$C$5:$T$44,$CU37,BG$57),"")=0,"",IF(LEN(IFERROR(INDEX(醫師週班表!$C$5:$T$44,$CU37,BG$57),""))=4,MID(IFERROR(INDEX(醫師週班表!$C$5:$T$44,$CU37,BG$57),""),1+BG$58*2,1),IF(LEN(IFERROR(INDEX(醫師週班表!$C$5:$T$44,$CU37,BG$57),""))=2,IF(AND(RIGHT(IFERROR(INDEX(醫師週班表!$C$5:$T$44,$CU37,BG$57),""),1)="~",BG$58=1),"",LEFT(IFERROR(INDEX(醫師週班表!$C$5:$T$44,$CU37,BG$57),""),1)),IFERROR(INDEX(醫師週班表!$C$5:$T$44,$CU37,BG$57),""))))))</f>
        <v/>
      </c>
      <c r="BH37" s="68">
        <f>IF(BH$59="X","",IF(BH$59&lt;&gt;"",BH$59,IF(IFERROR(INDEX(醫師週班表!$C$5:$T$44,$CU37,BH$57),"")=0,"",IF(LEN(IFERROR(INDEX(醫師週班表!$C$5:$T$44,$CU37,BH$57),""))=4,MID(IFERROR(INDEX(醫師週班表!$C$5:$T$44,$CU37,BH$57),""),1+BH$58*2,1),IF(LEN(IFERROR(INDEX(醫師週班表!$C$5:$T$44,$CU37,BH$57),""))=2,IF(AND(RIGHT(IFERROR(INDEX(醫師週班表!$C$5:$T$44,$CU37,BH$57),""),1)="~",BH$58=1),"",LEFT(IFERROR(INDEX(醫師週班表!$C$5:$T$44,$CU37,BH$57),""),1)),IFERROR(INDEX(醫師週班表!$C$5:$T$44,$CU37,BH$57),""))))))</f>
        <v/>
      </c>
      <c r="BI37" s="68">
        <f>IF(BI$59="X","",IF(BI$59&lt;&gt;"",BI$59,IF(IFERROR(INDEX(醫師週班表!$C$5:$T$44,$CU37,BI$57),"")=0,"",IF(LEN(IFERROR(INDEX(醫師週班表!$C$5:$T$44,$CU37,BI$57),""))=4,MID(IFERROR(INDEX(醫師週班表!$C$5:$T$44,$CU37,BI$57),""),1+BI$58*2,1),IF(LEN(IFERROR(INDEX(醫師週班表!$C$5:$T$44,$CU37,BI$57),""))=2,IF(AND(RIGHT(IFERROR(INDEX(醫師週班表!$C$5:$T$44,$CU37,BI$57),""),1)="~",BI$58=1),"",LEFT(IFERROR(INDEX(醫師週班表!$C$5:$T$44,$CU37,BI$57),""),1)),IFERROR(INDEX(醫師週班表!$C$5:$T$44,$CU37,BI$57),""))))))</f>
        <v/>
      </c>
      <c r="BJ37" s="67">
        <f>IF(BJ$59="X","",IF(BJ$59&lt;&gt;"",BJ$59,IF(IFERROR(INDEX(醫師週班表!$C$5:$T$44,$CU37,BJ$57),"")=0,"",IF(LEN(IFERROR(INDEX(醫師週班表!$C$5:$T$44,$CU37,BJ$57),""))=4,MID(IFERROR(INDEX(醫師週班表!$C$5:$T$44,$CU37,BJ$57),""),1+BJ$58*2,1),IF(LEN(IFERROR(INDEX(醫師週班表!$C$5:$T$44,$CU37,BJ$57),""))=2,IF(AND(RIGHT(IFERROR(INDEX(醫師週班表!$C$5:$T$44,$CU37,BJ$57),""),1)="~",BJ$58=1),"",LEFT(IFERROR(INDEX(醫師週班表!$C$5:$T$44,$CU37,BJ$57),""),1)),IFERROR(INDEX(醫師週班表!$C$5:$T$44,$CU37,BJ$57),""))))))</f>
        <v/>
      </c>
      <c r="BK37" s="68">
        <f>IF(BK$59="X","",IF(BK$59&lt;&gt;"",BK$59,IF(IFERROR(INDEX(醫師週班表!$C$5:$T$44,$CU37,BK$57),"")=0,"",IF(LEN(IFERROR(INDEX(醫師週班表!$C$5:$T$44,$CU37,BK$57),""))=4,MID(IFERROR(INDEX(醫師週班表!$C$5:$T$44,$CU37,BK$57),""),1+BK$58*2,1),IF(LEN(IFERROR(INDEX(醫師週班表!$C$5:$T$44,$CU37,BK$57),""))=2,IF(AND(RIGHT(IFERROR(INDEX(醫師週班表!$C$5:$T$44,$CU37,BK$57),""),1)="~",BK$58=1),"",LEFT(IFERROR(INDEX(醫師週班表!$C$5:$T$44,$CU37,BK$57),""),1)),IFERROR(INDEX(醫師週班表!$C$5:$T$44,$CU37,BK$57),""))))))</f>
        <v/>
      </c>
      <c r="BL37" s="68">
        <f>IF(BL$59="X","",IF(BL$59&lt;&gt;"",BL$59,IF(IFERROR(INDEX(醫師週班表!$C$5:$T$44,$CU37,BL$57),"")=0,"",IF(LEN(IFERROR(INDEX(醫師週班表!$C$5:$T$44,$CU37,BL$57),""))=4,MID(IFERROR(INDEX(醫師週班表!$C$5:$T$44,$CU37,BL$57),""),1+BL$58*2,1),IF(LEN(IFERROR(INDEX(醫師週班表!$C$5:$T$44,$CU37,BL$57),""))=2,IF(AND(RIGHT(IFERROR(INDEX(醫師週班表!$C$5:$T$44,$CU37,BL$57),""),1)="~",BL$58=1),"",LEFT(IFERROR(INDEX(醫師週班表!$C$5:$T$44,$CU37,BL$57),""),1)),IFERROR(INDEX(醫師週班表!$C$5:$T$44,$CU37,BL$57),""))))))</f>
        <v/>
      </c>
      <c r="BM37" s="67">
        <f>IF(BM$59="X","",IF(BM$59&lt;&gt;"",BM$59,IF(IFERROR(INDEX(醫師週班表!$C$5:$T$44,$CU37,BM$57),"")=0,"",IF(LEN(IFERROR(INDEX(醫師週班表!$C$5:$T$44,$CU37,BM$57),""))=4,MID(IFERROR(INDEX(醫師週班表!$C$5:$T$44,$CU37,BM$57),""),1+BM$58*2,1),IF(LEN(IFERROR(INDEX(醫師週班表!$C$5:$T$44,$CU37,BM$57),""))=2,IF(AND(RIGHT(IFERROR(INDEX(醫師週班表!$C$5:$T$44,$CU37,BM$57),""),1)="~",BM$58=1),"",LEFT(IFERROR(INDEX(醫師週班表!$C$5:$T$44,$CU37,BM$57),""),1)),IFERROR(INDEX(醫師週班表!$C$5:$T$44,$CU37,BM$57),""))))))</f>
        <v/>
      </c>
      <c r="BN37" s="68">
        <f>IF(BN$59="X","",IF(BN$59&lt;&gt;"",BN$59,IF(IFERROR(INDEX(醫師週班表!$C$5:$T$44,$CU37,BN$57),"")=0,"",IF(LEN(IFERROR(INDEX(醫師週班表!$C$5:$T$44,$CU37,BN$57),""))=4,MID(IFERROR(INDEX(醫師週班表!$C$5:$T$44,$CU37,BN$57),""),1+BN$58*2,1),IF(LEN(IFERROR(INDEX(醫師週班表!$C$5:$T$44,$CU37,BN$57),""))=2,IF(AND(RIGHT(IFERROR(INDEX(醫師週班表!$C$5:$T$44,$CU37,BN$57),""),1)="~",BN$58=1),"",LEFT(IFERROR(INDEX(醫師週班表!$C$5:$T$44,$CU37,BN$57),""),1)),IFERROR(INDEX(醫師週班表!$C$5:$T$44,$CU37,BN$57),""))))))</f>
        <v/>
      </c>
      <c r="BO37" s="68">
        <f>IF(BO$59="X","",IF(BO$59&lt;&gt;"",BO$59,IF(IFERROR(INDEX(醫師週班表!$C$5:$T$44,$CU37,BO$57),"")=0,"",IF(LEN(IFERROR(INDEX(醫師週班表!$C$5:$T$44,$CU37,BO$57),""))=4,MID(IFERROR(INDEX(醫師週班表!$C$5:$T$44,$CU37,BO$57),""),1+BO$58*2,1),IF(LEN(IFERROR(INDEX(醫師週班表!$C$5:$T$44,$CU37,BO$57),""))=2,IF(AND(RIGHT(IFERROR(INDEX(醫師週班表!$C$5:$T$44,$CU37,BO$57),""),1)="~",BO$58=1),"",LEFT(IFERROR(INDEX(醫師週班表!$C$5:$T$44,$CU37,BO$57),""),1)),IFERROR(INDEX(醫師週班表!$C$5:$T$44,$CU37,BO$57),""))))))</f>
        <v/>
      </c>
      <c r="BP37" s="67">
        <f>IF(BP$59="X","",IF(BP$59&lt;&gt;"",BP$59,IF(IFERROR(INDEX(醫師週班表!$C$5:$T$44,$CU37,BP$57),"")=0,"",IF(LEN(IFERROR(INDEX(醫師週班表!$C$5:$T$44,$CU37,BP$57),""))=4,MID(IFERROR(INDEX(醫師週班表!$C$5:$T$44,$CU37,BP$57),""),1+BP$58*2,1),IF(LEN(IFERROR(INDEX(醫師週班表!$C$5:$T$44,$CU37,BP$57),""))=2,IF(AND(RIGHT(IFERROR(INDEX(醫師週班表!$C$5:$T$44,$CU37,BP$57),""),1)="~",BP$58=1),"",LEFT(IFERROR(INDEX(醫師週班表!$C$5:$T$44,$CU37,BP$57),""),1)),IFERROR(INDEX(醫師週班表!$C$5:$T$44,$CU37,BP$57),""))))))</f>
        <v/>
      </c>
      <c r="BQ37" s="68">
        <f>IF(BQ$59="X","",IF(BQ$59&lt;&gt;"",BQ$59,IF(IFERROR(INDEX(醫師週班表!$C$5:$T$44,$CU37,BQ$57),"")=0,"",IF(LEN(IFERROR(INDEX(醫師週班表!$C$5:$T$44,$CU37,BQ$57),""))=4,MID(IFERROR(INDEX(醫師週班表!$C$5:$T$44,$CU37,BQ$57),""),1+BQ$58*2,1),IF(LEN(IFERROR(INDEX(醫師週班表!$C$5:$T$44,$CU37,BQ$57),""))=2,IF(AND(RIGHT(IFERROR(INDEX(醫師週班表!$C$5:$T$44,$CU37,BQ$57),""),1)="~",BQ$58=1),"",LEFT(IFERROR(INDEX(醫師週班表!$C$5:$T$44,$CU37,BQ$57),""),1)),IFERROR(INDEX(醫師週班表!$C$5:$T$44,$CU37,BQ$57),""))))))</f>
        <v/>
      </c>
      <c r="BR37" s="68">
        <f>IF(BR$59="X","",IF(BR$59&lt;&gt;"",BR$59,IF(IFERROR(INDEX(醫師週班表!$C$5:$T$44,$CU37,BR$57),"")=0,"",IF(LEN(IFERROR(INDEX(醫師週班表!$C$5:$T$44,$CU37,BR$57),""))=4,MID(IFERROR(INDEX(醫師週班表!$C$5:$T$44,$CU37,BR$57),""),1+BR$58*2,1),IF(LEN(IFERROR(INDEX(醫師週班表!$C$5:$T$44,$CU37,BR$57),""))=2,IF(AND(RIGHT(IFERROR(INDEX(醫師週班表!$C$5:$T$44,$CU37,BR$57),""),1)="~",BR$58=1),"",LEFT(IFERROR(INDEX(醫師週班表!$C$5:$T$44,$CU37,BR$57),""),1)),IFERROR(INDEX(醫師週班表!$C$5:$T$44,$CU37,BR$57),""))))))</f>
        <v/>
      </c>
      <c r="BS37" s="67">
        <f>IF(BS$59="X","",IF(BS$59&lt;&gt;"",BS$59,IF(IFERROR(INDEX(醫師週班表!$C$5:$T$44,$CU37,BS$57),"")=0,"",IF(LEN(IFERROR(INDEX(醫師週班表!$C$5:$T$44,$CU37,BS$57),""))=4,MID(IFERROR(INDEX(醫師週班表!$C$5:$T$44,$CU37,BS$57),""),1+BS$58*2,1),IF(LEN(IFERROR(INDEX(醫師週班表!$C$5:$T$44,$CU37,BS$57),""))=2,IF(AND(RIGHT(IFERROR(INDEX(醫師週班表!$C$5:$T$44,$CU37,BS$57),""),1)="~",BS$58=1),"",LEFT(IFERROR(INDEX(醫師週班表!$C$5:$T$44,$CU37,BS$57),""),1)),IFERROR(INDEX(醫師週班表!$C$5:$T$44,$CU37,BS$57),""))))))</f>
        <v/>
      </c>
      <c r="BT37" s="68">
        <f>IF(BT$59="X","",IF(BT$59&lt;&gt;"",BT$59,IF(IFERROR(INDEX(醫師週班表!$C$5:$T$44,$CU37,BT$57),"")=0,"",IF(LEN(IFERROR(INDEX(醫師週班表!$C$5:$T$44,$CU37,BT$57),""))=4,MID(IFERROR(INDEX(醫師週班表!$C$5:$T$44,$CU37,BT$57),""),1+BT$58*2,1),IF(LEN(IFERROR(INDEX(醫師週班表!$C$5:$T$44,$CU37,BT$57),""))=2,IF(AND(RIGHT(IFERROR(INDEX(醫師週班表!$C$5:$T$44,$CU37,BT$57),""),1)="~",BT$58=1),"",LEFT(IFERROR(INDEX(醫師週班表!$C$5:$T$44,$CU37,BT$57),""),1)),IFERROR(INDEX(醫師週班表!$C$5:$T$44,$CU37,BT$57),""))))))</f>
        <v/>
      </c>
      <c r="BU37" s="68">
        <f>IF(BU$59="X","",IF(BU$59&lt;&gt;"",BU$59,IF(IFERROR(INDEX(醫師週班表!$C$5:$T$44,$CU37,BU$57),"")=0,"",IF(LEN(IFERROR(INDEX(醫師週班表!$C$5:$T$44,$CU37,BU$57),""))=4,MID(IFERROR(INDEX(醫師週班表!$C$5:$T$44,$CU37,BU$57),""),1+BU$58*2,1),IF(LEN(IFERROR(INDEX(醫師週班表!$C$5:$T$44,$CU37,BU$57),""))=2,IF(AND(RIGHT(IFERROR(INDEX(醫師週班表!$C$5:$T$44,$CU37,BU$57),""),1)="~",BU$58=1),"",LEFT(IFERROR(INDEX(醫師週班表!$C$5:$T$44,$CU37,BU$57),""),1)),IFERROR(INDEX(醫師週班表!$C$5:$T$44,$CU37,BU$57),""))))))</f>
        <v/>
      </c>
      <c r="BV37" s="67">
        <f>IF(BV$59="X","",IF(BV$59&lt;&gt;"",BV$59,IF(IFERROR(INDEX(醫師週班表!$C$5:$T$44,$CU37,BV$57),"")=0,"",IF(LEN(IFERROR(INDEX(醫師週班表!$C$5:$T$44,$CU37,BV$57),""))=4,MID(IFERROR(INDEX(醫師週班表!$C$5:$T$44,$CU37,BV$57),""),1+BV$58*2,1),IF(LEN(IFERROR(INDEX(醫師週班表!$C$5:$T$44,$CU37,BV$57),""))=2,IF(AND(RIGHT(IFERROR(INDEX(醫師週班表!$C$5:$T$44,$CU37,BV$57),""),1)="~",BV$58=1),"",LEFT(IFERROR(INDEX(醫師週班表!$C$5:$T$44,$CU37,BV$57),""),1)),IFERROR(INDEX(醫師週班表!$C$5:$T$44,$CU37,BV$57),""))))))</f>
        <v/>
      </c>
      <c r="BW37" s="68">
        <f>IF(BW$59="X","",IF(BW$59&lt;&gt;"",BW$59,IF(IFERROR(INDEX(醫師週班表!$C$5:$T$44,$CU37,BW$57),"")=0,"",IF(LEN(IFERROR(INDEX(醫師週班表!$C$5:$T$44,$CU37,BW$57),""))=4,MID(IFERROR(INDEX(醫師週班表!$C$5:$T$44,$CU37,BW$57),""),1+BW$58*2,1),IF(LEN(IFERROR(INDEX(醫師週班表!$C$5:$T$44,$CU37,BW$57),""))=2,IF(AND(RIGHT(IFERROR(INDEX(醫師週班表!$C$5:$T$44,$CU37,BW$57),""),1)="~",BW$58=1),"",LEFT(IFERROR(INDEX(醫師週班表!$C$5:$T$44,$CU37,BW$57),""),1)),IFERROR(INDEX(醫師週班表!$C$5:$T$44,$CU37,BW$57),""))))))</f>
        <v/>
      </c>
      <c r="BX37" s="68">
        <f>IF(BX$59="X","",IF(BX$59&lt;&gt;"",BX$59,IF(IFERROR(INDEX(醫師週班表!$C$5:$T$44,$CU37,BX$57),"")=0,"",IF(LEN(IFERROR(INDEX(醫師週班表!$C$5:$T$44,$CU37,BX$57),""))=4,MID(IFERROR(INDEX(醫師週班表!$C$5:$T$44,$CU37,BX$57),""),1+BX$58*2,1),IF(LEN(IFERROR(INDEX(醫師週班表!$C$5:$T$44,$CU37,BX$57),""))=2,IF(AND(RIGHT(IFERROR(INDEX(醫師週班表!$C$5:$T$44,$CU37,BX$57),""),1)="~",BX$58=1),"",LEFT(IFERROR(INDEX(醫師週班表!$C$5:$T$44,$CU37,BX$57),""),1)),IFERROR(INDEX(醫師週班表!$C$5:$T$44,$CU37,BX$57),""))))))</f>
        <v/>
      </c>
      <c r="BY37" s="67">
        <f>IF(BY$59="X","",IF(BY$59&lt;&gt;"",BY$59,IF(IFERROR(INDEX(醫師週班表!$C$5:$T$44,$CU37,BY$57),"")=0,"",IF(LEN(IFERROR(INDEX(醫師週班表!$C$5:$T$44,$CU37,BY$57),""))=4,MID(IFERROR(INDEX(醫師週班表!$C$5:$T$44,$CU37,BY$57),""),1+BY$58*2,1),IF(LEN(IFERROR(INDEX(醫師週班表!$C$5:$T$44,$CU37,BY$57),""))=2,IF(AND(RIGHT(IFERROR(INDEX(醫師週班表!$C$5:$T$44,$CU37,BY$57),""),1)="~",BY$58=1),"",LEFT(IFERROR(INDEX(醫師週班表!$C$5:$T$44,$CU37,BY$57),""),1)),IFERROR(INDEX(醫師週班表!$C$5:$T$44,$CU37,BY$57),""))))))</f>
        <v/>
      </c>
      <c r="BZ37" s="68">
        <f>IF(BZ$59="X","",IF(BZ$59&lt;&gt;"",BZ$59,IF(IFERROR(INDEX(醫師週班表!$C$5:$T$44,$CU37,BZ$57),"")=0,"",IF(LEN(IFERROR(INDEX(醫師週班表!$C$5:$T$44,$CU37,BZ$57),""))=4,MID(IFERROR(INDEX(醫師週班表!$C$5:$T$44,$CU37,BZ$57),""),1+BZ$58*2,1),IF(LEN(IFERROR(INDEX(醫師週班表!$C$5:$T$44,$CU37,BZ$57),""))=2,IF(AND(RIGHT(IFERROR(INDEX(醫師週班表!$C$5:$T$44,$CU37,BZ$57),""),1)="~",BZ$58=1),"",LEFT(IFERROR(INDEX(醫師週班表!$C$5:$T$44,$CU37,BZ$57),""),1)),IFERROR(INDEX(醫師週班表!$C$5:$T$44,$CU37,BZ$57),""))))))</f>
        <v/>
      </c>
      <c r="CA37" s="68">
        <f>IF(CA$59="X","",IF(CA$59&lt;&gt;"",CA$59,IF(IFERROR(INDEX(醫師週班表!$C$5:$T$44,$CU37,CA$57),"")=0,"",IF(LEN(IFERROR(INDEX(醫師週班表!$C$5:$T$44,$CU37,CA$57),""))=4,MID(IFERROR(INDEX(醫師週班表!$C$5:$T$44,$CU37,CA$57),""),1+CA$58*2,1),IF(LEN(IFERROR(INDEX(醫師週班表!$C$5:$T$44,$CU37,CA$57),""))=2,IF(AND(RIGHT(IFERROR(INDEX(醫師週班表!$C$5:$T$44,$CU37,CA$57),""),1)="~",CA$58=1),"",LEFT(IFERROR(INDEX(醫師週班表!$C$5:$T$44,$CU37,CA$57),""),1)),IFERROR(INDEX(醫師週班表!$C$5:$T$44,$CU37,CA$57),""))))))</f>
        <v/>
      </c>
      <c r="CB37" s="67">
        <f>IF(CB$59="X","",IF(CB$59&lt;&gt;"",CB$59,IF(IFERROR(INDEX(醫師週班表!$C$5:$T$44,$CU37,CB$57),"")=0,"",IF(LEN(IFERROR(INDEX(醫師週班表!$C$5:$T$44,$CU37,CB$57),""))=4,MID(IFERROR(INDEX(醫師週班表!$C$5:$T$44,$CU37,CB$57),""),1+CB$58*2,1),IF(LEN(IFERROR(INDEX(醫師週班表!$C$5:$T$44,$CU37,CB$57),""))=2,IF(AND(RIGHT(IFERROR(INDEX(醫師週班表!$C$5:$T$44,$CU37,CB$57),""),1)="~",CB$58=1),"",LEFT(IFERROR(INDEX(醫師週班表!$C$5:$T$44,$CU37,CB$57),""),1)),IFERROR(INDEX(醫師週班表!$C$5:$T$44,$CU37,CB$57),""))))))</f>
        <v/>
      </c>
      <c r="CC37" s="68">
        <f>IF(CC$59="X","",IF(CC$59&lt;&gt;"",CC$59,IF(IFERROR(INDEX(醫師週班表!$C$5:$T$44,$CU37,CC$57),"")=0,"",IF(LEN(IFERROR(INDEX(醫師週班表!$C$5:$T$44,$CU37,CC$57),""))=4,MID(IFERROR(INDEX(醫師週班表!$C$5:$T$44,$CU37,CC$57),""),1+CC$58*2,1),IF(LEN(IFERROR(INDEX(醫師週班表!$C$5:$T$44,$CU37,CC$57),""))=2,IF(AND(RIGHT(IFERROR(INDEX(醫師週班表!$C$5:$T$44,$CU37,CC$57),""),1)="~",CC$58=1),"",LEFT(IFERROR(INDEX(醫師週班表!$C$5:$T$44,$CU37,CC$57),""),1)),IFERROR(INDEX(醫師週班表!$C$5:$T$44,$CU37,CC$57),""))))))</f>
        <v/>
      </c>
      <c r="CD37" s="68">
        <f>IF(CD$59="X","",IF(CD$59&lt;&gt;"",CD$59,IF(IFERROR(INDEX(醫師週班表!$C$5:$T$44,$CU37,CD$57),"")=0,"",IF(LEN(IFERROR(INDEX(醫師週班表!$C$5:$T$44,$CU37,CD$57),""))=4,MID(IFERROR(INDEX(醫師週班表!$C$5:$T$44,$CU37,CD$57),""),1+CD$58*2,1),IF(LEN(IFERROR(INDEX(醫師週班表!$C$5:$T$44,$CU37,CD$57),""))=2,IF(AND(RIGHT(IFERROR(INDEX(醫師週班表!$C$5:$T$44,$CU37,CD$57),""),1)="~",CD$58=1),"",LEFT(IFERROR(INDEX(醫師週班表!$C$5:$T$44,$CU37,CD$57),""),1)),IFERROR(INDEX(醫師週班表!$C$5:$T$44,$CU37,CD$57),""))))))</f>
        <v/>
      </c>
      <c r="CE37" s="67">
        <f>IF(CE$59="X","",IF(CE$59&lt;&gt;"",CE$59,IF(IFERROR(INDEX(醫師週班表!$C$5:$T$44,$CU37,CE$57),"")=0,"",IF(LEN(IFERROR(INDEX(醫師週班表!$C$5:$T$44,$CU37,CE$57),""))=4,MID(IFERROR(INDEX(醫師週班表!$C$5:$T$44,$CU37,CE$57),""),1+CE$58*2,1),IF(LEN(IFERROR(INDEX(醫師週班表!$C$5:$T$44,$CU37,CE$57),""))=2,IF(AND(RIGHT(IFERROR(INDEX(醫師週班表!$C$5:$T$44,$CU37,CE$57),""),1)="~",CE$58=1),"",LEFT(IFERROR(INDEX(醫師週班表!$C$5:$T$44,$CU37,CE$57),""),1)),IFERROR(INDEX(醫師週班表!$C$5:$T$44,$CU37,CE$57),""))))))</f>
        <v/>
      </c>
      <c r="CF37" s="68">
        <f>IF(CF$59="X","",IF(CF$59&lt;&gt;"",CF$59,IF(IFERROR(INDEX(醫師週班表!$C$5:$T$44,$CU37,CF$57),"")=0,"",IF(LEN(IFERROR(INDEX(醫師週班表!$C$5:$T$44,$CU37,CF$57),""))=4,MID(IFERROR(INDEX(醫師週班表!$C$5:$T$44,$CU37,CF$57),""),1+CF$58*2,1),IF(LEN(IFERROR(INDEX(醫師週班表!$C$5:$T$44,$CU37,CF$57),""))=2,IF(AND(RIGHT(IFERROR(INDEX(醫師週班表!$C$5:$T$44,$CU37,CF$57),""),1)="~",CF$58=1),"",LEFT(IFERROR(INDEX(醫師週班表!$C$5:$T$44,$CU37,CF$57),""),1)),IFERROR(INDEX(醫師週班表!$C$5:$T$44,$CU37,CF$57),""))))))</f>
        <v/>
      </c>
      <c r="CG37" s="68">
        <f>IF(CG$59="X","",IF(CG$59&lt;&gt;"",CG$59,IF(IFERROR(INDEX(醫師週班表!$C$5:$T$44,$CU37,CG$57),"")=0,"",IF(LEN(IFERROR(INDEX(醫師週班表!$C$5:$T$44,$CU37,CG$57),""))=4,MID(IFERROR(INDEX(醫師週班表!$C$5:$T$44,$CU37,CG$57),""),1+CG$58*2,1),IF(LEN(IFERROR(INDEX(醫師週班表!$C$5:$T$44,$CU37,CG$57),""))=2,IF(AND(RIGHT(IFERROR(INDEX(醫師週班表!$C$5:$T$44,$CU37,CG$57),""),1)="~",CG$58=1),"",LEFT(IFERROR(INDEX(醫師週班表!$C$5:$T$44,$CU37,CG$57),""),1)),IFERROR(INDEX(醫師週班表!$C$5:$T$44,$CU37,CG$57),""))))))</f>
        <v/>
      </c>
      <c r="CH37" s="67">
        <f>IF(CH$59="X","",IF(CH$59&lt;&gt;"",CH$59,IF(IFERROR(INDEX(醫師週班表!$C$5:$T$44,$CU37,CH$57),"")=0,"",IF(LEN(IFERROR(INDEX(醫師週班表!$C$5:$T$44,$CU37,CH$57),""))=4,MID(IFERROR(INDEX(醫師週班表!$C$5:$T$44,$CU37,CH$57),""),1+CH$58*2,1),IF(LEN(IFERROR(INDEX(醫師週班表!$C$5:$T$44,$CU37,CH$57),""))=2,IF(AND(RIGHT(IFERROR(INDEX(醫師週班表!$C$5:$T$44,$CU37,CH$57),""),1)="~",CH$58=1),"",LEFT(IFERROR(INDEX(醫師週班表!$C$5:$T$44,$CU37,CH$57),""),1)),IFERROR(INDEX(醫師週班表!$C$5:$T$44,$CU37,CH$57),""))))))</f>
        <v/>
      </c>
      <c r="CI37" s="68">
        <f>IF(CI$59="X","",IF(CI$59&lt;&gt;"",CI$59,IF(IFERROR(INDEX(醫師週班表!$C$5:$T$44,$CU37,CI$57),"")=0,"",IF(LEN(IFERROR(INDEX(醫師週班表!$C$5:$T$44,$CU37,CI$57),""))=4,MID(IFERROR(INDEX(醫師週班表!$C$5:$T$44,$CU37,CI$57),""),1+CI$58*2,1),IF(LEN(IFERROR(INDEX(醫師週班表!$C$5:$T$44,$CU37,CI$57),""))=2,IF(AND(RIGHT(IFERROR(INDEX(醫師週班表!$C$5:$T$44,$CU37,CI$57),""),1)="~",CI$58=1),"",LEFT(IFERROR(INDEX(醫師週班表!$C$5:$T$44,$CU37,CI$57),""),1)),IFERROR(INDEX(醫師週班表!$C$5:$T$44,$CU37,CI$57),""))))))</f>
        <v/>
      </c>
      <c r="CJ37" s="68">
        <f>IF(CJ$59="X","",IF(CJ$59&lt;&gt;"",CJ$59,IF(IFERROR(INDEX(醫師週班表!$C$5:$T$44,$CU37,CJ$57),"")=0,"",IF(LEN(IFERROR(INDEX(醫師週班表!$C$5:$T$44,$CU37,CJ$57),""))=4,MID(IFERROR(INDEX(醫師週班表!$C$5:$T$44,$CU37,CJ$57),""),1+CJ$58*2,1),IF(LEN(IFERROR(INDEX(醫師週班表!$C$5:$T$44,$CU37,CJ$57),""))=2,IF(AND(RIGHT(IFERROR(INDEX(醫師週班表!$C$5:$T$44,$CU37,CJ$57),""),1)="~",CJ$58=1),"",LEFT(IFERROR(INDEX(醫師週班表!$C$5:$T$44,$CU37,CJ$57),""),1)),IFERROR(INDEX(醫師週班表!$C$5:$T$44,$CU37,CJ$57),""))))))</f>
        <v/>
      </c>
      <c r="CK37" s="67">
        <f>IF(CK$59="X","",IF(CK$59&lt;&gt;"",CK$59,IF(IFERROR(INDEX(醫師週班表!$C$5:$T$44,$CU37,CK$57),"")=0,"",IF(LEN(IFERROR(INDEX(醫師週班表!$C$5:$T$44,$CU37,CK$57),""))=4,MID(IFERROR(INDEX(醫師週班表!$C$5:$T$44,$CU37,CK$57),""),1+CK$58*2,1),IF(LEN(IFERROR(INDEX(醫師週班表!$C$5:$T$44,$CU37,CK$57),""))=2,IF(AND(RIGHT(IFERROR(INDEX(醫師週班表!$C$5:$T$44,$CU37,CK$57),""),1)="~",CK$58=1),"",LEFT(IFERROR(INDEX(醫師週班表!$C$5:$T$44,$CU37,CK$57),""),1)),IFERROR(INDEX(醫師週班表!$C$5:$T$44,$CU37,CK$57),""))))))</f>
        <v/>
      </c>
      <c r="CL37" s="68">
        <f>IF(CL$59="X","",IF(CL$59&lt;&gt;"",CL$59,IF(IFERROR(INDEX(醫師週班表!$C$5:$T$44,$CU37,CL$57),"")=0,"",IF(LEN(IFERROR(INDEX(醫師週班表!$C$5:$T$44,$CU37,CL$57),""))=4,MID(IFERROR(INDEX(醫師週班表!$C$5:$T$44,$CU37,CL$57),""),1+CL$58*2,1),IF(LEN(IFERROR(INDEX(醫師週班表!$C$5:$T$44,$CU37,CL$57),""))=2,IF(AND(RIGHT(IFERROR(INDEX(醫師週班表!$C$5:$T$44,$CU37,CL$57),""),1)="~",CL$58=1),"",LEFT(IFERROR(INDEX(醫師週班表!$C$5:$T$44,$CU37,CL$57),""),1)),IFERROR(INDEX(醫師週班表!$C$5:$T$44,$CU37,CL$57),""))))))</f>
        <v/>
      </c>
      <c r="CM37" s="68">
        <f>IF(CM$59="X","",IF(CM$59&lt;&gt;"",CM$59,IF(IFERROR(INDEX(醫師週班表!$C$5:$T$44,$CU37,CM$57),"")=0,"",IF(LEN(IFERROR(INDEX(醫師週班表!$C$5:$T$44,$CU37,CM$57),""))=4,MID(IFERROR(INDEX(醫師週班表!$C$5:$T$44,$CU37,CM$57),""),1+CM$58*2,1),IF(LEN(IFERROR(INDEX(醫師週班表!$C$5:$T$44,$CU37,CM$57),""))=2,IF(AND(RIGHT(IFERROR(INDEX(醫師週班表!$C$5:$T$44,$CU37,CM$57),""),1)="~",CM$58=1),"",LEFT(IFERROR(INDEX(醫師週班表!$C$5:$T$44,$CU37,CM$57),""),1)),IFERROR(INDEX(醫師週班表!$C$5:$T$44,$CU37,CM$57),""))))))</f>
        <v/>
      </c>
      <c r="CN37" s="67">
        <f>IF(CN$59="X","",IF(CN$59&lt;&gt;"",CN$59,IF(IFERROR(INDEX(醫師週班表!$C$5:$T$44,$CU37,CN$57),"")=0,"",IF(LEN(IFERROR(INDEX(醫師週班表!$C$5:$T$44,$CU37,CN$57),""))=4,MID(IFERROR(INDEX(醫師週班表!$C$5:$T$44,$CU37,CN$57),""),1+CN$58*2,1),IF(LEN(IFERROR(INDEX(醫師週班表!$C$5:$T$44,$CU37,CN$57),""))=2,IF(AND(RIGHT(IFERROR(INDEX(醫師週班表!$C$5:$T$44,$CU37,CN$57),""),1)="~",CN$58=1),"",LEFT(IFERROR(INDEX(醫師週班表!$C$5:$T$44,$CU37,CN$57),""),1)),IFERROR(INDEX(醫師週班表!$C$5:$T$44,$CU37,CN$57),""))))))</f>
        <v/>
      </c>
      <c r="CO37" s="68">
        <f>IF(CO$59="X","",IF(CO$59&lt;&gt;"",CO$59,IF(IFERROR(INDEX(醫師週班表!$C$5:$T$44,$CU37,CO$57),"")=0,"",IF(LEN(IFERROR(INDEX(醫師週班表!$C$5:$T$44,$CU37,CO$57),""))=4,MID(IFERROR(INDEX(醫師週班表!$C$5:$T$44,$CU37,CO$57),""),1+CO$58*2,1),IF(LEN(IFERROR(INDEX(醫師週班表!$C$5:$T$44,$CU37,CO$57),""))=2,IF(AND(RIGHT(IFERROR(INDEX(醫師週班表!$C$5:$T$44,$CU37,CO$57),""),1)="~",CO$58=1),"",LEFT(IFERROR(INDEX(醫師週班表!$C$5:$T$44,$CU37,CO$57),""),1)),IFERROR(INDEX(醫師週班表!$C$5:$T$44,$CU37,CO$57),""))))))</f>
        <v/>
      </c>
      <c r="CP37" s="68">
        <f>IF(CP$59="X","",IF(CP$59&lt;&gt;"",CP$59,IF(IFERROR(INDEX(醫師週班表!$C$5:$T$44,$CU37,CP$57),"")=0,"",IF(LEN(IFERROR(INDEX(醫師週班表!$C$5:$T$44,$CU37,CP$57),""))=4,MID(IFERROR(INDEX(醫師週班表!$C$5:$T$44,$CU37,CP$57),""),1+CP$58*2,1),IF(LEN(IFERROR(INDEX(醫師週班表!$C$5:$T$44,$CU37,CP$57),""))=2,IF(AND(RIGHT(IFERROR(INDEX(醫師週班表!$C$5:$T$44,$CU37,CP$57),""),1)="~",CP$58=1),"",LEFT(IFERROR(INDEX(醫師週班表!$C$5:$T$44,$CU37,CP$57),""),1)),IFERROR(INDEX(醫師週班表!$C$5:$T$44,$CU37,CP$57),""))))))</f>
        <v/>
      </c>
      <c r="CQ37" s="67">
        <f>IF(CQ$59="X","",IF(CQ$59&lt;&gt;"",CQ$59,IF(IFERROR(INDEX(醫師週班表!$C$5:$T$44,$CU37,CQ$57),"")=0,"",IF(LEN(IFERROR(INDEX(醫師週班表!$C$5:$T$44,$CU37,CQ$57),""))=4,MID(IFERROR(INDEX(醫師週班表!$C$5:$T$44,$CU37,CQ$57),""),1+CQ$58*2,1),IF(LEN(IFERROR(INDEX(醫師週班表!$C$5:$T$44,$CU37,CQ$57),""))=2,IF(AND(RIGHT(IFERROR(INDEX(醫師週班表!$C$5:$T$44,$CU37,CQ$57),""),1)="~",CQ$58=1),"",LEFT(IFERROR(INDEX(醫師週班表!$C$5:$T$44,$CU37,CQ$57),""),1)),IFERROR(INDEX(醫師週班表!$C$5:$T$44,$CU37,CQ$57),""))))))</f>
        <v/>
      </c>
      <c r="CR37" s="68">
        <f>IF(CR$59="X","",IF(CR$59&lt;&gt;"",CR$59,IF(IFERROR(INDEX(醫師週班表!$C$5:$T$44,$CU37,CR$57),"")=0,"",IF(LEN(IFERROR(INDEX(醫師週班表!$C$5:$T$44,$CU37,CR$57),""))=4,MID(IFERROR(INDEX(醫師週班表!$C$5:$T$44,$CU37,CR$57),""),1+CR$58*2,1),IF(LEN(IFERROR(INDEX(醫師週班表!$C$5:$T$44,$CU37,CR$57),""))=2,IF(AND(RIGHT(IFERROR(INDEX(醫師週班表!$C$5:$T$44,$CU37,CR$57),""),1)="~",CR$58=1),"",LEFT(IFERROR(INDEX(醫師週班表!$C$5:$T$44,$CU37,CR$57),""),1)),IFERROR(INDEX(醫師週班表!$C$5:$T$44,$CU37,CR$57),""))))))</f>
        <v/>
      </c>
      <c r="CS37" s="68">
        <f>IF(CS$59="X","",IF(CS$59&lt;&gt;"",CS$59,IF(IFERROR(INDEX(醫師週班表!$C$5:$T$44,$CU37,CS$57),"")=0,"",IF(LEN(IFERROR(INDEX(醫師週班表!$C$5:$T$44,$CU37,CS$57),""))=4,MID(IFERROR(INDEX(醫師週班表!$C$5:$T$44,$CU37,CS$57),""),1+CS$58*2,1),IF(LEN(IFERROR(INDEX(醫師週班表!$C$5:$T$44,$CU37,CS$57),""))=2,IF(AND(RIGHT(IFERROR(INDEX(醫師週班表!$C$5:$T$44,$CU37,CS$57),""),1)="~",CS$58=1),"",LEFT(IFERROR(INDEX(醫師週班表!$C$5:$T$44,$CU37,CS$57),""),1)),IFERROR(INDEX(醫師週班表!$C$5:$T$44,$CU37,CS$57),""))))))</f>
        <v/>
      </c>
      <c r="CU37" s="69">
        <f>IFERROR(MATCH($A37,醫師週班表!$A$5:$A$44,0),0)</f>
        <v/>
      </c>
    </row>
    <row r="38" ht="17" customHeight="1">
      <c r="A38" s="20" t="n"/>
      <c r="B38" s="16">
        <f>IFERROR(INDEX(設定!$C$57:$C$196,MATCH($A38,設定!$B$57:$B$196,0)),"")</f>
        <v/>
      </c>
      <c r="C38" s="66">
        <f>IFERROR(INDEX(設定!$E$57:$E$196,MATCH($A38,設定!$B$57:$B$196,0)),"")</f>
        <v/>
      </c>
      <c r="D38" s="16">
        <f>IFERROR(INDEX(設定!$F$57:$F$196,MATCH($A38,設定!$B$57:$B$196,0)),"")</f>
        <v/>
      </c>
      <c r="E38" s="67">
        <f>IF(E$59="X","",IF(E$59&lt;&gt;"",E$59,IF(IFERROR(INDEX(醫師週班表!$C$5:$T$44,$CU38,E$57),"")=0,"",IF(LEN(IFERROR(INDEX(醫師週班表!$C$5:$T$44,$CU38,E$57),""))=4,MID(IFERROR(INDEX(醫師週班表!$C$5:$T$44,$CU38,E$57),""),1+E$58*2,1),IF(LEN(IFERROR(INDEX(醫師週班表!$C$5:$T$44,$CU38,E$57),""))=2,IF(AND(RIGHT(IFERROR(INDEX(醫師週班表!$C$5:$T$44,$CU38,E$57),""),1)="~",E$58=1),"",LEFT(IFERROR(INDEX(醫師週班表!$C$5:$T$44,$CU38,E$57),""),1)),IFERROR(INDEX(醫師週班表!$C$5:$T$44,$CU38,E$57),""))))))</f>
        <v/>
      </c>
      <c r="F38" s="68">
        <f>IF(F$59="X","",IF(F$59&lt;&gt;"",F$59,IF(IFERROR(INDEX(醫師週班表!$C$5:$T$44,$CU38,F$57),"")=0,"",IF(LEN(IFERROR(INDEX(醫師週班表!$C$5:$T$44,$CU38,F$57),""))=4,MID(IFERROR(INDEX(醫師週班表!$C$5:$T$44,$CU38,F$57),""),1+F$58*2,1),IF(LEN(IFERROR(INDEX(醫師週班表!$C$5:$T$44,$CU38,F$57),""))=2,IF(AND(RIGHT(IFERROR(INDEX(醫師週班表!$C$5:$T$44,$CU38,F$57),""),1)="~",F$58=1),"",LEFT(IFERROR(INDEX(醫師週班表!$C$5:$T$44,$CU38,F$57),""),1)),IFERROR(INDEX(醫師週班表!$C$5:$T$44,$CU38,F$57),""))))))</f>
        <v/>
      </c>
      <c r="G38" s="68">
        <f>IF(G$59="X","",IF(G$59&lt;&gt;"",G$59,IF(IFERROR(INDEX(醫師週班表!$C$5:$T$44,$CU38,G$57),"")=0,"",IF(LEN(IFERROR(INDEX(醫師週班表!$C$5:$T$44,$CU38,G$57),""))=4,MID(IFERROR(INDEX(醫師週班表!$C$5:$T$44,$CU38,G$57),""),1+G$58*2,1),IF(LEN(IFERROR(INDEX(醫師週班表!$C$5:$T$44,$CU38,G$57),""))=2,IF(AND(RIGHT(IFERROR(INDEX(醫師週班表!$C$5:$T$44,$CU38,G$57),""),1)="~",G$58=1),"",LEFT(IFERROR(INDEX(醫師週班表!$C$5:$T$44,$CU38,G$57),""),1)),IFERROR(INDEX(醫師週班表!$C$5:$T$44,$CU38,G$57),""))))))</f>
        <v/>
      </c>
      <c r="H38" s="67">
        <f>IF(H$59="X","",IF(H$59&lt;&gt;"",H$59,IF(IFERROR(INDEX(醫師週班表!$C$5:$T$44,$CU38,H$57),"")=0,"",IF(LEN(IFERROR(INDEX(醫師週班表!$C$5:$T$44,$CU38,H$57),""))=4,MID(IFERROR(INDEX(醫師週班表!$C$5:$T$44,$CU38,H$57),""),1+H$58*2,1),IF(LEN(IFERROR(INDEX(醫師週班表!$C$5:$T$44,$CU38,H$57),""))=2,IF(AND(RIGHT(IFERROR(INDEX(醫師週班表!$C$5:$T$44,$CU38,H$57),""),1)="~",H$58=1),"",LEFT(IFERROR(INDEX(醫師週班表!$C$5:$T$44,$CU38,H$57),""),1)),IFERROR(INDEX(醫師週班表!$C$5:$T$44,$CU38,H$57),""))))))</f>
        <v/>
      </c>
      <c r="I38" s="68">
        <f>IF(I$59="X","",IF(I$59&lt;&gt;"",I$59,IF(IFERROR(INDEX(醫師週班表!$C$5:$T$44,$CU38,I$57),"")=0,"",IF(LEN(IFERROR(INDEX(醫師週班表!$C$5:$T$44,$CU38,I$57),""))=4,MID(IFERROR(INDEX(醫師週班表!$C$5:$T$44,$CU38,I$57),""),1+I$58*2,1),IF(LEN(IFERROR(INDEX(醫師週班表!$C$5:$T$44,$CU38,I$57),""))=2,IF(AND(RIGHT(IFERROR(INDEX(醫師週班表!$C$5:$T$44,$CU38,I$57),""),1)="~",I$58=1),"",LEFT(IFERROR(INDEX(醫師週班表!$C$5:$T$44,$CU38,I$57),""),1)),IFERROR(INDEX(醫師週班表!$C$5:$T$44,$CU38,I$57),""))))))</f>
        <v/>
      </c>
      <c r="J38" s="68">
        <f>IF(J$59="X","",IF(J$59&lt;&gt;"",J$59,IF(IFERROR(INDEX(醫師週班表!$C$5:$T$44,$CU38,J$57),"")=0,"",IF(LEN(IFERROR(INDEX(醫師週班表!$C$5:$T$44,$CU38,J$57),""))=4,MID(IFERROR(INDEX(醫師週班表!$C$5:$T$44,$CU38,J$57),""),1+J$58*2,1),IF(LEN(IFERROR(INDEX(醫師週班表!$C$5:$T$44,$CU38,J$57),""))=2,IF(AND(RIGHT(IFERROR(INDEX(醫師週班表!$C$5:$T$44,$CU38,J$57),""),1)="~",J$58=1),"",LEFT(IFERROR(INDEX(醫師週班表!$C$5:$T$44,$CU38,J$57),""),1)),IFERROR(INDEX(醫師週班表!$C$5:$T$44,$CU38,J$57),""))))))</f>
        <v/>
      </c>
      <c r="K38" s="67">
        <f>IF(K$59="X","",IF(K$59&lt;&gt;"",K$59,IF(IFERROR(INDEX(醫師週班表!$C$5:$T$44,$CU38,K$57),"")=0,"",IF(LEN(IFERROR(INDEX(醫師週班表!$C$5:$T$44,$CU38,K$57),""))=4,MID(IFERROR(INDEX(醫師週班表!$C$5:$T$44,$CU38,K$57),""),1+K$58*2,1),IF(LEN(IFERROR(INDEX(醫師週班表!$C$5:$T$44,$CU38,K$57),""))=2,IF(AND(RIGHT(IFERROR(INDEX(醫師週班表!$C$5:$T$44,$CU38,K$57),""),1)="~",K$58=1),"",LEFT(IFERROR(INDEX(醫師週班表!$C$5:$T$44,$CU38,K$57),""),1)),IFERROR(INDEX(醫師週班表!$C$5:$T$44,$CU38,K$57),""))))))</f>
        <v/>
      </c>
      <c r="L38" s="68">
        <f>IF(L$59="X","",IF(L$59&lt;&gt;"",L$59,IF(IFERROR(INDEX(醫師週班表!$C$5:$T$44,$CU38,L$57),"")=0,"",IF(LEN(IFERROR(INDEX(醫師週班表!$C$5:$T$44,$CU38,L$57),""))=4,MID(IFERROR(INDEX(醫師週班表!$C$5:$T$44,$CU38,L$57),""),1+L$58*2,1),IF(LEN(IFERROR(INDEX(醫師週班表!$C$5:$T$44,$CU38,L$57),""))=2,IF(AND(RIGHT(IFERROR(INDEX(醫師週班表!$C$5:$T$44,$CU38,L$57),""),1)="~",L$58=1),"",LEFT(IFERROR(INDEX(醫師週班表!$C$5:$T$44,$CU38,L$57),""),1)),IFERROR(INDEX(醫師週班表!$C$5:$T$44,$CU38,L$57),""))))))</f>
        <v/>
      </c>
      <c r="M38" s="68">
        <f>IF(M$59="X","",IF(M$59&lt;&gt;"",M$59,IF(IFERROR(INDEX(醫師週班表!$C$5:$T$44,$CU38,M$57),"")=0,"",IF(LEN(IFERROR(INDEX(醫師週班表!$C$5:$T$44,$CU38,M$57),""))=4,MID(IFERROR(INDEX(醫師週班表!$C$5:$T$44,$CU38,M$57),""),1+M$58*2,1),IF(LEN(IFERROR(INDEX(醫師週班表!$C$5:$T$44,$CU38,M$57),""))=2,IF(AND(RIGHT(IFERROR(INDEX(醫師週班表!$C$5:$T$44,$CU38,M$57),""),1)="~",M$58=1),"",LEFT(IFERROR(INDEX(醫師週班表!$C$5:$T$44,$CU38,M$57),""),1)),IFERROR(INDEX(醫師週班表!$C$5:$T$44,$CU38,M$57),""))))))</f>
        <v/>
      </c>
      <c r="N38" s="67">
        <f>IF(N$59="X","",IF(N$59&lt;&gt;"",N$59,IF(IFERROR(INDEX(醫師週班表!$C$5:$T$44,$CU38,N$57),"")=0,"",IF(LEN(IFERROR(INDEX(醫師週班表!$C$5:$T$44,$CU38,N$57),""))=4,MID(IFERROR(INDEX(醫師週班表!$C$5:$T$44,$CU38,N$57),""),1+N$58*2,1),IF(LEN(IFERROR(INDEX(醫師週班表!$C$5:$T$44,$CU38,N$57),""))=2,IF(AND(RIGHT(IFERROR(INDEX(醫師週班表!$C$5:$T$44,$CU38,N$57),""),1)="~",N$58=1),"",LEFT(IFERROR(INDEX(醫師週班表!$C$5:$T$44,$CU38,N$57),""),1)),IFERROR(INDEX(醫師週班表!$C$5:$T$44,$CU38,N$57),""))))))</f>
        <v/>
      </c>
      <c r="O38" s="68">
        <f>IF(O$59="X","",IF(O$59&lt;&gt;"",O$59,IF(IFERROR(INDEX(醫師週班表!$C$5:$T$44,$CU38,O$57),"")=0,"",IF(LEN(IFERROR(INDEX(醫師週班表!$C$5:$T$44,$CU38,O$57),""))=4,MID(IFERROR(INDEX(醫師週班表!$C$5:$T$44,$CU38,O$57),""),1+O$58*2,1),IF(LEN(IFERROR(INDEX(醫師週班表!$C$5:$T$44,$CU38,O$57),""))=2,IF(AND(RIGHT(IFERROR(INDEX(醫師週班表!$C$5:$T$44,$CU38,O$57),""),1)="~",O$58=1),"",LEFT(IFERROR(INDEX(醫師週班表!$C$5:$T$44,$CU38,O$57),""),1)),IFERROR(INDEX(醫師週班表!$C$5:$T$44,$CU38,O$57),""))))))</f>
        <v/>
      </c>
      <c r="P38" s="68">
        <f>IF(P$59="X","",IF(P$59&lt;&gt;"",P$59,IF(IFERROR(INDEX(醫師週班表!$C$5:$T$44,$CU38,P$57),"")=0,"",IF(LEN(IFERROR(INDEX(醫師週班表!$C$5:$T$44,$CU38,P$57),""))=4,MID(IFERROR(INDEX(醫師週班表!$C$5:$T$44,$CU38,P$57),""),1+P$58*2,1),IF(LEN(IFERROR(INDEX(醫師週班表!$C$5:$T$44,$CU38,P$57),""))=2,IF(AND(RIGHT(IFERROR(INDEX(醫師週班表!$C$5:$T$44,$CU38,P$57),""),1)="~",P$58=1),"",LEFT(IFERROR(INDEX(醫師週班表!$C$5:$T$44,$CU38,P$57),""),1)),IFERROR(INDEX(醫師週班表!$C$5:$T$44,$CU38,P$57),""))))))</f>
        <v/>
      </c>
      <c r="Q38" s="67">
        <f>IF(Q$59="X","",IF(Q$59&lt;&gt;"",Q$59,IF(IFERROR(INDEX(醫師週班表!$C$5:$T$44,$CU38,Q$57),"")=0,"",IF(LEN(IFERROR(INDEX(醫師週班表!$C$5:$T$44,$CU38,Q$57),""))=4,MID(IFERROR(INDEX(醫師週班表!$C$5:$T$44,$CU38,Q$57),""),1+Q$58*2,1),IF(LEN(IFERROR(INDEX(醫師週班表!$C$5:$T$44,$CU38,Q$57),""))=2,IF(AND(RIGHT(IFERROR(INDEX(醫師週班表!$C$5:$T$44,$CU38,Q$57),""),1)="~",Q$58=1),"",LEFT(IFERROR(INDEX(醫師週班表!$C$5:$T$44,$CU38,Q$57),""),1)),IFERROR(INDEX(醫師週班表!$C$5:$T$44,$CU38,Q$57),""))))))</f>
        <v/>
      </c>
      <c r="R38" s="68">
        <f>IF(R$59="X","",IF(R$59&lt;&gt;"",R$59,IF(IFERROR(INDEX(醫師週班表!$C$5:$T$44,$CU38,R$57),"")=0,"",IF(LEN(IFERROR(INDEX(醫師週班表!$C$5:$T$44,$CU38,R$57),""))=4,MID(IFERROR(INDEX(醫師週班表!$C$5:$T$44,$CU38,R$57),""),1+R$58*2,1),IF(LEN(IFERROR(INDEX(醫師週班表!$C$5:$T$44,$CU38,R$57),""))=2,IF(AND(RIGHT(IFERROR(INDEX(醫師週班表!$C$5:$T$44,$CU38,R$57),""),1)="~",R$58=1),"",LEFT(IFERROR(INDEX(醫師週班表!$C$5:$T$44,$CU38,R$57),""),1)),IFERROR(INDEX(醫師週班表!$C$5:$T$44,$CU38,R$57),""))))))</f>
        <v/>
      </c>
      <c r="S38" s="68">
        <f>IF(S$59="X","",IF(S$59&lt;&gt;"",S$59,IF(IFERROR(INDEX(醫師週班表!$C$5:$T$44,$CU38,S$57),"")=0,"",IF(LEN(IFERROR(INDEX(醫師週班表!$C$5:$T$44,$CU38,S$57),""))=4,MID(IFERROR(INDEX(醫師週班表!$C$5:$T$44,$CU38,S$57),""),1+S$58*2,1),IF(LEN(IFERROR(INDEX(醫師週班表!$C$5:$T$44,$CU38,S$57),""))=2,IF(AND(RIGHT(IFERROR(INDEX(醫師週班表!$C$5:$T$44,$CU38,S$57),""),1)="~",S$58=1),"",LEFT(IFERROR(INDEX(醫師週班表!$C$5:$T$44,$CU38,S$57),""),1)),IFERROR(INDEX(醫師週班表!$C$5:$T$44,$CU38,S$57),""))))))</f>
        <v/>
      </c>
      <c r="T38" s="67">
        <f>IF(T$59="X","",IF(T$59&lt;&gt;"",T$59,IF(IFERROR(INDEX(醫師週班表!$C$5:$T$44,$CU38,T$57),"")=0,"",IF(LEN(IFERROR(INDEX(醫師週班表!$C$5:$T$44,$CU38,T$57),""))=4,MID(IFERROR(INDEX(醫師週班表!$C$5:$T$44,$CU38,T$57),""),1+T$58*2,1),IF(LEN(IFERROR(INDEX(醫師週班表!$C$5:$T$44,$CU38,T$57),""))=2,IF(AND(RIGHT(IFERROR(INDEX(醫師週班表!$C$5:$T$44,$CU38,T$57),""),1)="~",T$58=1),"",LEFT(IFERROR(INDEX(醫師週班表!$C$5:$T$44,$CU38,T$57),""),1)),IFERROR(INDEX(醫師週班表!$C$5:$T$44,$CU38,T$57),""))))))</f>
        <v/>
      </c>
      <c r="U38" s="68">
        <f>IF(U$59="X","",IF(U$59&lt;&gt;"",U$59,IF(IFERROR(INDEX(醫師週班表!$C$5:$T$44,$CU38,U$57),"")=0,"",IF(LEN(IFERROR(INDEX(醫師週班表!$C$5:$T$44,$CU38,U$57),""))=4,MID(IFERROR(INDEX(醫師週班表!$C$5:$T$44,$CU38,U$57),""),1+U$58*2,1),IF(LEN(IFERROR(INDEX(醫師週班表!$C$5:$T$44,$CU38,U$57),""))=2,IF(AND(RIGHT(IFERROR(INDEX(醫師週班表!$C$5:$T$44,$CU38,U$57),""),1)="~",U$58=1),"",LEFT(IFERROR(INDEX(醫師週班表!$C$5:$T$44,$CU38,U$57),""),1)),IFERROR(INDEX(醫師週班表!$C$5:$T$44,$CU38,U$57),""))))))</f>
        <v/>
      </c>
      <c r="V38" s="68">
        <f>IF(V$59="X","",IF(V$59&lt;&gt;"",V$59,IF(IFERROR(INDEX(醫師週班表!$C$5:$T$44,$CU38,V$57),"")=0,"",IF(LEN(IFERROR(INDEX(醫師週班表!$C$5:$T$44,$CU38,V$57),""))=4,MID(IFERROR(INDEX(醫師週班表!$C$5:$T$44,$CU38,V$57),""),1+V$58*2,1),IF(LEN(IFERROR(INDEX(醫師週班表!$C$5:$T$44,$CU38,V$57),""))=2,IF(AND(RIGHT(IFERROR(INDEX(醫師週班表!$C$5:$T$44,$CU38,V$57),""),1)="~",V$58=1),"",LEFT(IFERROR(INDEX(醫師週班表!$C$5:$T$44,$CU38,V$57),""),1)),IFERROR(INDEX(醫師週班表!$C$5:$T$44,$CU38,V$57),""))))))</f>
        <v/>
      </c>
      <c r="W38" s="67">
        <f>IF(W$59="X","",IF(W$59&lt;&gt;"",W$59,IF(IFERROR(INDEX(醫師週班表!$C$5:$T$44,$CU38,W$57),"")=0,"",IF(LEN(IFERROR(INDEX(醫師週班表!$C$5:$T$44,$CU38,W$57),""))=4,MID(IFERROR(INDEX(醫師週班表!$C$5:$T$44,$CU38,W$57),""),1+W$58*2,1),IF(LEN(IFERROR(INDEX(醫師週班表!$C$5:$T$44,$CU38,W$57),""))=2,IF(AND(RIGHT(IFERROR(INDEX(醫師週班表!$C$5:$T$44,$CU38,W$57),""),1)="~",W$58=1),"",LEFT(IFERROR(INDEX(醫師週班表!$C$5:$T$44,$CU38,W$57),""),1)),IFERROR(INDEX(醫師週班表!$C$5:$T$44,$CU38,W$57),""))))))</f>
        <v/>
      </c>
      <c r="X38" s="68">
        <f>IF(X$59="X","",IF(X$59&lt;&gt;"",X$59,IF(IFERROR(INDEX(醫師週班表!$C$5:$T$44,$CU38,X$57),"")=0,"",IF(LEN(IFERROR(INDEX(醫師週班表!$C$5:$T$44,$CU38,X$57),""))=4,MID(IFERROR(INDEX(醫師週班表!$C$5:$T$44,$CU38,X$57),""),1+X$58*2,1),IF(LEN(IFERROR(INDEX(醫師週班表!$C$5:$T$44,$CU38,X$57),""))=2,IF(AND(RIGHT(IFERROR(INDEX(醫師週班表!$C$5:$T$44,$CU38,X$57),""),1)="~",X$58=1),"",LEFT(IFERROR(INDEX(醫師週班表!$C$5:$T$44,$CU38,X$57),""),1)),IFERROR(INDEX(醫師週班表!$C$5:$T$44,$CU38,X$57),""))))))</f>
        <v/>
      </c>
      <c r="Y38" s="68">
        <f>IF(Y$59="X","",IF(Y$59&lt;&gt;"",Y$59,IF(IFERROR(INDEX(醫師週班表!$C$5:$T$44,$CU38,Y$57),"")=0,"",IF(LEN(IFERROR(INDEX(醫師週班表!$C$5:$T$44,$CU38,Y$57),""))=4,MID(IFERROR(INDEX(醫師週班表!$C$5:$T$44,$CU38,Y$57),""),1+Y$58*2,1),IF(LEN(IFERROR(INDEX(醫師週班表!$C$5:$T$44,$CU38,Y$57),""))=2,IF(AND(RIGHT(IFERROR(INDEX(醫師週班表!$C$5:$T$44,$CU38,Y$57),""),1)="~",Y$58=1),"",LEFT(IFERROR(INDEX(醫師週班表!$C$5:$T$44,$CU38,Y$57),""),1)),IFERROR(INDEX(醫師週班表!$C$5:$T$44,$CU38,Y$57),""))))))</f>
        <v/>
      </c>
      <c r="Z38" s="67">
        <f>IF(Z$59="X","",IF(Z$59&lt;&gt;"",Z$59,IF(IFERROR(INDEX(醫師週班表!$C$5:$T$44,$CU38,Z$57),"")=0,"",IF(LEN(IFERROR(INDEX(醫師週班表!$C$5:$T$44,$CU38,Z$57),""))=4,MID(IFERROR(INDEX(醫師週班表!$C$5:$T$44,$CU38,Z$57),""),1+Z$58*2,1),IF(LEN(IFERROR(INDEX(醫師週班表!$C$5:$T$44,$CU38,Z$57),""))=2,IF(AND(RIGHT(IFERROR(INDEX(醫師週班表!$C$5:$T$44,$CU38,Z$57),""),1)="~",Z$58=1),"",LEFT(IFERROR(INDEX(醫師週班表!$C$5:$T$44,$CU38,Z$57),""),1)),IFERROR(INDEX(醫師週班表!$C$5:$T$44,$CU38,Z$57),""))))))</f>
        <v/>
      </c>
      <c r="AA38" s="68">
        <f>IF(AA$59="X","",IF(AA$59&lt;&gt;"",AA$59,IF(IFERROR(INDEX(醫師週班表!$C$5:$T$44,$CU38,AA$57),"")=0,"",IF(LEN(IFERROR(INDEX(醫師週班表!$C$5:$T$44,$CU38,AA$57),""))=4,MID(IFERROR(INDEX(醫師週班表!$C$5:$T$44,$CU38,AA$57),""),1+AA$58*2,1),IF(LEN(IFERROR(INDEX(醫師週班表!$C$5:$T$44,$CU38,AA$57),""))=2,IF(AND(RIGHT(IFERROR(INDEX(醫師週班表!$C$5:$T$44,$CU38,AA$57),""),1)="~",AA$58=1),"",LEFT(IFERROR(INDEX(醫師週班表!$C$5:$T$44,$CU38,AA$57),""),1)),IFERROR(INDEX(醫師週班表!$C$5:$T$44,$CU38,AA$57),""))))))</f>
        <v/>
      </c>
      <c r="AB38" s="68">
        <f>IF(AB$59="X","",IF(AB$59&lt;&gt;"",AB$59,IF(IFERROR(INDEX(醫師週班表!$C$5:$T$44,$CU38,AB$57),"")=0,"",IF(LEN(IFERROR(INDEX(醫師週班表!$C$5:$T$44,$CU38,AB$57),""))=4,MID(IFERROR(INDEX(醫師週班表!$C$5:$T$44,$CU38,AB$57),""),1+AB$58*2,1),IF(LEN(IFERROR(INDEX(醫師週班表!$C$5:$T$44,$CU38,AB$57),""))=2,IF(AND(RIGHT(IFERROR(INDEX(醫師週班表!$C$5:$T$44,$CU38,AB$57),""),1)="~",AB$58=1),"",LEFT(IFERROR(INDEX(醫師週班表!$C$5:$T$44,$CU38,AB$57),""),1)),IFERROR(INDEX(醫師週班表!$C$5:$T$44,$CU38,AB$57),""))))))</f>
        <v/>
      </c>
      <c r="AC38" s="67">
        <f>IF(AC$59="X","",IF(AC$59&lt;&gt;"",AC$59,IF(IFERROR(INDEX(醫師週班表!$C$5:$T$44,$CU38,AC$57),"")=0,"",IF(LEN(IFERROR(INDEX(醫師週班表!$C$5:$T$44,$CU38,AC$57),""))=4,MID(IFERROR(INDEX(醫師週班表!$C$5:$T$44,$CU38,AC$57),""),1+AC$58*2,1),IF(LEN(IFERROR(INDEX(醫師週班表!$C$5:$T$44,$CU38,AC$57),""))=2,IF(AND(RIGHT(IFERROR(INDEX(醫師週班表!$C$5:$T$44,$CU38,AC$57),""),1)="~",AC$58=1),"",LEFT(IFERROR(INDEX(醫師週班表!$C$5:$T$44,$CU38,AC$57),""),1)),IFERROR(INDEX(醫師週班表!$C$5:$T$44,$CU38,AC$57),""))))))</f>
        <v/>
      </c>
      <c r="AD38" s="68">
        <f>IF(AD$59="X","",IF(AD$59&lt;&gt;"",AD$59,IF(IFERROR(INDEX(醫師週班表!$C$5:$T$44,$CU38,AD$57),"")=0,"",IF(LEN(IFERROR(INDEX(醫師週班表!$C$5:$T$44,$CU38,AD$57),""))=4,MID(IFERROR(INDEX(醫師週班表!$C$5:$T$44,$CU38,AD$57),""),1+AD$58*2,1),IF(LEN(IFERROR(INDEX(醫師週班表!$C$5:$T$44,$CU38,AD$57),""))=2,IF(AND(RIGHT(IFERROR(INDEX(醫師週班表!$C$5:$T$44,$CU38,AD$57),""),1)="~",AD$58=1),"",LEFT(IFERROR(INDEX(醫師週班表!$C$5:$T$44,$CU38,AD$57),""),1)),IFERROR(INDEX(醫師週班表!$C$5:$T$44,$CU38,AD$57),""))))))</f>
        <v/>
      </c>
      <c r="AE38" s="68">
        <f>IF(AE$59="X","",IF(AE$59&lt;&gt;"",AE$59,IF(IFERROR(INDEX(醫師週班表!$C$5:$T$44,$CU38,AE$57),"")=0,"",IF(LEN(IFERROR(INDEX(醫師週班表!$C$5:$T$44,$CU38,AE$57),""))=4,MID(IFERROR(INDEX(醫師週班表!$C$5:$T$44,$CU38,AE$57),""),1+AE$58*2,1),IF(LEN(IFERROR(INDEX(醫師週班表!$C$5:$T$44,$CU38,AE$57),""))=2,IF(AND(RIGHT(IFERROR(INDEX(醫師週班表!$C$5:$T$44,$CU38,AE$57),""),1)="~",AE$58=1),"",LEFT(IFERROR(INDEX(醫師週班表!$C$5:$T$44,$CU38,AE$57),""),1)),IFERROR(INDEX(醫師週班表!$C$5:$T$44,$CU38,AE$57),""))))))</f>
        <v/>
      </c>
      <c r="AF38" s="67">
        <f>IF(AF$59="X","",IF(AF$59&lt;&gt;"",AF$59,IF(IFERROR(INDEX(醫師週班表!$C$5:$T$44,$CU38,AF$57),"")=0,"",IF(LEN(IFERROR(INDEX(醫師週班表!$C$5:$T$44,$CU38,AF$57),""))=4,MID(IFERROR(INDEX(醫師週班表!$C$5:$T$44,$CU38,AF$57),""),1+AF$58*2,1),IF(LEN(IFERROR(INDEX(醫師週班表!$C$5:$T$44,$CU38,AF$57),""))=2,IF(AND(RIGHT(IFERROR(INDEX(醫師週班表!$C$5:$T$44,$CU38,AF$57),""),1)="~",AF$58=1),"",LEFT(IFERROR(INDEX(醫師週班表!$C$5:$T$44,$CU38,AF$57),""),1)),IFERROR(INDEX(醫師週班表!$C$5:$T$44,$CU38,AF$57),""))))))</f>
        <v/>
      </c>
      <c r="AG38" s="68">
        <f>IF(AG$59="X","",IF(AG$59&lt;&gt;"",AG$59,IF(IFERROR(INDEX(醫師週班表!$C$5:$T$44,$CU38,AG$57),"")=0,"",IF(LEN(IFERROR(INDEX(醫師週班表!$C$5:$T$44,$CU38,AG$57),""))=4,MID(IFERROR(INDEX(醫師週班表!$C$5:$T$44,$CU38,AG$57),""),1+AG$58*2,1),IF(LEN(IFERROR(INDEX(醫師週班表!$C$5:$T$44,$CU38,AG$57),""))=2,IF(AND(RIGHT(IFERROR(INDEX(醫師週班表!$C$5:$T$44,$CU38,AG$57),""),1)="~",AG$58=1),"",LEFT(IFERROR(INDEX(醫師週班表!$C$5:$T$44,$CU38,AG$57),""),1)),IFERROR(INDEX(醫師週班表!$C$5:$T$44,$CU38,AG$57),""))))))</f>
        <v/>
      </c>
      <c r="AH38" s="68">
        <f>IF(AH$59="X","",IF(AH$59&lt;&gt;"",AH$59,IF(IFERROR(INDEX(醫師週班表!$C$5:$T$44,$CU38,AH$57),"")=0,"",IF(LEN(IFERROR(INDEX(醫師週班表!$C$5:$T$44,$CU38,AH$57),""))=4,MID(IFERROR(INDEX(醫師週班表!$C$5:$T$44,$CU38,AH$57),""),1+AH$58*2,1),IF(LEN(IFERROR(INDEX(醫師週班表!$C$5:$T$44,$CU38,AH$57),""))=2,IF(AND(RIGHT(IFERROR(INDEX(醫師週班表!$C$5:$T$44,$CU38,AH$57),""),1)="~",AH$58=1),"",LEFT(IFERROR(INDEX(醫師週班表!$C$5:$T$44,$CU38,AH$57),""),1)),IFERROR(INDEX(醫師週班表!$C$5:$T$44,$CU38,AH$57),""))))))</f>
        <v/>
      </c>
      <c r="AI38" s="67">
        <f>IF(AI$59="X","",IF(AI$59&lt;&gt;"",AI$59,IF(IFERROR(INDEX(醫師週班表!$C$5:$T$44,$CU38,AI$57),"")=0,"",IF(LEN(IFERROR(INDEX(醫師週班表!$C$5:$T$44,$CU38,AI$57),""))=4,MID(IFERROR(INDEX(醫師週班表!$C$5:$T$44,$CU38,AI$57),""),1+AI$58*2,1),IF(LEN(IFERROR(INDEX(醫師週班表!$C$5:$T$44,$CU38,AI$57),""))=2,IF(AND(RIGHT(IFERROR(INDEX(醫師週班表!$C$5:$T$44,$CU38,AI$57),""),1)="~",AI$58=1),"",LEFT(IFERROR(INDEX(醫師週班表!$C$5:$T$44,$CU38,AI$57),""),1)),IFERROR(INDEX(醫師週班表!$C$5:$T$44,$CU38,AI$57),""))))))</f>
        <v/>
      </c>
      <c r="AJ38" s="68">
        <f>IF(AJ$59="X","",IF(AJ$59&lt;&gt;"",AJ$59,IF(IFERROR(INDEX(醫師週班表!$C$5:$T$44,$CU38,AJ$57),"")=0,"",IF(LEN(IFERROR(INDEX(醫師週班表!$C$5:$T$44,$CU38,AJ$57),""))=4,MID(IFERROR(INDEX(醫師週班表!$C$5:$T$44,$CU38,AJ$57),""),1+AJ$58*2,1),IF(LEN(IFERROR(INDEX(醫師週班表!$C$5:$T$44,$CU38,AJ$57),""))=2,IF(AND(RIGHT(IFERROR(INDEX(醫師週班表!$C$5:$T$44,$CU38,AJ$57),""),1)="~",AJ$58=1),"",LEFT(IFERROR(INDEX(醫師週班表!$C$5:$T$44,$CU38,AJ$57),""),1)),IFERROR(INDEX(醫師週班表!$C$5:$T$44,$CU38,AJ$57),""))))))</f>
        <v/>
      </c>
      <c r="AK38" s="68">
        <f>IF(AK$59="X","",IF(AK$59&lt;&gt;"",AK$59,IF(IFERROR(INDEX(醫師週班表!$C$5:$T$44,$CU38,AK$57),"")=0,"",IF(LEN(IFERROR(INDEX(醫師週班表!$C$5:$T$44,$CU38,AK$57),""))=4,MID(IFERROR(INDEX(醫師週班表!$C$5:$T$44,$CU38,AK$57),""),1+AK$58*2,1),IF(LEN(IFERROR(INDEX(醫師週班表!$C$5:$T$44,$CU38,AK$57),""))=2,IF(AND(RIGHT(IFERROR(INDEX(醫師週班表!$C$5:$T$44,$CU38,AK$57),""),1)="~",AK$58=1),"",LEFT(IFERROR(INDEX(醫師週班表!$C$5:$T$44,$CU38,AK$57),""),1)),IFERROR(INDEX(醫師週班表!$C$5:$T$44,$CU38,AK$57),""))))))</f>
        <v/>
      </c>
      <c r="AL38" s="67">
        <f>IF(AL$59="X","",IF(AL$59&lt;&gt;"",AL$59,IF(IFERROR(INDEX(醫師週班表!$C$5:$T$44,$CU38,AL$57),"")=0,"",IF(LEN(IFERROR(INDEX(醫師週班表!$C$5:$T$44,$CU38,AL$57),""))=4,MID(IFERROR(INDEX(醫師週班表!$C$5:$T$44,$CU38,AL$57),""),1+AL$58*2,1),IF(LEN(IFERROR(INDEX(醫師週班表!$C$5:$T$44,$CU38,AL$57),""))=2,IF(AND(RIGHT(IFERROR(INDEX(醫師週班表!$C$5:$T$44,$CU38,AL$57),""),1)="~",AL$58=1),"",LEFT(IFERROR(INDEX(醫師週班表!$C$5:$T$44,$CU38,AL$57),""),1)),IFERROR(INDEX(醫師週班表!$C$5:$T$44,$CU38,AL$57),""))))))</f>
        <v/>
      </c>
      <c r="AM38" s="68">
        <f>IF(AM$59="X","",IF(AM$59&lt;&gt;"",AM$59,IF(IFERROR(INDEX(醫師週班表!$C$5:$T$44,$CU38,AM$57),"")=0,"",IF(LEN(IFERROR(INDEX(醫師週班表!$C$5:$T$44,$CU38,AM$57),""))=4,MID(IFERROR(INDEX(醫師週班表!$C$5:$T$44,$CU38,AM$57),""),1+AM$58*2,1),IF(LEN(IFERROR(INDEX(醫師週班表!$C$5:$T$44,$CU38,AM$57),""))=2,IF(AND(RIGHT(IFERROR(INDEX(醫師週班表!$C$5:$T$44,$CU38,AM$57),""),1)="~",AM$58=1),"",LEFT(IFERROR(INDEX(醫師週班表!$C$5:$T$44,$CU38,AM$57),""),1)),IFERROR(INDEX(醫師週班表!$C$5:$T$44,$CU38,AM$57),""))))))</f>
        <v/>
      </c>
      <c r="AN38" s="68">
        <f>IF(AN$59="X","",IF(AN$59&lt;&gt;"",AN$59,IF(IFERROR(INDEX(醫師週班表!$C$5:$T$44,$CU38,AN$57),"")=0,"",IF(LEN(IFERROR(INDEX(醫師週班表!$C$5:$T$44,$CU38,AN$57),""))=4,MID(IFERROR(INDEX(醫師週班表!$C$5:$T$44,$CU38,AN$57),""),1+AN$58*2,1),IF(LEN(IFERROR(INDEX(醫師週班表!$C$5:$T$44,$CU38,AN$57),""))=2,IF(AND(RIGHT(IFERROR(INDEX(醫師週班表!$C$5:$T$44,$CU38,AN$57),""),1)="~",AN$58=1),"",LEFT(IFERROR(INDEX(醫師週班表!$C$5:$T$44,$CU38,AN$57),""),1)),IFERROR(INDEX(醫師週班表!$C$5:$T$44,$CU38,AN$57),""))))))</f>
        <v/>
      </c>
      <c r="AO38" s="67">
        <f>IF(AO$59="X","",IF(AO$59&lt;&gt;"",AO$59,IF(IFERROR(INDEX(醫師週班表!$C$5:$T$44,$CU38,AO$57),"")=0,"",IF(LEN(IFERROR(INDEX(醫師週班表!$C$5:$T$44,$CU38,AO$57),""))=4,MID(IFERROR(INDEX(醫師週班表!$C$5:$T$44,$CU38,AO$57),""),1+AO$58*2,1),IF(LEN(IFERROR(INDEX(醫師週班表!$C$5:$T$44,$CU38,AO$57),""))=2,IF(AND(RIGHT(IFERROR(INDEX(醫師週班表!$C$5:$T$44,$CU38,AO$57),""),1)="~",AO$58=1),"",LEFT(IFERROR(INDEX(醫師週班表!$C$5:$T$44,$CU38,AO$57),""),1)),IFERROR(INDEX(醫師週班表!$C$5:$T$44,$CU38,AO$57),""))))))</f>
        <v/>
      </c>
      <c r="AP38" s="68">
        <f>IF(AP$59="X","",IF(AP$59&lt;&gt;"",AP$59,IF(IFERROR(INDEX(醫師週班表!$C$5:$T$44,$CU38,AP$57),"")=0,"",IF(LEN(IFERROR(INDEX(醫師週班表!$C$5:$T$44,$CU38,AP$57),""))=4,MID(IFERROR(INDEX(醫師週班表!$C$5:$T$44,$CU38,AP$57),""),1+AP$58*2,1),IF(LEN(IFERROR(INDEX(醫師週班表!$C$5:$T$44,$CU38,AP$57),""))=2,IF(AND(RIGHT(IFERROR(INDEX(醫師週班表!$C$5:$T$44,$CU38,AP$57),""),1)="~",AP$58=1),"",LEFT(IFERROR(INDEX(醫師週班表!$C$5:$T$44,$CU38,AP$57),""),1)),IFERROR(INDEX(醫師週班表!$C$5:$T$44,$CU38,AP$57),""))))))</f>
        <v/>
      </c>
      <c r="AQ38" s="68">
        <f>IF(AQ$59="X","",IF(AQ$59&lt;&gt;"",AQ$59,IF(IFERROR(INDEX(醫師週班表!$C$5:$T$44,$CU38,AQ$57),"")=0,"",IF(LEN(IFERROR(INDEX(醫師週班表!$C$5:$T$44,$CU38,AQ$57),""))=4,MID(IFERROR(INDEX(醫師週班表!$C$5:$T$44,$CU38,AQ$57),""),1+AQ$58*2,1),IF(LEN(IFERROR(INDEX(醫師週班表!$C$5:$T$44,$CU38,AQ$57),""))=2,IF(AND(RIGHT(IFERROR(INDEX(醫師週班表!$C$5:$T$44,$CU38,AQ$57),""),1)="~",AQ$58=1),"",LEFT(IFERROR(INDEX(醫師週班表!$C$5:$T$44,$CU38,AQ$57),""),1)),IFERROR(INDEX(醫師週班表!$C$5:$T$44,$CU38,AQ$57),""))))))</f>
        <v/>
      </c>
      <c r="AR38" s="67">
        <f>IF(AR$59="X","",IF(AR$59&lt;&gt;"",AR$59,IF(IFERROR(INDEX(醫師週班表!$C$5:$T$44,$CU38,AR$57),"")=0,"",IF(LEN(IFERROR(INDEX(醫師週班表!$C$5:$T$44,$CU38,AR$57),""))=4,MID(IFERROR(INDEX(醫師週班表!$C$5:$T$44,$CU38,AR$57),""),1+AR$58*2,1),IF(LEN(IFERROR(INDEX(醫師週班表!$C$5:$T$44,$CU38,AR$57),""))=2,IF(AND(RIGHT(IFERROR(INDEX(醫師週班表!$C$5:$T$44,$CU38,AR$57),""),1)="~",AR$58=1),"",LEFT(IFERROR(INDEX(醫師週班表!$C$5:$T$44,$CU38,AR$57),""),1)),IFERROR(INDEX(醫師週班表!$C$5:$T$44,$CU38,AR$57),""))))))</f>
        <v/>
      </c>
      <c r="AS38" s="68">
        <f>IF(AS$59="X","",IF(AS$59&lt;&gt;"",AS$59,IF(IFERROR(INDEX(醫師週班表!$C$5:$T$44,$CU38,AS$57),"")=0,"",IF(LEN(IFERROR(INDEX(醫師週班表!$C$5:$T$44,$CU38,AS$57),""))=4,MID(IFERROR(INDEX(醫師週班表!$C$5:$T$44,$CU38,AS$57),""),1+AS$58*2,1),IF(LEN(IFERROR(INDEX(醫師週班表!$C$5:$T$44,$CU38,AS$57),""))=2,IF(AND(RIGHT(IFERROR(INDEX(醫師週班表!$C$5:$T$44,$CU38,AS$57),""),1)="~",AS$58=1),"",LEFT(IFERROR(INDEX(醫師週班表!$C$5:$T$44,$CU38,AS$57),""),1)),IFERROR(INDEX(醫師週班表!$C$5:$T$44,$CU38,AS$57),""))))))</f>
        <v/>
      </c>
      <c r="AT38" s="68">
        <f>IF(AT$59="X","",IF(AT$59&lt;&gt;"",AT$59,IF(IFERROR(INDEX(醫師週班表!$C$5:$T$44,$CU38,AT$57),"")=0,"",IF(LEN(IFERROR(INDEX(醫師週班表!$C$5:$T$44,$CU38,AT$57),""))=4,MID(IFERROR(INDEX(醫師週班表!$C$5:$T$44,$CU38,AT$57),""),1+AT$58*2,1),IF(LEN(IFERROR(INDEX(醫師週班表!$C$5:$T$44,$CU38,AT$57),""))=2,IF(AND(RIGHT(IFERROR(INDEX(醫師週班表!$C$5:$T$44,$CU38,AT$57),""),1)="~",AT$58=1),"",LEFT(IFERROR(INDEX(醫師週班表!$C$5:$T$44,$CU38,AT$57),""),1)),IFERROR(INDEX(醫師週班表!$C$5:$T$44,$CU38,AT$57),""))))))</f>
        <v/>
      </c>
      <c r="AU38" s="67">
        <f>IF(AU$59="X","",IF(AU$59&lt;&gt;"",AU$59,IF(IFERROR(INDEX(醫師週班表!$C$5:$T$44,$CU38,AU$57),"")=0,"",IF(LEN(IFERROR(INDEX(醫師週班表!$C$5:$T$44,$CU38,AU$57),""))=4,MID(IFERROR(INDEX(醫師週班表!$C$5:$T$44,$CU38,AU$57),""),1+AU$58*2,1),IF(LEN(IFERROR(INDEX(醫師週班表!$C$5:$T$44,$CU38,AU$57),""))=2,IF(AND(RIGHT(IFERROR(INDEX(醫師週班表!$C$5:$T$44,$CU38,AU$57),""),1)="~",AU$58=1),"",LEFT(IFERROR(INDEX(醫師週班表!$C$5:$T$44,$CU38,AU$57),""),1)),IFERROR(INDEX(醫師週班表!$C$5:$T$44,$CU38,AU$57),""))))))</f>
        <v/>
      </c>
      <c r="AV38" s="68">
        <f>IF(AV$59="X","",IF(AV$59&lt;&gt;"",AV$59,IF(IFERROR(INDEX(醫師週班表!$C$5:$T$44,$CU38,AV$57),"")=0,"",IF(LEN(IFERROR(INDEX(醫師週班表!$C$5:$T$44,$CU38,AV$57),""))=4,MID(IFERROR(INDEX(醫師週班表!$C$5:$T$44,$CU38,AV$57),""),1+AV$58*2,1),IF(LEN(IFERROR(INDEX(醫師週班表!$C$5:$T$44,$CU38,AV$57),""))=2,IF(AND(RIGHT(IFERROR(INDEX(醫師週班表!$C$5:$T$44,$CU38,AV$57),""),1)="~",AV$58=1),"",LEFT(IFERROR(INDEX(醫師週班表!$C$5:$T$44,$CU38,AV$57),""),1)),IFERROR(INDEX(醫師週班表!$C$5:$T$44,$CU38,AV$57),""))))))</f>
        <v/>
      </c>
      <c r="AW38" s="68">
        <f>IF(AW$59="X","",IF(AW$59&lt;&gt;"",AW$59,IF(IFERROR(INDEX(醫師週班表!$C$5:$T$44,$CU38,AW$57),"")=0,"",IF(LEN(IFERROR(INDEX(醫師週班表!$C$5:$T$44,$CU38,AW$57),""))=4,MID(IFERROR(INDEX(醫師週班表!$C$5:$T$44,$CU38,AW$57),""),1+AW$58*2,1),IF(LEN(IFERROR(INDEX(醫師週班表!$C$5:$T$44,$CU38,AW$57),""))=2,IF(AND(RIGHT(IFERROR(INDEX(醫師週班表!$C$5:$T$44,$CU38,AW$57),""),1)="~",AW$58=1),"",LEFT(IFERROR(INDEX(醫師週班表!$C$5:$T$44,$CU38,AW$57),""),1)),IFERROR(INDEX(醫師週班表!$C$5:$T$44,$CU38,AW$57),""))))))</f>
        <v/>
      </c>
      <c r="AX38" s="67">
        <f>IF(AX$59="X","",IF(AX$59&lt;&gt;"",AX$59,IF(IFERROR(INDEX(醫師週班表!$C$5:$T$44,$CU38,AX$57),"")=0,"",IF(LEN(IFERROR(INDEX(醫師週班表!$C$5:$T$44,$CU38,AX$57),""))=4,MID(IFERROR(INDEX(醫師週班表!$C$5:$T$44,$CU38,AX$57),""),1+AX$58*2,1),IF(LEN(IFERROR(INDEX(醫師週班表!$C$5:$T$44,$CU38,AX$57),""))=2,IF(AND(RIGHT(IFERROR(INDEX(醫師週班表!$C$5:$T$44,$CU38,AX$57),""),1)="~",AX$58=1),"",LEFT(IFERROR(INDEX(醫師週班表!$C$5:$T$44,$CU38,AX$57),""),1)),IFERROR(INDEX(醫師週班表!$C$5:$T$44,$CU38,AX$57),""))))))</f>
        <v/>
      </c>
      <c r="AY38" s="68">
        <f>IF(AY$59="X","",IF(AY$59&lt;&gt;"",AY$59,IF(IFERROR(INDEX(醫師週班表!$C$5:$T$44,$CU38,AY$57),"")=0,"",IF(LEN(IFERROR(INDEX(醫師週班表!$C$5:$T$44,$CU38,AY$57),""))=4,MID(IFERROR(INDEX(醫師週班表!$C$5:$T$44,$CU38,AY$57),""),1+AY$58*2,1),IF(LEN(IFERROR(INDEX(醫師週班表!$C$5:$T$44,$CU38,AY$57),""))=2,IF(AND(RIGHT(IFERROR(INDEX(醫師週班表!$C$5:$T$44,$CU38,AY$57),""),1)="~",AY$58=1),"",LEFT(IFERROR(INDEX(醫師週班表!$C$5:$T$44,$CU38,AY$57),""),1)),IFERROR(INDEX(醫師週班表!$C$5:$T$44,$CU38,AY$57),""))))))</f>
        <v/>
      </c>
      <c r="AZ38" s="68">
        <f>IF(AZ$59="X","",IF(AZ$59&lt;&gt;"",AZ$59,IF(IFERROR(INDEX(醫師週班表!$C$5:$T$44,$CU38,AZ$57),"")=0,"",IF(LEN(IFERROR(INDEX(醫師週班表!$C$5:$T$44,$CU38,AZ$57),""))=4,MID(IFERROR(INDEX(醫師週班表!$C$5:$T$44,$CU38,AZ$57),""),1+AZ$58*2,1),IF(LEN(IFERROR(INDEX(醫師週班表!$C$5:$T$44,$CU38,AZ$57),""))=2,IF(AND(RIGHT(IFERROR(INDEX(醫師週班表!$C$5:$T$44,$CU38,AZ$57),""),1)="~",AZ$58=1),"",LEFT(IFERROR(INDEX(醫師週班表!$C$5:$T$44,$CU38,AZ$57),""),1)),IFERROR(INDEX(醫師週班表!$C$5:$T$44,$CU38,AZ$57),""))))))</f>
        <v/>
      </c>
      <c r="BA38" s="67">
        <f>IF(BA$59="X","",IF(BA$59&lt;&gt;"",BA$59,IF(IFERROR(INDEX(醫師週班表!$C$5:$T$44,$CU38,BA$57),"")=0,"",IF(LEN(IFERROR(INDEX(醫師週班表!$C$5:$T$44,$CU38,BA$57),""))=4,MID(IFERROR(INDEX(醫師週班表!$C$5:$T$44,$CU38,BA$57),""),1+BA$58*2,1),IF(LEN(IFERROR(INDEX(醫師週班表!$C$5:$T$44,$CU38,BA$57),""))=2,IF(AND(RIGHT(IFERROR(INDEX(醫師週班表!$C$5:$T$44,$CU38,BA$57),""),1)="~",BA$58=1),"",LEFT(IFERROR(INDEX(醫師週班表!$C$5:$T$44,$CU38,BA$57),""),1)),IFERROR(INDEX(醫師週班表!$C$5:$T$44,$CU38,BA$57),""))))))</f>
        <v/>
      </c>
      <c r="BB38" s="68">
        <f>IF(BB$59="X","",IF(BB$59&lt;&gt;"",BB$59,IF(IFERROR(INDEX(醫師週班表!$C$5:$T$44,$CU38,BB$57),"")=0,"",IF(LEN(IFERROR(INDEX(醫師週班表!$C$5:$T$44,$CU38,BB$57),""))=4,MID(IFERROR(INDEX(醫師週班表!$C$5:$T$44,$CU38,BB$57),""),1+BB$58*2,1),IF(LEN(IFERROR(INDEX(醫師週班表!$C$5:$T$44,$CU38,BB$57),""))=2,IF(AND(RIGHT(IFERROR(INDEX(醫師週班表!$C$5:$T$44,$CU38,BB$57),""),1)="~",BB$58=1),"",LEFT(IFERROR(INDEX(醫師週班表!$C$5:$T$44,$CU38,BB$57),""),1)),IFERROR(INDEX(醫師週班表!$C$5:$T$44,$CU38,BB$57),""))))))</f>
        <v/>
      </c>
      <c r="BC38" s="68">
        <f>IF(BC$59="X","",IF(BC$59&lt;&gt;"",BC$59,IF(IFERROR(INDEX(醫師週班表!$C$5:$T$44,$CU38,BC$57),"")=0,"",IF(LEN(IFERROR(INDEX(醫師週班表!$C$5:$T$44,$CU38,BC$57),""))=4,MID(IFERROR(INDEX(醫師週班表!$C$5:$T$44,$CU38,BC$57),""),1+BC$58*2,1),IF(LEN(IFERROR(INDEX(醫師週班表!$C$5:$T$44,$CU38,BC$57),""))=2,IF(AND(RIGHT(IFERROR(INDEX(醫師週班表!$C$5:$T$44,$CU38,BC$57),""),1)="~",BC$58=1),"",LEFT(IFERROR(INDEX(醫師週班表!$C$5:$T$44,$CU38,BC$57),""),1)),IFERROR(INDEX(醫師週班表!$C$5:$T$44,$CU38,BC$57),""))))))</f>
        <v/>
      </c>
      <c r="BD38" s="67">
        <f>IF(BD$59="X","",IF(BD$59&lt;&gt;"",BD$59,IF(IFERROR(INDEX(醫師週班表!$C$5:$T$44,$CU38,BD$57),"")=0,"",IF(LEN(IFERROR(INDEX(醫師週班表!$C$5:$T$44,$CU38,BD$57),""))=4,MID(IFERROR(INDEX(醫師週班表!$C$5:$T$44,$CU38,BD$57),""),1+BD$58*2,1),IF(LEN(IFERROR(INDEX(醫師週班表!$C$5:$T$44,$CU38,BD$57),""))=2,IF(AND(RIGHT(IFERROR(INDEX(醫師週班表!$C$5:$T$44,$CU38,BD$57),""),1)="~",BD$58=1),"",LEFT(IFERROR(INDEX(醫師週班表!$C$5:$T$44,$CU38,BD$57),""),1)),IFERROR(INDEX(醫師週班表!$C$5:$T$44,$CU38,BD$57),""))))))</f>
        <v/>
      </c>
      <c r="BE38" s="68">
        <f>IF(BE$59="X","",IF(BE$59&lt;&gt;"",BE$59,IF(IFERROR(INDEX(醫師週班表!$C$5:$T$44,$CU38,BE$57),"")=0,"",IF(LEN(IFERROR(INDEX(醫師週班表!$C$5:$T$44,$CU38,BE$57),""))=4,MID(IFERROR(INDEX(醫師週班表!$C$5:$T$44,$CU38,BE$57),""),1+BE$58*2,1),IF(LEN(IFERROR(INDEX(醫師週班表!$C$5:$T$44,$CU38,BE$57),""))=2,IF(AND(RIGHT(IFERROR(INDEX(醫師週班表!$C$5:$T$44,$CU38,BE$57),""),1)="~",BE$58=1),"",LEFT(IFERROR(INDEX(醫師週班表!$C$5:$T$44,$CU38,BE$57),""),1)),IFERROR(INDEX(醫師週班表!$C$5:$T$44,$CU38,BE$57),""))))))</f>
        <v/>
      </c>
      <c r="BF38" s="68">
        <f>IF(BF$59="X","",IF(BF$59&lt;&gt;"",BF$59,IF(IFERROR(INDEX(醫師週班表!$C$5:$T$44,$CU38,BF$57),"")=0,"",IF(LEN(IFERROR(INDEX(醫師週班表!$C$5:$T$44,$CU38,BF$57),""))=4,MID(IFERROR(INDEX(醫師週班表!$C$5:$T$44,$CU38,BF$57),""),1+BF$58*2,1),IF(LEN(IFERROR(INDEX(醫師週班表!$C$5:$T$44,$CU38,BF$57),""))=2,IF(AND(RIGHT(IFERROR(INDEX(醫師週班表!$C$5:$T$44,$CU38,BF$57),""),1)="~",BF$58=1),"",LEFT(IFERROR(INDEX(醫師週班表!$C$5:$T$44,$CU38,BF$57),""),1)),IFERROR(INDEX(醫師週班表!$C$5:$T$44,$CU38,BF$57),""))))))</f>
        <v/>
      </c>
      <c r="BG38" s="67">
        <f>IF(BG$59="X","",IF(BG$59&lt;&gt;"",BG$59,IF(IFERROR(INDEX(醫師週班表!$C$5:$T$44,$CU38,BG$57),"")=0,"",IF(LEN(IFERROR(INDEX(醫師週班表!$C$5:$T$44,$CU38,BG$57),""))=4,MID(IFERROR(INDEX(醫師週班表!$C$5:$T$44,$CU38,BG$57),""),1+BG$58*2,1),IF(LEN(IFERROR(INDEX(醫師週班表!$C$5:$T$44,$CU38,BG$57),""))=2,IF(AND(RIGHT(IFERROR(INDEX(醫師週班表!$C$5:$T$44,$CU38,BG$57),""),1)="~",BG$58=1),"",LEFT(IFERROR(INDEX(醫師週班表!$C$5:$T$44,$CU38,BG$57),""),1)),IFERROR(INDEX(醫師週班表!$C$5:$T$44,$CU38,BG$57),""))))))</f>
        <v/>
      </c>
      <c r="BH38" s="68">
        <f>IF(BH$59="X","",IF(BH$59&lt;&gt;"",BH$59,IF(IFERROR(INDEX(醫師週班表!$C$5:$T$44,$CU38,BH$57),"")=0,"",IF(LEN(IFERROR(INDEX(醫師週班表!$C$5:$T$44,$CU38,BH$57),""))=4,MID(IFERROR(INDEX(醫師週班表!$C$5:$T$44,$CU38,BH$57),""),1+BH$58*2,1),IF(LEN(IFERROR(INDEX(醫師週班表!$C$5:$T$44,$CU38,BH$57),""))=2,IF(AND(RIGHT(IFERROR(INDEX(醫師週班表!$C$5:$T$44,$CU38,BH$57),""),1)="~",BH$58=1),"",LEFT(IFERROR(INDEX(醫師週班表!$C$5:$T$44,$CU38,BH$57),""),1)),IFERROR(INDEX(醫師週班表!$C$5:$T$44,$CU38,BH$57),""))))))</f>
        <v/>
      </c>
      <c r="BI38" s="68">
        <f>IF(BI$59="X","",IF(BI$59&lt;&gt;"",BI$59,IF(IFERROR(INDEX(醫師週班表!$C$5:$T$44,$CU38,BI$57),"")=0,"",IF(LEN(IFERROR(INDEX(醫師週班表!$C$5:$T$44,$CU38,BI$57),""))=4,MID(IFERROR(INDEX(醫師週班表!$C$5:$T$44,$CU38,BI$57),""),1+BI$58*2,1),IF(LEN(IFERROR(INDEX(醫師週班表!$C$5:$T$44,$CU38,BI$57),""))=2,IF(AND(RIGHT(IFERROR(INDEX(醫師週班表!$C$5:$T$44,$CU38,BI$57),""),1)="~",BI$58=1),"",LEFT(IFERROR(INDEX(醫師週班表!$C$5:$T$44,$CU38,BI$57),""),1)),IFERROR(INDEX(醫師週班表!$C$5:$T$44,$CU38,BI$57),""))))))</f>
        <v/>
      </c>
      <c r="BJ38" s="67">
        <f>IF(BJ$59="X","",IF(BJ$59&lt;&gt;"",BJ$59,IF(IFERROR(INDEX(醫師週班表!$C$5:$T$44,$CU38,BJ$57),"")=0,"",IF(LEN(IFERROR(INDEX(醫師週班表!$C$5:$T$44,$CU38,BJ$57),""))=4,MID(IFERROR(INDEX(醫師週班表!$C$5:$T$44,$CU38,BJ$57),""),1+BJ$58*2,1),IF(LEN(IFERROR(INDEX(醫師週班表!$C$5:$T$44,$CU38,BJ$57),""))=2,IF(AND(RIGHT(IFERROR(INDEX(醫師週班表!$C$5:$T$44,$CU38,BJ$57),""),1)="~",BJ$58=1),"",LEFT(IFERROR(INDEX(醫師週班表!$C$5:$T$44,$CU38,BJ$57),""),1)),IFERROR(INDEX(醫師週班表!$C$5:$T$44,$CU38,BJ$57),""))))))</f>
        <v/>
      </c>
      <c r="BK38" s="68">
        <f>IF(BK$59="X","",IF(BK$59&lt;&gt;"",BK$59,IF(IFERROR(INDEX(醫師週班表!$C$5:$T$44,$CU38,BK$57),"")=0,"",IF(LEN(IFERROR(INDEX(醫師週班表!$C$5:$T$44,$CU38,BK$57),""))=4,MID(IFERROR(INDEX(醫師週班表!$C$5:$T$44,$CU38,BK$57),""),1+BK$58*2,1),IF(LEN(IFERROR(INDEX(醫師週班表!$C$5:$T$44,$CU38,BK$57),""))=2,IF(AND(RIGHT(IFERROR(INDEX(醫師週班表!$C$5:$T$44,$CU38,BK$57),""),1)="~",BK$58=1),"",LEFT(IFERROR(INDEX(醫師週班表!$C$5:$T$44,$CU38,BK$57),""),1)),IFERROR(INDEX(醫師週班表!$C$5:$T$44,$CU38,BK$57),""))))))</f>
        <v/>
      </c>
      <c r="BL38" s="68">
        <f>IF(BL$59="X","",IF(BL$59&lt;&gt;"",BL$59,IF(IFERROR(INDEX(醫師週班表!$C$5:$T$44,$CU38,BL$57),"")=0,"",IF(LEN(IFERROR(INDEX(醫師週班表!$C$5:$T$44,$CU38,BL$57),""))=4,MID(IFERROR(INDEX(醫師週班表!$C$5:$T$44,$CU38,BL$57),""),1+BL$58*2,1),IF(LEN(IFERROR(INDEX(醫師週班表!$C$5:$T$44,$CU38,BL$57),""))=2,IF(AND(RIGHT(IFERROR(INDEX(醫師週班表!$C$5:$T$44,$CU38,BL$57),""),1)="~",BL$58=1),"",LEFT(IFERROR(INDEX(醫師週班表!$C$5:$T$44,$CU38,BL$57),""),1)),IFERROR(INDEX(醫師週班表!$C$5:$T$44,$CU38,BL$57),""))))))</f>
        <v/>
      </c>
      <c r="BM38" s="67">
        <f>IF(BM$59="X","",IF(BM$59&lt;&gt;"",BM$59,IF(IFERROR(INDEX(醫師週班表!$C$5:$T$44,$CU38,BM$57),"")=0,"",IF(LEN(IFERROR(INDEX(醫師週班表!$C$5:$T$44,$CU38,BM$57),""))=4,MID(IFERROR(INDEX(醫師週班表!$C$5:$T$44,$CU38,BM$57),""),1+BM$58*2,1),IF(LEN(IFERROR(INDEX(醫師週班表!$C$5:$T$44,$CU38,BM$57),""))=2,IF(AND(RIGHT(IFERROR(INDEX(醫師週班表!$C$5:$T$44,$CU38,BM$57),""),1)="~",BM$58=1),"",LEFT(IFERROR(INDEX(醫師週班表!$C$5:$T$44,$CU38,BM$57),""),1)),IFERROR(INDEX(醫師週班表!$C$5:$T$44,$CU38,BM$57),""))))))</f>
        <v/>
      </c>
      <c r="BN38" s="68">
        <f>IF(BN$59="X","",IF(BN$59&lt;&gt;"",BN$59,IF(IFERROR(INDEX(醫師週班表!$C$5:$T$44,$CU38,BN$57),"")=0,"",IF(LEN(IFERROR(INDEX(醫師週班表!$C$5:$T$44,$CU38,BN$57),""))=4,MID(IFERROR(INDEX(醫師週班表!$C$5:$T$44,$CU38,BN$57),""),1+BN$58*2,1),IF(LEN(IFERROR(INDEX(醫師週班表!$C$5:$T$44,$CU38,BN$57),""))=2,IF(AND(RIGHT(IFERROR(INDEX(醫師週班表!$C$5:$T$44,$CU38,BN$57),""),1)="~",BN$58=1),"",LEFT(IFERROR(INDEX(醫師週班表!$C$5:$T$44,$CU38,BN$57),""),1)),IFERROR(INDEX(醫師週班表!$C$5:$T$44,$CU38,BN$57),""))))))</f>
        <v/>
      </c>
      <c r="BO38" s="68">
        <f>IF(BO$59="X","",IF(BO$59&lt;&gt;"",BO$59,IF(IFERROR(INDEX(醫師週班表!$C$5:$T$44,$CU38,BO$57),"")=0,"",IF(LEN(IFERROR(INDEX(醫師週班表!$C$5:$T$44,$CU38,BO$57),""))=4,MID(IFERROR(INDEX(醫師週班表!$C$5:$T$44,$CU38,BO$57),""),1+BO$58*2,1),IF(LEN(IFERROR(INDEX(醫師週班表!$C$5:$T$44,$CU38,BO$57),""))=2,IF(AND(RIGHT(IFERROR(INDEX(醫師週班表!$C$5:$T$44,$CU38,BO$57),""),1)="~",BO$58=1),"",LEFT(IFERROR(INDEX(醫師週班表!$C$5:$T$44,$CU38,BO$57),""),1)),IFERROR(INDEX(醫師週班表!$C$5:$T$44,$CU38,BO$57),""))))))</f>
        <v/>
      </c>
      <c r="BP38" s="67">
        <f>IF(BP$59="X","",IF(BP$59&lt;&gt;"",BP$59,IF(IFERROR(INDEX(醫師週班表!$C$5:$T$44,$CU38,BP$57),"")=0,"",IF(LEN(IFERROR(INDEX(醫師週班表!$C$5:$T$44,$CU38,BP$57),""))=4,MID(IFERROR(INDEX(醫師週班表!$C$5:$T$44,$CU38,BP$57),""),1+BP$58*2,1),IF(LEN(IFERROR(INDEX(醫師週班表!$C$5:$T$44,$CU38,BP$57),""))=2,IF(AND(RIGHT(IFERROR(INDEX(醫師週班表!$C$5:$T$44,$CU38,BP$57),""),1)="~",BP$58=1),"",LEFT(IFERROR(INDEX(醫師週班表!$C$5:$T$44,$CU38,BP$57),""),1)),IFERROR(INDEX(醫師週班表!$C$5:$T$44,$CU38,BP$57),""))))))</f>
        <v/>
      </c>
      <c r="BQ38" s="68">
        <f>IF(BQ$59="X","",IF(BQ$59&lt;&gt;"",BQ$59,IF(IFERROR(INDEX(醫師週班表!$C$5:$T$44,$CU38,BQ$57),"")=0,"",IF(LEN(IFERROR(INDEX(醫師週班表!$C$5:$T$44,$CU38,BQ$57),""))=4,MID(IFERROR(INDEX(醫師週班表!$C$5:$T$44,$CU38,BQ$57),""),1+BQ$58*2,1),IF(LEN(IFERROR(INDEX(醫師週班表!$C$5:$T$44,$CU38,BQ$57),""))=2,IF(AND(RIGHT(IFERROR(INDEX(醫師週班表!$C$5:$T$44,$CU38,BQ$57),""),1)="~",BQ$58=1),"",LEFT(IFERROR(INDEX(醫師週班表!$C$5:$T$44,$CU38,BQ$57),""),1)),IFERROR(INDEX(醫師週班表!$C$5:$T$44,$CU38,BQ$57),""))))))</f>
        <v/>
      </c>
      <c r="BR38" s="68">
        <f>IF(BR$59="X","",IF(BR$59&lt;&gt;"",BR$59,IF(IFERROR(INDEX(醫師週班表!$C$5:$T$44,$CU38,BR$57),"")=0,"",IF(LEN(IFERROR(INDEX(醫師週班表!$C$5:$T$44,$CU38,BR$57),""))=4,MID(IFERROR(INDEX(醫師週班表!$C$5:$T$44,$CU38,BR$57),""),1+BR$58*2,1),IF(LEN(IFERROR(INDEX(醫師週班表!$C$5:$T$44,$CU38,BR$57),""))=2,IF(AND(RIGHT(IFERROR(INDEX(醫師週班表!$C$5:$T$44,$CU38,BR$57),""),1)="~",BR$58=1),"",LEFT(IFERROR(INDEX(醫師週班表!$C$5:$T$44,$CU38,BR$57),""),1)),IFERROR(INDEX(醫師週班表!$C$5:$T$44,$CU38,BR$57),""))))))</f>
        <v/>
      </c>
      <c r="BS38" s="67">
        <f>IF(BS$59="X","",IF(BS$59&lt;&gt;"",BS$59,IF(IFERROR(INDEX(醫師週班表!$C$5:$T$44,$CU38,BS$57),"")=0,"",IF(LEN(IFERROR(INDEX(醫師週班表!$C$5:$T$44,$CU38,BS$57),""))=4,MID(IFERROR(INDEX(醫師週班表!$C$5:$T$44,$CU38,BS$57),""),1+BS$58*2,1),IF(LEN(IFERROR(INDEX(醫師週班表!$C$5:$T$44,$CU38,BS$57),""))=2,IF(AND(RIGHT(IFERROR(INDEX(醫師週班表!$C$5:$T$44,$CU38,BS$57),""),1)="~",BS$58=1),"",LEFT(IFERROR(INDEX(醫師週班表!$C$5:$T$44,$CU38,BS$57),""),1)),IFERROR(INDEX(醫師週班表!$C$5:$T$44,$CU38,BS$57),""))))))</f>
        <v/>
      </c>
      <c r="BT38" s="68">
        <f>IF(BT$59="X","",IF(BT$59&lt;&gt;"",BT$59,IF(IFERROR(INDEX(醫師週班表!$C$5:$T$44,$CU38,BT$57),"")=0,"",IF(LEN(IFERROR(INDEX(醫師週班表!$C$5:$T$44,$CU38,BT$57),""))=4,MID(IFERROR(INDEX(醫師週班表!$C$5:$T$44,$CU38,BT$57),""),1+BT$58*2,1),IF(LEN(IFERROR(INDEX(醫師週班表!$C$5:$T$44,$CU38,BT$57),""))=2,IF(AND(RIGHT(IFERROR(INDEX(醫師週班表!$C$5:$T$44,$CU38,BT$57),""),1)="~",BT$58=1),"",LEFT(IFERROR(INDEX(醫師週班表!$C$5:$T$44,$CU38,BT$57),""),1)),IFERROR(INDEX(醫師週班表!$C$5:$T$44,$CU38,BT$57),""))))))</f>
        <v/>
      </c>
      <c r="BU38" s="68">
        <f>IF(BU$59="X","",IF(BU$59&lt;&gt;"",BU$59,IF(IFERROR(INDEX(醫師週班表!$C$5:$T$44,$CU38,BU$57),"")=0,"",IF(LEN(IFERROR(INDEX(醫師週班表!$C$5:$T$44,$CU38,BU$57),""))=4,MID(IFERROR(INDEX(醫師週班表!$C$5:$T$44,$CU38,BU$57),""),1+BU$58*2,1),IF(LEN(IFERROR(INDEX(醫師週班表!$C$5:$T$44,$CU38,BU$57),""))=2,IF(AND(RIGHT(IFERROR(INDEX(醫師週班表!$C$5:$T$44,$CU38,BU$57),""),1)="~",BU$58=1),"",LEFT(IFERROR(INDEX(醫師週班表!$C$5:$T$44,$CU38,BU$57),""),1)),IFERROR(INDEX(醫師週班表!$C$5:$T$44,$CU38,BU$57),""))))))</f>
        <v/>
      </c>
      <c r="BV38" s="67">
        <f>IF(BV$59="X","",IF(BV$59&lt;&gt;"",BV$59,IF(IFERROR(INDEX(醫師週班表!$C$5:$T$44,$CU38,BV$57),"")=0,"",IF(LEN(IFERROR(INDEX(醫師週班表!$C$5:$T$44,$CU38,BV$57),""))=4,MID(IFERROR(INDEX(醫師週班表!$C$5:$T$44,$CU38,BV$57),""),1+BV$58*2,1),IF(LEN(IFERROR(INDEX(醫師週班表!$C$5:$T$44,$CU38,BV$57),""))=2,IF(AND(RIGHT(IFERROR(INDEX(醫師週班表!$C$5:$T$44,$CU38,BV$57),""),1)="~",BV$58=1),"",LEFT(IFERROR(INDEX(醫師週班表!$C$5:$T$44,$CU38,BV$57),""),1)),IFERROR(INDEX(醫師週班表!$C$5:$T$44,$CU38,BV$57),""))))))</f>
        <v/>
      </c>
      <c r="BW38" s="68">
        <f>IF(BW$59="X","",IF(BW$59&lt;&gt;"",BW$59,IF(IFERROR(INDEX(醫師週班表!$C$5:$T$44,$CU38,BW$57),"")=0,"",IF(LEN(IFERROR(INDEX(醫師週班表!$C$5:$T$44,$CU38,BW$57),""))=4,MID(IFERROR(INDEX(醫師週班表!$C$5:$T$44,$CU38,BW$57),""),1+BW$58*2,1),IF(LEN(IFERROR(INDEX(醫師週班表!$C$5:$T$44,$CU38,BW$57),""))=2,IF(AND(RIGHT(IFERROR(INDEX(醫師週班表!$C$5:$T$44,$CU38,BW$57),""),1)="~",BW$58=1),"",LEFT(IFERROR(INDEX(醫師週班表!$C$5:$T$44,$CU38,BW$57),""),1)),IFERROR(INDEX(醫師週班表!$C$5:$T$44,$CU38,BW$57),""))))))</f>
        <v/>
      </c>
      <c r="BX38" s="68">
        <f>IF(BX$59="X","",IF(BX$59&lt;&gt;"",BX$59,IF(IFERROR(INDEX(醫師週班表!$C$5:$T$44,$CU38,BX$57),"")=0,"",IF(LEN(IFERROR(INDEX(醫師週班表!$C$5:$T$44,$CU38,BX$57),""))=4,MID(IFERROR(INDEX(醫師週班表!$C$5:$T$44,$CU38,BX$57),""),1+BX$58*2,1),IF(LEN(IFERROR(INDEX(醫師週班表!$C$5:$T$44,$CU38,BX$57),""))=2,IF(AND(RIGHT(IFERROR(INDEX(醫師週班表!$C$5:$T$44,$CU38,BX$57),""),1)="~",BX$58=1),"",LEFT(IFERROR(INDEX(醫師週班表!$C$5:$T$44,$CU38,BX$57),""),1)),IFERROR(INDEX(醫師週班表!$C$5:$T$44,$CU38,BX$57),""))))))</f>
        <v/>
      </c>
      <c r="BY38" s="67">
        <f>IF(BY$59="X","",IF(BY$59&lt;&gt;"",BY$59,IF(IFERROR(INDEX(醫師週班表!$C$5:$T$44,$CU38,BY$57),"")=0,"",IF(LEN(IFERROR(INDEX(醫師週班表!$C$5:$T$44,$CU38,BY$57),""))=4,MID(IFERROR(INDEX(醫師週班表!$C$5:$T$44,$CU38,BY$57),""),1+BY$58*2,1),IF(LEN(IFERROR(INDEX(醫師週班表!$C$5:$T$44,$CU38,BY$57),""))=2,IF(AND(RIGHT(IFERROR(INDEX(醫師週班表!$C$5:$T$44,$CU38,BY$57),""),1)="~",BY$58=1),"",LEFT(IFERROR(INDEX(醫師週班表!$C$5:$T$44,$CU38,BY$57),""),1)),IFERROR(INDEX(醫師週班表!$C$5:$T$44,$CU38,BY$57),""))))))</f>
        <v/>
      </c>
      <c r="BZ38" s="68">
        <f>IF(BZ$59="X","",IF(BZ$59&lt;&gt;"",BZ$59,IF(IFERROR(INDEX(醫師週班表!$C$5:$T$44,$CU38,BZ$57),"")=0,"",IF(LEN(IFERROR(INDEX(醫師週班表!$C$5:$T$44,$CU38,BZ$57),""))=4,MID(IFERROR(INDEX(醫師週班表!$C$5:$T$44,$CU38,BZ$57),""),1+BZ$58*2,1),IF(LEN(IFERROR(INDEX(醫師週班表!$C$5:$T$44,$CU38,BZ$57),""))=2,IF(AND(RIGHT(IFERROR(INDEX(醫師週班表!$C$5:$T$44,$CU38,BZ$57),""),1)="~",BZ$58=1),"",LEFT(IFERROR(INDEX(醫師週班表!$C$5:$T$44,$CU38,BZ$57),""),1)),IFERROR(INDEX(醫師週班表!$C$5:$T$44,$CU38,BZ$57),""))))))</f>
        <v/>
      </c>
      <c r="CA38" s="68">
        <f>IF(CA$59="X","",IF(CA$59&lt;&gt;"",CA$59,IF(IFERROR(INDEX(醫師週班表!$C$5:$T$44,$CU38,CA$57),"")=0,"",IF(LEN(IFERROR(INDEX(醫師週班表!$C$5:$T$44,$CU38,CA$57),""))=4,MID(IFERROR(INDEX(醫師週班表!$C$5:$T$44,$CU38,CA$57),""),1+CA$58*2,1),IF(LEN(IFERROR(INDEX(醫師週班表!$C$5:$T$44,$CU38,CA$57),""))=2,IF(AND(RIGHT(IFERROR(INDEX(醫師週班表!$C$5:$T$44,$CU38,CA$57),""),1)="~",CA$58=1),"",LEFT(IFERROR(INDEX(醫師週班表!$C$5:$T$44,$CU38,CA$57),""),1)),IFERROR(INDEX(醫師週班表!$C$5:$T$44,$CU38,CA$57),""))))))</f>
        <v/>
      </c>
      <c r="CB38" s="67">
        <f>IF(CB$59="X","",IF(CB$59&lt;&gt;"",CB$59,IF(IFERROR(INDEX(醫師週班表!$C$5:$T$44,$CU38,CB$57),"")=0,"",IF(LEN(IFERROR(INDEX(醫師週班表!$C$5:$T$44,$CU38,CB$57),""))=4,MID(IFERROR(INDEX(醫師週班表!$C$5:$T$44,$CU38,CB$57),""),1+CB$58*2,1),IF(LEN(IFERROR(INDEX(醫師週班表!$C$5:$T$44,$CU38,CB$57),""))=2,IF(AND(RIGHT(IFERROR(INDEX(醫師週班表!$C$5:$T$44,$CU38,CB$57),""),1)="~",CB$58=1),"",LEFT(IFERROR(INDEX(醫師週班表!$C$5:$T$44,$CU38,CB$57),""),1)),IFERROR(INDEX(醫師週班表!$C$5:$T$44,$CU38,CB$57),""))))))</f>
        <v/>
      </c>
      <c r="CC38" s="68">
        <f>IF(CC$59="X","",IF(CC$59&lt;&gt;"",CC$59,IF(IFERROR(INDEX(醫師週班表!$C$5:$T$44,$CU38,CC$57),"")=0,"",IF(LEN(IFERROR(INDEX(醫師週班表!$C$5:$T$44,$CU38,CC$57),""))=4,MID(IFERROR(INDEX(醫師週班表!$C$5:$T$44,$CU38,CC$57),""),1+CC$58*2,1),IF(LEN(IFERROR(INDEX(醫師週班表!$C$5:$T$44,$CU38,CC$57),""))=2,IF(AND(RIGHT(IFERROR(INDEX(醫師週班表!$C$5:$T$44,$CU38,CC$57),""),1)="~",CC$58=1),"",LEFT(IFERROR(INDEX(醫師週班表!$C$5:$T$44,$CU38,CC$57),""),1)),IFERROR(INDEX(醫師週班表!$C$5:$T$44,$CU38,CC$57),""))))))</f>
        <v/>
      </c>
      <c r="CD38" s="68">
        <f>IF(CD$59="X","",IF(CD$59&lt;&gt;"",CD$59,IF(IFERROR(INDEX(醫師週班表!$C$5:$T$44,$CU38,CD$57),"")=0,"",IF(LEN(IFERROR(INDEX(醫師週班表!$C$5:$T$44,$CU38,CD$57),""))=4,MID(IFERROR(INDEX(醫師週班表!$C$5:$T$44,$CU38,CD$57),""),1+CD$58*2,1),IF(LEN(IFERROR(INDEX(醫師週班表!$C$5:$T$44,$CU38,CD$57),""))=2,IF(AND(RIGHT(IFERROR(INDEX(醫師週班表!$C$5:$T$44,$CU38,CD$57),""),1)="~",CD$58=1),"",LEFT(IFERROR(INDEX(醫師週班表!$C$5:$T$44,$CU38,CD$57),""),1)),IFERROR(INDEX(醫師週班表!$C$5:$T$44,$CU38,CD$57),""))))))</f>
        <v/>
      </c>
      <c r="CE38" s="67">
        <f>IF(CE$59="X","",IF(CE$59&lt;&gt;"",CE$59,IF(IFERROR(INDEX(醫師週班表!$C$5:$T$44,$CU38,CE$57),"")=0,"",IF(LEN(IFERROR(INDEX(醫師週班表!$C$5:$T$44,$CU38,CE$57),""))=4,MID(IFERROR(INDEX(醫師週班表!$C$5:$T$44,$CU38,CE$57),""),1+CE$58*2,1),IF(LEN(IFERROR(INDEX(醫師週班表!$C$5:$T$44,$CU38,CE$57),""))=2,IF(AND(RIGHT(IFERROR(INDEX(醫師週班表!$C$5:$T$44,$CU38,CE$57),""),1)="~",CE$58=1),"",LEFT(IFERROR(INDEX(醫師週班表!$C$5:$T$44,$CU38,CE$57),""),1)),IFERROR(INDEX(醫師週班表!$C$5:$T$44,$CU38,CE$57),""))))))</f>
        <v/>
      </c>
      <c r="CF38" s="68">
        <f>IF(CF$59="X","",IF(CF$59&lt;&gt;"",CF$59,IF(IFERROR(INDEX(醫師週班表!$C$5:$T$44,$CU38,CF$57),"")=0,"",IF(LEN(IFERROR(INDEX(醫師週班表!$C$5:$T$44,$CU38,CF$57),""))=4,MID(IFERROR(INDEX(醫師週班表!$C$5:$T$44,$CU38,CF$57),""),1+CF$58*2,1),IF(LEN(IFERROR(INDEX(醫師週班表!$C$5:$T$44,$CU38,CF$57),""))=2,IF(AND(RIGHT(IFERROR(INDEX(醫師週班表!$C$5:$T$44,$CU38,CF$57),""),1)="~",CF$58=1),"",LEFT(IFERROR(INDEX(醫師週班表!$C$5:$T$44,$CU38,CF$57),""),1)),IFERROR(INDEX(醫師週班表!$C$5:$T$44,$CU38,CF$57),""))))))</f>
        <v/>
      </c>
      <c r="CG38" s="68">
        <f>IF(CG$59="X","",IF(CG$59&lt;&gt;"",CG$59,IF(IFERROR(INDEX(醫師週班表!$C$5:$T$44,$CU38,CG$57),"")=0,"",IF(LEN(IFERROR(INDEX(醫師週班表!$C$5:$T$44,$CU38,CG$57),""))=4,MID(IFERROR(INDEX(醫師週班表!$C$5:$T$44,$CU38,CG$57),""),1+CG$58*2,1),IF(LEN(IFERROR(INDEX(醫師週班表!$C$5:$T$44,$CU38,CG$57),""))=2,IF(AND(RIGHT(IFERROR(INDEX(醫師週班表!$C$5:$T$44,$CU38,CG$57),""),1)="~",CG$58=1),"",LEFT(IFERROR(INDEX(醫師週班表!$C$5:$T$44,$CU38,CG$57),""),1)),IFERROR(INDEX(醫師週班表!$C$5:$T$44,$CU38,CG$57),""))))))</f>
        <v/>
      </c>
      <c r="CH38" s="67">
        <f>IF(CH$59="X","",IF(CH$59&lt;&gt;"",CH$59,IF(IFERROR(INDEX(醫師週班表!$C$5:$T$44,$CU38,CH$57),"")=0,"",IF(LEN(IFERROR(INDEX(醫師週班表!$C$5:$T$44,$CU38,CH$57),""))=4,MID(IFERROR(INDEX(醫師週班表!$C$5:$T$44,$CU38,CH$57),""),1+CH$58*2,1),IF(LEN(IFERROR(INDEX(醫師週班表!$C$5:$T$44,$CU38,CH$57),""))=2,IF(AND(RIGHT(IFERROR(INDEX(醫師週班表!$C$5:$T$44,$CU38,CH$57),""),1)="~",CH$58=1),"",LEFT(IFERROR(INDEX(醫師週班表!$C$5:$T$44,$CU38,CH$57),""),1)),IFERROR(INDEX(醫師週班表!$C$5:$T$44,$CU38,CH$57),""))))))</f>
        <v/>
      </c>
      <c r="CI38" s="68">
        <f>IF(CI$59="X","",IF(CI$59&lt;&gt;"",CI$59,IF(IFERROR(INDEX(醫師週班表!$C$5:$T$44,$CU38,CI$57),"")=0,"",IF(LEN(IFERROR(INDEX(醫師週班表!$C$5:$T$44,$CU38,CI$57),""))=4,MID(IFERROR(INDEX(醫師週班表!$C$5:$T$44,$CU38,CI$57),""),1+CI$58*2,1),IF(LEN(IFERROR(INDEX(醫師週班表!$C$5:$T$44,$CU38,CI$57),""))=2,IF(AND(RIGHT(IFERROR(INDEX(醫師週班表!$C$5:$T$44,$CU38,CI$57),""),1)="~",CI$58=1),"",LEFT(IFERROR(INDEX(醫師週班表!$C$5:$T$44,$CU38,CI$57),""),1)),IFERROR(INDEX(醫師週班表!$C$5:$T$44,$CU38,CI$57),""))))))</f>
        <v/>
      </c>
      <c r="CJ38" s="68">
        <f>IF(CJ$59="X","",IF(CJ$59&lt;&gt;"",CJ$59,IF(IFERROR(INDEX(醫師週班表!$C$5:$T$44,$CU38,CJ$57),"")=0,"",IF(LEN(IFERROR(INDEX(醫師週班表!$C$5:$T$44,$CU38,CJ$57),""))=4,MID(IFERROR(INDEX(醫師週班表!$C$5:$T$44,$CU38,CJ$57),""),1+CJ$58*2,1),IF(LEN(IFERROR(INDEX(醫師週班表!$C$5:$T$44,$CU38,CJ$57),""))=2,IF(AND(RIGHT(IFERROR(INDEX(醫師週班表!$C$5:$T$44,$CU38,CJ$57),""),1)="~",CJ$58=1),"",LEFT(IFERROR(INDEX(醫師週班表!$C$5:$T$44,$CU38,CJ$57),""),1)),IFERROR(INDEX(醫師週班表!$C$5:$T$44,$CU38,CJ$57),""))))))</f>
        <v/>
      </c>
      <c r="CK38" s="67">
        <f>IF(CK$59="X","",IF(CK$59&lt;&gt;"",CK$59,IF(IFERROR(INDEX(醫師週班表!$C$5:$T$44,$CU38,CK$57),"")=0,"",IF(LEN(IFERROR(INDEX(醫師週班表!$C$5:$T$44,$CU38,CK$57),""))=4,MID(IFERROR(INDEX(醫師週班表!$C$5:$T$44,$CU38,CK$57),""),1+CK$58*2,1),IF(LEN(IFERROR(INDEX(醫師週班表!$C$5:$T$44,$CU38,CK$57),""))=2,IF(AND(RIGHT(IFERROR(INDEX(醫師週班表!$C$5:$T$44,$CU38,CK$57),""),1)="~",CK$58=1),"",LEFT(IFERROR(INDEX(醫師週班表!$C$5:$T$44,$CU38,CK$57),""),1)),IFERROR(INDEX(醫師週班表!$C$5:$T$44,$CU38,CK$57),""))))))</f>
        <v/>
      </c>
      <c r="CL38" s="68">
        <f>IF(CL$59="X","",IF(CL$59&lt;&gt;"",CL$59,IF(IFERROR(INDEX(醫師週班表!$C$5:$T$44,$CU38,CL$57),"")=0,"",IF(LEN(IFERROR(INDEX(醫師週班表!$C$5:$T$44,$CU38,CL$57),""))=4,MID(IFERROR(INDEX(醫師週班表!$C$5:$T$44,$CU38,CL$57),""),1+CL$58*2,1),IF(LEN(IFERROR(INDEX(醫師週班表!$C$5:$T$44,$CU38,CL$57),""))=2,IF(AND(RIGHT(IFERROR(INDEX(醫師週班表!$C$5:$T$44,$CU38,CL$57),""),1)="~",CL$58=1),"",LEFT(IFERROR(INDEX(醫師週班表!$C$5:$T$44,$CU38,CL$57),""),1)),IFERROR(INDEX(醫師週班表!$C$5:$T$44,$CU38,CL$57),""))))))</f>
        <v/>
      </c>
      <c r="CM38" s="68">
        <f>IF(CM$59="X","",IF(CM$59&lt;&gt;"",CM$59,IF(IFERROR(INDEX(醫師週班表!$C$5:$T$44,$CU38,CM$57),"")=0,"",IF(LEN(IFERROR(INDEX(醫師週班表!$C$5:$T$44,$CU38,CM$57),""))=4,MID(IFERROR(INDEX(醫師週班表!$C$5:$T$44,$CU38,CM$57),""),1+CM$58*2,1),IF(LEN(IFERROR(INDEX(醫師週班表!$C$5:$T$44,$CU38,CM$57),""))=2,IF(AND(RIGHT(IFERROR(INDEX(醫師週班表!$C$5:$T$44,$CU38,CM$57),""),1)="~",CM$58=1),"",LEFT(IFERROR(INDEX(醫師週班表!$C$5:$T$44,$CU38,CM$57),""),1)),IFERROR(INDEX(醫師週班表!$C$5:$T$44,$CU38,CM$57),""))))))</f>
        <v/>
      </c>
      <c r="CN38" s="67">
        <f>IF(CN$59="X","",IF(CN$59&lt;&gt;"",CN$59,IF(IFERROR(INDEX(醫師週班表!$C$5:$T$44,$CU38,CN$57),"")=0,"",IF(LEN(IFERROR(INDEX(醫師週班表!$C$5:$T$44,$CU38,CN$57),""))=4,MID(IFERROR(INDEX(醫師週班表!$C$5:$T$44,$CU38,CN$57),""),1+CN$58*2,1),IF(LEN(IFERROR(INDEX(醫師週班表!$C$5:$T$44,$CU38,CN$57),""))=2,IF(AND(RIGHT(IFERROR(INDEX(醫師週班表!$C$5:$T$44,$CU38,CN$57),""),1)="~",CN$58=1),"",LEFT(IFERROR(INDEX(醫師週班表!$C$5:$T$44,$CU38,CN$57),""),1)),IFERROR(INDEX(醫師週班表!$C$5:$T$44,$CU38,CN$57),""))))))</f>
        <v/>
      </c>
      <c r="CO38" s="68">
        <f>IF(CO$59="X","",IF(CO$59&lt;&gt;"",CO$59,IF(IFERROR(INDEX(醫師週班表!$C$5:$T$44,$CU38,CO$57),"")=0,"",IF(LEN(IFERROR(INDEX(醫師週班表!$C$5:$T$44,$CU38,CO$57),""))=4,MID(IFERROR(INDEX(醫師週班表!$C$5:$T$44,$CU38,CO$57),""),1+CO$58*2,1),IF(LEN(IFERROR(INDEX(醫師週班表!$C$5:$T$44,$CU38,CO$57),""))=2,IF(AND(RIGHT(IFERROR(INDEX(醫師週班表!$C$5:$T$44,$CU38,CO$57),""),1)="~",CO$58=1),"",LEFT(IFERROR(INDEX(醫師週班表!$C$5:$T$44,$CU38,CO$57),""),1)),IFERROR(INDEX(醫師週班表!$C$5:$T$44,$CU38,CO$57),""))))))</f>
        <v/>
      </c>
      <c r="CP38" s="68">
        <f>IF(CP$59="X","",IF(CP$59&lt;&gt;"",CP$59,IF(IFERROR(INDEX(醫師週班表!$C$5:$T$44,$CU38,CP$57),"")=0,"",IF(LEN(IFERROR(INDEX(醫師週班表!$C$5:$T$44,$CU38,CP$57),""))=4,MID(IFERROR(INDEX(醫師週班表!$C$5:$T$44,$CU38,CP$57),""),1+CP$58*2,1),IF(LEN(IFERROR(INDEX(醫師週班表!$C$5:$T$44,$CU38,CP$57),""))=2,IF(AND(RIGHT(IFERROR(INDEX(醫師週班表!$C$5:$T$44,$CU38,CP$57),""),1)="~",CP$58=1),"",LEFT(IFERROR(INDEX(醫師週班表!$C$5:$T$44,$CU38,CP$57),""),1)),IFERROR(INDEX(醫師週班表!$C$5:$T$44,$CU38,CP$57),""))))))</f>
        <v/>
      </c>
      <c r="CQ38" s="67">
        <f>IF(CQ$59="X","",IF(CQ$59&lt;&gt;"",CQ$59,IF(IFERROR(INDEX(醫師週班表!$C$5:$T$44,$CU38,CQ$57),"")=0,"",IF(LEN(IFERROR(INDEX(醫師週班表!$C$5:$T$44,$CU38,CQ$57),""))=4,MID(IFERROR(INDEX(醫師週班表!$C$5:$T$44,$CU38,CQ$57),""),1+CQ$58*2,1),IF(LEN(IFERROR(INDEX(醫師週班表!$C$5:$T$44,$CU38,CQ$57),""))=2,IF(AND(RIGHT(IFERROR(INDEX(醫師週班表!$C$5:$T$44,$CU38,CQ$57),""),1)="~",CQ$58=1),"",LEFT(IFERROR(INDEX(醫師週班表!$C$5:$T$44,$CU38,CQ$57),""),1)),IFERROR(INDEX(醫師週班表!$C$5:$T$44,$CU38,CQ$57),""))))))</f>
        <v/>
      </c>
      <c r="CR38" s="68">
        <f>IF(CR$59="X","",IF(CR$59&lt;&gt;"",CR$59,IF(IFERROR(INDEX(醫師週班表!$C$5:$T$44,$CU38,CR$57),"")=0,"",IF(LEN(IFERROR(INDEX(醫師週班表!$C$5:$T$44,$CU38,CR$57),""))=4,MID(IFERROR(INDEX(醫師週班表!$C$5:$T$44,$CU38,CR$57),""),1+CR$58*2,1),IF(LEN(IFERROR(INDEX(醫師週班表!$C$5:$T$44,$CU38,CR$57),""))=2,IF(AND(RIGHT(IFERROR(INDEX(醫師週班表!$C$5:$T$44,$CU38,CR$57),""),1)="~",CR$58=1),"",LEFT(IFERROR(INDEX(醫師週班表!$C$5:$T$44,$CU38,CR$57),""),1)),IFERROR(INDEX(醫師週班表!$C$5:$T$44,$CU38,CR$57),""))))))</f>
        <v/>
      </c>
      <c r="CS38" s="68">
        <f>IF(CS$59="X","",IF(CS$59&lt;&gt;"",CS$59,IF(IFERROR(INDEX(醫師週班表!$C$5:$T$44,$CU38,CS$57),"")=0,"",IF(LEN(IFERROR(INDEX(醫師週班表!$C$5:$T$44,$CU38,CS$57),""))=4,MID(IFERROR(INDEX(醫師週班表!$C$5:$T$44,$CU38,CS$57),""),1+CS$58*2,1),IF(LEN(IFERROR(INDEX(醫師週班表!$C$5:$T$44,$CU38,CS$57),""))=2,IF(AND(RIGHT(IFERROR(INDEX(醫師週班表!$C$5:$T$44,$CU38,CS$57),""),1)="~",CS$58=1),"",LEFT(IFERROR(INDEX(醫師週班表!$C$5:$T$44,$CU38,CS$57),""),1)),IFERROR(INDEX(醫師週班表!$C$5:$T$44,$CU38,CS$57),""))))))</f>
        <v/>
      </c>
      <c r="CU38" s="69">
        <f>IFERROR(MATCH($A38,醫師週班表!$A$5:$A$44,0),0)</f>
        <v/>
      </c>
    </row>
    <row r="39" ht="17" customHeight="1">
      <c r="A39" s="20" t="n"/>
      <c r="B39" s="16">
        <f>IFERROR(INDEX(設定!$C$57:$C$196,MATCH($A39,設定!$B$57:$B$196,0)),"")</f>
        <v/>
      </c>
      <c r="C39" s="66">
        <f>IFERROR(INDEX(設定!$E$57:$E$196,MATCH($A39,設定!$B$57:$B$196,0)),"")</f>
        <v/>
      </c>
      <c r="D39" s="16">
        <f>IFERROR(INDEX(設定!$F$57:$F$196,MATCH($A39,設定!$B$57:$B$196,0)),"")</f>
        <v/>
      </c>
      <c r="E39" s="67">
        <f>IF(E$59="X","",IF(E$59&lt;&gt;"",E$59,IF(IFERROR(INDEX(醫師週班表!$C$5:$T$44,$CU39,E$57),"")=0,"",IF(LEN(IFERROR(INDEX(醫師週班表!$C$5:$T$44,$CU39,E$57),""))=4,MID(IFERROR(INDEX(醫師週班表!$C$5:$T$44,$CU39,E$57),""),1+E$58*2,1),IF(LEN(IFERROR(INDEX(醫師週班表!$C$5:$T$44,$CU39,E$57),""))=2,IF(AND(RIGHT(IFERROR(INDEX(醫師週班表!$C$5:$T$44,$CU39,E$57),""),1)="~",E$58=1),"",LEFT(IFERROR(INDEX(醫師週班表!$C$5:$T$44,$CU39,E$57),""),1)),IFERROR(INDEX(醫師週班表!$C$5:$T$44,$CU39,E$57),""))))))</f>
        <v/>
      </c>
      <c r="F39" s="68">
        <f>IF(F$59="X","",IF(F$59&lt;&gt;"",F$59,IF(IFERROR(INDEX(醫師週班表!$C$5:$T$44,$CU39,F$57),"")=0,"",IF(LEN(IFERROR(INDEX(醫師週班表!$C$5:$T$44,$CU39,F$57),""))=4,MID(IFERROR(INDEX(醫師週班表!$C$5:$T$44,$CU39,F$57),""),1+F$58*2,1),IF(LEN(IFERROR(INDEX(醫師週班表!$C$5:$T$44,$CU39,F$57),""))=2,IF(AND(RIGHT(IFERROR(INDEX(醫師週班表!$C$5:$T$44,$CU39,F$57),""),1)="~",F$58=1),"",LEFT(IFERROR(INDEX(醫師週班表!$C$5:$T$44,$CU39,F$57),""),1)),IFERROR(INDEX(醫師週班表!$C$5:$T$44,$CU39,F$57),""))))))</f>
        <v/>
      </c>
      <c r="G39" s="68">
        <f>IF(G$59="X","",IF(G$59&lt;&gt;"",G$59,IF(IFERROR(INDEX(醫師週班表!$C$5:$T$44,$CU39,G$57),"")=0,"",IF(LEN(IFERROR(INDEX(醫師週班表!$C$5:$T$44,$CU39,G$57),""))=4,MID(IFERROR(INDEX(醫師週班表!$C$5:$T$44,$CU39,G$57),""),1+G$58*2,1),IF(LEN(IFERROR(INDEX(醫師週班表!$C$5:$T$44,$CU39,G$57),""))=2,IF(AND(RIGHT(IFERROR(INDEX(醫師週班表!$C$5:$T$44,$CU39,G$57),""),1)="~",G$58=1),"",LEFT(IFERROR(INDEX(醫師週班表!$C$5:$T$44,$CU39,G$57),""),1)),IFERROR(INDEX(醫師週班表!$C$5:$T$44,$CU39,G$57),""))))))</f>
        <v/>
      </c>
      <c r="H39" s="67">
        <f>IF(H$59="X","",IF(H$59&lt;&gt;"",H$59,IF(IFERROR(INDEX(醫師週班表!$C$5:$T$44,$CU39,H$57),"")=0,"",IF(LEN(IFERROR(INDEX(醫師週班表!$C$5:$T$44,$CU39,H$57),""))=4,MID(IFERROR(INDEX(醫師週班表!$C$5:$T$44,$CU39,H$57),""),1+H$58*2,1),IF(LEN(IFERROR(INDEX(醫師週班表!$C$5:$T$44,$CU39,H$57),""))=2,IF(AND(RIGHT(IFERROR(INDEX(醫師週班表!$C$5:$T$44,$CU39,H$57),""),1)="~",H$58=1),"",LEFT(IFERROR(INDEX(醫師週班表!$C$5:$T$44,$CU39,H$57),""),1)),IFERROR(INDEX(醫師週班表!$C$5:$T$44,$CU39,H$57),""))))))</f>
        <v/>
      </c>
      <c r="I39" s="68">
        <f>IF(I$59="X","",IF(I$59&lt;&gt;"",I$59,IF(IFERROR(INDEX(醫師週班表!$C$5:$T$44,$CU39,I$57),"")=0,"",IF(LEN(IFERROR(INDEX(醫師週班表!$C$5:$T$44,$CU39,I$57),""))=4,MID(IFERROR(INDEX(醫師週班表!$C$5:$T$44,$CU39,I$57),""),1+I$58*2,1),IF(LEN(IFERROR(INDEX(醫師週班表!$C$5:$T$44,$CU39,I$57),""))=2,IF(AND(RIGHT(IFERROR(INDEX(醫師週班表!$C$5:$T$44,$CU39,I$57),""),1)="~",I$58=1),"",LEFT(IFERROR(INDEX(醫師週班表!$C$5:$T$44,$CU39,I$57),""),1)),IFERROR(INDEX(醫師週班表!$C$5:$T$44,$CU39,I$57),""))))))</f>
        <v/>
      </c>
      <c r="J39" s="68">
        <f>IF(J$59="X","",IF(J$59&lt;&gt;"",J$59,IF(IFERROR(INDEX(醫師週班表!$C$5:$T$44,$CU39,J$57),"")=0,"",IF(LEN(IFERROR(INDEX(醫師週班表!$C$5:$T$44,$CU39,J$57),""))=4,MID(IFERROR(INDEX(醫師週班表!$C$5:$T$44,$CU39,J$57),""),1+J$58*2,1),IF(LEN(IFERROR(INDEX(醫師週班表!$C$5:$T$44,$CU39,J$57),""))=2,IF(AND(RIGHT(IFERROR(INDEX(醫師週班表!$C$5:$T$44,$CU39,J$57),""),1)="~",J$58=1),"",LEFT(IFERROR(INDEX(醫師週班表!$C$5:$T$44,$CU39,J$57),""),1)),IFERROR(INDEX(醫師週班表!$C$5:$T$44,$CU39,J$57),""))))))</f>
        <v/>
      </c>
      <c r="K39" s="67">
        <f>IF(K$59="X","",IF(K$59&lt;&gt;"",K$59,IF(IFERROR(INDEX(醫師週班表!$C$5:$T$44,$CU39,K$57),"")=0,"",IF(LEN(IFERROR(INDEX(醫師週班表!$C$5:$T$44,$CU39,K$57),""))=4,MID(IFERROR(INDEX(醫師週班表!$C$5:$T$44,$CU39,K$57),""),1+K$58*2,1),IF(LEN(IFERROR(INDEX(醫師週班表!$C$5:$T$44,$CU39,K$57),""))=2,IF(AND(RIGHT(IFERROR(INDEX(醫師週班表!$C$5:$T$44,$CU39,K$57),""),1)="~",K$58=1),"",LEFT(IFERROR(INDEX(醫師週班表!$C$5:$T$44,$CU39,K$57),""),1)),IFERROR(INDEX(醫師週班表!$C$5:$T$44,$CU39,K$57),""))))))</f>
        <v/>
      </c>
      <c r="L39" s="68">
        <f>IF(L$59="X","",IF(L$59&lt;&gt;"",L$59,IF(IFERROR(INDEX(醫師週班表!$C$5:$T$44,$CU39,L$57),"")=0,"",IF(LEN(IFERROR(INDEX(醫師週班表!$C$5:$T$44,$CU39,L$57),""))=4,MID(IFERROR(INDEX(醫師週班表!$C$5:$T$44,$CU39,L$57),""),1+L$58*2,1),IF(LEN(IFERROR(INDEX(醫師週班表!$C$5:$T$44,$CU39,L$57),""))=2,IF(AND(RIGHT(IFERROR(INDEX(醫師週班表!$C$5:$T$44,$CU39,L$57),""),1)="~",L$58=1),"",LEFT(IFERROR(INDEX(醫師週班表!$C$5:$T$44,$CU39,L$57),""),1)),IFERROR(INDEX(醫師週班表!$C$5:$T$44,$CU39,L$57),""))))))</f>
        <v/>
      </c>
      <c r="M39" s="68">
        <f>IF(M$59="X","",IF(M$59&lt;&gt;"",M$59,IF(IFERROR(INDEX(醫師週班表!$C$5:$T$44,$CU39,M$57),"")=0,"",IF(LEN(IFERROR(INDEX(醫師週班表!$C$5:$T$44,$CU39,M$57),""))=4,MID(IFERROR(INDEX(醫師週班表!$C$5:$T$44,$CU39,M$57),""),1+M$58*2,1),IF(LEN(IFERROR(INDEX(醫師週班表!$C$5:$T$44,$CU39,M$57),""))=2,IF(AND(RIGHT(IFERROR(INDEX(醫師週班表!$C$5:$T$44,$CU39,M$57),""),1)="~",M$58=1),"",LEFT(IFERROR(INDEX(醫師週班表!$C$5:$T$44,$CU39,M$57),""),1)),IFERROR(INDEX(醫師週班表!$C$5:$T$44,$CU39,M$57),""))))))</f>
        <v/>
      </c>
      <c r="N39" s="67">
        <f>IF(N$59="X","",IF(N$59&lt;&gt;"",N$59,IF(IFERROR(INDEX(醫師週班表!$C$5:$T$44,$CU39,N$57),"")=0,"",IF(LEN(IFERROR(INDEX(醫師週班表!$C$5:$T$44,$CU39,N$57),""))=4,MID(IFERROR(INDEX(醫師週班表!$C$5:$T$44,$CU39,N$57),""),1+N$58*2,1),IF(LEN(IFERROR(INDEX(醫師週班表!$C$5:$T$44,$CU39,N$57),""))=2,IF(AND(RIGHT(IFERROR(INDEX(醫師週班表!$C$5:$T$44,$CU39,N$57),""),1)="~",N$58=1),"",LEFT(IFERROR(INDEX(醫師週班表!$C$5:$T$44,$CU39,N$57),""),1)),IFERROR(INDEX(醫師週班表!$C$5:$T$44,$CU39,N$57),""))))))</f>
        <v/>
      </c>
      <c r="O39" s="68">
        <f>IF(O$59="X","",IF(O$59&lt;&gt;"",O$59,IF(IFERROR(INDEX(醫師週班表!$C$5:$T$44,$CU39,O$57),"")=0,"",IF(LEN(IFERROR(INDEX(醫師週班表!$C$5:$T$44,$CU39,O$57),""))=4,MID(IFERROR(INDEX(醫師週班表!$C$5:$T$44,$CU39,O$57),""),1+O$58*2,1),IF(LEN(IFERROR(INDEX(醫師週班表!$C$5:$T$44,$CU39,O$57),""))=2,IF(AND(RIGHT(IFERROR(INDEX(醫師週班表!$C$5:$T$44,$CU39,O$57),""),1)="~",O$58=1),"",LEFT(IFERROR(INDEX(醫師週班表!$C$5:$T$44,$CU39,O$57),""),1)),IFERROR(INDEX(醫師週班表!$C$5:$T$44,$CU39,O$57),""))))))</f>
        <v/>
      </c>
      <c r="P39" s="68">
        <f>IF(P$59="X","",IF(P$59&lt;&gt;"",P$59,IF(IFERROR(INDEX(醫師週班表!$C$5:$T$44,$CU39,P$57),"")=0,"",IF(LEN(IFERROR(INDEX(醫師週班表!$C$5:$T$44,$CU39,P$57),""))=4,MID(IFERROR(INDEX(醫師週班表!$C$5:$T$44,$CU39,P$57),""),1+P$58*2,1),IF(LEN(IFERROR(INDEX(醫師週班表!$C$5:$T$44,$CU39,P$57),""))=2,IF(AND(RIGHT(IFERROR(INDEX(醫師週班表!$C$5:$T$44,$CU39,P$57),""),1)="~",P$58=1),"",LEFT(IFERROR(INDEX(醫師週班表!$C$5:$T$44,$CU39,P$57),""),1)),IFERROR(INDEX(醫師週班表!$C$5:$T$44,$CU39,P$57),""))))))</f>
        <v/>
      </c>
      <c r="Q39" s="67">
        <f>IF(Q$59="X","",IF(Q$59&lt;&gt;"",Q$59,IF(IFERROR(INDEX(醫師週班表!$C$5:$T$44,$CU39,Q$57),"")=0,"",IF(LEN(IFERROR(INDEX(醫師週班表!$C$5:$T$44,$CU39,Q$57),""))=4,MID(IFERROR(INDEX(醫師週班表!$C$5:$T$44,$CU39,Q$57),""),1+Q$58*2,1),IF(LEN(IFERROR(INDEX(醫師週班表!$C$5:$T$44,$CU39,Q$57),""))=2,IF(AND(RIGHT(IFERROR(INDEX(醫師週班表!$C$5:$T$44,$CU39,Q$57),""),1)="~",Q$58=1),"",LEFT(IFERROR(INDEX(醫師週班表!$C$5:$T$44,$CU39,Q$57),""),1)),IFERROR(INDEX(醫師週班表!$C$5:$T$44,$CU39,Q$57),""))))))</f>
        <v/>
      </c>
      <c r="R39" s="68">
        <f>IF(R$59="X","",IF(R$59&lt;&gt;"",R$59,IF(IFERROR(INDEX(醫師週班表!$C$5:$T$44,$CU39,R$57),"")=0,"",IF(LEN(IFERROR(INDEX(醫師週班表!$C$5:$T$44,$CU39,R$57),""))=4,MID(IFERROR(INDEX(醫師週班表!$C$5:$T$44,$CU39,R$57),""),1+R$58*2,1),IF(LEN(IFERROR(INDEX(醫師週班表!$C$5:$T$44,$CU39,R$57),""))=2,IF(AND(RIGHT(IFERROR(INDEX(醫師週班表!$C$5:$T$44,$CU39,R$57),""),1)="~",R$58=1),"",LEFT(IFERROR(INDEX(醫師週班表!$C$5:$T$44,$CU39,R$57),""),1)),IFERROR(INDEX(醫師週班表!$C$5:$T$44,$CU39,R$57),""))))))</f>
        <v/>
      </c>
      <c r="S39" s="68">
        <f>IF(S$59="X","",IF(S$59&lt;&gt;"",S$59,IF(IFERROR(INDEX(醫師週班表!$C$5:$T$44,$CU39,S$57),"")=0,"",IF(LEN(IFERROR(INDEX(醫師週班表!$C$5:$T$44,$CU39,S$57),""))=4,MID(IFERROR(INDEX(醫師週班表!$C$5:$T$44,$CU39,S$57),""),1+S$58*2,1),IF(LEN(IFERROR(INDEX(醫師週班表!$C$5:$T$44,$CU39,S$57),""))=2,IF(AND(RIGHT(IFERROR(INDEX(醫師週班表!$C$5:$T$44,$CU39,S$57),""),1)="~",S$58=1),"",LEFT(IFERROR(INDEX(醫師週班表!$C$5:$T$44,$CU39,S$57),""),1)),IFERROR(INDEX(醫師週班表!$C$5:$T$44,$CU39,S$57),""))))))</f>
        <v/>
      </c>
      <c r="T39" s="67">
        <f>IF(T$59="X","",IF(T$59&lt;&gt;"",T$59,IF(IFERROR(INDEX(醫師週班表!$C$5:$T$44,$CU39,T$57),"")=0,"",IF(LEN(IFERROR(INDEX(醫師週班表!$C$5:$T$44,$CU39,T$57),""))=4,MID(IFERROR(INDEX(醫師週班表!$C$5:$T$44,$CU39,T$57),""),1+T$58*2,1),IF(LEN(IFERROR(INDEX(醫師週班表!$C$5:$T$44,$CU39,T$57),""))=2,IF(AND(RIGHT(IFERROR(INDEX(醫師週班表!$C$5:$T$44,$CU39,T$57),""),1)="~",T$58=1),"",LEFT(IFERROR(INDEX(醫師週班表!$C$5:$T$44,$CU39,T$57),""),1)),IFERROR(INDEX(醫師週班表!$C$5:$T$44,$CU39,T$57),""))))))</f>
        <v/>
      </c>
      <c r="U39" s="68">
        <f>IF(U$59="X","",IF(U$59&lt;&gt;"",U$59,IF(IFERROR(INDEX(醫師週班表!$C$5:$T$44,$CU39,U$57),"")=0,"",IF(LEN(IFERROR(INDEX(醫師週班表!$C$5:$T$44,$CU39,U$57),""))=4,MID(IFERROR(INDEX(醫師週班表!$C$5:$T$44,$CU39,U$57),""),1+U$58*2,1),IF(LEN(IFERROR(INDEX(醫師週班表!$C$5:$T$44,$CU39,U$57),""))=2,IF(AND(RIGHT(IFERROR(INDEX(醫師週班表!$C$5:$T$44,$CU39,U$57),""),1)="~",U$58=1),"",LEFT(IFERROR(INDEX(醫師週班表!$C$5:$T$44,$CU39,U$57),""),1)),IFERROR(INDEX(醫師週班表!$C$5:$T$44,$CU39,U$57),""))))))</f>
        <v/>
      </c>
      <c r="V39" s="68">
        <f>IF(V$59="X","",IF(V$59&lt;&gt;"",V$59,IF(IFERROR(INDEX(醫師週班表!$C$5:$T$44,$CU39,V$57),"")=0,"",IF(LEN(IFERROR(INDEX(醫師週班表!$C$5:$T$44,$CU39,V$57),""))=4,MID(IFERROR(INDEX(醫師週班表!$C$5:$T$44,$CU39,V$57),""),1+V$58*2,1),IF(LEN(IFERROR(INDEX(醫師週班表!$C$5:$T$44,$CU39,V$57),""))=2,IF(AND(RIGHT(IFERROR(INDEX(醫師週班表!$C$5:$T$44,$CU39,V$57),""),1)="~",V$58=1),"",LEFT(IFERROR(INDEX(醫師週班表!$C$5:$T$44,$CU39,V$57),""),1)),IFERROR(INDEX(醫師週班表!$C$5:$T$44,$CU39,V$57),""))))))</f>
        <v/>
      </c>
      <c r="W39" s="67">
        <f>IF(W$59="X","",IF(W$59&lt;&gt;"",W$59,IF(IFERROR(INDEX(醫師週班表!$C$5:$T$44,$CU39,W$57),"")=0,"",IF(LEN(IFERROR(INDEX(醫師週班表!$C$5:$T$44,$CU39,W$57),""))=4,MID(IFERROR(INDEX(醫師週班表!$C$5:$T$44,$CU39,W$57),""),1+W$58*2,1),IF(LEN(IFERROR(INDEX(醫師週班表!$C$5:$T$44,$CU39,W$57),""))=2,IF(AND(RIGHT(IFERROR(INDEX(醫師週班表!$C$5:$T$44,$CU39,W$57),""),1)="~",W$58=1),"",LEFT(IFERROR(INDEX(醫師週班表!$C$5:$T$44,$CU39,W$57),""),1)),IFERROR(INDEX(醫師週班表!$C$5:$T$44,$CU39,W$57),""))))))</f>
        <v/>
      </c>
      <c r="X39" s="68">
        <f>IF(X$59="X","",IF(X$59&lt;&gt;"",X$59,IF(IFERROR(INDEX(醫師週班表!$C$5:$T$44,$CU39,X$57),"")=0,"",IF(LEN(IFERROR(INDEX(醫師週班表!$C$5:$T$44,$CU39,X$57),""))=4,MID(IFERROR(INDEX(醫師週班表!$C$5:$T$44,$CU39,X$57),""),1+X$58*2,1),IF(LEN(IFERROR(INDEX(醫師週班表!$C$5:$T$44,$CU39,X$57),""))=2,IF(AND(RIGHT(IFERROR(INDEX(醫師週班表!$C$5:$T$44,$CU39,X$57),""),1)="~",X$58=1),"",LEFT(IFERROR(INDEX(醫師週班表!$C$5:$T$44,$CU39,X$57),""),1)),IFERROR(INDEX(醫師週班表!$C$5:$T$44,$CU39,X$57),""))))))</f>
        <v/>
      </c>
      <c r="Y39" s="68">
        <f>IF(Y$59="X","",IF(Y$59&lt;&gt;"",Y$59,IF(IFERROR(INDEX(醫師週班表!$C$5:$T$44,$CU39,Y$57),"")=0,"",IF(LEN(IFERROR(INDEX(醫師週班表!$C$5:$T$44,$CU39,Y$57),""))=4,MID(IFERROR(INDEX(醫師週班表!$C$5:$T$44,$CU39,Y$57),""),1+Y$58*2,1),IF(LEN(IFERROR(INDEX(醫師週班表!$C$5:$T$44,$CU39,Y$57),""))=2,IF(AND(RIGHT(IFERROR(INDEX(醫師週班表!$C$5:$T$44,$CU39,Y$57),""),1)="~",Y$58=1),"",LEFT(IFERROR(INDEX(醫師週班表!$C$5:$T$44,$CU39,Y$57),""),1)),IFERROR(INDEX(醫師週班表!$C$5:$T$44,$CU39,Y$57),""))))))</f>
        <v/>
      </c>
      <c r="Z39" s="67">
        <f>IF(Z$59="X","",IF(Z$59&lt;&gt;"",Z$59,IF(IFERROR(INDEX(醫師週班表!$C$5:$T$44,$CU39,Z$57),"")=0,"",IF(LEN(IFERROR(INDEX(醫師週班表!$C$5:$T$44,$CU39,Z$57),""))=4,MID(IFERROR(INDEX(醫師週班表!$C$5:$T$44,$CU39,Z$57),""),1+Z$58*2,1),IF(LEN(IFERROR(INDEX(醫師週班表!$C$5:$T$44,$CU39,Z$57),""))=2,IF(AND(RIGHT(IFERROR(INDEX(醫師週班表!$C$5:$T$44,$CU39,Z$57),""),1)="~",Z$58=1),"",LEFT(IFERROR(INDEX(醫師週班表!$C$5:$T$44,$CU39,Z$57),""),1)),IFERROR(INDEX(醫師週班表!$C$5:$T$44,$CU39,Z$57),""))))))</f>
        <v/>
      </c>
      <c r="AA39" s="68">
        <f>IF(AA$59="X","",IF(AA$59&lt;&gt;"",AA$59,IF(IFERROR(INDEX(醫師週班表!$C$5:$T$44,$CU39,AA$57),"")=0,"",IF(LEN(IFERROR(INDEX(醫師週班表!$C$5:$T$44,$CU39,AA$57),""))=4,MID(IFERROR(INDEX(醫師週班表!$C$5:$T$44,$CU39,AA$57),""),1+AA$58*2,1),IF(LEN(IFERROR(INDEX(醫師週班表!$C$5:$T$44,$CU39,AA$57),""))=2,IF(AND(RIGHT(IFERROR(INDEX(醫師週班表!$C$5:$T$44,$CU39,AA$57),""),1)="~",AA$58=1),"",LEFT(IFERROR(INDEX(醫師週班表!$C$5:$T$44,$CU39,AA$57),""),1)),IFERROR(INDEX(醫師週班表!$C$5:$T$44,$CU39,AA$57),""))))))</f>
        <v/>
      </c>
      <c r="AB39" s="68">
        <f>IF(AB$59="X","",IF(AB$59&lt;&gt;"",AB$59,IF(IFERROR(INDEX(醫師週班表!$C$5:$T$44,$CU39,AB$57),"")=0,"",IF(LEN(IFERROR(INDEX(醫師週班表!$C$5:$T$44,$CU39,AB$57),""))=4,MID(IFERROR(INDEX(醫師週班表!$C$5:$T$44,$CU39,AB$57),""),1+AB$58*2,1),IF(LEN(IFERROR(INDEX(醫師週班表!$C$5:$T$44,$CU39,AB$57),""))=2,IF(AND(RIGHT(IFERROR(INDEX(醫師週班表!$C$5:$T$44,$CU39,AB$57),""),1)="~",AB$58=1),"",LEFT(IFERROR(INDEX(醫師週班表!$C$5:$T$44,$CU39,AB$57),""),1)),IFERROR(INDEX(醫師週班表!$C$5:$T$44,$CU39,AB$57),""))))))</f>
        <v/>
      </c>
      <c r="AC39" s="67">
        <f>IF(AC$59="X","",IF(AC$59&lt;&gt;"",AC$59,IF(IFERROR(INDEX(醫師週班表!$C$5:$T$44,$CU39,AC$57),"")=0,"",IF(LEN(IFERROR(INDEX(醫師週班表!$C$5:$T$44,$CU39,AC$57),""))=4,MID(IFERROR(INDEX(醫師週班表!$C$5:$T$44,$CU39,AC$57),""),1+AC$58*2,1),IF(LEN(IFERROR(INDEX(醫師週班表!$C$5:$T$44,$CU39,AC$57),""))=2,IF(AND(RIGHT(IFERROR(INDEX(醫師週班表!$C$5:$T$44,$CU39,AC$57),""),1)="~",AC$58=1),"",LEFT(IFERROR(INDEX(醫師週班表!$C$5:$T$44,$CU39,AC$57),""),1)),IFERROR(INDEX(醫師週班表!$C$5:$T$44,$CU39,AC$57),""))))))</f>
        <v/>
      </c>
      <c r="AD39" s="68">
        <f>IF(AD$59="X","",IF(AD$59&lt;&gt;"",AD$59,IF(IFERROR(INDEX(醫師週班表!$C$5:$T$44,$CU39,AD$57),"")=0,"",IF(LEN(IFERROR(INDEX(醫師週班表!$C$5:$T$44,$CU39,AD$57),""))=4,MID(IFERROR(INDEX(醫師週班表!$C$5:$T$44,$CU39,AD$57),""),1+AD$58*2,1),IF(LEN(IFERROR(INDEX(醫師週班表!$C$5:$T$44,$CU39,AD$57),""))=2,IF(AND(RIGHT(IFERROR(INDEX(醫師週班表!$C$5:$T$44,$CU39,AD$57),""),1)="~",AD$58=1),"",LEFT(IFERROR(INDEX(醫師週班表!$C$5:$T$44,$CU39,AD$57),""),1)),IFERROR(INDEX(醫師週班表!$C$5:$T$44,$CU39,AD$57),""))))))</f>
        <v/>
      </c>
      <c r="AE39" s="68">
        <f>IF(AE$59="X","",IF(AE$59&lt;&gt;"",AE$59,IF(IFERROR(INDEX(醫師週班表!$C$5:$T$44,$CU39,AE$57),"")=0,"",IF(LEN(IFERROR(INDEX(醫師週班表!$C$5:$T$44,$CU39,AE$57),""))=4,MID(IFERROR(INDEX(醫師週班表!$C$5:$T$44,$CU39,AE$57),""),1+AE$58*2,1),IF(LEN(IFERROR(INDEX(醫師週班表!$C$5:$T$44,$CU39,AE$57),""))=2,IF(AND(RIGHT(IFERROR(INDEX(醫師週班表!$C$5:$T$44,$CU39,AE$57),""),1)="~",AE$58=1),"",LEFT(IFERROR(INDEX(醫師週班表!$C$5:$T$44,$CU39,AE$57),""),1)),IFERROR(INDEX(醫師週班表!$C$5:$T$44,$CU39,AE$57),""))))))</f>
        <v/>
      </c>
      <c r="AF39" s="67">
        <f>IF(AF$59="X","",IF(AF$59&lt;&gt;"",AF$59,IF(IFERROR(INDEX(醫師週班表!$C$5:$T$44,$CU39,AF$57),"")=0,"",IF(LEN(IFERROR(INDEX(醫師週班表!$C$5:$T$44,$CU39,AF$57),""))=4,MID(IFERROR(INDEX(醫師週班表!$C$5:$T$44,$CU39,AF$57),""),1+AF$58*2,1),IF(LEN(IFERROR(INDEX(醫師週班表!$C$5:$T$44,$CU39,AF$57),""))=2,IF(AND(RIGHT(IFERROR(INDEX(醫師週班表!$C$5:$T$44,$CU39,AF$57),""),1)="~",AF$58=1),"",LEFT(IFERROR(INDEX(醫師週班表!$C$5:$T$44,$CU39,AF$57),""),1)),IFERROR(INDEX(醫師週班表!$C$5:$T$44,$CU39,AF$57),""))))))</f>
        <v/>
      </c>
      <c r="AG39" s="68">
        <f>IF(AG$59="X","",IF(AG$59&lt;&gt;"",AG$59,IF(IFERROR(INDEX(醫師週班表!$C$5:$T$44,$CU39,AG$57),"")=0,"",IF(LEN(IFERROR(INDEX(醫師週班表!$C$5:$T$44,$CU39,AG$57),""))=4,MID(IFERROR(INDEX(醫師週班表!$C$5:$T$44,$CU39,AG$57),""),1+AG$58*2,1),IF(LEN(IFERROR(INDEX(醫師週班表!$C$5:$T$44,$CU39,AG$57),""))=2,IF(AND(RIGHT(IFERROR(INDEX(醫師週班表!$C$5:$T$44,$CU39,AG$57),""),1)="~",AG$58=1),"",LEFT(IFERROR(INDEX(醫師週班表!$C$5:$T$44,$CU39,AG$57),""),1)),IFERROR(INDEX(醫師週班表!$C$5:$T$44,$CU39,AG$57),""))))))</f>
        <v/>
      </c>
      <c r="AH39" s="68">
        <f>IF(AH$59="X","",IF(AH$59&lt;&gt;"",AH$59,IF(IFERROR(INDEX(醫師週班表!$C$5:$T$44,$CU39,AH$57),"")=0,"",IF(LEN(IFERROR(INDEX(醫師週班表!$C$5:$T$44,$CU39,AH$57),""))=4,MID(IFERROR(INDEX(醫師週班表!$C$5:$T$44,$CU39,AH$57),""),1+AH$58*2,1),IF(LEN(IFERROR(INDEX(醫師週班表!$C$5:$T$44,$CU39,AH$57),""))=2,IF(AND(RIGHT(IFERROR(INDEX(醫師週班表!$C$5:$T$44,$CU39,AH$57),""),1)="~",AH$58=1),"",LEFT(IFERROR(INDEX(醫師週班表!$C$5:$T$44,$CU39,AH$57),""),1)),IFERROR(INDEX(醫師週班表!$C$5:$T$44,$CU39,AH$57),""))))))</f>
        <v/>
      </c>
      <c r="AI39" s="67">
        <f>IF(AI$59="X","",IF(AI$59&lt;&gt;"",AI$59,IF(IFERROR(INDEX(醫師週班表!$C$5:$T$44,$CU39,AI$57),"")=0,"",IF(LEN(IFERROR(INDEX(醫師週班表!$C$5:$T$44,$CU39,AI$57),""))=4,MID(IFERROR(INDEX(醫師週班表!$C$5:$T$44,$CU39,AI$57),""),1+AI$58*2,1),IF(LEN(IFERROR(INDEX(醫師週班表!$C$5:$T$44,$CU39,AI$57),""))=2,IF(AND(RIGHT(IFERROR(INDEX(醫師週班表!$C$5:$T$44,$CU39,AI$57),""),1)="~",AI$58=1),"",LEFT(IFERROR(INDEX(醫師週班表!$C$5:$T$44,$CU39,AI$57),""),1)),IFERROR(INDEX(醫師週班表!$C$5:$T$44,$CU39,AI$57),""))))))</f>
        <v/>
      </c>
      <c r="AJ39" s="68">
        <f>IF(AJ$59="X","",IF(AJ$59&lt;&gt;"",AJ$59,IF(IFERROR(INDEX(醫師週班表!$C$5:$T$44,$CU39,AJ$57),"")=0,"",IF(LEN(IFERROR(INDEX(醫師週班表!$C$5:$T$44,$CU39,AJ$57),""))=4,MID(IFERROR(INDEX(醫師週班表!$C$5:$T$44,$CU39,AJ$57),""),1+AJ$58*2,1),IF(LEN(IFERROR(INDEX(醫師週班表!$C$5:$T$44,$CU39,AJ$57),""))=2,IF(AND(RIGHT(IFERROR(INDEX(醫師週班表!$C$5:$T$44,$CU39,AJ$57),""),1)="~",AJ$58=1),"",LEFT(IFERROR(INDEX(醫師週班表!$C$5:$T$44,$CU39,AJ$57),""),1)),IFERROR(INDEX(醫師週班表!$C$5:$T$44,$CU39,AJ$57),""))))))</f>
        <v/>
      </c>
      <c r="AK39" s="68">
        <f>IF(AK$59="X","",IF(AK$59&lt;&gt;"",AK$59,IF(IFERROR(INDEX(醫師週班表!$C$5:$T$44,$CU39,AK$57),"")=0,"",IF(LEN(IFERROR(INDEX(醫師週班表!$C$5:$T$44,$CU39,AK$57),""))=4,MID(IFERROR(INDEX(醫師週班表!$C$5:$T$44,$CU39,AK$57),""),1+AK$58*2,1),IF(LEN(IFERROR(INDEX(醫師週班表!$C$5:$T$44,$CU39,AK$57),""))=2,IF(AND(RIGHT(IFERROR(INDEX(醫師週班表!$C$5:$T$44,$CU39,AK$57),""),1)="~",AK$58=1),"",LEFT(IFERROR(INDEX(醫師週班表!$C$5:$T$44,$CU39,AK$57),""),1)),IFERROR(INDEX(醫師週班表!$C$5:$T$44,$CU39,AK$57),""))))))</f>
        <v/>
      </c>
      <c r="AL39" s="67">
        <f>IF(AL$59="X","",IF(AL$59&lt;&gt;"",AL$59,IF(IFERROR(INDEX(醫師週班表!$C$5:$T$44,$CU39,AL$57),"")=0,"",IF(LEN(IFERROR(INDEX(醫師週班表!$C$5:$T$44,$CU39,AL$57),""))=4,MID(IFERROR(INDEX(醫師週班表!$C$5:$T$44,$CU39,AL$57),""),1+AL$58*2,1),IF(LEN(IFERROR(INDEX(醫師週班表!$C$5:$T$44,$CU39,AL$57),""))=2,IF(AND(RIGHT(IFERROR(INDEX(醫師週班表!$C$5:$T$44,$CU39,AL$57),""),1)="~",AL$58=1),"",LEFT(IFERROR(INDEX(醫師週班表!$C$5:$T$44,$CU39,AL$57),""),1)),IFERROR(INDEX(醫師週班表!$C$5:$T$44,$CU39,AL$57),""))))))</f>
        <v/>
      </c>
      <c r="AM39" s="68">
        <f>IF(AM$59="X","",IF(AM$59&lt;&gt;"",AM$59,IF(IFERROR(INDEX(醫師週班表!$C$5:$T$44,$CU39,AM$57),"")=0,"",IF(LEN(IFERROR(INDEX(醫師週班表!$C$5:$T$44,$CU39,AM$57),""))=4,MID(IFERROR(INDEX(醫師週班表!$C$5:$T$44,$CU39,AM$57),""),1+AM$58*2,1),IF(LEN(IFERROR(INDEX(醫師週班表!$C$5:$T$44,$CU39,AM$57),""))=2,IF(AND(RIGHT(IFERROR(INDEX(醫師週班表!$C$5:$T$44,$CU39,AM$57),""),1)="~",AM$58=1),"",LEFT(IFERROR(INDEX(醫師週班表!$C$5:$T$44,$CU39,AM$57),""),1)),IFERROR(INDEX(醫師週班表!$C$5:$T$44,$CU39,AM$57),""))))))</f>
        <v/>
      </c>
      <c r="AN39" s="68">
        <f>IF(AN$59="X","",IF(AN$59&lt;&gt;"",AN$59,IF(IFERROR(INDEX(醫師週班表!$C$5:$T$44,$CU39,AN$57),"")=0,"",IF(LEN(IFERROR(INDEX(醫師週班表!$C$5:$T$44,$CU39,AN$57),""))=4,MID(IFERROR(INDEX(醫師週班表!$C$5:$T$44,$CU39,AN$57),""),1+AN$58*2,1),IF(LEN(IFERROR(INDEX(醫師週班表!$C$5:$T$44,$CU39,AN$57),""))=2,IF(AND(RIGHT(IFERROR(INDEX(醫師週班表!$C$5:$T$44,$CU39,AN$57),""),1)="~",AN$58=1),"",LEFT(IFERROR(INDEX(醫師週班表!$C$5:$T$44,$CU39,AN$57),""),1)),IFERROR(INDEX(醫師週班表!$C$5:$T$44,$CU39,AN$57),""))))))</f>
        <v/>
      </c>
      <c r="AO39" s="67">
        <f>IF(AO$59="X","",IF(AO$59&lt;&gt;"",AO$59,IF(IFERROR(INDEX(醫師週班表!$C$5:$T$44,$CU39,AO$57),"")=0,"",IF(LEN(IFERROR(INDEX(醫師週班表!$C$5:$T$44,$CU39,AO$57),""))=4,MID(IFERROR(INDEX(醫師週班表!$C$5:$T$44,$CU39,AO$57),""),1+AO$58*2,1),IF(LEN(IFERROR(INDEX(醫師週班表!$C$5:$T$44,$CU39,AO$57),""))=2,IF(AND(RIGHT(IFERROR(INDEX(醫師週班表!$C$5:$T$44,$CU39,AO$57),""),1)="~",AO$58=1),"",LEFT(IFERROR(INDEX(醫師週班表!$C$5:$T$44,$CU39,AO$57),""),1)),IFERROR(INDEX(醫師週班表!$C$5:$T$44,$CU39,AO$57),""))))))</f>
        <v/>
      </c>
      <c r="AP39" s="68">
        <f>IF(AP$59="X","",IF(AP$59&lt;&gt;"",AP$59,IF(IFERROR(INDEX(醫師週班表!$C$5:$T$44,$CU39,AP$57),"")=0,"",IF(LEN(IFERROR(INDEX(醫師週班表!$C$5:$T$44,$CU39,AP$57),""))=4,MID(IFERROR(INDEX(醫師週班表!$C$5:$T$44,$CU39,AP$57),""),1+AP$58*2,1),IF(LEN(IFERROR(INDEX(醫師週班表!$C$5:$T$44,$CU39,AP$57),""))=2,IF(AND(RIGHT(IFERROR(INDEX(醫師週班表!$C$5:$T$44,$CU39,AP$57),""),1)="~",AP$58=1),"",LEFT(IFERROR(INDEX(醫師週班表!$C$5:$T$44,$CU39,AP$57),""),1)),IFERROR(INDEX(醫師週班表!$C$5:$T$44,$CU39,AP$57),""))))))</f>
        <v/>
      </c>
      <c r="AQ39" s="68">
        <f>IF(AQ$59="X","",IF(AQ$59&lt;&gt;"",AQ$59,IF(IFERROR(INDEX(醫師週班表!$C$5:$T$44,$CU39,AQ$57),"")=0,"",IF(LEN(IFERROR(INDEX(醫師週班表!$C$5:$T$44,$CU39,AQ$57),""))=4,MID(IFERROR(INDEX(醫師週班表!$C$5:$T$44,$CU39,AQ$57),""),1+AQ$58*2,1),IF(LEN(IFERROR(INDEX(醫師週班表!$C$5:$T$44,$CU39,AQ$57),""))=2,IF(AND(RIGHT(IFERROR(INDEX(醫師週班表!$C$5:$T$44,$CU39,AQ$57),""),1)="~",AQ$58=1),"",LEFT(IFERROR(INDEX(醫師週班表!$C$5:$T$44,$CU39,AQ$57),""),1)),IFERROR(INDEX(醫師週班表!$C$5:$T$44,$CU39,AQ$57),""))))))</f>
        <v/>
      </c>
      <c r="AR39" s="67">
        <f>IF(AR$59="X","",IF(AR$59&lt;&gt;"",AR$59,IF(IFERROR(INDEX(醫師週班表!$C$5:$T$44,$CU39,AR$57),"")=0,"",IF(LEN(IFERROR(INDEX(醫師週班表!$C$5:$T$44,$CU39,AR$57),""))=4,MID(IFERROR(INDEX(醫師週班表!$C$5:$T$44,$CU39,AR$57),""),1+AR$58*2,1),IF(LEN(IFERROR(INDEX(醫師週班表!$C$5:$T$44,$CU39,AR$57),""))=2,IF(AND(RIGHT(IFERROR(INDEX(醫師週班表!$C$5:$T$44,$CU39,AR$57),""),1)="~",AR$58=1),"",LEFT(IFERROR(INDEX(醫師週班表!$C$5:$T$44,$CU39,AR$57),""),1)),IFERROR(INDEX(醫師週班表!$C$5:$T$44,$CU39,AR$57),""))))))</f>
        <v/>
      </c>
      <c r="AS39" s="68">
        <f>IF(AS$59="X","",IF(AS$59&lt;&gt;"",AS$59,IF(IFERROR(INDEX(醫師週班表!$C$5:$T$44,$CU39,AS$57),"")=0,"",IF(LEN(IFERROR(INDEX(醫師週班表!$C$5:$T$44,$CU39,AS$57),""))=4,MID(IFERROR(INDEX(醫師週班表!$C$5:$T$44,$CU39,AS$57),""),1+AS$58*2,1),IF(LEN(IFERROR(INDEX(醫師週班表!$C$5:$T$44,$CU39,AS$57),""))=2,IF(AND(RIGHT(IFERROR(INDEX(醫師週班表!$C$5:$T$44,$CU39,AS$57),""),1)="~",AS$58=1),"",LEFT(IFERROR(INDEX(醫師週班表!$C$5:$T$44,$CU39,AS$57),""),1)),IFERROR(INDEX(醫師週班表!$C$5:$T$44,$CU39,AS$57),""))))))</f>
        <v/>
      </c>
      <c r="AT39" s="68">
        <f>IF(AT$59="X","",IF(AT$59&lt;&gt;"",AT$59,IF(IFERROR(INDEX(醫師週班表!$C$5:$T$44,$CU39,AT$57),"")=0,"",IF(LEN(IFERROR(INDEX(醫師週班表!$C$5:$T$44,$CU39,AT$57),""))=4,MID(IFERROR(INDEX(醫師週班表!$C$5:$T$44,$CU39,AT$57),""),1+AT$58*2,1),IF(LEN(IFERROR(INDEX(醫師週班表!$C$5:$T$44,$CU39,AT$57),""))=2,IF(AND(RIGHT(IFERROR(INDEX(醫師週班表!$C$5:$T$44,$CU39,AT$57),""),1)="~",AT$58=1),"",LEFT(IFERROR(INDEX(醫師週班表!$C$5:$T$44,$CU39,AT$57),""),1)),IFERROR(INDEX(醫師週班表!$C$5:$T$44,$CU39,AT$57),""))))))</f>
        <v/>
      </c>
      <c r="AU39" s="67">
        <f>IF(AU$59="X","",IF(AU$59&lt;&gt;"",AU$59,IF(IFERROR(INDEX(醫師週班表!$C$5:$T$44,$CU39,AU$57),"")=0,"",IF(LEN(IFERROR(INDEX(醫師週班表!$C$5:$T$44,$CU39,AU$57),""))=4,MID(IFERROR(INDEX(醫師週班表!$C$5:$T$44,$CU39,AU$57),""),1+AU$58*2,1),IF(LEN(IFERROR(INDEX(醫師週班表!$C$5:$T$44,$CU39,AU$57),""))=2,IF(AND(RIGHT(IFERROR(INDEX(醫師週班表!$C$5:$T$44,$CU39,AU$57),""),1)="~",AU$58=1),"",LEFT(IFERROR(INDEX(醫師週班表!$C$5:$T$44,$CU39,AU$57),""),1)),IFERROR(INDEX(醫師週班表!$C$5:$T$44,$CU39,AU$57),""))))))</f>
        <v/>
      </c>
      <c r="AV39" s="68">
        <f>IF(AV$59="X","",IF(AV$59&lt;&gt;"",AV$59,IF(IFERROR(INDEX(醫師週班表!$C$5:$T$44,$CU39,AV$57),"")=0,"",IF(LEN(IFERROR(INDEX(醫師週班表!$C$5:$T$44,$CU39,AV$57),""))=4,MID(IFERROR(INDEX(醫師週班表!$C$5:$T$44,$CU39,AV$57),""),1+AV$58*2,1),IF(LEN(IFERROR(INDEX(醫師週班表!$C$5:$T$44,$CU39,AV$57),""))=2,IF(AND(RIGHT(IFERROR(INDEX(醫師週班表!$C$5:$T$44,$CU39,AV$57),""),1)="~",AV$58=1),"",LEFT(IFERROR(INDEX(醫師週班表!$C$5:$T$44,$CU39,AV$57),""),1)),IFERROR(INDEX(醫師週班表!$C$5:$T$44,$CU39,AV$57),""))))))</f>
        <v/>
      </c>
      <c r="AW39" s="68">
        <f>IF(AW$59="X","",IF(AW$59&lt;&gt;"",AW$59,IF(IFERROR(INDEX(醫師週班表!$C$5:$T$44,$CU39,AW$57),"")=0,"",IF(LEN(IFERROR(INDEX(醫師週班表!$C$5:$T$44,$CU39,AW$57),""))=4,MID(IFERROR(INDEX(醫師週班表!$C$5:$T$44,$CU39,AW$57),""),1+AW$58*2,1),IF(LEN(IFERROR(INDEX(醫師週班表!$C$5:$T$44,$CU39,AW$57),""))=2,IF(AND(RIGHT(IFERROR(INDEX(醫師週班表!$C$5:$T$44,$CU39,AW$57),""),1)="~",AW$58=1),"",LEFT(IFERROR(INDEX(醫師週班表!$C$5:$T$44,$CU39,AW$57),""),1)),IFERROR(INDEX(醫師週班表!$C$5:$T$44,$CU39,AW$57),""))))))</f>
        <v/>
      </c>
      <c r="AX39" s="67">
        <f>IF(AX$59="X","",IF(AX$59&lt;&gt;"",AX$59,IF(IFERROR(INDEX(醫師週班表!$C$5:$T$44,$CU39,AX$57),"")=0,"",IF(LEN(IFERROR(INDEX(醫師週班表!$C$5:$T$44,$CU39,AX$57),""))=4,MID(IFERROR(INDEX(醫師週班表!$C$5:$T$44,$CU39,AX$57),""),1+AX$58*2,1),IF(LEN(IFERROR(INDEX(醫師週班表!$C$5:$T$44,$CU39,AX$57),""))=2,IF(AND(RIGHT(IFERROR(INDEX(醫師週班表!$C$5:$T$44,$CU39,AX$57),""),1)="~",AX$58=1),"",LEFT(IFERROR(INDEX(醫師週班表!$C$5:$T$44,$CU39,AX$57),""),1)),IFERROR(INDEX(醫師週班表!$C$5:$T$44,$CU39,AX$57),""))))))</f>
        <v/>
      </c>
      <c r="AY39" s="68">
        <f>IF(AY$59="X","",IF(AY$59&lt;&gt;"",AY$59,IF(IFERROR(INDEX(醫師週班表!$C$5:$T$44,$CU39,AY$57),"")=0,"",IF(LEN(IFERROR(INDEX(醫師週班表!$C$5:$T$44,$CU39,AY$57),""))=4,MID(IFERROR(INDEX(醫師週班表!$C$5:$T$44,$CU39,AY$57),""),1+AY$58*2,1),IF(LEN(IFERROR(INDEX(醫師週班表!$C$5:$T$44,$CU39,AY$57),""))=2,IF(AND(RIGHT(IFERROR(INDEX(醫師週班表!$C$5:$T$44,$CU39,AY$57),""),1)="~",AY$58=1),"",LEFT(IFERROR(INDEX(醫師週班表!$C$5:$T$44,$CU39,AY$57),""),1)),IFERROR(INDEX(醫師週班表!$C$5:$T$44,$CU39,AY$57),""))))))</f>
        <v/>
      </c>
      <c r="AZ39" s="68">
        <f>IF(AZ$59="X","",IF(AZ$59&lt;&gt;"",AZ$59,IF(IFERROR(INDEX(醫師週班表!$C$5:$T$44,$CU39,AZ$57),"")=0,"",IF(LEN(IFERROR(INDEX(醫師週班表!$C$5:$T$44,$CU39,AZ$57),""))=4,MID(IFERROR(INDEX(醫師週班表!$C$5:$T$44,$CU39,AZ$57),""),1+AZ$58*2,1),IF(LEN(IFERROR(INDEX(醫師週班表!$C$5:$T$44,$CU39,AZ$57),""))=2,IF(AND(RIGHT(IFERROR(INDEX(醫師週班表!$C$5:$T$44,$CU39,AZ$57),""),1)="~",AZ$58=1),"",LEFT(IFERROR(INDEX(醫師週班表!$C$5:$T$44,$CU39,AZ$57),""),1)),IFERROR(INDEX(醫師週班表!$C$5:$T$44,$CU39,AZ$57),""))))))</f>
        <v/>
      </c>
      <c r="BA39" s="67">
        <f>IF(BA$59="X","",IF(BA$59&lt;&gt;"",BA$59,IF(IFERROR(INDEX(醫師週班表!$C$5:$T$44,$CU39,BA$57),"")=0,"",IF(LEN(IFERROR(INDEX(醫師週班表!$C$5:$T$44,$CU39,BA$57),""))=4,MID(IFERROR(INDEX(醫師週班表!$C$5:$T$44,$CU39,BA$57),""),1+BA$58*2,1),IF(LEN(IFERROR(INDEX(醫師週班表!$C$5:$T$44,$CU39,BA$57),""))=2,IF(AND(RIGHT(IFERROR(INDEX(醫師週班表!$C$5:$T$44,$CU39,BA$57),""),1)="~",BA$58=1),"",LEFT(IFERROR(INDEX(醫師週班表!$C$5:$T$44,$CU39,BA$57),""),1)),IFERROR(INDEX(醫師週班表!$C$5:$T$44,$CU39,BA$57),""))))))</f>
        <v/>
      </c>
      <c r="BB39" s="68">
        <f>IF(BB$59="X","",IF(BB$59&lt;&gt;"",BB$59,IF(IFERROR(INDEX(醫師週班表!$C$5:$T$44,$CU39,BB$57),"")=0,"",IF(LEN(IFERROR(INDEX(醫師週班表!$C$5:$T$44,$CU39,BB$57),""))=4,MID(IFERROR(INDEX(醫師週班表!$C$5:$T$44,$CU39,BB$57),""),1+BB$58*2,1),IF(LEN(IFERROR(INDEX(醫師週班表!$C$5:$T$44,$CU39,BB$57),""))=2,IF(AND(RIGHT(IFERROR(INDEX(醫師週班表!$C$5:$T$44,$CU39,BB$57),""),1)="~",BB$58=1),"",LEFT(IFERROR(INDEX(醫師週班表!$C$5:$T$44,$CU39,BB$57),""),1)),IFERROR(INDEX(醫師週班表!$C$5:$T$44,$CU39,BB$57),""))))))</f>
        <v/>
      </c>
      <c r="BC39" s="68">
        <f>IF(BC$59="X","",IF(BC$59&lt;&gt;"",BC$59,IF(IFERROR(INDEX(醫師週班表!$C$5:$T$44,$CU39,BC$57),"")=0,"",IF(LEN(IFERROR(INDEX(醫師週班表!$C$5:$T$44,$CU39,BC$57),""))=4,MID(IFERROR(INDEX(醫師週班表!$C$5:$T$44,$CU39,BC$57),""),1+BC$58*2,1),IF(LEN(IFERROR(INDEX(醫師週班表!$C$5:$T$44,$CU39,BC$57),""))=2,IF(AND(RIGHT(IFERROR(INDEX(醫師週班表!$C$5:$T$44,$CU39,BC$57),""),1)="~",BC$58=1),"",LEFT(IFERROR(INDEX(醫師週班表!$C$5:$T$44,$CU39,BC$57),""),1)),IFERROR(INDEX(醫師週班表!$C$5:$T$44,$CU39,BC$57),""))))))</f>
        <v/>
      </c>
      <c r="BD39" s="67">
        <f>IF(BD$59="X","",IF(BD$59&lt;&gt;"",BD$59,IF(IFERROR(INDEX(醫師週班表!$C$5:$T$44,$CU39,BD$57),"")=0,"",IF(LEN(IFERROR(INDEX(醫師週班表!$C$5:$T$44,$CU39,BD$57),""))=4,MID(IFERROR(INDEX(醫師週班表!$C$5:$T$44,$CU39,BD$57),""),1+BD$58*2,1),IF(LEN(IFERROR(INDEX(醫師週班表!$C$5:$T$44,$CU39,BD$57),""))=2,IF(AND(RIGHT(IFERROR(INDEX(醫師週班表!$C$5:$T$44,$CU39,BD$57),""),1)="~",BD$58=1),"",LEFT(IFERROR(INDEX(醫師週班表!$C$5:$T$44,$CU39,BD$57),""),1)),IFERROR(INDEX(醫師週班表!$C$5:$T$44,$CU39,BD$57),""))))))</f>
        <v/>
      </c>
      <c r="BE39" s="68">
        <f>IF(BE$59="X","",IF(BE$59&lt;&gt;"",BE$59,IF(IFERROR(INDEX(醫師週班表!$C$5:$T$44,$CU39,BE$57),"")=0,"",IF(LEN(IFERROR(INDEX(醫師週班表!$C$5:$T$44,$CU39,BE$57),""))=4,MID(IFERROR(INDEX(醫師週班表!$C$5:$T$44,$CU39,BE$57),""),1+BE$58*2,1),IF(LEN(IFERROR(INDEX(醫師週班表!$C$5:$T$44,$CU39,BE$57),""))=2,IF(AND(RIGHT(IFERROR(INDEX(醫師週班表!$C$5:$T$44,$CU39,BE$57),""),1)="~",BE$58=1),"",LEFT(IFERROR(INDEX(醫師週班表!$C$5:$T$44,$CU39,BE$57),""),1)),IFERROR(INDEX(醫師週班表!$C$5:$T$44,$CU39,BE$57),""))))))</f>
        <v/>
      </c>
      <c r="BF39" s="68">
        <f>IF(BF$59="X","",IF(BF$59&lt;&gt;"",BF$59,IF(IFERROR(INDEX(醫師週班表!$C$5:$T$44,$CU39,BF$57),"")=0,"",IF(LEN(IFERROR(INDEX(醫師週班表!$C$5:$T$44,$CU39,BF$57),""))=4,MID(IFERROR(INDEX(醫師週班表!$C$5:$T$44,$CU39,BF$57),""),1+BF$58*2,1),IF(LEN(IFERROR(INDEX(醫師週班表!$C$5:$T$44,$CU39,BF$57),""))=2,IF(AND(RIGHT(IFERROR(INDEX(醫師週班表!$C$5:$T$44,$CU39,BF$57),""),1)="~",BF$58=1),"",LEFT(IFERROR(INDEX(醫師週班表!$C$5:$T$44,$CU39,BF$57),""),1)),IFERROR(INDEX(醫師週班表!$C$5:$T$44,$CU39,BF$57),""))))))</f>
        <v/>
      </c>
      <c r="BG39" s="67">
        <f>IF(BG$59="X","",IF(BG$59&lt;&gt;"",BG$59,IF(IFERROR(INDEX(醫師週班表!$C$5:$T$44,$CU39,BG$57),"")=0,"",IF(LEN(IFERROR(INDEX(醫師週班表!$C$5:$T$44,$CU39,BG$57),""))=4,MID(IFERROR(INDEX(醫師週班表!$C$5:$T$44,$CU39,BG$57),""),1+BG$58*2,1),IF(LEN(IFERROR(INDEX(醫師週班表!$C$5:$T$44,$CU39,BG$57),""))=2,IF(AND(RIGHT(IFERROR(INDEX(醫師週班表!$C$5:$T$44,$CU39,BG$57),""),1)="~",BG$58=1),"",LEFT(IFERROR(INDEX(醫師週班表!$C$5:$T$44,$CU39,BG$57),""),1)),IFERROR(INDEX(醫師週班表!$C$5:$T$44,$CU39,BG$57),""))))))</f>
        <v/>
      </c>
      <c r="BH39" s="68">
        <f>IF(BH$59="X","",IF(BH$59&lt;&gt;"",BH$59,IF(IFERROR(INDEX(醫師週班表!$C$5:$T$44,$CU39,BH$57),"")=0,"",IF(LEN(IFERROR(INDEX(醫師週班表!$C$5:$T$44,$CU39,BH$57),""))=4,MID(IFERROR(INDEX(醫師週班表!$C$5:$T$44,$CU39,BH$57),""),1+BH$58*2,1),IF(LEN(IFERROR(INDEX(醫師週班表!$C$5:$T$44,$CU39,BH$57),""))=2,IF(AND(RIGHT(IFERROR(INDEX(醫師週班表!$C$5:$T$44,$CU39,BH$57),""),1)="~",BH$58=1),"",LEFT(IFERROR(INDEX(醫師週班表!$C$5:$T$44,$CU39,BH$57),""),1)),IFERROR(INDEX(醫師週班表!$C$5:$T$44,$CU39,BH$57),""))))))</f>
        <v/>
      </c>
      <c r="BI39" s="68">
        <f>IF(BI$59="X","",IF(BI$59&lt;&gt;"",BI$59,IF(IFERROR(INDEX(醫師週班表!$C$5:$T$44,$CU39,BI$57),"")=0,"",IF(LEN(IFERROR(INDEX(醫師週班表!$C$5:$T$44,$CU39,BI$57),""))=4,MID(IFERROR(INDEX(醫師週班表!$C$5:$T$44,$CU39,BI$57),""),1+BI$58*2,1),IF(LEN(IFERROR(INDEX(醫師週班表!$C$5:$T$44,$CU39,BI$57),""))=2,IF(AND(RIGHT(IFERROR(INDEX(醫師週班表!$C$5:$T$44,$CU39,BI$57),""),1)="~",BI$58=1),"",LEFT(IFERROR(INDEX(醫師週班表!$C$5:$T$44,$CU39,BI$57),""),1)),IFERROR(INDEX(醫師週班表!$C$5:$T$44,$CU39,BI$57),""))))))</f>
        <v/>
      </c>
      <c r="BJ39" s="67">
        <f>IF(BJ$59="X","",IF(BJ$59&lt;&gt;"",BJ$59,IF(IFERROR(INDEX(醫師週班表!$C$5:$T$44,$CU39,BJ$57),"")=0,"",IF(LEN(IFERROR(INDEX(醫師週班表!$C$5:$T$44,$CU39,BJ$57),""))=4,MID(IFERROR(INDEX(醫師週班表!$C$5:$T$44,$CU39,BJ$57),""),1+BJ$58*2,1),IF(LEN(IFERROR(INDEX(醫師週班表!$C$5:$T$44,$CU39,BJ$57),""))=2,IF(AND(RIGHT(IFERROR(INDEX(醫師週班表!$C$5:$T$44,$CU39,BJ$57),""),1)="~",BJ$58=1),"",LEFT(IFERROR(INDEX(醫師週班表!$C$5:$T$44,$CU39,BJ$57),""),1)),IFERROR(INDEX(醫師週班表!$C$5:$T$44,$CU39,BJ$57),""))))))</f>
        <v/>
      </c>
      <c r="BK39" s="68">
        <f>IF(BK$59="X","",IF(BK$59&lt;&gt;"",BK$59,IF(IFERROR(INDEX(醫師週班表!$C$5:$T$44,$CU39,BK$57),"")=0,"",IF(LEN(IFERROR(INDEX(醫師週班表!$C$5:$T$44,$CU39,BK$57),""))=4,MID(IFERROR(INDEX(醫師週班表!$C$5:$T$44,$CU39,BK$57),""),1+BK$58*2,1),IF(LEN(IFERROR(INDEX(醫師週班表!$C$5:$T$44,$CU39,BK$57),""))=2,IF(AND(RIGHT(IFERROR(INDEX(醫師週班表!$C$5:$T$44,$CU39,BK$57),""),1)="~",BK$58=1),"",LEFT(IFERROR(INDEX(醫師週班表!$C$5:$T$44,$CU39,BK$57),""),1)),IFERROR(INDEX(醫師週班表!$C$5:$T$44,$CU39,BK$57),""))))))</f>
        <v/>
      </c>
      <c r="BL39" s="68">
        <f>IF(BL$59="X","",IF(BL$59&lt;&gt;"",BL$59,IF(IFERROR(INDEX(醫師週班表!$C$5:$T$44,$CU39,BL$57),"")=0,"",IF(LEN(IFERROR(INDEX(醫師週班表!$C$5:$T$44,$CU39,BL$57),""))=4,MID(IFERROR(INDEX(醫師週班表!$C$5:$T$44,$CU39,BL$57),""),1+BL$58*2,1),IF(LEN(IFERROR(INDEX(醫師週班表!$C$5:$T$44,$CU39,BL$57),""))=2,IF(AND(RIGHT(IFERROR(INDEX(醫師週班表!$C$5:$T$44,$CU39,BL$57),""),1)="~",BL$58=1),"",LEFT(IFERROR(INDEX(醫師週班表!$C$5:$T$44,$CU39,BL$57),""),1)),IFERROR(INDEX(醫師週班表!$C$5:$T$44,$CU39,BL$57),""))))))</f>
        <v/>
      </c>
      <c r="BM39" s="67">
        <f>IF(BM$59="X","",IF(BM$59&lt;&gt;"",BM$59,IF(IFERROR(INDEX(醫師週班表!$C$5:$T$44,$CU39,BM$57),"")=0,"",IF(LEN(IFERROR(INDEX(醫師週班表!$C$5:$T$44,$CU39,BM$57),""))=4,MID(IFERROR(INDEX(醫師週班表!$C$5:$T$44,$CU39,BM$57),""),1+BM$58*2,1),IF(LEN(IFERROR(INDEX(醫師週班表!$C$5:$T$44,$CU39,BM$57),""))=2,IF(AND(RIGHT(IFERROR(INDEX(醫師週班表!$C$5:$T$44,$CU39,BM$57),""),1)="~",BM$58=1),"",LEFT(IFERROR(INDEX(醫師週班表!$C$5:$T$44,$CU39,BM$57),""),1)),IFERROR(INDEX(醫師週班表!$C$5:$T$44,$CU39,BM$57),""))))))</f>
        <v/>
      </c>
      <c r="BN39" s="68">
        <f>IF(BN$59="X","",IF(BN$59&lt;&gt;"",BN$59,IF(IFERROR(INDEX(醫師週班表!$C$5:$T$44,$CU39,BN$57),"")=0,"",IF(LEN(IFERROR(INDEX(醫師週班表!$C$5:$T$44,$CU39,BN$57),""))=4,MID(IFERROR(INDEX(醫師週班表!$C$5:$T$44,$CU39,BN$57),""),1+BN$58*2,1),IF(LEN(IFERROR(INDEX(醫師週班表!$C$5:$T$44,$CU39,BN$57),""))=2,IF(AND(RIGHT(IFERROR(INDEX(醫師週班表!$C$5:$T$44,$CU39,BN$57),""),1)="~",BN$58=1),"",LEFT(IFERROR(INDEX(醫師週班表!$C$5:$T$44,$CU39,BN$57),""),1)),IFERROR(INDEX(醫師週班表!$C$5:$T$44,$CU39,BN$57),""))))))</f>
        <v/>
      </c>
      <c r="BO39" s="68">
        <f>IF(BO$59="X","",IF(BO$59&lt;&gt;"",BO$59,IF(IFERROR(INDEX(醫師週班表!$C$5:$T$44,$CU39,BO$57),"")=0,"",IF(LEN(IFERROR(INDEX(醫師週班表!$C$5:$T$44,$CU39,BO$57),""))=4,MID(IFERROR(INDEX(醫師週班表!$C$5:$T$44,$CU39,BO$57),""),1+BO$58*2,1),IF(LEN(IFERROR(INDEX(醫師週班表!$C$5:$T$44,$CU39,BO$57),""))=2,IF(AND(RIGHT(IFERROR(INDEX(醫師週班表!$C$5:$T$44,$CU39,BO$57),""),1)="~",BO$58=1),"",LEFT(IFERROR(INDEX(醫師週班表!$C$5:$T$44,$CU39,BO$57),""),1)),IFERROR(INDEX(醫師週班表!$C$5:$T$44,$CU39,BO$57),""))))))</f>
        <v/>
      </c>
      <c r="BP39" s="67">
        <f>IF(BP$59="X","",IF(BP$59&lt;&gt;"",BP$59,IF(IFERROR(INDEX(醫師週班表!$C$5:$T$44,$CU39,BP$57),"")=0,"",IF(LEN(IFERROR(INDEX(醫師週班表!$C$5:$T$44,$CU39,BP$57),""))=4,MID(IFERROR(INDEX(醫師週班表!$C$5:$T$44,$CU39,BP$57),""),1+BP$58*2,1),IF(LEN(IFERROR(INDEX(醫師週班表!$C$5:$T$44,$CU39,BP$57),""))=2,IF(AND(RIGHT(IFERROR(INDEX(醫師週班表!$C$5:$T$44,$CU39,BP$57),""),1)="~",BP$58=1),"",LEFT(IFERROR(INDEX(醫師週班表!$C$5:$T$44,$CU39,BP$57),""),1)),IFERROR(INDEX(醫師週班表!$C$5:$T$44,$CU39,BP$57),""))))))</f>
        <v/>
      </c>
      <c r="BQ39" s="68">
        <f>IF(BQ$59="X","",IF(BQ$59&lt;&gt;"",BQ$59,IF(IFERROR(INDEX(醫師週班表!$C$5:$T$44,$CU39,BQ$57),"")=0,"",IF(LEN(IFERROR(INDEX(醫師週班表!$C$5:$T$44,$CU39,BQ$57),""))=4,MID(IFERROR(INDEX(醫師週班表!$C$5:$T$44,$CU39,BQ$57),""),1+BQ$58*2,1),IF(LEN(IFERROR(INDEX(醫師週班表!$C$5:$T$44,$CU39,BQ$57),""))=2,IF(AND(RIGHT(IFERROR(INDEX(醫師週班表!$C$5:$T$44,$CU39,BQ$57),""),1)="~",BQ$58=1),"",LEFT(IFERROR(INDEX(醫師週班表!$C$5:$T$44,$CU39,BQ$57),""),1)),IFERROR(INDEX(醫師週班表!$C$5:$T$44,$CU39,BQ$57),""))))))</f>
        <v/>
      </c>
      <c r="BR39" s="68">
        <f>IF(BR$59="X","",IF(BR$59&lt;&gt;"",BR$59,IF(IFERROR(INDEX(醫師週班表!$C$5:$T$44,$CU39,BR$57),"")=0,"",IF(LEN(IFERROR(INDEX(醫師週班表!$C$5:$T$44,$CU39,BR$57),""))=4,MID(IFERROR(INDEX(醫師週班表!$C$5:$T$44,$CU39,BR$57),""),1+BR$58*2,1),IF(LEN(IFERROR(INDEX(醫師週班表!$C$5:$T$44,$CU39,BR$57),""))=2,IF(AND(RIGHT(IFERROR(INDEX(醫師週班表!$C$5:$T$44,$CU39,BR$57),""),1)="~",BR$58=1),"",LEFT(IFERROR(INDEX(醫師週班表!$C$5:$T$44,$CU39,BR$57),""),1)),IFERROR(INDEX(醫師週班表!$C$5:$T$44,$CU39,BR$57),""))))))</f>
        <v/>
      </c>
      <c r="BS39" s="67">
        <f>IF(BS$59="X","",IF(BS$59&lt;&gt;"",BS$59,IF(IFERROR(INDEX(醫師週班表!$C$5:$T$44,$CU39,BS$57),"")=0,"",IF(LEN(IFERROR(INDEX(醫師週班表!$C$5:$T$44,$CU39,BS$57),""))=4,MID(IFERROR(INDEX(醫師週班表!$C$5:$T$44,$CU39,BS$57),""),1+BS$58*2,1),IF(LEN(IFERROR(INDEX(醫師週班表!$C$5:$T$44,$CU39,BS$57),""))=2,IF(AND(RIGHT(IFERROR(INDEX(醫師週班表!$C$5:$T$44,$CU39,BS$57),""),1)="~",BS$58=1),"",LEFT(IFERROR(INDEX(醫師週班表!$C$5:$T$44,$CU39,BS$57),""),1)),IFERROR(INDEX(醫師週班表!$C$5:$T$44,$CU39,BS$57),""))))))</f>
        <v/>
      </c>
      <c r="BT39" s="68">
        <f>IF(BT$59="X","",IF(BT$59&lt;&gt;"",BT$59,IF(IFERROR(INDEX(醫師週班表!$C$5:$T$44,$CU39,BT$57),"")=0,"",IF(LEN(IFERROR(INDEX(醫師週班表!$C$5:$T$44,$CU39,BT$57),""))=4,MID(IFERROR(INDEX(醫師週班表!$C$5:$T$44,$CU39,BT$57),""),1+BT$58*2,1),IF(LEN(IFERROR(INDEX(醫師週班表!$C$5:$T$44,$CU39,BT$57),""))=2,IF(AND(RIGHT(IFERROR(INDEX(醫師週班表!$C$5:$T$44,$CU39,BT$57),""),1)="~",BT$58=1),"",LEFT(IFERROR(INDEX(醫師週班表!$C$5:$T$44,$CU39,BT$57),""),1)),IFERROR(INDEX(醫師週班表!$C$5:$T$44,$CU39,BT$57),""))))))</f>
        <v/>
      </c>
      <c r="BU39" s="68">
        <f>IF(BU$59="X","",IF(BU$59&lt;&gt;"",BU$59,IF(IFERROR(INDEX(醫師週班表!$C$5:$T$44,$CU39,BU$57),"")=0,"",IF(LEN(IFERROR(INDEX(醫師週班表!$C$5:$T$44,$CU39,BU$57),""))=4,MID(IFERROR(INDEX(醫師週班表!$C$5:$T$44,$CU39,BU$57),""),1+BU$58*2,1),IF(LEN(IFERROR(INDEX(醫師週班表!$C$5:$T$44,$CU39,BU$57),""))=2,IF(AND(RIGHT(IFERROR(INDEX(醫師週班表!$C$5:$T$44,$CU39,BU$57),""),1)="~",BU$58=1),"",LEFT(IFERROR(INDEX(醫師週班表!$C$5:$T$44,$CU39,BU$57),""),1)),IFERROR(INDEX(醫師週班表!$C$5:$T$44,$CU39,BU$57),""))))))</f>
        <v/>
      </c>
      <c r="BV39" s="67">
        <f>IF(BV$59="X","",IF(BV$59&lt;&gt;"",BV$59,IF(IFERROR(INDEX(醫師週班表!$C$5:$T$44,$CU39,BV$57),"")=0,"",IF(LEN(IFERROR(INDEX(醫師週班表!$C$5:$T$44,$CU39,BV$57),""))=4,MID(IFERROR(INDEX(醫師週班表!$C$5:$T$44,$CU39,BV$57),""),1+BV$58*2,1),IF(LEN(IFERROR(INDEX(醫師週班表!$C$5:$T$44,$CU39,BV$57),""))=2,IF(AND(RIGHT(IFERROR(INDEX(醫師週班表!$C$5:$T$44,$CU39,BV$57),""),1)="~",BV$58=1),"",LEFT(IFERROR(INDEX(醫師週班表!$C$5:$T$44,$CU39,BV$57),""),1)),IFERROR(INDEX(醫師週班表!$C$5:$T$44,$CU39,BV$57),""))))))</f>
        <v/>
      </c>
      <c r="BW39" s="68">
        <f>IF(BW$59="X","",IF(BW$59&lt;&gt;"",BW$59,IF(IFERROR(INDEX(醫師週班表!$C$5:$T$44,$CU39,BW$57),"")=0,"",IF(LEN(IFERROR(INDEX(醫師週班表!$C$5:$T$44,$CU39,BW$57),""))=4,MID(IFERROR(INDEX(醫師週班表!$C$5:$T$44,$CU39,BW$57),""),1+BW$58*2,1),IF(LEN(IFERROR(INDEX(醫師週班表!$C$5:$T$44,$CU39,BW$57),""))=2,IF(AND(RIGHT(IFERROR(INDEX(醫師週班表!$C$5:$T$44,$CU39,BW$57),""),1)="~",BW$58=1),"",LEFT(IFERROR(INDEX(醫師週班表!$C$5:$T$44,$CU39,BW$57),""),1)),IFERROR(INDEX(醫師週班表!$C$5:$T$44,$CU39,BW$57),""))))))</f>
        <v/>
      </c>
      <c r="BX39" s="68">
        <f>IF(BX$59="X","",IF(BX$59&lt;&gt;"",BX$59,IF(IFERROR(INDEX(醫師週班表!$C$5:$T$44,$CU39,BX$57),"")=0,"",IF(LEN(IFERROR(INDEX(醫師週班表!$C$5:$T$44,$CU39,BX$57),""))=4,MID(IFERROR(INDEX(醫師週班表!$C$5:$T$44,$CU39,BX$57),""),1+BX$58*2,1),IF(LEN(IFERROR(INDEX(醫師週班表!$C$5:$T$44,$CU39,BX$57),""))=2,IF(AND(RIGHT(IFERROR(INDEX(醫師週班表!$C$5:$T$44,$CU39,BX$57),""),1)="~",BX$58=1),"",LEFT(IFERROR(INDEX(醫師週班表!$C$5:$T$44,$CU39,BX$57),""),1)),IFERROR(INDEX(醫師週班表!$C$5:$T$44,$CU39,BX$57),""))))))</f>
        <v/>
      </c>
      <c r="BY39" s="67">
        <f>IF(BY$59="X","",IF(BY$59&lt;&gt;"",BY$59,IF(IFERROR(INDEX(醫師週班表!$C$5:$T$44,$CU39,BY$57),"")=0,"",IF(LEN(IFERROR(INDEX(醫師週班表!$C$5:$T$44,$CU39,BY$57),""))=4,MID(IFERROR(INDEX(醫師週班表!$C$5:$T$44,$CU39,BY$57),""),1+BY$58*2,1),IF(LEN(IFERROR(INDEX(醫師週班表!$C$5:$T$44,$CU39,BY$57),""))=2,IF(AND(RIGHT(IFERROR(INDEX(醫師週班表!$C$5:$T$44,$CU39,BY$57),""),1)="~",BY$58=1),"",LEFT(IFERROR(INDEX(醫師週班表!$C$5:$T$44,$CU39,BY$57),""),1)),IFERROR(INDEX(醫師週班表!$C$5:$T$44,$CU39,BY$57),""))))))</f>
        <v/>
      </c>
      <c r="BZ39" s="68">
        <f>IF(BZ$59="X","",IF(BZ$59&lt;&gt;"",BZ$59,IF(IFERROR(INDEX(醫師週班表!$C$5:$T$44,$CU39,BZ$57),"")=0,"",IF(LEN(IFERROR(INDEX(醫師週班表!$C$5:$T$44,$CU39,BZ$57),""))=4,MID(IFERROR(INDEX(醫師週班表!$C$5:$T$44,$CU39,BZ$57),""),1+BZ$58*2,1),IF(LEN(IFERROR(INDEX(醫師週班表!$C$5:$T$44,$CU39,BZ$57),""))=2,IF(AND(RIGHT(IFERROR(INDEX(醫師週班表!$C$5:$T$44,$CU39,BZ$57),""),1)="~",BZ$58=1),"",LEFT(IFERROR(INDEX(醫師週班表!$C$5:$T$44,$CU39,BZ$57),""),1)),IFERROR(INDEX(醫師週班表!$C$5:$T$44,$CU39,BZ$57),""))))))</f>
        <v/>
      </c>
      <c r="CA39" s="68">
        <f>IF(CA$59="X","",IF(CA$59&lt;&gt;"",CA$59,IF(IFERROR(INDEX(醫師週班表!$C$5:$T$44,$CU39,CA$57),"")=0,"",IF(LEN(IFERROR(INDEX(醫師週班表!$C$5:$T$44,$CU39,CA$57),""))=4,MID(IFERROR(INDEX(醫師週班表!$C$5:$T$44,$CU39,CA$57),""),1+CA$58*2,1),IF(LEN(IFERROR(INDEX(醫師週班表!$C$5:$T$44,$CU39,CA$57),""))=2,IF(AND(RIGHT(IFERROR(INDEX(醫師週班表!$C$5:$T$44,$CU39,CA$57),""),1)="~",CA$58=1),"",LEFT(IFERROR(INDEX(醫師週班表!$C$5:$T$44,$CU39,CA$57),""),1)),IFERROR(INDEX(醫師週班表!$C$5:$T$44,$CU39,CA$57),""))))))</f>
        <v/>
      </c>
      <c r="CB39" s="67">
        <f>IF(CB$59="X","",IF(CB$59&lt;&gt;"",CB$59,IF(IFERROR(INDEX(醫師週班表!$C$5:$T$44,$CU39,CB$57),"")=0,"",IF(LEN(IFERROR(INDEX(醫師週班表!$C$5:$T$44,$CU39,CB$57),""))=4,MID(IFERROR(INDEX(醫師週班表!$C$5:$T$44,$CU39,CB$57),""),1+CB$58*2,1),IF(LEN(IFERROR(INDEX(醫師週班表!$C$5:$T$44,$CU39,CB$57),""))=2,IF(AND(RIGHT(IFERROR(INDEX(醫師週班表!$C$5:$T$44,$CU39,CB$57),""),1)="~",CB$58=1),"",LEFT(IFERROR(INDEX(醫師週班表!$C$5:$T$44,$CU39,CB$57),""),1)),IFERROR(INDEX(醫師週班表!$C$5:$T$44,$CU39,CB$57),""))))))</f>
        <v/>
      </c>
      <c r="CC39" s="68">
        <f>IF(CC$59="X","",IF(CC$59&lt;&gt;"",CC$59,IF(IFERROR(INDEX(醫師週班表!$C$5:$T$44,$CU39,CC$57),"")=0,"",IF(LEN(IFERROR(INDEX(醫師週班表!$C$5:$T$44,$CU39,CC$57),""))=4,MID(IFERROR(INDEX(醫師週班表!$C$5:$T$44,$CU39,CC$57),""),1+CC$58*2,1),IF(LEN(IFERROR(INDEX(醫師週班表!$C$5:$T$44,$CU39,CC$57),""))=2,IF(AND(RIGHT(IFERROR(INDEX(醫師週班表!$C$5:$T$44,$CU39,CC$57),""),1)="~",CC$58=1),"",LEFT(IFERROR(INDEX(醫師週班表!$C$5:$T$44,$CU39,CC$57),""),1)),IFERROR(INDEX(醫師週班表!$C$5:$T$44,$CU39,CC$57),""))))))</f>
        <v/>
      </c>
      <c r="CD39" s="68">
        <f>IF(CD$59="X","",IF(CD$59&lt;&gt;"",CD$59,IF(IFERROR(INDEX(醫師週班表!$C$5:$T$44,$CU39,CD$57),"")=0,"",IF(LEN(IFERROR(INDEX(醫師週班表!$C$5:$T$44,$CU39,CD$57),""))=4,MID(IFERROR(INDEX(醫師週班表!$C$5:$T$44,$CU39,CD$57),""),1+CD$58*2,1),IF(LEN(IFERROR(INDEX(醫師週班表!$C$5:$T$44,$CU39,CD$57),""))=2,IF(AND(RIGHT(IFERROR(INDEX(醫師週班表!$C$5:$T$44,$CU39,CD$57),""),1)="~",CD$58=1),"",LEFT(IFERROR(INDEX(醫師週班表!$C$5:$T$44,$CU39,CD$57),""),1)),IFERROR(INDEX(醫師週班表!$C$5:$T$44,$CU39,CD$57),""))))))</f>
        <v/>
      </c>
      <c r="CE39" s="67">
        <f>IF(CE$59="X","",IF(CE$59&lt;&gt;"",CE$59,IF(IFERROR(INDEX(醫師週班表!$C$5:$T$44,$CU39,CE$57),"")=0,"",IF(LEN(IFERROR(INDEX(醫師週班表!$C$5:$T$44,$CU39,CE$57),""))=4,MID(IFERROR(INDEX(醫師週班表!$C$5:$T$44,$CU39,CE$57),""),1+CE$58*2,1),IF(LEN(IFERROR(INDEX(醫師週班表!$C$5:$T$44,$CU39,CE$57),""))=2,IF(AND(RIGHT(IFERROR(INDEX(醫師週班表!$C$5:$T$44,$CU39,CE$57),""),1)="~",CE$58=1),"",LEFT(IFERROR(INDEX(醫師週班表!$C$5:$T$44,$CU39,CE$57),""),1)),IFERROR(INDEX(醫師週班表!$C$5:$T$44,$CU39,CE$57),""))))))</f>
        <v/>
      </c>
      <c r="CF39" s="68">
        <f>IF(CF$59="X","",IF(CF$59&lt;&gt;"",CF$59,IF(IFERROR(INDEX(醫師週班表!$C$5:$T$44,$CU39,CF$57),"")=0,"",IF(LEN(IFERROR(INDEX(醫師週班表!$C$5:$T$44,$CU39,CF$57),""))=4,MID(IFERROR(INDEX(醫師週班表!$C$5:$T$44,$CU39,CF$57),""),1+CF$58*2,1),IF(LEN(IFERROR(INDEX(醫師週班表!$C$5:$T$44,$CU39,CF$57),""))=2,IF(AND(RIGHT(IFERROR(INDEX(醫師週班表!$C$5:$T$44,$CU39,CF$57),""),1)="~",CF$58=1),"",LEFT(IFERROR(INDEX(醫師週班表!$C$5:$T$44,$CU39,CF$57),""),1)),IFERROR(INDEX(醫師週班表!$C$5:$T$44,$CU39,CF$57),""))))))</f>
        <v/>
      </c>
      <c r="CG39" s="68">
        <f>IF(CG$59="X","",IF(CG$59&lt;&gt;"",CG$59,IF(IFERROR(INDEX(醫師週班表!$C$5:$T$44,$CU39,CG$57),"")=0,"",IF(LEN(IFERROR(INDEX(醫師週班表!$C$5:$T$44,$CU39,CG$57),""))=4,MID(IFERROR(INDEX(醫師週班表!$C$5:$T$44,$CU39,CG$57),""),1+CG$58*2,1),IF(LEN(IFERROR(INDEX(醫師週班表!$C$5:$T$44,$CU39,CG$57),""))=2,IF(AND(RIGHT(IFERROR(INDEX(醫師週班表!$C$5:$T$44,$CU39,CG$57),""),1)="~",CG$58=1),"",LEFT(IFERROR(INDEX(醫師週班表!$C$5:$T$44,$CU39,CG$57),""),1)),IFERROR(INDEX(醫師週班表!$C$5:$T$44,$CU39,CG$57),""))))))</f>
        <v/>
      </c>
      <c r="CH39" s="67">
        <f>IF(CH$59="X","",IF(CH$59&lt;&gt;"",CH$59,IF(IFERROR(INDEX(醫師週班表!$C$5:$T$44,$CU39,CH$57),"")=0,"",IF(LEN(IFERROR(INDEX(醫師週班表!$C$5:$T$44,$CU39,CH$57),""))=4,MID(IFERROR(INDEX(醫師週班表!$C$5:$T$44,$CU39,CH$57),""),1+CH$58*2,1),IF(LEN(IFERROR(INDEX(醫師週班表!$C$5:$T$44,$CU39,CH$57),""))=2,IF(AND(RIGHT(IFERROR(INDEX(醫師週班表!$C$5:$T$44,$CU39,CH$57),""),1)="~",CH$58=1),"",LEFT(IFERROR(INDEX(醫師週班表!$C$5:$T$44,$CU39,CH$57),""),1)),IFERROR(INDEX(醫師週班表!$C$5:$T$44,$CU39,CH$57),""))))))</f>
        <v/>
      </c>
      <c r="CI39" s="68">
        <f>IF(CI$59="X","",IF(CI$59&lt;&gt;"",CI$59,IF(IFERROR(INDEX(醫師週班表!$C$5:$T$44,$CU39,CI$57),"")=0,"",IF(LEN(IFERROR(INDEX(醫師週班表!$C$5:$T$44,$CU39,CI$57),""))=4,MID(IFERROR(INDEX(醫師週班表!$C$5:$T$44,$CU39,CI$57),""),1+CI$58*2,1),IF(LEN(IFERROR(INDEX(醫師週班表!$C$5:$T$44,$CU39,CI$57),""))=2,IF(AND(RIGHT(IFERROR(INDEX(醫師週班表!$C$5:$T$44,$CU39,CI$57),""),1)="~",CI$58=1),"",LEFT(IFERROR(INDEX(醫師週班表!$C$5:$T$44,$CU39,CI$57),""),1)),IFERROR(INDEX(醫師週班表!$C$5:$T$44,$CU39,CI$57),""))))))</f>
        <v/>
      </c>
      <c r="CJ39" s="68">
        <f>IF(CJ$59="X","",IF(CJ$59&lt;&gt;"",CJ$59,IF(IFERROR(INDEX(醫師週班表!$C$5:$T$44,$CU39,CJ$57),"")=0,"",IF(LEN(IFERROR(INDEX(醫師週班表!$C$5:$T$44,$CU39,CJ$57),""))=4,MID(IFERROR(INDEX(醫師週班表!$C$5:$T$44,$CU39,CJ$57),""),1+CJ$58*2,1),IF(LEN(IFERROR(INDEX(醫師週班表!$C$5:$T$44,$CU39,CJ$57),""))=2,IF(AND(RIGHT(IFERROR(INDEX(醫師週班表!$C$5:$T$44,$CU39,CJ$57),""),1)="~",CJ$58=1),"",LEFT(IFERROR(INDEX(醫師週班表!$C$5:$T$44,$CU39,CJ$57),""),1)),IFERROR(INDEX(醫師週班表!$C$5:$T$44,$CU39,CJ$57),""))))))</f>
        <v/>
      </c>
      <c r="CK39" s="67">
        <f>IF(CK$59="X","",IF(CK$59&lt;&gt;"",CK$59,IF(IFERROR(INDEX(醫師週班表!$C$5:$T$44,$CU39,CK$57),"")=0,"",IF(LEN(IFERROR(INDEX(醫師週班表!$C$5:$T$44,$CU39,CK$57),""))=4,MID(IFERROR(INDEX(醫師週班表!$C$5:$T$44,$CU39,CK$57),""),1+CK$58*2,1),IF(LEN(IFERROR(INDEX(醫師週班表!$C$5:$T$44,$CU39,CK$57),""))=2,IF(AND(RIGHT(IFERROR(INDEX(醫師週班表!$C$5:$T$44,$CU39,CK$57),""),1)="~",CK$58=1),"",LEFT(IFERROR(INDEX(醫師週班表!$C$5:$T$44,$CU39,CK$57),""),1)),IFERROR(INDEX(醫師週班表!$C$5:$T$44,$CU39,CK$57),""))))))</f>
        <v/>
      </c>
      <c r="CL39" s="68">
        <f>IF(CL$59="X","",IF(CL$59&lt;&gt;"",CL$59,IF(IFERROR(INDEX(醫師週班表!$C$5:$T$44,$CU39,CL$57),"")=0,"",IF(LEN(IFERROR(INDEX(醫師週班表!$C$5:$T$44,$CU39,CL$57),""))=4,MID(IFERROR(INDEX(醫師週班表!$C$5:$T$44,$CU39,CL$57),""),1+CL$58*2,1),IF(LEN(IFERROR(INDEX(醫師週班表!$C$5:$T$44,$CU39,CL$57),""))=2,IF(AND(RIGHT(IFERROR(INDEX(醫師週班表!$C$5:$T$44,$CU39,CL$57),""),1)="~",CL$58=1),"",LEFT(IFERROR(INDEX(醫師週班表!$C$5:$T$44,$CU39,CL$57),""),1)),IFERROR(INDEX(醫師週班表!$C$5:$T$44,$CU39,CL$57),""))))))</f>
        <v/>
      </c>
      <c r="CM39" s="68">
        <f>IF(CM$59="X","",IF(CM$59&lt;&gt;"",CM$59,IF(IFERROR(INDEX(醫師週班表!$C$5:$T$44,$CU39,CM$57),"")=0,"",IF(LEN(IFERROR(INDEX(醫師週班表!$C$5:$T$44,$CU39,CM$57),""))=4,MID(IFERROR(INDEX(醫師週班表!$C$5:$T$44,$CU39,CM$57),""),1+CM$58*2,1),IF(LEN(IFERROR(INDEX(醫師週班表!$C$5:$T$44,$CU39,CM$57),""))=2,IF(AND(RIGHT(IFERROR(INDEX(醫師週班表!$C$5:$T$44,$CU39,CM$57),""),1)="~",CM$58=1),"",LEFT(IFERROR(INDEX(醫師週班表!$C$5:$T$44,$CU39,CM$57),""),1)),IFERROR(INDEX(醫師週班表!$C$5:$T$44,$CU39,CM$57),""))))))</f>
        <v/>
      </c>
      <c r="CN39" s="67">
        <f>IF(CN$59="X","",IF(CN$59&lt;&gt;"",CN$59,IF(IFERROR(INDEX(醫師週班表!$C$5:$T$44,$CU39,CN$57),"")=0,"",IF(LEN(IFERROR(INDEX(醫師週班表!$C$5:$T$44,$CU39,CN$57),""))=4,MID(IFERROR(INDEX(醫師週班表!$C$5:$T$44,$CU39,CN$57),""),1+CN$58*2,1),IF(LEN(IFERROR(INDEX(醫師週班表!$C$5:$T$44,$CU39,CN$57),""))=2,IF(AND(RIGHT(IFERROR(INDEX(醫師週班表!$C$5:$T$44,$CU39,CN$57),""),1)="~",CN$58=1),"",LEFT(IFERROR(INDEX(醫師週班表!$C$5:$T$44,$CU39,CN$57),""),1)),IFERROR(INDEX(醫師週班表!$C$5:$T$44,$CU39,CN$57),""))))))</f>
        <v/>
      </c>
      <c r="CO39" s="68">
        <f>IF(CO$59="X","",IF(CO$59&lt;&gt;"",CO$59,IF(IFERROR(INDEX(醫師週班表!$C$5:$T$44,$CU39,CO$57),"")=0,"",IF(LEN(IFERROR(INDEX(醫師週班表!$C$5:$T$44,$CU39,CO$57),""))=4,MID(IFERROR(INDEX(醫師週班表!$C$5:$T$44,$CU39,CO$57),""),1+CO$58*2,1),IF(LEN(IFERROR(INDEX(醫師週班表!$C$5:$T$44,$CU39,CO$57),""))=2,IF(AND(RIGHT(IFERROR(INDEX(醫師週班表!$C$5:$T$44,$CU39,CO$57),""),1)="~",CO$58=1),"",LEFT(IFERROR(INDEX(醫師週班表!$C$5:$T$44,$CU39,CO$57),""),1)),IFERROR(INDEX(醫師週班表!$C$5:$T$44,$CU39,CO$57),""))))))</f>
        <v/>
      </c>
      <c r="CP39" s="68">
        <f>IF(CP$59="X","",IF(CP$59&lt;&gt;"",CP$59,IF(IFERROR(INDEX(醫師週班表!$C$5:$T$44,$CU39,CP$57),"")=0,"",IF(LEN(IFERROR(INDEX(醫師週班表!$C$5:$T$44,$CU39,CP$57),""))=4,MID(IFERROR(INDEX(醫師週班表!$C$5:$T$44,$CU39,CP$57),""),1+CP$58*2,1),IF(LEN(IFERROR(INDEX(醫師週班表!$C$5:$T$44,$CU39,CP$57),""))=2,IF(AND(RIGHT(IFERROR(INDEX(醫師週班表!$C$5:$T$44,$CU39,CP$57),""),1)="~",CP$58=1),"",LEFT(IFERROR(INDEX(醫師週班表!$C$5:$T$44,$CU39,CP$57),""),1)),IFERROR(INDEX(醫師週班表!$C$5:$T$44,$CU39,CP$57),""))))))</f>
        <v/>
      </c>
      <c r="CQ39" s="67">
        <f>IF(CQ$59="X","",IF(CQ$59&lt;&gt;"",CQ$59,IF(IFERROR(INDEX(醫師週班表!$C$5:$T$44,$CU39,CQ$57),"")=0,"",IF(LEN(IFERROR(INDEX(醫師週班表!$C$5:$T$44,$CU39,CQ$57),""))=4,MID(IFERROR(INDEX(醫師週班表!$C$5:$T$44,$CU39,CQ$57),""),1+CQ$58*2,1),IF(LEN(IFERROR(INDEX(醫師週班表!$C$5:$T$44,$CU39,CQ$57),""))=2,IF(AND(RIGHT(IFERROR(INDEX(醫師週班表!$C$5:$T$44,$CU39,CQ$57),""),1)="~",CQ$58=1),"",LEFT(IFERROR(INDEX(醫師週班表!$C$5:$T$44,$CU39,CQ$57),""),1)),IFERROR(INDEX(醫師週班表!$C$5:$T$44,$CU39,CQ$57),""))))))</f>
        <v/>
      </c>
      <c r="CR39" s="68">
        <f>IF(CR$59="X","",IF(CR$59&lt;&gt;"",CR$59,IF(IFERROR(INDEX(醫師週班表!$C$5:$T$44,$CU39,CR$57),"")=0,"",IF(LEN(IFERROR(INDEX(醫師週班表!$C$5:$T$44,$CU39,CR$57),""))=4,MID(IFERROR(INDEX(醫師週班表!$C$5:$T$44,$CU39,CR$57),""),1+CR$58*2,1),IF(LEN(IFERROR(INDEX(醫師週班表!$C$5:$T$44,$CU39,CR$57),""))=2,IF(AND(RIGHT(IFERROR(INDEX(醫師週班表!$C$5:$T$44,$CU39,CR$57),""),1)="~",CR$58=1),"",LEFT(IFERROR(INDEX(醫師週班表!$C$5:$T$44,$CU39,CR$57),""),1)),IFERROR(INDEX(醫師週班表!$C$5:$T$44,$CU39,CR$57),""))))))</f>
        <v/>
      </c>
      <c r="CS39" s="68">
        <f>IF(CS$59="X","",IF(CS$59&lt;&gt;"",CS$59,IF(IFERROR(INDEX(醫師週班表!$C$5:$T$44,$CU39,CS$57),"")=0,"",IF(LEN(IFERROR(INDEX(醫師週班表!$C$5:$T$44,$CU39,CS$57),""))=4,MID(IFERROR(INDEX(醫師週班表!$C$5:$T$44,$CU39,CS$57),""),1+CS$58*2,1),IF(LEN(IFERROR(INDEX(醫師週班表!$C$5:$T$44,$CU39,CS$57),""))=2,IF(AND(RIGHT(IFERROR(INDEX(醫師週班表!$C$5:$T$44,$CU39,CS$57),""),1)="~",CS$58=1),"",LEFT(IFERROR(INDEX(醫師週班表!$C$5:$T$44,$CU39,CS$57),""),1)),IFERROR(INDEX(醫師週班表!$C$5:$T$44,$CU39,CS$57),""))))))</f>
        <v/>
      </c>
      <c r="CU39" s="69">
        <f>IFERROR(MATCH($A39,醫師週班表!$A$5:$A$44,0),0)</f>
        <v/>
      </c>
    </row>
    <row r="40" ht="17" customHeight="1">
      <c r="A40" s="20" t="n"/>
      <c r="B40" s="16">
        <f>IFERROR(INDEX(設定!$C$57:$C$196,MATCH($A40,設定!$B$57:$B$196,0)),"")</f>
        <v/>
      </c>
      <c r="C40" s="66">
        <f>IFERROR(INDEX(設定!$E$57:$E$196,MATCH($A40,設定!$B$57:$B$196,0)),"")</f>
        <v/>
      </c>
      <c r="D40" s="16">
        <f>IFERROR(INDEX(設定!$F$57:$F$196,MATCH($A40,設定!$B$57:$B$196,0)),"")</f>
        <v/>
      </c>
      <c r="E40" s="67">
        <f>IF(E$59="X","",IF(E$59&lt;&gt;"",E$59,IF(IFERROR(INDEX(醫師週班表!$C$5:$T$44,$CU40,E$57),"")=0,"",IF(LEN(IFERROR(INDEX(醫師週班表!$C$5:$T$44,$CU40,E$57),""))=4,MID(IFERROR(INDEX(醫師週班表!$C$5:$T$44,$CU40,E$57),""),1+E$58*2,1),IF(LEN(IFERROR(INDEX(醫師週班表!$C$5:$T$44,$CU40,E$57),""))=2,IF(AND(RIGHT(IFERROR(INDEX(醫師週班表!$C$5:$T$44,$CU40,E$57),""),1)="~",E$58=1),"",LEFT(IFERROR(INDEX(醫師週班表!$C$5:$T$44,$CU40,E$57),""),1)),IFERROR(INDEX(醫師週班表!$C$5:$T$44,$CU40,E$57),""))))))</f>
        <v/>
      </c>
      <c r="F40" s="68">
        <f>IF(F$59="X","",IF(F$59&lt;&gt;"",F$59,IF(IFERROR(INDEX(醫師週班表!$C$5:$T$44,$CU40,F$57),"")=0,"",IF(LEN(IFERROR(INDEX(醫師週班表!$C$5:$T$44,$CU40,F$57),""))=4,MID(IFERROR(INDEX(醫師週班表!$C$5:$T$44,$CU40,F$57),""),1+F$58*2,1),IF(LEN(IFERROR(INDEX(醫師週班表!$C$5:$T$44,$CU40,F$57),""))=2,IF(AND(RIGHT(IFERROR(INDEX(醫師週班表!$C$5:$T$44,$CU40,F$57),""),1)="~",F$58=1),"",LEFT(IFERROR(INDEX(醫師週班表!$C$5:$T$44,$CU40,F$57),""),1)),IFERROR(INDEX(醫師週班表!$C$5:$T$44,$CU40,F$57),""))))))</f>
        <v/>
      </c>
      <c r="G40" s="68">
        <f>IF(G$59="X","",IF(G$59&lt;&gt;"",G$59,IF(IFERROR(INDEX(醫師週班表!$C$5:$T$44,$CU40,G$57),"")=0,"",IF(LEN(IFERROR(INDEX(醫師週班表!$C$5:$T$44,$CU40,G$57),""))=4,MID(IFERROR(INDEX(醫師週班表!$C$5:$T$44,$CU40,G$57),""),1+G$58*2,1),IF(LEN(IFERROR(INDEX(醫師週班表!$C$5:$T$44,$CU40,G$57),""))=2,IF(AND(RIGHT(IFERROR(INDEX(醫師週班表!$C$5:$T$44,$CU40,G$57),""),1)="~",G$58=1),"",LEFT(IFERROR(INDEX(醫師週班表!$C$5:$T$44,$CU40,G$57),""),1)),IFERROR(INDEX(醫師週班表!$C$5:$T$44,$CU40,G$57),""))))))</f>
        <v/>
      </c>
      <c r="H40" s="67">
        <f>IF(H$59="X","",IF(H$59&lt;&gt;"",H$59,IF(IFERROR(INDEX(醫師週班表!$C$5:$T$44,$CU40,H$57),"")=0,"",IF(LEN(IFERROR(INDEX(醫師週班表!$C$5:$T$44,$CU40,H$57),""))=4,MID(IFERROR(INDEX(醫師週班表!$C$5:$T$44,$CU40,H$57),""),1+H$58*2,1),IF(LEN(IFERROR(INDEX(醫師週班表!$C$5:$T$44,$CU40,H$57),""))=2,IF(AND(RIGHT(IFERROR(INDEX(醫師週班表!$C$5:$T$44,$CU40,H$57),""),1)="~",H$58=1),"",LEFT(IFERROR(INDEX(醫師週班表!$C$5:$T$44,$CU40,H$57),""),1)),IFERROR(INDEX(醫師週班表!$C$5:$T$44,$CU40,H$57),""))))))</f>
        <v/>
      </c>
      <c r="I40" s="68">
        <f>IF(I$59="X","",IF(I$59&lt;&gt;"",I$59,IF(IFERROR(INDEX(醫師週班表!$C$5:$T$44,$CU40,I$57),"")=0,"",IF(LEN(IFERROR(INDEX(醫師週班表!$C$5:$T$44,$CU40,I$57),""))=4,MID(IFERROR(INDEX(醫師週班表!$C$5:$T$44,$CU40,I$57),""),1+I$58*2,1),IF(LEN(IFERROR(INDEX(醫師週班表!$C$5:$T$44,$CU40,I$57),""))=2,IF(AND(RIGHT(IFERROR(INDEX(醫師週班表!$C$5:$T$44,$CU40,I$57),""),1)="~",I$58=1),"",LEFT(IFERROR(INDEX(醫師週班表!$C$5:$T$44,$CU40,I$57),""),1)),IFERROR(INDEX(醫師週班表!$C$5:$T$44,$CU40,I$57),""))))))</f>
        <v/>
      </c>
      <c r="J40" s="68">
        <f>IF(J$59="X","",IF(J$59&lt;&gt;"",J$59,IF(IFERROR(INDEX(醫師週班表!$C$5:$T$44,$CU40,J$57),"")=0,"",IF(LEN(IFERROR(INDEX(醫師週班表!$C$5:$T$44,$CU40,J$57),""))=4,MID(IFERROR(INDEX(醫師週班表!$C$5:$T$44,$CU40,J$57),""),1+J$58*2,1),IF(LEN(IFERROR(INDEX(醫師週班表!$C$5:$T$44,$CU40,J$57),""))=2,IF(AND(RIGHT(IFERROR(INDEX(醫師週班表!$C$5:$T$44,$CU40,J$57),""),1)="~",J$58=1),"",LEFT(IFERROR(INDEX(醫師週班表!$C$5:$T$44,$CU40,J$57),""),1)),IFERROR(INDEX(醫師週班表!$C$5:$T$44,$CU40,J$57),""))))))</f>
        <v/>
      </c>
      <c r="K40" s="67">
        <f>IF(K$59="X","",IF(K$59&lt;&gt;"",K$59,IF(IFERROR(INDEX(醫師週班表!$C$5:$T$44,$CU40,K$57),"")=0,"",IF(LEN(IFERROR(INDEX(醫師週班表!$C$5:$T$44,$CU40,K$57),""))=4,MID(IFERROR(INDEX(醫師週班表!$C$5:$T$44,$CU40,K$57),""),1+K$58*2,1),IF(LEN(IFERROR(INDEX(醫師週班表!$C$5:$T$44,$CU40,K$57),""))=2,IF(AND(RIGHT(IFERROR(INDEX(醫師週班表!$C$5:$T$44,$CU40,K$57),""),1)="~",K$58=1),"",LEFT(IFERROR(INDEX(醫師週班表!$C$5:$T$44,$CU40,K$57),""),1)),IFERROR(INDEX(醫師週班表!$C$5:$T$44,$CU40,K$57),""))))))</f>
        <v/>
      </c>
      <c r="L40" s="68">
        <f>IF(L$59="X","",IF(L$59&lt;&gt;"",L$59,IF(IFERROR(INDEX(醫師週班表!$C$5:$T$44,$CU40,L$57),"")=0,"",IF(LEN(IFERROR(INDEX(醫師週班表!$C$5:$T$44,$CU40,L$57),""))=4,MID(IFERROR(INDEX(醫師週班表!$C$5:$T$44,$CU40,L$57),""),1+L$58*2,1),IF(LEN(IFERROR(INDEX(醫師週班表!$C$5:$T$44,$CU40,L$57),""))=2,IF(AND(RIGHT(IFERROR(INDEX(醫師週班表!$C$5:$T$44,$CU40,L$57),""),1)="~",L$58=1),"",LEFT(IFERROR(INDEX(醫師週班表!$C$5:$T$44,$CU40,L$57),""),1)),IFERROR(INDEX(醫師週班表!$C$5:$T$44,$CU40,L$57),""))))))</f>
        <v/>
      </c>
      <c r="M40" s="68">
        <f>IF(M$59="X","",IF(M$59&lt;&gt;"",M$59,IF(IFERROR(INDEX(醫師週班表!$C$5:$T$44,$CU40,M$57),"")=0,"",IF(LEN(IFERROR(INDEX(醫師週班表!$C$5:$T$44,$CU40,M$57),""))=4,MID(IFERROR(INDEX(醫師週班表!$C$5:$T$44,$CU40,M$57),""),1+M$58*2,1),IF(LEN(IFERROR(INDEX(醫師週班表!$C$5:$T$44,$CU40,M$57),""))=2,IF(AND(RIGHT(IFERROR(INDEX(醫師週班表!$C$5:$T$44,$CU40,M$57),""),1)="~",M$58=1),"",LEFT(IFERROR(INDEX(醫師週班表!$C$5:$T$44,$CU40,M$57),""),1)),IFERROR(INDEX(醫師週班表!$C$5:$T$44,$CU40,M$57),""))))))</f>
        <v/>
      </c>
      <c r="N40" s="67">
        <f>IF(N$59="X","",IF(N$59&lt;&gt;"",N$59,IF(IFERROR(INDEX(醫師週班表!$C$5:$T$44,$CU40,N$57),"")=0,"",IF(LEN(IFERROR(INDEX(醫師週班表!$C$5:$T$44,$CU40,N$57),""))=4,MID(IFERROR(INDEX(醫師週班表!$C$5:$T$44,$CU40,N$57),""),1+N$58*2,1),IF(LEN(IFERROR(INDEX(醫師週班表!$C$5:$T$44,$CU40,N$57),""))=2,IF(AND(RIGHT(IFERROR(INDEX(醫師週班表!$C$5:$T$44,$CU40,N$57),""),1)="~",N$58=1),"",LEFT(IFERROR(INDEX(醫師週班表!$C$5:$T$44,$CU40,N$57),""),1)),IFERROR(INDEX(醫師週班表!$C$5:$T$44,$CU40,N$57),""))))))</f>
        <v/>
      </c>
      <c r="O40" s="68">
        <f>IF(O$59="X","",IF(O$59&lt;&gt;"",O$59,IF(IFERROR(INDEX(醫師週班表!$C$5:$T$44,$CU40,O$57),"")=0,"",IF(LEN(IFERROR(INDEX(醫師週班表!$C$5:$T$44,$CU40,O$57),""))=4,MID(IFERROR(INDEX(醫師週班表!$C$5:$T$44,$CU40,O$57),""),1+O$58*2,1),IF(LEN(IFERROR(INDEX(醫師週班表!$C$5:$T$44,$CU40,O$57),""))=2,IF(AND(RIGHT(IFERROR(INDEX(醫師週班表!$C$5:$T$44,$CU40,O$57),""),1)="~",O$58=1),"",LEFT(IFERROR(INDEX(醫師週班表!$C$5:$T$44,$CU40,O$57),""),1)),IFERROR(INDEX(醫師週班表!$C$5:$T$44,$CU40,O$57),""))))))</f>
        <v/>
      </c>
      <c r="P40" s="68">
        <f>IF(P$59="X","",IF(P$59&lt;&gt;"",P$59,IF(IFERROR(INDEX(醫師週班表!$C$5:$T$44,$CU40,P$57),"")=0,"",IF(LEN(IFERROR(INDEX(醫師週班表!$C$5:$T$44,$CU40,P$57),""))=4,MID(IFERROR(INDEX(醫師週班表!$C$5:$T$44,$CU40,P$57),""),1+P$58*2,1),IF(LEN(IFERROR(INDEX(醫師週班表!$C$5:$T$44,$CU40,P$57),""))=2,IF(AND(RIGHT(IFERROR(INDEX(醫師週班表!$C$5:$T$44,$CU40,P$57),""),1)="~",P$58=1),"",LEFT(IFERROR(INDEX(醫師週班表!$C$5:$T$44,$CU40,P$57),""),1)),IFERROR(INDEX(醫師週班表!$C$5:$T$44,$CU40,P$57),""))))))</f>
        <v/>
      </c>
      <c r="Q40" s="67">
        <f>IF(Q$59="X","",IF(Q$59&lt;&gt;"",Q$59,IF(IFERROR(INDEX(醫師週班表!$C$5:$T$44,$CU40,Q$57),"")=0,"",IF(LEN(IFERROR(INDEX(醫師週班表!$C$5:$T$44,$CU40,Q$57),""))=4,MID(IFERROR(INDEX(醫師週班表!$C$5:$T$44,$CU40,Q$57),""),1+Q$58*2,1),IF(LEN(IFERROR(INDEX(醫師週班表!$C$5:$T$44,$CU40,Q$57),""))=2,IF(AND(RIGHT(IFERROR(INDEX(醫師週班表!$C$5:$T$44,$CU40,Q$57),""),1)="~",Q$58=1),"",LEFT(IFERROR(INDEX(醫師週班表!$C$5:$T$44,$CU40,Q$57),""),1)),IFERROR(INDEX(醫師週班表!$C$5:$T$44,$CU40,Q$57),""))))))</f>
        <v/>
      </c>
      <c r="R40" s="68">
        <f>IF(R$59="X","",IF(R$59&lt;&gt;"",R$59,IF(IFERROR(INDEX(醫師週班表!$C$5:$T$44,$CU40,R$57),"")=0,"",IF(LEN(IFERROR(INDEX(醫師週班表!$C$5:$T$44,$CU40,R$57),""))=4,MID(IFERROR(INDEX(醫師週班表!$C$5:$T$44,$CU40,R$57),""),1+R$58*2,1),IF(LEN(IFERROR(INDEX(醫師週班表!$C$5:$T$44,$CU40,R$57),""))=2,IF(AND(RIGHT(IFERROR(INDEX(醫師週班表!$C$5:$T$44,$CU40,R$57),""),1)="~",R$58=1),"",LEFT(IFERROR(INDEX(醫師週班表!$C$5:$T$44,$CU40,R$57),""),1)),IFERROR(INDEX(醫師週班表!$C$5:$T$44,$CU40,R$57),""))))))</f>
        <v/>
      </c>
      <c r="S40" s="68">
        <f>IF(S$59="X","",IF(S$59&lt;&gt;"",S$59,IF(IFERROR(INDEX(醫師週班表!$C$5:$T$44,$CU40,S$57),"")=0,"",IF(LEN(IFERROR(INDEX(醫師週班表!$C$5:$T$44,$CU40,S$57),""))=4,MID(IFERROR(INDEX(醫師週班表!$C$5:$T$44,$CU40,S$57),""),1+S$58*2,1),IF(LEN(IFERROR(INDEX(醫師週班表!$C$5:$T$44,$CU40,S$57),""))=2,IF(AND(RIGHT(IFERROR(INDEX(醫師週班表!$C$5:$T$44,$CU40,S$57),""),1)="~",S$58=1),"",LEFT(IFERROR(INDEX(醫師週班表!$C$5:$T$44,$CU40,S$57),""),1)),IFERROR(INDEX(醫師週班表!$C$5:$T$44,$CU40,S$57),""))))))</f>
        <v/>
      </c>
      <c r="T40" s="67">
        <f>IF(T$59="X","",IF(T$59&lt;&gt;"",T$59,IF(IFERROR(INDEX(醫師週班表!$C$5:$T$44,$CU40,T$57),"")=0,"",IF(LEN(IFERROR(INDEX(醫師週班表!$C$5:$T$44,$CU40,T$57),""))=4,MID(IFERROR(INDEX(醫師週班表!$C$5:$T$44,$CU40,T$57),""),1+T$58*2,1),IF(LEN(IFERROR(INDEX(醫師週班表!$C$5:$T$44,$CU40,T$57),""))=2,IF(AND(RIGHT(IFERROR(INDEX(醫師週班表!$C$5:$T$44,$CU40,T$57),""),1)="~",T$58=1),"",LEFT(IFERROR(INDEX(醫師週班表!$C$5:$T$44,$CU40,T$57),""),1)),IFERROR(INDEX(醫師週班表!$C$5:$T$44,$CU40,T$57),""))))))</f>
        <v/>
      </c>
      <c r="U40" s="68">
        <f>IF(U$59="X","",IF(U$59&lt;&gt;"",U$59,IF(IFERROR(INDEX(醫師週班表!$C$5:$T$44,$CU40,U$57),"")=0,"",IF(LEN(IFERROR(INDEX(醫師週班表!$C$5:$T$44,$CU40,U$57),""))=4,MID(IFERROR(INDEX(醫師週班表!$C$5:$T$44,$CU40,U$57),""),1+U$58*2,1),IF(LEN(IFERROR(INDEX(醫師週班表!$C$5:$T$44,$CU40,U$57),""))=2,IF(AND(RIGHT(IFERROR(INDEX(醫師週班表!$C$5:$T$44,$CU40,U$57),""),1)="~",U$58=1),"",LEFT(IFERROR(INDEX(醫師週班表!$C$5:$T$44,$CU40,U$57),""),1)),IFERROR(INDEX(醫師週班表!$C$5:$T$44,$CU40,U$57),""))))))</f>
        <v/>
      </c>
      <c r="V40" s="68">
        <f>IF(V$59="X","",IF(V$59&lt;&gt;"",V$59,IF(IFERROR(INDEX(醫師週班表!$C$5:$T$44,$CU40,V$57),"")=0,"",IF(LEN(IFERROR(INDEX(醫師週班表!$C$5:$T$44,$CU40,V$57),""))=4,MID(IFERROR(INDEX(醫師週班表!$C$5:$T$44,$CU40,V$57),""),1+V$58*2,1),IF(LEN(IFERROR(INDEX(醫師週班表!$C$5:$T$44,$CU40,V$57),""))=2,IF(AND(RIGHT(IFERROR(INDEX(醫師週班表!$C$5:$T$44,$CU40,V$57),""),1)="~",V$58=1),"",LEFT(IFERROR(INDEX(醫師週班表!$C$5:$T$44,$CU40,V$57),""),1)),IFERROR(INDEX(醫師週班表!$C$5:$T$44,$CU40,V$57),""))))))</f>
        <v/>
      </c>
      <c r="W40" s="67">
        <f>IF(W$59="X","",IF(W$59&lt;&gt;"",W$59,IF(IFERROR(INDEX(醫師週班表!$C$5:$T$44,$CU40,W$57),"")=0,"",IF(LEN(IFERROR(INDEX(醫師週班表!$C$5:$T$44,$CU40,W$57),""))=4,MID(IFERROR(INDEX(醫師週班表!$C$5:$T$44,$CU40,W$57),""),1+W$58*2,1),IF(LEN(IFERROR(INDEX(醫師週班表!$C$5:$T$44,$CU40,W$57),""))=2,IF(AND(RIGHT(IFERROR(INDEX(醫師週班表!$C$5:$T$44,$CU40,W$57),""),1)="~",W$58=1),"",LEFT(IFERROR(INDEX(醫師週班表!$C$5:$T$44,$CU40,W$57),""),1)),IFERROR(INDEX(醫師週班表!$C$5:$T$44,$CU40,W$57),""))))))</f>
        <v/>
      </c>
      <c r="X40" s="68">
        <f>IF(X$59="X","",IF(X$59&lt;&gt;"",X$59,IF(IFERROR(INDEX(醫師週班表!$C$5:$T$44,$CU40,X$57),"")=0,"",IF(LEN(IFERROR(INDEX(醫師週班表!$C$5:$T$44,$CU40,X$57),""))=4,MID(IFERROR(INDEX(醫師週班表!$C$5:$T$44,$CU40,X$57),""),1+X$58*2,1),IF(LEN(IFERROR(INDEX(醫師週班表!$C$5:$T$44,$CU40,X$57),""))=2,IF(AND(RIGHT(IFERROR(INDEX(醫師週班表!$C$5:$T$44,$CU40,X$57),""),1)="~",X$58=1),"",LEFT(IFERROR(INDEX(醫師週班表!$C$5:$T$44,$CU40,X$57),""),1)),IFERROR(INDEX(醫師週班表!$C$5:$T$44,$CU40,X$57),""))))))</f>
        <v/>
      </c>
      <c r="Y40" s="68">
        <f>IF(Y$59="X","",IF(Y$59&lt;&gt;"",Y$59,IF(IFERROR(INDEX(醫師週班表!$C$5:$T$44,$CU40,Y$57),"")=0,"",IF(LEN(IFERROR(INDEX(醫師週班表!$C$5:$T$44,$CU40,Y$57),""))=4,MID(IFERROR(INDEX(醫師週班表!$C$5:$T$44,$CU40,Y$57),""),1+Y$58*2,1),IF(LEN(IFERROR(INDEX(醫師週班表!$C$5:$T$44,$CU40,Y$57),""))=2,IF(AND(RIGHT(IFERROR(INDEX(醫師週班表!$C$5:$T$44,$CU40,Y$57),""),1)="~",Y$58=1),"",LEFT(IFERROR(INDEX(醫師週班表!$C$5:$T$44,$CU40,Y$57),""),1)),IFERROR(INDEX(醫師週班表!$C$5:$T$44,$CU40,Y$57),""))))))</f>
        <v/>
      </c>
      <c r="Z40" s="67">
        <f>IF(Z$59="X","",IF(Z$59&lt;&gt;"",Z$59,IF(IFERROR(INDEX(醫師週班表!$C$5:$T$44,$CU40,Z$57),"")=0,"",IF(LEN(IFERROR(INDEX(醫師週班表!$C$5:$T$44,$CU40,Z$57),""))=4,MID(IFERROR(INDEX(醫師週班表!$C$5:$T$44,$CU40,Z$57),""),1+Z$58*2,1),IF(LEN(IFERROR(INDEX(醫師週班表!$C$5:$T$44,$CU40,Z$57),""))=2,IF(AND(RIGHT(IFERROR(INDEX(醫師週班表!$C$5:$T$44,$CU40,Z$57),""),1)="~",Z$58=1),"",LEFT(IFERROR(INDEX(醫師週班表!$C$5:$T$44,$CU40,Z$57),""),1)),IFERROR(INDEX(醫師週班表!$C$5:$T$44,$CU40,Z$57),""))))))</f>
        <v/>
      </c>
      <c r="AA40" s="68">
        <f>IF(AA$59="X","",IF(AA$59&lt;&gt;"",AA$59,IF(IFERROR(INDEX(醫師週班表!$C$5:$T$44,$CU40,AA$57),"")=0,"",IF(LEN(IFERROR(INDEX(醫師週班表!$C$5:$T$44,$CU40,AA$57),""))=4,MID(IFERROR(INDEX(醫師週班表!$C$5:$T$44,$CU40,AA$57),""),1+AA$58*2,1),IF(LEN(IFERROR(INDEX(醫師週班表!$C$5:$T$44,$CU40,AA$57),""))=2,IF(AND(RIGHT(IFERROR(INDEX(醫師週班表!$C$5:$T$44,$CU40,AA$57),""),1)="~",AA$58=1),"",LEFT(IFERROR(INDEX(醫師週班表!$C$5:$T$44,$CU40,AA$57),""),1)),IFERROR(INDEX(醫師週班表!$C$5:$T$44,$CU40,AA$57),""))))))</f>
        <v/>
      </c>
      <c r="AB40" s="68">
        <f>IF(AB$59="X","",IF(AB$59&lt;&gt;"",AB$59,IF(IFERROR(INDEX(醫師週班表!$C$5:$T$44,$CU40,AB$57),"")=0,"",IF(LEN(IFERROR(INDEX(醫師週班表!$C$5:$T$44,$CU40,AB$57),""))=4,MID(IFERROR(INDEX(醫師週班表!$C$5:$T$44,$CU40,AB$57),""),1+AB$58*2,1),IF(LEN(IFERROR(INDEX(醫師週班表!$C$5:$T$44,$CU40,AB$57),""))=2,IF(AND(RIGHT(IFERROR(INDEX(醫師週班表!$C$5:$T$44,$CU40,AB$57),""),1)="~",AB$58=1),"",LEFT(IFERROR(INDEX(醫師週班表!$C$5:$T$44,$CU40,AB$57),""),1)),IFERROR(INDEX(醫師週班表!$C$5:$T$44,$CU40,AB$57),""))))))</f>
        <v/>
      </c>
      <c r="AC40" s="67">
        <f>IF(AC$59="X","",IF(AC$59&lt;&gt;"",AC$59,IF(IFERROR(INDEX(醫師週班表!$C$5:$T$44,$CU40,AC$57),"")=0,"",IF(LEN(IFERROR(INDEX(醫師週班表!$C$5:$T$44,$CU40,AC$57),""))=4,MID(IFERROR(INDEX(醫師週班表!$C$5:$T$44,$CU40,AC$57),""),1+AC$58*2,1),IF(LEN(IFERROR(INDEX(醫師週班表!$C$5:$T$44,$CU40,AC$57),""))=2,IF(AND(RIGHT(IFERROR(INDEX(醫師週班表!$C$5:$T$44,$CU40,AC$57),""),1)="~",AC$58=1),"",LEFT(IFERROR(INDEX(醫師週班表!$C$5:$T$44,$CU40,AC$57),""),1)),IFERROR(INDEX(醫師週班表!$C$5:$T$44,$CU40,AC$57),""))))))</f>
        <v/>
      </c>
      <c r="AD40" s="68">
        <f>IF(AD$59="X","",IF(AD$59&lt;&gt;"",AD$59,IF(IFERROR(INDEX(醫師週班表!$C$5:$T$44,$CU40,AD$57),"")=0,"",IF(LEN(IFERROR(INDEX(醫師週班表!$C$5:$T$44,$CU40,AD$57),""))=4,MID(IFERROR(INDEX(醫師週班表!$C$5:$T$44,$CU40,AD$57),""),1+AD$58*2,1),IF(LEN(IFERROR(INDEX(醫師週班表!$C$5:$T$44,$CU40,AD$57),""))=2,IF(AND(RIGHT(IFERROR(INDEX(醫師週班表!$C$5:$T$44,$CU40,AD$57),""),1)="~",AD$58=1),"",LEFT(IFERROR(INDEX(醫師週班表!$C$5:$T$44,$CU40,AD$57),""),1)),IFERROR(INDEX(醫師週班表!$C$5:$T$44,$CU40,AD$57),""))))))</f>
        <v/>
      </c>
      <c r="AE40" s="68">
        <f>IF(AE$59="X","",IF(AE$59&lt;&gt;"",AE$59,IF(IFERROR(INDEX(醫師週班表!$C$5:$T$44,$CU40,AE$57),"")=0,"",IF(LEN(IFERROR(INDEX(醫師週班表!$C$5:$T$44,$CU40,AE$57),""))=4,MID(IFERROR(INDEX(醫師週班表!$C$5:$T$44,$CU40,AE$57),""),1+AE$58*2,1),IF(LEN(IFERROR(INDEX(醫師週班表!$C$5:$T$44,$CU40,AE$57),""))=2,IF(AND(RIGHT(IFERROR(INDEX(醫師週班表!$C$5:$T$44,$CU40,AE$57),""),1)="~",AE$58=1),"",LEFT(IFERROR(INDEX(醫師週班表!$C$5:$T$44,$CU40,AE$57),""),1)),IFERROR(INDEX(醫師週班表!$C$5:$T$44,$CU40,AE$57),""))))))</f>
        <v/>
      </c>
      <c r="AF40" s="67">
        <f>IF(AF$59="X","",IF(AF$59&lt;&gt;"",AF$59,IF(IFERROR(INDEX(醫師週班表!$C$5:$T$44,$CU40,AF$57),"")=0,"",IF(LEN(IFERROR(INDEX(醫師週班表!$C$5:$T$44,$CU40,AF$57),""))=4,MID(IFERROR(INDEX(醫師週班表!$C$5:$T$44,$CU40,AF$57),""),1+AF$58*2,1),IF(LEN(IFERROR(INDEX(醫師週班表!$C$5:$T$44,$CU40,AF$57),""))=2,IF(AND(RIGHT(IFERROR(INDEX(醫師週班表!$C$5:$T$44,$CU40,AF$57),""),1)="~",AF$58=1),"",LEFT(IFERROR(INDEX(醫師週班表!$C$5:$T$44,$CU40,AF$57),""),1)),IFERROR(INDEX(醫師週班表!$C$5:$T$44,$CU40,AF$57),""))))))</f>
        <v/>
      </c>
      <c r="AG40" s="68">
        <f>IF(AG$59="X","",IF(AG$59&lt;&gt;"",AG$59,IF(IFERROR(INDEX(醫師週班表!$C$5:$T$44,$CU40,AG$57),"")=0,"",IF(LEN(IFERROR(INDEX(醫師週班表!$C$5:$T$44,$CU40,AG$57),""))=4,MID(IFERROR(INDEX(醫師週班表!$C$5:$T$44,$CU40,AG$57),""),1+AG$58*2,1),IF(LEN(IFERROR(INDEX(醫師週班表!$C$5:$T$44,$CU40,AG$57),""))=2,IF(AND(RIGHT(IFERROR(INDEX(醫師週班表!$C$5:$T$44,$CU40,AG$57),""),1)="~",AG$58=1),"",LEFT(IFERROR(INDEX(醫師週班表!$C$5:$T$44,$CU40,AG$57),""),1)),IFERROR(INDEX(醫師週班表!$C$5:$T$44,$CU40,AG$57),""))))))</f>
        <v/>
      </c>
      <c r="AH40" s="68">
        <f>IF(AH$59="X","",IF(AH$59&lt;&gt;"",AH$59,IF(IFERROR(INDEX(醫師週班表!$C$5:$T$44,$CU40,AH$57),"")=0,"",IF(LEN(IFERROR(INDEX(醫師週班表!$C$5:$T$44,$CU40,AH$57),""))=4,MID(IFERROR(INDEX(醫師週班表!$C$5:$T$44,$CU40,AH$57),""),1+AH$58*2,1),IF(LEN(IFERROR(INDEX(醫師週班表!$C$5:$T$44,$CU40,AH$57),""))=2,IF(AND(RIGHT(IFERROR(INDEX(醫師週班表!$C$5:$T$44,$CU40,AH$57),""),1)="~",AH$58=1),"",LEFT(IFERROR(INDEX(醫師週班表!$C$5:$T$44,$CU40,AH$57),""),1)),IFERROR(INDEX(醫師週班表!$C$5:$T$44,$CU40,AH$57),""))))))</f>
        <v/>
      </c>
      <c r="AI40" s="67">
        <f>IF(AI$59="X","",IF(AI$59&lt;&gt;"",AI$59,IF(IFERROR(INDEX(醫師週班表!$C$5:$T$44,$CU40,AI$57),"")=0,"",IF(LEN(IFERROR(INDEX(醫師週班表!$C$5:$T$44,$CU40,AI$57),""))=4,MID(IFERROR(INDEX(醫師週班表!$C$5:$T$44,$CU40,AI$57),""),1+AI$58*2,1),IF(LEN(IFERROR(INDEX(醫師週班表!$C$5:$T$44,$CU40,AI$57),""))=2,IF(AND(RIGHT(IFERROR(INDEX(醫師週班表!$C$5:$T$44,$CU40,AI$57),""),1)="~",AI$58=1),"",LEFT(IFERROR(INDEX(醫師週班表!$C$5:$T$44,$CU40,AI$57),""),1)),IFERROR(INDEX(醫師週班表!$C$5:$T$44,$CU40,AI$57),""))))))</f>
        <v/>
      </c>
      <c r="AJ40" s="68">
        <f>IF(AJ$59="X","",IF(AJ$59&lt;&gt;"",AJ$59,IF(IFERROR(INDEX(醫師週班表!$C$5:$T$44,$CU40,AJ$57),"")=0,"",IF(LEN(IFERROR(INDEX(醫師週班表!$C$5:$T$44,$CU40,AJ$57),""))=4,MID(IFERROR(INDEX(醫師週班表!$C$5:$T$44,$CU40,AJ$57),""),1+AJ$58*2,1),IF(LEN(IFERROR(INDEX(醫師週班表!$C$5:$T$44,$CU40,AJ$57),""))=2,IF(AND(RIGHT(IFERROR(INDEX(醫師週班表!$C$5:$T$44,$CU40,AJ$57),""),1)="~",AJ$58=1),"",LEFT(IFERROR(INDEX(醫師週班表!$C$5:$T$44,$CU40,AJ$57),""),1)),IFERROR(INDEX(醫師週班表!$C$5:$T$44,$CU40,AJ$57),""))))))</f>
        <v/>
      </c>
      <c r="AK40" s="68">
        <f>IF(AK$59="X","",IF(AK$59&lt;&gt;"",AK$59,IF(IFERROR(INDEX(醫師週班表!$C$5:$T$44,$CU40,AK$57),"")=0,"",IF(LEN(IFERROR(INDEX(醫師週班表!$C$5:$T$44,$CU40,AK$57),""))=4,MID(IFERROR(INDEX(醫師週班表!$C$5:$T$44,$CU40,AK$57),""),1+AK$58*2,1),IF(LEN(IFERROR(INDEX(醫師週班表!$C$5:$T$44,$CU40,AK$57),""))=2,IF(AND(RIGHT(IFERROR(INDEX(醫師週班表!$C$5:$T$44,$CU40,AK$57),""),1)="~",AK$58=1),"",LEFT(IFERROR(INDEX(醫師週班表!$C$5:$T$44,$CU40,AK$57),""),1)),IFERROR(INDEX(醫師週班表!$C$5:$T$44,$CU40,AK$57),""))))))</f>
        <v/>
      </c>
      <c r="AL40" s="67">
        <f>IF(AL$59="X","",IF(AL$59&lt;&gt;"",AL$59,IF(IFERROR(INDEX(醫師週班表!$C$5:$T$44,$CU40,AL$57),"")=0,"",IF(LEN(IFERROR(INDEX(醫師週班表!$C$5:$T$44,$CU40,AL$57),""))=4,MID(IFERROR(INDEX(醫師週班表!$C$5:$T$44,$CU40,AL$57),""),1+AL$58*2,1),IF(LEN(IFERROR(INDEX(醫師週班表!$C$5:$T$44,$CU40,AL$57),""))=2,IF(AND(RIGHT(IFERROR(INDEX(醫師週班表!$C$5:$T$44,$CU40,AL$57),""),1)="~",AL$58=1),"",LEFT(IFERROR(INDEX(醫師週班表!$C$5:$T$44,$CU40,AL$57),""),1)),IFERROR(INDEX(醫師週班表!$C$5:$T$44,$CU40,AL$57),""))))))</f>
        <v/>
      </c>
      <c r="AM40" s="68">
        <f>IF(AM$59="X","",IF(AM$59&lt;&gt;"",AM$59,IF(IFERROR(INDEX(醫師週班表!$C$5:$T$44,$CU40,AM$57),"")=0,"",IF(LEN(IFERROR(INDEX(醫師週班表!$C$5:$T$44,$CU40,AM$57),""))=4,MID(IFERROR(INDEX(醫師週班表!$C$5:$T$44,$CU40,AM$57),""),1+AM$58*2,1),IF(LEN(IFERROR(INDEX(醫師週班表!$C$5:$T$44,$CU40,AM$57),""))=2,IF(AND(RIGHT(IFERROR(INDEX(醫師週班表!$C$5:$T$44,$CU40,AM$57),""),1)="~",AM$58=1),"",LEFT(IFERROR(INDEX(醫師週班表!$C$5:$T$44,$CU40,AM$57),""),1)),IFERROR(INDEX(醫師週班表!$C$5:$T$44,$CU40,AM$57),""))))))</f>
        <v/>
      </c>
      <c r="AN40" s="68">
        <f>IF(AN$59="X","",IF(AN$59&lt;&gt;"",AN$59,IF(IFERROR(INDEX(醫師週班表!$C$5:$T$44,$CU40,AN$57),"")=0,"",IF(LEN(IFERROR(INDEX(醫師週班表!$C$5:$T$44,$CU40,AN$57),""))=4,MID(IFERROR(INDEX(醫師週班表!$C$5:$T$44,$CU40,AN$57),""),1+AN$58*2,1),IF(LEN(IFERROR(INDEX(醫師週班表!$C$5:$T$44,$CU40,AN$57),""))=2,IF(AND(RIGHT(IFERROR(INDEX(醫師週班表!$C$5:$T$44,$CU40,AN$57),""),1)="~",AN$58=1),"",LEFT(IFERROR(INDEX(醫師週班表!$C$5:$T$44,$CU40,AN$57),""),1)),IFERROR(INDEX(醫師週班表!$C$5:$T$44,$CU40,AN$57),""))))))</f>
        <v/>
      </c>
      <c r="AO40" s="67">
        <f>IF(AO$59="X","",IF(AO$59&lt;&gt;"",AO$59,IF(IFERROR(INDEX(醫師週班表!$C$5:$T$44,$CU40,AO$57),"")=0,"",IF(LEN(IFERROR(INDEX(醫師週班表!$C$5:$T$44,$CU40,AO$57),""))=4,MID(IFERROR(INDEX(醫師週班表!$C$5:$T$44,$CU40,AO$57),""),1+AO$58*2,1),IF(LEN(IFERROR(INDEX(醫師週班表!$C$5:$T$44,$CU40,AO$57),""))=2,IF(AND(RIGHT(IFERROR(INDEX(醫師週班表!$C$5:$T$44,$CU40,AO$57),""),1)="~",AO$58=1),"",LEFT(IFERROR(INDEX(醫師週班表!$C$5:$T$44,$CU40,AO$57),""),1)),IFERROR(INDEX(醫師週班表!$C$5:$T$44,$CU40,AO$57),""))))))</f>
        <v/>
      </c>
      <c r="AP40" s="68">
        <f>IF(AP$59="X","",IF(AP$59&lt;&gt;"",AP$59,IF(IFERROR(INDEX(醫師週班表!$C$5:$T$44,$CU40,AP$57),"")=0,"",IF(LEN(IFERROR(INDEX(醫師週班表!$C$5:$T$44,$CU40,AP$57),""))=4,MID(IFERROR(INDEX(醫師週班表!$C$5:$T$44,$CU40,AP$57),""),1+AP$58*2,1),IF(LEN(IFERROR(INDEX(醫師週班表!$C$5:$T$44,$CU40,AP$57),""))=2,IF(AND(RIGHT(IFERROR(INDEX(醫師週班表!$C$5:$T$44,$CU40,AP$57),""),1)="~",AP$58=1),"",LEFT(IFERROR(INDEX(醫師週班表!$C$5:$T$44,$CU40,AP$57),""),1)),IFERROR(INDEX(醫師週班表!$C$5:$T$44,$CU40,AP$57),""))))))</f>
        <v/>
      </c>
      <c r="AQ40" s="68">
        <f>IF(AQ$59="X","",IF(AQ$59&lt;&gt;"",AQ$59,IF(IFERROR(INDEX(醫師週班表!$C$5:$T$44,$CU40,AQ$57),"")=0,"",IF(LEN(IFERROR(INDEX(醫師週班表!$C$5:$T$44,$CU40,AQ$57),""))=4,MID(IFERROR(INDEX(醫師週班表!$C$5:$T$44,$CU40,AQ$57),""),1+AQ$58*2,1),IF(LEN(IFERROR(INDEX(醫師週班表!$C$5:$T$44,$CU40,AQ$57),""))=2,IF(AND(RIGHT(IFERROR(INDEX(醫師週班表!$C$5:$T$44,$CU40,AQ$57),""),1)="~",AQ$58=1),"",LEFT(IFERROR(INDEX(醫師週班表!$C$5:$T$44,$CU40,AQ$57),""),1)),IFERROR(INDEX(醫師週班表!$C$5:$T$44,$CU40,AQ$57),""))))))</f>
        <v/>
      </c>
      <c r="AR40" s="67">
        <f>IF(AR$59="X","",IF(AR$59&lt;&gt;"",AR$59,IF(IFERROR(INDEX(醫師週班表!$C$5:$T$44,$CU40,AR$57),"")=0,"",IF(LEN(IFERROR(INDEX(醫師週班表!$C$5:$T$44,$CU40,AR$57),""))=4,MID(IFERROR(INDEX(醫師週班表!$C$5:$T$44,$CU40,AR$57),""),1+AR$58*2,1),IF(LEN(IFERROR(INDEX(醫師週班表!$C$5:$T$44,$CU40,AR$57),""))=2,IF(AND(RIGHT(IFERROR(INDEX(醫師週班表!$C$5:$T$44,$CU40,AR$57),""),1)="~",AR$58=1),"",LEFT(IFERROR(INDEX(醫師週班表!$C$5:$T$44,$CU40,AR$57),""),1)),IFERROR(INDEX(醫師週班表!$C$5:$T$44,$CU40,AR$57),""))))))</f>
        <v/>
      </c>
      <c r="AS40" s="68">
        <f>IF(AS$59="X","",IF(AS$59&lt;&gt;"",AS$59,IF(IFERROR(INDEX(醫師週班表!$C$5:$T$44,$CU40,AS$57),"")=0,"",IF(LEN(IFERROR(INDEX(醫師週班表!$C$5:$T$44,$CU40,AS$57),""))=4,MID(IFERROR(INDEX(醫師週班表!$C$5:$T$44,$CU40,AS$57),""),1+AS$58*2,1),IF(LEN(IFERROR(INDEX(醫師週班表!$C$5:$T$44,$CU40,AS$57),""))=2,IF(AND(RIGHT(IFERROR(INDEX(醫師週班表!$C$5:$T$44,$CU40,AS$57),""),1)="~",AS$58=1),"",LEFT(IFERROR(INDEX(醫師週班表!$C$5:$T$44,$CU40,AS$57),""),1)),IFERROR(INDEX(醫師週班表!$C$5:$T$44,$CU40,AS$57),""))))))</f>
        <v/>
      </c>
      <c r="AT40" s="68">
        <f>IF(AT$59="X","",IF(AT$59&lt;&gt;"",AT$59,IF(IFERROR(INDEX(醫師週班表!$C$5:$T$44,$CU40,AT$57),"")=0,"",IF(LEN(IFERROR(INDEX(醫師週班表!$C$5:$T$44,$CU40,AT$57),""))=4,MID(IFERROR(INDEX(醫師週班表!$C$5:$T$44,$CU40,AT$57),""),1+AT$58*2,1),IF(LEN(IFERROR(INDEX(醫師週班表!$C$5:$T$44,$CU40,AT$57),""))=2,IF(AND(RIGHT(IFERROR(INDEX(醫師週班表!$C$5:$T$44,$CU40,AT$57),""),1)="~",AT$58=1),"",LEFT(IFERROR(INDEX(醫師週班表!$C$5:$T$44,$CU40,AT$57),""),1)),IFERROR(INDEX(醫師週班表!$C$5:$T$44,$CU40,AT$57),""))))))</f>
        <v/>
      </c>
      <c r="AU40" s="67">
        <f>IF(AU$59="X","",IF(AU$59&lt;&gt;"",AU$59,IF(IFERROR(INDEX(醫師週班表!$C$5:$T$44,$CU40,AU$57),"")=0,"",IF(LEN(IFERROR(INDEX(醫師週班表!$C$5:$T$44,$CU40,AU$57),""))=4,MID(IFERROR(INDEX(醫師週班表!$C$5:$T$44,$CU40,AU$57),""),1+AU$58*2,1),IF(LEN(IFERROR(INDEX(醫師週班表!$C$5:$T$44,$CU40,AU$57),""))=2,IF(AND(RIGHT(IFERROR(INDEX(醫師週班表!$C$5:$T$44,$CU40,AU$57),""),1)="~",AU$58=1),"",LEFT(IFERROR(INDEX(醫師週班表!$C$5:$T$44,$CU40,AU$57),""),1)),IFERROR(INDEX(醫師週班表!$C$5:$T$44,$CU40,AU$57),""))))))</f>
        <v/>
      </c>
      <c r="AV40" s="68">
        <f>IF(AV$59="X","",IF(AV$59&lt;&gt;"",AV$59,IF(IFERROR(INDEX(醫師週班表!$C$5:$T$44,$CU40,AV$57),"")=0,"",IF(LEN(IFERROR(INDEX(醫師週班表!$C$5:$T$44,$CU40,AV$57),""))=4,MID(IFERROR(INDEX(醫師週班表!$C$5:$T$44,$CU40,AV$57),""),1+AV$58*2,1),IF(LEN(IFERROR(INDEX(醫師週班表!$C$5:$T$44,$CU40,AV$57),""))=2,IF(AND(RIGHT(IFERROR(INDEX(醫師週班表!$C$5:$T$44,$CU40,AV$57),""),1)="~",AV$58=1),"",LEFT(IFERROR(INDEX(醫師週班表!$C$5:$T$44,$CU40,AV$57),""),1)),IFERROR(INDEX(醫師週班表!$C$5:$T$44,$CU40,AV$57),""))))))</f>
        <v/>
      </c>
      <c r="AW40" s="68">
        <f>IF(AW$59="X","",IF(AW$59&lt;&gt;"",AW$59,IF(IFERROR(INDEX(醫師週班表!$C$5:$T$44,$CU40,AW$57),"")=0,"",IF(LEN(IFERROR(INDEX(醫師週班表!$C$5:$T$44,$CU40,AW$57),""))=4,MID(IFERROR(INDEX(醫師週班表!$C$5:$T$44,$CU40,AW$57),""),1+AW$58*2,1),IF(LEN(IFERROR(INDEX(醫師週班表!$C$5:$T$44,$CU40,AW$57),""))=2,IF(AND(RIGHT(IFERROR(INDEX(醫師週班表!$C$5:$T$44,$CU40,AW$57),""),1)="~",AW$58=1),"",LEFT(IFERROR(INDEX(醫師週班表!$C$5:$T$44,$CU40,AW$57),""),1)),IFERROR(INDEX(醫師週班表!$C$5:$T$44,$CU40,AW$57),""))))))</f>
        <v/>
      </c>
      <c r="AX40" s="67">
        <f>IF(AX$59="X","",IF(AX$59&lt;&gt;"",AX$59,IF(IFERROR(INDEX(醫師週班表!$C$5:$T$44,$CU40,AX$57),"")=0,"",IF(LEN(IFERROR(INDEX(醫師週班表!$C$5:$T$44,$CU40,AX$57),""))=4,MID(IFERROR(INDEX(醫師週班表!$C$5:$T$44,$CU40,AX$57),""),1+AX$58*2,1),IF(LEN(IFERROR(INDEX(醫師週班表!$C$5:$T$44,$CU40,AX$57),""))=2,IF(AND(RIGHT(IFERROR(INDEX(醫師週班表!$C$5:$T$44,$CU40,AX$57),""),1)="~",AX$58=1),"",LEFT(IFERROR(INDEX(醫師週班表!$C$5:$T$44,$CU40,AX$57),""),1)),IFERROR(INDEX(醫師週班表!$C$5:$T$44,$CU40,AX$57),""))))))</f>
        <v/>
      </c>
      <c r="AY40" s="68">
        <f>IF(AY$59="X","",IF(AY$59&lt;&gt;"",AY$59,IF(IFERROR(INDEX(醫師週班表!$C$5:$T$44,$CU40,AY$57),"")=0,"",IF(LEN(IFERROR(INDEX(醫師週班表!$C$5:$T$44,$CU40,AY$57),""))=4,MID(IFERROR(INDEX(醫師週班表!$C$5:$T$44,$CU40,AY$57),""),1+AY$58*2,1),IF(LEN(IFERROR(INDEX(醫師週班表!$C$5:$T$44,$CU40,AY$57),""))=2,IF(AND(RIGHT(IFERROR(INDEX(醫師週班表!$C$5:$T$44,$CU40,AY$57),""),1)="~",AY$58=1),"",LEFT(IFERROR(INDEX(醫師週班表!$C$5:$T$44,$CU40,AY$57),""),1)),IFERROR(INDEX(醫師週班表!$C$5:$T$44,$CU40,AY$57),""))))))</f>
        <v/>
      </c>
      <c r="AZ40" s="68">
        <f>IF(AZ$59="X","",IF(AZ$59&lt;&gt;"",AZ$59,IF(IFERROR(INDEX(醫師週班表!$C$5:$T$44,$CU40,AZ$57),"")=0,"",IF(LEN(IFERROR(INDEX(醫師週班表!$C$5:$T$44,$CU40,AZ$57),""))=4,MID(IFERROR(INDEX(醫師週班表!$C$5:$T$44,$CU40,AZ$57),""),1+AZ$58*2,1),IF(LEN(IFERROR(INDEX(醫師週班表!$C$5:$T$44,$CU40,AZ$57),""))=2,IF(AND(RIGHT(IFERROR(INDEX(醫師週班表!$C$5:$T$44,$CU40,AZ$57),""),1)="~",AZ$58=1),"",LEFT(IFERROR(INDEX(醫師週班表!$C$5:$T$44,$CU40,AZ$57),""),1)),IFERROR(INDEX(醫師週班表!$C$5:$T$44,$CU40,AZ$57),""))))))</f>
        <v/>
      </c>
      <c r="BA40" s="67">
        <f>IF(BA$59="X","",IF(BA$59&lt;&gt;"",BA$59,IF(IFERROR(INDEX(醫師週班表!$C$5:$T$44,$CU40,BA$57),"")=0,"",IF(LEN(IFERROR(INDEX(醫師週班表!$C$5:$T$44,$CU40,BA$57),""))=4,MID(IFERROR(INDEX(醫師週班表!$C$5:$T$44,$CU40,BA$57),""),1+BA$58*2,1),IF(LEN(IFERROR(INDEX(醫師週班表!$C$5:$T$44,$CU40,BA$57),""))=2,IF(AND(RIGHT(IFERROR(INDEX(醫師週班表!$C$5:$T$44,$CU40,BA$57),""),1)="~",BA$58=1),"",LEFT(IFERROR(INDEX(醫師週班表!$C$5:$T$44,$CU40,BA$57),""),1)),IFERROR(INDEX(醫師週班表!$C$5:$T$44,$CU40,BA$57),""))))))</f>
        <v/>
      </c>
      <c r="BB40" s="68">
        <f>IF(BB$59="X","",IF(BB$59&lt;&gt;"",BB$59,IF(IFERROR(INDEX(醫師週班表!$C$5:$T$44,$CU40,BB$57),"")=0,"",IF(LEN(IFERROR(INDEX(醫師週班表!$C$5:$T$44,$CU40,BB$57),""))=4,MID(IFERROR(INDEX(醫師週班表!$C$5:$T$44,$CU40,BB$57),""),1+BB$58*2,1),IF(LEN(IFERROR(INDEX(醫師週班表!$C$5:$T$44,$CU40,BB$57),""))=2,IF(AND(RIGHT(IFERROR(INDEX(醫師週班表!$C$5:$T$44,$CU40,BB$57),""),1)="~",BB$58=1),"",LEFT(IFERROR(INDEX(醫師週班表!$C$5:$T$44,$CU40,BB$57),""),1)),IFERROR(INDEX(醫師週班表!$C$5:$T$44,$CU40,BB$57),""))))))</f>
        <v/>
      </c>
      <c r="BC40" s="68">
        <f>IF(BC$59="X","",IF(BC$59&lt;&gt;"",BC$59,IF(IFERROR(INDEX(醫師週班表!$C$5:$T$44,$CU40,BC$57),"")=0,"",IF(LEN(IFERROR(INDEX(醫師週班表!$C$5:$T$44,$CU40,BC$57),""))=4,MID(IFERROR(INDEX(醫師週班表!$C$5:$T$44,$CU40,BC$57),""),1+BC$58*2,1),IF(LEN(IFERROR(INDEX(醫師週班表!$C$5:$T$44,$CU40,BC$57),""))=2,IF(AND(RIGHT(IFERROR(INDEX(醫師週班表!$C$5:$T$44,$CU40,BC$57),""),1)="~",BC$58=1),"",LEFT(IFERROR(INDEX(醫師週班表!$C$5:$T$44,$CU40,BC$57),""),1)),IFERROR(INDEX(醫師週班表!$C$5:$T$44,$CU40,BC$57),""))))))</f>
        <v/>
      </c>
      <c r="BD40" s="67">
        <f>IF(BD$59="X","",IF(BD$59&lt;&gt;"",BD$59,IF(IFERROR(INDEX(醫師週班表!$C$5:$T$44,$CU40,BD$57),"")=0,"",IF(LEN(IFERROR(INDEX(醫師週班表!$C$5:$T$44,$CU40,BD$57),""))=4,MID(IFERROR(INDEX(醫師週班表!$C$5:$T$44,$CU40,BD$57),""),1+BD$58*2,1),IF(LEN(IFERROR(INDEX(醫師週班表!$C$5:$T$44,$CU40,BD$57),""))=2,IF(AND(RIGHT(IFERROR(INDEX(醫師週班表!$C$5:$T$44,$CU40,BD$57),""),1)="~",BD$58=1),"",LEFT(IFERROR(INDEX(醫師週班表!$C$5:$T$44,$CU40,BD$57),""),1)),IFERROR(INDEX(醫師週班表!$C$5:$T$44,$CU40,BD$57),""))))))</f>
        <v/>
      </c>
      <c r="BE40" s="68">
        <f>IF(BE$59="X","",IF(BE$59&lt;&gt;"",BE$59,IF(IFERROR(INDEX(醫師週班表!$C$5:$T$44,$CU40,BE$57),"")=0,"",IF(LEN(IFERROR(INDEX(醫師週班表!$C$5:$T$44,$CU40,BE$57),""))=4,MID(IFERROR(INDEX(醫師週班表!$C$5:$T$44,$CU40,BE$57),""),1+BE$58*2,1),IF(LEN(IFERROR(INDEX(醫師週班表!$C$5:$T$44,$CU40,BE$57),""))=2,IF(AND(RIGHT(IFERROR(INDEX(醫師週班表!$C$5:$T$44,$CU40,BE$57),""),1)="~",BE$58=1),"",LEFT(IFERROR(INDEX(醫師週班表!$C$5:$T$44,$CU40,BE$57),""),1)),IFERROR(INDEX(醫師週班表!$C$5:$T$44,$CU40,BE$57),""))))))</f>
        <v/>
      </c>
      <c r="BF40" s="68">
        <f>IF(BF$59="X","",IF(BF$59&lt;&gt;"",BF$59,IF(IFERROR(INDEX(醫師週班表!$C$5:$T$44,$CU40,BF$57),"")=0,"",IF(LEN(IFERROR(INDEX(醫師週班表!$C$5:$T$44,$CU40,BF$57),""))=4,MID(IFERROR(INDEX(醫師週班表!$C$5:$T$44,$CU40,BF$57),""),1+BF$58*2,1),IF(LEN(IFERROR(INDEX(醫師週班表!$C$5:$T$44,$CU40,BF$57),""))=2,IF(AND(RIGHT(IFERROR(INDEX(醫師週班表!$C$5:$T$44,$CU40,BF$57),""),1)="~",BF$58=1),"",LEFT(IFERROR(INDEX(醫師週班表!$C$5:$T$44,$CU40,BF$57),""),1)),IFERROR(INDEX(醫師週班表!$C$5:$T$44,$CU40,BF$57),""))))))</f>
        <v/>
      </c>
      <c r="BG40" s="67">
        <f>IF(BG$59="X","",IF(BG$59&lt;&gt;"",BG$59,IF(IFERROR(INDEX(醫師週班表!$C$5:$T$44,$CU40,BG$57),"")=0,"",IF(LEN(IFERROR(INDEX(醫師週班表!$C$5:$T$44,$CU40,BG$57),""))=4,MID(IFERROR(INDEX(醫師週班表!$C$5:$T$44,$CU40,BG$57),""),1+BG$58*2,1),IF(LEN(IFERROR(INDEX(醫師週班表!$C$5:$T$44,$CU40,BG$57),""))=2,IF(AND(RIGHT(IFERROR(INDEX(醫師週班表!$C$5:$T$44,$CU40,BG$57),""),1)="~",BG$58=1),"",LEFT(IFERROR(INDEX(醫師週班表!$C$5:$T$44,$CU40,BG$57),""),1)),IFERROR(INDEX(醫師週班表!$C$5:$T$44,$CU40,BG$57),""))))))</f>
        <v/>
      </c>
      <c r="BH40" s="68">
        <f>IF(BH$59="X","",IF(BH$59&lt;&gt;"",BH$59,IF(IFERROR(INDEX(醫師週班表!$C$5:$T$44,$CU40,BH$57),"")=0,"",IF(LEN(IFERROR(INDEX(醫師週班表!$C$5:$T$44,$CU40,BH$57),""))=4,MID(IFERROR(INDEX(醫師週班表!$C$5:$T$44,$CU40,BH$57),""),1+BH$58*2,1),IF(LEN(IFERROR(INDEX(醫師週班表!$C$5:$T$44,$CU40,BH$57),""))=2,IF(AND(RIGHT(IFERROR(INDEX(醫師週班表!$C$5:$T$44,$CU40,BH$57),""),1)="~",BH$58=1),"",LEFT(IFERROR(INDEX(醫師週班表!$C$5:$T$44,$CU40,BH$57),""),1)),IFERROR(INDEX(醫師週班表!$C$5:$T$44,$CU40,BH$57),""))))))</f>
        <v/>
      </c>
      <c r="BI40" s="68">
        <f>IF(BI$59="X","",IF(BI$59&lt;&gt;"",BI$59,IF(IFERROR(INDEX(醫師週班表!$C$5:$T$44,$CU40,BI$57),"")=0,"",IF(LEN(IFERROR(INDEX(醫師週班表!$C$5:$T$44,$CU40,BI$57),""))=4,MID(IFERROR(INDEX(醫師週班表!$C$5:$T$44,$CU40,BI$57),""),1+BI$58*2,1),IF(LEN(IFERROR(INDEX(醫師週班表!$C$5:$T$44,$CU40,BI$57),""))=2,IF(AND(RIGHT(IFERROR(INDEX(醫師週班表!$C$5:$T$44,$CU40,BI$57),""),1)="~",BI$58=1),"",LEFT(IFERROR(INDEX(醫師週班表!$C$5:$T$44,$CU40,BI$57),""),1)),IFERROR(INDEX(醫師週班表!$C$5:$T$44,$CU40,BI$57),""))))))</f>
        <v/>
      </c>
      <c r="BJ40" s="67">
        <f>IF(BJ$59="X","",IF(BJ$59&lt;&gt;"",BJ$59,IF(IFERROR(INDEX(醫師週班表!$C$5:$T$44,$CU40,BJ$57),"")=0,"",IF(LEN(IFERROR(INDEX(醫師週班表!$C$5:$T$44,$CU40,BJ$57),""))=4,MID(IFERROR(INDEX(醫師週班表!$C$5:$T$44,$CU40,BJ$57),""),1+BJ$58*2,1),IF(LEN(IFERROR(INDEX(醫師週班表!$C$5:$T$44,$CU40,BJ$57),""))=2,IF(AND(RIGHT(IFERROR(INDEX(醫師週班表!$C$5:$T$44,$CU40,BJ$57),""),1)="~",BJ$58=1),"",LEFT(IFERROR(INDEX(醫師週班表!$C$5:$T$44,$CU40,BJ$57),""),1)),IFERROR(INDEX(醫師週班表!$C$5:$T$44,$CU40,BJ$57),""))))))</f>
        <v/>
      </c>
      <c r="BK40" s="68">
        <f>IF(BK$59="X","",IF(BK$59&lt;&gt;"",BK$59,IF(IFERROR(INDEX(醫師週班表!$C$5:$T$44,$CU40,BK$57),"")=0,"",IF(LEN(IFERROR(INDEX(醫師週班表!$C$5:$T$44,$CU40,BK$57),""))=4,MID(IFERROR(INDEX(醫師週班表!$C$5:$T$44,$CU40,BK$57),""),1+BK$58*2,1),IF(LEN(IFERROR(INDEX(醫師週班表!$C$5:$T$44,$CU40,BK$57),""))=2,IF(AND(RIGHT(IFERROR(INDEX(醫師週班表!$C$5:$T$44,$CU40,BK$57),""),1)="~",BK$58=1),"",LEFT(IFERROR(INDEX(醫師週班表!$C$5:$T$44,$CU40,BK$57),""),1)),IFERROR(INDEX(醫師週班表!$C$5:$T$44,$CU40,BK$57),""))))))</f>
        <v/>
      </c>
      <c r="BL40" s="68">
        <f>IF(BL$59="X","",IF(BL$59&lt;&gt;"",BL$59,IF(IFERROR(INDEX(醫師週班表!$C$5:$T$44,$CU40,BL$57),"")=0,"",IF(LEN(IFERROR(INDEX(醫師週班表!$C$5:$T$44,$CU40,BL$57),""))=4,MID(IFERROR(INDEX(醫師週班表!$C$5:$T$44,$CU40,BL$57),""),1+BL$58*2,1),IF(LEN(IFERROR(INDEX(醫師週班表!$C$5:$T$44,$CU40,BL$57),""))=2,IF(AND(RIGHT(IFERROR(INDEX(醫師週班表!$C$5:$T$44,$CU40,BL$57),""),1)="~",BL$58=1),"",LEFT(IFERROR(INDEX(醫師週班表!$C$5:$T$44,$CU40,BL$57),""),1)),IFERROR(INDEX(醫師週班表!$C$5:$T$44,$CU40,BL$57),""))))))</f>
        <v/>
      </c>
      <c r="BM40" s="67">
        <f>IF(BM$59="X","",IF(BM$59&lt;&gt;"",BM$59,IF(IFERROR(INDEX(醫師週班表!$C$5:$T$44,$CU40,BM$57),"")=0,"",IF(LEN(IFERROR(INDEX(醫師週班表!$C$5:$T$44,$CU40,BM$57),""))=4,MID(IFERROR(INDEX(醫師週班表!$C$5:$T$44,$CU40,BM$57),""),1+BM$58*2,1),IF(LEN(IFERROR(INDEX(醫師週班表!$C$5:$T$44,$CU40,BM$57),""))=2,IF(AND(RIGHT(IFERROR(INDEX(醫師週班表!$C$5:$T$44,$CU40,BM$57),""),1)="~",BM$58=1),"",LEFT(IFERROR(INDEX(醫師週班表!$C$5:$T$44,$CU40,BM$57),""),1)),IFERROR(INDEX(醫師週班表!$C$5:$T$44,$CU40,BM$57),""))))))</f>
        <v/>
      </c>
      <c r="BN40" s="68">
        <f>IF(BN$59="X","",IF(BN$59&lt;&gt;"",BN$59,IF(IFERROR(INDEX(醫師週班表!$C$5:$T$44,$CU40,BN$57),"")=0,"",IF(LEN(IFERROR(INDEX(醫師週班表!$C$5:$T$44,$CU40,BN$57),""))=4,MID(IFERROR(INDEX(醫師週班表!$C$5:$T$44,$CU40,BN$57),""),1+BN$58*2,1),IF(LEN(IFERROR(INDEX(醫師週班表!$C$5:$T$44,$CU40,BN$57),""))=2,IF(AND(RIGHT(IFERROR(INDEX(醫師週班表!$C$5:$T$44,$CU40,BN$57),""),1)="~",BN$58=1),"",LEFT(IFERROR(INDEX(醫師週班表!$C$5:$T$44,$CU40,BN$57),""),1)),IFERROR(INDEX(醫師週班表!$C$5:$T$44,$CU40,BN$57),""))))))</f>
        <v/>
      </c>
      <c r="BO40" s="68">
        <f>IF(BO$59="X","",IF(BO$59&lt;&gt;"",BO$59,IF(IFERROR(INDEX(醫師週班表!$C$5:$T$44,$CU40,BO$57),"")=0,"",IF(LEN(IFERROR(INDEX(醫師週班表!$C$5:$T$44,$CU40,BO$57),""))=4,MID(IFERROR(INDEX(醫師週班表!$C$5:$T$44,$CU40,BO$57),""),1+BO$58*2,1),IF(LEN(IFERROR(INDEX(醫師週班表!$C$5:$T$44,$CU40,BO$57),""))=2,IF(AND(RIGHT(IFERROR(INDEX(醫師週班表!$C$5:$T$44,$CU40,BO$57),""),1)="~",BO$58=1),"",LEFT(IFERROR(INDEX(醫師週班表!$C$5:$T$44,$CU40,BO$57),""),1)),IFERROR(INDEX(醫師週班表!$C$5:$T$44,$CU40,BO$57),""))))))</f>
        <v/>
      </c>
      <c r="BP40" s="67">
        <f>IF(BP$59="X","",IF(BP$59&lt;&gt;"",BP$59,IF(IFERROR(INDEX(醫師週班表!$C$5:$T$44,$CU40,BP$57),"")=0,"",IF(LEN(IFERROR(INDEX(醫師週班表!$C$5:$T$44,$CU40,BP$57),""))=4,MID(IFERROR(INDEX(醫師週班表!$C$5:$T$44,$CU40,BP$57),""),1+BP$58*2,1),IF(LEN(IFERROR(INDEX(醫師週班表!$C$5:$T$44,$CU40,BP$57),""))=2,IF(AND(RIGHT(IFERROR(INDEX(醫師週班表!$C$5:$T$44,$CU40,BP$57),""),1)="~",BP$58=1),"",LEFT(IFERROR(INDEX(醫師週班表!$C$5:$T$44,$CU40,BP$57),""),1)),IFERROR(INDEX(醫師週班表!$C$5:$T$44,$CU40,BP$57),""))))))</f>
        <v/>
      </c>
      <c r="BQ40" s="68">
        <f>IF(BQ$59="X","",IF(BQ$59&lt;&gt;"",BQ$59,IF(IFERROR(INDEX(醫師週班表!$C$5:$T$44,$CU40,BQ$57),"")=0,"",IF(LEN(IFERROR(INDEX(醫師週班表!$C$5:$T$44,$CU40,BQ$57),""))=4,MID(IFERROR(INDEX(醫師週班表!$C$5:$T$44,$CU40,BQ$57),""),1+BQ$58*2,1),IF(LEN(IFERROR(INDEX(醫師週班表!$C$5:$T$44,$CU40,BQ$57),""))=2,IF(AND(RIGHT(IFERROR(INDEX(醫師週班表!$C$5:$T$44,$CU40,BQ$57),""),1)="~",BQ$58=1),"",LEFT(IFERROR(INDEX(醫師週班表!$C$5:$T$44,$CU40,BQ$57),""),1)),IFERROR(INDEX(醫師週班表!$C$5:$T$44,$CU40,BQ$57),""))))))</f>
        <v/>
      </c>
      <c r="BR40" s="68">
        <f>IF(BR$59="X","",IF(BR$59&lt;&gt;"",BR$59,IF(IFERROR(INDEX(醫師週班表!$C$5:$T$44,$CU40,BR$57),"")=0,"",IF(LEN(IFERROR(INDEX(醫師週班表!$C$5:$T$44,$CU40,BR$57),""))=4,MID(IFERROR(INDEX(醫師週班表!$C$5:$T$44,$CU40,BR$57),""),1+BR$58*2,1),IF(LEN(IFERROR(INDEX(醫師週班表!$C$5:$T$44,$CU40,BR$57),""))=2,IF(AND(RIGHT(IFERROR(INDEX(醫師週班表!$C$5:$T$44,$CU40,BR$57),""),1)="~",BR$58=1),"",LEFT(IFERROR(INDEX(醫師週班表!$C$5:$T$44,$CU40,BR$57),""),1)),IFERROR(INDEX(醫師週班表!$C$5:$T$44,$CU40,BR$57),""))))))</f>
        <v/>
      </c>
      <c r="BS40" s="67">
        <f>IF(BS$59="X","",IF(BS$59&lt;&gt;"",BS$59,IF(IFERROR(INDEX(醫師週班表!$C$5:$T$44,$CU40,BS$57),"")=0,"",IF(LEN(IFERROR(INDEX(醫師週班表!$C$5:$T$44,$CU40,BS$57),""))=4,MID(IFERROR(INDEX(醫師週班表!$C$5:$T$44,$CU40,BS$57),""),1+BS$58*2,1),IF(LEN(IFERROR(INDEX(醫師週班表!$C$5:$T$44,$CU40,BS$57),""))=2,IF(AND(RIGHT(IFERROR(INDEX(醫師週班表!$C$5:$T$44,$CU40,BS$57),""),1)="~",BS$58=1),"",LEFT(IFERROR(INDEX(醫師週班表!$C$5:$T$44,$CU40,BS$57),""),1)),IFERROR(INDEX(醫師週班表!$C$5:$T$44,$CU40,BS$57),""))))))</f>
        <v/>
      </c>
      <c r="BT40" s="68">
        <f>IF(BT$59="X","",IF(BT$59&lt;&gt;"",BT$59,IF(IFERROR(INDEX(醫師週班表!$C$5:$T$44,$CU40,BT$57),"")=0,"",IF(LEN(IFERROR(INDEX(醫師週班表!$C$5:$T$44,$CU40,BT$57),""))=4,MID(IFERROR(INDEX(醫師週班表!$C$5:$T$44,$CU40,BT$57),""),1+BT$58*2,1),IF(LEN(IFERROR(INDEX(醫師週班表!$C$5:$T$44,$CU40,BT$57),""))=2,IF(AND(RIGHT(IFERROR(INDEX(醫師週班表!$C$5:$T$44,$CU40,BT$57),""),1)="~",BT$58=1),"",LEFT(IFERROR(INDEX(醫師週班表!$C$5:$T$44,$CU40,BT$57),""),1)),IFERROR(INDEX(醫師週班表!$C$5:$T$44,$CU40,BT$57),""))))))</f>
        <v/>
      </c>
      <c r="BU40" s="68">
        <f>IF(BU$59="X","",IF(BU$59&lt;&gt;"",BU$59,IF(IFERROR(INDEX(醫師週班表!$C$5:$T$44,$CU40,BU$57),"")=0,"",IF(LEN(IFERROR(INDEX(醫師週班表!$C$5:$T$44,$CU40,BU$57),""))=4,MID(IFERROR(INDEX(醫師週班表!$C$5:$T$44,$CU40,BU$57),""),1+BU$58*2,1),IF(LEN(IFERROR(INDEX(醫師週班表!$C$5:$T$44,$CU40,BU$57),""))=2,IF(AND(RIGHT(IFERROR(INDEX(醫師週班表!$C$5:$T$44,$CU40,BU$57),""),1)="~",BU$58=1),"",LEFT(IFERROR(INDEX(醫師週班表!$C$5:$T$44,$CU40,BU$57),""),1)),IFERROR(INDEX(醫師週班表!$C$5:$T$44,$CU40,BU$57),""))))))</f>
        <v/>
      </c>
      <c r="BV40" s="67">
        <f>IF(BV$59="X","",IF(BV$59&lt;&gt;"",BV$59,IF(IFERROR(INDEX(醫師週班表!$C$5:$T$44,$CU40,BV$57),"")=0,"",IF(LEN(IFERROR(INDEX(醫師週班表!$C$5:$T$44,$CU40,BV$57),""))=4,MID(IFERROR(INDEX(醫師週班表!$C$5:$T$44,$CU40,BV$57),""),1+BV$58*2,1),IF(LEN(IFERROR(INDEX(醫師週班表!$C$5:$T$44,$CU40,BV$57),""))=2,IF(AND(RIGHT(IFERROR(INDEX(醫師週班表!$C$5:$T$44,$CU40,BV$57),""),1)="~",BV$58=1),"",LEFT(IFERROR(INDEX(醫師週班表!$C$5:$T$44,$CU40,BV$57),""),1)),IFERROR(INDEX(醫師週班表!$C$5:$T$44,$CU40,BV$57),""))))))</f>
        <v/>
      </c>
      <c r="BW40" s="68">
        <f>IF(BW$59="X","",IF(BW$59&lt;&gt;"",BW$59,IF(IFERROR(INDEX(醫師週班表!$C$5:$T$44,$CU40,BW$57),"")=0,"",IF(LEN(IFERROR(INDEX(醫師週班表!$C$5:$T$44,$CU40,BW$57),""))=4,MID(IFERROR(INDEX(醫師週班表!$C$5:$T$44,$CU40,BW$57),""),1+BW$58*2,1),IF(LEN(IFERROR(INDEX(醫師週班表!$C$5:$T$44,$CU40,BW$57),""))=2,IF(AND(RIGHT(IFERROR(INDEX(醫師週班表!$C$5:$T$44,$CU40,BW$57),""),1)="~",BW$58=1),"",LEFT(IFERROR(INDEX(醫師週班表!$C$5:$T$44,$CU40,BW$57),""),1)),IFERROR(INDEX(醫師週班表!$C$5:$T$44,$CU40,BW$57),""))))))</f>
        <v/>
      </c>
      <c r="BX40" s="68">
        <f>IF(BX$59="X","",IF(BX$59&lt;&gt;"",BX$59,IF(IFERROR(INDEX(醫師週班表!$C$5:$T$44,$CU40,BX$57),"")=0,"",IF(LEN(IFERROR(INDEX(醫師週班表!$C$5:$T$44,$CU40,BX$57),""))=4,MID(IFERROR(INDEX(醫師週班表!$C$5:$T$44,$CU40,BX$57),""),1+BX$58*2,1),IF(LEN(IFERROR(INDEX(醫師週班表!$C$5:$T$44,$CU40,BX$57),""))=2,IF(AND(RIGHT(IFERROR(INDEX(醫師週班表!$C$5:$T$44,$CU40,BX$57),""),1)="~",BX$58=1),"",LEFT(IFERROR(INDEX(醫師週班表!$C$5:$T$44,$CU40,BX$57),""),1)),IFERROR(INDEX(醫師週班表!$C$5:$T$44,$CU40,BX$57),""))))))</f>
        <v/>
      </c>
      <c r="BY40" s="67">
        <f>IF(BY$59="X","",IF(BY$59&lt;&gt;"",BY$59,IF(IFERROR(INDEX(醫師週班表!$C$5:$T$44,$CU40,BY$57),"")=0,"",IF(LEN(IFERROR(INDEX(醫師週班表!$C$5:$T$44,$CU40,BY$57),""))=4,MID(IFERROR(INDEX(醫師週班表!$C$5:$T$44,$CU40,BY$57),""),1+BY$58*2,1),IF(LEN(IFERROR(INDEX(醫師週班表!$C$5:$T$44,$CU40,BY$57),""))=2,IF(AND(RIGHT(IFERROR(INDEX(醫師週班表!$C$5:$T$44,$CU40,BY$57),""),1)="~",BY$58=1),"",LEFT(IFERROR(INDEX(醫師週班表!$C$5:$T$44,$CU40,BY$57),""),1)),IFERROR(INDEX(醫師週班表!$C$5:$T$44,$CU40,BY$57),""))))))</f>
        <v/>
      </c>
      <c r="BZ40" s="68">
        <f>IF(BZ$59="X","",IF(BZ$59&lt;&gt;"",BZ$59,IF(IFERROR(INDEX(醫師週班表!$C$5:$T$44,$CU40,BZ$57),"")=0,"",IF(LEN(IFERROR(INDEX(醫師週班表!$C$5:$T$44,$CU40,BZ$57),""))=4,MID(IFERROR(INDEX(醫師週班表!$C$5:$T$44,$CU40,BZ$57),""),1+BZ$58*2,1),IF(LEN(IFERROR(INDEX(醫師週班表!$C$5:$T$44,$CU40,BZ$57),""))=2,IF(AND(RIGHT(IFERROR(INDEX(醫師週班表!$C$5:$T$44,$CU40,BZ$57),""),1)="~",BZ$58=1),"",LEFT(IFERROR(INDEX(醫師週班表!$C$5:$T$44,$CU40,BZ$57),""),1)),IFERROR(INDEX(醫師週班表!$C$5:$T$44,$CU40,BZ$57),""))))))</f>
        <v/>
      </c>
      <c r="CA40" s="68">
        <f>IF(CA$59="X","",IF(CA$59&lt;&gt;"",CA$59,IF(IFERROR(INDEX(醫師週班表!$C$5:$T$44,$CU40,CA$57),"")=0,"",IF(LEN(IFERROR(INDEX(醫師週班表!$C$5:$T$44,$CU40,CA$57),""))=4,MID(IFERROR(INDEX(醫師週班表!$C$5:$T$44,$CU40,CA$57),""),1+CA$58*2,1),IF(LEN(IFERROR(INDEX(醫師週班表!$C$5:$T$44,$CU40,CA$57),""))=2,IF(AND(RIGHT(IFERROR(INDEX(醫師週班表!$C$5:$T$44,$CU40,CA$57),""),1)="~",CA$58=1),"",LEFT(IFERROR(INDEX(醫師週班表!$C$5:$T$44,$CU40,CA$57),""),1)),IFERROR(INDEX(醫師週班表!$C$5:$T$44,$CU40,CA$57),""))))))</f>
        <v/>
      </c>
      <c r="CB40" s="67">
        <f>IF(CB$59="X","",IF(CB$59&lt;&gt;"",CB$59,IF(IFERROR(INDEX(醫師週班表!$C$5:$T$44,$CU40,CB$57),"")=0,"",IF(LEN(IFERROR(INDEX(醫師週班表!$C$5:$T$44,$CU40,CB$57),""))=4,MID(IFERROR(INDEX(醫師週班表!$C$5:$T$44,$CU40,CB$57),""),1+CB$58*2,1),IF(LEN(IFERROR(INDEX(醫師週班表!$C$5:$T$44,$CU40,CB$57),""))=2,IF(AND(RIGHT(IFERROR(INDEX(醫師週班表!$C$5:$T$44,$CU40,CB$57),""),1)="~",CB$58=1),"",LEFT(IFERROR(INDEX(醫師週班表!$C$5:$T$44,$CU40,CB$57),""),1)),IFERROR(INDEX(醫師週班表!$C$5:$T$44,$CU40,CB$57),""))))))</f>
        <v/>
      </c>
      <c r="CC40" s="68">
        <f>IF(CC$59="X","",IF(CC$59&lt;&gt;"",CC$59,IF(IFERROR(INDEX(醫師週班表!$C$5:$T$44,$CU40,CC$57),"")=0,"",IF(LEN(IFERROR(INDEX(醫師週班表!$C$5:$T$44,$CU40,CC$57),""))=4,MID(IFERROR(INDEX(醫師週班表!$C$5:$T$44,$CU40,CC$57),""),1+CC$58*2,1),IF(LEN(IFERROR(INDEX(醫師週班表!$C$5:$T$44,$CU40,CC$57),""))=2,IF(AND(RIGHT(IFERROR(INDEX(醫師週班表!$C$5:$T$44,$CU40,CC$57),""),1)="~",CC$58=1),"",LEFT(IFERROR(INDEX(醫師週班表!$C$5:$T$44,$CU40,CC$57),""),1)),IFERROR(INDEX(醫師週班表!$C$5:$T$44,$CU40,CC$57),""))))))</f>
        <v/>
      </c>
      <c r="CD40" s="68">
        <f>IF(CD$59="X","",IF(CD$59&lt;&gt;"",CD$59,IF(IFERROR(INDEX(醫師週班表!$C$5:$T$44,$CU40,CD$57),"")=0,"",IF(LEN(IFERROR(INDEX(醫師週班表!$C$5:$T$44,$CU40,CD$57),""))=4,MID(IFERROR(INDEX(醫師週班表!$C$5:$T$44,$CU40,CD$57),""),1+CD$58*2,1),IF(LEN(IFERROR(INDEX(醫師週班表!$C$5:$T$44,$CU40,CD$57),""))=2,IF(AND(RIGHT(IFERROR(INDEX(醫師週班表!$C$5:$T$44,$CU40,CD$57),""),1)="~",CD$58=1),"",LEFT(IFERROR(INDEX(醫師週班表!$C$5:$T$44,$CU40,CD$57),""),1)),IFERROR(INDEX(醫師週班表!$C$5:$T$44,$CU40,CD$57),""))))))</f>
        <v/>
      </c>
      <c r="CE40" s="67">
        <f>IF(CE$59="X","",IF(CE$59&lt;&gt;"",CE$59,IF(IFERROR(INDEX(醫師週班表!$C$5:$T$44,$CU40,CE$57),"")=0,"",IF(LEN(IFERROR(INDEX(醫師週班表!$C$5:$T$44,$CU40,CE$57),""))=4,MID(IFERROR(INDEX(醫師週班表!$C$5:$T$44,$CU40,CE$57),""),1+CE$58*2,1),IF(LEN(IFERROR(INDEX(醫師週班表!$C$5:$T$44,$CU40,CE$57),""))=2,IF(AND(RIGHT(IFERROR(INDEX(醫師週班表!$C$5:$T$44,$CU40,CE$57),""),1)="~",CE$58=1),"",LEFT(IFERROR(INDEX(醫師週班表!$C$5:$T$44,$CU40,CE$57),""),1)),IFERROR(INDEX(醫師週班表!$C$5:$T$44,$CU40,CE$57),""))))))</f>
        <v/>
      </c>
      <c r="CF40" s="68">
        <f>IF(CF$59="X","",IF(CF$59&lt;&gt;"",CF$59,IF(IFERROR(INDEX(醫師週班表!$C$5:$T$44,$CU40,CF$57),"")=0,"",IF(LEN(IFERROR(INDEX(醫師週班表!$C$5:$T$44,$CU40,CF$57),""))=4,MID(IFERROR(INDEX(醫師週班表!$C$5:$T$44,$CU40,CF$57),""),1+CF$58*2,1),IF(LEN(IFERROR(INDEX(醫師週班表!$C$5:$T$44,$CU40,CF$57),""))=2,IF(AND(RIGHT(IFERROR(INDEX(醫師週班表!$C$5:$T$44,$CU40,CF$57),""),1)="~",CF$58=1),"",LEFT(IFERROR(INDEX(醫師週班表!$C$5:$T$44,$CU40,CF$57),""),1)),IFERROR(INDEX(醫師週班表!$C$5:$T$44,$CU40,CF$57),""))))))</f>
        <v/>
      </c>
      <c r="CG40" s="68">
        <f>IF(CG$59="X","",IF(CG$59&lt;&gt;"",CG$59,IF(IFERROR(INDEX(醫師週班表!$C$5:$T$44,$CU40,CG$57),"")=0,"",IF(LEN(IFERROR(INDEX(醫師週班表!$C$5:$T$44,$CU40,CG$57),""))=4,MID(IFERROR(INDEX(醫師週班表!$C$5:$T$44,$CU40,CG$57),""),1+CG$58*2,1),IF(LEN(IFERROR(INDEX(醫師週班表!$C$5:$T$44,$CU40,CG$57),""))=2,IF(AND(RIGHT(IFERROR(INDEX(醫師週班表!$C$5:$T$44,$CU40,CG$57),""),1)="~",CG$58=1),"",LEFT(IFERROR(INDEX(醫師週班表!$C$5:$T$44,$CU40,CG$57),""),1)),IFERROR(INDEX(醫師週班表!$C$5:$T$44,$CU40,CG$57),""))))))</f>
        <v/>
      </c>
      <c r="CH40" s="67">
        <f>IF(CH$59="X","",IF(CH$59&lt;&gt;"",CH$59,IF(IFERROR(INDEX(醫師週班表!$C$5:$T$44,$CU40,CH$57),"")=0,"",IF(LEN(IFERROR(INDEX(醫師週班表!$C$5:$T$44,$CU40,CH$57),""))=4,MID(IFERROR(INDEX(醫師週班表!$C$5:$T$44,$CU40,CH$57),""),1+CH$58*2,1),IF(LEN(IFERROR(INDEX(醫師週班表!$C$5:$T$44,$CU40,CH$57),""))=2,IF(AND(RIGHT(IFERROR(INDEX(醫師週班表!$C$5:$T$44,$CU40,CH$57),""),1)="~",CH$58=1),"",LEFT(IFERROR(INDEX(醫師週班表!$C$5:$T$44,$CU40,CH$57),""),1)),IFERROR(INDEX(醫師週班表!$C$5:$T$44,$CU40,CH$57),""))))))</f>
        <v/>
      </c>
      <c r="CI40" s="68">
        <f>IF(CI$59="X","",IF(CI$59&lt;&gt;"",CI$59,IF(IFERROR(INDEX(醫師週班表!$C$5:$T$44,$CU40,CI$57),"")=0,"",IF(LEN(IFERROR(INDEX(醫師週班表!$C$5:$T$44,$CU40,CI$57),""))=4,MID(IFERROR(INDEX(醫師週班表!$C$5:$T$44,$CU40,CI$57),""),1+CI$58*2,1),IF(LEN(IFERROR(INDEX(醫師週班表!$C$5:$T$44,$CU40,CI$57),""))=2,IF(AND(RIGHT(IFERROR(INDEX(醫師週班表!$C$5:$T$44,$CU40,CI$57),""),1)="~",CI$58=1),"",LEFT(IFERROR(INDEX(醫師週班表!$C$5:$T$44,$CU40,CI$57),""),1)),IFERROR(INDEX(醫師週班表!$C$5:$T$44,$CU40,CI$57),""))))))</f>
        <v/>
      </c>
      <c r="CJ40" s="68">
        <f>IF(CJ$59="X","",IF(CJ$59&lt;&gt;"",CJ$59,IF(IFERROR(INDEX(醫師週班表!$C$5:$T$44,$CU40,CJ$57),"")=0,"",IF(LEN(IFERROR(INDEX(醫師週班表!$C$5:$T$44,$CU40,CJ$57),""))=4,MID(IFERROR(INDEX(醫師週班表!$C$5:$T$44,$CU40,CJ$57),""),1+CJ$58*2,1),IF(LEN(IFERROR(INDEX(醫師週班表!$C$5:$T$44,$CU40,CJ$57),""))=2,IF(AND(RIGHT(IFERROR(INDEX(醫師週班表!$C$5:$T$44,$CU40,CJ$57),""),1)="~",CJ$58=1),"",LEFT(IFERROR(INDEX(醫師週班表!$C$5:$T$44,$CU40,CJ$57),""),1)),IFERROR(INDEX(醫師週班表!$C$5:$T$44,$CU40,CJ$57),""))))))</f>
        <v/>
      </c>
      <c r="CK40" s="67">
        <f>IF(CK$59="X","",IF(CK$59&lt;&gt;"",CK$59,IF(IFERROR(INDEX(醫師週班表!$C$5:$T$44,$CU40,CK$57),"")=0,"",IF(LEN(IFERROR(INDEX(醫師週班表!$C$5:$T$44,$CU40,CK$57),""))=4,MID(IFERROR(INDEX(醫師週班表!$C$5:$T$44,$CU40,CK$57),""),1+CK$58*2,1),IF(LEN(IFERROR(INDEX(醫師週班表!$C$5:$T$44,$CU40,CK$57),""))=2,IF(AND(RIGHT(IFERROR(INDEX(醫師週班表!$C$5:$T$44,$CU40,CK$57),""),1)="~",CK$58=1),"",LEFT(IFERROR(INDEX(醫師週班表!$C$5:$T$44,$CU40,CK$57),""),1)),IFERROR(INDEX(醫師週班表!$C$5:$T$44,$CU40,CK$57),""))))))</f>
        <v/>
      </c>
      <c r="CL40" s="68">
        <f>IF(CL$59="X","",IF(CL$59&lt;&gt;"",CL$59,IF(IFERROR(INDEX(醫師週班表!$C$5:$T$44,$CU40,CL$57),"")=0,"",IF(LEN(IFERROR(INDEX(醫師週班表!$C$5:$T$44,$CU40,CL$57),""))=4,MID(IFERROR(INDEX(醫師週班表!$C$5:$T$44,$CU40,CL$57),""),1+CL$58*2,1),IF(LEN(IFERROR(INDEX(醫師週班表!$C$5:$T$44,$CU40,CL$57),""))=2,IF(AND(RIGHT(IFERROR(INDEX(醫師週班表!$C$5:$T$44,$CU40,CL$57),""),1)="~",CL$58=1),"",LEFT(IFERROR(INDEX(醫師週班表!$C$5:$T$44,$CU40,CL$57),""),1)),IFERROR(INDEX(醫師週班表!$C$5:$T$44,$CU40,CL$57),""))))))</f>
        <v/>
      </c>
      <c r="CM40" s="68">
        <f>IF(CM$59="X","",IF(CM$59&lt;&gt;"",CM$59,IF(IFERROR(INDEX(醫師週班表!$C$5:$T$44,$CU40,CM$57),"")=0,"",IF(LEN(IFERROR(INDEX(醫師週班表!$C$5:$T$44,$CU40,CM$57),""))=4,MID(IFERROR(INDEX(醫師週班表!$C$5:$T$44,$CU40,CM$57),""),1+CM$58*2,1),IF(LEN(IFERROR(INDEX(醫師週班表!$C$5:$T$44,$CU40,CM$57),""))=2,IF(AND(RIGHT(IFERROR(INDEX(醫師週班表!$C$5:$T$44,$CU40,CM$57),""),1)="~",CM$58=1),"",LEFT(IFERROR(INDEX(醫師週班表!$C$5:$T$44,$CU40,CM$57),""),1)),IFERROR(INDEX(醫師週班表!$C$5:$T$44,$CU40,CM$57),""))))))</f>
        <v/>
      </c>
      <c r="CN40" s="67">
        <f>IF(CN$59="X","",IF(CN$59&lt;&gt;"",CN$59,IF(IFERROR(INDEX(醫師週班表!$C$5:$T$44,$CU40,CN$57),"")=0,"",IF(LEN(IFERROR(INDEX(醫師週班表!$C$5:$T$44,$CU40,CN$57),""))=4,MID(IFERROR(INDEX(醫師週班表!$C$5:$T$44,$CU40,CN$57),""),1+CN$58*2,1),IF(LEN(IFERROR(INDEX(醫師週班表!$C$5:$T$44,$CU40,CN$57),""))=2,IF(AND(RIGHT(IFERROR(INDEX(醫師週班表!$C$5:$T$44,$CU40,CN$57),""),1)="~",CN$58=1),"",LEFT(IFERROR(INDEX(醫師週班表!$C$5:$T$44,$CU40,CN$57),""),1)),IFERROR(INDEX(醫師週班表!$C$5:$T$44,$CU40,CN$57),""))))))</f>
        <v/>
      </c>
      <c r="CO40" s="68">
        <f>IF(CO$59="X","",IF(CO$59&lt;&gt;"",CO$59,IF(IFERROR(INDEX(醫師週班表!$C$5:$T$44,$CU40,CO$57),"")=0,"",IF(LEN(IFERROR(INDEX(醫師週班表!$C$5:$T$44,$CU40,CO$57),""))=4,MID(IFERROR(INDEX(醫師週班表!$C$5:$T$44,$CU40,CO$57),""),1+CO$58*2,1),IF(LEN(IFERROR(INDEX(醫師週班表!$C$5:$T$44,$CU40,CO$57),""))=2,IF(AND(RIGHT(IFERROR(INDEX(醫師週班表!$C$5:$T$44,$CU40,CO$57),""),1)="~",CO$58=1),"",LEFT(IFERROR(INDEX(醫師週班表!$C$5:$T$44,$CU40,CO$57),""),1)),IFERROR(INDEX(醫師週班表!$C$5:$T$44,$CU40,CO$57),""))))))</f>
        <v/>
      </c>
      <c r="CP40" s="68">
        <f>IF(CP$59="X","",IF(CP$59&lt;&gt;"",CP$59,IF(IFERROR(INDEX(醫師週班表!$C$5:$T$44,$CU40,CP$57),"")=0,"",IF(LEN(IFERROR(INDEX(醫師週班表!$C$5:$T$44,$CU40,CP$57),""))=4,MID(IFERROR(INDEX(醫師週班表!$C$5:$T$44,$CU40,CP$57),""),1+CP$58*2,1),IF(LEN(IFERROR(INDEX(醫師週班表!$C$5:$T$44,$CU40,CP$57),""))=2,IF(AND(RIGHT(IFERROR(INDEX(醫師週班表!$C$5:$T$44,$CU40,CP$57),""),1)="~",CP$58=1),"",LEFT(IFERROR(INDEX(醫師週班表!$C$5:$T$44,$CU40,CP$57),""),1)),IFERROR(INDEX(醫師週班表!$C$5:$T$44,$CU40,CP$57),""))))))</f>
        <v/>
      </c>
      <c r="CQ40" s="67">
        <f>IF(CQ$59="X","",IF(CQ$59&lt;&gt;"",CQ$59,IF(IFERROR(INDEX(醫師週班表!$C$5:$T$44,$CU40,CQ$57),"")=0,"",IF(LEN(IFERROR(INDEX(醫師週班表!$C$5:$T$44,$CU40,CQ$57),""))=4,MID(IFERROR(INDEX(醫師週班表!$C$5:$T$44,$CU40,CQ$57),""),1+CQ$58*2,1),IF(LEN(IFERROR(INDEX(醫師週班表!$C$5:$T$44,$CU40,CQ$57),""))=2,IF(AND(RIGHT(IFERROR(INDEX(醫師週班表!$C$5:$T$44,$CU40,CQ$57),""),1)="~",CQ$58=1),"",LEFT(IFERROR(INDEX(醫師週班表!$C$5:$T$44,$CU40,CQ$57),""),1)),IFERROR(INDEX(醫師週班表!$C$5:$T$44,$CU40,CQ$57),""))))))</f>
        <v/>
      </c>
      <c r="CR40" s="68">
        <f>IF(CR$59="X","",IF(CR$59&lt;&gt;"",CR$59,IF(IFERROR(INDEX(醫師週班表!$C$5:$T$44,$CU40,CR$57),"")=0,"",IF(LEN(IFERROR(INDEX(醫師週班表!$C$5:$T$44,$CU40,CR$57),""))=4,MID(IFERROR(INDEX(醫師週班表!$C$5:$T$44,$CU40,CR$57),""),1+CR$58*2,1),IF(LEN(IFERROR(INDEX(醫師週班表!$C$5:$T$44,$CU40,CR$57),""))=2,IF(AND(RIGHT(IFERROR(INDEX(醫師週班表!$C$5:$T$44,$CU40,CR$57),""),1)="~",CR$58=1),"",LEFT(IFERROR(INDEX(醫師週班表!$C$5:$T$44,$CU40,CR$57),""),1)),IFERROR(INDEX(醫師週班表!$C$5:$T$44,$CU40,CR$57),""))))))</f>
        <v/>
      </c>
      <c r="CS40" s="68">
        <f>IF(CS$59="X","",IF(CS$59&lt;&gt;"",CS$59,IF(IFERROR(INDEX(醫師週班表!$C$5:$T$44,$CU40,CS$57),"")=0,"",IF(LEN(IFERROR(INDEX(醫師週班表!$C$5:$T$44,$CU40,CS$57),""))=4,MID(IFERROR(INDEX(醫師週班表!$C$5:$T$44,$CU40,CS$57),""),1+CS$58*2,1),IF(LEN(IFERROR(INDEX(醫師週班表!$C$5:$T$44,$CU40,CS$57),""))=2,IF(AND(RIGHT(IFERROR(INDEX(醫師週班表!$C$5:$T$44,$CU40,CS$57),""),1)="~",CS$58=1),"",LEFT(IFERROR(INDEX(醫師週班表!$C$5:$T$44,$CU40,CS$57),""),1)),IFERROR(INDEX(醫師週班表!$C$5:$T$44,$CU40,CS$57),""))))))</f>
        <v/>
      </c>
      <c r="CU40" s="69">
        <f>IFERROR(MATCH($A40,醫師週班表!$A$5:$A$44,0),0)</f>
        <v/>
      </c>
    </row>
    <row r="41" ht="17" customHeight="1">
      <c r="A41" s="20" t="n"/>
      <c r="B41" s="16">
        <f>IFERROR(INDEX(設定!$C$57:$C$196,MATCH($A41,設定!$B$57:$B$196,0)),"")</f>
        <v/>
      </c>
      <c r="C41" s="66">
        <f>IFERROR(INDEX(設定!$E$57:$E$196,MATCH($A41,設定!$B$57:$B$196,0)),"")</f>
        <v/>
      </c>
      <c r="D41" s="16">
        <f>IFERROR(INDEX(設定!$F$57:$F$196,MATCH($A41,設定!$B$57:$B$196,0)),"")</f>
        <v/>
      </c>
      <c r="E41" s="67">
        <f>IF(E$59="X","",IF(E$59&lt;&gt;"",E$59,IF(IFERROR(INDEX(醫師週班表!$C$5:$T$44,$CU41,E$57),"")=0,"",IF(LEN(IFERROR(INDEX(醫師週班表!$C$5:$T$44,$CU41,E$57),""))=4,MID(IFERROR(INDEX(醫師週班表!$C$5:$T$44,$CU41,E$57),""),1+E$58*2,1),IF(LEN(IFERROR(INDEX(醫師週班表!$C$5:$T$44,$CU41,E$57),""))=2,IF(AND(RIGHT(IFERROR(INDEX(醫師週班表!$C$5:$T$44,$CU41,E$57),""),1)="~",E$58=1),"",LEFT(IFERROR(INDEX(醫師週班表!$C$5:$T$44,$CU41,E$57),""),1)),IFERROR(INDEX(醫師週班表!$C$5:$T$44,$CU41,E$57),""))))))</f>
        <v/>
      </c>
      <c r="F41" s="68">
        <f>IF(F$59="X","",IF(F$59&lt;&gt;"",F$59,IF(IFERROR(INDEX(醫師週班表!$C$5:$T$44,$CU41,F$57),"")=0,"",IF(LEN(IFERROR(INDEX(醫師週班表!$C$5:$T$44,$CU41,F$57),""))=4,MID(IFERROR(INDEX(醫師週班表!$C$5:$T$44,$CU41,F$57),""),1+F$58*2,1),IF(LEN(IFERROR(INDEX(醫師週班表!$C$5:$T$44,$CU41,F$57),""))=2,IF(AND(RIGHT(IFERROR(INDEX(醫師週班表!$C$5:$T$44,$CU41,F$57),""),1)="~",F$58=1),"",LEFT(IFERROR(INDEX(醫師週班表!$C$5:$T$44,$CU41,F$57),""),1)),IFERROR(INDEX(醫師週班表!$C$5:$T$44,$CU41,F$57),""))))))</f>
        <v/>
      </c>
      <c r="G41" s="68">
        <f>IF(G$59="X","",IF(G$59&lt;&gt;"",G$59,IF(IFERROR(INDEX(醫師週班表!$C$5:$T$44,$CU41,G$57),"")=0,"",IF(LEN(IFERROR(INDEX(醫師週班表!$C$5:$T$44,$CU41,G$57),""))=4,MID(IFERROR(INDEX(醫師週班表!$C$5:$T$44,$CU41,G$57),""),1+G$58*2,1),IF(LEN(IFERROR(INDEX(醫師週班表!$C$5:$T$44,$CU41,G$57),""))=2,IF(AND(RIGHT(IFERROR(INDEX(醫師週班表!$C$5:$T$44,$CU41,G$57),""),1)="~",G$58=1),"",LEFT(IFERROR(INDEX(醫師週班表!$C$5:$T$44,$CU41,G$57),""),1)),IFERROR(INDEX(醫師週班表!$C$5:$T$44,$CU41,G$57),""))))))</f>
        <v/>
      </c>
      <c r="H41" s="67">
        <f>IF(H$59="X","",IF(H$59&lt;&gt;"",H$59,IF(IFERROR(INDEX(醫師週班表!$C$5:$T$44,$CU41,H$57),"")=0,"",IF(LEN(IFERROR(INDEX(醫師週班表!$C$5:$T$44,$CU41,H$57),""))=4,MID(IFERROR(INDEX(醫師週班表!$C$5:$T$44,$CU41,H$57),""),1+H$58*2,1),IF(LEN(IFERROR(INDEX(醫師週班表!$C$5:$T$44,$CU41,H$57),""))=2,IF(AND(RIGHT(IFERROR(INDEX(醫師週班表!$C$5:$T$44,$CU41,H$57),""),1)="~",H$58=1),"",LEFT(IFERROR(INDEX(醫師週班表!$C$5:$T$44,$CU41,H$57),""),1)),IFERROR(INDEX(醫師週班表!$C$5:$T$44,$CU41,H$57),""))))))</f>
        <v/>
      </c>
      <c r="I41" s="68">
        <f>IF(I$59="X","",IF(I$59&lt;&gt;"",I$59,IF(IFERROR(INDEX(醫師週班表!$C$5:$T$44,$CU41,I$57),"")=0,"",IF(LEN(IFERROR(INDEX(醫師週班表!$C$5:$T$44,$CU41,I$57),""))=4,MID(IFERROR(INDEX(醫師週班表!$C$5:$T$44,$CU41,I$57),""),1+I$58*2,1),IF(LEN(IFERROR(INDEX(醫師週班表!$C$5:$T$44,$CU41,I$57),""))=2,IF(AND(RIGHT(IFERROR(INDEX(醫師週班表!$C$5:$T$44,$CU41,I$57),""),1)="~",I$58=1),"",LEFT(IFERROR(INDEX(醫師週班表!$C$5:$T$44,$CU41,I$57),""),1)),IFERROR(INDEX(醫師週班表!$C$5:$T$44,$CU41,I$57),""))))))</f>
        <v/>
      </c>
      <c r="J41" s="68">
        <f>IF(J$59="X","",IF(J$59&lt;&gt;"",J$59,IF(IFERROR(INDEX(醫師週班表!$C$5:$T$44,$CU41,J$57),"")=0,"",IF(LEN(IFERROR(INDEX(醫師週班表!$C$5:$T$44,$CU41,J$57),""))=4,MID(IFERROR(INDEX(醫師週班表!$C$5:$T$44,$CU41,J$57),""),1+J$58*2,1),IF(LEN(IFERROR(INDEX(醫師週班表!$C$5:$T$44,$CU41,J$57),""))=2,IF(AND(RIGHT(IFERROR(INDEX(醫師週班表!$C$5:$T$44,$CU41,J$57),""),1)="~",J$58=1),"",LEFT(IFERROR(INDEX(醫師週班表!$C$5:$T$44,$CU41,J$57),""),1)),IFERROR(INDEX(醫師週班表!$C$5:$T$44,$CU41,J$57),""))))))</f>
        <v/>
      </c>
      <c r="K41" s="67">
        <f>IF(K$59="X","",IF(K$59&lt;&gt;"",K$59,IF(IFERROR(INDEX(醫師週班表!$C$5:$T$44,$CU41,K$57),"")=0,"",IF(LEN(IFERROR(INDEX(醫師週班表!$C$5:$T$44,$CU41,K$57),""))=4,MID(IFERROR(INDEX(醫師週班表!$C$5:$T$44,$CU41,K$57),""),1+K$58*2,1),IF(LEN(IFERROR(INDEX(醫師週班表!$C$5:$T$44,$CU41,K$57),""))=2,IF(AND(RIGHT(IFERROR(INDEX(醫師週班表!$C$5:$T$44,$CU41,K$57),""),1)="~",K$58=1),"",LEFT(IFERROR(INDEX(醫師週班表!$C$5:$T$44,$CU41,K$57),""),1)),IFERROR(INDEX(醫師週班表!$C$5:$T$44,$CU41,K$57),""))))))</f>
        <v/>
      </c>
      <c r="L41" s="68">
        <f>IF(L$59="X","",IF(L$59&lt;&gt;"",L$59,IF(IFERROR(INDEX(醫師週班表!$C$5:$T$44,$CU41,L$57),"")=0,"",IF(LEN(IFERROR(INDEX(醫師週班表!$C$5:$T$44,$CU41,L$57),""))=4,MID(IFERROR(INDEX(醫師週班表!$C$5:$T$44,$CU41,L$57),""),1+L$58*2,1),IF(LEN(IFERROR(INDEX(醫師週班表!$C$5:$T$44,$CU41,L$57),""))=2,IF(AND(RIGHT(IFERROR(INDEX(醫師週班表!$C$5:$T$44,$CU41,L$57),""),1)="~",L$58=1),"",LEFT(IFERROR(INDEX(醫師週班表!$C$5:$T$44,$CU41,L$57),""),1)),IFERROR(INDEX(醫師週班表!$C$5:$T$44,$CU41,L$57),""))))))</f>
        <v/>
      </c>
      <c r="M41" s="68">
        <f>IF(M$59="X","",IF(M$59&lt;&gt;"",M$59,IF(IFERROR(INDEX(醫師週班表!$C$5:$T$44,$CU41,M$57),"")=0,"",IF(LEN(IFERROR(INDEX(醫師週班表!$C$5:$T$44,$CU41,M$57),""))=4,MID(IFERROR(INDEX(醫師週班表!$C$5:$T$44,$CU41,M$57),""),1+M$58*2,1),IF(LEN(IFERROR(INDEX(醫師週班表!$C$5:$T$44,$CU41,M$57),""))=2,IF(AND(RIGHT(IFERROR(INDEX(醫師週班表!$C$5:$T$44,$CU41,M$57),""),1)="~",M$58=1),"",LEFT(IFERROR(INDEX(醫師週班表!$C$5:$T$44,$CU41,M$57),""),1)),IFERROR(INDEX(醫師週班表!$C$5:$T$44,$CU41,M$57),""))))))</f>
        <v/>
      </c>
      <c r="N41" s="67">
        <f>IF(N$59="X","",IF(N$59&lt;&gt;"",N$59,IF(IFERROR(INDEX(醫師週班表!$C$5:$T$44,$CU41,N$57),"")=0,"",IF(LEN(IFERROR(INDEX(醫師週班表!$C$5:$T$44,$CU41,N$57),""))=4,MID(IFERROR(INDEX(醫師週班表!$C$5:$T$44,$CU41,N$57),""),1+N$58*2,1),IF(LEN(IFERROR(INDEX(醫師週班表!$C$5:$T$44,$CU41,N$57),""))=2,IF(AND(RIGHT(IFERROR(INDEX(醫師週班表!$C$5:$T$44,$CU41,N$57),""),1)="~",N$58=1),"",LEFT(IFERROR(INDEX(醫師週班表!$C$5:$T$44,$CU41,N$57),""),1)),IFERROR(INDEX(醫師週班表!$C$5:$T$44,$CU41,N$57),""))))))</f>
        <v/>
      </c>
      <c r="O41" s="68">
        <f>IF(O$59="X","",IF(O$59&lt;&gt;"",O$59,IF(IFERROR(INDEX(醫師週班表!$C$5:$T$44,$CU41,O$57),"")=0,"",IF(LEN(IFERROR(INDEX(醫師週班表!$C$5:$T$44,$CU41,O$57),""))=4,MID(IFERROR(INDEX(醫師週班表!$C$5:$T$44,$CU41,O$57),""),1+O$58*2,1),IF(LEN(IFERROR(INDEX(醫師週班表!$C$5:$T$44,$CU41,O$57),""))=2,IF(AND(RIGHT(IFERROR(INDEX(醫師週班表!$C$5:$T$44,$CU41,O$57),""),1)="~",O$58=1),"",LEFT(IFERROR(INDEX(醫師週班表!$C$5:$T$44,$CU41,O$57),""),1)),IFERROR(INDEX(醫師週班表!$C$5:$T$44,$CU41,O$57),""))))))</f>
        <v/>
      </c>
      <c r="P41" s="68">
        <f>IF(P$59="X","",IF(P$59&lt;&gt;"",P$59,IF(IFERROR(INDEX(醫師週班表!$C$5:$T$44,$CU41,P$57),"")=0,"",IF(LEN(IFERROR(INDEX(醫師週班表!$C$5:$T$44,$CU41,P$57),""))=4,MID(IFERROR(INDEX(醫師週班表!$C$5:$T$44,$CU41,P$57),""),1+P$58*2,1),IF(LEN(IFERROR(INDEX(醫師週班表!$C$5:$T$44,$CU41,P$57),""))=2,IF(AND(RIGHT(IFERROR(INDEX(醫師週班表!$C$5:$T$44,$CU41,P$57),""),1)="~",P$58=1),"",LEFT(IFERROR(INDEX(醫師週班表!$C$5:$T$44,$CU41,P$57),""),1)),IFERROR(INDEX(醫師週班表!$C$5:$T$44,$CU41,P$57),""))))))</f>
        <v/>
      </c>
      <c r="Q41" s="67">
        <f>IF(Q$59="X","",IF(Q$59&lt;&gt;"",Q$59,IF(IFERROR(INDEX(醫師週班表!$C$5:$T$44,$CU41,Q$57),"")=0,"",IF(LEN(IFERROR(INDEX(醫師週班表!$C$5:$T$44,$CU41,Q$57),""))=4,MID(IFERROR(INDEX(醫師週班表!$C$5:$T$44,$CU41,Q$57),""),1+Q$58*2,1),IF(LEN(IFERROR(INDEX(醫師週班表!$C$5:$T$44,$CU41,Q$57),""))=2,IF(AND(RIGHT(IFERROR(INDEX(醫師週班表!$C$5:$T$44,$CU41,Q$57),""),1)="~",Q$58=1),"",LEFT(IFERROR(INDEX(醫師週班表!$C$5:$T$44,$CU41,Q$57),""),1)),IFERROR(INDEX(醫師週班表!$C$5:$T$44,$CU41,Q$57),""))))))</f>
        <v/>
      </c>
      <c r="R41" s="68">
        <f>IF(R$59="X","",IF(R$59&lt;&gt;"",R$59,IF(IFERROR(INDEX(醫師週班表!$C$5:$T$44,$CU41,R$57),"")=0,"",IF(LEN(IFERROR(INDEX(醫師週班表!$C$5:$T$44,$CU41,R$57),""))=4,MID(IFERROR(INDEX(醫師週班表!$C$5:$T$44,$CU41,R$57),""),1+R$58*2,1),IF(LEN(IFERROR(INDEX(醫師週班表!$C$5:$T$44,$CU41,R$57),""))=2,IF(AND(RIGHT(IFERROR(INDEX(醫師週班表!$C$5:$T$44,$CU41,R$57),""),1)="~",R$58=1),"",LEFT(IFERROR(INDEX(醫師週班表!$C$5:$T$44,$CU41,R$57),""),1)),IFERROR(INDEX(醫師週班表!$C$5:$T$44,$CU41,R$57),""))))))</f>
        <v/>
      </c>
      <c r="S41" s="68">
        <f>IF(S$59="X","",IF(S$59&lt;&gt;"",S$59,IF(IFERROR(INDEX(醫師週班表!$C$5:$T$44,$CU41,S$57),"")=0,"",IF(LEN(IFERROR(INDEX(醫師週班表!$C$5:$T$44,$CU41,S$57),""))=4,MID(IFERROR(INDEX(醫師週班表!$C$5:$T$44,$CU41,S$57),""),1+S$58*2,1),IF(LEN(IFERROR(INDEX(醫師週班表!$C$5:$T$44,$CU41,S$57),""))=2,IF(AND(RIGHT(IFERROR(INDEX(醫師週班表!$C$5:$T$44,$CU41,S$57),""),1)="~",S$58=1),"",LEFT(IFERROR(INDEX(醫師週班表!$C$5:$T$44,$CU41,S$57),""),1)),IFERROR(INDEX(醫師週班表!$C$5:$T$44,$CU41,S$57),""))))))</f>
        <v/>
      </c>
      <c r="T41" s="67">
        <f>IF(T$59="X","",IF(T$59&lt;&gt;"",T$59,IF(IFERROR(INDEX(醫師週班表!$C$5:$T$44,$CU41,T$57),"")=0,"",IF(LEN(IFERROR(INDEX(醫師週班表!$C$5:$T$44,$CU41,T$57),""))=4,MID(IFERROR(INDEX(醫師週班表!$C$5:$T$44,$CU41,T$57),""),1+T$58*2,1),IF(LEN(IFERROR(INDEX(醫師週班表!$C$5:$T$44,$CU41,T$57),""))=2,IF(AND(RIGHT(IFERROR(INDEX(醫師週班表!$C$5:$T$44,$CU41,T$57),""),1)="~",T$58=1),"",LEFT(IFERROR(INDEX(醫師週班表!$C$5:$T$44,$CU41,T$57),""),1)),IFERROR(INDEX(醫師週班表!$C$5:$T$44,$CU41,T$57),""))))))</f>
        <v/>
      </c>
      <c r="U41" s="68">
        <f>IF(U$59="X","",IF(U$59&lt;&gt;"",U$59,IF(IFERROR(INDEX(醫師週班表!$C$5:$T$44,$CU41,U$57),"")=0,"",IF(LEN(IFERROR(INDEX(醫師週班表!$C$5:$T$44,$CU41,U$57),""))=4,MID(IFERROR(INDEX(醫師週班表!$C$5:$T$44,$CU41,U$57),""),1+U$58*2,1),IF(LEN(IFERROR(INDEX(醫師週班表!$C$5:$T$44,$CU41,U$57),""))=2,IF(AND(RIGHT(IFERROR(INDEX(醫師週班表!$C$5:$T$44,$CU41,U$57),""),1)="~",U$58=1),"",LEFT(IFERROR(INDEX(醫師週班表!$C$5:$T$44,$CU41,U$57),""),1)),IFERROR(INDEX(醫師週班表!$C$5:$T$44,$CU41,U$57),""))))))</f>
        <v/>
      </c>
      <c r="V41" s="68">
        <f>IF(V$59="X","",IF(V$59&lt;&gt;"",V$59,IF(IFERROR(INDEX(醫師週班表!$C$5:$T$44,$CU41,V$57),"")=0,"",IF(LEN(IFERROR(INDEX(醫師週班表!$C$5:$T$44,$CU41,V$57),""))=4,MID(IFERROR(INDEX(醫師週班表!$C$5:$T$44,$CU41,V$57),""),1+V$58*2,1),IF(LEN(IFERROR(INDEX(醫師週班表!$C$5:$T$44,$CU41,V$57),""))=2,IF(AND(RIGHT(IFERROR(INDEX(醫師週班表!$C$5:$T$44,$CU41,V$57),""),1)="~",V$58=1),"",LEFT(IFERROR(INDEX(醫師週班表!$C$5:$T$44,$CU41,V$57),""),1)),IFERROR(INDEX(醫師週班表!$C$5:$T$44,$CU41,V$57),""))))))</f>
        <v/>
      </c>
      <c r="W41" s="67">
        <f>IF(W$59="X","",IF(W$59&lt;&gt;"",W$59,IF(IFERROR(INDEX(醫師週班表!$C$5:$T$44,$CU41,W$57),"")=0,"",IF(LEN(IFERROR(INDEX(醫師週班表!$C$5:$T$44,$CU41,W$57),""))=4,MID(IFERROR(INDEX(醫師週班表!$C$5:$T$44,$CU41,W$57),""),1+W$58*2,1),IF(LEN(IFERROR(INDEX(醫師週班表!$C$5:$T$44,$CU41,W$57),""))=2,IF(AND(RIGHT(IFERROR(INDEX(醫師週班表!$C$5:$T$44,$CU41,W$57),""),1)="~",W$58=1),"",LEFT(IFERROR(INDEX(醫師週班表!$C$5:$T$44,$CU41,W$57),""),1)),IFERROR(INDEX(醫師週班表!$C$5:$T$44,$CU41,W$57),""))))))</f>
        <v/>
      </c>
      <c r="X41" s="68">
        <f>IF(X$59="X","",IF(X$59&lt;&gt;"",X$59,IF(IFERROR(INDEX(醫師週班表!$C$5:$T$44,$CU41,X$57),"")=0,"",IF(LEN(IFERROR(INDEX(醫師週班表!$C$5:$T$44,$CU41,X$57),""))=4,MID(IFERROR(INDEX(醫師週班表!$C$5:$T$44,$CU41,X$57),""),1+X$58*2,1),IF(LEN(IFERROR(INDEX(醫師週班表!$C$5:$T$44,$CU41,X$57),""))=2,IF(AND(RIGHT(IFERROR(INDEX(醫師週班表!$C$5:$T$44,$CU41,X$57),""),1)="~",X$58=1),"",LEFT(IFERROR(INDEX(醫師週班表!$C$5:$T$44,$CU41,X$57),""),1)),IFERROR(INDEX(醫師週班表!$C$5:$T$44,$CU41,X$57),""))))))</f>
        <v/>
      </c>
      <c r="Y41" s="68">
        <f>IF(Y$59="X","",IF(Y$59&lt;&gt;"",Y$59,IF(IFERROR(INDEX(醫師週班表!$C$5:$T$44,$CU41,Y$57),"")=0,"",IF(LEN(IFERROR(INDEX(醫師週班表!$C$5:$T$44,$CU41,Y$57),""))=4,MID(IFERROR(INDEX(醫師週班表!$C$5:$T$44,$CU41,Y$57),""),1+Y$58*2,1),IF(LEN(IFERROR(INDEX(醫師週班表!$C$5:$T$44,$CU41,Y$57),""))=2,IF(AND(RIGHT(IFERROR(INDEX(醫師週班表!$C$5:$T$44,$CU41,Y$57),""),1)="~",Y$58=1),"",LEFT(IFERROR(INDEX(醫師週班表!$C$5:$T$44,$CU41,Y$57),""),1)),IFERROR(INDEX(醫師週班表!$C$5:$T$44,$CU41,Y$57),""))))))</f>
        <v/>
      </c>
      <c r="Z41" s="67">
        <f>IF(Z$59="X","",IF(Z$59&lt;&gt;"",Z$59,IF(IFERROR(INDEX(醫師週班表!$C$5:$T$44,$CU41,Z$57),"")=0,"",IF(LEN(IFERROR(INDEX(醫師週班表!$C$5:$T$44,$CU41,Z$57),""))=4,MID(IFERROR(INDEX(醫師週班表!$C$5:$T$44,$CU41,Z$57),""),1+Z$58*2,1),IF(LEN(IFERROR(INDEX(醫師週班表!$C$5:$T$44,$CU41,Z$57),""))=2,IF(AND(RIGHT(IFERROR(INDEX(醫師週班表!$C$5:$T$44,$CU41,Z$57),""),1)="~",Z$58=1),"",LEFT(IFERROR(INDEX(醫師週班表!$C$5:$T$44,$CU41,Z$57),""),1)),IFERROR(INDEX(醫師週班表!$C$5:$T$44,$CU41,Z$57),""))))))</f>
        <v/>
      </c>
      <c r="AA41" s="68">
        <f>IF(AA$59="X","",IF(AA$59&lt;&gt;"",AA$59,IF(IFERROR(INDEX(醫師週班表!$C$5:$T$44,$CU41,AA$57),"")=0,"",IF(LEN(IFERROR(INDEX(醫師週班表!$C$5:$T$44,$CU41,AA$57),""))=4,MID(IFERROR(INDEX(醫師週班表!$C$5:$T$44,$CU41,AA$57),""),1+AA$58*2,1),IF(LEN(IFERROR(INDEX(醫師週班表!$C$5:$T$44,$CU41,AA$57),""))=2,IF(AND(RIGHT(IFERROR(INDEX(醫師週班表!$C$5:$T$44,$CU41,AA$57),""),1)="~",AA$58=1),"",LEFT(IFERROR(INDEX(醫師週班表!$C$5:$T$44,$CU41,AA$57),""),1)),IFERROR(INDEX(醫師週班表!$C$5:$T$44,$CU41,AA$57),""))))))</f>
        <v/>
      </c>
      <c r="AB41" s="68">
        <f>IF(AB$59="X","",IF(AB$59&lt;&gt;"",AB$59,IF(IFERROR(INDEX(醫師週班表!$C$5:$T$44,$CU41,AB$57),"")=0,"",IF(LEN(IFERROR(INDEX(醫師週班表!$C$5:$T$44,$CU41,AB$57),""))=4,MID(IFERROR(INDEX(醫師週班表!$C$5:$T$44,$CU41,AB$57),""),1+AB$58*2,1),IF(LEN(IFERROR(INDEX(醫師週班表!$C$5:$T$44,$CU41,AB$57),""))=2,IF(AND(RIGHT(IFERROR(INDEX(醫師週班表!$C$5:$T$44,$CU41,AB$57),""),1)="~",AB$58=1),"",LEFT(IFERROR(INDEX(醫師週班表!$C$5:$T$44,$CU41,AB$57),""),1)),IFERROR(INDEX(醫師週班表!$C$5:$T$44,$CU41,AB$57),""))))))</f>
        <v/>
      </c>
      <c r="AC41" s="67">
        <f>IF(AC$59="X","",IF(AC$59&lt;&gt;"",AC$59,IF(IFERROR(INDEX(醫師週班表!$C$5:$T$44,$CU41,AC$57),"")=0,"",IF(LEN(IFERROR(INDEX(醫師週班表!$C$5:$T$44,$CU41,AC$57),""))=4,MID(IFERROR(INDEX(醫師週班表!$C$5:$T$44,$CU41,AC$57),""),1+AC$58*2,1),IF(LEN(IFERROR(INDEX(醫師週班表!$C$5:$T$44,$CU41,AC$57),""))=2,IF(AND(RIGHT(IFERROR(INDEX(醫師週班表!$C$5:$T$44,$CU41,AC$57),""),1)="~",AC$58=1),"",LEFT(IFERROR(INDEX(醫師週班表!$C$5:$T$44,$CU41,AC$57),""),1)),IFERROR(INDEX(醫師週班表!$C$5:$T$44,$CU41,AC$57),""))))))</f>
        <v/>
      </c>
      <c r="AD41" s="68">
        <f>IF(AD$59="X","",IF(AD$59&lt;&gt;"",AD$59,IF(IFERROR(INDEX(醫師週班表!$C$5:$T$44,$CU41,AD$57),"")=0,"",IF(LEN(IFERROR(INDEX(醫師週班表!$C$5:$T$44,$CU41,AD$57),""))=4,MID(IFERROR(INDEX(醫師週班表!$C$5:$T$44,$CU41,AD$57),""),1+AD$58*2,1),IF(LEN(IFERROR(INDEX(醫師週班表!$C$5:$T$44,$CU41,AD$57),""))=2,IF(AND(RIGHT(IFERROR(INDEX(醫師週班表!$C$5:$T$44,$CU41,AD$57),""),1)="~",AD$58=1),"",LEFT(IFERROR(INDEX(醫師週班表!$C$5:$T$44,$CU41,AD$57),""),1)),IFERROR(INDEX(醫師週班表!$C$5:$T$44,$CU41,AD$57),""))))))</f>
        <v/>
      </c>
      <c r="AE41" s="68">
        <f>IF(AE$59="X","",IF(AE$59&lt;&gt;"",AE$59,IF(IFERROR(INDEX(醫師週班表!$C$5:$T$44,$CU41,AE$57),"")=0,"",IF(LEN(IFERROR(INDEX(醫師週班表!$C$5:$T$44,$CU41,AE$57),""))=4,MID(IFERROR(INDEX(醫師週班表!$C$5:$T$44,$CU41,AE$57),""),1+AE$58*2,1),IF(LEN(IFERROR(INDEX(醫師週班表!$C$5:$T$44,$CU41,AE$57),""))=2,IF(AND(RIGHT(IFERROR(INDEX(醫師週班表!$C$5:$T$44,$CU41,AE$57),""),1)="~",AE$58=1),"",LEFT(IFERROR(INDEX(醫師週班表!$C$5:$T$44,$CU41,AE$57),""),1)),IFERROR(INDEX(醫師週班表!$C$5:$T$44,$CU41,AE$57),""))))))</f>
        <v/>
      </c>
      <c r="AF41" s="67">
        <f>IF(AF$59="X","",IF(AF$59&lt;&gt;"",AF$59,IF(IFERROR(INDEX(醫師週班表!$C$5:$T$44,$CU41,AF$57),"")=0,"",IF(LEN(IFERROR(INDEX(醫師週班表!$C$5:$T$44,$CU41,AF$57),""))=4,MID(IFERROR(INDEX(醫師週班表!$C$5:$T$44,$CU41,AF$57),""),1+AF$58*2,1),IF(LEN(IFERROR(INDEX(醫師週班表!$C$5:$T$44,$CU41,AF$57),""))=2,IF(AND(RIGHT(IFERROR(INDEX(醫師週班表!$C$5:$T$44,$CU41,AF$57),""),1)="~",AF$58=1),"",LEFT(IFERROR(INDEX(醫師週班表!$C$5:$T$44,$CU41,AF$57),""),1)),IFERROR(INDEX(醫師週班表!$C$5:$T$44,$CU41,AF$57),""))))))</f>
        <v/>
      </c>
      <c r="AG41" s="68">
        <f>IF(AG$59="X","",IF(AG$59&lt;&gt;"",AG$59,IF(IFERROR(INDEX(醫師週班表!$C$5:$T$44,$CU41,AG$57),"")=0,"",IF(LEN(IFERROR(INDEX(醫師週班表!$C$5:$T$44,$CU41,AG$57),""))=4,MID(IFERROR(INDEX(醫師週班表!$C$5:$T$44,$CU41,AG$57),""),1+AG$58*2,1),IF(LEN(IFERROR(INDEX(醫師週班表!$C$5:$T$44,$CU41,AG$57),""))=2,IF(AND(RIGHT(IFERROR(INDEX(醫師週班表!$C$5:$T$44,$CU41,AG$57),""),1)="~",AG$58=1),"",LEFT(IFERROR(INDEX(醫師週班表!$C$5:$T$44,$CU41,AG$57),""),1)),IFERROR(INDEX(醫師週班表!$C$5:$T$44,$CU41,AG$57),""))))))</f>
        <v/>
      </c>
      <c r="AH41" s="68">
        <f>IF(AH$59="X","",IF(AH$59&lt;&gt;"",AH$59,IF(IFERROR(INDEX(醫師週班表!$C$5:$T$44,$CU41,AH$57),"")=0,"",IF(LEN(IFERROR(INDEX(醫師週班表!$C$5:$T$44,$CU41,AH$57),""))=4,MID(IFERROR(INDEX(醫師週班表!$C$5:$T$44,$CU41,AH$57),""),1+AH$58*2,1),IF(LEN(IFERROR(INDEX(醫師週班表!$C$5:$T$44,$CU41,AH$57),""))=2,IF(AND(RIGHT(IFERROR(INDEX(醫師週班表!$C$5:$T$44,$CU41,AH$57),""),1)="~",AH$58=1),"",LEFT(IFERROR(INDEX(醫師週班表!$C$5:$T$44,$CU41,AH$57),""),1)),IFERROR(INDEX(醫師週班表!$C$5:$T$44,$CU41,AH$57),""))))))</f>
        <v/>
      </c>
      <c r="AI41" s="67">
        <f>IF(AI$59="X","",IF(AI$59&lt;&gt;"",AI$59,IF(IFERROR(INDEX(醫師週班表!$C$5:$T$44,$CU41,AI$57),"")=0,"",IF(LEN(IFERROR(INDEX(醫師週班表!$C$5:$T$44,$CU41,AI$57),""))=4,MID(IFERROR(INDEX(醫師週班表!$C$5:$T$44,$CU41,AI$57),""),1+AI$58*2,1),IF(LEN(IFERROR(INDEX(醫師週班表!$C$5:$T$44,$CU41,AI$57),""))=2,IF(AND(RIGHT(IFERROR(INDEX(醫師週班表!$C$5:$T$44,$CU41,AI$57),""),1)="~",AI$58=1),"",LEFT(IFERROR(INDEX(醫師週班表!$C$5:$T$44,$CU41,AI$57),""),1)),IFERROR(INDEX(醫師週班表!$C$5:$T$44,$CU41,AI$57),""))))))</f>
        <v/>
      </c>
      <c r="AJ41" s="68">
        <f>IF(AJ$59="X","",IF(AJ$59&lt;&gt;"",AJ$59,IF(IFERROR(INDEX(醫師週班表!$C$5:$T$44,$CU41,AJ$57),"")=0,"",IF(LEN(IFERROR(INDEX(醫師週班表!$C$5:$T$44,$CU41,AJ$57),""))=4,MID(IFERROR(INDEX(醫師週班表!$C$5:$T$44,$CU41,AJ$57),""),1+AJ$58*2,1),IF(LEN(IFERROR(INDEX(醫師週班表!$C$5:$T$44,$CU41,AJ$57),""))=2,IF(AND(RIGHT(IFERROR(INDEX(醫師週班表!$C$5:$T$44,$CU41,AJ$57),""),1)="~",AJ$58=1),"",LEFT(IFERROR(INDEX(醫師週班表!$C$5:$T$44,$CU41,AJ$57),""),1)),IFERROR(INDEX(醫師週班表!$C$5:$T$44,$CU41,AJ$57),""))))))</f>
        <v/>
      </c>
      <c r="AK41" s="68">
        <f>IF(AK$59="X","",IF(AK$59&lt;&gt;"",AK$59,IF(IFERROR(INDEX(醫師週班表!$C$5:$T$44,$CU41,AK$57),"")=0,"",IF(LEN(IFERROR(INDEX(醫師週班表!$C$5:$T$44,$CU41,AK$57),""))=4,MID(IFERROR(INDEX(醫師週班表!$C$5:$T$44,$CU41,AK$57),""),1+AK$58*2,1),IF(LEN(IFERROR(INDEX(醫師週班表!$C$5:$T$44,$CU41,AK$57),""))=2,IF(AND(RIGHT(IFERROR(INDEX(醫師週班表!$C$5:$T$44,$CU41,AK$57),""),1)="~",AK$58=1),"",LEFT(IFERROR(INDEX(醫師週班表!$C$5:$T$44,$CU41,AK$57),""),1)),IFERROR(INDEX(醫師週班表!$C$5:$T$44,$CU41,AK$57),""))))))</f>
        <v/>
      </c>
      <c r="AL41" s="67">
        <f>IF(AL$59="X","",IF(AL$59&lt;&gt;"",AL$59,IF(IFERROR(INDEX(醫師週班表!$C$5:$T$44,$CU41,AL$57),"")=0,"",IF(LEN(IFERROR(INDEX(醫師週班表!$C$5:$T$44,$CU41,AL$57),""))=4,MID(IFERROR(INDEX(醫師週班表!$C$5:$T$44,$CU41,AL$57),""),1+AL$58*2,1),IF(LEN(IFERROR(INDEX(醫師週班表!$C$5:$T$44,$CU41,AL$57),""))=2,IF(AND(RIGHT(IFERROR(INDEX(醫師週班表!$C$5:$T$44,$CU41,AL$57),""),1)="~",AL$58=1),"",LEFT(IFERROR(INDEX(醫師週班表!$C$5:$T$44,$CU41,AL$57),""),1)),IFERROR(INDEX(醫師週班表!$C$5:$T$44,$CU41,AL$57),""))))))</f>
        <v/>
      </c>
      <c r="AM41" s="68">
        <f>IF(AM$59="X","",IF(AM$59&lt;&gt;"",AM$59,IF(IFERROR(INDEX(醫師週班表!$C$5:$T$44,$CU41,AM$57),"")=0,"",IF(LEN(IFERROR(INDEX(醫師週班表!$C$5:$T$44,$CU41,AM$57),""))=4,MID(IFERROR(INDEX(醫師週班表!$C$5:$T$44,$CU41,AM$57),""),1+AM$58*2,1),IF(LEN(IFERROR(INDEX(醫師週班表!$C$5:$T$44,$CU41,AM$57),""))=2,IF(AND(RIGHT(IFERROR(INDEX(醫師週班表!$C$5:$T$44,$CU41,AM$57),""),1)="~",AM$58=1),"",LEFT(IFERROR(INDEX(醫師週班表!$C$5:$T$44,$CU41,AM$57),""),1)),IFERROR(INDEX(醫師週班表!$C$5:$T$44,$CU41,AM$57),""))))))</f>
        <v/>
      </c>
      <c r="AN41" s="68">
        <f>IF(AN$59="X","",IF(AN$59&lt;&gt;"",AN$59,IF(IFERROR(INDEX(醫師週班表!$C$5:$T$44,$CU41,AN$57),"")=0,"",IF(LEN(IFERROR(INDEX(醫師週班表!$C$5:$T$44,$CU41,AN$57),""))=4,MID(IFERROR(INDEX(醫師週班表!$C$5:$T$44,$CU41,AN$57),""),1+AN$58*2,1),IF(LEN(IFERROR(INDEX(醫師週班表!$C$5:$T$44,$CU41,AN$57),""))=2,IF(AND(RIGHT(IFERROR(INDEX(醫師週班表!$C$5:$T$44,$CU41,AN$57),""),1)="~",AN$58=1),"",LEFT(IFERROR(INDEX(醫師週班表!$C$5:$T$44,$CU41,AN$57),""),1)),IFERROR(INDEX(醫師週班表!$C$5:$T$44,$CU41,AN$57),""))))))</f>
        <v/>
      </c>
      <c r="AO41" s="67">
        <f>IF(AO$59="X","",IF(AO$59&lt;&gt;"",AO$59,IF(IFERROR(INDEX(醫師週班表!$C$5:$T$44,$CU41,AO$57),"")=0,"",IF(LEN(IFERROR(INDEX(醫師週班表!$C$5:$T$44,$CU41,AO$57),""))=4,MID(IFERROR(INDEX(醫師週班表!$C$5:$T$44,$CU41,AO$57),""),1+AO$58*2,1),IF(LEN(IFERROR(INDEX(醫師週班表!$C$5:$T$44,$CU41,AO$57),""))=2,IF(AND(RIGHT(IFERROR(INDEX(醫師週班表!$C$5:$T$44,$CU41,AO$57),""),1)="~",AO$58=1),"",LEFT(IFERROR(INDEX(醫師週班表!$C$5:$T$44,$CU41,AO$57),""),1)),IFERROR(INDEX(醫師週班表!$C$5:$T$44,$CU41,AO$57),""))))))</f>
        <v/>
      </c>
      <c r="AP41" s="68">
        <f>IF(AP$59="X","",IF(AP$59&lt;&gt;"",AP$59,IF(IFERROR(INDEX(醫師週班表!$C$5:$T$44,$CU41,AP$57),"")=0,"",IF(LEN(IFERROR(INDEX(醫師週班表!$C$5:$T$44,$CU41,AP$57),""))=4,MID(IFERROR(INDEX(醫師週班表!$C$5:$T$44,$CU41,AP$57),""),1+AP$58*2,1),IF(LEN(IFERROR(INDEX(醫師週班表!$C$5:$T$44,$CU41,AP$57),""))=2,IF(AND(RIGHT(IFERROR(INDEX(醫師週班表!$C$5:$T$44,$CU41,AP$57),""),1)="~",AP$58=1),"",LEFT(IFERROR(INDEX(醫師週班表!$C$5:$T$44,$CU41,AP$57),""),1)),IFERROR(INDEX(醫師週班表!$C$5:$T$44,$CU41,AP$57),""))))))</f>
        <v/>
      </c>
      <c r="AQ41" s="68">
        <f>IF(AQ$59="X","",IF(AQ$59&lt;&gt;"",AQ$59,IF(IFERROR(INDEX(醫師週班表!$C$5:$T$44,$CU41,AQ$57),"")=0,"",IF(LEN(IFERROR(INDEX(醫師週班表!$C$5:$T$44,$CU41,AQ$57),""))=4,MID(IFERROR(INDEX(醫師週班表!$C$5:$T$44,$CU41,AQ$57),""),1+AQ$58*2,1),IF(LEN(IFERROR(INDEX(醫師週班表!$C$5:$T$44,$CU41,AQ$57),""))=2,IF(AND(RIGHT(IFERROR(INDEX(醫師週班表!$C$5:$T$44,$CU41,AQ$57),""),1)="~",AQ$58=1),"",LEFT(IFERROR(INDEX(醫師週班表!$C$5:$T$44,$CU41,AQ$57),""),1)),IFERROR(INDEX(醫師週班表!$C$5:$T$44,$CU41,AQ$57),""))))))</f>
        <v/>
      </c>
      <c r="AR41" s="67">
        <f>IF(AR$59="X","",IF(AR$59&lt;&gt;"",AR$59,IF(IFERROR(INDEX(醫師週班表!$C$5:$T$44,$CU41,AR$57),"")=0,"",IF(LEN(IFERROR(INDEX(醫師週班表!$C$5:$T$44,$CU41,AR$57),""))=4,MID(IFERROR(INDEX(醫師週班表!$C$5:$T$44,$CU41,AR$57),""),1+AR$58*2,1),IF(LEN(IFERROR(INDEX(醫師週班表!$C$5:$T$44,$CU41,AR$57),""))=2,IF(AND(RIGHT(IFERROR(INDEX(醫師週班表!$C$5:$T$44,$CU41,AR$57),""),1)="~",AR$58=1),"",LEFT(IFERROR(INDEX(醫師週班表!$C$5:$T$44,$CU41,AR$57),""),1)),IFERROR(INDEX(醫師週班表!$C$5:$T$44,$CU41,AR$57),""))))))</f>
        <v/>
      </c>
      <c r="AS41" s="68">
        <f>IF(AS$59="X","",IF(AS$59&lt;&gt;"",AS$59,IF(IFERROR(INDEX(醫師週班表!$C$5:$T$44,$CU41,AS$57),"")=0,"",IF(LEN(IFERROR(INDEX(醫師週班表!$C$5:$T$44,$CU41,AS$57),""))=4,MID(IFERROR(INDEX(醫師週班表!$C$5:$T$44,$CU41,AS$57),""),1+AS$58*2,1),IF(LEN(IFERROR(INDEX(醫師週班表!$C$5:$T$44,$CU41,AS$57),""))=2,IF(AND(RIGHT(IFERROR(INDEX(醫師週班表!$C$5:$T$44,$CU41,AS$57),""),1)="~",AS$58=1),"",LEFT(IFERROR(INDEX(醫師週班表!$C$5:$T$44,$CU41,AS$57),""),1)),IFERROR(INDEX(醫師週班表!$C$5:$T$44,$CU41,AS$57),""))))))</f>
        <v/>
      </c>
      <c r="AT41" s="68">
        <f>IF(AT$59="X","",IF(AT$59&lt;&gt;"",AT$59,IF(IFERROR(INDEX(醫師週班表!$C$5:$T$44,$CU41,AT$57),"")=0,"",IF(LEN(IFERROR(INDEX(醫師週班表!$C$5:$T$44,$CU41,AT$57),""))=4,MID(IFERROR(INDEX(醫師週班表!$C$5:$T$44,$CU41,AT$57),""),1+AT$58*2,1),IF(LEN(IFERROR(INDEX(醫師週班表!$C$5:$T$44,$CU41,AT$57),""))=2,IF(AND(RIGHT(IFERROR(INDEX(醫師週班表!$C$5:$T$44,$CU41,AT$57),""),1)="~",AT$58=1),"",LEFT(IFERROR(INDEX(醫師週班表!$C$5:$T$44,$CU41,AT$57),""),1)),IFERROR(INDEX(醫師週班表!$C$5:$T$44,$CU41,AT$57),""))))))</f>
        <v/>
      </c>
      <c r="AU41" s="67">
        <f>IF(AU$59="X","",IF(AU$59&lt;&gt;"",AU$59,IF(IFERROR(INDEX(醫師週班表!$C$5:$T$44,$CU41,AU$57),"")=0,"",IF(LEN(IFERROR(INDEX(醫師週班表!$C$5:$T$44,$CU41,AU$57),""))=4,MID(IFERROR(INDEX(醫師週班表!$C$5:$T$44,$CU41,AU$57),""),1+AU$58*2,1),IF(LEN(IFERROR(INDEX(醫師週班表!$C$5:$T$44,$CU41,AU$57),""))=2,IF(AND(RIGHT(IFERROR(INDEX(醫師週班表!$C$5:$T$44,$CU41,AU$57),""),1)="~",AU$58=1),"",LEFT(IFERROR(INDEX(醫師週班表!$C$5:$T$44,$CU41,AU$57),""),1)),IFERROR(INDEX(醫師週班表!$C$5:$T$44,$CU41,AU$57),""))))))</f>
        <v/>
      </c>
      <c r="AV41" s="68">
        <f>IF(AV$59="X","",IF(AV$59&lt;&gt;"",AV$59,IF(IFERROR(INDEX(醫師週班表!$C$5:$T$44,$CU41,AV$57),"")=0,"",IF(LEN(IFERROR(INDEX(醫師週班表!$C$5:$T$44,$CU41,AV$57),""))=4,MID(IFERROR(INDEX(醫師週班表!$C$5:$T$44,$CU41,AV$57),""),1+AV$58*2,1),IF(LEN(IFERROR(INDEX(醫師週班表!$C$5:$T$44,$CU41,AV$57),""))=2,IF(AND(RIGHT(IFERROR(INDEX(醫師週班表!$C$5:$T$44,$CU41,AV$57),""),1)="~",AV$58=1),"",LEFT(IFERROR(INDEX(醫師週班表!$C$5:$T$44,$CU41,AV$57),""),1)),IFERROR(INDEX(醫師週班表!$C$5:$T$44,$CU41,AV$57),""))))))</f>
        <v/>
      </c>
      <c r="AW41" s="68">
        <f>IF(AW$59="X","",IF(AW$59&lt;&gt;"",AW$59,IF(IFERROR(INDEX(醫師週班表!$C$5:$T$44,$CU41,AW$57),"")=0,"",IF(LEN(IFERROR(INDEX(醫師週班表!$C$5:$T$44,$CU41,AW$57),""))=4,MID(IFERROR(INDEX(醫師週班表!$C$5:$T$44,$CU41,AW$57),""),1+AW$58*2,1),IF(LEN(IFERROR(INDEX(醫師週班表!$C$5:$T$44,$CU41,AW$57),""))=2,IF(AND(RIGHT(IFERROR(INDEX(醫師週班表!$C$5:$T$44,$CU41,AW$57),""),1)="~",AW$58=1),"",LEFT(IFERROR(INDEX(醫師週班表!$C$5:$T$44,$CU41,AW$57),""),1)),IFERROR(INDEX(醫師週班表!$C$5:$T$44,$CU41,AW$57),""))))))</f>
        <v/>
      </c>
      <c r="AX41" s="67">
        <f>IF(AX$59="X","",IF(AX$59&lt;&gt;"",AX$59,IF(IFERROR(INDEX(醫師週班表!$C$5:$T$44,$CU41,AX$57),"")=0,"",IF(LEN(IFERROR(INDEX(醫師週班表!$C$5:$T$44,$CU41,AX$57),""))=4,MID(IFERROR(INDEX(醫師週班表!$C$5:$T$44,$CU41,AX$57),""),1+AX$58*2,1),IF(LEN(IFERROR(INDEX(醫師週班表!$C$5:$T$44,$CU41,AX$57),""))=2,IF(AND(RIGHT(IFERROR(INDEX(醫師週班表!$C$5:$T$44,$CU41,AX$57),""),1)="~",AX$58=1),"",LEFT(IFERROR(INDEX(醫師週班表!$C$5:$T$44,$CU41,AX$57),""),1)),IFERROR(INDEX(醫師週班表!$C$5:$T$44,$CU41,AX$57),""))))))</f>
        <v/>
      </c>
      <c r="AY41" s="68">
        <f>IF(AY$59="X","",IF(AY$59&lt;&gt;"",AY$59,IF(IFERROR(INDEX(醫師週班表!$C$5:$T$44,$CU41,AY$57),"")=0,"",IF(LEN(IFERROR(INDEX(醫師週班表!$C$5:$T$44,$CU41,AY$57),""))=4,MID(IFERROR(INDEX(醫師週班表!$C$5:$T$44,$CU41,AY$57),""),1+AY$58*2,1),IF(LEN(IFERROR(INDEX(醫師週班表!$C$5:$T$44,$CU41,AY$57),""))=2,IF(AND(RIGHT(IFERROR(INDEX(醫師週班表!$C$5:$T$44,$CU41,AY$57),""),1)="~",AY$58=1),"",LEFT(IFERROR(INDEX(醫師週班表!$C$5:$T$44,$CU41,AY$57),""),1)),IFERROR(INDEX(醫師週班表!$C$5:$T$44,$CU41,AY$57),""))))))</f>
        <v/>
      </c>
      <c r="AZ41" s="68">
        <f>IF(AZ$59="X","",IF(AZ$59&lt;&gt;"",AZ$59,IF(IFERROR(INDEX(醫師週班表!$C$5:$T$44,$CU41,AZ$57),"")=0,"",IF(LEN(IFERROR(INDEX(醫師週班表!$C$5:$T$44,$CU41,AZ$57),""))=4,MID(IFERROR(INDEX(醫師週班表!$C$5:$T$44,$CU41,AZ$57),""),1+AZ$58*2,1),IF(LEN(IFERROR(INDEX(醫師週班表!$C$5:$T$44,$CU41,AZ$57),""))=2,IF(AND(RIGHT(IFERROR(INDEX(醫師週班表!$C$5:$T$44,$CU41,AZ$57),""),1)="~",AZ$58=1),"",LEFT(IFERROR(INDEX(醫師週班表!$C$5:$T$44,$CU41,AZ$57),""),1)),IFERROR(INDEX(醫師週班表!$C$5:$T$44,$CU41,AZ$57),""))))))</f>
        <v/>
      </c>
      <c r="BA41" s="67">
        <f>IF(BA$59="X","",IF(BA$59&lt;&gt;"",BA$59,IF(IFERROR(INDEX(醫師週班表!$C$5:$T$44,$CU41,BA$57),"")=0,"",IF(LEN(IFERROR(INDEX(醫師週班表!$C$5:$T$44,$CU41,BA$57),""))=4,MID(IFERROR(INDEX(醫師週班表!$C$5:$T$44,$CU41,BA$57),""),1+BA$58*2,1),IF(LEN(IFERROR(INDEX(醫師週班表!$C$5:$T$44,$CU41,BA$57),""))=2,IF(AND(RIGHT(IFERROR(INDEX(醫師週班表!$C$5:$T$44,$CU41,BA$57),""),1)="~",BA$58=1),"",LEFT(IFERROR(INDEX(醫師週班表!$C$5:$T$44,$CU41,BA$57),""),1)),IFERROR(INDEX(醫師週班表!$C$5:$T$44,$CU41,BA$57),""))))))</f>
        <v/>
      </c>
      <c r="BB41" s="68">
        <f>IF(BB$59="X","",IF(BB$59&lt;&gt;"",BB$59,IF(IFERROR(INDEX(醫師週班表!$C$5:$T$44,$CU41,BB$57),"")=0,"",IF(LEN(IFERROR(INDEX(醫師週班表!$C$5:$T$44,$CU41,BB$57),""))=4,MID(IFERROR(INDEX(醫師週班表!$C$5:$T$44,$CU41,BB$57),""),1+BB$58*2,1),IF(LEN(IFERROR(INDEX(醫師週班表!$C$5:$T$44,$CU41,BB$57),""))=2,IF(AND(RIGHT(IFERROR(INDEX(醫師週班表!$C$5:$T$44,$CU41,BB$57),""),1)="~",BB$58=1),"",LEFT(IFERROR(INDEX(醫師週班表!$C$5:$T$44,$CU41,BB$57),""),1)),IFERROR(INDEX(醫師週班表!$C$5:$T$44,$CU41,BB$57),""))))))</f>
        <v/>
      </c>
      <c r="BC41" s="68">
        <f>IF(BC$59="X","",IF(BC$59&lt;&gt;"",BC$59,IF(IFERROR(INDEX(醫師週班表!$C$5:$T$44,$CU41,BC$57),"")=0,"",IF(LEN(IFERROR(INDEX(醫師週班表!$C$5:$T$44,$CU41,BC$57),""))=4,MID(IFERROR(INDEX(醫師週班表!$C$5:$T$44,$CU41,BC$57),""),1+BC$58*2,1),IF(LEN(IFERROR(INDEX(醫師週班表!$C$5:$T$44,$CU41,BC$57),""))=2,IF(AND(RIGHT(IFERROR(INDEX(醫師週班表!$C$5:$T$44,$CU41,BC$57),""),1)="~",BC$58=1),"",LEFT(IFERROR(INDEX(醫師週班表!$C$5:$T$44,$CU41,BC$57),""),1)),IFERROR(INDEX(醫師週班表!$C$5:$T$44,$CU41,BC$57),""))))))</f>
        <v/>
      </c>
      <c r="BD41" s="67">
        <f>IF(BD$59="X","",IF(BD$59&lt;&gt;"",BD$59,IF(IFERROR(INDEX(醫師週班表!$C$5:$T$44,$CU41,BD$57),"")=0,"",IF(LEN(IFERROR(INDEX(醫師週班表!$C$5:$T$44,$CU41,BD$57),""))=4,MID(IFERROR(INDEX(醫師週班表!$C$5:$T$44,$CU41,BD$57),""),1+BD$58*2,1),IF(LEN(IFERROR(INDEX(醫師週班表!$C$5:$T$44,$CU41,BD$57),""))=2,IF(AND(RIGHT(IFERROR(INDEX(醫師週班表!$C$5:$T$44,$CU41,BD$57),""),1)="~",BD$58=1),"",LEFT(IFERROR(INDEX(醫師週班表!$C$5:$T$44,$CU41,BD$57),""),1)),IFERROR(INDEX(醫師週班表!$C$5:$T$44,$CU41,BD$57),""))))))</f>
        <v/>
      </c>
      <c r="BE41" s="68">
        <f>IF(BE$59="X","",IF(BE$59&lt;&gt;"",BE$59,IF(IFERROR(INDEX(醫師週班表!$C$5:$T$44,$CU41,BE$57),"")=0,"",IF(LEN(IFERROR(INDEX(醫師週班表!$C$5:$T$44,$CU41,BE$57),""))=4,MID(IFERROR(INDEX(醫師週班表!$C$5:$T$44,$CU41,BE$57),""),1+BE$58*2,1),IF(LEN(IFERROR(INDEX(醫師週班表!$C$5:$T$44,$CU41,BE$57),""))=2,IF(AND(RIGHT(IFERROR(INDEX(醫師週班表!$C$5:$T$44,$CU41,BE$57),""),1)="~",BE$58=1),"",LEFT(IFERROR(INDEX(醫師週班表!$C$5:$T$44,$CU41,BE$57),""),1)),IFERROR(INDEX(醫師週班表!$C$5:$T$44,$CU41,BE$57),""))))))</f>
        <v/>
      </c>
      <c r="BF41" s="68">
        <f>IF(BF$59="X","",IF(BF$59&lt;&gt;"",BF$59,IF(IFERROR(INDEX(醫師週班表!$C$5:$T$44,$CU41,BF$57),"")=0,"",IF(LEN(IFERROR(INDEX(醫師週班表!$C$5:$T$44,$CU41,BF$57),""))=4,MID(IFERROR(INDEX(醫師週班表!$C$5:$T$44,$CU41,BF$57),""),1+BF$58*2,1),IF(LEN(IFERROR(INDEX(醫師週班表!$C$5:$T$44,$CU41,BF$57),""))=2,IF(AND(RIGHT(IFERROR(INDEX(醫師週班表!$C$5:$T$44,$CU41,BF$57),""),1)="~",BF$58=1),"",LEFT(IFERROR(INDEX(醫師週班表!$C$5:$T$44,$CU41,BF$57),""),1)),IFERROR(INDEX(醫師週班表!$C$5:$T$44,$CU41,BF$57),""))))))</f>
        <v/>
      </c>
      <c r="BG41" s="67">
        <f>IF(BG$59="X","",IF(BG$59&lt;&gt;"",BG$59,IF(IFERROR(INDEX(醫師週班表!$C$5:$T$44,$CU41,BG$57),"")=0,"",IF(LEN(IFERROR(INDEX(醫師週班表!$C$5:$T$44,$CU41,BG$57),""))=4,MID(IFERROR(INDEX(醫師週班表!$C$5:$T$44,$CU41,BG$57),""),1+BG$58*2,1),IF(LEN(IFERROR(INDEX(醫師週班表!$C$5:$T$44,$CU41,BG$57),""))=2,IF(AND(RIGHT(IFERROR(INDEX(醫師週班表!$C$5:$T$44,$CU41,BG$57),""),1)="~",BG$58=1),"",LEFT(IFERROR(INDEX(醫師週班表!$C$5:$T$44,$CU41,BG$57),""),1)),IFERROR(INDEX(醫師週班表!$C$5:$T$44,$CU41,BG$57),""))))))</f>
        <v/>
      </c>
      <c r="BH41" s="68">
        <f>IF(BH$59="X","",IF(BH$59&lt;&gt;"",BH$59,IF(IFERROR(INDEX(醫師週班表!$C$5:$T$44,$CU41,BH$57),"")=0,"",IF(LEN(IFERROR(INDEX(醫師週班表!$C$5:$T$44,$CU41,BH$57),""))=4,MID(IFERROR(INDEX(醫師週班表!$C$5:$T$44,$CU41,BH$57),""),1+BH$58*2,1),IF(LEN(IFERROR(INDEX(醫師週班表!$C$5:$T$44,$CU41,BH$57),""))=2,IF(AND(RIGHT(IFERROR(INDEX(醫師週班表!$C$5:$T$44,$CU41,BH$57),""),1)="~",BH$58=1),"",LEFT(IFERROR(INDEX(醫師週班表!$C$5:$T$44,$CU41,BH$57),""),1)),IFERROR(INDEX(醫師週班表!$C$5:$T$44,$CU41,BH$57),""))))))</f>
        <v/>
      </c>
      <c r="BI41" s="68">
        <f>IF(BI$59="X","",IF(BI$59&lt;&gt;"",BI$59,IF(IFERROR(INDEX(醫師週班表!$C$5:$T$44,$CU41,BI$57),"")=0,"",IF(LEN(IFERROR(INDEX(醫師週班表!$C$5:$T$44,$CU41,BI$57),""))=4,MID(IFERROR(INDEX(醫師週班表!$C$5:$T$44,$CU41,BI$57),""),1+BI$58*2,1),IF(LEN(IFERROR(INDEX(醫師週班表!$C$5:$T$44,$CU41,BI$57),""))=2,IF(AND(RIGHT(IFERROR(INDEX(醫師週班表!$C$5:$T$44,$CU41,BI$57),""),1)="~",BI$58=1),"",LEFT(IFERROR(INDEX(醫師週班表!$C$5:$T$44,$CU41,BI$57),""),1)),IFERROR(INDEX(醫師週班表!$C$5:$T$44,$CU41,BI$57),""))))))</f>
        <v/>
      </c>
      <c r="BJ41" s="67">
        <f>IF(BJ$59="X","",IF(BJ$59&lt;&gt;"",BJ$59,IF(IFERROR(INDEX(醫師週班表!$C$5:$T$44,$CU41,BJ$57),"")=0,"",IF(LEN(IFERROR(INDEX(醫師週班表!$C$5:$T$44,$CU41,BJ$57),""))=4,MID(IFERROR(INDEX(醫師週班表!$C$5:$T$44,$CU41,BJ$57),""),1+BJ$58*2,1),IF(LEN(IFERROR(INDEX(醫師週班表!$C$5:$T$44,$CU41,BJ$57),""))=2,IF(AND(RIGHT(IFERROR(INDEX(醫師週班表!$C$5:$T$44,$CU41,BJ$57),""),1)="~",BJ$58=1),"",LEFT(IFERROR(INDEX(醫師週班表!$C$5:$T$44,$CU41,BJ$57),""),1)),IFERROR(INDEX(醫師週班表!$C$5:$T$44,$CU41,BJ$57),""))))))</f>
        <v/>
      </c>
      <c r="BK41" s="68">
        <f>IF(BK$59="X","",IF(BK$59&lt;&gt;"",BK$59,IF(IFERROR(INDEX(醫師週班表!$C$5:$T$44,$CU41,BK$57),"")=0,"",IF(LEN(IFERROR(INDEX(醫師週班表!$C$5:$T$44,$CU41,BK$57),""))=4,MID(IFERROR(INDEX(醫師週班表!$C$5:$T$44,$CU41,BK$57),""),1+BK$58*2,1),IF(LEN(IFERROR(INDEX(醫師週班表!$C$5:$T$44,$CU41,BK$57),""))=2,IF(AND(RIGHT(IFERROR(INDEX(醫師週班表!$C$5:$T$44,$CU41,BK$57),""),1)="~",BK$58=1),"",LEFT(IFERROR(INDEX(醫師週班表!$C$5:$T$44,$CU41,BK$57),""),1)),IFERROR(INDEX(醫師週班表!$C$5:$T$44,$CU41,BK$57),""))))))</f>
        <v/>
      </c>
      <c r="BL41" s="68">
        <f>IF(BL$59="X","",IF(BL$59&lt;&gt;"",BL$59,IF(IFERROR(INDEX(醫師週班表!$C$5:$T$44,$CU41,BL$57),"")=0,"",IF(LEN(IFERROR(INDEX(醫師週班表!$C$5:$T$44,$CU41,BL$57),""))=4,MID(IFERROR(INDEX(醫師週班表!$C$5:$T$44,$CU41,BL$57),""),1+BL$58*2,1),IF(LEN(IFERROR(INDEX(醫師週班表!$C$5:$T$44,$CU41,BL$57),""))=2,IF(AND(RIGHT(IFERROR(INDEX(醫師週班表!$C$5:$T$44,$CU41,BL$57),""),1)="~",BL$58=1),"",LEFT(IFERROR(INDEX(醫師週班表!$C$5:$T$44,$CU41,BL$57),""),1)),IFERROR(INDEX(醫師週班表!$C$5:$T$44,$CU41,BL$57),""))))))</f>
        <v/>
      </c>
      <c r="BM41" s="67">
        <f>IF(BM$59="X","",IF(BM$59&lt;&gt;"",BM$59,IF(IFERROR(INDEX(醫師週班表!$C$5:$T$44,$CU41,BM$57),"")=0,"",IF(LEN(IFERROR(INDEX(醫師週班表!$C$5:$T$44,$CU41,BM$57),""))=4,MID(IFERROR(INDEX(醫師週班表!$C$5:$T$44,$CU41,BM$57),""),1+BM$58*2,1),IF(LEN(IFERROR(INDEX(醫師週班表!$C$5:$T$44,$CU41,BM$57),""))=2,IF(AND(RIGHT(IFERROR(INDEX(醫師週班表!$C$5:$T$44,$CU41,BM$57),""),1)="~",BM$58=1),"",LEFT(IFERROR(INDEX(醫師週班表!$C$5:$T$44,$CU41,BM$57),""),1)),IFERROR(INDEX(醫師週班表!$C$5:$T$44,$CU41,BM$57),""))))))</f>
        <v/>
      </c>
      <c r="BN41" s="68">
        <f>IF(BN$59="X","",IF(BN$59&lt;&gt;"",BN$59,IF(IFERROR(INDEX(醫師週班表!$C$5:$T$44,$CU41,BN$57),"")=0,"",IF(LEN(IFERROR(INDEX(醫師週班表!$C$5:$T$44,$CU41,BN$57),""))=4,MID(IFERROR(INDEX(醫師週班表!$C$5:$T$44,$CU41,BN$57),""),1+BN$58*2,1),IF(LEN(IFERROR(INDEX(醫師週班表!$C$5:$T$44,$CU41,BN$57),""))=2,IF(AND(RIGHT(IFERROR(INDEX(醫師週班表!$C$5:$T$44,$CU41,BN$57),""),1)="~",BN$58=1),"",LEFT(IFERROR(INDEX(醫師週班表!$C$5:$T$44,$CU41,BN$57),""),1)),IFERROR(INDEX(醫師週班表!$C$5:$T$44,$CU41,BN$57),""))))))</f>
        <v/>
      </c>
      <c r="BO41" s="68">
        <f>IF(BO$59="X","",IF(BO$59&lt;&gt;"",BO$59,IF(IFERROR(INDEX(醫師週班表!$C$5:$T$44,$CU41,BO$57),"")=0,"",IF(LEN(IFERROR(INDEX(醫師週班表!$C$5:$T$44,$CU41,BO$57),""))=4,MID(IFERROR(INDEX(醫師週班表!$C$5:$T$44,$CU41,BO$57),""),1+BO$58*2,1),IF(LEN(IFERROR(INDEX(醫師週班表!$C$5:$T$44,$CU41,BO$57),""))=2,IF(AND(RIGHT(IFERROR(INDEX(醫師週班表!$C$5:$T$44,$CU41,BO$57),""),1)="~",BO$58=1),"",LEFT(IFERROR(INDEX(醫師週班表!$C$5:$T$44,$CU41,BO$57),""),1)),IFERROR(INDEX(醫師週班表!$C$5:$T$44,$CU41,BO$57),""))))))</f>
        <v/>
      </c>
      <c r="BP41" s="67">
        <f>IF(BP$59="X","",IF(BP$59&lt;&gt;"",BP$59,IF(IFERROR(INDEX(醫師週班表!$C$5:$T$44,$CU41,BP$57),"")=0,"",IF(LEN(IFERROR(INDEX(醫師週班表!$C$5:$T$44,$CU41,BP$57),""))=4,MID(IFERROR(INDEX(醫師週班表!$C$5:$T$44,$CU41,BP$57),""),1+BP$58*2,1),IF(LEN(IFERROR(INDEX(醫師週班表!$C$5:$T$44,$CU41,BP$57),""))=2,IF(AND(RIGHT(IFERROR(INDEX(醫師週班表!$C$5:$T$44,$CU41,BP$57),""),1)="~",BP$58=1),"",LEFT(IFERROR(INDEX(醫師週班表!$C$5:$T$44,$CU41,BP$57),""),1)),IFERROR(INDEX(醫師週班表!$C$5:$T$44,$CU41,BP$57),""))))))</f>
        <v/>
      </c>
      <c r="BQ41" s="68">
        <f>IF(BQ$59="X","",IF(BQ$59&lt;&gt;"",BQ$59,IF(IFERROR(INDEX(醫師週班表!$C$5:$T$44,$CU41,BQ$57),"")=0,"",IF(LEN(IFERROR(INDEX(醫師週班表!$C$5:$T$44,$CU41,BQ$57),""))=4,MID(IFERROR(INDEX(醫師週班表!$C$5:$T$44,$CU41,BQ$57),""),1+BQ$58*2,1),IF(LEN(IFERROR(INDEX(醫師週班表!$C$5:$T$44,$CU41,BQ$57),""))=2,IF(AND(RIGHT(IFERROR(INDEX(醫師週班表!$C$5:$T$44,$CU41,BQ$57),""),1)="~",BQ$58=1),"",LEFT(IFERROR(INDEX(醫師週班表!$C$5:$T$44,$CU41,BQ$57),""),1)),IFERROR(INDEX(醫師週班表!$C$5:$T$44,$CU41,BQ$57),""))))))</f>
        <v/>
      </c>
      <c r="BR41" s="68">
        <f>IF(BR$59="X","",IF(BR$59&lt;&gt;"",BR$59,IF(IFERROR(INDEX(醫師週班表!$C$5:$T$44,$CU41,BR$57),"")=0,"",IF(LEN(IFERROR(INDEX(醫師週班表!$C$5:$T$44,$CU41,BR$57),""))=4,MID(IFERROR(INDEX(醫師週班表!$C$5:$T$44,$CU41,BR$57),""),1+BR$58*2,1),IF(LEN(IFERROR(INDEX(醫師週班表!$C$5:$T$44,$CU41,BR$57),""))=2,IF(AND(RIGHT(IFERROR(INDEX(醫師週班表!$C$5:$T$44,$CU41,BR$57),""),1)="~",BR$58=1),"",LEFT(IFERROR(INDEX(醫師週班表!$C$5:$T$44,$CU41,BR$57),""),1)),IFERROR(INDEX(醫師週班表!$C$5:$T$44,$CU41,BR$57),""))))))</f>
        <v/>
      </c>
      <c r="BS41" s="67">
        <f>IF(BS$59="X","",IF(BS$59&lt;&gt;"",BS$59,IF(IFERROR(INDEX(醫師週班表!$C$5:$T$44,$CU41,BS$57),"")=0,"",IF(LEN(IFERROR(INDEX(醫師週班表!$C$5:$T$44,$CU41,BS$57),""))=4,MID(IFERROR(INDEX(醫師週班表!$C$5:$T$44,$CU41,BS$57),""),1+BS$58*2,1),IF(LEN(IFERROR(INDEX(醫師週班表!$C$5:$T$44,$CU41,BS$57),""))=2,IF(AND(RIGHT(IFERROR(INDEX(醫師週班表!$C$5:$T$44,$CU41,BS$57),""),1)="~",BS$58=1),"",LEFT(IFERROR(INDEX(醫師週班表!$C$5:$T$44,$CU41,BS$57),""),1)),IFERROR(INDEX(醫師週班表!$C$5:$T$44,$CU41,BS$57),""))))))</f>
        <v/>
      </c>
      <c r="BT41" s="68">
        <f>IF(BT$59="X","",IF(BT$59&lt;&gt;"",BT$59,IF(IFERROR(INDEX(醫師週班表!$C$5:$T$44,$CU41,BT$57),"")=0,"",IF(LEN(IFERROR(INDEX(醫師週班表!$C$5:$T$44,$CU41,BT$57),""))=4,MID(IFERROR(INDEX(醫師週班表!$C$5:$T$44,$CU41,BT$57),""),1+BT$58*2,1),IF(LEN(IFERROR(INDEX(醫師週班表!$C$5:$T$44,$CU41,BT$57),""))=2,IF(AND(RIGHT(IFERROR(INDEX(醫師週班表!$C$5:$T$44,$CU41,BT$57),""),1)="~",BT$58=1),"",LEFT(IFERROR(INDEX(醫師週班表!$C$5:$T$44,$CU41,BT$57),""),1)),IFERROR(INDEX(醫師週班表!$C$5:$T$44,$CU41,BT$57),""))))))</f>
        <v/>
      </c>
      <c r="BU41" s="68">
        <f>IF(BU$59="X","",IF(BU$59&lt;&gt;"",BU$59,IF(IFERROR(INDEX(醫師週班表!$C$5:$T$44,$CU41,BU$57),"")=0,"",IF(LEN(IFERROR(INDEX(醫師週班表!$C$5:$T$44,$CU41,BU$57),""))=4,MID(IFERROR(INDEX(醫師週班表!$C$5:$T$44,$CU41,BU$57),""),1+BU$58*2,1),IF(LEN(IFERROR(INDEX(醫師週班表!$C$5:$T$44,$CU41,BU$57),""))=2,IF(AND(RIGHT(IFERROR(INDEX(醫師週班表!$C$5:$T$44,$CU41,BU$57),""),1)="~",BU$58=1),"",LEFT(IFERROR(INDEX(醫師週班表!$C$5:$T$44,$CU41,BU$57),""),1)),IFERROR(INDEX(醫師週班表!$C$5:$T$44,$CU41,BU$57),""))))))</f>
        <v/>
      </c>
      <c r="BV41" s="67">
        <f>IF(BV$59="X","",IF(BV$59&lt;&gt;"",BV$59,IF(IFERROR(INDEX(醫師週班表!$C$5:$T$44,$CU41,BV$57),"")=0,"",IF(LEN(IFERROR(INDEX(醫師週班表!$C$5:$T$44,$CU41,BV$57),""))=4,MID(IFERROR(INDEX(醫師週班表!$C$5:$T$44,$CU41,BV$57),""),1+BV$58*2,1),IF(LEN(IFERROR(INDEX(醫師週班表!$C$5:$T$44,$CU41,BV$57),""))=2,IF(AND(RIGHT(IFERROR(INDEX(醫師週班表!$C$5:$T$44,$CU41,BV$57),""),1)="~",BV$58=1),"",LEFT(IFERROR(INDEX(醫師週班表!$C$5:$T$44,$CU41,BV$57),""),1)),IFERROR(INDEX(醫師週班表!$C$5:$T$44,$CU41,BV$57),""))))))</f>
        <v/>
      </c>
      <c r="BW41" s="68">
        <f>IF(BW$59="X","",IF(BW$59&lt;&gt;"",BW$59,IF(IFERROR(INDEX(醫師週班表!$C$5:$T$44,$CU41,BW$57),"")=0,"",IF(LEN(IFERROR(INDEX(醫師週班表!$C$5:$T$44,$CU41,BW$57),""))=4,MID(IFERROR(INDEX(醫師週班表!$C$5:$T$44,$CU41,BW$57),""),1+BW$58*2,1),IF(LEN(IFERROR(INDEX(醫師週班表!$C$5:$T$44,$CU41,BW$57),""))=2,IF(AND(RIGHT(IFERROR(INDEX(醫師週班表!$C$5:$T$44,$CU41,BW$57),""),1)="~",BW$58=1),"",LEFT(IFERROR(INDEX(醫師週班表!$C$5:$T$44,$CU41,BW$57),""),1)),IFERROR(INDEX(醫師週班表!$C$5:$T$44,$CU41,BW$57),""))))))</f>
        <v/>
      </c>
      <c r="BX41" s="68">
        <f>IF(BX$59="X","",IF(BX$59&lt;&gt;"",BX$59,IF(IFERROR(INDEX(醫師週班表!$C$5:$T$44,$CU41,BX$57),"")=0,"",IF(LEN(IFERROR(INDEX(醫師週班表!$C$5:$T$44,$CU41,BX$57),""))=4,MID(IFERROR(INDEX(醫師週班表!$C$5:$T$44,$CU41,BX$57),""),1+BX$58*2,1),IF(LEN(IFERROR(INDEX(醫師週班表!$C$5:$T$44,$CU41,BX$57),""))=2,IF(AND(RIGHT(IFERROR(INDEX(醫師週班表!$C$5:$T$44,$CU41,BX$57),""),1)="~",BX$58=1),"",LEFT(IFERROR(INDEX(醫師週班表!$C$5:$T$44,$CU41,BX$57),""),1)),IFERROR(INDEX(醫師週班表!$C$5:$T$44,$CU41,BX$57),""))))))</f>
        <v/>
      </c>
      <c r="BY41" s="67">
        <f>IF(BY$59="X","",IF(BY$59&lt;&gt;"",BY$59,IF(IFERROR(INDEX(醫師週班表!$C$5:$T$44,$CU41,BY$57),"")=0,"",IF(LEN(IFERROR(INDEX(醫師週班表!$C$5:$T$44,$CU41,BY$57),""))=4,MID(IFERROR(INDEX(醫師週班表!$C$5:$T$44,$CU41,BY$57),""),1+BY$58*2,1),IF(LEN(IFERROR(INDEX(醫師週班表!$C$5:$T$44,$CU41,BY$57),""))=2,IF(AND(RIGHT(IFERROR(INDEX(醫師週班表!$C$5:$T$44,$CU41,BY$57),""),1)="~",BY$58=1),"",LEFT(IFERROR(INDEX(醫師週班表!$C$5:$T$44,$CU41,BY$57),""),1)),IFERROR(INDEX(醫師週班表!$C$5:$T$44,$CU41,BY$57),""))))))</f>
        <v/>
      </c>
      <c r="BZ41" s="68">
        <f>IF(BZ$59="X","",IF(BZ$59&lt;&gt;"",BZ$59,IF(IFERROR(INDEX(醫師週班表!$C$5:$T$44,$CU41,BZ$57),"")=0,"",IF(LEN(IFERROR(INDEX(醫師週班表!$C$5:$T$44,$CU41,BZ$57),""))=4,MID(IFERROR(INDEX(醫師週班表!$C$5:$T$44,$CU41,BZ$57),""),1+BZ$58*2,1),IF(LEN(IFERROR(INDEX(醫師週班表!$C$5:$T$44,$CU41,BZ$57),""))=2,IF(AND(RIGHT(IFERROR(INDEX(醫師週班表!$C$5:$T$44,$CU41,BZ$57),""),1)="~",BZ$58=1),"",LEFT(IFERROR(INDEX(醫師週班表!$C$5:$T$44,$CU41,BZ$57),""),1)),IFERROR(INDEX(醫師週班表!$C$5:$T$44,$CU41,BZ$57),""))))))</f>
        <v/>
      </c>
      <c r="CA41" s="68">
        <f>IF(CA$59="X","",IF(CA$59&lt;&gt;"",CA$59,IF(IFERROR(INDEX(醫師週班表!$C$5:$T$44,$CU41,CA$57),"")=0,"",IF(LEN(IFERROR(INDEX(醫師週班表!$C$5:$T$44,$CU41,CA$57),""))=4,MID(IFERROR(INDEX(醫師週班表!$C$5:$T$44,$CU41,CA$57),""),1+CA$58*2,1),IF(LEN(IFERROR(INDEX(醫師週班表!$C$5:$T$44,$CU41,CA$57),""))=2,IF(AND(RIGHT(IFERROR(INDEX(醫師週班表!$C$5:$T$44,$CU41,CA$57),""),1)="~",CA$58=1),"",LEFT(IFERROR(INDEX(醫師週班表!$C$5:$T$44,$CU41,CA$57),""),1)),IFERROR(INDEX(醫師週班表!$C$5:$T$44,$CU41,CA$57),""))))))</f>
        <v/>
      </c>
      <c r="CB41" s="67">
        <f>IF(CB$59="X","",IF(CB$59&lt;&gt;"",CB$59,IF(IFERROR(INDEX(醫師週班表!$C$5:$T$44,$CU41,CB$57),"")=0,"",IF(LEN(IFERROR(INDEX(醫師週班表!$C$5:$T$44,$CU41,CB$57),""))=4,MID(IFERROR(INDEX(醫師週班表!$C$5:$T$44,$CU41,CB$57),""),1+CB$58*2,1),IF(LEN(IFERROR(INDEX(醫師週班表!$C$5:$T$44,$CU41,CB$57),""))=2,IF(AND(RIGHT(IFERROR(INDEX(醫師週班表!$C$5:$T$44,$CU41,CB$57),""),1)="~",CB$58=1),"",LEFT(IFERROR(INDEX(醫師週班表!$C$5:$T$44,$CU41,CB$57),""),1)),IFERROR(INDEX(醫師週班表!$C$5:$T$44,$CU41,CB$57),""))))))</f>
        <v/>
      </c>
      <c r="CC41" s="68">
        <f>IF(CC$59="X","",IF(CC$59&lt;&gt;"",CC$59,IF(IFERROR(INDEX(醫師週班表!$C$5:$T$44,$CU41,CC$57),"")=0,"",IF(LEN(IFERROR(INDEX(醫師週班表!$C$5:$T$44,$CU41,CC$57),""))=4,MID(IFERROR(INDEX(醫師週班表!$C$5:$T$44,$CU41,CC$57),""),1+CC$58*2,1),IF(LEN(IFERROR(INDEX(醫師週班表!$C$5:$T$44,$CU41,CC$57),""))=2,IF(AND(RIGHT(IFERROR(INDEX(醫師週班表!$C$5:$T$44,$CU41,CC$57),""),1)="~",CC$58=1),"",LEFT(IFERROR(INDEX(醫師週班表!$C$5:$T$44,$CU41,CC$57),""),1)),IFERROR(INDEX(醫師週班表!$C$5:$T$44,$CU41,CC$57),""))))))</f>
        <v/>
      </c>
      <c r="CD41" s="68">
        <f>IF(CD$59="X","",IF(CD$59&lt;&gt;"",CD$59,IF(IFERROR(INDEX(醫師週班表!$C$5:$T$44,$CU41,CD$57),"")=0,"",IF(LEN(IFERROR(INDEX(醫師週班表!$C$5:$T$44,$CU41,CD$57),""))=4,MID(IFERROR(INDEX(醫師週班表!$C$5:$T$44,$CU41,CD$57),""),1+CD$58*2,1),IF(LEN(IFERROR(INDEX(醫師週班表!$C$5:$T$44,$CU41,CD$57),""))=2,IF(AND(RIGHT(IFERROR(INDEX(醫師週班表!$C$5:$T$44,$CU41,CD$57),""),1)="~",CD$58=1),"",LEFT(IFERROR(INDEX(醫師週班表!$C$5:$T$44,$CU41,CD$57),""),1)),IFERROR(INDEX(醫師週班表!$C$5:$T$44,$CU41,CD$57),""))))))</f>
        <v/>
      </c>
      <c r="CE41" s="67">
        <f>IF(CE$59="X","",IF(CE$59&lt;&gt;"",CE$59,IF(IFERROR(INDEX(醫師週班表!$C$5:$T$44,$CU41,CE$57),"")=0,"",IF(LEN(IFERROR(INDEX(醫師週班表!$C$5:$T$44,$CU41,CE$57),""))=4,MID(IFERROR(INDEX(醫師週班表!$C$5:$T$44,$CU41,CE$57),""),1+CE$58*2,1),IF(LEN(IFERROR(INDEX(醫師週班表!$C$5:$T$44,$CU41,CE$57),""))=2,IF(AND(RIGHT(IFERROR(INDEX(醫師週班表!$C$5:$T$44,$CU41,CE$57),""),1)="~",CE$58=1),"",LEFT(IFERROR(INDEX(醫師週班表!$C$5:$T$44,$CU41,CE$57),""),1)),IFERROR(INDEX(醫師週班表!$C$5:$T$44,$CU41,CE$57),""))))))</f>
        <v/>
      </c>
      <c r="CF41" s="68">
        <f>IF(CF$59="X","",IF(CF$59&lt;&gt;"",CF$59,IF(IFERROR(INDEX(醫師週班表!$C$5:$T$44,$CU41,CF$57),"")=0,"",IF(LEN(IFERROR(INDEX(醫師週班表!$C$5:$T$44,$CU41,CF$57),""))=4,MID(IFERROR(INDEX(醫師週班表!$C$5:$T$44,$CU41,CF$57),""),1+CF$58*2,1),IF(LEN(IFERROR(INDEX(醫師週班表!$C$5:$T$44,$CU41,CF$57),""))=2,IF(AND(RIGHT(IFERROR(INDEX(醫師週班表!$C$5:$T$44,$CU41,CF$57),""),1)="~",CF$58=1),"",LEFT(IFERROR(INDEX(醫師週班表!$C$5:$T$44,$CU41,CF$57),""),1)),IFERROR(INDEX(醫師週班表!$C$5:$T$44,$CU41,CF$57),""))))))</f>
        <v/>
      </c>
      <c r="CG41" s="68">
        <f>IF(CG$59="X","",IF(CG$59&lt;&gt;"",CG$59,IF(IFERROR(INDEX(醫師週班表!$C$5:$T$44,$CU41,CG$57),"")=0,"",IF(LEN(IFERROR(INDEX(醫師週班表!$C$5:$T$44,$CU41,CG$57),""))=4,MID(IFERROR(INDEX(醫師週班表!$C$5:$T$44,$CU41,CG$57),""),1+CG$58*2,1),IF(LEN(IFERROR(INDEX(醫師週班表!$C$5:$T$44,$CU41,CG$57),""))=2,IF(AND(RIGHT(IFERROR(INDEX(醫師週班表!$C$5:$T$44,$CU41,CG$57),""),1)="~",CG$58=1),"",LEFT(IFERROR(INDEX(醫師週班表!$C$5:$T$44,$CU41,CG$57),""),1)),IFERROR(INDEX(醫師週班表!$C$5:$T$44,$CU41,CG$57),""))))))</f>
        <v/>
      </c>
      <c r="CH41" s="67">
        <f>IF(CH$59="X","",IF(CH$59&lt;&gt;"",CH$59,IF(IFERROR(INDEX(醫師週班表!$C$5:$T$44,$CU41,CH$57),"")=0,"",IF(LEN(IFERROR(INDEX(醫師週班表!$C$5:$T$44,$CU41,CH$57),""))=4,MID(IFERROR(INDEX(醫師週班表!$C$5:$T$44,$CU41,CH$57),""),1+CH$58*2,1),IF(LEN(IFERROR(INDEX(醫師週班表!$C$5:$T$44,$CU41,CH$57),""))=2,IF(AND(RIGHT(IFERROR(INDEX(醫師週班表!$C$5:$T$44,$CU41,CH$57),""),1)="~",CH$58=1),"",LEFT(IFERROR(INDEX(醫師週班表!$C$5:$T$44,$CU41,CH$57),""),1)),IFERROR(INDEX(醫師週班表!$C$5:$T$44,$CU41,CH$57),""))))))</f>
        <v/>
      </c>
      <c r="CI41" s="68">
        <f>IF(CI$59="X","",IF(CI$59&lt;&gt;"",CI$59,IF(IFERROR(INDEX(醫師週班表!$C$5:$T$44,$CU41,CI$57),"")=0,"",IF(LEN(IFERROR(INDEX(醫師週班表!$C$5:$T$44,$CU41,CI$57),""))=4,MID(IFERROR(INDEX(醫師週班表!$C$5:$T$44,$CU41,CI$57),""),1+CI$58*2,1),IF(LEN(IFERROR(INDEX(醫師週班表!$C$5:$T$44,$CU41,CI$57),""))=2,IF(AND(RIGHT(IFERROR(INDEX(醫師週班表!$C$5:$T$44,$CU41,CI$57),""),1)="~",CI$58=1),"",LEFT(IFERROR(INDEX(醫師週班表!$C$5:$T$44,$CU41,CI$57),""),1)),IFERROR(INDEX(醫師週班表!$C$5:$T$44,$CU41,CI$57),""))))))</f>
        <v/>
      </c>
      <c r="CJ41" s="68">
        <f>IF(CJ$59="X","",IF(CJ$59&lt;&gt;"",CJ$59,IF(IFERROR(INDEX(醫師週班表!$C$5:$T$44,$CU41,CJ$57),"")=0,"",IF(LEN(IFERROR(INDEX(醫師週班表!$C$5:$T$44,$CU41,CJ$57),""))=4,MID(IFERROR(INDEX(醫師週班表!$C$5:$T$44,$CU41,CJ$57),""),1+CJ$58*2,1),IF(LEN(IFERROR(INDEX(醫師週班表!$C$5:$T$44,$CU41,CJ$57),""))=2,IF(AND(RIGHT(IFERROR(INDEX(醫師週班表!$C$5:$T$44,$CU41,CJ$57),""),1)="~",CJ$58=1),"",LEFT(IFERROR(INDEX(醫師週班表!$C$5:$T$44,$CU41,CJ$57),""),1)),IFERROR(INDEX(醫師週班表!$C$5:$T$44,$CU41,CJ$57),""))))))</f>
        <v/>
      </c>
      <c r="CK41" s="67">
        <f>IF(CK$59="X","",IF(CK$59&lt;&gt;"",CK$59,IF(IFERROR(INDEX(醫師週班表!$C$5:$T$44,$CU41,CK$57),"")=0,"",IF(LEN(IFERROR(INDEX(醫師週班表!$C$5:$T$44,$CU41,CK$57),""))=4,MID(IFERROR(INDEX(醫師週班表!$C$5:$T$44,$CU41,CK$57),""),1+CK$58*2,1),IF(LEN(IFERROR(INDEX(醫師週班表!$C$5:$T$44,$CU41,CK$57),""))=2,IF(AND(RIGHT(IFERROR(INDEX(醫師週班表!$C$5:$T$44,$CU41,CK$57),""),1)="~",CK$58=1),"",LEFT(IFERROR(INDEX(醫師週班表!$C$5:$T$44,$CU41,CK$57),""),1)),IFERROR(INDEX(醫師週班表!$C$5:$T$44,$CU41,CK$57),""))))))</f>
        <v/>
      </c>
      <c r="CL41" s="68">
        <f>IF(CL$59="X","",IF(CL$59&lt;&gt;"",CL$59,IF(IFERROR(INDEX(醫師週班表!$C$5:$T$44,$CU41,CL$57),"")=0,"",IF(LEN(IFERROR(INDEX(醫師週班表!$C$5:$T$44,$CU41,CL$57),""))=4,MID(IFERROR(INDEX(醫師週班表!$C$5:$T$44,$CU41,CL$57),""),1+CL$58*2,1),IF(LEN(IFERROR(INDEX(醫師週班表!$C$5:$T$44,$CU41,CL$57),""))=2,IF(AND(RIGHT(IFERROR(INDEX(醫師週班表!$C$5:$T$44,$CU41,CL$57),""),1)="~",CL$58=1),"",LEFT(IFERROR(INDEX(醫師週班表!$C$5:$T$44,$CU41,CL$57),""),1)),IFERROR(INDEX(醫師週班表!$C$5:$T$44,$CU41,CL$57),""))))))</f>
        <v/>
      </c>
      <c r="CM41" s="68">
        <f>IF(CM$59="X","",IF(CM$59&lt;&gt;"",CM$59,IF(IFERROR(INDEX(醫師週班表!$C$5:$T$44,$CU41,CM$57),"")=0,"",IF(LEN(IFERROR(INDEX(醫師週班表!$C$5:$T$44,$CU41,CM$57),""))=4,MID(IFERROR(INDEX(醫師週班表!$C$5:$T$44,$CU41,CM$57),""),1+CM$58*2,1),IF(LEN(IFERROR(INDEX(醫師週班表!$C$5:$T$44,$CU41,CM$57),""))=2,IF(AND(RIGHT(IFERROR(INDEX(醫師週班表!$C$5:$T$44,$CU41,CM$57),""),1)="~",CM$58=1),"",LEFT(IFERROR(INDEX(醫師週班表!$C$5:$T$44,$CU41,CM$57),""),1)),IFERROR(INDEX(醫師週班表!$C$5:$T$44,$CU41,CM$57),""))))))</f>
        <v/>
      </c>
      <c r="CN41" s="67">
        <f>IF(CN$59="X","",IF(CN$59&lt;&gt;"",CN$59,IF(IFERROR(INDEX(醫師週班表!$C$5:$T$44,$CU41,CN$57),"")=0,"",IF(LEN(IFERROR(INDEX(醫師週班表!$C$5:$T$44,$CU41,CN$57),""))=4,MID(IFERROR(INDEX(醫師週班表!$C$5:$T$44,$CU41,CN$57),""),1+CN$58*2,1),IF(LEN(IFERROR(INDEX(醫師週班表!$C$5:$T$44,$CU41,CN$57),""))=2,IF(AND(RIGHT(IFERROR(INDEX(醫師週班表!$C$5:$T$44,$CU41,CN$57),""),1)="~",CN$58=1),"",LEFT(IFERROR(INDEX(醫師週班表!$C$5:$T$44,$CU41,CN$57),""),1)),IFERROR(INDEX(醫師週班表!$C$5:$T$44,$CU41,CN$57),""))))))</f>
        <v/>
      </c>
      <c r="CO41" s="68">
        <f>IF(CO$59="X","",IF(CO$59&lt;&gt;"",CO$59,IF(IFERROR(INDEX(醫師週班表!$C$5:$T$44,$CU41,CO$57),"")=0,"",IF(LEN(IFERROR(INDEX(醫師週班表!$C$5:$T$44,$CU41,CO$57),""))=4,MID(IFERROR(INDEX(醫師週班表!$C$5:$T$44,$CU41,CO$57),""),1+CO$58*2,1),IF(LEN(IFERROR(INDEX(醫師週班表!$C$5:$T$44,$CU41,CO$57),""))=2,IF(AND(RIGHT(IFERROR(INDEX(醫師週班表!$C$5:$T$44,$CU41,CO$57),""),1)="~",CO$58=1),"",LEFT(IFERROR(INDEX(醫師週班表!$C$5:$T$44,$CU41,CO$57),""),1)),IFERROR(INDEX(醫師週班表!$C$5:$T$44,$CU41,CO$57),""))))))</f>
        <v/>
      </c>
      <c r="CP41" s="68">
        <f>IF(CP$59="X","",IF(CP$59&lt;&gt;"",CP$59,IF(IFERROR(INDEX(醫師週班表!$C$5:$T$44,$CU41,CP$57),"")=0,"",IF(LEN(IFERROR(INDEX(醫師週班表!$C$5:$T$44,$CU41,CP$57),""))=4,MID(IFERROR(INDEX(醫師週班表!$C$5:$T$44,$CU41,CP$57),""),1+CP$58*2,1),IF(LEN(IFERROR(INDEX(醫師週班表!$C$5:$T$44,$CU41,CP$57),""))=2,IF(AND(RIGHT(IFERROR(INDEX(醫師週班表!$C$5:$T$44,$CU41,CP$57),""),1)="~",CP$58=1),"",LEFT(IFERROR(INDEX(醫師週班表!$C$5:$T$44,$CU41,CP$57),""),1)),IFERROR(INDEX(醫師週班表!$C$5:$T$44,$CU41,CP$57),""))))))</f>
        <v/>
      </c>
      <c r="CQ41" s="67">
        <f>IF(CQ$59="X","",IF(CQ$59&lt;&gt;"",CQ$59,IF(IFERROR(INDEX(醫師週班表!$C$5:$T$44,$CU41,CQ$57),"")=0,"",IF(LEN(IFERROR(INDEX(醫師週班表!$C$5:$T$44,$CU41,CQ$57),""))=4,MID(IFERROR(INDEX(醫師週班表!$C$5:$T$44,$CU41,CQ$57),""),1+CQ$58*2,1),IF(LEN(IFERROR(INDEX(醫師週班表!$C$5:$T$44,$CU41,CQ$57),""))=2,IF(AND(RIGHT(IFERROR(INDEX(醫師週班表!$C$5:$T$44,$CU41,CQ$57),""),1)="~",CQ$58=1),"",LEFT(IFERROR(INDEX(醫師週班表!$C$5:$T$44,$CU41,CQ$57),""),1)),IFERROR(INDEX(醫師週班表!$C$5:$T$44,$CU41,CQ$57),""))))))</f>
        <v/>
      </c>
      <c r="CR41" s="68">
        <f>IF(CR$59="X","",IF(CR$59&lt;&gt;"",CR$59,IF(IFERROR(INDEX(醫師週班表!$C$5:$T$44,$CU41,CR$57),"")=0,"",IF(LEN(IFERROR(INDEX(醫師週班表!$C$5:$T$44,$CU41,CR$57),""))=4,MID(IFERROR(INDEX(醫師週班表!$C$5:$T$44,$CU41,CR$57),""),1+CR$58*2,1),IF(LEN(IFERROR(INDEX(醫師週班表!$C$5:$T$44,$CU41,CR$57),""))=2,IF(AND(RIGHT(IFERROR(INDEX(醫師週班表!$C$5:$T$44,$CU41,CR$57),""),1)="~",CR$58=1),"",LEFT(IFERROR(INDEX(醫師週班表!$C$5:$T$44,$CU41,CR$57),""),1)),IFERROR(INDEX(醫師週班表!$C$5:$T$44,$CU41,CR$57),""))))))</f>
        <v/>
      </c>
      <c r="CS41" s="68">
        <f>IF(CS$59="X","",IF(CS$59&lt;&gt;"",CS$59,IF(IFERROR(INDEX(醫師週班表!$C$5:$T$44,$CU41,CS$57),"")=0,"",IF(LEN(IFERROR(INDEX(醫師週班表!$C$5:$T$44,$CU41,CS$57),""))=4,MID(IFERROR(INDEX(醫師週班表!$C$5:$T$44,$CU41,CS$57),""),1+CS$58*2,1),IF(LEN(IFERROR(INDEX(醫師週班表!$C$5:$T$44,$CU41,CS$57),""))=2,IF(AND(RIGHT(IFERROR(INDEX(醫師週班表!$C$5:$T$44,$CU41,CS$57),""),1)="~",CS$58=1),"",LEFT(IFERROR(INDEX(醫師週班表!$C$5:$T$44,$CU41,CS$57),""),1)),IFERROR(INDEX(醫師週班表!$C$5:$T$44,$CU41,CS$57),""))))))</f>
        <v/>
      </c>
      <c r="CU41" s="69">
        <f>IFERROR(MATCH($A41,醫師週班表!$A$5:$A$44,0),0)</f>
        <v/>
      </c>
    </row>
    <row r="42" ht="17" customHeight="1">
      <c r="A42" s="20" t="n"/>
      <c r="B42" s="16">
        <f>IFERROR(INDEX(設定!$C$57:$C$196,MATCH($A42,設定!$B$57:$B$196,0)),"")</f>
        <v/>
      </c>
      <c r="C42" s="66">
        <f>IFERROR(INDEX(設定!$E$57:$E$196,MATCH($A42,設定!$B$57:$B$196,0)),"")</f>
        <v/>
      </c>
      <c r="D42" s="16">
        <f>IFERROR(INDEX(設定!$F$57:$F$196,MATCH($A42,設定!$B$57:$B$196,0)),"")</f>
        <v/>
      </c>
      <c r="E42" s="67">
        <f>IF(E$59="X","",IF(E$59&lt;&gt;"",E$59,IF(IFERROR(INDEX(醫師週班表!$C$5:$T$44,$CU42,E$57),"")=0,"",IF(LEN(IFERROR(INDEX(醫師週班表!$C$5:$T$44,$CU42,E$57),""))=4,MID(IFERROR(INDEX(醫師週班表!$C$5:$T$44,$CU42,E$57),""),1+E$58*2,1),IF(LEN(IFERROR(INDEX(醫師週班表!$C$5:$T$44,$CU42,E$57),""))=2,IF(AND(RIGHT(IFERROR(INDEX(醫師週班表!$C$5:$T$44,$CU42,E$57),""),1)="~",E$58=1),"",LEFT(IFERROR(INDEX(醫師週班表!$C$5:$T$44,$CU42,E$57),""),1)),IFERROR(INDEX(醫師週班表!$C$5:$T$44,$CU42,E$57),""))))))</f>
        <v/>
      </c>
      <c r="F42" s="68">
        <f>IF(F$59="X","",IF(F$59&lt;&gt;"",F$59,IF(IFERROR(INDEX(醫師週班表!$C$5:$T$44,$CU42,F$57),"")=0,"",IF(LEN(IFERROR(INDEX(醫師週班表!$C$5:$T$44,$CU42,F$57),""))=4,MID(IFERROR(INDEX(醫師週班表!$C$5:$T$44,$CU42,F$57),""),1+F$58*2,1),IF(LEN(IFERROR(INDEX(醫師週班表!$C$5:$T$44,$CU42,F$57),""))=2,IF(AND(RIGHT(IFERROR(INDEX(醫師週班表!$C$5:$T$44,$CU42,F$57),""),1)="~",F$58=1),"",LEFT(IFERROR(INDEX(醫師週班表!$C$5:$T$44,$CU42,F$57),""),1)),IFERROR(INDEX(醫師週班表!$C$5:$T$44,$CU42,F$57),""))))))</f>
        <v/>
      </c>
      <c r="G42" s="68">
        <f>IF(G$59="X","",IF(G$59&lt;&gt;"",G$59,IF(IFERROR(INDEX(醫師週班表!$C$5:$T$44,$CU42,G$57),"")=0,"",IF(LEN(IFERROR(INDEX(醫師週班表!$C$5:$T$44,$CU42,G$57),""))=4,MID(IFERROR(INDEX(醫師週班表!$C$5:$T$44,$CU42,G$57),""),1+G$58*2,1),IF(LEN(IFERROR(INDEX(醫師週班表!$C$5:$T$44,$CU42,G$57),""))=2,IF(AND(RIGHT(IFERROR(INDEX(醫師週班表!$C$5:$T$44,$CU42,G$57),""),1)="~",G$58=1),"",LEFT(IFERROR(INDEX(醫師週班表!$C$5:$T$44,$CU42,G$57),""),1)),IFERROR(INDEX(醫師週班表!$C$5:$T$44,$CU42,G$57),""))))))</f>
        <v/>
      </c>
      <c r="H42" s="67">
        <f>IF(H$59="X","",IF(H$59&lt;&gt;"",H$59,IF(IFERROR(INDEX(醫師週班表!$C$5:$T$44,$CU42,H$57),"")=0,"",IF(LEN(IFERROR(INDEX(醫師週班表!$C$5:$T$44,$CU42,H$57),""))=4,MID(IFERROR(INDEX(醫師週班表!$C$5:$T$44,$CU42,H$57),""),1+H$58*2,1),IF(LEN(IFERROR(INDEX(醫師週班表!$C$5:$T$44,$CU42,H$57),""))=2,IF(AND(RIGHT(IFERROR(INDEX(醫師週班表!$C$5:$T$44,$CU42,H$57),""),1)="~",H$58=1),"",LEFT(IFERROR(INDEX(醫師週班表!$C$5:$T$44,$CU42,H$57),""),1)),IFERROR(INDEX(醫師週班表!$C$5:$T$44,$CU42,H$57),""))))))</f>
        <v/>
      </c>
      <c r="I42" s="68">
        <f>IF(I$59="X","",IF(I$59&lt;&gt;"",I$59,IF(IFERROR(INDEX(醫師週班表!$C$5:$T$44,$CU42,I$57),"")=0,"",IF(LEN(IFERROR(INDEX(醫師週班表!$C$5:$T$44,$CU42,I$57),""))=4,MID(IFERROR(INDEX(醫師週班表!$C$5:$T$44,$CU42,I$57),""),1+I$58*2,1),IF(LEN(IFERROR(INDEX(醫師週班表!$C$5:$T$44,$CU42,I$57),""))=2,IF(AND(RIGHT(IFERROR(INDEX(醫師週班表!$C$5:$T$44,$CU42,I$57),""),1)="~",I$58=1),"",LEFT(IFERROR(INDEX(醫師週班表!$C$5:$T$44,$CU42,I$57),""),1)),IFERROR(INDEX(醫師週班表!$C$5:$T$44,$CU42,I$57),""))))))</f>
        <v/>
      </c>
      <c r="J42" s="68">
        <f>IF(J$59="X","",IF(J$59&lt;&gt;"",J$59,IF(IFERROR(INDEX(醫師週班表!$C$5:$T$44,$CU42,J$57),"")=0,"",IF(LEN(IFERROR(INDEX(醫師週班表!$C$5:$T$44,$CU42,J$57),""))=4,MID(IFERROR(INDEX(醫師週班表!$C$5:$T$44,$CU42,J$57),""),1+J$58*2,1),IF(LEN(IFERROR(INDEX(醫師週班表!$C$5:$T$44,$CU42,J$57),""))=2,IF(AND(RIGHT(IFERROR(INDEX(醫師週班表!$C$5:$T$44,$CU42,J$57),""),1)="~",J$58=1),"",LEFT(IFERROR(INDEX(醫師週班表!$C$5:$T$44,$CU42,J$57),""),1)),IFERROR(INDEX(醫師週班表!$C$5:$T$44,$CU42,J$57),""))))))</f>
        <v/>
      </c>
      <c r="K42" s="67">
        <f>IF(K$59="X","",IF(K$59&lt;&gt;"",K$59,IF(IFERROR(INDEX(醫師週班表!$C$5:$T$44,$CU42,K$57),"")=0,"",IF(LEN(IFERROR(INDEX(醫師週班表!$C$5:$T$44,$CU42,K$57),""))=4,MID(IFERROR(INDEX(醫師週班表!$C$5:$T$44,$CU42,K$57),""),1+K$58*2,1),IF(LEN(IFERROR(INDEX(醫師週班表!$C$5:$T$44,$CU42,K$57),""))=2,IF(AND(RIGHT(IFERROR(INDEX(醫師週班表!$C$5:$T$44,$CU42,K$57),""),1)="~",K$58=1),"",LEFT(IFERROR(INDEX(醫師週班表!$C$5:$T$44,$CU42,K$57),""),1)),IFERROR(INDEX(醫師週班表!$C$5:$T$44,$CU42,K$57),""))))))</f>
        <v/>
      </c>
      <c r="L42" s="68">
        <f>IF(L$59="X","",IF(L$59&lt;&gt;"",L$59,IF(IFERROR(INDEX(醫師週班表!$C$5:$T$44,$CU42,L$57),"")=0,"",IF(LEN(IFERROR(INDEX(醫師週班表!$C$5:$T$44,$CU42,L$57),""))=4,MID(IFERROR(INDEX(醫師週班表!$C$5:$T$44,$CU42,L$57),""),1+L$58*2,1),IF(LEN(IFERROR(INDEX(醫師週班表!$C$5:$T$44,$CU42,L$57),""))=2,IF(AND(RIGHT(IFERROR(INDEX(醫師週班表!$C$5:$T$44,$CU42,L$57),""),1)="~",L$58=1),"",LEFT(IFERROR(INDEX(醫師週班表!$C$5:$T$44,$CU42,L$57),""),1)),IFERROR(INDEX(醫師週班表!$C$5:$T$44,$CU42,L$57),""))))))</f>
        <v/>
      </c>
      <c r="M42" s="68">
        <f>IF(M$59="X","",IF(M$59&lt;&gt;"",M$59,IF(IFERROR(INDEX(醫師週班表!$C$5:$T$44,$CU42,M$57),"")=0,"",IF(LEN(IFERROR(INDEX(醫師週班表!$C$5:$T$44,$CU42,M$57),""))=4,MID(IFERROR(INDEX(醫師週班表!$C$5:$T$44,$CU42,M$57),""),1+M$58*2,1),IF(LEN(IFERROR(INDEX(醫師週班表!$C$5:$T$44,$CU42,M$57),""))=2,IF(AND(RIGHT(IFERROR(INDEX(醫師週班表!$C$5:$T$44,$CU42,M$57),""),1)="~",M$58=1),"",LEFT(IFERROR(INDEX(醫師週班表!$C$5:$T$44,$CU42,M$57),""),1)),IFERROR(INDEX(醫師週班表!$C$5:$T$44,$CU42,M$57),""))))))</f>
        <v/>
      </c>
      <c r="N42" s="67">
        <f>IF(N$59="X","",IF(N$59&lt;&gt;"",N$59,IF(IFERROR(INDEX(醫師週班表!$C$5:$T$44,$CU42,N$57),"")=0,"",IF(LEN(IFERROR(INDEX(醫師週班表!$C$5:$T$44,$CU42,N$57),""))=4,MID(IFERROR(INDEX(醫師週班表!$C$5:$T$44,$CU42,N$57),""),1+N$58*2,1),IF(LEN(IFERROR(INDEX(醫師週班表!$C$5:$T$44,$CU42,N$57),""))=2,IF(AND(RIGHT(IFERROR(INDEX(醫師週班表!$C$5:$T$44,$CU42,N$57),""),1)="~",N$58=1),"",LEFT(IFERROR(INDEX(醫師週班表!$C$5:$T$44,$CU42,N$57),""),1)),IFERROR(INDEX(醫師週班表!$C$5:$T$44,$CU42,N$57),""))))))</f>
        <v/>
      </c>
      <c r="O42" s="68">
        <f>IF(O$59="X","",IF(O$59&lt;&gt;"",O$59,IF(IFERROR(INDEX(醫師週班表!$C$5:$T$44,$CU42,O$57),"")=0,"",IF(LEN(IFERROR(INDEX(醫師週班表!$C$5:$T$44,$CU42,O$57),""))=4,MID(IFERROR(INDEX(醫師週班表!$C$5:$T$44,$CU42,O$57),""),1+O$58*2,1),IF(LEN(IFERROR(INDEX(醫師週班表!$C$5:$T$44,$CU42,O$57),""))=2,IF(AND(RIGHT(IFERROR(INDEX(醫師週班表!$C$5:$T$44,$CU42,O$57),""),1)="~",O$58=1),"",LEFT(IFERROR(INDEX(醫師週班表!$C$5:$T$44,$CU42,O$57),""),1)),IFERROR(INDEX(醫師週班表!$C$5:$T$44,$CU42,O$57),""))))))</f>
        <v/>
      </c>
      <c r="P42" s="68">
        <f>IF(P$59="X","",IF(P$59&lt;&gt;"",P$59,IF(IFERROR(INDEX(醫師週班表!$C$5:$T$44,$CU42,P$57),"")=0,"",IF(LEN(IFERROR(INDEX(醫師週班表!$C$5:$T$44,$CU42,P$57),""))=4,MID(IFERROR(INDEX(醫師週班表!$C$5:$T$44,$CU42,P$57),""),1+P$58*2,1),IF(LEN(IFERROR(INDEX(醫師週班表!$C$5:$T$44,$CU42,P$57),""))=2,IF(AND(RIGHT(IFERROR(INDEX(醫師週班表!$C$5:$T$44,$CU42,P$57),""),1)="~",P$58=1),"",LEFT(IFERROR(INDEX(醫師週班表!$C$5:$T$44,$CU42,P$57),""),1)),IFERROR(INDEX(醫師週班表!$C$5:$T$44,$CU42,P$57),""))))))</f>
        <v/>
      </c>
      <c r="Q42" s="67">
        <f>IF(Q$59="X","",IF(Q$59&lt;&gt;"",Q$59,IF(IFERROR(INDEX(醫師週班表!$C$5:$T$44,$CU42,Q$57),"")=0,"",IF(LEN(IFERROR(INDEX(醫師週班表!$C$5:$T$44,$CU42,Q$57),""))=4,MID(IFERROR(INDEX(醫師週班表!$C$5:$T$44,$CU42,Q$57),""),1+Q$58*2,1),IF(LEN(IFERROR(INDEX(醫師週班表!$C$5:$T$44,$CU42,Q$57),""))=2,IF(AND(RIGHT(IFERROR(INDEX(醫師週班表!$C$5:$T$44,$CU42,Q$57),""),1)="~",Q$58=1),"",LEFT(IFERROR(INDEX(醫師週班表!$C$5:$T$44,$CU42,Q$57),""),1)),IFERROR(INDEX(醫師週班表!$C$5:$T$44,$CU42,Q$57),""))))))</f>
        <v/>
      </c>
      <c r="R42" s="68">
        <f>IF(R$59="X","",IF(R$59&lt;&gt;"",R$59,IF(IFERROR(INDEX(醫師週班表!$C$5:$T$44,$CU42,R$57),"")=0,"",IF(LEN(IFERROR(INDEX(醫師週班表!$C$5:$T$44,$CU42,R$57),""))=4,MID(IFERROR(INDEX(醫師週班表!$C$5:$T$44,$CU42,R$57),""),1+R$58*2,1),IF(LEN(IFERROR(INDEX(醫師週班表!$C$5:$T$44,$CU42,R$57),""))=2,IF(AND(RIGHT(IFERROR(INDEX(醫師週班表!$C$5:$T$44,$CU42,R$57),""),1)="~",R$58=1),"",LEFT(IFERROR(INDEX(醫師週班表!$C$5:$T$44,$CU42,R$57),""),1)),IFERROR(INDEX(醫師週班表!$C$5:$T$44,$CU42,R$57),""))))))</f>
        <v/>
      </c>
      <c r="S42" s="68">
        <f>IF(S$59="X","",IF(S$59&lt;&gt;"",S$59,IF(IFERROR(INDEX(醫師週班表!$C$5:$T$44,$CU42,S$57),"")=0,"",IF(LEN(IFERROR(INDEX(醫師週班表!$C$5:$T$44,$CU42,S$57),""))=4,MID(IFERROR(INDEX(醫師週班表!$C$5:$T$44,$CU42,S$57),""),1+S$58*2,1),IF(LEN(IFERROR(INDEX(醫師週班表!$C$5:$T$44,$CU42,S$57),""))=2,IF(AND(RIGHT(IFERROR(INDEX(醫師週班表!$C$5:$T$44,$CU42,S$57),""),1)="~",S$58=1),"",LEFT(IFERROR(INDEX(醫師週班表!$C$5:$T$44,$CU42,S$57),""),1)),IFERROR(INDEX(醫師週班表!$C$5:$T$44,$CU42,S$57),""))))))</f>
        <v/>
      </c>
      <c r="T42" s="67">
        <f>IF(T$59="X","",IF(T$59&lt;&gt;"",T$59,IF(IFERROR(INDEX(醫師週班表!$C$5:$T$44,$CU42,T$57),"")=0,"",IF(LEN(IFERROR(INDEX(醫師週班表!$C$5:$T$44,$CU42,T$57),""))=4,MID(IFERROR(INDEX(醫師週班表!$C$5:$T$44,$CU42,T$57),""),1+T$58*2,1),IF(LEN(IFERROR(INDEX(醫師週班表!$C$5:$T$44,$CU42,T$57),""))=2,IF(AND(RIGHT(IFERROR(INDEX(醫師週班表!$C$5:$T$44,$CU42,T$57),""),1)="~",T$58=1),"",LEFT(IFERROR(INDEX(醫師週班表!$C$5:$T$44,$CU42,T$57),""),1)),IFERROR(INDEX(醫師週班表!$C$5:$T$44,$CU42,T$57),""))))))</f>
        <v/>
      </c>
      <c r="U42" s="68">
        <f>IF(U$59="X","",IF(U$59&lt;&gt;"",U$59,IF(IFERROR(INDEX(醫師週班表!$C$5:$T$44,$CU42,U$57),"")=0,"",IF(LEN(IFERROR(INDEX(醫師週班表!$C$5:$T$44,$CU42,U$57),""))=4,MID(IFERROR(INDEX(醫師週班表!$C$5:$T$44,$CU42,U$57),""),1+U$58*2,1),IF(LEN(IFERROR(INDEX(醫師週班表!$C$5:$T$44,$CU42,U$57),""))=2,IF(AND(RIGHT(IFERROR(INDEX(醫師週班表!$C$5:$T$44,$CU42,U$57),""),1)="~",U$58=1),"",LEFT(IFERROR(INDEX(醫師週班表!$C$5:$T$44,$CU42,U$57),""),1)),IFERROR(INDEX(醫師週班表!$C$5:$T$44,$CU42,U$57),""))))))</f>
        <v/>
      </c>
      <c r="V42" s="68">
        <f>IF(V$59="X","",IF(V$59&lt;&gt;"",V$59,IF(IFERROR(INDEX(醫師週班表!$C$5:$T$44,$CU42,V$57),"")=0,"",IF(LEN(IFERROR(INDEX(醫師週班表!$C$5:$T$44,$CU42,V$57),""))=4,MID(IFERROR(INDEX(醫師週班表!$C$5:$T$44,$CU42,V$57),""),1+V$58*2,1),IF(LEN(IFERROR(INDEX(醫師週班表!$C$5:$T$44,$CU42,V$57),""))=2,IF(AND(RIGHT(IFERROR(INDEX(醫師週班表!$C$5:$T$44,$CU42,V$57),""),1)="~",V$58=1),"",LEFT(IFERROR(INDEX(醫師週班表!$C$5:$T$44,$CU42,V$57),""),1)),IFERROR(INDEX(醫師週班表!$C$5:$T$44,$CU42,V$57),""))))))</f>
        <v/>
      </c>
      <c r="W42" s="67">
        <f>IF(W$59="X","",IF(W$59&lt;&gt;"",W$59,IF(IFERROR(INDEX(醫師週班表!$C$5:$T$44,$CU42,W$57),"")=0,"",IF(LEN(IFERROR(INDEX(醫師週班表!$C$5:$T$44,$CU42,W$57),""))=4,MID(IFERROR(INDEX(醫師週班表!$C$5:$T$44,$CU42,W$57),""),1+W$58*2,1),IF(LEN(IFERROR(INDEX(醫師週班表!$C$5:$T$44,$CU42,W$57),""))=2,IF(AND(RIGHT(IFERROR(INDEX(醫師週班表!$C$5:$T$44,$CU42,W$57),""),1)="~",W$58=1),"",LEFT(IFERROR(INDEX(醫師週班表!$C$5:$T$44,$CU42,W$57),""),1)),IFERROR(INDEX(醫師週班表!$C$5:$T$44,$CU42,W$57),""))))))</f>
        <v/>
      </c>
      <c r="X42" s="68">
        <f>IF(X$59="X","",IF(X$59&lt;&gt;"",X$59,IF(IFERROR(INDEX(醫師週班表!$C$5:$T$44,$CU42,X$57),"")=0,"",IF(LEN(IFERROR(INDEX(醫師週班表!$C$5:$T$44,$CU42,X$57),""))=4,MID(IFERROR(INDEX(醫師週班表!$C$5:$T$44,$CU42,X$57),""),1+X$58*2,1),IF(LEN(IFERROR(INDEX(醫師週班表!$C$5:$T$44,$CU42,X$57),""))=2,IF(AND(RIGHT(IFERROR(INDEX(醫師週班表!$C$5:$T$44,$CU42,X$57),""),1)="~",X$58=1),"",LEFT(IFERROR(INDEX(醫師週班表!$C$5:$T$44,$CU42,X$57),""),1)),IFERROR(INDEX(醫師週班表!$C$5:$T$44,$CU42,X$57),""))))))</f>
        <v/>
      </c>
      <c r="Y42" s="68">
        <f>IF(Y$59="X","",IF(Y$59&lt;&gt;"",Y$59,IF(IFERROR(INDEX(醫師週班表!$C$5:$T$44,$CU42,Y$57),"")=0,"",IF(LEN(IFERROR(INDEX(醫師週班表!$C$5:$T$44,$CU42,Y$57),""))=4,MID(IFERROR(INDEX(醫師週班表!$C$5:$T$44,$CU42,Y$57),""),1+Y$58*2,1),IF(LEN(IFERROR(INDEX(醫師週班表!$C$5:$T$44,$CU42,Y$57),""))=2,IF(AND(RIGHT(IFERROR(INDEX(醫師週班表!$C$5:$T$44,$CU42,Y$57),""),1)="~",Y$58=1),"",LEFT(IFERROR(INDEX(醫師週班表!$C$5:$T$44,$CU42,Y$57),""),1)),IFERROR(INDEX(醫師週班表!$C$5:$T$44,$CU42,Y$57),""))))))</f>
        <v/>
      </c>
      <c r="Z42" s="67">
        <f>IF(Z$59="X","",IF(Z$59&lt;&gt;"",Z$59,IF(IFERROR(INDEX(醫師週班表!$C$5:$T$44,$CU42,Z$57),"")=0,"",IF(LEN(IFERROR(INDEX(醫師週班表!$C$5:$T$44,$CU42,Z$57),""))=4,MID(IFERROR(INDEX(醫師週班表!$C$5:$T$44,$CU42,Z$57),""),1+Z$58*2,1),IF(LEN(IFERROR(INDEX(醫師週班表!$C$5:$T$44,$CU42,Z$57),""))=2,IF(AND(RIGHT(IFERROR(INDEX(醫師週班表!$C$5:$T$44,$CU42,Z$57),""),1)="~",Z$58=1),"",LEFT(IFERROR(INDEX(醫師週班表!$C$5:$T$44,$CU42,Z$57),""),1)),IFERROR(INDEX(醫師週班表!$C$5:$T$44,$CU42,Z$57),""))))))</f>
        <v/>
      </c>
      <c r="AA42" s="68">
        <f>IF(AA$59="X","",IF(AA$59&lt;&gt;"",AA$59,IF(IFERROR(INDEX(醫師週班表!$C$5:$T$44,$CU42,AA$57),"")=0,"",IF(LEN(IFERROR(INDEX(醫師週班表!$C$5:$T$44,$CU42,AA$57),""))=4,MID(IFERROR(INDEX(醫師週班表!$C$5:$T$44,$CU42,AA$57),""),1+AA$58*2,1),IF(LEN(IFERROR(INDEX(醫師週班表!$C$5:$T$44,$CU42,AA$57),""))=2,IF(AND(RIGHT(IFERROR(INDEX(醫師週班表!$C$5:$T$44,$CU42,AA$57),""),1)="~",AA$58=1),"",LEFT(IFERROR(INDEX(醫師週班表!$C$5:$T$44,$CU42,AA$57),""),1)),IFERROR(INDEX(醫師週班表!$C$5:$T$44,$CU42,AA$57),""))))))</f>
        <v/>
      </c>
      <c r="AB42" s="68">
        <f>IF(AB$59="X","",IF(AB$59&lt;&gt;"",AB$59,IF(IFERROR(INDEX(醫師週班表!$C$5:$T$44,$CU42,AB$57),"")=0,"",IF(LEN(IFERROR(INDEX(醫師週班表!$C$5:$T$44,$CU42,AB$57),""))=4,MID(IFERROR(INDEX(醫師週班表!$C$5:$T$44,$CU42,AB$57),""),1+AB$58*2,1),IF(LEN(IFERROR(INDEX(醫師週班表!$C$5:$T$44,$CU42,AB$57),""))=2,IF(AND(RIGHT(IFERROR(INDEX(醫師週班表!$C$5:$T$44,$CU42,AB$57),""),1)="~",AB$58=1),"",LEFT(IFERROR(INDEX(醫師週班表!$C$5:$T$44,$CU42,AB$57),""),1)),IFERROR(INDEX(醫師週班表!$C$5:$T$44,$CU42,AB$57),""))))))</f>
        <v/>
      </c>
      <c r="AC42" s="67">
        <f>IF(AC$59="X","",IF(AC$59&lt;&gt;"",AC$59,IF(IFERROR(INDEX(醫師週班表!$C$5:$T$44,$CU42,AC$57),"")=0,"",IF(LEN(IFERROR(INDEX(醫師週班表!$C$5:$T$44,$CU42,AC$57),""))=4,MID(IFERROR(INDEX(醫師週班表!$C$5:$T$44,$CU42,AC$57),""),1+AC$58*2,1),IF(LEN(IFERROR(INDEX(醫師週班表!$C$5:$T$44,$CU42,AC$57),""))=2,IF(AND(RIGHT(IFERROR(INDEX(醫師週班表!$C$5:$T$44,$CU42,AC$57),""),1)="~",AC$58=1),"",LEFT(IFERROR(INDEX(醫師週班表!$C$5:$T$44,$CU42,AC$57),""),1)),IFERROR(INDEX(醫師週班表!$C$5:$T$44,$CU42,AC$57),""))))))</f>
        <v/>
      </c>
      <c r="AD42" s="68">
        <f>IF(AD$59="X","",IF(AD$59&lt;&gt;"",AD$59,IF(IFERROR(INDEX(醫師週班表!$C$5:$T$44,$CU42,AD$57),"")=0,"",IF(LEN(IFERROR(INDEX(醫師週班表!$C$5:$T$44,$CU42,AD$57),""))=4,MID(IFERROR(INDEX(醫師週班表!$C$5:$T$44,$CU42,AD$57),""),1+AD$58*2,1),IF(LEN(IFERROR(INDEX(醫師週班表!$C$5:$T$44,$CU42,AD$57),""))=2,IF(AND(RIGHT(IFERROR(INDEX(醫師週班表!$C$5:$T$44,$CU42,AD$57),""),1)="~",AD$58=1),"",LEFT(IFERROR(INDEX(醫師週班表!$C$5:$T$44,$CU42,AD$57),""),1)),IFERROR(INDEX(醫師週班表!$C$5:$T$44,$CU42,AD$57),""))))))</f>
        <v/>
      </c>
      <c r="AE42" s="68">
        <f>IF(AE$59="X","",IF(AE$59&lt;&gt;"",AE$59,IF(IFERROR(INDEX(醫師週班表!$C$5:$T$44,$CU42,AE$57),"")=0,"",IF(LEN(IFERROR(INDEX(醫師週班表!$C$5:$T$44,$CU42,AE$57),""))=4,MID(IFERROR(INDEX(醫師週班表!$C$5:$T$44,$CU42,AE$57),""),1+AE$58*2,1),IF(LEN(IFERROR(INDEX(醫師週班表!$C$5:$T$44,$CU42,AE$57),""))=2,IF(AND(RIGHT(IFERROR(INDEX(醫師週班表!$C$5:$T$44,$CU42,AE$57),""),1)="~",AE$58=1),"",LEFT(IFERROR(INDEX(醫師週班表!$C$5:$T$44,$CU42,AE$57),""),1)),IFERROR(INDEX(醫師週班表!$C$5:$T$44,$CU42,AE$57),""))))))</f>
        <v/>
      </c>
      <c r="AF42" s="67">
        <f>IF(AF$59="X","",IF(AF$59&lt;&gt;"",AF$59,IF(IFERROR(INDEX(醫師週班表!$C$5:$T$44,$CU42,AF$57),"")=0,"",IF(LEN(IFERROR(INDEX(醫師週班表!$C$5:$T$44,$CU42,AF$57),""))=4,MID(IFERROR(INDEX(醫師週班表!$C$5:$T$44,$CU42,AF$57),""),1+AF$58*2,1),IF(LEN(IFERROR(INDEX(醫師週班表!$C$5:$T$44,$CU42,AF$57),""))=2,IF(AND(RIGHT(IFERROR(INDEX(醫師週班表!$C$5:$T$44,$CU42,AF$57),""),1)="~",AF$58=1),"",LEFT(IFERROR(INDEX(醫師週班表!$C$5:$T$44,$CU42,AF$57),""),1)),IFERROR(INDEX(醫師週班表!$C$5:$T$44,$CU42,AF$57),""))))))</f>
        <v/>
      </c>
      <c r="AG42" s="68">
        <f>IF(AG$59="X","",IF(AG$59&lt;&gt;"",AG$59,IF(IFERROR(INDEX(醫師週班表!$C$5:$T$44,$CU42,AG$57),"")=0,"",IF(LEN(IFERROR(INDEX(醫師週班表!$C$5:$T$44,$CU42,AG$57),""))=4,MID(IFERROR(INDEX(醫師週班表!$C$5:$T$44,$CU42,AG$57),""),1+AG$58*2,1),IF(LEN(IFERROR(INDEX(醫師週班表!$C$5:$T$44,$CU42,AG$57),""))=2,IF(AND(RIGHT(IFERROR(INDEX(醫師週班表!$C$5:$T$44,$CU42,AG$57),""),1)="~",AG$58=1),"",LEFT(IFERROR(INDEX(醫師週班表!$C$5:$T$44,$CU42,AG$57),""),1)),IFERROR(INDEX(醫師週班表!$C$5:$T$44,$CU42,AG$57),""))))))</f>
        <v/>
      </c>
      <c r="AH42" s="68">
        <f>IF(AH$59="X","",IF(AH$59&lt;&gt;"",AH$59,IF(IFERROR(INDEX(醫師週班表!$C$5:$T$44,$CU42,AH$57),"")=0,"",IF(LEN(IFERROR(INDEX(醫師週班表!$C$5:$T$44,$CU42,AH$57),""))=4,MID(IFERROR(INDEX(醫師週班表!$C$5:$T$44,$CU42,AH$57),""),1+AH$58*2,1),IF(LEN(IFERROR(INDEX(醫師週班表!$C$5:$T$44,$CU42,AH$57),""))=2,IF(AND(RIGHT(IFERROR(INDEX(醫師週班表!$C$5:$T$44,$CU42,AH$57),""),1)="~",AH$58=1),"",LEFT(IFERROR(INDEX(醫師週班表!$C$5:$T$44,$CU42,AH$57),""),1)),IFERROR(INDEX(醫師週班表!$C$5:$T$44,$CU42,AH$57),""))))))</f>
        <v/>
      </c>
      <c r="AI42" s="67">
        <f>IF(AI$59="X","",IF(AI$59&lt;&gt;"",AI$59,IF(IFERROR(INDEX(醫師週班表!$C$5:$T$44,$CU42,AI$57),"")=0,"",IF(LEN(IFERROR(INDEX(醫師週班表!$C$5:$T$44,$CU42,AI$57),""))=4,MID(IFERROR(INDEX(醫師週班表!$C$5:$T$44,$CU42,AI$57),""),1+AI$58*2,1),IF(LEN(IFERROR(INDEX(醫師週班表!$C$5:$T$44,$CU42,AI$57),""))=2,IF(AND(RIGHT(IFERROR(INDEX(醫師週班表!$C$5:$T$44,$CU42,AI$57),""),1)="~",AI$58=1),"",LEFT(IFERROR(INDEX(醫師週班表!$C$5:$T$44,$CU42,AI$57),""),1)),IFERROR(INDEX(醫師週班表!$C$5:$T$44,$CU42,AI$57),""))))))</f>
        <v/>
      </c>
      <c r="AJ42" s="68">
        <f>IF(AJ$59="X","",IF(AJ$59&lt;&gt;"",AJ$59,IF(IFERROR(INDEX(醫師週班表!$C$5:$T$44,$CU42,AJ$57),"")=0,"",IF(LEN(IFERROR(INDEX(醫師週班表!$C$5:$T$44,$CU42,AJ$57),""))=4,MID(IFERROR(INDEX(醫師週班表!$C$5:$T$44,$CU42,AJ$57),""),1+AJ$58*2,1),IF(LEN(IFERROR(INDEX(醫師週班表!$C$5:$T$44,$CU42,AJ$57),""))=2,IF(AND(RIGHT(IFERROR(INDEX(醫師週班表!$C$5:$T$44,$CU42,AJ$57),""),1)="~",AJ$58=1),"",LEFT(IFERROR(INDEX(醫師週班表!$C$5:$T$44,$CU42,AJ$57),""),1)),IFERROR(INDEX(醫師週班表!$C$5:$T$44,$CU42,AJ$57),""))))))</f>
        <v/>
      </c>
      <c r="AK42" s="68">
        <f>IF(AK$59="X","",IF(AK$59&lt;&gt;"",AK$59,IF(IFERROR(INDEX(醫師週班表!$C$5:$T$44,$CU42,AK$57),"")=0,"",IF(LEN(IFERROR(INDEX(醫師週班表!$C$5:$T$44,$CU42,AK$57),""))=4,MID(IFERROR(INDEX(醫師週班表!$C$5:$T$44,$CU42,AK$57),""),1+AK$58*2,1),IF(LEN(IFERROR(INDEX(醫師週班表!$C$5:$T$44,$CU42,AK$57),""))=2,IF(AND(RIGHT(IFERROR(INDEX(醫師週班表!$C$5:$T$44,$CU42,AK$57),""),1)="~",AK$58=1),"",LEFT(IFERROR(INDEX(醫師週班表!$C$5:$T$44,$CU42,AK$57),""),1)),IFERROR(INDEX(醫師週班表!$C$5:$T$44,$CU42,AK$57),""))))))</f>
        <v/>
      </c>
      <c r="AL42" s="67">
        <f>IF(AL$59="X","",IF(AL$59&lt;&gt;"",AL$59,IF(IFERROR(INDEX(醫師週班表!$C$5:$T$44,$CU42,AL$57),"")=0,"",IF(LEN(IFERROR(INDEX(醫師週班表!$C$5:$T$44,$CU42,AL$57),""))=4,MID(IFERROR(INDEX(醫師週班表!$C$5:$T$44,$CU42,AL$57),""),1+AL$58*2,1),IF(LEN(IFERROR(INDEX(醫師週班表!$C$5:$T$44,$CU42,AL$57),""))=2,IF(AND(RIGHT(IFERROR(INDEX(醫師週班表!$C$5:$T$44,$CU42,AL$57),""),1)="~",AL$58=1),"",LEFT(IFERROR(INDEX(醫師週班表!$C$5:$T$44,$CU42,AL$57),""),1)),IFERROR(INDEX(醫師週班表!$C$5:$T$44,$CU42,AL$57),""))))))</f>
        <v/>
      </c>
      <c r="AM42" s="68">
        <f>IF(AM$59="X","",IF(AM$59&lt;&gt;"",AM$59,IF(IFERROR(INDEX(醫師週班表!$C$5:$T$44,$CU42,AM$57),"")=0,"",IF(LEN(IFERROR(INDEX(醫師週班表!$C$5:$T$44,$CU42,AM$57),""))=4,MID(IFERROR(INDEX(醫師週班表!$C$5:$T$44,$CU42,AM$57),""),1+AM$58*2,1),IF(LEN(IFERROR(INDEX(醫師週班表!$C$5:$T$44,$CU42,AM$57),""))=2,IF(AND(RIGHT(IFERROR(INDEX(醫師週班表!$C$5:$T$44,$CU42,AM$57),""),1)="~",AM$58=1),"",LEFT(IFERROR(INDEX(醫師週班表!$C$5:$T$44,$CU42,AM$57),""),1)),IFERROR(INDEX(醫師週班表!$C$5:$T$44,$CU42,AM$57),""))))))</f>
        <v/>
      </c>
      <c r="AN42" s="68">
        <f>IF(AN$59="X","",IF(AN$59&lt;&gt;"",AN$59,IF(IFERROR(INDEX(醫師週班表!$C$5:$T$44,$CU42,AN$57),"")=0,"",IF(LEN(IFERROR(INDEX(醫師週班表!$C$5:$T$44,$CU42,AN$57),""))=4,MID(IFERROR(INDEX(醫師週班表!$C$5:$T$44,$CU42,AN$57),""),1+AN$58*2,1),IF(LEN(IFERROR(INDEX(醫師週班表!$C$5:$T$44,$CU42,AN$57),""))=2,IF(AND(RIGHT(IFERROR(INDEX(醫師週班表!$C$5:$T$44,$CU42,AN$57),""),1)="~",AN$58=1),"",LEFT(IFERROR(INDEX(醫師週班表!$C$5:$T$44,$CU42,AN$57),""),1)),IFERROR(INDEX(醫師週班表!$C$5:$T$44,$CU42,AN$57),""))))))</f>
        <v/>
      </c>
      <c r="AO42" s="67">
        <f>IF(AO$59="X","",IF(AO$59&lt;&gt;"",AO$59,IF(IFERROR(INDEX(醫師週班表!$C$5:$T$44,$CU42,AO$57),"")=0,"",IF(LEN(IFERROR(INDEX(醫師週班表!$C$5:$T$44,$CU42,AO$57),""))=4,MID(IFERROR(INDEX(醫師週班表!$C$5:$T$44,$CU42,AO$57),""),1+AO$58*2,1),IF(LEN(IFERROR(INDEX(醫師週班表!$C$5:$T$44,$CU42,AO$57),""))=2,IF(AND(RIGHT(IFERROR(INDEX(醫師週班表!$C$5:$T$44,$CU42,AO$57),""),1)="~",AO$58=1),"",LEFT(IFERROR(INDEX(醫師週班表!$C$5:$T$44,$CU42,AO$57),""),1)),IFERROR(INDEX(醫師週班表!$C$5:$T$44,$CU42,AO$57),""))))))</f>
        <v/>
      </c>
      <c r="AP42" s="68">
        <f>IF(AP$59="X","",IF(AP$59&lt;&gt;"",AP$59,IF(IFERROR(INDEX(醫師週班表!$C$5:$T$44,$CU42,AP$57),"")=0,"",IF(LEN(IFERROR(INDEX(醫師週班表!$C$5:$T$44,$CU42,AP$57),""))=4,MID(IFERROR(INDEX(醫師週班表!$C$5:$T$44,$CU42,AP$57),""),1+AP$58*2,1),IF(LEN(IFERROR(INDEX(醫師週班表!$C$5:$T$44,$CU42,AP$57),""))=2,IF(AND(RIGHT(IFERROR(INDEX(醫師週班表!$C$5:$T$44,$CU42,AP$57),""),1)="~",AP$58=1),"",LEFT(IFERROR(INDEX(醫師週班表!$C$5:$T$44,$CU42,AP$57),""),1)),IFERROR(INDEX(醫師週班表!$C$5:$T$44,$CU42,AP$57),""))))))</f>
        <v/>
      </c>
      <c r="AQ42" s="68">
        <f>IF(AQ$59="X","",IF(AQ$59&lt;&gt;"",AQ$59,IF(IFERROR(INDEX(醫師週班表!$C$5:$T$44,$CU42,AQ$57),"")=0,"",IF(LEN(IFERROR(INDEX(醫師週班表!$C$5:$T$44,$CU42,AQ$57),""))=4,MID(IFERROR(INDEX(醫師週班表!$C$5:$T$44,$CU42,AQ$57),""),1+AQ$58*2,1),IF(LEN(IFERROR(INDEX(醫師週班表!$C$5:$T$44,$CU42,AQ$57),""))=2,IF(AND(RIGHT(IFERROR(INDEX(醫師週班表!$C$5:$T$44,$CU42,AQ$57),""),1)="~",AQ$58=1),"",LEFT(IFERROR(INDEX(醫師週班表!$C$5:$T$44,$CU42,AQ$57),""),1)),IFERROR(INDEX(醫師週班表!$C$5:$T$44,$CU42,AQ$57),""))))))</f>
        <v/>
      </c>
      <c r="AR42" s="67">
        <f>IF(AR$59="X","",IF(AR$59&lt;&gt;"",AR$59,IF(IFERROR(INDEX(醫師週班表!$C$5:$T$44,$CU42,AR$57),"")=0,"",IF(LEN(IFERROR(INDEX(醫師週班表!$C$5:$T$44,$CU42,AR$57),""))=4,MID(IFERROR(INDEX(醫師週班表!$C$5:$T$44,$CU42,AR$57),""),1+AR$58*2,1),IF(LEN(IFERROR(INDEX(醫師週班表!$C$5:$T$44,$CU42,AR$57),""))=2,IF(AND(RIGHT(IFERROR(INDEX(醫師週班表!$C$5:$T$44,$CU42,AR$57),""),1)="~",AR$58=1),"",LEFT(IFERROR(INDEX(醫師週班表!$C$5:$T$44,$CU42,AR$57),""),1)),IFERROR(INDEX(醫師週班表!$C$5:$T$44,$CU42,AR$57),""))))))</f>
        <v/>
      </c>
      <c r="AS42" s="68">
        <f>IF(AS$59="X","",IF(AS$59&lt;&gt;"",AS$59,IF(IFERROR(INDEX(醫師週班表!$C$5:$T$44,$CU42,AS$57),"")=0,"",IF(LEN(IFERROR(INDEX(醫師週班表!$C$5:$T$44,$CU42,AS$57),""))=4,MID(IFERROR(INDEX(醫師週班表!$C$5:$T$44,$CU42,AS$57),""),1+AS$58*2,1),IF(LEN(IFERROR(INDEX(醫師週班表!$C$5:$T$44,$CU42,AS$57),""))=2,IF(AND(RIGHT(IFERROR(INDEX(醫師週班表!$C$5:$T$44,$CU42,AS$57),""),1)="~",AS$58=1),"",LEFT(IFERROR(INDEX(醫師週班表!$C$5:$T$44,$CU42,AS$57),""),1)),IFERROR(INDEX(醫師週班表!$C$5:$T$44,$CU42,AS$57),""))))))</f>
        <v/>
      </c>
      <c r="AT42" s="68">
        <f>IF(AT$59="X","",IF(AT$59&lt;&gt;"",AT$59,IF(IFERROR(INDEX(醫師週班表!$C$5:$T$44,$CU42,AT$57),"")=0,"",IF(LEN(IFERROR(INDEX(醫師週班表!$C$5:$T$44,$CU42,AT$57),""))=4,MID(IFERROR(INDEX(醫師週班表!$C$5:$T$44,$CU42,AT$57),""),1+AT$58*2,1),IF(LEN(IFERROR(INDEX(醫師週班表!$C$5:$T$44,$CU42,AT$57),""))=2,IF(AND(RIGHT(IFERROR(INDEX(醫師週班表!$C$5:$T$44,$CU42,AT$57),""),1)="~",AT$58=1),"",LEFT(IFERROR(INDEX(醫師週班表!$C$5:$T$44,$CU42,AT$57),""),1)),IFERROR(INDEX(醫師週班表!$C$5:$T$44,$CU42,AT$57),""))))))</f>
        <v/>
      </c>
      <c r="AU42" s="67">
        <f>IF(AU$59="X","",IF(AU$59&lt;&gt;"",AU$59,IF(IFERROR(INDEX(醫師週班表!$C$5:$T$44,$CU42,AU$57),"")=0,"",IF(LEN(IFERROR(INDEX(醫師週班表!$C$5:$T$44,$CU42,AU$57),""))=4,MID(IFERROR(INDEX(醫師週班表!$C$5:$T$44,$CU42,AU$57),""),1+AU$58*2,1),IF(LEN(IFERROR(INDEX(醫師週班表!$C$5:$T$44,$CU42,AU$57),""))=2,IF(AND(RIGHT(IFERROR(INDEX(醫師週班表!$C$5:$T$44,$CU42,AU$57),""),1)="~",AU$58=1),"",LEFT(IFERROR(INDEX(醫師週班表!$C$5:$T$44,$CU42,AU$57),""),1)),IFERROR(INDEX(醫師週班表!$C$5:$T$44,$CU42,AU$57),""))))))</f>
        <v/>
      </c>
      <c r="AV42" s="68">
        <f>IF(AV$59="X","",IF(AV$59&lt;&gt;"",AV$59,IF(IFERROR(INDEX(醫師週班表!$C$5:$T$44,$CU42,AV$57),"")=0,"",IF(LEN(IFERROR(INDEX(醫師週班表!$C$5:$T$44,$CU42,AV$57),""))=4,MID(IFERROR(INDEX(醫師週班表!$C$5:$T$44,$CU42,AV$57),""),1+AV$58*2,1),IF(LEN(IFERROR(INDEX(醫師週班表!$C$5:$T$44,$CU42,AV$57),""))=2,IF(AND(RIGHT(IFERROR(INDEX(醫師週班表!$C$5:$T$44,$CU42,AV$57),""),1)="~",AV$58=1),"",LEFT(IFERROR(INDEX(醫師週班表!$C$5:$T$44,$CU42,AV$57),""),1)),IFERROR(INDEX(醫師週班表!$C$5:$T$44,$CU42,AV$57),""))))))</f>
        <v/>
      </c>
      <c r="AW42" s="68">
        <f>IF(AW$59="X","",IF(AW$59&lt;&gt;"",AW$59,IF(IFERROR(INDEX(醫師週班表!$C$5:$T$44,$CU42,AW$57),"")=0,"",IF(LEN(IFERROR(INDEX(醫師週班表!$C$5:$T$44,$CU42,AW$57),""))=4,MID(IFERROR(INDEX(醫師週班表!$C$5:$T$44,$CU42,AW$57),""),1+AW$58*2,1),IF(LEN(IFERROR(INDEX(醫師週班表!$C$5:$T$44,$CU42,AW$57),""))=2,IF(AND(RIGHT(IFERROR(INDEX(醫師週班表!$C$5:$T$44,$CU42,AW$57),""),1)="~",AW$58=1),"",LEFT(IFERROR(INDEX(醫師週班表!$C$5:$T$44,$CU42,AW$57),""),1)),IFERROR(INDEX(醫師週班表!$C$5:$T$44,$CU42,AW$57),""))))))</f>
        <v/>
      </c>
      <c r="AX42" s="67">
        <f>IF(AX$59="X","",IF(AX$59&lt;&gt;"",AX$59,IF(IFERROR(INDEX(醫師週班表!$C$5:$T$44,$CU42,AX$57),"")=0,"",IF(LEN(IFERROR(INDEX(醫師週班表!$C$5:$T$44,$CU42,AX$57),""))=4,MID(IFERROR(INDEX(醫師週班表!$C$5:$T$44,$CU42,AX$57),""),1+AX$58*2,1),IF(LEN(IFERROR(INDEX(醫師週班表!$C$5:$T$44,$CU42,AX$57),""))=2,IF(AND(RIGHT(IFERROR(INDEX(醫師週班表!$C$5:$T$44,$CU42,AX$57),""),1)="~",AX$58=1),"",LEFT(IFERROR(INDEX(醫師週班表!$C$5:$T$44,$CU42,AX$57),""),1)),IFERROR(INDEX(醫師週班表!$C$5:$T$44,$CU42,AX$57),""))))))</f>
        <v/>
      </c>
      <c r="AY42" s="68">
        <f>IF(AY$59="X","",IF(AY$59&lt;&gt;"",AY$59,IF(IFERROR(INDEX(醫師週班表!$C$5:$T$44,$CU42,AY$57),"")=0,"",IF(LEN(IFERROR(INDEX(醫師週班表!$C$5:$T$44,$CU42,AY$57),""))=4,MID(IFERROR(INDEX(醫師週班表!$C$5:$T$44,$CU42,AY$57),""),1+AY$58*2,1),IF(LEN(IFERROR(INDEX(醫師週班表!$C$5:$T$44,$CU42,AY$57),""))=2,IF(AND(RIGHT(IFERROR(INDEX(醫師週班表!$C$5:$T$44,$CU42,AY$57),""),1)="~",AY$58=1),"",LEFT(IFERROR(INDEX(醫師週班表!$C$5:$T$44,$CU42,AY$57),""),1)),IFERROR(INDEX(醫師週班表!$C$5:$T$44,$CU42,AY$57),""))))))</f>
        <v/>
      </c>
      <c r="AZ42" s="68">
        <f>IF(AZ$59="X","",IF(AZ$59&lt;&gt;"",AZ$59,IF(IFERROR(INDEX(醫師週班表!$C$5:$T$44,$CU42,AZ$57),"")=0,"",IF(LEN(IFERROR(INDEX(醫師週班表!$C$5:$T$44,$CU42,AZ$57),""))=4,MID(IFERROR(INDEX(醫師週班表!$C$5:$T$44,$CU42,AZ$57),""),1+AZ$58*2,1),IF(LEN(IFERROR(INDEX(醫師週班表!$C$5:$T$44,$CU42,AZ$57),""))=2,IF(AND(RIGHT(IFERROR(INDEX(醫師週班表!$C$5:$T$44,$CU42,AZ$57),""),1)="~",AZ$58=1),"",LEFT(IFERROR(INDEX(醫師週班表!$C$5:$T$44,$CU42,AZ$57),""),1)),IFERROR(INDEX(醫師週班表!$C$5:$T$44,$CU42,AZ$57),""))))))</f>
        <v/>
      </c>
      <c r="BA42" s="67">
        <f>IF(BA$59="X","",IF(BA$59&lt;&gt;"",BA$59,IF(IFERROR(INDEX(醫師週班表!$C$5:$T$44,$CU42,BA$57),"")=0,"",IF(LEN(IFERROR(INDEX(醫師週班表!$C$5:$T$44,$CU42,BA$57),""))=4,MID(IFERROR(INDEX(醫師週班表!$C$5:$T$44,$CU42,BA$57),""),1+BA$58*2,1),IF(LEN(IFERROR(INDEX(醫師週班表!$C$5:$T$44,$CU42,BA$57),""))=2,IF(AND(RIGHT(IFERROR(INDEX(醫師週班表!$C$5:$T$44,$CU42,BA$57),""),1)="~",BA$58=1),"",LEFT(IFERROR(INDEX(醫師週班表!$C$5:$T$44,$CU42,BA$57),""),1)),IFERROR(INDEX(醫師週班表!$C$5:$T$44,$CU42,BA$57),""))))))</f>
        <v/>
      </c>
      <c r="BB42" s="68">
        <f>IF(BB$59="X","",IF(BB$59&lt;&gt;"",BB$59,IF(IFERROR(INDEX(醫師週班表!$C$5:$T$44,$CU42,BB$57),"")=0,"",IF(LEN(IFERROR(INDEX(醫師週班表!$C$5:$T$44,$CU42,BB$57),""))=4,MID(IFERROR(INDEX(醫師週班表!$C$5:$T$44,$CU42,BB$57),""),1+BB$58*2,1),IF(LEN(IFERROR(INDEX(醫師週班表!$C$5:$T$44,$CU42,BB$57),""))=2,IF(AND(RIGHT(IFERROR(INDEX(醫師週班表!$C$5:$T$44,$CU42,BB$57),""),1)="~",BB$58=1),"",LEFT(IFERROR(INDEX(醫師週班表!$C$5:$T$44,$CU42,BB$57),""),1)),IFERROR(INDEX(醫師週班表!$C$5:$T$44,$CU42,BB$57),""))))))</f>
        <v/>
      </c>
      <c r="BC42" s="68">
        <f>IF(BC$59="X","",IF(BC$59&lt;&gt;"",BC$59,IF(IFERROR(INDEX(醫師週班表!$C$5:$T$44,$CU42,BC$57),"")=0,"",IF(LEN(IFERROR(INDEX(醫師週班表!$C$5:$T$44,$CU42,BC$57),""))=4,MID(IFERROR(INDEX(醫師週班表!$C$5:$T$44,$CU42,BC$57),""),1+BC$58*2,1),IF(LEN(IFERROR(INDEX(醫師週班表!$C$5:$T$44,$CU42,BC$57),""))=2,IF(AND(RIGHT(IFERROR(INDEX(醫師週班表!$C$5:$T$44,$CU42,BC$57),""),1)="~",BC$58=1),"",LEFT(IFERROR(INDEX(醫師週班表!$C$5:$T$44,$CU42,BC$57),""),1)),IFERROR(INDEX(醫師週班表!$C$5:$T$44,$CU42,BC$57),""))))))</f>
        <v/>
      </c>
      <c r="BD42" s="67">
        <f>IF(BD$59="X","",IF(BD$59&lt;&gt;"",BD$59,IF(IFERROR(INDEX(醫師週班表!$C$5:$T$44,$CU42,BD$57),"")=0,"",IF(LEN(IFERROR(INDEX(醫師週班表!$C$5:$T$44,$CU42,BD$57),""))=4,MID(IFERROR(INDEX(醫師週班表!$C$5:$T$44,$CU42,BD$57),""),1+BD$58*2,1),IF(LEN(IFERROR(INDEX(醫師週班表!$C$5:$T$44,$CU42,BD$57),""))=2,IF(AND(RIGHT(IFERROR(INDEX(醫師週班表!$C$5:$T$44,$CU42,BD$57),""),1)="~",BD$58=1),"",LEFT(IFERROR(INDEX(醫師週班表!$C$5:$T$44,$CU42,BD$57),""),1)),IFERROR(INDEX(醫師週班表!$C$5:$T$44,$CU42,BD$57),""))))))</f>
        <v/>
      </c>
      <c r="BE42" s="68">
        <f>IF(BE$59="X","",IF(BE$59&lt;&gt;"",BE$59,IF(IFERROR(INDEX(醫師週班表!$C$5:$T$44,$CU42,BE$57),"")=0,"",IF(LEN(IFERROR(INDEX(醫師週班表!$C$5:$T$44,$CU42,BE$57),""))=4,MID(IFERROR(INDEX(醫師週班表!$C$5:$T$44,$CU42,BE$57),""),1+BE$58*2,1),IF(LEN(IFERROR(INDEX(醫師週班表!$C$5:$T$44,$CU42,BE$57),""))=2,IF(AND(RIGHT(IFERROR(INDEX(醫師週班表!$C$5:$T$44,$CU42,BE$57),""),1)="~",BE$58=1),"",LEFT(IFERROR(INDEX(醫師週班表!$C$5:$T$44,$CU42,BE$57),""),1)),IFERROR(INDEX(醫師週班表!$C$5:$T$44,$CU42,BE$57),""))))))</f>
        <v/>
      </c>
      <c r="BF42" s="68">
        <f>IF(BF$59="X","",IF(BF$59&lt;&gt;"",BF$59,IF(IFERROR(INDEX(醫師週班表!$C$5:$T$44,$CU42,BF$57),"")=0,"",IF(LEN(IFERROR(INDEX(醫師週班表!$C$5:$T$44,$CU42,BF$57),""))=4,MID(IFERROR(INDEX(醫師週班表!$C$5:$T$44,$CU42,BF$57),""),1+BF$58*2,1),IF(LEN(IFERROR(INDEX(醫師週班表!$C$5:$T$44,$CU42,BF$57),""))=2,IF(AND(RIGHT(IFERROR(INDEX(醫師週班表!$C$5:$T$44,$CU42,BF$57),""),1)="~",BF$58=1),"",LEFT(IFERROR(INDEX(醫師週班表!$C$5:$T$44,$CU42,BF$57),""),1)),IFERROR(INDEX(醫師週班表!$C$5:$T$44,$CU42,BF$57),""))))))</f>
        <v/>
      </c>
      <c r="BG42" s="67">
        <f>IF(BG$59="X","",IF(BG$59&lt;&gt;"",BG$59,IF(IFERROR(INDEX(醫師週班表!$C$5:$T$44,$CU42,BG$57),"")=0,"",IF(LEN(IFERROR(INDEX(醫師週班表!$C$5:$T$44,$CU42,BG$57),""))=4,MID(IFERROR(INDEX(醫師週班表!$C$5:$T$44,$CU42,BG$57),""),1+BG$58*2,1),IF(LEN(IFERROR(INDEX(醫師週班表!$C$5:$T$44,$CU42,BG$57),""))=2,IF(AND(RIGHT(IFERROR(INDEX(醫師週班表!$C$5:$T$44,$CU42,BG$57),""),1)="~",BG$58=1),"",LEFT(IFERROR(INDEX(醫師週班表!$C$5:$T$44,$CU42,BG$57),""),1)),IFERROR(INDEX(醫師週班表!$C$5:$T$44,$CU42,BG$57),""))))))</f>
        <v/>
      </c>
      <c r="BH42" s="68">
        <f>IF(BH$59="X","",IF(BH$59&lt;&gt;"",BH$59,IF(IFERROR(INDEX(醫師週班表!$C$5:$T$44,$CU42,BH$57),"")=0,"",IF(LEN(IFERROR(INDEX(醫師週班表!$C$5:$T$44,$CU42,BH$57),""))=4,MID(IFERROR(INDEX(醫師週班表!$C$5:$T$44,$CU42,BH$57),""),1+BH$58*2,1),IF(LEN(IFERROR(INDEX(醫師週班表!$C$5:$T$44,$CU42,BH$57),""))=2,IF(AND(RIGHT(IFERROR(INDEX(醫師週班表!$C$5:$T$44,$CU42,BH$57),""),1)="~",BH$58=1),"",LEFT(IFERROR(INDEX(醫師週班表!$C$5:$T$44,$CU42,BH$57),""),1)),IFERROR(INDEX(醫師週班表!$C$5:$T$44,$CU42,BH$57),""))))))</f>
        <v/>
      </c>
      <c r="BI42" s="68">
        <f>IF(BI$59="X","",IF(BI$59&lt;&gt;"",BI$59,IF(IFERROR(INDEX(醫師週班表!$C$5:$T$44,$CU42,BI$57),"")=0,"",IF(LEN(IFERROR(INDEX(醫師週班表!$C$5:$T$44,$CU42,BI$57),""))=4,MID(IFERROR(INDEX(醫師週班表!$C$5:$T$44,$CU42,BI$57),""),1+BI$58*2,1),IF(LEN(IFERROR(INDEX(醫師週班表!$C$5:$T$44,$CU42,BI$57),""))=2,IF(AND(RIGHT(IFERROR(INDEX(醫師週班表!$C$5:$T$44,$CU42,BI$57),""),1)="~",BI$58=1),"",LEFT(IFERROR(INDEX(醫師週班表!$C$5:$T$44,$CU42,BI$57),""),1)),IFERROR(INDEX(醫師週班表!$C$5:$T$44,$CU42,BI$57),""))))))</f>
        <v/>
      </c>
      <c r="BJ42" s="67">
        <f>IF(BJ$59="X","",IF(BJ$59&lt;&gt;"",BJ$59,IF(IFERROR(INDEX(醫師週班表!$C$5:$T$44,$CU42,BJ$57),"")=0,"",IF(LEN(IFERROR(INDEX(醫師週班表!$C$5:$T$44,$CU42,BJ$57),""))=4,MID(IFERROR(INDEX(醫師週班表!$C$5:$T$44,$CU42,BJ$57),""),1+BJ$58*2,1),IF(LEN(IFERROR(INDEX(醫師週班表!$C$5:$T$44,$CU42,BJ$57),""))=2,IF(AND(RIGHT(IFERROR(INDEX(醫師週班表!$C$5:$T$44,$CU42,BJ$57),""),1)="~",BJ$58=1),"",LEFT(IFERROR(INDEX(醫師週班表!$C$5:$T$44,$CU42,BJ$57),""),1)),IFERROR(INDEX(醫師週班表!$C$5:$T$44,$CU42,BJ$57),""))))))</f>
        <v/>
      </c>
      <c r="BK42" s="68">
        <f>IF(BK$59="X","",IF(BK$59&lt;&gt;"",BK$59,IF(IFERROR(INDEX(醫師週班表!$C$5:$T$44,$CU42,BK$57),"")=0,"",IF(LEN(IFERROR(INDEX(醫師週班表!$C$5:$T$44,$CU42,BK$57),""))=4,MID(IFERROR(INDEX(醫師週班表!$C$5:$T$44,$CU42,BK$57),""),1+BK$58*2,1),IF(LEN(IFERROR(INDEX(醫師週班表!$C$5:$T$44,$CU42,BK$57),""))=2,IF(AND(RIGHT(IFERROR(INDEX(醫師週班表!$C$5:$T$44,$CU42,BK$57),""),1)="~",BK$58=1),"",LEFT(IFERROR(INDEX(醫師週班表!$C$5:$T$44,$CU42,BK$57),""),1)),IFERROR(INDEX(醫師週班表!$C$5:$T$44,$CU42,BK$57),""))))))</f>
        <v/>
      </c>
      <c r="BL42" s="68">
        <f>IF(BL$59="X","",IF(BL$59&lt;&gt;"",BL$59,IF(IFERROR(INDEX(醫師週班表!$C$5:$T$44,$CU42,BL$57),"")=0,"",IF(LEN(IFERROR(INDEX(醫師週班表!$C$5:$T$44,$CU42,BL$57),""))=4,MID(IFERROR(INDEX(醫師週班表!$C$5:$T$44,$CU42,BL$57),""),1+BL$58*2,1),IF(LEN(IFERROR(INDEX(醫師週班表!$C$5:$T$44,$CU42,BL$57),""))=2,IF(AND(RIGHT(IFERROR(INDEX(醫師週班表!$C$5:$T$44,$CU42,BL$57),""),1)="~",BL$58=1),"",LEFT(IFERROR(INDEX(醫師週班表!$C$5:$T$44,$CU42,BL$57),""),1)),IFERROR(INDEX(醫師週班表!$C$5:$T$44,$CU42,BL$57),""))))))</f>
        <v/>
      </c>
      <c r="BM42" s="67">
        <f>IF(BM$59="X","",IF(BM$59&lt;&gt;"",BM$59,IF(IFERROR(INDEX(醫師週班表!$C$5:$T$44,$CU42,BM$57),"")=0,"",IF(LEN(IFERROR(INDEX(醫師週班表!$C$5:$T$44,$CU42,BM$57),""))=4,MID(IFERROR(INDEX(醫師週班表!$C$5:$T$44,$CU42,BM$57),""),1+BM$58*2,1),IF(LEN(IFERROR(INDEX(醫師週班表!$C$5:$T$44,$CU42,BM$57),""))=2,IF(AND(RIGHT(IFERROR(INDEX(醫師週班表!$C$5:$T$44,$CU42,BM$57),""),1)="~",BM$58=1),"",LEFT(IFERROR(INDEX(醫師週班表!$C$5:$T$44,$CU42,BM$57),""),1)),IFERROR(INDEX(醫師週班表!$C$5:$T$44,$CU42,BM$57),""))))))</f>
        <v/>
      </c>
      <c r="BN42" s="68">
        <f>IF(BN$59="X","",IF(BN$59&lt;&gt;"",BN$59,IF(IFERROR(INDEX(醫師週班表!$C$5:$T$44,$CU42,BN$57),"")=0,"",IF(LEN(IFERROR(INDEX(醫師週班表!$C$5:$T$44,$CU42,BN$57),""))=4,MID(IFERROR(INDEX(醫師週班表!$C$5:$T$44,$CU42,BN$57),""),1+BN$58*2,1),IF(LEN(IFERROR(INDEX(醫師週班表!$C$5:$T$44,$CU42,BN$57),""))=2,IF(AND(RIGHT(IFERROR(INDEX(醫師週班表!$C$5:$T$44,$CU42,BN$57),""),1)="~",BN$58=1),"",LEFT(IFERROR(INDEX(醫師週班表!$C$5:$T$44,$CU42,BN$57),""),1)),IFERROR(INDEX(醫師週班表!$C$5:$T$44,$CU42,BN$57),""))))))</f>
        <v/>
      </c>
      <c r="BO42" s="68">
        <f>IF(BO$59="X","",IF(BO$59&lt;&gt;"",BO$59,IF(IFERROR(INDEX(醫師週班表!$C$5:$T$44,$CU42,BO$57),"")=0,"",IF(LEN(IFERROR(INDEX(醫師週班表!$C$5:$T$44,$CU42,BO$57),""))=4,MID(IFERROR(INDEX(醫師週班表!$C$5:$T$44,$CU42,BO$57),""),1+BO$58*2,1),IF(LEN(IFERROR(INDEX(醫師週班表!$C$5:$T$44,$CU42,BO$57),""))=2,IF(AND(RIGHT(IFERROR(INDEX(醫師週班表!$C$5:$T$44,$CU42,BO$57),""),1)="~",BO$58=1),"",LEFT(IFERROR(INDEX(醫師週班表!$C$5:$T$44,$CU42,BO$57),""),1)),IFERROR(INDEX(醫師週班表!$C$5:$T$44,$CU42,BO$57),""))))))</f>
        <v/>
      </c>
      <c r="BP42" s="67">
        <f>IF(BP$59="X","",IF(BP$59&lt;&gt;"",BP$59,IF(IFERROR(INDEX(醫師週班表!$C$5:$T$44,$CU42,BP$57),"")=0,"",IF(LEN(IFERROR(INDEX(醫師週班表!$C$5:$T$44,$CU42,BP$57),""))=4,MID(IFERROR(INDEX(醫師週班表!$C$5:$T$44,$CU42,BP$57),""),1+BP$58*2,1),IF(LEN(IFERROR(INDEX(醫師週班表!$C$5:$T$44,$CU42,BP$57),""))=2,IF(AND(RIGHT(IFERROR(INDEX(醫師週班表!$C$5:$T$44,$CU42,BP$57),""),1)="~",BP$58=1),"",LEFT(IFERROR(INDEX(醫師週班表!$C$5:$T$44,$CU42,BP$57),""),1)),IFERROR(INDEX(醫師週班表!$C$5:$T$44,$CU42,BP$57),""))))))</f>
        <v/>
      </c>
      <c r="BQ42" s="68">
        <f>IF(BQ$59="X","",IF(BQ$59&lt;&gt;"",BQ$59,IF(IFERROR(INDEX(醫師週班表!$C$5:$T$44,$CU42,BQ$57),"")=0,"",IF(LEN(IFERROR(INDEX(醫師週班表!$C$5:$T$44,$CU42,BQ$57),""))=4,MID(IFERROR(INDEX(醫師週班表!$C$5:$T$44,$CU42,BQ$57),""),1+BQ$58*2,1),IF(LEN(IFERROR(INDEX(醫師週班表!$C$5:$T$44,$CU42,BQ$57),""))=2,IF(AND(RIGHT(IFERROR(INDEX(醫師週班表!$C$5:$T$44,$CU42,BQ$57),""),1)="~",BQ$58=1),"",LEFT(IFERROR(INDEX(醫師週班表!$C$5:$T$44,$CU42,BQ$57),""),1)),IFERROR(INDEX(醫師週班表!$C$5:$T$44,$CU42,BQ$57),""))))))</f>
        <v/>
      </c>
      <c r="BR42" s="68">
        <f>IF(BR$59="X","",IF(BR$59&lt;&gt;"",BR$59,IF(IFERROR(INDEX(醫師週班表!$C$5:$T$44,$CU42,BR$57),"")=0,"",IF(LEN(IFERROR(INDEX(醫師週班表!$C$5:$T$44,$CU42,BR$57),""))=4,MID(IFERROR(INDEX(醫師週班表!$C$5:$T$44,$CU42,BR$57),""),1+BR$58*2,1),IF(LEN(IFERROR(INDEX(醫師週班表!$C$5:$T$44,$CU42,BR$57),""))=2,IF(AND(RIGHT(IFERROR(INDEX(醫師週班表!$C$5:$T$44,$CU42,BR$57),""),1)="~",BR$58=1),"",LEFT(IFERROR(INDEX(醫師週班表!$C$5:$T$44,$CU42,BR$57),""),1)),IFERROR(INDEX(醫師週班表!$C$5:$T$44,$CU42,BR$57),""))))))</f>
        <v/>
      </c>
      <c r="BS42" s="67">
        <f>IF(BS$59="X","",IF(BS$59&lt;&gt;"",BS$59,IF(IFERROR(INDEX(醫師週班表!$C$5:$T$44,$CU42,BS$57),"")=0,"",IF(LEN(IFERROR(INDEX(醫師週班表!$C$5:$T$44,$CU42,BS$57),""))=4,MID(IFERROR(INDEX(醫師週班表!$C$5:$T$44,$CU42,BS$57),""),1+BS$58*2,1),IF(LEN(IFERROR(INDEX(醫師週班表!$C$5:$T$44,$CU42,BS$57),""))=2,IF(AND(RIGHT(IFERROR(INDEX(醫師週班表!$C$5:$T$44,$CU42,BS$57),""),1)="~",BS$58=1),"",LEFT(IFERROR(INDEX(醫師週班表!$C$5:$T$44,$CU42,BS$57),""),1)),IFERROR(INDEX(醫師週班表!$C$5:$T$44,$CU42,BS$57),""))))))</f>
        <v/>
      </c>
      <c r="BT42" s="68">
        <f>IF(BT$59="X","",IF(BT$59&lt;&gt;"",BT$59,IF(IFERROR(INDEX(醫師週班表!$C$5:$T$44,$CU42,BT$57),"")=0,"",IF(LEN(IFERROR(INDEX(醫師週班表!$C$5:$T$44,$CU42,BT$57),""))=4,MID(IFERROR(INDEX(醫師週班表!$C$5:$T$44,$CU42,BT$57),""),1+BT$58*2,1),IF(LEN(IFERROR(INDEX(醫師週班表!$C$5:$T$44,$CU42,BT$57),""))=2,IF(AND(RIGHT(IFERROR(INDEX(醫師週班表!$C$5:$T$44,$CU42,BT$57),""),1)="~",BT$58=1),"",LEFT(IFERROR(INDEX(醫師週班表!$C$5:$T$44,$CU42,BT$57),""),1)),IFERROR(INDEX(醫師週班表!$C$5:$T$44,$CU42,BT$57),""))))))</f>
        <v/>
      </c>
      <c r="BU42" s="68">
        <f>IF(BU$59="X","",IF(BU$59&lt;&gt;"",BU$59,IF(IFERROR(INDEX(醫師週班表!$C$5:$T$44,$CU42,BU$57),"")=0,"",IF(LEN(IFERROR(INDEX(醫師週班表!$C$5:$T$44,$CU42,BU$57),""))=4,MID(IFERROR(INDEX(醫師週班表!$C$5:$T$44,$CU42,BU$57),""),1+BU$58*2,1),IF(LEN(IFERROR(INDEX(醫師週班表!$C$5:$T$44,$CU42,BU$57),""))=2,IF(AND(RIGHT(IFERROR(INDEX(醫師週班表!$C$5:$T$44,$CU42,BU$57),""),1)="~",BU$58=1),"",LEFT(IFERROR(INDEX(醫師週班表!$C$5:$T$44,$CU42,BU$57),""),1)),IFERROR(INDEX(醫師週班表!$C$5:$T$44,$CU42,BU$57),""))))))</f>
        <v/>
      </c>
      <c r="BV42" s="67">
        <f>IF(BV$59="X","",IF(BV$59&lt;&gt;"",BV$59,IF(IFERROR(INDEX(醫師週班表!$C$5:$T$44,$CU42,BV$57),"")=0,"",IF(LEN(IFERROR(INDEX(醫師週班表!$C$5:$T$44,$CU42,BV$57),""))=4,MID(IFERROR(INDEX(醫師週班表!$C$5:$T$44,$CU42,BV$57),""),1+BV$58*2,1),IF(LEN(IFERROR(INDEX(醫師週班表!$C$5:$T$44,$CU42,BV$57),""))=2,IF(AND(RIGHT(IFERROR(INDEX(醫師週班表!$C$5:$T$44,$CU42,BV$57),""),1)="~",BV$58=1),"",LEFT(IFERROR(INDEX(醫師週班表!$C$5:$T$44,$CU42,BV$57),""),1)),IFERROR(INDEX(醫師週班表!$C$5:$T$44,$CU42,BV$57),""))))))</f>
        <v/>
      </c>
      <c r="BW42" s="68">
        <f>IF(BW$59="X","",IF(BW$59&lt;&gt;"",BW$59,IF(IFERROR(INDEX(醫師週班表!$C$5:$T$44,$CU42,BW$57),"")=0,"",IF(LEN(IFERROR(INDEX(醫師週班表!$C$5:$T$44,$CU42,BW$57),""))=4,MID(IFERROR(INDEX(醫師週班表!$C$5:$T$44,$CU42,BW$57),""),1+BW$58*2,1),IF(LEN(IFERROR(INDEX(醫師週班表!$C$5:$T$44,$CU42,BW$57),""))=2,IF(AND(RIGHT(IFERROR(INDEX(醫師週班表!$C$5:$T$44,$CU42,BW$57),""),1)="~",BW$58=1),"",LEFT(IFERROR(INDEX(醫師週班表!$C$5:$T$44,$CU42,BW$57),""),1)),IFERROR(INDEX(醫師週班表!$C$5:$T$44,$CU42,BW$57),""))))))</f>
        <v/>
      </c>
      <c r="BX42" s="68">
        <f>IF(BX$59="X","",IF(BX$59&lt;&gt;"",BX$59,IF(IFERROR(INDEX(醫師週班表!$C$5:$T$44,$CU42,BX$57),"")=0,"",IF(LEN(IFERROR(INDEX(醫師週班表!$C$5:$T$44,$CU42,BX$57),""))=4,MID(IFERROR(INDEX(醫師週班表!$C$5:$T$44,$CU42,BX$57),""),1+BX$58*2,1),IF(LEN(IFERROR(INDEX(醫師週班表!$C$5:$T$44,$CU42,BX$57),""))=2,IF(AND(RIGHT(IFERROR(INDEX(醫師週班表!$C$5:$T$44,$CU42,BX$57),""),1)="~",BX$58=1),"",LEFT(IFERROR(INDEX(醫師週班表!$C$5:$T$44,$CU42,BX$57),""),1)),IFERROR(INDEX(醫師週班表!$C$5:$T$44,$CU42,BX$57),""))))))</f>
        <v/>
      </c>
      <c r="BY42" s="67">
        <f>IF(BY$59="X","",IF(BY$59&lt;&gt;"",BY$59,IF(IFERROR(INDEX(醫師週班表!$C$5:$T$44,$CU42,BY$57),"")=0,"",IF(LEN(IFERROR(INDEX(醫師週班表!$C$5:$T$44,$CU42,BY$57),""))=4,MID(IFERROR(INDEX(醫師週班表!$C$5:$T$44,$CU42,BY$57),""),1+BY$58*2,1),IF(LEN(IFERROR(INDEX(醫師週班表!$C$5:$T$44,$CU42,BY$57),""))=2,IF(AND(RIGHT(IFERROR(INDEX(醫師週班表!$C$5:$T$44,$CU42,BY$57),""),1)="~",BY$58=1),"",LEFT(IFERROR(INDEX(醫師週班表!$C$5:$T$44,$CU42,BY$57),""),1)),IFERROR(INDEX(醫師週班表!$C$5:$T$44,$CU42,BY$57),""))))))</f>
        <v/>
      </c>
      <c r="BZ42" s="68">
        <f>IF(BZ$59="X","",IF(BZ$59&lt;&gt;"",BZ$59,IF(IFERROR(INDEX(醫師週班表!$C$5:$T$44,$CU42,BZ$57),"")=0,"",IF(LEN(IFERROR(INDEX(醫師週班表!$C$5:$T$44,$CU42,BZ$57),""))=4,MID(IFERROR(INDEX(醫師週班表!$C$5:$T$44,$CU42,BZ$57),""),1+BZ$58*2,1),IF(LEN(IFERROR(INDEX(醫師週班表!$C$5:$T$44,$CU42,BZ$57),""))=2,IF(AND(RIGHT(IFERROR(INDEX(醫師週班表!$C$5:$T$44,$CU42,BZ$57),""),1)="~",BZ$58=1),"",LEFT(IFERROR(INDEX(醫師週班表!$C$5:$T$44,$CU42,BZ$57),""),1)),IFERROR(INDEX(醫師週班表!$C$5:$T$44,$CU42,BZ$57),""))))))</f>
        <v/>
      </c>
      <c r="CA42" s="68">
        <f>IF(CA$59="X","",IF(CA$59&lt;&gt;"",CA$59,IF(IFERROR(INDEX(醫師週班表!$C$5:$T$44,$CU42,CA$57),"")=0,"",IF(LEN(IFERROR(INDEX(醫師週班表!$C$5:$T$44,$CU42,CA$57),""))=4,MID(IFERROR(INDEX(醫師週班表!$C$5:$T$44,$CU42,CA$57),""),1+CA$58*2,1),IF(LEN(IFERROR(INDEX(醫師週班表!$C$5:$T$44,$CU42,CA$57),""))=2,IF(AND(RIGHT(IFERROR(INDEX(醫師週班表!$C$5:$T$44,$CU42,CA$57),""),1)="~",CA$58=1),"",LEFT(IFERROR(INDEX(醫師週班表!$C$5:$T$44,$CU42,CA$57),""),1)),IFERROR(INDEX(醫師週班表!$C$5:$T$44,$CU42,CA$57),""))))))</f>
        <v/>
      </c>
      <c r="CB42" s="67">
        <f>IF(CB$59="X","",IF(CB$59&lt;&gt;"",CB$59,IF(IFERROR(INDEX(醫師週班表!$C$5:$T$44,$CU42,CB$57),"")=0,"",IF(LEN(IFERROR(INDEX(醫師週班表!$C$5:$T$44,$CU42,CB$57),""))=4,MID(IFERROR(INDEX(醫師週班表!$C$5:$T$44,$CU42,CB$57),""),1+CB$58*2,1),IF(LEN(IFERROR(INDEX(醫師週班表!$C$5:$T$44,$CU42,CB$57),""))=2,IF(AND(RIGHT(IFERROR(INDEX(醫師週班表!$C$5:$T$44,$CU42,CB$57),""),1)="~",CB$58=1),"",LEFT(IFERROR(INDEX(醫師週班表!$C$5:$T$44,$CU42,CB$57),""),1)),IFERROR(INDEX(醫師週班表!$C$5:$T$44,$CU42,CB$57),""))))))</f>
        <v/>
      </c>
      <c r="CC42" s="68">
        <f>IF(CC$59="X","",IF(CC$59&lt;&gt;"",CC$59,IF(IFERROR(INDEX(醫師週班表!$C$5:$T$44,$CU42,CC$57),"")=0,"",IF(LEN(IFERROR(INDEX(醫師週班表!$C$5:$T$44,$CU42,CC$57),""))=4,MID(IFERROR(INDEX(醫師週班表!$C$5:$T$44,$CU42,CC$57),""),1+CC$58*2,1),IF(LEN(IFERROR(INDEX(醫師週班表!$C$5:$T$44,$CU42,CC$57),""))=2,IF(AND(RIGHT(IFERROR(INDEX(醫師週班表!$C$5:$T$44,$CU42,CC$57),""),1)="~",CC$58=1),"",LEFT(IFERROR(INDEX(醫師週班表!$C$5:$T$44,$CU42,CC$57),""),1)),IFERROR(INDEX(醫師週班表!$C$5:$T$44,$CU42,CC$57),""))))))</f>
        <v/>
      </c>
      <c r="CD42" s="68">
        <f>IF(CD$59="X","",IF(CD$59&lt;&gt;"",CD$59,IF(IFERROR(INDEX(醫師週班表!$C$5:$T$44,$CU42,CD$57),"")=0,"",IF(LEN(IFERROR(INDEX(醫師週班表!$C$5:$T$44,$CU42,CD$57),""))=4,MID(IFERROR(INDEX(醫師週班表!$C$5:$T$44,$CU42,CD$57),""),1+CD$58*2,1),IF(LEN(IFERROR(INDEX(醫師週班表!$C$5:$T$44,$CU42,CD$57),""))=2,IF(AND(RIGHT(IFERROR(INDEX(醫師週班表!$C$5:$T$44,$CU42,CD$57),""),1)="~",CD$58=1),"",LEFT(IFERROR(INDEX(醫師週班表!$C$5:$T$44,$CU42,CD$57),""),1)),IFERROR(INDEX(醫師週班表!$C$5:$T$44,$CU42,CD$57),""))))))</f>
        <v/>
      </c>
      <c r="CE42" s="67">
        <f>IF(CE$59="X","",IF(CE$59&lt;&gt;"",CE$59,IF(IFERROR(INDEX(醫師週班表!$C$5:$T$44,$CU42,CE$57),"")=0,"",IF(LEN(IFERROR(INDEX(醫師週班表!$C$5:$T$44,$CU42,CE$57),""))=4,MID(IFERROR(INDEX(醫師週班表!$C$5:$T$44,$CU42,CE$57),""),1+CE$58*2,1),IF(LEN(IFERROR(INDEX(醫師週班表!$C$5:$T$44,$CU42,CE$57),""))=2,IF(AND(RIGHT(IFERROR(INDEX(醫師週班表!$C$5:$T$44,$CU42,CE$57),""),1)="~",CE$58=1),"",LEFT(IFERROR(INDEX(醫師週班表!$C$5:$T$44,$CU42,CE$57),""),1)),IFERROR(INDEX(醫師週班表!$C$5:$T$44,$CU42,CE$57),""))))))</f>
        <v/>
      </c>
      <c r="CF42" s="68">
        <f>IF(CF$59="X","",IF(CF$59&lt;&gt;"",CF$59,IF(IFERROR(INDEX(醫師週班表!$C$5:$T$44,$CU42,CF$57),"")=0,"",IF(LEN(IFERROR(INDEX(醫師週班表!$C$5:$T$44,$CU42,CF$57),""))=4,MID(IFERROR(INDEX(醫師週班表!$C$5:$T$44,$CU42,CF$57),""),1+CF$58*2,1),IF(LEN(IFERROR(INDEX(醫師週班表!$C$5:$T$44,$CU42,CF$57),""))=2,IF(AND(RIGHT(IFERROR(INDEX(醫師週班表!$C$5:$T$44,$CU42,CF$57),""),1)="~",CF$58=1),"",LEFT(IFERROR(INDEX(醫師週班表!$C$5:$T$44,$CU42,CF$57),""),1)),IFERROR(INDEX(醫師週班表!$C$5:$T$44,$CU42,CF$57),""))))))</f>
        <v/>
      </c>
      <c r="CG42" s="68">
        <f>IF(CG$59="X","",IF(CG$59&lt;&gt;"",CG$59,IF(IFERROR(INDEX(醫師週班表!$C$5:$T$44,$CU42,CG$57),"")=0,"",IF(LEN(IFERROR(INDEX(醫師週班表!$C$5:$T$44,$CU42,CG$57),""))=4,MID(IFERROR(INDEX(醫師週班表!$C$5:$T$44,$CU42,CG$57),""),1+CG$58*2,1),IF(LEN(IFERROR(INDEX(醫師週班表!$C$5:$T$44,$CU42,CG$57),""))=2,IF(AND(RIGHT(IFERROR(INDEX(醫師週班表!$C$5:$T$44,$CU42,CG$57),""),1)="~",CG$58=1),"",LEFT(IFERROR(INDEX(醫師週班表!$C$5:$T$44,$CU42,CG$57),""),1)),IFERROR(INDEX(醫師週班表!$C$5:$T$44,$CU42,CG$57),""))))))</f>
        <v/>
      </c>
      <c r="CH42" s="67">
        <f>IF(CH$59="X","",IF(CH$59&lt;&gt;"",CH$59,IF(IFERROR(INDEX(醫師週班表!$C$5:$T$44,$CU42,CH$57),"")=0,"",IF(LEN(IFERROR(INDEX(醫師週班表!$C$5:$T$44,$CU42,CH$57),""))=4,MID(IFERROR(INDEX(醫師週班表!$C$5:$T$44,$CU42,CH$57),""),1+CH$58*2,1),IF(LEN(IFERROR(INDEX(醫師週班表!$C$5:$T$44,$CU42,CH$57),""))=2,IF(AND(RIGHT(IFERROR(INDEX(醫師週班表!$C$5:$T$44,$CU42,CH$57),""),1)="~",CH$58=1),"",LEFT(IFERROR(INDEX(醫師週班表!$C$5:$T$44,$CU42,CH$57),""),1)),IFERROR(INDEX(醫師週班表!$C$5:$T$44,$CU42,CH$57),""))))))</f>
        <v/>
      </c>
      <c r="CI42" s="68">
        <f>IF(CI$59="X","",IF(CI$59&lt;&gt;"",CI$59,IF(IFERROR(INDEX(醫師週班表!$C$5:$T$44,$CU42,CI$57),"")=0,"",IF(LEN(IFERROR(INDEX(醫師週班表!$C$5:$T$44,$CU42,CI$57),""))=4,MID(IFERROR(INDEX(醫師週班表!$C$5:$T$44,$CU42,CI$57),""),1+CI$58*2,1),IF(LEN(IFERROR(INDEX(醫師週班表!$C$5:$T$44,$CU42,CI$57),""))=2,IF(AND(RIGHT(IFERROR(INDEX(醫師週班表!$C$5:$T$44,$CU42,CI$57),""),1)="~",CI$58=1),"",LEFT(IFERROR(INDEX(醫師週班表!$C$5:$T$44,$CU42,CI$57),""),1)),IFERROR(INDEX(醫師週班表!$C$5:$T$44,$CU42,CI$57),""))))))</f>
        <v/>
      </c>
      <c r="CJ42" s="68">
        <f>IF(CJ$59="X","",IF(CJ$59&lt;&gt;"",CJ$59,IF(IFERROR(INDEX(醫師週班表!$C$5:$T$44,$CU42,CJ$57),"")=0,"",IF(LEN(IFERROR(INDEX(醫師週班表!$C$5:$T$44,$CU42,CJ$57),""))=4,MID(IFERROR(INDEX(醫師週班表!$C$5:$T$44,$CU42,CJ$57),""),1+CJ$58*2,1),IF(LEN(IFERROR(INDEX(醫師週班表!$C$5:$T$44,$CU42,CJ$57),""))=2,IF(AND(RIGHT(IFERROR(INDEX(醫師週班表!$C$5:$T$44,$CU42,CJ$57),""),1)="~",CJ$58=1),"",LEFT(IFERROR(INDEX(醫師週班表!$C$5:$T$44,$CU42,CJ$57),""),1)),IFERROR(INDEX(醫師週班表!$C$5:$T$44,$CU42,CJ$57),""))))))</f>
        <v/>
      </c>
      <c r="CK42" s="67">
        <f>IF(CK$59="X","",IF(CK$59&lt;&gt;"",CK$59,IF(IFERROR(INDEX(醫師週班表!$C$5:$T$44,$CU42,CK$57),"")=0,"",IF(LEN(IFERROR(INDEX(醫師週班表!$C$5:$T$44,$CU42,CK$57),""))=4,MID(IFERROR(INDEX(醫師週班表!$C$5:$T$44,$CU42,CK$57),""),1+CK$58*2,1),IF(LEN(IFERROR(INDEX(醫師週班表!$C$5:$T$44,$CU42,CK$57),""))=2,IF(AND(RIGHT(IFERROR(INDEX(醫師週班表!$C$5:$T$44,$CU42,CK$57),""),1)="~",CK$58=1),"",LEFT(IFERROR(INDEX(醫師週班表!$C$5:$T$44,$CU42,CK$57),""),1)),IFERROR(INDEX(醫師週班表!$C$5:$T$44,$CU42,CK$57),""))))))</f>
        <v/>
      </c>
      <c r="CL42" s="68">
        <f>IF(CL$59="X","",IF(CL$59&lt;&gt;"",CL$59,IF(IFERROR(INDEX(醫師週班表!$C$5:$T$44,$CU42,CL$57),"")=0,"",IF(LEN(IFERROR(INDEX(醫師週班表!$C$5:$T$44,$CU42,CL$57),""))=4,MID(IFERROR(INDEX(醫師週班表!$C$5:$T$44,$CU42,CL$57),""),1+CL$58*2,1),IF(LEN(IFERROR(INDEX(醫師週班表!$C$5:$T$44,$CU42,CL$57),""))=2,IF(AND(RIGHT(IFERROR(INDEX(醫師週班表!$C$5:$T$44,$CU42,CL$57),""),1)="~",CL$58=1),"",LEFT(IFERROR(INDEX(醫師週班表!$C$5:$T$44,$CU42,CL$57),""),1)),IFERROR(INDEX(醫師週班表!$C$5:$T$44,$CU42,CL$57),""))))))</f>
        <v/>
      </c>
      <c r="CM42" s="68">
        <f>IF(CM$59="X","",IF(CM$59&lt;&gt;"",CM$59,IF(IFERROR(INDEX(醫師週班表!$C$5:$T$44,$CU42,CM$57),"")=0,"",IF(LEN(IFERROR(INDEX(醫師週班表!$C$5:$T$44,$CU42,CM$57),""))=4,MID(IFERROR(INDEX(醫師週班表!$C$5:$T$44,$CU42,CM$57),""),1+CM$58*2,1),IF(LEN(IFERROR(INDEX(醫師週班表!$C$5:$T$44,$CU42,CM$57),""))=2,IF(AND(RIGHT(IFERROR(INDEX(醫師週班表!$C$5:$T$44,$CU42,CM$57),""),1)="~",CM$58=1),"",LEFT(IFERROR(INDEX(醫師週班表!$C$5:$T$44,$CU42,CM$57),""),1)),IFERROR(INDEX(醫師週班表!$C$5:$T$44,$CU42,CM$57),""))))))</f>
        <v/>
      </c>
      <c r="CN42" s="67">
        <f>IF(CN$59="X","",IF(CN$59&lt;&gt;"",CN$59,IF(IFERROR(INDEX(醫師週班表!$C$5:$T$44,$CU42,CN$57),"")=0,"",IF(LEN(IFERROR(INDEX(醫師週班表!$C$5:$T$44,$CU42,CN$57),""))=4,MID(IFERROR(INDEX(醫師週班表!$C$5:$T$44,$CU42,CN$57),""),1+CN$58*2,1),IF(LEN(IFERROR(INDEX(醫師週班表!$C$5:$T$44,$CU42,CN$57),""))=2,IF(AND(RIGHT(IFERROR(INDEX(醫師週班表!$C$5:$T$44,$CU42,CN$57),""),1)="~",CN$58=1),"",LEFT(IFERROR(INDEX(醫師週班表!$C$5:$T$44,$CU42,CN$57),""),1)),IFERROR(INDEX(醫師週班表!$C$5:$T$44,$CU42,CN$57),""))))))</f>
        <v/>
      </c>
      <c r="CO42" s="68">
        <f>IF(CO$59="X","",IF(CO$59&lt;&gt;"",CO$59,IF(IFERROR(INDEX(醫師週班表!$C$5:$T$44,$CU42,CO$57),"")=0,"",IF(LEN(IFERROR(INDEX(醫師週班表!$C$5:$T$44,$CU42,CO$57),""))=4,MID(IFERROR(INDEX(醫師週班表!$C$5:$T$44,$CU42,CO$57),""),1+CO$58*2,1),IF(LEN(IFERROR(INDEX(醫師週班表!$C$5:$T$44,$CU42,CO$57),""))=2,IF(AND(RIGHT(IFERROR(INDEX(醫師週班表!$C$5:$T$44,$CU42,CO$57),""),1)="~",CO$58=1),"",LEFT(IFERROR(INDEX(醫師週班表!$C$5:$T$44,$CU42,CO$57),""),1)),IFERROR(INDEX(醫師週班表!$C$5:$T$44,$CU42,CO$57),""))))))</f>
        <v/>
      </c>
      <c r="CP42" s="68">
        <f>IF(CP$59="X","",IF(CP$59&lt;&gt;"",CP$59,IF(IFERROR(INDEX(醫師週班表!$C$5:$T$44,$CU42,CP$57),"")=0,"",IF(LEN(IFERROR(INDEX(醫師週班表!$C$5:$T$44,$CU42,CP$57),""))=4,MID(IFERROR(INDEX(醫師週班表!$C$5:$T$44,$CU42,CP$57),""),1+CP$58*2,1),IF(LEN(IFERROR(INDEX(醫師週班表!$C$5:$T$44,$CU42,CP$57),""))=2,IF(AND(RIGHT(IFERROR(INDEX(醫師週班表!$C$5:$T$44,$CU42,CP$57),""),1)="~",CP$58=1),"",LEFT(IFERROR(INDEX(醫師週班表!$C$5:$T$44,$CU42,CP$57),""),1)),IFERROR(INDEX(醫師週班表!$C$5:$T$44,$CU42,CP$57),""))))))</f>
        <v/>
      </c>
      <c r="CQ42" s="67">
        <f>IF(CQ$59="X","",IF(CQ$59&lt;&gt;"",CQ$59,IF(IFERROR(INDEX(醫師週班表!$C$5:$T$44,$CU42,CQ$57),"")=0,"",IF(LEN(IFERROR(INDEX(醫師週班表!$C$5:$T$44,$CU42,CQ$57),""))=4,MID(IFERROR(INDEX(醫師週班表!$C$5:$T$44,$CU42,CQ$57),""),1+CQ$58*2,1),IF(LEN(IFERROR(INDEX(醫師週班表!$C$5:$T$44,$CU42,CQ$57),""))=2,IF(AND(RIGHT(IFERROR(INDEX(醫師週班表!$C$5:$T$44,$CU42,CQ$57),""),1)="~",CQ$58=1),"",LEFT(IFERROR(INDEX(醫師週班表!$C$5:$T$44,$CU42,CQ$57),""),1)),IFERROR(INDEX(醫師週班表!$C$5:$T$44,$CU42,CQ$57),""))))))</f>
        <v/>
      </c>
      <c r="CR42" s="68">
        <f>IF(CR$59="X","",IF(CR$59&lt;&gt;"",CR$59,IF(IFERROR(INDEX(醫師週班表!$C$5:$T$44,$CU42,CR$57),"")=0,"",IF(LEN(IFERROR(INDEX(醫師週班表!$C$5:$T$44,$CU42,CR$57),""))=4,MID(IFERROR(INDEX(醫師週班表!$C$5:$T$44,$CU42,CR$57),""),1+CR$58*2,1),IF(LEN(IFERROR(INDEX(醫師週班表!$C$5:$T$44,$CU42,CR$57),""))=2,IF(AND(RIGHT(IFERROR(INDEX(醫師週班表!$C$5:$T$44,$CU42,CR$57),""),1)="~",CR$58=1),"",LEFT(IFERROR(INDEX(醫師週班表!$C$5:$T$44,$CU42,CR$57),""),1)),IFERROR(INDEX(醫師週班表!$C$5:$T$44,$CU42,CR$57),""))))))</f>
        <v/>
      </c>
      <c r="CS42" s="68">
        <f>IF(CS$59="X","",IF(CS$59&lt;&gt;"",CS$59,IF(IFERROR(INDEX(醫師週班表!$C$5:$T$44,$CU42,CS$57),"")=0,"",IF(LEN(IFERROR(INDEX(醫師週班表!$C$5:$T$44,$CU42,CS$57),""))=4,MID(IFERROR(INDEX(醫師週班表!$C$5:$T$44,$CU42,CS$57),""),1+CS$58*2,1),IF(LEN(IFERROR(INDEX(醫師週班表!$C$5:$T$44,$CU42,CS$57),""))=2,IF(AND(RIGHT(IFERROR(INDEX(醫師週班表!$C$5:$T$44,$CU42,CS$57),""),1)="~",CS$58=1),"",LEFT(IFERROR(INDEX(醫師週班表!$C$5:$T$44,$CU42,CS$57),""),1)),IFERROR(INDEX(醫師週班表!$C$5:$T$44,$CU42,CS$57),""))))))</f>
        <v/>
      </c>
      <c r="CU42" s="69">
        <f>IFERROR(MATCH($A42,醫師週班表!$A$5:$A$44,0),0)</f>
        <v/>
      </c>
    </row>
    <row r="43" ht="17" customHeight="1">
      <c r="A43" s="20" t="n"/>
      <c r="B43" s="16">
        <f>IFERROR(INDEX(設定!$C$57:$C$196,MATCH($A43,設定!$B$57:$B$196,0)),"")</f>
        <v/>
      </c>
      <c r="C43" s="66">
        <f>IFERROR(INDEX(設定!$E$57:$E$196,MATCH($A43,設定!$B$57:$B$196,0)),"")</f>
        <v/>
      </c>
      <c r="D43" s="16">
        <f>IFERROR(INDEX(設定!$F$57:$F$196,MATCH($A43,設定!$B$57:$B$196,0)),"")</f>
        <v/>
      </c>
      <c r="E43" s="67">
        <f>IF(E$59="X","",IF(E$59&lt;&gt;"",E$59,IF(IFERROR(INDEX(醫師週班表!$C$5:$T$44,$CU43,E$57),"")=0,"",IF(LEN(IFERROR(INDEX(醫師週班表!$C$5:$T$44,$CU43,E$57),""))=4,MID(IFERROR(INDEX(醫師週班表!$C$5:$T$44,$CU43,E$57),""),1+E$58*2,1),IF(LEN(IFERROR(INDEX(醫師週班表!$C$5:$T$44,$CU43,E$57),""))=2,IF(AND(RIGHT(IFERROR(INDEX(醫師週班表!$C$5:$T$44,$CU43,E$57),""),1)="~",E$58=1),"",LEFT(IFERROR(INDEX(醫師週班表!$C$5:$T$44,$CU43,E$57),""),1)),IFERROR(INDEX(醫師週班表!$C$5:$T$44,$CU43,E$57),""))))))</f>
        <v/>
      </c>
      <c r="F43" s="68">
        <f>IF(F$59="X","",IF(F$59&lt;&gt;"",F$59,IF(IFERROR(INDEX(醫師週班表!$C$5:$T$44,$CU43,F$57),"")=0,"",IF(LEN(IFERROR(INDEX(醫師週班表!$C$5:$T$44,$CU43,F$57),""))=4,MID(IFERROR(INDEX(醫師週班表!$C$5:$T$44,$CU43,F$57),""),1+F$58*2,1),IF(LEN(IFERROR(INDEX(醫師週班表!$C$5:$T$44,$CU43,F$57),""))=2,IF(AND(RIGHT(IFERROR(INDEX(醫師週班表!$C$5:$T$44,$CU43,F$57),""),1)="~",F$58=1),"",LEFT(IFERROR(INDEX(醫師週班表!$C$5:$T$44,$CU43,F$57),""),1)),IFERROR(INDEX(醫師週班表!$C$5:$T$44,$CU43,F$57),""))))))</f>
        <v/>
      </c>
      <c r="G43" s="68">
        <f>IF(G$59="X","",IF(G$59&lt;&gt;"",G$59,IF(IFERROR(INDEX(醫師週班表!$C$5:$T$44,$CU43,G$57),"")=0,"",IF(LEN(IFERROR(INDEX(醫師週班表!$C$5:$T$44,$CU43,G$57),""))=4,MID(IFERROR(INDEX(醫師週班表!$C$5:$T$44,$CU43,G$57),""),1+G$58*2,1),IF(LEN(IFERROR(INDEX(醫師週班表!$C$5:$T$44,$CU43,G$57),""))=2,IF(AND(RIGHT(IFERROR(INDEX(醫師週班表!$C$5:$T$44,$CU43,G$57),""),1)="~",G$58=1),"",LEFT(IFERROR(INDEX(醫師週班表!$C$5:$T$44,$CU43,G$57),""),1)),IFERROR(INDEX(醫師週班表!$C$5:$T$44,$CU43,G$57),""))))))</f>
        <v/>
      </c>
      <c r="H43" s="67">
        <f>IF(H$59="X","",IF(H$59&lt;&gt;"",H$59,IF(IFERROR(INDEX(醫師週班表!$C$5:$T$44,$CU43,H$57),"")=0,"",IF(LEN(IFERROR(INDEX(醫師週班表!$C$5:$T$44,$CU43,H$57),""))=4,MID(IFERROR(INDEX(醫師週班表!$C$5:$T$44,$CU43,H$57),""),1+H$58*2,1),IF(LEN(IFERROR(INDEX(醫師週班表!$C$5:$T$44,$CU43,H$57),""))=2,IF(AND(RIGHT(IFERROR(INDEX(醫師週班表!$C$5:$T$44,$CU43,H$57),""),1)="~",H$58=1),"",LEFT(IFERROR(INDEX(醫師週班表!$C$5:$T$44,$CU43,H$57),""),1)),IFERROR(INDEX(醫師週班表!$C$5:$T$44,$CU43,H$57),""))))))</f>
        <v/>
      </c>
      <c r="I43" s="68">
        <f>IF(I$59="X","",IF(I$59&lt;&gt;"",I$59,IF(IFERROR(INDEX(醫師週班表!$C$5:$T$44,$CU43,I$57),"")=0,"",IF(LEN(IFERROR(INDEX(醫師週班表!$C$5:$T$44,$CU43,I$57),""))=4,MID(IFERROR(INDEX(醫師週班表!$C$5:$T$44,$CU43,I$57),""),1+I$58*2,1),IF(LEN(IFERROR(INDEX(醫師週班表!$C$5:$T$44,$CU43,I$57),""))=2,IF(AND(RIGHT(IFERROR(INDEX(醫師週班表!$C$5:$T$44,$CU43,I$57),""),1)="~",I$58=1),"",LEFT(IFERROR(INDEX(醫師週班表!$C$5:$T$44,$CU43,I$57),""),1)),IFERROR(INDEX(醫師週班表!$C$5:$T$44,$CU43,I$57),""))))))</f>
        <v/>
      </c>
      <c r="J43" s="68">
        <f>IF(J$59="X","",IF(J$59&lt;&gt;"",J$59,IF(IFERROR(INDEX(醫師週班表!$C$5:$T$44,$CU43,J$57),"")=0,"",IF(LEN(IFERROR(INDEX(醫師週班表!$C$5:$T$44,$CU43,J$57),""))=4,MID(IFERROR(INDEX(醫師週班表!$C$5:$T$44,$CU43,J$57),""),1+J$58*2,1),IF(LEN(IFERROR(INDEX(醫師週班表!$C$5:$T$44,$CU43,J$57),""))=2,IF(AND(RIGHT(IFERROR(INDEX(醫師週班表!$C$5:$T$44,$CU43,J$57),""),1)="~",J$58=1),"",LEFT(IFERROR(INDEX(醫師週班表!$C$5:$T$44,$CU43,J$57),""),1)),IFERROR(INDEX(醫師週班表!$C$5:$T$44,$CU43,J$57),""))))))</f>
        <v/>
      </c>
      <c r="K43" s="67">
        <f>IF(K$59="X","",IF(K$59&lt;&gt;"",K$59,IF(IFERROR(INDEX(醫師週班表!$C$5:$T$44,$CU43,K$57),"")=0,"",IF(LEN(IFERROR(INDEX(醫師週班表!$C$5:$T$44,$CU43,K$57),""))=4,MID(IFERROR(INDEX(醫師週班表!$C$5:$T$44,$CU43,K$57),""),1+K$58*2,1),IF(LEN(IFERROR(INDEX(醫師週班表!$C$5:$T$44,$CU43,K$57),""))=2,IF(AND(RIGHT(IFERROR(INDEX(醫師週班表!$C$5:$T$44,$CU43,K$57),""),1)="~",K$58=1),"",LEFT(IFERROR(INDEX(醫師週班表!$C$5:$T$44,$CU43,K$57),""),1)),IFERROR(INDEX(醫師週班表!$C$5:$T$44,$CU43,K$57),""))))))</f>
        <v/>
      </c>
      <c r="L43" s="68">
        <f>IF(L$59="X","",IF(L$59&lt;&gt;"",L$59,IF(IFERROR(INDEX(醫師週班表!$C$5:$T$44,$CU43,L$57),"")=0,"",IF(LEN(IFERROR(INDEX(醫師週班表!$C$5:$T$44,$CU43,L$57),""))=4,MID(IFERROR(INDEX(醫師週班表!$C$5:$T$44,$CU43,L$57),""),1+L$58*2,1),IF(LEN(IFERROR(INDEX(醫師週班表!$C$5:$T$44,$CU43,L$57),""))=2,IF(AND(RIGHT(IFERROR(INDEX(醫師週班表!$C$5:$T$44,$CU43,L$57),""),1)="~",L$58=1),"",LEFT(IFERROR(INDEX(醫師週班表!$C$5:$T$44,$CU43,L$57),""),1)),IFERROR(INDEX(醫師週班表!$C$5:$T$44,$CU43,L$57),""))))))</f>
        <v/>
      </c>
      <c r="M43" s="68">
        <f>IF(M$59="X","",IF(M$59&lt;&gt;"",M$59,IF(IFERROR(INDEX(醫師週班表!$C$5:$T$44,$CU43,M$57),"")=0,"",IF(LEN(IFERROR(INDEX(醫師週班表!$C$5:$T$44,$CU43,M$57),""))=4,MID(IFERROR(INDEX(醫師週班表!$C$5:$T$44,$CU43,M$57),""),1+M$58*2,1),IF(LEN(IFERROR(INDEX(醫師週班表!$C$5:$T$44,$CU43,M$57),""))=2,IF(AND(RIGHT(IFERROR(INDEX(醫師週班表!$C$5:$T$44,$CU43,M$57),""),1)="~",M$58=1),"",LEFT(IFERROR(INDEX(醫師週班表!$C$5:$T$44,$CU43,M$57),""),1)),IFERROR(INDEX(醫師週班表!$C$5:$T$44,$CU43,M$57),""))))))</f>
        <v/>
      </c>
      <c r="N43" s="67">
        <f>IF(N$59="X","",IF(N$59&lt;&gt;"",N$59,IF(IFERROR(INDEX(醫師週班表!$C$5:$T$44,$CU43,N$57),"")=0,"",IF(LEN(IFERROR(INDEX(醫師週班表!$C$5:$T$44,$CU43,N$57),""))=4,MID(IFERROR(INDEX(醫師週班表!$C$5:$T$44,$CU43,N$57),""),1+N$58*2,1),IF(LEN(IFERROR(INDEX(醫師週班表!$C$5:$T$44,$CU43,N$57),""))=2,IF(AND(RIGHT(IFERROR(INDEX(醫師週班表!$C$5:$T$44,$CU43,N$57),""),1)="~",N$58=1),"",LEFT(IFERROR(INDEX(醫師週班表!$C$5:$T$44,$CU43,N$57),""),1)),IFERROR(INDEX(醫師週班表!$C$5:$T$44,$CU43,N$57),""))))))</f>
        <v/>
      </c>
      <c r="O43" s="68">
        <f>IF(O$59="X","",IF(O$59&lt;&gt;"",O$59,IF(IFERROR(INDEX(醫師週班表!$C$5:$T$44,$CU43,O$57),"")=0,"",IF(LEN(IFERROR(INDEX(醫師週班表!$C$5:$T$44,$CU43,O$57),""))=4,MID(IFERROR(INDEX(醫師週班表!$C$5:$T$44,$CU43,O$57),""),1+O$58*2,1),IF(LEN(IFERROR(INDEX(醫師週班表!$C$5:$T$44,$CU43,O$57),""))=2,IF(AND(RIGHT(IFERROR(INDEX(醫師週班表!$C$5:$T$44,$CU43,O$57),""),1)="~",O$58=1),"",LEFT(IFERROR(INDEX(醫師週班表!$C$5:$T$44,$CU43,O$57),""),1)),IFERROR(INDEX(醫師週班表!$C$5:$T$44,$CU43,O$57),""))))))</f>
        <v/>
      </c>
      <c r="P43" s="68">
        <f>IF(P$59="X","",IF(P$59&lt;&gt;"",P$59,IF(IFERROR(INDEX(醫師週班表!$C$5:$T$44,$CU43,P$57),"")=0,"",IF(LEN(IFERROR(INDEX(醫師週班表!$C$5:$T$44,$CU43,P$57),""))=4,MID(IFERROR(INDEX(醫師週班表!$C$5:$T$44,$CU43,P$57),""),1+P$58*2,1),IF(LEN(IFERROR(INDEX(醫師週班表!$C$5:$T$44,$CU43,P$57),""))=2,IF(AND(RIGHT(IFERROR(INDEX(醫師週班表!$C$5:$T$44,$CU43,P$57),""),1)="~",P$58=1),"",LEFT(IFERROR(INDEX(醫師週班表!$C$5:$T$44,$CU43,P$57),""),1)),IFERROR(INDEX(醫師週班表!$C$5:$T$44,$CU43,P$57),""))))))</f>
        <v/>
      </c>
      <c r="Q43" s="67">
        <f>IF(Q$59="X","",IF(Q$59&lt;&gt;"",Q$59,IF(IFERROR(INDEX(醫師週班表!$C$5:$T$44,$CU43,Q$57),"")=0,"",IF(LEN(IFERROR(INDEX(醫師週班表!$C$5:$T$44,$CU43,Q$57),""))=4,MID(IFERROR(INDEX(醫師週班表!$C$5:$T$44,$CU43,Q$57),""),1+Q$58*2,1),IF(LEN(IFERROR(INDEX(醫師週班表!$C$5:$T$44,$CU43,Q$57),""))=2,IF(AND(RIGHT(IFERROR(INDEX(醫師週班表!$C$5:$T$44,$CU43,Q$57),""),1)="~",Q$58=1),"",LEFT(IFERROR(INDEX(醫師週班表!$C$5:$T$44,$CU43,Q$57),""),1)),IFERROR(INDEX(醫師週班表!$C$5:$T$44,$CU43,Q$57),""))))))</f>
        <v/>
      </c>
      <c r="R43" s="68">
        <f>IF(R$59="X","",IF(R$59&lt;&gt;"",R$59,IF(IFERROR(INDEX(醫師週班表!$C$5:$T$44,$CU43,R$57),"")=0,"",IF(LEN(IFERROR(INDEX(醫師週班表!$C$5:$T$44,$CU43,R$57),""))=4,MID(IFERROR(INDEX(醫師週班表!$C$5:$T$44,$CU43,R$57),""),1+R$58*2,1),IF(LEN(IFERROR(INDEX(醫師週班表!$C$5:$T$44,$CU43,R$57),""))=2,IF(AND(RIGHT(IFERROR(INDEX(醫師週班表!$C$5:$T$44,$CU43,R$57),""),1)="~",R$58=1),"",LEFT(IFERROR(INDEX(醫師週班表!$C$5:$T$44,$CU43,R$57),""),1)),IFERROR(INDEX(醫師週班表!$C$5:$T$44,$CU43,R$57),""))))))</f>
        <v/>
      </c>
      <c r="S43" s="68">
        <f>IF(S$59="X","",IF(S$59&lt;&gt;"",S$59,IF(IFERROR(INDEX(醫師週班表!$C$5:$T$44,$CU43,S$57),"")=0,"",IF(LEN(IFERROR(INDEX(醫師週班表!$C$5:$T$44,$CU43,S$57),""))=4,MID(IFERROR(INDEX(醫師週班表!$C$5:$T$44,$CU43,S$57),""),1+S$58*2,1),IF(LEN(IFERROR(INDEX(醫師週班表!$C$5:$T$44,$CU43,S$57),""))=2,IF(AND(RIGHT(IFERROR(INDEX(醫師週班表!$C$5:$T$44,$CU43,S$57),""),1)="~",S$58=1),"",LEFT(IFERROR(INDEX(醫師週班表!$C$5:$T$44,$CU43,S$57),""),1)),IFERROR(INDEX(醫師週班表!$C$5:$T$44,$CU43,S$57),""))))))</f>
        <v/>
      </c>
      <c r="T43" s="67">
        <f>IF(T$59="X","",IF(T$59&lt;&gt;"",T$59,IF(IFERROR(INDEX(醫師週班表!$C$5:$T$44,$CU43,T$57),"")=0,"",IF(LEN(IFERROR(INDEX(醫師週班表!$C$5:$T$44,$CU43,T$57),""))=4,MID(IFERROR(INDEX(醫師週班表!$C$5:$T$44,$CU43,T$57),""),1+T$58*2,1),IF(LEN(IFERROR(INDEX(醫師週班表!$C$5:$T$44,$CU43,T$57),""))=2,IF(AND(RIGHT(IFERROR(INDEX(醫師週班表!$C$5:$T$44,$CU43,T$57),""),1)="~",T$58=1),"",LEFT(IFERROR(INDEX(醫師週班表!$C$5:$T$44,$CU43,T$57),""),1)),IFERROR(INDEX(醫師週班表!$C$5:$T$44,$CU43,T$57),""))))))</f>
        <v/>
      </c>
      <c r="U43" s="68">
        <f>IF(U$59="X","",IF(U$59&lt;&gt;"",U$59,IF(IFERROR(INDEX(醫師週班表!$C$5:$T$44,$CU43,U$57),"")=0,"",IF(LEN(IFERROR(INDEX(醫師週班表!$C$5:$T$44,$CU43,U$57),""))=4,MID(IFERROR(INDEX(醫師週班表!$C$5:$T$44,$CU43,U$57),""),1+U$58*2,1),IF(LEN(IFERROR(INDEX(醫師週班表!$C$5:$T$44,$CU43,U$57),""))=2,IF(AND(RIGHT(IFERROR(INDEX(醫師週班表!$C$5:$T$44,$CU43,U$57),""),1)="~",U$58=1),"",LEFT(IFERROR(INDEX(醫師週班表!$C$5:$T$44,$CU43,U$57),""),1)),IFERROR(INDEX(醫師週班表!$C$5:$T$44,$CU43,U$57),""))))))</f>
        <v/>
      </c>
      <c r="V43" s="68">
        <f>IF(V$59="X","",IF(V$59&lt;&gt;"",V$59,IF(IFERROR(INDEX(醫師週班表!$C$5:$T$44,$CU43,V$57),"")=0,"",IF(LEN(IFERROR(INDEX(醫師週班表!$C$5:$T$44,$CU43,V$57),""))=4,MID(IFERROR(INDEX(醫師週班表!$C$5:$T$44,$CU43,V$57),""),1+V$58*2,1),IF(LEN(IFERROR(INDEX(醫師週班表!$C$5:$T$44,$CU43,V$57),""))=2,IF(AND(RIGHT(IFERROR(INDEX(醫師週班表!$C$5:$T$44,$CU43,V$57),""),1)="~",V$58=1),"",LEFT(IFERROR(INDEX(醫師週班表!$C$5:$T$44,$CU43,V$57),""),1)),IFERROR(INDEX(醫師週班表!$C$5:$T$44,$CU43,V$57),""))))))</f>
        <v/>
      </c>
      <c r="W43" s="67">
        <f>IF(W$59="X","",IF(W$59&lt;&gt;"",W$59,IF(IFERROR(INDEX(醫師週班表!$C$5:$T$44,$CU43,W$57),"")=0,"",IF(LEN(IFERROR(INDEX(醫師週班表!$C$5:$T$44,$CU43,W$57),""))=4,MID(IFERROR(INDEX(醫師週班表!$C$5:$T$44,$CU43,W$57),""),1+W$58*2,1),IF(LEN(IFERROR(INDEX(醫師週班表!$C$5:$T$44,$CU43,W$57),""))=2,IF(AND(RIGHT(IFERROR(INDEX(醫師週班表!$C$5:$T$44,$CU43,W$57),""),1)="~",W$58=1),"",LEFT(IFERROR(INDEX(醫師週班表!$C$5:$T$44,$CU43,W$57),""),1)),IFERROR(INDEX(醫師週班表!$C$5:$T$44,$CU43,W$57),""))))))</f>
        <v/>
      </c>
      <c r="X43" s="68">
        <f>IF(X$59="X","",IF(X$59&lt;&gt;"",X$59,IF(IFERROR(INDEX(醫師週班表!$C$5:$T$44,$CU43,X$57),"")=0,"",IF(LEN(IFERROR(INDEX(醫師週班表!$C$5:$T$44,$CU43,X$57),""))=4,MID(IFERROR(INDEX(醫師週班表!$C$5:$T$44,$CU43,X$57),""),1+X$58*2,1),IF(LEN(IFERROR(INDEX(醫師週班表!$C$5:$T$44,$CU43,X$57),""))=2,IF(AND(RIGHT(IFERROR(INDEX(醫師週班表!$C$5:$T$44,$CU43,X$57),""),1)="~",X$58=1),"",LEFT(IFERROR(INDEX(醫師週班表!$C$5:$T$44,$CU43,X$57),""),1)),IFERROR(INDEX(醫師週班表!$C$5:$T$44,$CU43,X$57),""))))))</f>
        <v/>
      </c>
      <c r="Y43" s="68">
        <f>IF(Y$59="X","",IF(Y$59&lt;&gt;"",Y$59,IF(IFERROR(INDEX(醫師週班表!$C$5:$T$44,$CU43,Y$57),"")=0,"",IF(LEN(IFERROR(INDEX(醫師週班表!$C$5:$T$44,$CU43,Y$57),""))=4,MID(IFERROR(INDEX(醫師週班表!$C$5:$T$44,$CU43,Y$57),""),1+Y$58*2,1),IF(LEN(IFERROR(INDEX(醫師週班表!$C$5:$T$44,$CU43,Y$57),""))=2,IF(AND(RIGHT(IFERROR(INDEX(醫師週班表!$C$5:$T$44,$CU43,Y$57),""),1)="~",Y$58=1),"",LEFT(IFERROR(INDEX(醫師週班表!$C$5:$T$44,$CU43,Y$57),""),1)),IFERROR(INDEX(醫師週班表!$C$5:$T$44,$CU43,Y$57),""))))))</f>
        <v/>
      </c>
      <c r="Z43" s="67">
        <f>IF(Z$59="X","",IF(Z$59&lt;&gt;"",Z$59,IF(IFERROR(INDEX(醫師週班表!$C$5:$T$44,$CU43,Z$57),"")=0,"",IF(LEN(IFERROR(INDEX(醫師週班表!$C$5:$T$44,$CU43,Z$57),""))=4,MID(IFERROR(INDEX(醫師週班表!$C$5:$T$44,$CU43,Z$57),""),1+Z$58*2,1),IF(LEN(IFERROR(INDEX(醫師週班表!$C$5:$T$44,$CU43,Z$57),""))=2,IF(AND(RIGHT(IFERROR(INDEX(醫師週班表!$C$5:$T$44,$CU43,Z$57),""),1)="~",Z$58=1),"",LEFT(IFERROR(INDEX(醫師週班表!$C$5:$T$44,$CU43,Z$57),""),1)),IFERROR(INDEX(醫師週班表!$C$5:$T$44,$CU43,Z$57),""))))))</f>
        <v/>
      </c>
      <c r="AA43" s="68">
        <f>IF(AA$59="X","",IF(AA$59&lt;&gt;"",AA$59,IF(IFERROR(INDEX(醫師週班表!$C$5:$T$44,$CU43,AA$57),"")=0,"",IF(LEN(IFERROR(INDEX(醫師週班表!$C$5:$T$44,$CU43,AA$57),""))=4,MID(IFERROR(INDEX(醫師週班表!$C$5:$T$44,$CU43,AA$57),""),1+AA$58*2,1),IF(LEN(IFERROR(INDEX(醫師週班表!$C$5:$T$44,$CU43,AA$57),""))=2,IF(AND(RIGHT(IFERROR(INDEX(醫師週班表!$C$5:$T$44,$CU43,AA$57),""),1)="~",AA$58=1),"",LEFT(IFERROR(INDEX(醫師週班表!$C$5:$T$44,$CU43,AA$57),""),1)),IFERROR(INDEX(醫師週班表!$C$5:$T$44,$CU43,AA$57),""))))))</f>
        <v/>
      </c>
      <c r="AB43" s="68">
        <f>IF(AB$59="X","",IF(AB$59&lt;&gt;"",AB$59,IF(IFERROR(INDEX(醫師週班表!$C$5:$T$44,$CU43,AB$57),"")=0,"",IF(LEN(IFERROR(INDEX(醫師週班表!$C$5:$T$44,$CU43,AB$57),""))=4,MID(IFERROR(INDEX(醫師週班表!$C$5:$T$44,$CU43,AB$57),""),1+AB$58*2,1),IF(LEN(IFERROR(INDEX(醫師週班表!$C$5:$T$44,$CU43,AB$57),""))=2,IF(AND(RIGHT(IFERROR(INDEX(醫師週班表!$C$5:$T$44,$CU43,AB$57),""),1)="~",AB$58=1),"",LEFT(IFERROR(INDEX(醫師週班表!$C$5:$T$44,$CU43,AB$57),""),1)),IFERROR(INDEX(醫師週班表!$C$5:$T$44,$CU43,AB$57),""))))))</f>
        <v/>
      </c>
      <c r="AC43" s="67">
        <f>IF(AC$59="X","",IF(AC$59&lt;&gt;"",AC$59,IF(IFERROR(INDEX(醫師週班表!$C$5:$T$44,$CU43,AC$57),"")=0,"",IF(LEN(IFERROR(INDEX(醫師週班表!$C$5:$T$44,$CU43,AC$57),""))=4,MID(IFERROR(INDEX(醫師週班表!$C$5:$T$44,$CU43,AC$57),""),1+AC$58*2,1),IF(LEN(IFERROR(INDEX(醫師週班表!$C$5:$T$44,$CU43,AC$57),""))=2,IF(AND(RIGHT(IFERROR(INDEX(醫師週班表!$C$5:$T$44,$CU43,AC$57),""),1)="~",AC$58=1),"",LEFT(IFERROR(INDEX(醫師週班表!$C$5:$T$44,$CU43,AC$57),""),1)),IFERROR(INDEX(醫師週班表!$C$5:$T$44,$CU43,AC$57),""))))))</f>
        <v/>
      </c>
      <c r="AD43" s="68">
        <f>IF(AD$59="X","",IF(AD$59&lt;&gt;"",AD$59,IF(IFERROR(INDEX(醫師週班表!$C$5:$T$44,$CU43,AD$57),"")=0,"",IF(LEN(IFERROR(INDEX(醫師週班表!$C$5:$T$44,$CU43,AD$57),""))=4,MID(IFERROR(INDEX(醫師週班表!$C$5:$T$44,$CU43,AD$57),""),1+AD$58*2,1),IF(LEN(IFERROR(INDEX(醫師週班表!$C$5:$T$44,$CU43,AD$57),""))=2,IF(AND(RIGHT(IFERROR(INDEX(醫師週班表!$C$5:$T$44,$CU43,AD$57),""),1)="~",AD$58=1),"",LEFT(IFERROR(INDEX(醫師週班表!$C$5:$T$44,$CU43,AD$57),""),1)),IFERROR(INDEX(醫師週班表!$C$5:$T$44,$CU43,AD$57),""))))))</f>
        <v/>
      </c>
      <c r="AE43" s="68">
        <f>IF(AE$59="X","",IF(AE$59&lt;&gt;"",AE$59,IF(IFERROR(INDEX(醫師週班表!$C$5:$T$44,$CU43,AE$57),"")=0,"",IF(LEN(IFERROR(INDEX(醫師週班表!$C$5:$T$44,$CU43,AE$57),""))=4,MID(IFERROR(INDEX(醫師週班表!$C$5:$T$44,$CU43,AE$57),""),1+AE$58*2,1),IF(LEN(IFERROR(INDEX(醫師週班表!$C$5:$T$44,$CU43,AE$57),""))=2,IF(AND(RIGHT(IFERROR(INDEX(醫師週班表!$C$5:$T$44,$CU43,AE$57),""),1)="~",AE$58=1),"",LEFT(IFERROR(INDEX(醫師週班表!$C$5:$T$44,$CU43,AE$57),""),1)),IFERROR(INDEX(醫師週班表!$C$5:$T$44,$CU43,AE$57),""))))))</f>
        <v/>
      </c>
      <c r="AF43" s="67">
        <f>IF(AF$59="X","",IF(AF$59&lt;&gt;"",AF$59,IF(IFERROR(INDEX(醫師週班表!$C$5:$T$44,$CU43,AF$57),"")=0,"",IF(LEN(IFERROR(INDEX(醫師週班表!$C$5:$T$44,$CU43,AF$57),""))=4,MID(IFERROR(INDEX(醫師週班表!$C$5:$T$44,$CU43,AF$57),""),1+AF$58*2,1),IF(LEN(IFERROR(INDEX(醫師週班表!$C$5:$T$44,$CU43,AF$57),""))=2,IF(AND(RIGHT(IFERROR(INDEX(醫師週班表!$C$5:$T$44,$CU43,AF$57),""),1)="~",AF$58=1),"",LEFT(IFERROR(INDEX(醫師週班表!$C$5:$T$44,$CU43,AF$57),""),1)),IFERROR(INDEX(醫師週班表!$C$5:$T$44,$CU43,AF$57),""))))))</f>
        <v/>
      </c>
      <c r="AG43" s="68">
        <f>IF(AG$59="X","",IF(AG$59&lt;&gt;"",AG$59,IF(IFERROR(INDEX(醫師週班表!$C$5:$T$44,$CU43,AG$57),"")=0,"",IF(LEN(IFERROR(INDEX(醫師週班表!$C$5:$T$44,$CU43,AG$57),""))=4,MID(IFERROR(INDEX(醫師週班表!$C$5:$T$44,$CU43,AG$57),""),1+AG$58*2,1),IF(LEN(IFERROR(INDEX(醫師週班表!$C$5:$T$44,$CU43,AG$57),""))=2,IF(AND(RIGHT(IFERROR(INDEX(醫師週班表!$C$5:$T$44,$CU43,AG$57),""),1)="~",AG$58=1),"",LEFT(IFERROR(INDEX(醫師週班表!$C$5:$T$44,$CU43,AG$57),""),1)),IFERROR(INDEX(醫師週班表!$C$5:$T$44,$CU43,AG$57),""))))))</f>
        <v/>
      </c>
      <c r="AH43" s="68">
        <f>IF(AH$59="X","",IF(AH$59&lt;&gt;"",AH$59,IF(IFERROR(INDEX(醫師週班表!$C$5:$T$44,$CU43,AH$57),"")=0,"",IF(LEN(IFERROR(INDEX(醫師週班表!$C$5:$T$44,$CU43,AH$57),""))=4,MID(IFERROR(INDEX(醫師週班表!$C$5:$T$44,$CU43,AH$57),""),1+AH$58*2,1),IF(LEN(IFERROR(INDEX(醫師週班表!$C$5:$T$44,$CU43,AH$57),""))=2,IF(AND(RIGHT(IFERROR(INDEX(醫師週班表!$C$5:$T$44,$CU43,AH$57),""),1)="~",AH$58=1),"",LEFT(IFERROR(INDEX(醫師週班表!$C$5:$T$44,$CU43,AH$57),""),1)),IFERROR(INDEX(醫師週班表!$C$5:$T$44,$CU43,AH$57),""))))))</f>
        <v/>
      </c>
      <c r="AI43" s="67">
        <f>IF(AI$59="X","",IF(AI$59&lt;&gt;"",AI$59,IF(IFERROR(INDEX(醫師週班表!$C$5:$T$44,$CU43,AI$57),"")=0,"",IF(LEN(IFERROR(INDEX(醫師週班表!$C$5:$T$44,$CU43,AI$57),""))=4,MID(IFERROR(INDEX(醫師週班表!$C$5:$T$44,$CU43,AI$57),""),1+AI$58*2,1),IF(LEN(IFERROR(INDEX(醫師週班表!$C$5:$T$44,$CU43,AI$57),""))=2,IF(AND(RIGHT(IFERROR(INDEX(醫師週班表!$C$5:$T$44,$CU43,AI$57),""),1)="~",AI$58=1),"",LEFT(IFERROR(INDEX(醫師週班表!$C$5:$T$44,$CU43,AI$57),""),1)),IFERROR(INDEX(醫師週班表!$C$5:$T$44,$CU43,AI$57),""))))))</f>
        <v/>
      </c>
      <c r="AJ43" s="68">
        <f>IF(AJ$59="X","",IF(AJ$59&lt;&gt;"",AJ$59,IF(IFERROR(INDEX(醫師週班表!$C$5:$T$44,$CU43,AJ$57),"")=0,"",IF(LEN(IFERROR(INDEX(醫師週班表!$C$5:$T$44,$CU43,AJ$57),""))=4,MID(IFERROR(INDEX(醫師週班表!$C$5:$T$44,$CU43,AJ$57),""),1+AJ$58*2,1),IF(LEN(IFERROR(INDEX(醫師週班表!$C$5:$T$44,$CU43,AJ$57),""))=2,IF(AND(RIGHT(IFERROR(INDEX(醫師週班表!$C$5:$T$44,$CU43,AJ$57),""),1)="~",AJ$58=1),"",LEFT(IFERROR(INDEX(醫師週班表!$C$5:$T$44,$CU43,AJ$57),""),1)),IFERROR(INDEX(醫師週班表!$C$5:$T$44,$CU43,AJ$57),""))))))</f>
        <v/>
      </c>
      <c r="AK43" s="68">
        <f>IF(AK$59="X","",IF(AK$59&lt;&gt;"",AK$59,IF(IFERROR(INDEX(醫師週班表!$C$5:$T$44,$CU43,AK$57),"")=0,"",IF(LEN(IFERROR(INDEX(醫師週班表!$C$5:$T$44,$CU43,AK$57),""))=4,MID(IFERROR(INDEX(醫師週班表!$C$5:$T$44,$CU43,AK$57),""),1+AK$58*2,1),IF(LEN(IFERROR(INDEX(醫師週班表!$C$5:$T$44,$CU43,AK$57),""))=2,IF(AND(RIGHT(IFERROR(INDEX(醫師週班表!$C$5:$T$44,$CU43,AK$57),""),1)="~",AK$58=1),"",LEFT(IFERROR(INDEX(醫師週班表!$C$5:$T$44,$CU43,AK$57),""),1)),IFERROR(INDEX(醫師週班表!$C$5:$T$44,$CU43,AK$57),""))))))</f>
        <v/>
      </c>
      <c r="AL43" s="67">
        <f>IF(AL$59="X","",IF(AL$59&lt;&gt;"",AL$59,IF(IFERROR(INDEX(醫師週班表!$C$5:$T$44,$CU43,AL$57),"")=0,"",IF(LEN(IFERROR(INDEX(醫師週班表!$C$5:$T$44,$CU43,AL$57),""))=4,MID(IFERROR(INDEX(醫師週班表!$C$5:$T$44,$CU43,AL$57),""),1+AL$58*2,1),IF(LEN(IFERROR(INDEX(醫師週班表!$C$5:$T$44,$CU43,AL$57),""))=2,IF(AND(RIGHT(IFERROR(INDEX(醫師週班表!$C$5:$T$44,$CU43,AL$57),""),1)="~",AL$58=1),"",LEFT(IFERROR(INDEX(醫師週班表!$C$5:$T$44,$CU43,AL$57),""),1)),IFERROR(INDEX(醫師週班表!$C$5:$T$44,$CU43,AL$57),""))))))</f>
        <v/>
      </c>
      <c r="AM43" s="68">
        <f>IF(AM$59="X","",IF(AM$59&lt;&gt;"",AM$59,IF(IFERROR(INDEX(醫師週班表!$C$5:$T$44,$CU43,AM$57),"")=0,"",IF(LEN(IFERROR(INDEX(醫師週班表!$C$5:$T$44,$CU43,AM$57),""))=4,MID(IFERROR(INDEX(醫師週班表!$C$5:$T$44,$CU43,AM$57),""),1+AM$58*2,1),IF(LEN(IFERROR(INDEX(醫師週班表!$C$5:$T$44,$CU43,AM$57),""))=2,IF(AND(RIGHT(IFERROR(INDEX(醫師週班表!$C$5:$T$44,$CU43,AM$57),""),1)="~",AM$58=1),"",LEFT(IFERROR(INDEX(醫師週班表!$C$5:$T$44,$CU43,AM$57),""),1)),IFERROR(INDEX(醫師週班表!$C$5:$T$44,$CU43,AM$57),""))))))</f>
        <v/>
      </c>
      <c r="AN43" s="68">
        <f>IF(AN$59="X","",IF(AN$59&lt;&gt;"",AN$59,IF(IFERROR(INDEX(醫師週班表!$C$5:$T$44,$CU43,AN$57),"")=0,"",IF(LEN(IFERROR(INDEX(醫師週班表!$C$5:$T$44,$CU43,AN$57),""))=4,MID(IFERROR(INDEX(醫師週班表!$C$5:$T$44,$CU43,AN$57),""),1+AN$58*2,1),IF(LEN(IFERROR(INDEX(醫師週班表!$C$5:$T$44,$CU43,AN$57),""))=2,IF(AND(RIGHT(IFERROR(INDEX(醫師週班表!$C$5:$T$44,$CU43,AN$57),""),1)="~",AN$58=1),"",LEFT(IFERROR(INDEX(醫師週班表!$C$5:$T$44,$CU43,AN$57),""),1)),IFERROR(INDEX(醫師週班表!$C$5:$T$44,$CU43,AN$57),""))))))</f>
        <v/>
      </c>
      <c r="AO43" s="67">
        <f>IF(AO$59="X","",IF(AO$59&lt;&gt;"",AO$59,IF(IFERROR(INDEX(醫師週班表!$C$5:$T$44,$CU43,AO$57),"")=0,"",IF(LEN(IFERROR(INDEX(醫師週班表!$C$5:$T$44,$CU43,AO$57),""))=4,MID(IFERROR(INDEX(醫師週班表!$C$5:$T$44,$CU43,AO$57),""),1+AO$58*2,1),IF(LEN(IFERROR(INDEX(醫師週班表!$C$5:$T$44,$CU43,AO$57),""))=2,IF(AND(RIGHT(IFERROR(INDEX(醫師週班表!$C$5:$T$44,$CU43,AO$57),""),1)="~",AO$58=1),"",LEFT(IFERROR(INDEX(醫師週班表!$C$5:$T$44,$CU43,AO$57),""),1)),IFERROR(INDEX(醫師週班表!$C$5:$T$44,$CU43,AO$57),""))))))</f>
        <v/>
      </c>
      <c r="AP43" s="68">
        <f>IF(AP$59="X","",IF(AP$59&lt;&gt;"",AP$59,IF(IFERROR(INDEX(醫師週班表!$C$5:$T$44,$CU43,AP$57),"")=0,"",IF(LEN(IFERROR(INDEX(醫師週班表!$C$5:$T$44,$CU43,AP$57),""))=4,MID(IFERROR(INDEX(醫師週班表!$C$5:$T$44,$CU43,AP$57),""),1+AP$58*2,1),IF(LEN(IFERROR(INDEX(醫師週班表!$C$5:$T$44,$CU43,AP$57),""))=2,IF(AND(RIGHT(IFERROR(INDEX(醫師週班表!$C$5:$T$44,$CU43,AP$57),""),1)="~",AP$58=1),"",LEFT(IFERROR(INDEX(醫師週班表!$C$5:$T$44,$CU43,AP$57),""),1)),IFERROR(INDEX(醫師週班表!$C$5:$T$44,$CU43,AP$57),""))))))</f>
        <v/>
      </c>
      <c r="AQ43" s="68">
        <f>IF(AQ$59="X","",IF(AQ$59&lt;&gt;"",AQ$59,IF(IFERROR(INDEX(醫師週班表!$C$5:$T$44,$CU43,AQ$57),"")=0,"",IF(LEN(IFERROR(INDEX(醫師週班表!$C$5:$T$44,$CU43,AQ$57),""))=4,MID(IFERROR(INDEX(醫師週班表!$C$5:$T$44,$CU43,AQ$57),""),1+AQ$58*2,1),IF(LEN(IFERROR(INDEX(醫師週班表!$C$5:$T$44,$CU43,AQ$57),""))=2,IF(AND(RIGHT(IFERROR(INDEX(醫師週班表!$C$5:$T$44,$CU43,AQ$57),""),1)="~",AQ$58=1),"",LEFT(IFERROR(INDEX(醫師週班表!$C$5:$T$44,$CU43,AQ$57),""),1)),IFERROR(INDEX(醫師週班表!$C$5:$T$44,$CU43,AQ$57),""))))))</f>
        <v/>
      </c>
      <c r="AR43" s="67">
        <f>IF(AR$59="X","",IF(AR$59&lt;&gt;"",AR$59,IF(IFERROR(INDEX(醫師週班表!$C$5:$T$44,$CU43,AR$57),"")=0,"",IF(LEN(IFERROR(INDEX(醫師週班表!$C$5:$T$44,$CU43,AR$57),""))=4,MID(IFERROR(INDEX(醫師週班表!$C$5:$T$44,$CU43,AR$57),""),1+AR$58*2,1),IF(LEN(IFERROR(INDEX(醫師週班表!$C$5:$T$44,$CU43,AR$57),""))=2,IF(AND(RIGHT(IFERROR(INDEX(醫師週班表!$C$5:$T$44,$CU43,AR$57),""),1)="~",AR$58=1),"",LEFT(IFERROR(INDEX(醫師週班表!$C$5:$T$44,$CU43,AR$57),""),1)),IFERROR(INDEX(醫師週班表!$C$5:$T$44,$CU43,AR$57),""))))))</f>
        <v/>
      </c>
      <c r="AS43" s="68">
        <f>IF(AS$59="X","",IF(AS$59&lt;&gt;"",AS$59,IF(IFERROR(INDEX(醫師週班表!$C$5:$T$44,$CU43,AS$57),"")=0,"",IF(LEN(IFERROR(INDEX(醫師週班表!$C$5:$T$44,$CU43,AS$57),""))=4,MID(IFERROR(INDEX(醫師週班表!$C$5:$T$44,$CU43,AS$57),""),1+AS$58*2,1),IF(LEN(IFERROR(INDEX(醫師週班表!$C$5:$T$44,$CU43,AS$57),""))=2,IF(AND(RIGHT(IFERROR(INDEX(醫師週班表!$C$5:$T$44,$CU43,AS$57),""),1)="~",AS$58=1),"",LEFT(IFERROR(INDEX(醫師週班表!$C$5:$T$44,$CU43,AS$57),""),1)),IFERROR(INDEX(醫師週班表!$C$5:$T$44,$CU43,AS$57),""))))))</f>
        <v/>
      </c>
      <c r="AT43" s="68">
        <f>IF(AT$59="X","",IF(AT$59&lt;&gt;"",AT$59,IF(IFERROR(INDEX(醫師週班表!$C$5:$T$44,$CU43,AT$57),"")=0,"",IF(LEN(IFERROR(INDEX(醫師週班表!$C$5:$T$44,$CU43,AT$57),""))=4,MID(IFERROR(INDEX(醫師週班表!$C$5:$T$44,$CU43,AT$57),""),1+AT$58*2,1),IF(LEN(IFERROR(INDEX(醫師週班表!$C$5:$T$44,$CU43,AT$57),""))=2,IF(AND(RIGHT(IFERROR(INDEX(醫師週班表!$C$5:$T$44,$CU43,AT$57),""),1)="~",AT$58=1),"",LEFT(IFERROR(INDEX(醫師週班表!$C$5:$T$44,$CU43,AT$57),""),1)),IFERROR(INDEX(醫師週班表!$C$5:$T$44,$CU43,AT$57),""))))))</f>
        <v/>
      </c>
      <c r="AU43" s="67">
        <f>IF(AU$59="X","",IF(AU$59&lt;&gt;"",AU$59,IF(IFERROR(INDEX(醫師週班表!$C$5:$T$44,$CU43,AU$57),"")=0,"",IF(LEN(IFERROR(INDEX(醫師週班表!$C$5:$T$44,$CU43,AU$57),""))=4,MID(IFERROR(INDEX(醫師週班表!$C$5:$T$44,$CU43,AU$57),""),1+AU$58*2,1),IF(LEN(IFERROR(INDEX(醫師週班表!$C$5:$T$44,$CU43,AU$57),""))=2,IF(AND(RIGHT(IFERROR(INDEX(醫師週班表!$C$5:$T$44,$CU43,AU$57),""),1)="~",AU$58=1),"",LEFT(IFERROR(INDEX(醫師週班表!$C$5:$T$44,$CU43,AU$57),""),1)),IFERROR(INDEX(醫師週班表!$C$5:$T$44,$CU43,AU$57),""))))))</f>
        <v/>
      </c>
      <c r="AV43" s="68">
        <f>IF(AV$59="X","",IF(AV$59&lt;&gt;"",AV$59,IF(IFERROR(INDEX(醫師週班表!$C$5:$T$44,$CU43,AV$57),"")=0,"",IF(LEN(IFERROR(INDEX(醫師週班表!$C$5:$T$44,$CU43,AV$57),""))=4,MID(IFERROR(INDEX(醫師週班表!$C$5:$T$44,$CU43,AV$57),""),1+AV$58*2,1),IF(LEN(IFERROR(INDEX(醫師週班表!$C$5:$T$44,$CU43,AV$57),""))=2,IF(AND(RIGHT(IFERROR(INDEX(醫師週班表!$C$5:$T$44,$CU43,AV$57),""),1)="~",AV$58=1),"",LEFT(IFERROR(INDEX(醫師週班表!$C$5:$T$44,$CU43,AV$57),""),1)),IFERROR(INDEX(醫師週班表!$C$5:$T$44,$CU43,AV$57),""))))))</f>
        <v/>
      </c>
      <c r="AW43" s="68">
        <f>IF(AW$59="X","",IF(AW$59&lt;&gt;"",AW$59,IF(IFERROR(INDEX(醫師週班表!$C$5:$T$44,$CU43,AW$57),"")=0,"",IF(LEN(IFERROR(INDEX(醫師週班表!$C$5:$T$44,$CU43,AW$57),""))=4,MID(IFERROR(INDEX(醫師週班表!$C$5:$T$44,$CU43,AW$57),""),1+AW$58*2,1),IF(LEN(IFERROR(INDEX(醫師週班表!$C$5:$T$44,$CU43,AW$57),""))=2,IF(AND(RIGHT(IFERROR(INDEX(醫師週班表!$C$5:$T$44,$CU43,AW$57),""),1)="~",AW$58=1),"",LEFT(IFERROR(INDEX(醫師週班表!$C$5:$T$44,$CU43,AW$57),""),1)),IFERROR(INDEX(醫師週班表!$C$5:$T$44,$CU43,AW$57),""))))))</f>
        <v/>
      </c>
      <c r="AX43" s="67">
        <f>IF(AX$59="X","",IF(AX$59&lt;&gt;"",AX$59,IF(IFERROR(INDEX(醫師週班表!$C$5:$T$44,$CU43,AX$57),"")=0,"",IF(LEN(IFERROR(INDEX(醫師週班表!$C$5:$T$44,$CU43,AX$57),""))=4,MID(IFERROR(INDEX(醫師週班表!$C$5:$T$44,$CU43,AX$57),""),1+AX$58*2,1),IF(LEN(IFERROR(INDEX(醫師週班表!$C$5:$T$44,$CU43,AX$57),""))=2,IF(AND(RIGHT(IFERROR(INDEX(醫師週班表!$C$5:$T$44,$CU43,AX$57),""),1)="~",AX$58=1),"",LEFT(IFERROR(INDEX(醫師週班表!$C$5:$T$44,$CU43,AX$57),""),1)),IFERROR(INDEX(醫師週班表!$C$5:$T$44,$CU43,AX$57),""))))))</f>
        <v/>
      </c>
      <c r="AY43" s="68">
        <f>IF(AY$59="X","",IF(AY$59&lt;&gt;"",AY$59,IF(IFERROR(INDEX(醫師週班表!$C$5:$T$44,$CU43,AY$57),"")=0,"",IF(LEN(IFERROR(INDEX(醫師週班表!$C$5:$T$44,$CU43,AY$57),""))=4,MID(IFERROR(INDEX(醫師週班表!$C$5:$T$44,$CU43,AY$57),""),1+AY$58*2,1),IF(LEN(IFERROR(INDEX(醫師週班表!$C$5:$T$44,$CU43,AY$57),""))=2,IF(AND(RIGHT(IFERROR(INDEX(醫師週班表!$C$5:$T$44,$CU43,AY$57),""),1)="~",AY$58=1),"",LEFT(IFERROR(INDEX(醫師週班表!$C$5:$T$44,$CU43,AY$57),""),1)),IFERROR(INDEX(醫師週班表!$C$5:$T$44,$CU43,AY$57),""))))))</f>
        <v/>
      </c>
      <c r="AZ43" s="68">
        <f>IF(AZ$59="X","",IF(AZ$59&lt;&gt;"",AZ$59,IF(IFERROR(INDEX(醫師週班表!$C$5:$T$44,$CU43,AZ$57),"")=0,"",IF(LEN(IFERROR(INDEX(醫師週班表!$C$5:$T$44,$CU43,AZ$57),""))=4,MID(IFERROR(INDEX(醫師週班表!$C$5:$T$44,$CU43,AZ$57),""),1+AZ$58*2,1),IF(LEN(IFERROR(INDEX(醫師週班表!$C$5:$T$44,$CU43,AZ$57),""))=2,IF(AND(RIGHT(IFERROR(INDEX(醫師週班表!$C$5:$T$44,$CU43,AZ$57),""),1)="~",AZ$58=1),"",LEFT(IFERROR(INDEX(醫師週班表!$C$5:$T$44,$CU43,AZ$57),""),1)),IFERROR(INDEX(醫師週班表!$C$5:$T$44,$CU43,AZ$57),""))))))</f>
        <v/>
      </c>
      <c r="BA43" s="67">
        <f>IF(BA$59="X","",IF(BA$59&lt;&gt;"",BA$59,IF(IFERROR(INDEX(醫師週班表!$C$5:$T$44,$CU43,BA$57),"")=0,"",IF(LEN(IFERROR(INDEX(醫師週班表!$C$5:$T$44,$CU43,BA$57),""))=4,MID(IFERROR(INDEX(醫師週班表!$C$5:$T$44,$CU43,BA$57),""),1+BA$58*2,1),IF(LEN(IFERROR(INDEX(醫師週班表!$C$5:$T$44,$CU43,BA$57),""))=2,IF(AND(RIGHT(IFERROR(INDEX(醫師週班表!$C$5:$T$44,$CU43,BA$57),""),1)="~",BA$58=1),"",LEFT(IFERROR(INDEX(醫師週班表!$C$5:$T$44,$CU43,BA$57),""),1)),IFERROR(INDEX(醫師週班表!$C$5:$T$44,$CU43,BA$57),""))))))</f>
        <v/>
      </c>
      <c r="BB43" s="68">
        <f>IF(BB$59="X","",IF(BB$59&lt;&gt;"",BB$59,IF(IFERROR(INDEX(醫師週班表!$C$5:$T$44,$CU43,BB$57),"")=0,"",IF(LEN(IFERROR(INDEX(醫師週班表!$C$5:$T$44,$CU43,BB$57),""))=4,MID(IFERROR(INDEX(醫師週班表!$C$5:$T$44,$CU43,BB$57),""),1+BB$58*2,1),IF(LEN(IFERROR(INDEX(醫師週班表!$C$5:$T$44,$CU43,BB$57),""))=2,IF(AND(RIGHT(IFERROR(INDEX(醫師週班表!$C$5:$T$44,$CU43,BB$57),""),1)="~",BB$58=1),"",LEFT(IFERROR(INDEX(醫師週班表!$C$5:$T$44,$CU43,BB$57),""),1)),IFERROR(INDEX(醫師週班表!$C$5:$T$44,$CU43,BB$57),""))))))</f>
        <v/>
      </c>
      <c r="BC43" s="68">
        <f>IF(BC$59="X","",IF(BC$59&lt;&gt;"",BC$59,IF(IFERROR(INDEX(醫師週班表!$C$5:$T$44,$CU43,BC$57),"")=0,"",IF(LEN(IFERROR(INDEX(醫師週班表!$C$5:$T$44,$CU43,BC$57),""))=4,MID(IFERROR(INDEX(醫師週班表!$C$5:$T$44,$CU43,BC$57),""),1+BC$58*2,1),IF(LEN(IFERROR(INDEX(醫師週班表!$C$5:$T$44,$CU43,BC$57),""))=2,IF(AND(RIGHT(IFERROR(INDEX(醫師週班表!$C$5:$T$44,$CU43,BC$57),""),1)="~",BC$58=1),"",LEFT(IFERROR(INDEX(醫師週班表!$C$5:$T$44,$CU43,BC$57),""),1)),IFERROR(INDEX(醫師週班表!$C$5:$T$44,$CU43,BC$57),""))))))</f>
        <v/>
      </c>
      <c r="BD43" s="67">
        <f>IF(BD$59="X","",IF(BD$59&lt;&gt;"",BD$59,IF(IFERROR(INDEX(醫師週班表!$C$5:$T$44,$CU43,BD$57),"")=0,"",IF(LEN(IFERROR(INDEX(醫師週班表!$C$5:$T$44,$CU43,BD$57),""))=4,MID(IFERROR(INDEX(醫師週班表!$C$5:$T$44,$CU43,BD$57),""),1+BD$58*2,1),IF(LEN(IFERROR(INDEX(醫師週班表!$C$5:$T$44,$CU43,BD$57),""))=2,IF(AND(RIGHT(IFERROR(INDEX(醫師週班表!$C$5:$T$44,$CU43,BD$57),""),1)="~",BD$58=1),"",LEFT(IFERROR(INDEX(醫師週班表!$C$5:$T$44,$CU43,BD$57),""),1)),IFERROR(INDEX(醫師週班表!$C$5:$T$44,$CU43,BD$57),""))))))</f>
        <v/>
      </c>
      <c r="BE43" s="68">
        <f>IF(BE$59="X","",IF(BE$59&lt;&gt;"",BE$59,IF(IFERROR(INDEX(醫師週班表!$C$5:$T$44,$CU43,BE$57),"")=0,"",IF(LEN(IFERROR(INDEX(醫師週班表!$C$5:$T$44,$CU43,BE$57),""))=4,MID(IFERROR(INDEX(醫師週班表!$C$5:$T$44,$CU43,BE$57),""),1+BE$58*2,1),IF(LEN(IFERROR(INDEX(醫師週班表!$C$5:$T$44,$CU43,BE$57),""))=2,IF(AND(RIGHT(IFERROR(INDEX(醫師週班表!$C$5:$T$44,$CU43,BE$57),""),1)="~",BE$58=1),"",LEFT(IFERROR(INDEX(醫師週班表!$C$5:$T$44,$CU43,BE$57),""),1)),IFERROR(INDEX(醫師週班表!$C$5:$T$44,$CU43,BE$57),""))))))</f>
        <v/>
      </c>
      <c r="BF43" s="68">
        <f>IF(BF$59="X","",IF(BF$59&lt;&gt;"",BF$59,IF(IFERROR(INDEX(醫師週班表!$C$5:$T$44,$CU43,BF$57),"")=0,"",IF(LEN(IFERROR(INDEX(醫師週班表!$C$5:$T$44,$CU43,BF$57),""))=4,MID(IFERROR(INDEX(醫師週班表!$C$5:$T$44,$CU43,BF$57),""),1+BF$58*2,1),IF(LEN(IFERROR(INDEX(醫師週班表!$C$5:$T$44,$CU43,BF$57),""))=2,IF(AND(RIGHT(IFERROR(INDEX(醫師週班表!$C$5:$T$44,$CU43,BF$57),""),1)="~",BF$58=1),"",LEFT(IFERROR(INDEX(醫師週班表!$C$5:$T$44,$CU43,BF$57),""),1)),IFERROR(INDEX(醫師週班表!$C$5:$T$44,$CU43,BF$57),""))))))</f>
        <v/>
      </c>
      <c r="BG43" s="67">
        <f>IF(BG$59="X","",IF(BG$59&lt;&gt;"",BG$59,IF(IFERROR(INDEX(醫師週班表!$C$5:$T$44,$CU43,BG$57),"")=0,"",IF(LEN(IFERROR(INDEX(醫師週班表!$C$5:$T$44,$CU43,BG$57),""))=4,MID(IFERROR(INDEX(醫師週班表!$C$5:$T$44,$CU43,BG$57),""),1+BG$58*2,1),IF(LEN(IFERROR(INDEX(醫師週班表!$C$5:$T$44,$CU43,BG$57),""))=2,IF(AND(RIGHT(IFERROR(INDEX(醫師週班表!$C$5:$T$44,$CU43,BG$57),""),1)="~",BG$58=1),"",LEFT(IFERROR(INDEX(醫師週班表!$C$5:$T$44,$CU43,BG$57),""),1)),IFERROR(INDEX(醫師週班表!$C$5:$T$44,$CU43,BG$57),""))))))</f>
        <v/>
      </c>
      <c r="BH43" s="68">
        <f>IF(BH$59="X","",IF(BH$59&lt;&gt;"",BH$59,IF(IFERROR(INDEX(醫師週班表!$C$5:$T$44,$CU43,BH$57),"")=0,"",IF(LEN(IFERROR(INDEX(醫師週班表!$C$5:$T$44,$CU43,BH$57),""))=4,MID(IFERROR(INDEX(醫師週班表!$C$5:$T$44,$CU43,BH$57),""),1+BH$58*2,1),IF(LEN(IFERROR(INDEX(醫師週班表!$C$5:$T$44,$CU43,BH$57),""))=2,IF(AND(RIGHT(IFERROR(INDEX(醫師週班表!$C$5:$T$44,$CU43,BH$57),""),1)="~",BH$58=1),"",LEFT(IFERROR(INDEX(醫師週班表!$C$5:$T$44,$CU43,BH$57),""),1)),IFERROR(INDEX(醫師週班表!$C$5:$T$44,$CU43,BH$57),""))))))</f>
        <v/>
      </c>
      <c r="BI43" s="68">
        <f>IF(BI$59="X","",IF(BI$59&lt;&gt;"",BI$59,IF(IFERROR(INDEX(醫師週班表!$C$5:$T$44,$CU43,BI$57),"")=0,"",IF(LEN(IFERROR(INDEX(醫師週班表!$C$5:$T$44,$CU43,BI$57),""))=4,MID(IFERROR(INDEX(醫師週班表!$C$5:$T$44,$CU43,BI$57),""),1+BI$58*2,1),IF(LEN(IFERROR(INDEX(醫師週班表!$C$5:$T$44,$CU43,BI$57),""))=2,IF(AND(RIGHT(IFERROR(INDEX(醫師週班表!$C$5:$T$44,$CU43,BI$57),""),1)="~",BI$58=1),"",LEFT(IFERROR(INDEX(醫師週班表!$C$5:$T$44,$CU43,BI$57),""),1)),IFERROR(INDEX(醫師週班表!$C$5:$T$44,$CU43,BI$57),""))))))</f>
        <v/>
      </c>
      <c r="BJ43" s="67">
        <f>IF(BJ$59="X","",IF(BJ$59&lt;&gt;"",BJ$59,IF(IFERROR(INDEX(醫師週班表!$C$5:$T$44,$CU43,BJ$57),"")=0,"",IF(LEN(IFERROR(INDEX(醫師週班表!$C$5:$T$44,$CU43,BJ$57),""))=4,MID(IFERROR(INDEX(醫師週班表!$C$5:$T$44,$CU43,BJ$57),""),1+BJ$58*2,1),IF(LEN(IFERROR(INDEX(醫師週班表!$C$5:$T$44,$CU43,BJ$57),""))=2,IF(AND(RIGHT(IFERROR(INDEX(醫師週班表!$C$5:$T$44,$CU43,BJ$57),""),1)="~",BJ$58=1),"",LEFT(IFERROR(INDEX(醫師週班表!$C$5:$T$44,$CU43,BJ$57),""),1)),IFERROR(INDEX(醫師週班表!$C$5:$T$44,$CU43,BJ$57),""))))))</f>
        <v/>
      </c>
      <c r="BK43" s="68">
        <f>IF(BK$59="X","",IF(BK$59&lt;&gt;"",BK$59,IF(IFERROR(INDEX(醫師週班表!$C$5:$T$44,$CU43,BK$57),"")=0,"",IF(LEN(IFERROR(INDEX(醫師週班表!$C$5:$T$44,$CU43,BK$57),""))=4,MID(IFERROR(INDEX(醫師週班表!$C$5:$T$44,$CU43,BK$57),""),1+BK$58*2,1),IF(LEN(IFERROR(INDEX(醫師週班表!$C$5:$T$44,$CU43,BK$57),""))=2,IF(AND(RIGHT(IFERROR(INDEX(醫師週班表!$C$5:$T$44,$CU43,BK$57),""),1)="~",BK$58=1),"",LEFT(IFERROR(INDEX(醫師週班表!$C$5:$T$44,$CU43,BK$57),""),1)),IFERROR(INDEX(醫師週班表!$C$5:$T$44,$CU43,BK$57),""))))))</f>
        <v/>
      </c>
      <c r="BL43" s="68">
        <f>IF(BL$59="X","",IF(BL$59&lt;&gt;"",BL$59,IF(IFERROR(INDEX(醫師週班表!$C$5:$T$44,$CU43,BL$57),"")=0,"",IF(LEN(IFERROR(INDEX(醫師週班表!$C$5:$T$44,$CU43,BL$57),""))=4,MID(IFERROR(INDEX(醫師週班表!$C$5:$T$44,$CU43,BL$57),""),1+BL$58*2,1),IF(LEN(IFERROR(INDEX(醫師週班表!$C$5:$T$44,$CU43,BL$57),""))=2,IF(AND(RIGHT(IFERROR(INDEX(醫師週班表!$C$5:$T$44,$CU43,BL$57),""),1)="~",BL$58=1),"",LEFT(IFERROR(INDEX(醫師週班表!$C$5:$T$44,$CU43,BL$57),""),1)),IFERROR(INDEX(醫師週班表!$C$5:$T$44,$CU43,BL$57),""))))))</f>
        <v/>
      </c>
      <c r="BM43" s="67">
        <f>IF(BM$59="X","",IF(BM$59&lt;&gt;"",BM$59,IF(IFERROR(INDEX(醫師週班表!$C$5:$T$44,$CU43,BM$57),"")=0,"",IF(LEN(IFERROR(INDEX(醫師週班表!$C$5:$T$44,$CU43,BM$57),""))=4,MID(IFERROR(INDEX(醫師週班表!$C$5:$T$44,$CU43,BM$57),""),1+BM$58*2,1),IF(LEN(IFERROR(INDEX(醫師週班表!$C$5:$T$44,$CU43,BM$57),""))=2,IF(AND(RIGHT(IFERROR(INDEX(醫師週班表!$C$5:$T$44,$CU43,BM$57),""),1)="~",BM$58=1),"",LEFT(IFERROR(INDEX(醫師週班表!$C$5:$T$44,$CU43,BM$57),""),1)),IFERROR(INDEX(醫師週班表!$C$5:$T$44,$CU43,BM$57),""))))))</f>
        <v/>
      </c>
      <c r="BN43" s="68">
        <f>IF(BN$59="X","",IF(BN$59&lt;&gt;"",BN$59,IF(IFERROR(INDEX(醫師週班表!$C$5:$T$44,$CU43,BN$57),"")=0,"",IF(LEN(IFERROR(INDEX(醫師週班表!$C$5:$T$44,$CU43,BN$57),""))=4,MID(IFERROR(INDEX(醫師週班表!$C$5:$T$44,$CU43,BN$57),""),1+BN$58*2,1),IF(LEN(IFERROR(INDEX(醫師週班表!$C$5:$T$44,$CU43,BN$57),""))=2,IF(AND(RIGHT(IFERROR(INDEX(醫師週班表!$C$5:$T$44,$CU43,BN$57),""),1)="~",BN$58=1),"",LEFT(IFERROR(INDEX(醫師週班表!$C$5:$T$44,$CU43,BN$57),""),1)),IFERROR(INDEX(醫師週班表!$C$5:$T$44,$CU43,BN$57),""))))))</f>
        <v/>
      </c>
      <c r="BO43" s="68">
        <f>IF(BO$59="X","",IF(BO$59&lt;&gt;"",BO$59,IF(IFERROR(INDEX(醫師週班表!$C$5:$T$44,$CU43,BO$57),"")=0,"",IF(LEN(IFERROR(INDEX(醫師週班表!$C$5:$T$44,$CU43,BO$57),""))=4,MID(IFERROR(INDEX(醫師週班表!$C$5:$T$44,$CU43,BO$57),""),1+BO$58*2,1),IF(LEN(IFERROR(INDEX(醫師週班表!$C$5:$T$44,$CU43,BO$57),""))=2,IF(AND(RIGHT(IFERROR(INDEX(醫師週班表!$C$5:$T$44,$CU43,BO$57),""),1)="~",BO$58=1),"",LEFT(IFERROR(INDEX(醫師週班表!$C$5:$T$44,$CU43,BO$57),""),1)),IFERROR(INDEX(醫師週班表!$C$5:$T$44,$CU43,BO$57),""))))))</f>
        <v/>
      </c>
      <c r="BP43" s="67">
        <f>IF(BP$59="X","",IF(BP$59&lt;&gt;"",BP$59,IF(IFERROR(INDEX(醫師週班表!$C$5:$T$44,$CU43,BP$57),"")=0,"",IF(LEN(IFERROR(INDEX(醫師週班表!$C$5:$T$44,$CU43,BP$57),""))=4,MID(IFERROR(INDEX(醫師週班表!$C$5:$T$44,$CU43,BP$57),""),1+BP$58*2,1),IF(LEN(IFERROR(INDEX(醫師週班表!$C$5:$T$44,$CU43,BP$57),""))=2,IF(AND(RIGHT(IFERROR(INDEX(醫師週班表!$C$5:$T$44,$CU43,BP$57),""),1)="~",BP$58=1),"",LEFT(IFERROR(INDEX(醫師週班表!$C$5:$T$44,$CU43,BP$57),""),1)),IFERROR(INDEX(醫師週班表!$C$5:$T$44,$CU43,BP$57),""))))))</f>
        <v/>
      </c>
      <c r="BQ43" s="68">
        <f>IF(BQ$59="X","",IF(BQ$59&lt;&gt;"",BQ$59,IF(IFERROR(INDEX(醫師週班表!$C$5:$T$44,$CU43,BQ$57),"")=0,"",IF(LEN(IFERROR(INDEX(醫師週班表!$C$5:$T$44,$CU43,BQ$57),""))=4,MID(IFERROR(INDEX(醫師週班表!$C$5:$T$44,$CU43,BQ$57),""),1+BQ$58*2,1),IF(LEN(IFERROR(INDEX(醫師週班表!$C$5:$T$44,$CU43,BQ$57),""))=2,IF(AND(RIGHT(IFERROR(INDEX(醫師週班表!$C$5:$T$44,$CU43,BQ$57),""),1)="~",BQ$58=1),"",LEFT(IFERROR(INDEX(醫師週班表!$C$5:$T$44,$CU43,BQ$57),""),1)),IFERROR(INDEX(醫師週班表!$C$5:$T$44,$CU43,BQ$57),""))))))</f>
        <v/>
      </c>
      <c r="BR43" s="68">
        <f>IF(BR$59="X","",IF(BR$59&lt;&gt;"",BR$59,IF(IFERROR(INDEX(醫師週班表!$C$5:$T$44,$CU43,BR$57),"")=0,"",IF(LEN(IFERROR(INDEX(醫師週班表!$C$5:$T$44,$CU43,BR$57),""))=4,MID(IFERROR(INDEX(醫師週班表!$C$5:$T$44,$CU43,BR$57),""),1+BR$58*2,1),IF(LEN(IFERROR(INDEX(醫師週班表!$C$5:$T$44,$CU43,BR$57),""))=2,IF(AND(RIGHT(IFERROR(INDEX(醫師週班表!$C$5:$T$44,$CU43,BR$57),""),1)="~",BR$58=1),"",LEFT(IFERROR(INDEX(醫師週班表!$C$5:$T$44,$CU43,BR$57),""),1)),IFERROR(INDEX(醫師週班表!$C$5:$T$44,$CU43,BR$57),""))))))</f>
        <v/>
      </c>
      <c r="BS43" s="67">
        <f>IF(BS$59="X","",IF(BS$59&lt;&gt;"",BS$59,IF(IFERROR(INDEX(醫師週班表!$C$5:$T$44,$CU43,BS$57),"")=0,"",IF(LEN(IFERROR(INDEX(醫師週班表!$C$5:$T$44,$CU43,BS$57),""))=4,MID(IFERROR(INDEX(醫師週班表!$C$5:$T$44,$CU43,BS$57),""),1+BS$58*2,1),IF(LEN(IFERROR(INDEX(醫師週班表!$C$5:$T$44,$CU43,BS$57),""))=2,IF(AND(RIGHT(IFERROR(INDEX(醫師週班表!$C$5:$T$44,$CU43,BS$57),""),1)="~",BS$58=1),"",LEFT(IFERROR(INDEX(醫師週班表!$C$5:$T$44,$CU43,BS$57),""),1)),IFERROR(INDEX(醫師週班表!$C$5:$T$44,$CU43,BS$57),""))))))</f>
        <v/>
      </c>
      <c r="BT43" s="68">
        <f>IF(BT$59="X","",IF(BT$59&lt;&gt;"",BT$59,IF(IFERROR(INDEX(醫師週班表!$C$5:$T$44,$CU43,BT$57),"")=0,"",IF(LEN(IFERROR(INDEX(醫師週班表!$C$5:$T$44,$CU43,BT$57),""))=4,MID(IFERROR(INDEX(醫師週班表!$C$5:$T$44,$CU43,BT$57),""),1+BT$58*2,1),IF(LEN(IFERROR(INDEX(醫師週班表!$C$5:$T$44,$CU43,BT$57),""))=2,IF(AND(RIGHT(IFERROR(INDEX(醫師週班表!$C$5:$T$44,$CU43,BT$57),""),1)="~",BT$58=1),"",LEFT(IFERROR(INDEX(醫師週班表!$C$5:$T$44,$CU43,BT$57),""),1)),IFERROR(INDEX(醫師週班表!$C$5:$T$44,$CU43,BT$57),""))))))</f>
        <v/>
      </c>
      <c r="BU43" s="68">
        <f>IF(BU$59="X","",IF(BU$59&lt;&gt;"",BU$59,IF(IFERROR(INDEX(醫師週班表!$C$5:$T$44,$CU43,BU$57),"")=0,"",IF(LEN(IFERROR(INDEX(醫師週班表!$C$5:$T$44,$CU43,BU$57),""))=4,MID(IFERROR(INDEX(醫師週班表!$C$5:$T$44,$CU43,BU$57),""),1+BU$58*2,1),IF(LEN(IFERROR(INDEX(醫師週班表!$C$5:$T$44,$CU43,BU$57),""))=2,IF(AND(RIGHT(IFERROR(INDEX(醫師週班表!$C$5:$T$44,$CU43,BU$57),""),1)="~",BU$58=1),"",LEFT(IFERROR(INDEX(醫師週班表!$C$5:$T$44,$CU43,BU$57),""),1)),IFERROR(INDEX(醫師週班表!$C$5:$T$44,$CU43,BU$57),""))))))</f>
        <v/>
      </c>
      <c r="BV43" s="67">
        <f>IF(BV$59="X","",IF(BV$59&lt;&gt;"",BV$59,IF(IFERROR(INDEX(醫師週班表!$C$5:$T$44,$CU43,BV$57),"")=0,"",IF(LEN(IFERROR(INDEX(醫師週班表!$C$5:$T$44,$CU43,BV$57),""))=4,MID(IFERROR(INDEX(醫師週班表!$C$5:$T$44,$CU43,BV$57),""),1+BV$58*2,1),IF(LEN(IFERROR(INDEX(醫師週班表!$C$5:$T$44,$CU43,BV$57),""))=2,IF(AND(RIGHT(IFERROR(INDEX(醫師週班表!$C$5:$T$44,$CU43,BV$57),""),1)="~",BV$58=1),"",LEFT(IFERROR(INDEX(醫師週班表!$C$5:$T$44,$CU43,BV$57),""),1)),IFERROR(INDEX(醫師週班表!$C$5:$T$44,$CU43,BV$57),""))))))</f>
        <v/>
      </c>
      <c r="BW43" s="68">
        <f>IF(BW$59="X","",IF(BW$59&lt;&gt;"",BW$59,IF(IFERROR(INDEX(醫師週班表!$C$5:$T$44,$CU43,BW$57),"")=0,"",IF(LEN(IFERROR(INDEX(醫師週班表!$C$5:$T$44,$CU43,BW$57),""))=4,MID(IFERROR(INDEX(醫師週班表!$C$5:$T$44,$CU43,BW$57),""),1+BW$58*2,1),IF(LEN(IFERROR(INDEX(醫師週班表!$C$5:$T$44,$CU43,BW$57),""))=2,IF(AND(RIGHT(IFERROR(INDEX(醫師週班表!$C$5:$T$44,$CU43,BW$57),""),1)="~",BW$58=1),"",LEFT(IFERROR(INDEX(醫師週班表!$C$5:$T$44,$CU43,BW$57),""),1)),IFERROR(INDEX(醫師週班表!$C$5:$T$44,$CU43,BW$57),""))))))</f>
        <v/>
      </c>
      <c r="BX43" s="68">
        <f>IF(BX$59="X","",IF(BX$59&lt;&gt;"",BX$59,IF(IFERROR(INDEX(醫師週班表!$C$5:$T$44,$CU43,BX$57),"")=0,"",IF(LEN(IFERROR(INDEX(醫師週班表!$C$5:$T$44,$CU43,BX$57),""))=4,MID(IFERROR(INDEX(醫師週班表!$C$5:$T$44,$CU43,BX$57),""),1+BX$58*2,1),IF(LEN(IFERROR(INDEX(醫師週班表!$C$5:$T$44,$CU43,BX$57),""))=2,IF(AND(RIGHT(IFERROR(INDEX(醫師週班表!$C$5:$T$44,$CU43,BX$57),""),1)="~",BX$58=1),"",LEFT(IFERROR(INDEX(醫師週班表!$C$5:$T$44,$CU43,BX$57),""),1)),IFERROR(INDEX(醫師週班表!$C$5:$T$44,$CU43,BX$57),""))))))</f>
        <v/>
      </c>
      <c r="BY43" s="67">
        <f>IF(BY$59="X","",IF(BY$59&lt;&gt;"",BY$59,IF(IFERROR(INDEX(醫師週班表!$C$5:$T$44,$CU43,BY$57),"")=0,"",IF(LEN(IFERROR(INDEX(醫師週班表!$C$5:$T$44,$CU43,BY$57),""))=4,MID(IFERROR(INDEX(醫師週班表!$C$5:$T$44,$CU43,BY$57),""),1+BY$58*2,1),IF(LEN(IFERROR(INDEX(醫師週班表!$C$5:$T$44,$CU43,BY$57),""))=2,IF(AND(RIGHT(IFERROR(INDEX(醫師週班表!$C$5:$T$44,$CU43,BY$57),""),1)="~",BY$58=1),"",LEFT(IFERROR(INDEX(醫師週班表!$C$5:$T$44,$CU43,BY$57),""),1)),IFERROR(INDEX(醫師週班表!$C$5:$T$44,$CU43,BY$57),""))))))</f>
        <v/>
      </c>
      <c r="BZ43" s="68">
        <f>IF(BZ$59="X","",IF(BZ$59&lt;&gt;"",BZ$59,IF(IFERROR(INDEX(醫師週班表!$C$5:$T$44,$CU43,BZ$57),"")=0,"",IF(LEN(IFERROR(INDEX(醫師週班表!$C$5:$T$44,$CU43,BZ$57),""))=4,MID(IFERROR(INDEX(醫師週班表!$C$5:$T$44,$CU43,BZ$57),""),1+BZ$58*2,1),IF(LEN(IFERROR(INDEX(醫師週班表!$C$5:$T$44,$CU43,BZ$57),""))=2,IF(AND(RIGHT(IFERROR(INDEX(醫師週班表!$C$5:$T$44,$CU43,BZ$57),""),1)="~",BZ$58=1),"",LEFT(IFERROR(INDEX(醫師週班表!$C$5:$T$44,$CU43,BZ$57),""),1)),IFERROR(INDEX(醫師週班表!$C$5:$T$44,$CU43,BZ$57),""))))))</f>
        <v/>
      </c>
      <c r="CA43" s="68">
        <f>IF(CA$59="X","",IF(CA$59&lt;&gt;"",CA$59,IF(IFERROR(INDEX(醫師週班表!$C$5:$T$44,$CU43,CA$57),"")=0,"",IF(LEN(IFERROR(INDEX(醫師週班表!$C$5:$T$44,$CU43,CA$57),""))=4,MID(IFERROR(INDEX(醫師週班表!$C$5:$T$44,$CU43,CA$57),""),1+CA$58*2,1),IF(LEN(IFERROR(INDEX(醫師週班表!$C$5:$T$44,$CU43,CA$57),""))=2,IF(AND(RIGHT(IFERROR(INDEX(醫師週班表!$C$5:$T$44,$CU43,CA$57),""),1)="~",CA$58=1),"",LEFT(IFERROR(INDEX(醫師週班表!$C$5:$T$44,$CU43,CA$57),""),1)),IFERROR(INDEX(醫師週班表!$C$5:$T$44,$CU43,CA$57),""))))))</f>
        <v/>
      </c>
      <c r="CB43" s="67">
        <f>IF(CB$59="X","",IF(CB$59&lt;&gt;"",CB$59,IF(IFERROR(INDEX(醫師週班表!$C$5:$T$44,$CU43,CB$57),"")=0,"",IF(LEN(IFERROR(INDEX(醫師週班表!$C$5:$T$44,$CU43,CB$57),""))=4,MID(IFERROR(INDEX(醫師週班表!$C$5:$T$44,$CU43,CB$57),""),1+CB$58*2,1),IF(LEN(IFERROR(INDEX(醫師週班表!$C$5:$T$44,$CU43,CB$57),""))=2,IF(AND(RIGHT(IFERROR(INDEX(醫師週班表!$C$5:$T$44,$CU43,CB$57),""),1)="~",CB$58=1),"",LEFT(IFERROR(INDEX(醫師週班表!$C$5:$T$44,$CU43,CB$57),""),1)),IFERROR(INDEX(醫師週班表!$C$5:$T$44,$CU43,CB$57),""))))))</f>
        <v/>
      </c>
      <c r="CC43" s="68">
        <f>IF(CC$59="X","",IF(CC$59&lt;&gt;"",CC$59,IF(IFERROR(INDEX(醫師週班表!$C$5:$T$44,$CU43,CC$57),"")=0,"",IF(LEN(IFERROR(INDEX(醫師週班表!$C$5:$T$44,$CU43,CC$57),""))=4,MID(IFERROR(INDEX(醫師週班表!$C$5:$T$44,$CU43,CC$57),""),1+CC$58*2,1),IF(LEN(IFERROR(INDEX(醫師週班表!$C$5:$T$44,$CU43,CC$57),""))=2,IF(AND(RIGHT(IFERROR(INDEX(醫師週班表!$C$5:$T$44,$CU43,CC$57),""),1)="~",CC$58=1),"",LEFT(IFERROR(INDEX(醫師週班表!$C$5:$T$44,$CU43,CC$57),""),1)),IFERROR(INDEX(醫師週班表!$C$5:$T$44,$CU43,CC$57),""))))))</f>
        <v/>
      </c>
      <c r="CD43" s="68">
        <f>IF(CD$59="X","",IF(CD$59&lt;&gt;"",CD$59,IF(IFERROR(INDEX(醫師週班表!$C$5:$T$44,$CU43,CD$57),"")=0,"",IF(LEN(IFERROR(INDEX(醫師週班表!$C$5:$T$44,$CU43,CD$57),""))=4,MID(IFERROR(INDEX(醫師週班表!$C$5:$T$44,$CU43,CD$57),""),1+CD$58*2,1),IF(LEN(IFERROR(INDEX(醫師週班表!$C$5:$T$44,$CU43,CD$57),""))=2,IF(AND(RIGHT(IFERROR(INDEX(醫師週班表!$C$5:$T$44,$CU43,CD$57),""),1)="~",CD$58=1),"",LEFT(IFERROR(INDEX(醫師週班表!$C$5:$T$44,$CU43,CD$57),""),1)),IFERROR(INDEX(醫師週班表!$C$5:$T$44,$CU43,CD$57),""))))))</f>
        <v/>
      </c>
      <c r="CE43" s="67">
        <f>IF(CE$59="X","",IF(CE$59&lt;&gt;"",CE$59,IF(IFERROR(INDEX(醫師週班表!$C$5:$T$44,$CU43,CE$57),"")=0,"",IF(LEN(IFERROR(INDEX(醫師週班表!$C$5:$T$44,$CU43,CE$57),""))=4,MID(IFERROR(INDEX(醫師週班表!$C$5:$T$44,$CU43,CE$57),""),1+CE$58*2,1),IF(LEN(IFERROR(INDEX(醫師週班表!$C$5:$T$44,$CU43,CE$57),""))=2,IF(AND(RIGHT(IFERROR(INDEX(醫師週班表!$C$5:$T$44,$CU43,CE$57),""),1)="~",CE$58=1),"",LEFT(IFERROR(INDEX(醫師週班表!$C$5:$T$44,$CU43,CE$57),""),1)),IFERROR(INDEX(醫師週班表!$C$5:$T$44,$CU43,CE$57),""))))))</f>
        <v/>
      </c>
      <c r="CF43" s="68">
        <f>IF(CF$59="X","",IF(CF$59&lt;&gt;"",CF$59,IF(IFERROR(INDEX(醫師週班表!$C$5:$T$44,$CU43,CF$57),"")=0,"",IF(LEN(IFERROR(INDEX(醫師週班表!$C$5:$T$44,$CU43,CF$57),""))=4,MID(IFERROR(INDEX(醫師週班表!$C$5:$T$44,$CU43,CF$57),""),1+CF$58*2,1),IF(LEN(IFERROR(INDEX(醫師週班表!$C$5:$T$44,$CU43,CF$57),""))=2,IF(AND(RIGHT(IFERROR(INDEX(醫師週班表!$C$5:$T$44,$CU43,CF$57),""),1)="~",CF$58=1),"",LEFT(IFERROR(INDEX(醫師週班表!$C$5:$T$44,$CU43,CF$57),""),1)),IFERROR(INDEX(醫師週班表!$C$5:$T$44,$CU43,CF$57),""))))))</f>
        <v/>
      </c>
      <c r="CG43" s="68">
        <f>IF(CG$59="X","",IF(CG$59&lt;&gt;"",CG$59,IF(IFERROR(INDEX(醫師週班表!$C$5:$T$44,$CU43,CG$57),"")=0,"",IF(LEN(IFERROR(INDEX(醫師週班表!$C$5:$T$44,$CU43,CG$57),""))=4,MID(IFERROR(INDEX(醫師週班表!$C$5:$T$44,$CU43,CG$57),""),1+CG$58*2,1),IF(LEN(IFERROR(INDEX(醫師週班表!$C$5:$T$44,$CU43,CG$57),""))=2,IF(AND(RIGHT(IFERROR(INDEX(醫師週班表!$C$5:$T$44,$CU43,CG$57),""),1)="~",CG$58=1),"",LEFT(IFERROR(INDEX(醫師週班表!$C$5:$T$44,$CU43,CG$57),""),1)),IFERROR(INDEX(醫師週班表!$C$5:$T$44,$CU43,CG$57),""))))))</f>
        <v/>
      </c>
      <c r="CH43" s="67">
        <f>IF(CH$59="X","",IF(CH$59&lt;&gt;"",CH$59,IF(IFERROR(INDEX(醫師週班表!$C$5:$T$44,$CU43,CH$57),"")=0,"",IF(LEN(IFERROR(INDEX(醫師週班表!$C$5:$T$44,$CU43,CH$57),""))=4,MID(IFERROR(INDEX(醫師週班表!$C$5:$T$44,$CU43,CH$57),""),1+CH$58*2,1),IF(LEN(IFERROR(INDEX(醫師週班表!$C$5:$T$44,$CU43,CH$57),""))=2,IF(AND(RIGHT(IFERROR(INDEX(醫師週班表!$C$5:$T$44,$CU43,CH$57),""),1)="~",CH$58=1),"",LEFT(IFERROR(INDEX(醫師週班表!$C$5:$T$44,$CU43,CH$57),""),1)),IFERROR(INDEX(醫師週班表!$C$5:$T$44,$CU43,CH$57),""))))))</f>
        <v/>
      </c>
      <c r="CI43" s="68">
        <f>IF(CI$59="X","",IF(CI$59&lt;&gt;"",CI$59,IF(IFERROR(INDEX(醫師週班表!$C$5:$T$44,$CU43,CI$57),"")=0,"",IF(LEN(IFERROR(INDEX(醫師週班表!$C$5:$T$44,$CU43,CI$57),""))=4,MID(IFERROR(INDEX(醫師週班表!$C$5:$T$44,$CU43,CI$57),""),1+CI$58*2,1),IF(LEN(IFERROR(INDEX(醫師週班表!$C$5:$T$44,$CU43,CI$57),""))=2,IF(AND(RIGHT(IFERROR(INDEX(醫師週班表!$C$5:$T$44,$CU43,CI$57),""),1)="~",CI$58=1),"",LEFT(IFERROR(INDEX(醫師週班表!$C$5:$T$44,$CU43,CI$57),""),1)),IFERROR(INDEX(醫師週班表!$C$5:$T$44,$CU43,CI$57),""))))))</f>
        <v/>
      </c>
      <c r="CJ43" s="68">
        <f>IF(CJ$59="X","",IF(CJ$59&lt;&gt;"",CJ$59,IF(IFERROR(INDEX(醫師週班表!$C$5:$T$44,$CU43,CJ$57),"")=0,"",IF(LEN(IFERROR(INDEX(醫師週班表!$C$5:$T$44,$CU43,CJ$57),""))=4,MID(IFERROR(INDEX(醫師週班表!$C$5:$T$44,$CU43,CJ$57),""),1+CJ$58*2,1),IF(LEN(IFERROR(INDEX(醫師週班表!$C$5:$T$44,$CU43,CJ$57),""))=2,IF(AND(RIGHT(IFERROR(INDEX(醫師週班表!$C$5:$T$44,$CU43,CJ$57),""),1)="~",CJ$58=1),"",LEFT(IFERROR(INDEX(醫師週班表!$C$5:$T$44,$CU43,CJ$57),""),1)),IFERROR(INDEX(醫師週班表!$C$5:$T$44,$CU43,CJ$57),""))))))</f>
        <v/>
      </c>
      <c r="CK43" s="67">
        <f>IF(CK$59="X","",IF(CK$59&lt;&gt;"",CK$59,IF(IFERROR(INDEX(醫師週班表!$C$5:$T$44,$CU43,CK$57),"")=0,"",IF(LEN(IFERROR(INDEX(醫師週班表!$C$5:$T$44,$CU43,CK$57),""))=4,MID(IFERROR(INDEX(醫師週班表!$C$5:$T$44,$CU43,CK$57),""),1+CK$58*2,1),IF(LEN(IFERROR(INDEX(醫師週班表!$C$5:$T$44,$CU43,CK$57),""))=2,IF(AND(RIGHT(IFERROR(INDEX(醫師週班表!$C$5:$T$44,$CU43,CK$57),""),1)="~",CK$58=1),"",LEFT(IFERROR(INDEX(醫師週班表!$C$5:$T$44,$CU43,CK$57),""),1)),IFERROR(INDEX(醫師週班表!$C$5:$T$44,$CU43,CK$57),""))))))</f>
        <v/>
      </c>
      <c r="CL43" s="68">
        <f>IF(CL$59="X","",IF(CL$59&lt;&gt;"",CL$59,IF(IFERROR(INDEX(醫師週班表!$C$5:$T$44,$CU43,CL$57),"")=0,"",IF(LEN(IFERROR(INDEX(醫師週班表!$C$5:$T$44,$CU43,CL$57),""))=4,MID(IFERROR(INDEX(醫師週班表!$C$5:$T$44,$CU43,CL$57),""),1+CL$58*2,1),IF(LEN(IFERROR(INDEX(醫師週班表!$C$5:$T$44,$CU43,CL$57),""))=2,IF(AND(RIGHT(IFERROR(INDEX(醫師週班表!$C$5:$T$44,$CU43,CL$57),""),1)="~",CL$58=1),"",LEFT(IFERROR(INDEX(醫師週班表!$C$5:$T$44,$CU43,CL$57),""),1)),IFERROR(INDEX(醫師週班表!$C$5:$T$44,$CU43,CL$57),""))))))</f>
        <v/>
      </c>
      <c r="CM43" s="68">
        <f>IF(CM$59="X","",IF(CM$59&lt;&gt;"",CM$59,IF(IFERROR(INDEX(醫師週班表!$C$5:$T$44,$CU43,CM$57),"")=0,"",IF(LEN(IFERROR(INDEX(醫師週班表!$C$5:$T$44,$CU43,CM$57),""))=4,MID(IFERROR(INDEX(醫師週班表!$C$5:$T$44,$CU43,CM$57),""),1+CM$58*2,1),IF(LEN(IFERROR(INDEX(醫師週班表!$C$5:$T$44,$CU43,CM$57),""))=2,IF(AND(RIGHT(IFERROR(INDEX(醫師週班表!$C$5:$T$44,$CU43,CM$57),""),1)="~",CM$58=1),"",LEFT(IFERROR(INDEX(醫師週班表!$C$5:$T$44,$CU43,CM$57),""),1)),IFERROR(INDEX(醫師週班表!$C$5:$T$44,$CU43,CM$57),""))))))</f>
        <v/>
      </c>
      <c r="CN43" s="67">
        <f>IF(CN$59="X","",IF(CN$59&lt;&gt;"",CN$59,IF(IFERROR(INDEX(醫師週班表!$C$5:$T$44,$CU43,CN$57),"")=0,"",IF(LEN(IFERROR(INDEX(醫師週班表!$C$5:$T$44,$CU43,CN$57),""))=4,MID(IFERROR(INDEX(醫師週班表!$C$5:$T$44,$CU43,CN$57),""),1+CN$58*2,1),IF(LEN(IFERROR(INDEX(醫師週班表!$C$5:$T$44,$CU43,CN$57),""))=2,IF(AND(RIGHT(IFERROR(INDEX(醫師週班表!$C$5:$T$44,$CU43,CN$57),""),1)="~",CN$58=1),"",LEFT(IFERROR(INDEX(醫師週班表!$C$5:$T$44,$CU43,CN$57),""),1)),IFERROR(INDEX(醫師週班表!$C$5:$T$44,$CU43,CN$57),""))))))</f>
        <v/>
      </c>
      <c r="CO43" s="68">
        <f>IF(CO$59="X","",IF(CO$59&lt;&gt;"",CO$59,IF(IFERROR(INDEX(醫師週班表!$C$5:$T$44,$CU43,CO$57),"")=0,"",IF(LEN(IFERROR(INDEX(醫師週班表!$C$5:$T$44,$CU43,CO$57),""))=4,MID(IFERROR(INDEX(醫師週班表!$C$5:$T$44,$CU43,CO$57),""),1+CO$58*2,1),IF(LEN(IFERROR(INDEX(醫師週班表!$C$5:$T$44,$CU43,CO$57),""))=2,IF(AND(RIGHT(IFERROR(INDEX(醫師週班表!$C$5:$T$44,$CU43,CO$57),""),1)="~",CO$58=1),"",LEFT(IFERROR(INDEX(醫師週班表!$C$5:$T$44,$CU43,CO$57),""),1)),IFERROR(INDEX(醫師週班表!$C$5:$T$44,$CU43,CO$57),""))))))</f>
        <v/>
      </c>
      <c r="CP43" s="68">
        <f>IF(CP$59="X","",IF(CP$59&lt;&gt;"",CP$59,IF(IFERROR(INDEX(醫師週班表!$C$5:$T$44,$CU43,CP$57),"")=0,"",IF(LEN(IFERROR(INDEX(醫師週班表!$C$5:$T$44,$CU43,CP$57),""))=4,MID(IFERROR(INDEX(醫師週班表!$C$5:$T$44,$CU43,CP$57),""),1+CP$58*2,1),IF(LEN(IFERROR(INDEX(醫師週班表!$C$5:$T$44,$CU43,CP$57),""))=2,IF(AND(RIGHT(IFERROR(INDEX(醫師週班表!$C$5:$T$44,$CU43,CP$57),""),1)="~",CP$58=1),"",LEFT(IFERROR(INDEX(醫師週班表!$C$5:$T$44,$CU43,CP$57),""),1)),IFERROR(INDEX(醫師週班表!$C$5:$T$44,$CU43,CP$57),""))))))</f>
        <v/>
      </c>
      <c r="CQ43" s="67">
        <f>IF(CQ$59="X","",IF(CQ$59&lt;&gt;"",CQ$59,IF(IFERROR(INDEX(醫師週班表!$C$5:$T$44,$CU43,CQ$57),"")=0,"",IF(LEN(IFERROR(INDEX(醫師週班表!$C$5:$T$44,$CU43,CQ$57),""))=4,MID(IFERROR(INDEX(醫師週班表!$C$5:$T$44,$CU43,CQ$57),""),1+CQ$58*2,1),IF(LEN(IFERROR(INDEX(醫師週班表!$C$5:$T$44,$CU43,CQ$57),""))=2,IF(AND(RIGHT(IFERROR(INDEX(醫師週班表!$C$5:$T$44,$CU43,CQ$57),""),1)="~",CQ$58=1),"",LEFT(IFERROR(INDEX(醫師週班表!$C$5:$T$44,$CU43,CQ$57),""),1)),IFERROR(INDEX(醫師週班表!$C$5:$T$44,$CU43,CQ$57),""))))))</f>
        <v/>
      </c>
      <c r="CR43" s="68">
        <f>IF(CR$59="X","",IF(CR$59&lt;&gt;"",CR$59,IF(IFERROR(INDEX(醫師週班表!$C$5:$T$44,$CU43,CR$57),"")=0,"",IF(LEN(IFERROR(INDEX(醫師週班表!$C$5:$T$44,$CU43,CR$57),""))=4,MID(IFERROR(INDEX(醫師週班表!$C$5:$T$44,$CU43,CR$57),""),1+CR$58*2,1),IF(LEN(IFERROR(INDEX(醫師週班表!$C$5:$T$44,$CU43,CR$57),""))=2,IF(AND(RIGHT(IFERROR(INDEX(醫師週班表!$C$5:$T$44,$CU43,CR$57),""),1)="~",CR$58=1),"",LEFT(IFERROR(INDEX(醫師週班表!$C$5:$T$44,$CU43,CR$57),""),1)),IFERROR(INDEX(醫師週班表!$C$5:$T$44,$CU43,CR$57),""))))))</f>
        <v/>
      </c>
      <c r="CS43" s="68">
        <f>IF(CS$59="X","",IF(CS$59&lt;&gt;"",CS$59,IF(IFERROR(INDEX(醫師週班表!$C$5:$T$44,$CU43,CS$57),"")=0,"",IF(LEN(IFERROR(INDEX(醫師週班表!$C$5:$T$44,$CU43,CS$57),""))=4,MID(IFERROR(INDEX(醫師週班表!$C$5:$T$44,$CU43,CS$57),""),1+CS$58*2,1),IF(LEN(IFERROR(INDEX(醫師週班表!$C$5:$T$44,$CU43,CS$57),""))=2,IF(AND(RIGHT(IFERROR(INDEX(醫師週班表!$C$5:$T$44,$CU43,CS$57),""),1)="~",CS$58=1),"",LEFT(IFERROR(INDEX(醫師週班表!$C$5:$T$44,$CU43,CS$57),""),1)),IFERROR(INDEX(醫師週班表!$C$5:$T$44,$CU43,CS$57),""))))))</f>
        <v/>
      </c>
      <c r="CU43" s="69">
        <f>IFERROR(MATCH($A43,醫師週班表!$A$5:$A$44,0),0)</f>
        <v/>
      </c>
    </row>
    <row r="44" ht="17" customHeight="1">
      <c r="A44" s="20" t="n"/>
      <c r="B44" s="16">
        <f>IFERROR(INDEX(設定!$C$57:$C$196,MATCH($A44,設定!$B$57:$B$196,0)),"")</f>
        <v/>
      </c>
      <c r="C44" s="66">
        <f>IFERROR(INDEX(設定!$E$57:$E$196,MATCH($A44,設定!$B$57:$B$196,0)),"")</f>
        <v/>
      </c>
      <c r="D44" s="16">
        <f>IFERROR(INDEX(設定!$F$57:$F$196,MATCH($A44,設定!$B$57:$B$196,0)),"")</f>
        <v/>
      </c>
      <c r="E44" s="67">
        <f>IF(E$59="X","",IF(E$59&lt;&gt;"",E$59,IF(IFERROR(INDEX(醫師週班表!$C$5:$T$44,$CU44,E$57),"")=0,"",IF(LEN(IFERROR(INDEX(醫師週班表!$C$5:$T$44,$CU44,E$57),""))=4,MID(IFERROR(INDEX(醫師週班表!$C$5:$T$44,$CU44,E$57),""),1+E$58*2,1),IF(LEN(IFERROR(INDEX(醫師週班表!$C$5:$T$44,$CU44,E$57),""))=2,IF(AND(RIGHT(IFERROR(INDEX(醫師週班表!$C$5:$T$44,$CU44,E$57),""),1)="~",E$58=1),"",LEFT(IFERROR(INDEX(醫師週班表!$C$5:$T$44,$CU44,E$57),""),1)),IFERROR(INDEX(醫師週班表!$C$5:$T$44,$CU44,E$57),""))))))</f>
        <v/>
      </c>
      <c r="F44" s="68">
        <f>IF(F$59="X","",IF(F$59&lt;&gt;"",F$59,IF(IFERROR(INDEX(醫師週班表!$C$5:$T$44,$CU44,F$57),"")=0,"",IF(LEN(IFERROR(INDEX(醫師週班表!$C$5:$T$44,$CU44,F$57),""))=4,MID(IFERROR(INDEX(醫師週班表!$C$5:$T$44,$CU44,F$57),""),1+F$58*2,1),IF(LEN(IFERROR(INDEX(醫師週班表!$C$5:$T$44,$CU44,F$57),""))=2,IF(AND(RIGHT(IFERROR(INDEX(醫師週班表!$C$5:$T$44,$CU44,F$57),""),1)="~",F$58=1),"",LEFT(IFERROR(INDEX(醫師週班表!$C$5:$T$44,$CU44,F$57),""),1)),IFERROR(INDEX(醫師週班表!$C$5:$T$44,$CU44,F$57),""))))))</f>
        <v/>
      </c>
      <c r="G44" s="68">
        <f>IF(G$59="X","",IF(G$59&lt;&gt;"",G$59,IF(IFERROR(INDEX(醫師週班表!$C$5:$T$44,$CU44,G$57),"")=0,"",IF(LEN(IFERROR(INDEX(醫師週班表!$C$5:$T$44,$CU44,G$57),""))=4,MID(IFERROR(INDEX(醫師週班表!$C$5:$T$44,$CU44,G$57),""),1+G$58*2,1),IF(LEN(IFERROR(INDEX(醫師週班表!$C$5:$T$44,$CU44,G$57),""))=2,IF(AND(RIGHT(IFERROR(INDEX(醫師週班表!$C$5:$T$44,$CU44,G$57),""),1)="~",G$58=1),"",LEFT(IFERROR(INDEX(醫師週班表!$C$5:$T$44,$CU44,G$57),""),1)),IFERROR(INDEX(醫師週班表!$C$5:$T$44,$CU44,G$57),""))))))</f>
        <v/>
      </c>
      <c r="H44" s="67">
        <f>IF(H$59="X","",IF(H$59&lt;&gt;"",H$59,IF(IFERROR(INDEX(醫師週班表!$C$5:$T$44,$CU44,H$57),"")=0,"",IF(LEN(IFERROR(INDEX(醫師週班表!$C$5:$T$44,$CU44,H$57),""))=4,MID(IFERROR(INDEX(醫師週班表!$C$5:$T$44,$CU44,H$57),""),1+H$58*2,1),IF(LEN(IFERROR(INDEX(醫師週班表!$C$5:$T$44,$CU44,H$57),""))=2,IF(AND(RIGHT(IFERROR(INDEX(醫師週班表!$C$5:$T$44,$CU44,H$57),""),1)="~",H$58=1),"",LEFT(IFERROR(INDEX(醫師週班表!$C$5:$T$44,$CU44,H$57),""),1)),IFERROR(INDEX(醫師週班表!$C$5:$T$44,$CU44,H$57),""))))))</f>
        <v/>
      </c>
      <c r="I44" s="68">
        <f>IF(I$59="X","",IF(I$59&lt;&gt;"",I$59,IF(IFERROR(INDEX(醫師週班表!$C$5:$T$44,$CU44,I$57),"")=0,"",IF(LEN(IFERROR(INDEX(醫師週班表!$C$5:$T$44,$CU44,I$57),""))=4,MID(IFERROR(INDEX(醫師週班表!$C$5:$T$44,$CU44,I$57),""),1+I$58*2,1),IF(LEN(IFERROR(INDEX(醫師週班表!$C$5:$T$44,$CU44,I$57),""))=2,IF(AND(RIGHT(IFERROR(INDEX(醫師週班表!$C$5:$T$44,$CU44,I$57),""),1)="~",I$58=1),"",LEFT(IFERROR(INDEX(醫師週班表!$C$5:$T$44,$CU44,I$57),""),1)),IFERROR(INDEX(醫師週班表!$C$5:$T$44,$CU44,I$57),""))))))</f>
        <v/>
      </c>
      <c r="J44" s="68">
        <f>IF(J$59="X","",IF(J$59&lt;&gt;"",J$59,IF(IFERROR(INDEX(醫師週班表!$C$5:$T$44,$CU44,J$57),"")=0,"",IF(LEN(IFERROR(INDEX(醫師週班表!$C$5:$T$44,$CU44,J$57),""))=4,MID(IFERROR(INDEX(醫師週班表!$C$5:$T$44,$CU44,J$57),""),1+J$58*2,1),IF(LEN(IFERROR(INDEX(醫師週班表!$C$5:$T$44,$CU44,J$57),""))=2,IF(AND(RIGHT(IFERROR(INDEX(醫師週班表!$C$5:$T$44,$CU44,J$57),""),1)="~",J$58=1),"",LEFT(IFERROR(INDEX(醫師週班表!$C$5:$T$44,$CU44,J$57),""),1)),IFERROR(INDEX(醫師週班表!$C$5:$T$44,$CU44,J$57),""))))))</f>
        <v/>
      </c>
      <c r="K44" s="67">
        <f>IF(K$59="X","",IF(K$59&lt;&gt;"",K$59,IF(IFERROR(INDEX(醫師週班表!$C$5:$T$44,$CU44,K$57),"")=0,"",IF(LEN(IFERROR(INDEX(醫師週班表!$C$5:$T$44,$CU44,K$57),""))=4,MID(IFERROR(INDEX(醫師週班表!$C$5:$T$44,$CU44,K$57),""),1+K$58*2,1),IF(LEN(IFERROR(INDEX(醫師週班表!$C$5:$T$44,$CU44,K$57),""))=2,IF(AND(RIGHT(IFERROR(INDEX(醫師週班表!$C$5:$T$44,$CU44,K$57),""),1)="~",K$58=1),"",LEFT(IFERROR(INDEX(醫師週班表!$C$5:$T$44,$CU44,K$57),""),1)),IFERROR(INDEX(醫師週班表!$C$5:$T$44,$CU44,K$57),""))))))</f>
        <v/>
      </c>
      <c r="L44" s="68">
        <f>IF(L$59="X","",IF(L$59&lt;&gt;"",L$59,IF(IFERROR(INDEX(醫師週班表!$C$5:$T$44,$CU44,L$57),"")=0,"",IF(LEN(IFERROR(INDEX(醫師週班表!$C$5:$T$44,$CU44,L$57),""))=4,MID(IFERROR(INDEX(醫師週班表!$C$5:$T$44,$CU44,L$57),""),1+L$58*2,1),IF(LEN(IFERROR(INDEX(醫師週班表!$C$5:$T$44,$CU44,L$57),""))=2,IF(AND(RIGHT(IFERROR(INDEX(醫師週班表!$C$5:$T$44,$CU44,L$57),""),1)="~",L$58=1),"",LEFT(IFERROR(INDEX(醫師週班表!$C$5:$T$44,$CU44,L$57),""),1)),IFERROR(INDEX(醫師週班表!$C$5:$T$44,$CU44,L$57),""))))))</f>
        <v/>
      </c>
      <c r="M44" s="68">
        <f>IF(M$59="X","",IF(M$59&lt;&gt;"",M$59,IF(IFERROR(INDEX(醫師週班表!$C$5:$T$44,$CU44,M$57),"")=0,"",IF(LEN(IFERROR(INDEX(醫師週班表!$C$5:$T$44,$CU44,M$57),""))=4,MID(IFERROR(INDEX(醫師週班表!$C$5:$T$44,$CU44,M$57),""),1+M$58*2,1),IF(LEN(IFERROR(INDEX(醫師週班表!$C$5:$T$44,$CU44,M$57),""))=2,IF(AND(RIGHT(IFERROR(INDEX(醫師週班表!$C$5:$T$44,$CU44,M$57),""),1)="~",M$58=1),"",LEFT(IFERROR(INDEX(醫師週班表!$C$5:$T$44,$CU44,M$57),""),1)),IFERROR(INDEX(醫師週班表!$C$5:$T$44,$CU44,M$57),""))))))</f>
        <v/>
      </c>
      <c r="N44" s="67">
        <f>IF(N$59="X","",IF(N$59&lt;&gt;"",N$59,IF(IFERROR(INDEX(醫師週班表!$C$5:$T$44,$CU44,N$57),"")=0,"",IF(LEN(IFERROR(INDEX(醫師週班表!$C$5:$T$44,$CU44,N$57),""))=4,MID(IFERROR(INDEX(醫師週班表!$C$5:$T$44,$CU44,N$57),""),1+N$58*2,1),IF(LEN(IFERROR(INDEX(醫師週班表!$C$5:$T$44,$CU44,N$57),""))=2,IF(AND(RIGHT(IFERROR(INDEX(醫師週班表!$C$5:$T$44,$CU44,N$57),""),1)="~",N$58=1),"",LEFT(IFERROR(INDEX(醫師週班表!$C$5:$T$44,$CU44,N$57),""),1)),IFERROR(INDEX(醫師週班表!$C$5:$T$44,$CU44,N$57),""))))))</f>
        <v/>
      </c>
      <c r="O44" s="68">
        <f>IF(O$59="X","",IF(O$59&lt;&gt;"",O$59,IF(IFERROR(INDEX(醫師週班表!$C$5:$T$44,$CU44,O$57),"")=0,"",IF(LEN(IFERROR(INDEX(醫師週班表!$C$5:$T$44,$CU44,O$57),""))=4,MID(IFERROR(INDEX(醫師週班表!$C$5:$T$44,$CU44,O$57),""),1+O$58*2,1),IF(LEN(IFERROR(INDEX(醫師週班表!$C$5:$T$44,$CU44,O$57),""))=2,IF(AND(RIGHT(IFERROR(INDEX(醫師週班表!$C$5:$T$44,$CU44,O$57),""),1)="~",O$58=1),"",LEFT(IFERROR(INDEX(醫師週班表!$C$5:$T$44,$CU44,O$57),""),1)),IFERROR(INDEX(醫師週班表!$C$5:$T$44,$CU44,O$57),""))))))</f>
        <v/>
      </c>
      <c r="P44" s="68">
        <f>IF(P$59="X","",IF(P$59&lt;&gt;"",P$59,IF(IFERROR(INDEX(醫師週班表!$C$5:$T$44,$CU44,P$57),"")=0,"",IF(LEN(IFERROR(INDEX(醫師週班表!$C$5:$T$44,$CU44,P$57),""))=4,MID(IFERROR(INDEX(醫師週班表!$C$5:$T$44,$CU44,P$57),""),1+P$58*2,1),IF(LEN(IFERROR(INDEX(醫師週班表!$C$5:$T$44,$CU44,P$57),""))=2,IF(AND(RIGHT(IFERROR(INDEX(醫師週班表!$C$5:$T$44,$CU44,P$57),""),1)="~",P$58=1),"",LEFT(IFERROR(INDEX(醫師週班表!$C$5:$T$44,$CU44,P$57),""),1)),IFERROR(INDEX(醫師週班表!$C$5:$T$44,$CU44,P$57),""))))))</f>
        <v/>
      </c>
      <c r="Q44" s="67">
        <f>IF(Q$59="X","",IF(Q$59&lt;&gt;"",Q$59,IF(IFERROR(INDEX(醫師週班表!$C$5:$T$44,$CU44,Q$57),"")=0,"",IF(LEN(IFERROR(INDEX(醫師週班表!$C$5:$T$44,$CU44,Q$57),""))=4,MID(IFERROR(INDEX(醫師週班表!$C$5:$T$44,$CU44,Q$57),""),1+Q$58*2,1),IF(LEN(IFERROR(INDEX(醫師週班表!$C$5:$T$44,$CU44,Q$57),""))=2,IF(AND(RIGHT(IFERROR(INDEX(醫師週班表!$C$5:$T$44,$CU44,Q$57),""),1)="~",Q$58=1),"",LEFT(IFERROR(INDEX(醫師週班表!$C$5:$T$44,$CU44,Q$57),""),1)),IFERROR(INDEX(醫師週班表!$C$5:$T$44,$CU44,Q$57),""))))))</f>
        <v/>
      </c>
      <c r="R44" s="68">
        <f>IF(R$59="X","",IF(R$59&lt;&gt;"",R$59,IF(IFERROR(INDEX(醫師週班表!$C$5:$T$44,$CU44,R$57),"")=0,"",IF(LEN(IFERROR(INDEX(醫師週班表!$C$5:$T$44,$CU44,R$57),""))=4,MID(IFERROR(INDEX(醫師週班表!$C$5:$T$44,$CU44,R$57),""),1+R$58*2,1),IF(LEN(IFERROR(INDEX(醫師週班表!$C$5:$T$44,$CU44,R$57),""))=2,IF(AND(RIGHT(IFERROR(INDEX(醫師週班表!$C$5:$T$44,$CU44,R$57),""),1)="~",R$58=1),"",LEFT(IFERROR(INDEX(醫師週班表!$C$5:$T$44,$CU44,R$57),""),1)),IFERROR(INDEX(醫師週班表!$C$5:$T$44,$CU44,R$57),""))))))</f>
        <v/>
      </c>
      <c r="S44" s="68">
        <f>IF(S$59="X","",IF(S$59&lt;&gt;"",S$59,IF(IFERROR(INDEX(醫師週班表!$C$5:$T$44,$CU44,S$57),"")=0,"",IF(LEN(IFERROR(INDEX(醫師週班表!$C$5:$T$44,$CU44,S$57),""))=4,MID(IFERROR(INDEX(醫師週班表!$C$5:$T$44,$CU44,S$57),""),1+S$58*2,1),IF(LEN(IFERROR(INDEX(醫師週班表!$C$5:$T$44,$CU44,S$57),""))=2,IF(AND(RIGHT(IFERROR(INDEX(醫師週班表!$C$5:$T$44,$CU44,S$57),""),1)="~",S$58=1),"",LEFT(IFERROR(INDEX(醫師週班表!$C$5:$T$44,$CU44,S$57),""),1)),IFERROR(INDEX(醫師週班表!$C$5:$T$44,$CU44,S$57),""))))))</f>
        <v/>
      </c>
      <c r="T44" s="67">
        <f>IF(T$59="X","",IF(T$59&lt;&gt;"",T$59,IF(IFERROR(INDEX(醫師週班表!$C$5:$T$44,$CU44,T$57),"")=0,"",IF(LEN(IFERROR(INDEX(醫師週班表!$C$5:$T$44,$CU44,T$57),""))=4,MID(IFERROR(INDEX(醫師週班表!$C$5:$T$44,$CU44,T$57),""),1+T$58*2,1),IF(LEN(IFERROR(INDEX(醫師週班表!$C$5:$T$44,$CU44,T$57),""))=2,IF(AND(RIGHT(IFERROR(INDEX(醫師週班表!$C$5:$T$44,$CU44,T$57),""),1)="~",T$58=1),"",LEFT(IFERROR(INDEX(醫師週班表!$C$5:$T$44,$CU44,T$57),""),1)),IFERROR(INDEX(醫師週班表!$C$5:$T$44,$CU44,T$57),""))))))</f>
        <v/>
      </c>
      <c r="U44" s="68">
        <f>IF(U$59="X","",IF(U$59&lt;&gt;"",U$59,IF(IFERROR(INDEX(醫師週班表!$C$5:$T$44,$CU44,U$57),"")=0,"",IF(LEN(IFERROR(INDEX(醫師週班表!$C$5:$T$44,$CU44,U$57),""))=4,MID(IFERROR(INDEX(醫師週班表!$C$5:$T$44,$CU44,U$57),""),1+U$58*2,1),IF(LEN(IFERROR(INDEX(醫師週班表!$C$5:$T$44,$CU44,U$57),""))=2,IF(AND(RIGHT(IFERROR(INDEX(醫師週班表!$C$5:$T$44,$CU44,U$57),""),1)="~",U$58=1),"",LEFT(IFERROR(INDEX(醫師週班表!$C$5:$T$44,$CU44,U$57),""),1)),IFERROR(INDEX(醫師週班表!$C$5:$T$44,$CU44,U$57),""))))))</f>
        <v/>
      </c>
      <c r="V44" s="68">
        <f>IF(V$59="X","",IF(V$59&lt;&gt;"",V$59,IF(IFERROR(INDEX(醫師週班表!$C$5:$T$44,$CU44,V$57),"")=0,"",IF(LEN(IFERROR(INDEX(醫師週班表!$C$5:$T$44,$CU44,V$57),""))=4,MID(IFERROR(INDEX(醫師週班表!$C$5:$T$44,$CU44,V$57),""),1+V$58*2,1),IF(LEN(IFERROR(INDEX(醫師週班表!$C$5:$T$44,$CU44,V$57),""))=2,IF(AND(RIGHT(IFERROR(INDEX(醫師週班表!$C$5:$T$44,$CU44,V$57),""),1)="~",V$58=1),"",LEFT(IFERROR(INDEX(醫師週班表!$C$5:$T$44,$CU44,V$57),""),1)),IFERROR(INDEX(醫師週班表!$C$5:$T$44,$CU44,V$57),""))))))</f>
        <v/>
      </c>
      <c r="W44" s="67">
        <f>IF(W$59="X","",IF(W$59&lt;&gt;"",W$59,IF(IFERROR(INDEX(醫師週班表!$C$5:$T$44,$CU44,W$57),"")=0,"",IF(LEN(IFERROR(INDEX(醫師週班表!$C$5:$T$44,$CU44,W$57),""))=4,MID(IFERROR(INDEX(醫師週班表!$C$5:$T$44,$CU44,W$57),""),1+W$58*2,1),IF(LEN(IFERROR(INDEX(醫師週班表!$C$5:$T$44,$CU44,W$57),""))=2,IF(AND(RIGHT(IFERROR(INDEX(醫師週班表!$C$5:$T$44,$CU44,W$57),""),1)="~",W$58=1),"",LEFT(IFERROR(INDEX(醫師週班表!$C$5:$T$44,$CU44,W$57),""),1)),IFERROR(INDEX(醫師週班表!$C$5:$T$44,$CU44,W$57),""))))))</f>
        <v/>
      </c>
      <c r="X44" s="68">
        <f>IF(X$59="X","",IF(X$59&lt;&gt;"",X$59,IF(IFERROR(INDEX(醫師週班表!$C$5:$T$44,$CU44,X$57),"")=0,"",IF(LEN(IFERROR(INDEX(醫師週班表!$C$5:$T$44,$CU44,X$57),""))=4,MID(IFERROR(INDEX(醫師週班表!$C$5:$T$44,$CU44,X$57),""),1+X$58*2,1),IF(LEN(IFERROR(INDEX(醫師週班表!$C$5:$T$44,$CU44,X$57),""))=2,IF(AND(RIGHT(IFERROR(INDEX(醫師週班表!$C$5:$T$44,$CU44,X$57),""),1)="~",X$58=1),"",LEFT(IFERROR(INDEX(醫師週班表!$C$5:$T$44,$CU44,X$57),""),1)),IFERROR(INDEX(醫師週班表!$C$5:$T$44,$CU44,X$57),""))))))</f>
        <v/>
      </c>
      <c r="Y44" s="68">
        <f>IF(Y$59="X","",IF(Y$59&lt;&gt;"",Y$59,IF(IFERROR(INDEX(醫師週班表!$C$5:$T$44,$CU44,Y$57),"")=0,"",IF(LEN(IFERROR(INDEX(醫師週班表!$C$5:$T$44,$CU44,Y$57),""))=4,MID(IFERROR(INDEX(醫師週班表!$C$5:$T$44,$CU44,Y$57),""),1+Y$58*2,1),IF(LEN(IFERROR(INDEX(醫師週班表!$C$5:$T$44,$CU44,Y$57),""))=2,IF(AND(RIGHT(IFERROR(INDEX(醫師週班表!$C$5:$T$44,$CU44,Y$57),""),1)="~",Y$58=1),"",LEFT(IFERROR(INDEX(醫師週班表!$C$5:$T$44,$CU44,Y$57),""),1)),IFERROR(INDEX(醫師週班表!$C$5:$T$44,$CU44,Y$57),""))))))</f>
        <v/>
      </c>
      <c r="Z44" s="67">
        <f>IF(Z$59="X","",IF(Z$59&lt;&gt;"",Z$59,IF(IFERROR(INDEX(醫師週班表!$C$5:$T$44,$CU44,Z$57),"")=0,"",IF(LEN(IFERROR(INDEX(醫師週班表!$C$5:$T$44,$CU44,Z$57),""))=4,MID(IFERROR(INDEX(醫師週班表!$C$5:$T$44,$CU44,Z$57),""),1+Z$58*2,1),IF(LEN(IFERROR(INDEX(醫師週班表!$C$5:$T$44,$CU44,Z$57),""))=2,IF(AND(RIGHT(IFERROR(INDEX(醫師週班表!$C$5:$T$44,$CU44,Z$57),""),1)="~",Z$58=1),"",LEFT(IFERROR(INDEX(醫師週班表!$C$5:$T$44,$CU44,Z$57),""),1)),IFERROR(INDEX(醫師週班表!$C$5:$T$44,$CU44,Z$57),""))))))</f>
        <v/>
      </c>
      <c r="AA44" s="68">
        <f>IF(AA$59="X","",IF(AA$59&lt;&gt;"",AA$59,IF(IFERROR(INDEX(醫師週班表!$C$5:$T$44,$CU44,AA$57),"")=0,"",IF(LEN(IFERROR(INDEX(醫師週班表!$C$5:$T$44,$CU44,AA$57),""))=4,MID(IFERROR(INDEX(醫師週班表!$C$5:$T$44,$CU44,AA$57),""),1+AA$58*2,1),IF(LEN(IFERROR(INDEX(醫師週班表!$C$5:$T$44,$CU44,AA$57),""))=2,IF(AND(RIGHT(IFERROR(INDEX(醫師週班表!$C$5:$T$44,$CU44,AA$57),""),1)="~",AA$58=1),"",LEFT(IFERROR(INDEX(醫師週班表!$C$5:$T$44,$CU44,AA$57),""),1)),IFERROR(INDEX(醫師週班表!$C$5:$T$44,$CU44,AA$57),""))))))</f>
        <v/>
      </c>
      <c r="AB44" s="68">
        <f>IF(AB$59="X","",IF(AB$59&lt;&gt;"",AB$59,IF(IFERROR(INDEX(醫師週班表!$C$5:$T$44,$CU44,AB$57),"")=0,"",IF(LEN(IFERROR(INDEX(醫師週班表!$C$5:$T$44,$CU44,AB$57),""))=4,MID(IFERROR(INDEX(醫師週班表!$C$5:$T$44,$CU44,AB$57),""),1+AB$58*2,1),IF(LEN(IFERROR(INDEX(醫師週班表!$C$5:$T$44,$CU44,AB$57),""))=2,IF(AND(RIGHT(IFERROR(INDEX(醫師週班表!$C$5:$T$44,$CU44,AB$57),""),1)="~",AB$58=1),"",LEFT(IFERROR(INDEX(醫師週班表!$C$5:$T$44,$CU44,AB$57),""),1)),IFERROR(INDEX(醫師週班表!$C$5:$T$44,$CU44,AB$57),""))))))</f>
        <v/>
      </c>
      <c r="AC44" s="67">
        <f>IF(AC$59="X","",IF(AC$59&lt;&gt;"",AC$59,IF(IFERROR(INDEX(醫師週班表!$C$5:$T$44,$CU44,AC$57),"")=0,"",IF(LEN(IFERROR(INDEX(醫師週班表!$C$5:$T$44,$CU44,AC$57),""))=4,MID(IFERROR(INDEX(醫師週班表!$C$5:$T$44,$CU44,AC$57),""),1+AC$58*2,1),IF(LEN(IFERROR(INDEX(醫師週班表!$C$5:$T$44,$CU44,AC$57),""))=2,IF(AND(RIGHT(IFERROR(INDEX(醫師週班表!$C$5:$T$44,$CU44,AC$57),""),1)="~",AC$58=1),"",LEFT(IFERROR(INDEX(醫師週班表!$C$5:$T$44,$CU44,AC$57),""),1)),IFERROR(INDEX(醫師週班表!$C$5:$T$44,$CU44,AC$57),""))))))</f>
        <v/>
      </c>
      <c r="AD44" s="68">
        <f>IF(AD$59="X","",IF(AD$59&lt;&gt;"",AD$59,IF(IFERROR(INDEX(醫師週班表!$C$5:$T$44,$CU44,AD$57),"")=0,"",IF(LEN(IFERROR(INDEX(醫師週班表!$C$5:$T$44,$CU44,AD$57),""))=4,MID(IFERROR(INDEX(醫師週班表!$C$5:$T$44,$CU44,AD$57),""),1+AD$58*2,1),IF(LEN(IFERROR(INDEX(醫師週班表!$C$5:$T$44,$CU44,AD$57),""))=2,IF(AND(RIGHT(IFERROR(INDEX(醫師週班表!$C$5:$T$44,$CU44,AD$57),""),1)="~",AD$58=1),"",LEFT(IFERROR(INDEX(醫師週班表!$C$5:$T$44,$CU44,AD$57),""),1)),IFERROR(INDEX(醫師週班表!$C$5:$T$44,$CU44,AD$57),""))))))</f>
        <v/>
      </c>
      <c r="AE44" s="68">
        <f>IF(AE$59="X","",IF(AE$59&lt;&gt;"",AE$59,IF(IFERROR(INDEX(醫師週班表!$C$5:$T$44,$CU44,AE$57),"")=0,"",IF(LEN(IFERROR(INDEX(醫師週班表!$C$5:$T$44,$CU44,AE$57),""))=4,MID(IFERROR(INDEX(醫師週班表!$C$5:$T$44,$CU44,AE$57),""),1+AE$58*2,1),IF(LEN(IFERROR(INDEX(醫師週班表!$C$5:$T$44,$CU44,AE$57),""))=2,IF(AND(RIGHT(IFERROR(INDEX(醫師週班表!$C$5:$T$44,$CU44,AE$57),""),1)="~",AE$58=1),"",LEFT(IFERROR(INDEX(醫師週班表!$C$5:$T$44,$CU44,AE$57),""),1)),IFERROR(INDEX(醫師週班表!$C$5:$T$44,$CU44,AE$57),""))))))</f>
        <v/>
      </c>
      <c r="AF44" s="67">
        <f>IF(AF$59="X","",IF(AF$59&lt;&gt;"",AF$59,IF(IFERROR(INDEX(醫師週班表!$C$5:$T$44,$CU44,AF$57),"")=0,"",IF(LEN(IFERROR(INDEX(醫師週班表!$C$5:$T$44,$CU44,AF$57),""))=4,MID(IFERROR(INDEX(醫師週班表!$C$5:$T$44,$CU44,AF$57),""),1+AF$58*2,1),IF(LEN(IFERROR(INDEX(醫師週班表!$C$5:$T$44,$CU44,AF$57),""))=2,IF(AND(RIGHT(IFERROR(INDEX(醫師週班表!$C$5:$T$44,$CU44,AF$57),""),1)="~",AF$58=1),"",LEFT(IFERROR(INDEX(醫師週班表!$C$5:$T$44,$CU44,AF$57),""),1)),IFERROR(INDEX(醫師週班表!$C$5:$T$44,$CU44,AF$57),""))))))</f>
        <v/>
      </c>
      <c r="AG44" s="68">
        <f>IF(AG$59="X","",IF(AG$59&lt;&gt;"",AG$59,IF(IFERROR(INDEX(醫師週班表!$C$5:$T$44,$CU44,AG$57),"")=0,"",IF(LEN(IFERROR(INDEX(醫師週班表!$C$5:$T$44,$CU44,AG$57),""))=4,MID(IFERROR(INDEX(醫師週班表!$C$5:$T$44,$CU44,AG$57),""),1+AG$58*2,1),IF(LEN(IFERROR(INDEX(醫師週班表!$C$5:$T$44,$CU44,AG$57),""))=2,IF(AND(RIGHT(IFERROR(INDEX(醫師週班表!$C$5:$T$44,$CU44,AG$57),""),1)="~",AG$58=1),"",LEFT(IFERROR(INDEX(醫師週班表!$C$5:$T$44,$CU44,AG$57),""),1)),IFERROR(INDEX(醫師週班表!$C$5:$T$44,$CU44,AG$57),""))))))</f>
        <v/>
      </c>
      <c r="AH44" s="68">
        <f>IF(AH$59="X","",IF(AH$59&lt;&gt;"",AH$59,IF(IFERROR(INDEX(醫師週班表!$C$5:$T$44,$CU44,AH$57),"")=0,"",IF(LEN(IFERROR(INDEX(醫師週班表!$C$5:$T$44,$CU44,AH$57),""))=4,MID(IFERROR(INDEX(醫師週班表!$C$5:$T$44,$CU44,AH$57),""),1+AH$58*2,1),IF(LEN(IFERROR(INDEX(醫師週班表!$C$5:$T$44,$CU44,AH$57),""))=2,IF(AND(RIGHT(IFERROR(INDEX(醫師週班表!$C$5:$T$44,$CU44,AH$57),""),1)="~",AH$58=1),"",LEFT(IFERROR(INDEX(醫師週班表!$C$5:$T$44,$CU44,AH$57),""),1)),IFERROR(INDEX(醫師週班表!$C$5:$T$44,$CU44,AH$57),""))))))</f>
        <v/>
      </c>
      <c r="AI44" s="67">
        <f>IF(AI$59="X","",IF(AI$59&lt;&gt;"",AI$59,IF(IFERROR(INDEX(醫師週班表!$C$5:$T$44,$CU44,AI$57),"")=0,"",IF(LEN(IFERROR(INDEX(醫師週班表!$C$5:$T$44,$CU44,AI$57),""))=4,MID(IFERROR(INDEX(醫師週班表!$C$5:$T$44,$CU44,AI$57),""),1+AI$58*2,1),IF(LEN(IFERROR(INDEX(醫師週班表!$C$5:$T$44,$CU44,AI$57),""))=2,IF(AND(RIGHT(IFERROR(INDEX(醫師週班表!$C$5:$T$44,$CU44,AI$57),""),1)="~",AI$58=1),"",LEFT(IFERROR(INDEX(醫師週班表!$C$5:$T$44,$CU44,AI$57),""),1)),IFERROR(INDEX(醫師週班表!$C$5:$T$44,$CU44,AI$57),""))))))</f>
        <v/>
      </c>
      <c r="AJ44" s="68">
        <f>IF(AJ$59="X","",IF(AJ$59&lt;&gt;"",AJ$59,IF(IFERROR(INDEX(醫師週班表!$C$5:$T$44,$CU44,AJ$57),"")=0,"",IF(LEN(IFERROR(INDEX(醫師週班表!$C$5:$T$44,$CU44,AJ$57),""))=4,MID(IFERROR(INDEX(醫師週班表!$C$5:$T$44,$CU44,AJ$57),""),1+AJ$58*2,1),IF(LEN(IFERROR(INDEX(醫師週班表!$C$5:$T$44,$CU44,AJ$57),""))=2,IF(AND(RIGHT(IFERROR(INDEX(醫師週班表!$C$5:$T$44,$CU44,AJ$57),""),1)="~",AJ$58=1),"",LEFT(IFERROR(INDEX(醫師週班表!$C$5:$T$44,$CU44,AJ$57),""),1)),IFERROR(INDEX(醫師週班表!$C$5:$T$44,$CU44,AJ$57),""))))))</f>
        <v/>
      </c>
      <c r="AK44" s="68">
        <f>IF(AK$59="X","",IF(AK$59&lt;&gt;"",AK$59,IF(IFERROR(INDEX(醫師週班表!$C$5:$T$44,$CU44,AK$57),"")=0,"",IF(LEN(IFERROR(INDEX(醫師週班表!$C$5:$T$44,$CU44,AK$57),""))=4,MID(IFERROR(INDEX(醫師週班表!$C$5:$T$44,$CU44,AK$57),""),1+AK$58*2,1),IF(LEN(IFERROR(INDEX(醫師週班表!$C$5:$T$44,$CU44,AK$57),""))=2,IF(AND(RIGHT(IFERROR(INDEX(醫師週班表!$C$5:$T$44,$CU44,AK$57),""),1)="~",AK$58=1),"",LEFT(IFERROR(INDEX(醫師週班表!$C$5:$T$44,$CU44,AK$57),""),1)),IFERROR(INDEX(醫師週班表!$C$5:$T$44,$CU44,AK$57),""))))))</f>
        <v/>
      </c>
      <c r="AL44" s="67">
        <f>IF(AL$59="X","",IF(AL$59&lt;&gt;"",AL$59,IF(IFERROR(INDEX(醫師週班表!$C$5:$T$44,$CU44,AL$57),"")=0,"",IF(LEN(IFERROR(INDEX(醫師週班表!$C$5:$T$44,$CU44,AL$57),""))=4,MID(IFERROR(INDEX(醫師週班表!$C$5:$T$44,$CU44,AL$57),""),1+AL$58*2,1),IF(LEN(IFERROR(INDEX(醫師週班表!$C$5:$T$44,$CU44,AL$57),""))=2,IF(AND(RIGHT(IFERROR(INDEX(醫師週班表!$C$5:$T$44,$CU44,AL$57),""),1)="~",AL$58=1),"",LEFT(IFERROR(INDEX(醫師週班表!$C$5:$T$44,$CU44,AL$57),""),1)),IFERROR(INDEX(醫師週班表!$C$5:$T$44,$CU44,AL$57),""))))))</f>
        <v/>
      </c>
      <c r="AM44" s="68">
        <f>IF(AM$59="X","",IF(AM$59&lt;&gt;"",AM$59,IF(IFERROR(INDEX(醫師週班表!$C$5:$T$44,$CU44,AM$57),"")=0,"",IF(LEN(IFERROR(INDEX(醫師週班表!$C$5:$T$44,$CU44,AM$57),""))=4,MID(IFERROR(INDEX(醫師週班表!$C$5:$T$44,$CU44,AM$57),""),1+AM$58*2,1),IF(LEN(IFERROR(INDEX(醫師週班表!$C$5:$T$44,$CU44,AM$57),""))=2,IF(AND(RIGHT(IFERROR(INDEX(醫師週班表!$C$5:$T$44,$CU44,AM$57),""),1)="~",AM$58=1),"",LEFT(IFERROR(INDEX(醫師週班表!$C$5:$T$44,$CU44,AM$57),""),1)),IFERROR(INDEX(醫師週班表!$C$5:$T$44,$CU44,AM$57),""))))))</f>
        <v/>
      </c>
      <c r="AN44" s="68">
        <f>IF(AN$59="X","",IF(AN$59&lt;&gt;"",AN$59,IF(IFERROR(INDEX(醫師週班表!$C$5:$T$44,$CU44,AN$57),"")=0,"",IF(LEN(IFERROR(INDEX(醫師週班表!$C$5:$T$44,$CU44,AN$57),""))=4,MID(IFERROR(INDEX(醫師週班表!$C$5:$T$44,$CU44,AN$57),""),1+AN$58*2,1),IF(LEN(IFERROR(INDEX(醫師週班表!$C$5:$T$44,$CU44,AN$57),""))=2,IF(AND(RIGHT(IFERROR(INDEX(醫師週班表!$C$5:$T$44,$CU44,AN$57),""),1)="~",AN$58=1),"",LEFT(IFERROR(INDEX(醫師週班表!$C$5:$T$44,$CU44,AN$57),""),1)),IFERROR(INDEX(醫師週班表!$C$5:$T$44,$CU44,AN$57),""))))))</f>
        <v/>
      </c>
      <c r="AO44" s="67">
        <f>IF(AO$59="X","",IF(AO$59&lt;&gt;"",AO$59,IF(IFERROR(INDEX(醫師週班表!$C$5:$T$44,$CU44,AO$57),"")=0,"",IF(LEN(IFERROR(INDEX(醫師週班表!$C$5:$T$44,$CU44,AO$57),""))=4,MID(IFERROR(INDEX(醫師週班表!$C$5:$T$44,$CU44,AO$57),""),1+AO$58*2,1),IF(LEN(IFERROR(INDEX(醫師週班表!$C$5:$T$44,$CU44,AO$57),""))=2,IF(AND(RIGHT(IFERROR(INDEX(醫師週班表!$C$5:$T$44,$CU44,AO$57),""),1)="~",AO$58=1),"",LEFT(IFERROR(INDEX(醫師週班表!$C$5:$T$44,$CU44,AO$57),""),1)),IFERROR(INDEX(醫師週班表!$C$5:$T$44,$CU44,AO$57),""))))))</f>
        <v/>
      </c>
      <c r="AP44" s="68">
        <f>IF(AP$59="X","",IF(AP$59&lt;&gt;"",AP$59,IF(IFERROR(INDEX(醫師週班表!$C$5:$T$44,$CU44,AP$57),"")=0,"",IF(LEN(IFERROR(INDEX(醫師週班表!$C$5:$T$44,$CU44,AP$57),""))=4,MID(IFERROR(INDEX(醫師週班表!$C$5:$T$44,$CU44,AP$57),""),1+AP$58*2,1),IF(LEN(IFERROR(INDEX(醫師週班表!$C$5:$T$44,$CU44,AP$57),""))=2,IF(AND(RIGHT(IFERROR(INDEX(醫師週班表!$C$5:$T$44,$CU44,AP$57),""),1)="~",AP$58=1),"",LEFT(IFERROR(INDEX(醫師週班表!$C$5:$T$44,$CU44,AP$57),""),1)),IFERROR(INDEX(醫師週班表!$C$5:$T$44,$CU44,AP$57),""))))))</f>
        <v/>
      </c>
      <c r="AQ44" s="68">
        <f>IF(AQ$59="X","",IF(AQ$59&lt;&gt;"",AQ$59,IF(IFERROR(INDEX(醫師週班表!$C$5:$T$44,$CU44,AQ$57),"")=0,"",IF(LEN(IFERROR(INDEX(醫師週班表!$C$5:$T$44,$CU44,AQ$57),""))=4,MID(IFERROR(INDEX(醫師週班表!$C$5:$T$44,$CU44,AQ$57),""),1+AQ$58*2,1),IF(LEN(IFERROR(INDEX(醫師週班表!$C$5:$T$44,$CU44,AQ$57),""))=2,IF(AND(RIGHT(IFERROR(INDEX(醫師週班表!$C$5:$T$44,$CU44,AQ$57),""),1)="~",AQ$58=1),"",LEFT(IFERROR(INDEX(醫師週班表!$C$5:$T$44,$CU44,AQ$57),""),1)),IFERROR(INDEX(醫師週班表!$C$5:$T$44,$CU44,AQ$57),""))))))</f>
        <v/>
      </c>
      <c r="AR44" s="67">
        <f>IF(AR$59="X","",IF(AR$59&lt;&gt;"",AR$59,IF(IFERROR(INDEX(醫師週班表!$C$5:$T$44,$CU44,AR$57),"")=0,"",IF(LEN(IFERROR(INDEX(醫師週班表!$C$5:$T$44,$CU44,AR$57),""))=4,MID(IFERROR(INDEX(醫師週班表!$C$5:$T$44,$CU44,AR$57),""),1+AR$58*2,1),IF(LEN(IFERROR(INDEX(醫師週班表!$C$5:$T$44,$CU44,AR$57),""))=2,IF(AND(RIGHT(IFERROR(INDEX(醫師週班表!$C$5:$T$44,$CU44,AR$57),""),1)="~",AR$58=1),"",LEFT(IFERROR(INDEX(醫師週班表!$C$5:$T$44,$CU44,AR$57),""),1)),IFERROR(INDEX(醫師週班表!$C$5:$T$44,$CU44,AR$57),""))))))</f>
        <v/>
      </c>
      <c r="AS44" s="68">
        <f>IF(AS$59="X","",IF(AS$59&lt;&gt;"",AS$59,IF(IFERROR(INDEX(醫師週班表!$C$5:$T$44,$CU44,AS$57),"")=0,"",IF(LEN(IFERROR(INDEX(醫師週班表!$C$5:$T$44,$CU44,AS$57),""))=4,MID(IFERROR(INDEX(醫師週班表!$C$5:$T$44,$CU44,AS$57),""),1+AS$58*2,1),IF(LEN(IFERROR(INDEX(醫師週班表!$C$5:$T$44,$CU44,AS$57),""))=2,IF(AND(RIGHT(IFERROR(INDEX(醫師週班表!$C$5:$T$44,$CU44,AS$57),""),1)="~",AS$58=1),"",LEFT(IFERROR(INDEX(醫師週班表!$C$5:$T$44,$CU44,AS$57),""),1)),IFERROR(INDEX(醫師週班表!$C$5:$T$44,$CU44,AS$57),""))))))</f>
        <v/>
      </c>
      <c r="AT44" s="68">
        <f>IF(AT$59="X","",IF(AT$59&lt;&gt;"",AT$59,IF(IFERROR(INDEX(醫師週班表!$C$5:$T$44,$CU44,AT$57),"")=0,"",IF(LEN(IFERROR(INDEX(醫師週班表!$C$5:$T$44,$CU44,AT$57),""))=4,MID(IFERROR(INDEX(醫師週班表!$C$5:$T$44,$CU44,AT$57),""),1+AT$58*2,1),IF(LEN(IFERROR(INDEX(醫師週班表!$C$5:$T$44,$CU44,AT$57),""))=2,IF(AND(RIGHT(IFERROR(INDEX(醫師週班表!$C$5:$T$44,$CU44,AT$57),""),1)="~",AT$58=1),"",LEFT(IFERROR(INDEX(醫師週班表!$C$5:$T$44,$CU44,AT$57),""),1)),IFERROR(INDEX(醫師週班表!$C$5:$T$44,$CU44,AT$57),""))))))</f>
        <v/>
      </c>
      <c r="AU44" s="67">
        <f>IF(AU$59="X","",IF(AU$59&lt;&gt;"",AU$59,IF(IFERROR(INDEX(醫師週班表!$C$5:$T$44,$CU44,AU$57),"")=0,"",IF(LEN(IFERROR(INDEX(醫師週班表!$C$5:$T$44,$CU44,AU$57),""))=4,MID(IFERROR(INDEX(醫師週班表!$C$5:$T$44,$CU44,AU$57),""),1+AU$58*2,1),IF(LEN(IFERROR(INDEX(醫師週班表!$C$5:$T$44,$CU44,AU$57),""))=2,IF(AND(RIGHT(IFERROR(INDEX(醫師週班表!$C$5:$T$44,$CU44,AU$57),""),1)="~",AU$58=1),"",LEFT(IFERROR(INDEX(醫師週班表!$C$5:$T$44,$CU44,AU$57),""),1)),IFERROR(INDEX(醫師週班表!$C$5:$T$44,$CU44,AU$57),""))))))</f>
        <v/>
      </c>
      <c r="AV44" s="68">
        <f>IF(AV$59="X","",IF(AV$59&lt;&gt;"",AV$59,IF(IFERROR(INDEX(醫師週班表!$C$5:$T$44,$CU44,AV$57),"")=0,"",IF(LEN(IFERROR(INDEX(醫師週班表!$C$5:$T$44,$CU44,AV$57),""))=4,MID(IFERROR(INDEX(醫師週班表!$C$5:$T$44,$CU44,AV$57),""),1+AV$58*2,1),IF(LEN(IFERROR(INDEX(醫師週班表!$C$5:$T$44,$CU44,AV$57),""))=2,IF(AND(RIGHT(IFERROR(INDEX(醫師週班表!$C$5:$T$44,$CU44,AV$57),""),1)="~",AV$58=1),"",LEFT(IFERROR(INDEX(醫師週班表!$C$5:$T$44,$CU44,AV$57),""),1)),IFERROR(INDEX(醫師週班表!$C$5:$T$44,$CU44,AV$57),""))))))</f>
        <v/>
      </c>
      <c r="AW44" s="68">
        <f>IF(AW$59="X","",IF(AW$59&lt;&gt;"",AW$59,IF(IFERROR(INDEX(醫師週班表!$C$5:$T$44,$CU44,AW$57),"")=0,"",IF(LEN(IFERROR(INDEX(醫師週班表!$C$5:$T$44,$CU44,AW$57),""))=4,MID(IFERROR(INDEX(醫師週班表!$C$5:$T$44,$CU44,AW$57),""),1+AW$58*2,1),IF(LEN(IFERROR(INDEX(醫師週班表!$C$5:$T$44,$CU44,AW$57),""))=2,IF(AND(RIGHT(IFERROR(INDEX(醫師週班表!$C$5:$T$44,$CU44,AW$57),""),1)="~",AW$58=1),"",LEFT(IFERROR(INDEX(醫師週班表!$C$5:$T$44,$CU44,AW$57),""),1)),IFERROR(INDEX(醫師週班表!$C$5:$T$44,$CU44,AW$57),""))))))</f>
        <v/>
      </c>
      <c r="AX44" s="67">
        <f>IF(AX$59="X","",IF(AX$59&lt;&gt;"",AX$59,IF(IFERROR(INDEX(醫師週班表!$C$5:$T$44,$CU44,AX$57),"")=0,"",IF(LEN(IFERROR(INDEX(醫師週班表!$C$5:$T$44,$CU44,AX$57),""))=4,MID(IFERROR(INDEX(醫師週班表!$C$5:$T$44,$CU44,AX$57),""),1+AX$58*2,1),IF(LEN(IFERROR(INDEX(醫師週班表!$C$5:$T$44,$CU44,AX$57),""))=2,IF(AND(RIGHT(IFERROR(INDEX(醫師週班表!$C$5:$T$44,$CU44,AX$57),""),1)="~",AX$58=1),"",LEFT(IFERROR(INDEX(醫師週班表!$C$5:$T$44,$CU44,AX$57),""),1)),IFERROR(INDEX(醫師週班表!$C$5:$T$44,$CU44,AX$57),""))))))</f>
        <v/>
      </c>
      <c r="AY44" s="68">
        <f>IF(AY$59="X","",IF(AY$59&lt;&gt;"",AY$59,IF(IFERROR(INDEX(醫師週班表!$C$5:$T$44,$CU44,AY$57),"")=0,"",IF(LEN(IFERROR(INDEX(醫師週班表!$C$5:$T$44,$CU44,AY$57),""))=4,MID(IFERROR(INDEX(醫師週班表!$C$5:$T$44,$CU44,AY$57),""),1+AY$58*2,1),IF(LEN(IFERROR(INDEX(醫師週班表!$C$5:$T$44,$CU44,AY$57),""))=2,IF(AND(RIGHT(IFERROR(INDEX(醫師週班表!$C$5:$T$44,$CU44,AY$57),""),1)="~",AY$58=1),"",LEFT(IFERROR(INDEX(醫師週班表!$C$5:$T$44,$CU44,AY$57),""),1)),IFERROR(INDEX(醫師週班表!$C$5:$T$44,$CU44,AY$57),""))))))</f>
        <v/>
      </c>
      <c r="AZ44" s="68">
        <f>IF(AZ$59="X","",IF(AZ$59&lt;&gt;"",AZ$59,IF(IFERROR(INDEX(醫師週班表!$C$5:$T$44,$CU44,AZ$57),"")=0,"",IF(LEN(IFERROR(INDEX(醫師週班表!$C$5:$T$44,$CU44,AZ$57),""))=4,MID(IFERROR(INDEX(醫師週班表!$C$5:$T$44,$CU44,AZ$57),""),1+AZ$58*2,1),IF(LEN(IFERROR(INDEX(醫師週班表!$C$5:$T$44,$CU44,AZ$57),""))=2,IF(AND(RIGHT(IFERROR(INDEX(醫師週班表!$C$5:$T$44,$CU44,AZ$57),""),1)="~",AZ$58=1),"",LEFT(IFERROR(INDEX(醫師週班表!$C$5:$T$44,$CU44,AZ$57),""),1)),IFERROR(INDEX(醫師週班表!$C$5:$T$44,$CU44,AZ$57),""))))))</f>
        <v/>
      </c>
      <c r="BA44" s="67">
        <f>IF(BA$59="X","",IF(BA$59&lt;&gt;"",BA$59,IF(IFERROR(INDEX(醫師週班表!$C$5:$T$44,$CU44,BA$57),"")=0,"",IF(LEN(IFERROR(INDEX(醫師週班表!$C$5:$T$44,$CU44,BA$57),""))=4,MID(IFERROR(INDEX(醫師週班表!$C$5:$T$44,$CU44,BA$57),""),1+BA$58*2,1),IF(LEN(IFERROR(INDEX(醫師週班表!$C$5:$T$44,$CU44,BA$57),""))=2,IF(AND(RIGHT(IFERROR(INDEX(醫師週班表!$C$5:$T$44,$CU44,BA$57),""),1)="~",BA$58=1),"",LEFT(IFERROR(INDEX(醫師週班表!$C$5:$T$44,$CU44,BA$57),""),1)),IFERROR(INDEX(醫師週班表!$C$5:$T$44,$CU44,BA$57),""))))))</f>
        <v/>
      </c>
      <c r="BB44" s="68">
        <f>IF(BB$59="X","",IF(BB$59&lt;&gt;"",BB$59,IF(IFERROR(INDEX(醫師週班表!$C$5:$T$44,$CU44,BB$57),"")=0,"",IF(LEN(IFERROR(INDEX(醫師週班表!$C$5:$T$44,$CU44,BB$57),""))=4,MID(IFERROR(INDEX(醫師週班表!$C$5:$T$44,$CU44,BB$57),""),1+BB$58*2,1),IF(LEN(IFERROR(INDEX(醫師週班表!$C$5:$T$44,$CU44,BB$57),""))=2,IF(AND(RIGHT(IFERROR(INDEX(醫師週班表!$C$5:$T$44,$CU44,BB$57),""),1)="~",BB$58=1),"",LEFT(IFERROR(INDEX(醫師週班表!$C$5:$T$44,$CU44,BB$57),""),1)),IFERROR(INDEX(醫師週班表!$C$5:$T$44,$CU44,BB$57),""))))))</f>
        <v/>
      </c>
      <c r="BC44" s="68">
        <f>IF(BC$59="X","",IF(BC$59&lt;&gt;"",BC$59,IF(IFERROR(INDEX(醫師週班表!$C$5:$T$44,$CU44,BC$57),"")=0,"",IF(LEN(IFERROR(INDEX(醫師週班表!$C$5:$T$44,$CU44,BC$57),""))=4,MID(IFERROR(INDEX(醫師週班表!$C$5:$T$44,$CU44,BC$57),""),1+BC$58*2,1),IF(LEN(IFERROR(INDEX(醫師週班表!$C$5:$T$44,$CU44,BC$57),""))=2,IF(AND(RIGHT(IFERROR(INDEX(醫師週班表!$C$5:$T$44,$CU44,BC$57),""),1)="~",BC$58=1),"",LEFT(IFERROR(INDEX(醫師週班表!$C$5:$T$44,$CU44,BC$57),""),1)),IFERROR(INDEX(醫師週班表!$C$5:$T$44,$CU44,BC$57),""))))))</f>
        <v/>
      </c>
      <c r="BD44" s="67">
        <f>IF(BD$59="X","",IF(BD$59&lt;&gt;"",BD$59,IF(IFERROR(INDEX(醫師週班表!$C$5:$T$44,$CU44,BD$57),"")=0,"",IF(LEN(IFERROR(INDEX(醫師週班表!$C$5:$T$44,$CU44,BD$57),""))=4,MID(IFERROR(INDEX(醫師週班表!$C$5:$T$44,$CU44,BD$57),""),1+BD$58*2,1),IF(LEN(IFERROR(INDEX(醫師週班表!$C$5:$T$44,$CU44,BD$57),""))=2,IF(AND(RIGHT(IFERROR(INDEX(醫師週班表!$C$5:$T$44,$CU44,BD$57),""),1)="~",BD$58=1),"",LEFT(IFERROR(INDEX(醫師週班表!$C$5:$T$44,$CU44,BD$57),""),1)),IFERROR(INDEX(醫師週班表!$C$5:$T$44,$CU44,BD$57),""))))))</f>
        <v/>
      </c>
      <c r="BE44" s="68">
        <f>IF(BE$59="X","",IF(BE$59&lt;&gt;"",BE$59,IF(IFERROR(INDEX(醫師週班表!$C$5:$T$44,$CU44,BE$57),"")=0,"",IF(LEN(IFERROR(INDEX(醫師週班表!$C$5:$T$44,$CU44,BE$57),""))=4,MID(IFERROR(INDEX(醫師週班表!$C$5:$T$44,$CU44,BE$57),""),1+BE$58*2,1),IF(LEN(IFERROR(INDEX(醫師週班表!$C$5:$T$44,$CU44,BE$57),""))=2,IF(AND(RIGHT(IFERROR(INDEX(醫師週班表!$C$5:$T$44,$CU44,BE$57),""),1)="~",BE$58=1),"",LEFT(IFERROR(INDEX(醫師週班表!$C$5:$T$44,$CU44,BE$57),""),1)),IFERROR(INDEX(醫師週班表!$C$5:$T$44,$CU44,BE$57),""))))))</f>
        <v/>
      </c>
      <c r="BF44" s="68">
        <f>IF(BF$59="X","",IF(BF$59&lt;&gt;"",BF$59,IF(IFERROR(INDEX(醫師週班表!$C$5:$T$44,$CU44,BF$57),"")=0,"",IF(LEN(IFERROR(INDEX(醫師週班表!$C$5:$T$44,$CU44,BF$57),""))=4,MID(IFERROR(INDEX(醫師週班表!$C$5:$T$44,$CU44,BF$57),""),1+BF$58*2,1),IF(LEN(IFERROR(INDEX(醫師週班表!$C$5:$T$44,$CU44,BF$57),""))=2,IF(AND(RIGHT(IFERROR(INDEX(醫師週班表!$C$5:$T$44,$CU44,BF$57),""),1)="~",BF$58=1),"",LEFT(IFERROR(INDEX(醫師週班表!$C$5:$T$44,$CU44,BF$57),""),1)),IFERROR(INDEX(醫師週班表!$C$5:$T$44,$CU44,BF$57),""))))))</f>
        <v/>
      </c>
      <c r="BG44" s="67">
        <f>IF(BG$59="X","",IF(BG$59&lt;&gt;"",BG$59,IF(IFERROR(INDEX(醫師週班表!$C$5:$T$44,$CU44,BG$57),"")=0,"",IF(LEN(IFERROR(INDEX(醫師週班表!$C$5:$T$44,$CU44,BG$57),""))=4,MID(IFERROR(INDEX(醫師週班表!$C$5:$T$44,$CU44,BG$57),""),1+BG$58*2,1),IF(LEN(IFERROR(INDEX(醫師週班表!$C$5:$T$44,$CU44,BG$57),""))=2,IF(AND(RIGHT(IFERROR(INDEX(醫師週班表!$C$5:$T$44,$CU44,BG$57),""),1)="~",BG$58=1),"",LEFT(IFERROR(INDEX(醫師週班表!$C$5:$T$44,$CU44,BG$57),""),1)),IFERROR(INDEX(醫師週班表!$C$5:$T$44,$CU44,BG$57),""))))))</f>
        <v/>
      </c>
      <c r="BH44" s="68">
        <f>IF(BH$59="X","",IF(BH$59&lt;&gt;"",BH$59,IF(IFERROR(INDEX(醫師週班表!$C$5:$T$44,$CU44,BH$57),"")=0,"",IF(LEN(IFERROR(INDEX(醫師週班表!$C$5:$T$44,$CU44,BH$57),""))=4,MID(IFERROR(INDEX(醫師週班表!$C$5:$T$44,$CU44,BH$57),""),1+BH$58*2,1),IF(LEN(IFERROR(INDEX(醫師週班表!$C$5:$T$44,$CU44,BH$57),""))=2,IF(AND(RIGHT(IFERROR(INDEX(醫師週班表!$C$5:$T$44,$CU44,BH$57),""),1)="~",BH$58=1),"",LEFT(IFERROR(INDEX(醫師週班表!$C$5:$T$44,$CU44,BH$57),""),1)),IFERROR(INDEX(醫師週班表!$C$5:$T$44,$CU44,BH$57),""))))))</f>
        <v/>
      </c>
      <c r="BI44" s="68">
        <f>IF(BI$59="X","",IF(BI$59&lt;&gt;"",BI$59,IF(IFERROR(INDEX(醫師週班表!$C$5:$T$44,$CU44,BI$57),"")=0,"",IF(LEN(IFERROR(INDEX(醫師週班表!$C$5:$T$44,$CU44,BI$57),""))=4,MID(IFERROR(INDEX(醫師週班表!$C$5:$T$44,$CU44,BI$57),""),1+BI$58*2,1),IF(LEN(IFERROR(INDEX(醫師週班表!$C$5:$T$44,$CU44,BI$57),""))=2,IF(AND(RIGHT(IFERROR(INDEX(醫師週班表!$C$5:$T$44,$CU44,BI$57),""),1)="~",BI$58=1),"",LEFT(IFERROR(INDEX(醫師週班表!$C$5:$T$44,$CU44,BI$57),""),1)),IFERROR(INDEX(醫師週班表!$C$5:$T$44,$CU44,BI$57),""))))))</f>
        <v/>
      </c>
      <c r="BJ44" s="67">
        <f>IF(BJ$59="X","",IF(BJ$59&lt;&gt;"",BJ$59,IF(IFERROR(INDEX(醫師週班表!$C$5:$T$44,$CU44,BJ$57),"")=0,"",IF(LEN(IFERROR(INDEX(醫師週班表!$C$5:$T$44,$CU44,BJ$57),""))=4,MID(IFERROR(INDEX(醫師週班表!$C$5:$T$44,$CU44,BJ$57),""),1+BJ$58*2,1),IF(LEN(IFERROR(INDEX(醫師週班表!$C$5:$T$44,$CU44,BJ$57),""))=2,IF(AND(RIGHT(IFERROR(INDEX(醫師週班表!$C$5:$T$44,$CU44,BJ$57),""),1)="~",BJ$58=1),"",LEFT(IFERROR(INDEX(醫師週班表!$C$5:$T$44,$CU44,BJ$57),""),1)),IFERROR(INDEX(醫師週班表!$C$5:$T$44,$CU44,BJ$57),""))))))</f>
        <v/>
      </c>
      <c r="BK44" s="68">
        <f>IF(BK$59="X","",IF(BK$59&lt;&gt;"",BK$59,IF(IFERROR(INDEX(醫師週班表!$C$5:$T$44,$CU44,BK$57),"")=0,"",IF(LEN(IFERROR(INDEX(醫師週班表!$C$5:$T$44,$CU44,BK$57),""))=4,MID(IFERROR(INDEX(醫師週班表!$C$5:$T$44,$CU44,BK$57),""),1+BK$58*2,1),IF(LEN(IFERROR(INDEX(醫師週班表!$C$5:$T$44,$CU44,BK$57),""))=2,IF(AND(RIGHT(IFERROR(INDEX(醫師週班表!$C$5:$T$44,$CU44,BK$57),""),1)="~",BK$58=1),"",LEFT(IFERROR(INDEX(醫師週班表!$C$5:$T$44,$CU44,BK$57),""),1)),IFERROR(INDEX(醫師週班表!$C$5:$T$44,$CU44,BK$57),""))))))</f>
        <v/>
      </c>
      <c r="BL44" s="68">
        <f>IF(BL$59="X","",IF(BL$59&lt;&gt;"",BL$59,IF(IFERROR(INDEX(醫師週班表!$C$5:$T$44,$CU44,BL$57),"")=0,"",IF(LEN(IFERROR(INDEX(醫師週班表!$C$5:$T$44,$CU44,BL$57),""))=4,MID(IFERROR(INDEX(醫師週班表!$C$5:$T$44,$CU44,BL$57),""),1+BL$58*2,1),IF(LEN(IFERROR(INDEX(醫師週班表!$C$5:$T$44,$CU44,BL$57),""))=2,IF(AND(RIGHT(IFERROR(INDEX(醫師週班表!$C$5:$T$44,$CU44,BL$57),""),1)="~",BL$58=1),"",LEFT(IFERROR(INDEX(醫師週班表!$C$5:$T$44,$CU44,BL$57),""),1)),IFERROR(INDEX(醫師週班表!$C$5:$T$44,$CU44,BL$57),""))))))</f>
        <v/>
      </c>
      <c r="BM44" s="67">
        <f>IF(BM$59="X","",IF(BM$59&lt;&gt;"",BM$59,IF(IFERROR(INDEX(醫師週班表!$C$5:$T$44,$CU44,BM$57),"")=0,"",IF(LEN(IFERROR(INDEX(醫師週班表!$C$5:$T$44,$CU44,BM$57),""))=4,MID(IFERROR(INDEX(醫師週班表!$C$5:$T$44,$CU44,BM$57),""),1+BM$58*2,1),IF(LEN(IFERROR(INDEX(醫師週班表!$C$5:$T$44,$CU44,BM$57),""))=2,IF(AND(RIGHT(IFERROR(INDEX(醫師週班表!$C$5:$T$44,$CU44,BM$57),""),1)="~",BM$58=1),"",LEFT(IFERROR(INDEX(醫師週班表!$C$5:$T$44,$CU44,BM$57),""),1)),IFERROR(INDEX(醫師週班表!$C$5:$T$44,$CU44,BM$57),""))))))</f>
        <v/>
      </c>
      <c r="BN44" s="68">
        <f>IF(BN$59="X","",IF(BN$59&lt;&gt;"",BN$59,IF(IFERROR(INDEX(醫師週班表!$C$5:$T$44,$CU44,BN$57),"")=0,"",IF(LEN(IFERROR(INDEX(醫師週班表!$C$5:$T$44,$CU44,BN$57),""))=4,MID(IFERROR(INDEX(醫師週班表!$C$5:$T$44,$CU44,BN$57),""),1+BN$58*2,1),IF(LEN(IFERROR(INDEX(醫師週班表!$C$5:$T$44,$CU44,BN$57),""))=2,IF(AND(RIGHT(IFERROR(INDEX(醫師週班表!$C$5:$T$44,$CU44,BN$57),""),1)="~",BN$58=1),"",LEFT(IFERROR(INDEX(醫師週班表!$C$5:$T$44,$CU44,BN$57),""),1)),IFERROR(INDEX(醫師週班表!$C$5:$T$44,$CU44,BN$57),""))))))</f>
        <v/>
      </c>
      <c r="BO44" s="68">
        <f>IF(BO$59="X","",IF(BO$59&lt;&gt;"",BO$59,IF(IFERROR(INDEX(醫師週班表!$C$5:$T$44,$CU44,BO$57),"")=0,"",IF(LEN(IFERROR(INDEX(醫師週班表!$C$5:$T$44,$CU44,BO$57),""))=4,MID(IFERROR(INDEX(醫師週班表!$C$5:$T$44,$CU44,BO$57),""),1+BO$58*2,1),IF(LEN(IFERROR(INDEX(醫師週班表!$C$5:$T$44,$CU44,BO$57),""))=2,IF(AND(RIGHT(IFERROR(INDEX(醫師週班表!$C$5:$T$44,$CU44,BO$57),""),1)="~",BO$58=1),"",LEFT(IFERROR(INDEX(醫師週班表!$C$5:$T$44,$CU44,BO$57),""),1)),IFERROR(INDEX(醫師週班表!$C$5:$T$44,$CU44,BO$57),""))))))</f>
        <v/>
      </c>
      <c r="BP44" s="67">
        <f>IF(BP$59="X","",IF(BP$59&lt;&gt;"",BP$59,IF(IFERROR(INDEX(醫師週班表!$C$5:$T$44,$CU44,BP$57),"")=0,"",IF(LEN(IFERROR(INDEX(醫師週班表!$C$5:$T$44,$CU44,BP$57),""))=4,MID(IFERROR(INDEX(醫師週班表!$C$5:$T$44,$CU44,BP$57),""),1+BP$58*2,1),IF(LEN(IFERROR(INDEX(醫師週班表!$C$5:$T$44,$CU44,BP$57),""))=2,IF(AND(RIGHT(IFERROR(INDEX(醫師週班表!$C$5:$T$44,$CU44,BP$57),""),1)="~",BP$58=1),"",LEFT(IFERROR(INDEX(醫師週班表!$C$5:$T$44,$CU44,BP$57),""),1)),IFERROR(INDEX(醫師週班表!$C$5:$T$44,$CU44,BP$57),""))))))</f>
        <v/>
      </c>
      <c r="BQ44" s="68">
        <f>IF(BQ$59="X","",IF(BQ$59&lt;&gt;"",BQ$59,IF(IFERROR(INDEX(醫師週班表!$C$5:$T$44,$CU44,BQ$57),"")=0,"",IF(LEN(IFERROR(INDEX(醫師週班表!$C$5:$T$44,$CU44,BQ$57),""))=4,MID(IFERROR(INDEX(醫師週班表!$C$5:$T$44,$CU44,BQ$57),""),1+BQ$58*2,1),IF(LEN(IFERROR(INDEX(醫師週班表!$C$5:$T$44,$CU44,BQ$57),""))=2,IF(AND(RIGHT(IFERROR(INDEX(醫師週班表!$C$5:$T$44,$CU44,BQ$57),""),1)="~",BQ$58=1),"",LEFT(IFERROR(INDEX(醫師週班表!$C$5:$T$44,$CU44,BQ$57),""),1)),IFERROR(INDEX(醫師週班表!$C$5:$T$44,$CU44,BQ$57),""))))))</f>
        <v/>
      </c>
      <c r="BR44" s="68">
        <f>IF(BR$59="X","",IF(BR$59&lt;&gt;"",BR$59,IF(IFERROR(INDEX(醫師週班表!$C$5:$T$44,$CU44,BR$57),"")=0,"",IF(LEN(IFERROR(INDEX(醫師週班表!$C$5:$T$44,$CU44,BR$57),""))=4,MID(IFERROR(INDEX(醫師週班表!$C$5:$T$44,$CU44,BR$57),""),1+BR$58*2,1),IF(LEN(IFERROR(INDEX(醫師週班表!$C$5:$T$44,$CU44,BR$57),""))=2,IF(AND(RIGHT(IFERROR(INDEX(醫師週班表!$C$5:$T$44,$CU44,BR$57),""),1)="~",BR$58=1),"",LEFT(IFERROR(INDEX(醫師週班表!$C$5:$T$44,$CU44,BR$57),""),1)),IFERROR(INDEX(醫師週班表!$C$5:$T$44,$CU44,BR$57),""))))))</f>
        <v/>
      </c>
      <c r="BS44" s="67">
        <f>IF(BS$59="X","",IF(BS$59&lt;&gt;"",BS$59,IF(IFERROR(INDEX(醫師週班表!$C$5:$T$44,$CU44,BS$57),"")=0,"",IF(LEN(IFERROR(INDEX(醫師週班表!$C$5:$T$44,$CU44,BS$57),""))=4,MID(IFERROR(INDEX(醫師週班表!$C$5:$T$44,$CU44,BS$57),""),1+BS$58*2,1),IF(LEN(IFERROR(INDEX(醫師週班表!$C$5:$T$44,$CU44,BS$57),""))=2,IF(AND(RIGHT(IFERROR(INDEX(醫師週班表!$C$5:$T$44,$CU44,BS$57),""),1)="~",BS$58=1),"",LEFT(IFERROR(INDEX(醫師週班表!$C$5:$T$44,$CU44,BS$57),""),1)),IFERROR(INDEX(醫師週班表!$C$5:$T$44,$CU44,BS$57),""))))))</f>
        <v/>
      </c>
      <c r="BT44" s="68">
        <f>IF(BT$59="X","",IF(BT$59&lt;&gt;"",BT$59,IF(IFERROR(INDEX(醫師週班表!$C$5:$T$44,$CU44,BT$57),"")=0,"",IF(LEN(IFERROR(INDEX(醫師週班表!$C$5:$T$44,$CU44,BT$57),""))=4,MID(IFERROR(INDEX(醫師週班表!$C$5:$T$44,$CU44,BT$57),""),1+BT$58*2,1),IF(LEN(IFERROR(INDEX(醫師週班表!$C$5:$T$44,$CU44,BT$57),""))=2,IF(AND(RIGHT(IFERROR(INDEX(醫師週班表!$C$5:$T$44,$CU44,BT$57),""),1)="~",BT$58=1),"",LEFT(IFERROR(INDEX(醫師週班表!$C$5:$T$44,$CU44,BT$57),""),1)),IFERROR(INDEX(醫師週班表!$C$5:$T$44,$CU44,BT$57),""))))))</f>
        <v/>
      </c>
      <c r="BU44" s="68">
        <f>IF(BU$59="X","",IF(BU$59&lt;&gt;"",BU$59,IF(IFERROR(INDEX(醫師週班表!$C$5:$T$44,$CU44,BU$57),"")=0,"",IF(LEN(IFERROR(INDEX(醫師週班表!$C$5:$T$44,$CU44,BU$57),""))=4,MID(IFERROR(INDEX(醫師週班表!$C$5:$T$44,$CU44,BU$57),""),1+BU$58*2,1),IF(LEN(IFERROR(INDEX(醫師週班表!$C$5:$T$44,$CU44,BU$57),""))=2,IF(AND(RIGHT(IFERROR(INDEX(醫師週班表!$C$5:$T$44,$CU44,BU$57),""),1)="~",BU$58=1),"",LEFT(IFERROR(INDEX(醫師週班表!$C$5:$T$44,$CU44,BU$57),""),1)),IFERROR(INDEX(醫師週班表!$C$5:$T$44,$CU44,BU$57),""))))))</f>
        <v/>
      </c>
      <c r="BV44" s="67">
        <f>IF(BV$59="X","",IF(BV$59&lt;&gt;"",BV$59,IF(IFERROR(INDEX(醫師週班表!$C$5:$T$44,$CU44,BV$57),"")=0,"",IF(LEN(IFERROR(INDEX(醫師週班表!$C$5:$T$44,$CU44,BV$57),""))=4,MID(IFERROR(INDEX(醫師週班表!$C$5:$T$44,$CU44,BV$57),""),1+BV$58*2,1),IF(LEN(IFERROR(INDEX(醫師週班表!$C$5:$T$44,$CU44,BV$57),""))=2,IF(AND(RIGHT(IFERROR(INDEX(醫師週班表!$C$5:$T$44,$CU44,BV$57),""),1)="~",BV$58=1),"",LEFT(IFERROR(INDEX(醫師週班表!$C$5:$T$44,$CU44,BV$57),""),1)),IFERROR(INDEX(醫師週班表!$C$5:$T$44,$CU44,BV$57),""))))))</f>
        <v/>
      </c>
      <c r="BW44" s="68">
        <f>IF(BW$59="X","",IF(BW$59&lt;&gt;"",BW$59,IF(IFERROR(INDEX(醫師週班表!$C$5:$T$44,$CU44,BW$57),"")=0,"",IF(LEN(IFERROR(INDEX(醫師週班表!$C$5:$T$44,$CU44,BW$57),""))=4,MID(IFERROR(INDEX(醫師週班表!$C$5:$T$44,$CU44,BW$57),""),1+BW$58*2,1),IF(LEN(IFERROR(INDEX(醫師週班表!$C$5:$T$44,$CU44,BW$57),""))=2,IF(AND(RIGHT(IFERROR(INDEX(醫師週班表!$C$5:$T$44,$CU44,BW$57),""),1)="~",BW$58=1),"",LEFT(IFERROR(INDEX(醫師週班表!$C$5:$T$44,$CU44,BW$57),""),1)),IFERROR(INDEX(醫師週班表!$C$5:$T$44,$CU44,BW$57),""))))))</f>
        <v/>
      </c>
      <c r="BX44" s="68">
        <f>IF(BX$59="X","",IF(BX$59&lt;&gt;"",BX$59,IF(IFERROR(INDEX(醫師週班表!$C$5:$T$44,$CU44,BX$57),"")=0,"",IF(LEN(IFERROR(INDEX(醫師週班表!$C$5:$T$44,$CU44,BX$57),""))=4,MID(IFERROR(INDEX(醫師週班表!$C$5:$T$44,$CU44,BX$57),""),1+BX$58*2,1),IF(LEN(IFERROR(INDEX(醫師週班表!$C$5:$T$44,$CU44,BX$57),""))=2,IF(AND(RIGHT(IFERROR(INDEX(醫師週班表!$C$5:$T$44,$CU44,BX$57),""),1)="~",BX$58=1),"",LEFT(IFERROR(INDEX(醫師週班表!$C$5:$T$44,$CU44,BX$57),""),1)),IFERROR(INDEX(醫師週班表!$C$5:$T$44,$CU44,BX$57),""))))))</f>
        <v/>
      </c>
      <c r="BY44" s="67">
        <f>IF(BY$59="X","",IF(BY$59&lt;&gt;"",BY$59,IF(IFERROR(INDEX(醫師週班表!$C$5:$T$44,$CU44,BY$57),"")=0,"",IF(LEN(IFERROR(INDEX(醫師週班表!$C$5:$T$44,$CU44,BY$57),""))=4,MID(IFERROR(INDEX(醫師週班表!$C$5:$T$44,$CU44,BY$57),""),1+BY$58*2,1),IF(LEN(IFERROR(INDEX(醫師週班表!$C$5:$T$44,$CU44,BY$57),""))=2,IF(AND(RIGHT(IFERROR(INDEX(醫師週班表!$C$5:$T$44,$CU44,BY$57),""),1)="~",BY$58=1),"",LEFT(IFERROR(INDEX(醫師週班表!$C$5:$T$44,$CU44,BY$57),""),1)),IFERROR(INDEX(醫師週班表!$C$5:$T$44,$CU44,BY$57),""))))))</f>
        <v/>
      </c>
      <c r="BZ44" s="68">
        <f>IF(BZ$59="X","",IF(BZ$59&lt;&gt;"",BZ$59,IF(IFERROR(INDEX(醫師週班表!$C$5:$T$44,$CU44,BZ$57),"")=0,"",IF(LEN(IFERROR(INDEX(醫師週班表!$C$5:$T$44,$CU44,BZ$57),""))=4,MID(IFERROR(INDEX(醫師週班表!$C$5:$T$44,$CU44,BZ$57),""),1+BZ$58*2,1),IF(LEN(IFERROR(INDEX(醫師週班表!$C$5:$T$44,$CU44,BZ$57),""))=2,IF(AND(RIGHT(IFERROR(INDEX(醫師週班表!$C$5:$T$44,$CU44,BZ$57),""),1)="~",BZ$58=1),"",LEFT(IFERROR(INDEX(醫師週班表!$C$5:$T$44,$CU44,BZ$57),""),1)),IFERROR(INDEX(醫師週班表!$C$5:$T$44,$CU44,BZ$57),""))))))</f>
        <v/>
      </c>
      <c r="CA44" s="68">
        <f>IF(CA$59="X","",IF(CA$59&lt;&gt;"",CA$59,IF(IFERROR(INDEX(醫師週班表!$C$5:$T$44,$CU44,CA$57),"")=0,"",IF(LEN(IFERROR(INDEX(醫師週班表!$C$5:$T$44,$CU44,CA$57),""))=4,MID(IFERROR(INDEX(醫師週班表!$C$5:$T$44,$CU44,CA$57),""),1+CA$58*2,1),IF(LEN(IFERROR(INDEX(醫師週班表!$C$5:$T$44,$CU44,CA$57),""))=2,IF(AND(RIGHT(IFERROR(INDEX(醫師週班表!$C$5:$T$44,$CU44,CA$57),""),1)="~",CA$58=1),"",LEFT(IFERROR(INDEX(醫師週班表!$C$5:$T$44,$CU44,CA$57),""),1)),IFERROR(INDEX(醫師週班表!$C$5:$T$44,$CU44,CA$57),""))))))</f>
        <v/>
      </c>
      <c r="CB44" s="67">
        <f>IF(CB$59="X","",IF(CB$59&lt;&gt;"",CB$59,IF(IFERROR(INDEX(醫師週班表!$C$5:$T$44,$CU44,CB$57),"")=0,"",IF(LEN(IFERROR(INDEX(醫師週班表!$C$5:$T$44,$CU44,CB$57),""))=4,MID(IFERROR(INDEX(醫師週班表!$C$5:$T$44,$CU44,CB$57),""),1+CB$58*2,1),IF(LEN(IFERROR(INDEX(醫師週班表!$C$5:$T$44,$CU44,CB$57),""))=2,IF(AND(RIGHT(IFERROR(INDEX(醫師週班表!$C$5:$T$44,$CU44,CB$57),""),1)="~",CB$58=1),"",LEFT(IFERROR(INDEX(醫師週班表!$C$5:$T$44,$CU44,CB$57),""),1)),IFERROR(INDEX(醫師週班表!$C$5:$T$44,$CU44,CB$57),""))))))</f>
        <v/>
      </c>
      <c r="CC44" s="68">
        <f>IF(CC$59="X","",IF(CC$59&lt;&gt;"",CC$59,IF(IFERROR(INDEX(醫師週班表!$C$5:$T$44,$CU44,CC$57),"")=0,"",IF(LEN(IFERROR(INDEX(醫師週班表!$C$5:$T$44,$CU44,CC$57),""))=4,MID(IFERROR(INDEX(醫師週班表!$C$5:$T$44,$CU44,CC$57),""),1+CC$58*2,1),IF(LEN(IFERROR(INDEX(醫師週班表!$C$5:$T$44,$CU44,CC$57),""))=2,IF(AND(RIGHT(IFERROR(INDEX(醫師週班表!$C$5:$T$44,$CU44,CC$57),""),1)="~",CC$58=1),"",LEFT(IFERROR(INDEX(醫師週班表!$C$5:$T$44,$CU44,CC$57),""),1)),IFERROR(INDEX(醫師週班表!$C$5:$T$44,$CU44,CC$57),""))))))</f>
        <v/>
      </c>
      <c r="CD44" s="68">
        <f>IF(CD$59="X","",IF(CD$59&lt;&gt;"",CD$59,IF(IFERROR(INDEX(醫師週班表!$C$5:$T$44,$CU44,CD$57),"")=0,"",IF(LEN(IFERROR(INDEX(醫師週班表!$C$5:$T$44,$CU44,CD$57),""))=4,MID(IFERROR(INDEX(醫師週班表!$C$5:$T$44,$CU44,CD$57),""),1+CD$58*2,1),IF(LEN(IFERROR(INDEX(醫師週班表!$C$5:$T$44,$CU44,CD$57),""))=2,IF(AND(RIGHT(IFERROR(INDEX(醫師週班表!$C$5:$T$44,$CU44,CD$57),""),1)="~",CD$58=1),"",LEFT(IFERROR(INDEX(醫師週班表!$C$5:$T$44,$CU44,CD$57),""),1)),IFERROR(INDEX(醫師週班表!$C$5:$T$44,$CU44,CD$57),""))))))</f>
        <v/>
      </c>
      <c r="CE44" s="67">
        <f>IF(CE$59="X","",IF(CE$59&lt;&gt;"",CE$59,IF(IFERROR(INDEX(醫師週班表!$C$5:$T$44,$CU44,CE$57),"")=0,"",IF(LEN(IFERROR(INDEX(醫師週班表!$C$5:$T$44,$CU44,CE$57),""))=4,MID(IFERROR(INDEX(醫師週班表!$C$5:$T$44,$CU44,CE$57),""),1+CE$58*2,1),IF(LEN(IFERROR(INDEX(醫師週班表!$C$5:$T$44,$CU44,CE$57),""))=2,IF(AND(RIGHT(IFERROR(INDEX(醫師週班表!$C$5:$T$44,$CU44,CE$57),""),1)="~",CE$58=1),"",LEFT(IFERROR(INDEX(醫師週班表!$C$5:$T$44,$CU44,CE$57),""),1)),IFERROR(INDEX(醫師週班表!$C$5:$T$44,$CU44,CE$57),""))))))</f>
        <v/>
      </c>
      <c r="CF44" s="68">
        <f>IF(CF$59="X","",IF(CF$59&lt;&gt;"",CF$59,IF(IFERROR(INDEX(醫師週班表!$C$5:$T$44,$CU44,CF$57),"")=0,"",IF(LEN(IFERROR(INDEX(醫師週班表!$C$5:$T$44,$CU44,CF$57),""))=4,MID(IFERROR(INDEX(醫師週班表!$C$5:$T$44,$CU44,CF$57),""),1+CF$58*2,1),IF(LEN(IFERROR(INDEX(醫師週班表!$C$5:$T$44,$CU44,CF$57),""))=2,IF(AND(RIGHT(IFERROR(INDEX(醫師週班表!$C$5:$T$44,$CU44,CF$57),""),1)="~",CF$58=1),"",LEFT(IFERROR(INDEX(醫師週班表!$C$5:$T$44,$CU44,CF$57),""),1)),IFERROR(INDEX(醫師週班表!$C$5:$T$44,$CU44,CF$57),""))))))</f>
        <v/>
      </c>
      <c r="CG44" s="68">
        <f>IF(CG$59="X","",IF(CG$59&lt;&gt;"",CG$59,IF(IFERROR(INDEX(醫師週班表!$C$5:$T$44,$CU44,CG$57),"")=0,"",IF(LEN(IFERROR(INDEX(醫師週班表!$C$5:$T$44,$CU44,CG$57),""))=4,MID(IFERROR(INDEX(醫師週班表!$C$5:$T$44,$CU44,CG$57),""),1+CG$58*2,1),IF(LEN(IFERROR(INDEX(醫師週班表!$C$5:$T$44,$CU44,CG$57),""))=2,IF(AND(RIGHT(IFERROR(INDEX(醫師週班表!$C$5:$T$44,$CU44,CG$57),""),1)="~",CG$58=1),"",LEFT(IFERROR(INDEX(醫師週班表!$C$5:$T$44,$CU44,CG$57),""),1)),IFERROR(INDEX(醫師週班表!$C$5:$T$44,$CU44,CG$57),""))))))</f>
        <v/>
      </c>
      <c r="CH44" s="67">
        <f>IF(CH$59="X","",IF(CH$59&lt;&gt;"",CH$59,IF(IFERROR(INDEX(醫師週班表!$C$5:$T$44,$CU44,CH$57),"")=0,"",IF(LEN(IFERROR(INDEX(醫師週班表!$C$5:$T$44,$CU44,CH$57),""))=4,MID(IFERROR(INDEX(醫師週班表!$C$5:$T$44,$CU44,CH$57),""),1+CH$58*2,1),IF(LEN(IFERROR(INDEX(醫師週班表!$C$5:$T$44,$CU44,CH$57),""))=2,IF(AND(RIGHT(IFERROR(INDEX(醫師週班表!$C$5:$T$44,$CU44,CH$57),""),1)="~",CH$58=1),"",LEFT(IFERROR(INDEX(醫師週班表!$C$5:$T$44,$CU44,CH$57),""),1)),IFERROR(INDEX(醫師週班表!$C$5:$T$44,$CU44,CH$57),""))))))</f>
        <v/>
      </c>
      <c r="CI44" s="68">
        <f>IF(CI$59="X","",IF(CI$59&lt;&gt;"",CI$59,IF(IFERROR(INDEX(醫師週班表!$C$5:$T$44,$CU44,CI$57),"")=0,"",IF(LEN(IFERROR(INDEX(醫師週班表!$C$5:$T$44,$CU44,CI$57),""))=4,MID(IFERROR(INDEX(醫師週班表!$C$5:$T$44,$CU44,CI$57),""),1+CI$58*2,1),IF(LEN(IFERROR(INDEX(醫師週班表!$C$5:$T$44,$CU44,CI$57),""))=2,IF(AND(RIGHT(IFERROR(INDEX(醫師週班表!$C$5:$T$44,$CU44,CI$57),""),1)="~",CI$58=1),"",LEFT(IFERROR(INDEX(醫師週班表!$C$5:$T$44,$CU44,CI$57),""),1)),IFERROR(INDEX(醫師週班表!$C$5:$T$44,$CU44,CI$57),""))))))</f>
        <v/>
      </c>
      <c r="CJ44" s="68">
        <f>IF(CJ$59="X","",IF(CJ$59&lt;&gt;"",CJ$59,IF(IFERROR(INDEX(醫師週班表!$C$5:$T$44,$CU44,CJ$57),"")=0,"",IF(LEN(IFERROR(INDEX(醫師週班表!$C$5:$T$44,$CU44,CJ$57),""))=4,MID(IFERROR(INDEX(醫師週班表!$C$5:$T$44,$CU44,CJ$57),""),1+CJ$58*2,1),IF(LEN(IFERROR(INDEX(醫師週班表!$C$5:$T$44,$CU44,CJ$57),""))=2,IF(AND(RIGHT(IFERROR(INDEX(醫師週班表!$C$5:$T$44,$CU44,CJ$57),""),1)="~",CJ$58=1),"",LEFT(IFERROR(INDEX(醫師週班表!$C$5:$T$44,$CU44,CJ$57),""),1)),IFERROR(INDEX(醫師週班表!$C$5:$T$44,$CU44,CJ$57),""))))))</f>
        <v/>
      </c>
      <c r="CK44" s="67">
        <f>IF(CK$59="X","",IF(CK$59&lt;&gt;"",CK$59,IF(IFERROR(INDEX(醫師週班表!$C$5:$T$44,$CU44,CK$57),"")=0,"",IF(LEN(IFERROR(INDEX(醫師週班表!$C$5:$T$44,$CU44,CK$57),""))=4,MID(IFERROR(INDEX(醫師週班表!$C$5:$T$44,$CU44,CK$57),""),1+CK$58*2,1),IF(LEN(IFERROR(INDEX(醫師週班表!$C$5:$T$44,$CU44,CK$57),""))=2,IF(AND(RIGHT(IFERROR(INDEX(醫師週班表!$C$5:$T$44,$CU44,CK$57),""),1)="~",CK$58=1),"",LEFT(IFERROR(INDEX(醫師週班表!$C$5:$T$44,$CU44,CK$57),""),1)),IFERROR(INDEX(醫師週班表!$C$5:$T$44,$CU44,CK$57),""))))))</f>
        <v/>
      </c>
      <c r="CL44" s="68">
        <f>IF(CL$59="X","",IF(CL$59&lt;&gt;"",CL$59,IF(IFERROR(INDEX(醫師週班表!$C$5:$T$44,$CU44,CL$57),"")=0,"",IF(LEN(IFERROR(INDEX(醫師週班表!$C$5:$T$44,$CU44,CL$57),""))=4,MID(IFERROR(INDEX(醫師週班表!$C$5:$T$44,$CU44,CL$57),""),1+CL$58*2,1),IF(LEN(IFERROR(INDEX(醫師週班表!$C$5:$T$44,$CU44,CL$57),""))=2,IF(AND(RIGHT(IFERROR(INDEX(醫師週班表!$C$5:$T$44,$CU44,CL$57),""),1)="~",CL$58=1),"",LEFT(IFERROR(INDEX(醫師週班表!$C$5:$T$44,$CU44,CL$57),""),1)),IFERROR(INDEX(醫師週班表!$C$5:$T$44,$CU44,CL$57),""))))))</f>
        <v/>
      </c>
      <c r="CM44" s="68">
        <f>IF(CM$59="X","",IF(CM$59&lt;&gt;"",CM$59,IF(IFERROR(INDEX(醫師週班表!$C$5:$T$44,$CU44,CM$57),"")=0,"",IF(LEN(IFERROR(INDEX(醫師週班表!$C$5:$T$44,$CU44,CM$57),""))=4,MID(IFERROR(INDEX(醫師週班表!$C$5:$T$44,$CU44,CM$57),""),1+CM$58*2,1),IF(LEN(IFERROR(INDEX(醫師週班表!$C$5:$T$44,$CU44,CM$57),""))=2,IF(AND(RIGHT(IFERROR(INDEX(醫師週班表!$C$5:$T$44,$CU44,CM$57),""),1)="~",CM$58=1),"",LEFT(IFERROR(INDEX(醫師週班表!$C$5:$T$44,$CU44,CM$57),""),1)),IFERROR(INDEX(醫師週班表!$C$5:$T$44,$CU44,CM$57),""))))))</f>
        <v/>
      </c>
      <c r="CN44" s="67">
        <f>IF(CN$59="X","",IF(CN$59&lt;&gt;"",CN$59,IF(IFERROR(INDEX(醫師週班表!$C$5:$T$44,$CU44,CN$57),"")=0,"",IF(LEN(IFERROR(INDEX(醫師週班表!$C$5:$T$44,$CU44,CN$57),""))=4,MID(IFERROR(INDEX(醫師週班表!$C$5:$T$44,$CU44,CN$57),""),1+CN$58*2,1),IF(LEN(IFERROR(INDEX(醫師週班表!$C$5:$T$44,$CU44,CN$57),""))=2,IF(AND(RIGHT(IFERROR(INDEX(醫師週班表!$C$5:$T$44,$CU44,CN$57),""),1)="~",CN$58=1),"",LEFT(IFERROR(INDEX(醫師週班表!$C$5:$T$44,$CU44,CN$57),""),1)),IFERROR(INDEX(醫師週班表!$C$5:$T$44,$CU44,CN$57),""))))))</f>
        <v/>
      </c>
      <c r="CO44" s="68">
        <f>IF(CO$59="X","",IF(CO$59&lt;&gt;"",CO$59,IF(IFERROR(INDEX(醫師週班表!$C$5:$T$44,$CU44,CO$57),"")=0,"",IF(LEN(IFERROR(INDEX(醫師週班表!$C$5:$T$44,$CU44,CO$57),""))=4,MID(IFERROR(INDEX(醫師週班表!$C$5:$T$44,$CU44,CO$57),""),1+CO$58*2,1),IF(LEN(IFERROR(INDEX(醫師週班表!$C$5:$T$44,$CU44,CO$57),""))=2,IF(AND(RIGHT(IFERROR(INDEX(醫師週班表!$C$5:$T$44,$CU44,CO$57),""),1)="~",CO$58=1),"",LEFT(IFERROR(INDEX(醫師週班表!$C$5:$T$44,$CU44,CO$57),""),1)),IFERROR(INDEX(醫師週班表!$C$5:$T$44,$CU44,CO$57),""))))))</f>
        <v/>
      </c>
      <c r="CP44" s="68">
        <f>IF(CP$59="X","",IF(CP$59&lt;&gt;"",CP$59,IF(IFERROR(INDEX(醫師週班表!$C$5:$T$44,$CU44,CP$57),"")=0,"",IF(LEN(IFERROR(INDEX(醫師週班表!$C$5:$T$44,$CU44,CP$57),""))=4,MID(IFERROR(INDEX(醫師週班表!$C$5:$T$44,$CU44,CP$57),""),1+CP$58*2,1),IF(LEN(IFERROR(INDEX(醫師週班表!$C$5:$T$44,$CU44,CP$57),""))=2,IF(AND(RIGHT(IFERROR(INDEX(醫師週班表!$C$5:$T$44,$CU44,CP$57),""),1)="~",CP$58=1),"",LEFT(IFERROR(INDEX(醫師週班表!$C$5:$T$44,$CU44,CP$57),""),1)),IFERROR(INDEX(醫師週班表!$C$5:$T$44,$CU44,CP$57),""))))))</f>
        <v/>
      </c>
      <c r="CQ44" s="67">
        <f>IF(CQ$59="X","",IF(CQ$59&lt;&gt;"",CQ$59,IF(IFERROR(INDEX(醫師週班表!$C$5:$T$44,$CU44,CQ$57),"")=0,"",IF(LEN(IFERROR(INDEX(醫師週班表!$C$5:$T$44,$CU44,CQ$57),""))=4,MID(IFERROR(INDEX(醫師週班表!$C$5:$T$44,$CU44,CQ$57),""),1+CQ$58*2,1),IF(LEN(IFERROR(INDEX(醫師週班表!$C$5:$T$44,$CU44,CQ$57),""))=2,IF(AND(RIGHT(IFERROR(INDEX(醫師週班表!$C$5:$T$44,$CU44,CQ$57),""),1)="~",CQ$58=1),"",LEFT(IFERROR(INDEX(醫師週班表!$C$5:$T$44,$CU44,CQ$57),""),1)),IFERROR(INDEX(醫師週班表!$C$5:$T$44,$CU44,CQ$57),""))))))</f>
        <v/>
      </c>
      <c r="CR44" s="68">
        <f>IF(CR$59="X","",IF(CR$59&lt;&gt;"",CR$59,IF(IFERROR(INDEX(醫師週班表!$C$5:$T$44,$CU44,CR$57),"")=0,"",IF(LEN(IFERROR(INDEX(醫師週班表!$C$5:$T$44,$CU44,CR$57),""))=4,MID(IFERROR(INDEX(醫師週班表!$C$5:$T$44,$CU44,CR$57),""),1+CR$58*2,1),IF(LEN(IFERROR(INDEX(醫師週班表!$C$5:$T$44,$CU44,CR$57),""))=2,IF(AND(RIGHT(IFERROR(INDEX(醫師週班表!$C$5:$T$44,$CU44,CR$57),""),1)="~",CR$58=1),"",LEFT(IFERROR(INDEX(醫師週班表!$C$5:$T$44,$CU44,CR$57),""),1)),IFERROR(INDEX(醫師週班表!$C$5:$T$44,$CU44,CR$57),""))))))</f>
        <v/>
      </c>
      <c r="CS44" s="68">
        <f>IF(CS$59="X","",IF(CS$59&lt;&gt;"",CS$59,IF(IFERROR(INDEX(醫師週班表!$C$5:$T$44,$CU44,CS$57),"")=0,"",IF(LEN(IFERROR(INDEX(醫師週班表!$C$5:$T$44,$CU44,CS$57),""))=4,MID(IFERROR(INDEX(醫師週班表!$C$5:$T$44,$CU44,CS$57),""),1+CS$58*2,1),IF(LEN(IFERROR(INDEX(醫師週班表!$C$5:$T$44,$CU44,CS$57),""))=2,IF(AND(RIGHT(IFERROR(INDEX(醫師週班表!$C$5:$T$44,$CU44,CS$57),""),1)="~",CS$58=1),"",LEFT(IFERROR(INDEX(醫師週班表!$C$5:$T$44,$CU44,CS$57),""),1)),IFERROR(INDEX(醫師週班表!$C$5:$T$44,$CU44,CS$57),""))))))</f>
        <v/>
      </c>
      <c r="CU44" s="69">
        <f>IFERROR(MATCH($A44,醫師週班表!$A$5:$A$44,0),0)</f>
        <v/>
      </c>
    </row>
    <row r="45" ht="17" customHeight="1">
      <c r="A45" s="20" t="n"/>
      <c r="B45" s="16">
        <f>IFERROR(INDEX(設定!$C$57:$C$196,MATCH($A45,設定!$B$57:$B$196,0)),"")</f>
        <v/>
      </c>
      <c r="C45" s="66">
        <f>IFERROR(INDEX(設定!$E$57:$E$196,MATCH($A45,設定!$B$57:$B$196,0)),"")</f>
        <v/>
      </c>
      <c r="D45" s="16">
        <f>IFERROR(INDEX(設定!$F$57:$F$196,MATCH($A45,設定!$B$57:$B$196,0)),"")</f>
        <v/>
      </c>
      <c r="E45" s="67">
        <f>IF(E$59="X","",IF(E$59&lt;&gt;"",E$59,IF(IFERROR(INDEX(醫師週班表!$C$5:$T$44,$CU45,E$57),"")=0,"",IF(LEN(IFERROR(INDEX(醫師週班表!$C$5:$T$44,$CU45,E$57),""))=4,MID(IFERROR(INDEX(醫師週班表!$C$5:$T$44,$CU45,E$57),""),1+E$58*2,1),IF(LEN(IFERROR(INDEX(醫師週班表!$C$5:$T$44,$CU45,E$57),""))=2,IF(AND(RIGHT(IFERROR(INDEX(醫師週班表!$C$5:$T$44,$CU45,E$57),""),1)="~",E$58=1),"",LEFT(IFERROR(INDEX(醫師週班表!$C$5:$T$44,$CU45,E$57),""),1)),IFERROR(INDEX(醫師週班表!$C$5:$T$44,$CU45,E$57),""))))))</f>
        <v/>
      </c>
      <c r="F45" s="68">
        <f>IF(F$59="X","",IF(F$59&lt;&gt;"",F$59,IF(IFERROR(INDEX(醫師週班表!$C$5:$T$44,$CU45,F$57),"")=0,"",IF(LEN(IFERROR(INDEX(醫師週班表!$C$5:$T$44,$CU45,F$57),""))=4,MID(IFERROR(INDEX(醫師週班表!$C$5:$T$44,$CU45,F$57),""),1+F$58*2,1),IF(LEN(IFERROR(INDEX(醫師週班表!$C$5:$T$44,$CU45,F$57),""))=2,IF(AND(RIGHT(IFERROR(INDEX(醫師週班表!$C$5:$T$44,$CU45,F$57),""),1)="~",F$58=1),"",LEFT(IFERROR(INDEX(醫師週班表!$C$5:$T$44,$CU45,F$57),""),1)),IFERROR(INDEX(醫師週班表!$C$5:$T$44,$CU45,F$57),""))))))</f>
        <v/>
      </c>
      <c r="G45" s="68">
        <f>IF(G$59="X","",IF(G$59&lt;&gt;"",G$59,IF(IFERROR(INDEX(醫師週班表!$C$5:$T$44,$CU45,G$57),"")=0,"",IF(LEN(IFERROR(INDEX(醫師週班表!$C$5:$T$44,$CU45,G$57),""))=4,MID(IFERROR(INDEX(醫師週班表!$C$5:$T$44,$CU45,G$57),""),1+G$58*2,1),IF(LEN(IFERROR(INDEX(醫師週班表!$C$5:$T$44,$CU45,G$57),""))=2,IF(AND(RIGHT(IFERROR(INDEX(醫師週班表!$C$5:$T$44,$CU45,G$57),""),1)="~",G$58=1),"",LEFT(IFERROR(INDEX(醫師週班表!$C$5:$T$44,$CU45,G$57),""),1)),IFERROR(INDEX(醫師週班表!$C$5:$T$44,$CU45,G$57),""))))))</f>
        <v/>
      </c>
      <c r="H45" s="67">
        <f>IF(H$59="X","",IF(H$59&lt;&gt;"",H$59,IF(IFERROR(INDEX(醫師週班表!$C$5:$T$44,$CU45,H$57),"")=0,"",IF(LEN(IFERROR(INDEX(醫師週班表!$C$5:$T$44,$CU45,H$57),""))=4,MID(IFERROR(INDEX(醫師週班表!$C$5:$T$44,$CU45,H$57),""),1+H$58*2,1),IF(LEN(IFERROR(INDEX(醫師週班表!$C$5:$T$44,$CU45,H$57),""))=2,IF(AND(RIGHT(IFERROR(INDEX(醫師週班表!$C$5:$T$44,$CU45,H$57),""),1)="~",H$58=1),"",LEFT(IFERROR(INDEX(醫師週班表!$C$5:$T$44,$CU45,H$57),""),1)),IFERROR(INDEX(醫師週班表!$C$5:$T$44,$CU45,H$57),""))))))</f>
        <v/>
      </c>
      <c r="I45" s="68">
        <f>IF(I$59="X","",IF(I$59&lt;&gt;"",I$59,IF(IFERROR(INDEX(醫師週班表!$C$5:$T$44,$CU45,I$57),"")=0,"",IF(LEN(IFERROR(INDEX(醫師週班表!$C$5:$T$44,$CU45,I$57),""))=4,MID(IFERROR(INDEX(醫師週班表!$C$5:$T$44,$CU45,I$57),""),1+I$58*2,1),IF(LEN(IFERROR(INDEX(醫師週班表!$C$5:$T$44,$CU45,I$57),""))=2,IF(AND(RIGHT(IFERROR(INDEX(醫師週班表!$C$5:$T$44,$CU45,I$57),""),1)="~",I$58=1),"",LEFT(IFERROR(INDEX(醫師週班表!$C$5:$T$44,$CU45,I$57),""),1)),IFERROR(INDEX(醫師週班表!$C$5:$T$44,$CU45,I$57),""))))))</f>
        <v/>
      </c>
      <c r="J45" s="68">
        <f>IF(J$59="X","",IF(J$59&lt;&gt;"",J$59,IF(IFERROR(INDEX(醫師週班表!$C$5:$T$44,$CU45,J$57),"")=0,"",IF(LEN(IFERROR(INDEX(醫師週班表!$C$5:$T$44,$CU45,J$57),""))=4,MID(IFERROR(INDEX(醫師週班表!$C$5:$T$44,$CU45,J$57),""),1+J$58*2,1),IF(LEN(IFERROR(INDEX(醫師週班表!$C$5:$T$44,$CU45,J$57),""))=2,IF(AND(RIGHT(IFERROR(INDEX(醫師週班表!$C$5:$T$44,$CU45,J$57),""),1)="~",J$58=1),"",LEFT(IFERROR(INDEX(醫師週班表!$C$5:$T$44,$CU45,J$57),""),1)),IFERROR(INDEX(醫師週班表!$C$5:$T$44,$CU45,J$57),""))))))</f>
        <v/>
      </c>
      <c r="K45" s="67">
        <f>IF(K$59="X","",IF(K$59&lt;&gt;"",K$59,IF(IFERROR(INDEX(醫師週班表!$C$5:$T$44,$CU45,K$57),"")=0,"",IF(LEN(IFERROR(INDEX(醫師週班表!$C$5:$T$44,$CU45,K$57),""))=4,MID(IFERROR(INDEX(醫師週班表!$C$5:$T$44,$CU45,K$57),""),1+K$58*2,1),IF(LEN(IFERROR(INDEX(醫師週班表!$C$5:$T$44,$CU45,K$57),""))=2,IF(AND(RIGHT(IFERROR(INDEX(醫師週班表!$C$5:$T$44,$CU45,K$57),""),1)="~",K$58=1),"",LEFT(IFERROR(INDEX(醫師週班表!$C$5:$T$44,$CU45,K$57),""),1)),IFERROR(INDEX(醫師週班表!$C$5:$T$44,$CU45,K$57),""))))))</f>
        <v/>
      </c>
      <c r="L45" s="68">
        <f>IF(L$59="X","",IF(L$59&lt;&gt;"",L$59,IF(IFERROR(INDEX(醫師週班表!$C$5:$T$44,$CU45,L$57),"")=0,"",IF(LEN(IFERROR(INDEX(醫師週班表!$C$5:$T$44,$CU45,L$57),""))=4,MID(IFERROR(INDEX(醫師週班表!$C$5:$T$44,$CU45,L$57),""),1+L$58*2,1),IF(LEN(IFERROR(INDEX(醫師週班表!$C$5:$T$44,$CU45,L$57),""))=2,IF(AND(RIGHT(IFERROR(INDEX(醫師週班表!$C$5:$T$44,$CU45,L$57),""),1)="~",L$58=1),"",LEFT(IFERROR(INDEX(醫師週班表!$C$5:$T$44,$CU45,L$57),""),1)),IFERROR(INDEX(醫師週班表!$C$5:$T$44,$CU45,L$57),""))))))</f>
        <v/>
      </c>
      <c r="M45" s="68">
        <f>IF(M$59="X","",IF(M$59&lt;&gt;"",M$59,IF(IFERROR(INDEX(醫師週班表!$C$5:$T$44,$CU45,M$57),"")=0,"",IF(LEN(IFERROR(INDEX(醫師週班表!$C$5:$T$44,$CU45,M$57),""))=4,MID(IFERROR(INDEX(醫師週班表!$C$5:$T$44,$CU45,M$57),""),1+M$58*2,1),IF(LEN(IFERROR(INDEX(醫師週班表!$C$5:$T$44,$CU45,M$57),""))=2,IF(AND(RIGHT(IFERROR(INDEX(醫師週班表!$C$5:$T$44,$CU45,M$57),""),1)="~",M$58=1),"",LEFT(IFERROR(INDEX(醫師週班表!$C$5:$T$44,$CU45,M$57),""),1)),IFERROR(INDEX(醫師週班表!$C$5:$T$44,$CU45,M$57),""))))))</f>
        <v/>
      </c>
      <c r="N45" s="67">
        <f>IF(N$59="X","",IF(N$59&lt;&gt;"",N$59,IF(IFERROR(INDEX(醫師週班表!$C$5:$T$44,$CU45,N$57),"")=0,"",IF(LEN(IFERROR(INDEX(醫師週班表!$C$5:$T$44,$CU45,N$57),""))=4,MID(IFERROR(INDEX(醫師週班表!$C$5:$T$44,$CU45,N$57),""),1+N$58*2,1),IF(LEN(IFERROR(INDEX(醫師週班表!$C$5:$T$44,$CU45,N$57),""))=2,IF(AND(RIGHT(IFERROR(INDEX(醫師週班表!$C$5:$T$44,$CU45,N$57),""),1)="~",N$58=1),"",LEFT(IFERROR(INDEX(醫師週班表!$C$5:$T$44,$CU45,N$57),""),1)),IFERROR(INDEX(醫師週班表!$C$5:$T$44,$CU45,N$57),""))))))</f>
        <v/>
      </c>
      <c r="O45" s="68">
        <f>IF(O$59="X","",IF(O$59&lt;&gt;"",O$59,IF(IFERROR(INDEX(醫師週班表!$C$5:$T$44,$CU45,O$57),"")=0,"",IF(LEN(IFERROR(INDEX(醫師週班表!$C$5:$T$44,$CU45,O$57),""))=4,MID(IFERROR(INDEX(醫師週班表!$C$5:$T$44,$CU45,O$57),""),1+O$58*2,1),IF(LEN(IFERROR(INDEX(醫師週班表!$C$5:$T$44,$CU45,O$57),""))=2,IF(AND(RIGHT(IFERROR(INDEX(醫師週班表!$C$5:$T$44,$CU45,O$57),""),1)="~",O$58=1),"",LEFT(IFERROR(INDEX(醫師週班表!$C$5:$T$44,$CU45,O$57),""),1)),IFERROR(INDEX(醫師週班表!$C$5:$T$44,$CU45,O$57),""))))))</f>
        <v/>
      </c>
      <c r="P45" s="68">
        <f>IF(P$59="X","",IF(P$59&lt;&gt;"",P$59,IF(IFERROR(INDEX(醫師週班表!$C$5:$T$44,$CU45,P$57),"")=0,"",IF(LEN(IFERROR(INDEX(醫師週班表!$C$5:$T$44,$CU45,P$57),""))=4,MID(IFERROR(INDEX(醫師週班表!$C$5:$T$44,$CU45,P$57),""),1+P$58*2,1),IF(LEN(IFERROR(INDEX(醫師週班表!$C$5:$T$44,$CU45,P$57),""))=2,IF(AND(RIGHT(IFERROR(INDEX(醫師週班表!$C$5:$T$44,$CU45,P$57),""),1)="~",P$58=1),"",LEFT(IFERROR(INDEX(醫師週班表!$C$5:$T$44,$CU45,P$57),""),1)),IFERROR(INDEX(醫師週班表!$C$5:$T$44,$CU45,P$57),""))))))</f>
        <v/>
      </c>
      <c r="Q45" s="67">
        <f>IF(Q$59="X","",IF(Q$59&lt;&gt;"",Q$59,IF(IFERROR(INDEX(醫師週班表!$C$5:$T$44,$CU45,Q$57),"")=0,"",IF(LEN(IFERROR(INDEX(醫師週班表!$C$5:$T$44,$CU45,Q$57),""))=4,MID(IFERROR(INDEX(醫師週班表!$C$5:$T$44,$CU45,Q$57),""),1+Q$58*2,1),IF(LEN(IFERROR(INDEX(醫師週班表!$C$5:$T$44,$CU45,Q$57),""))=2,IF(AND(RIGHT(IFERROR(INDEX(醫師週班表!$C$5:$T$44,$CU45,Q$57),""),1)="~",Q$58=1),"",LEFT(IFERROR(INDEX(醫師週班表!$C$5:$T$44,$CU45,Q$57),""),1)),IFERROR(INDEX(醫師週班表!$C$5:$T$44,$CU45,Q$57),""))))))</f>
        <v/>
      </c>
      <c r="R45" s="68">
        <f>IF(R$59="X","",IF(R$59&lt;&gt;"",R$59,IF(IFERROR(INDEX(醫師週班表!$C$5:$T$44,$CU45,R$57),"")=0,"",IF(LEN(IFERROR(INDEX(醫師週班表!$C$5:$T$44,$CU45,R$57),""))=4,MID(IFERROR(INDEX(醫師週班表!$C$5:$T$44,$CU45,R$57),""),1+R$58*2,1),IF(LEN(IFERROR(INDEX(醫師週班表!$C$5:$T$44,$CU45,R$57),""))=2,IF(AND(RIGHT(IFERROR(INDEX(醫師週班表!$C$5:$T$44,$CU45,R$57),""),1)="~",R$58=1),"",LEFT(IFERROR(INDEX(醫師週班表!$C$5:$T$44,$CU45,R$57),""),1)),IFERROR(INDEX(醫師週班表!$C$5:$T$44,$CU45,R$57),""))))))</f>
        <v/>
      </c>
      <c r="S45" s="68">
        <f>IF(S$59="X","",IF(S$59&lt;&gt;"",S$59,IF(IFERROR(INDEX(醫師週班表!$C$5:$T$44,$CU45,S$57),"")=0,"",IF(LEN(IFERROR(INDEX(醫師週班表!$C$5:$T$44,$CU45,S$57),""))=4,MID(IFERROR(INDEX(醫師週班表!$C$5:$T$44,$CU45,S$57),""),1+S$58*2,1),IF(LEN(IFERROR(INDEX(醫師週班表!$C$5:$T$44,$CU45,S$57),""))=2,IF(AND(RIGHT(IFERROR(INDEX(醫師週班表!$C$5:$T$44,$CU45,S$57),""),1)="~",S$58=1),"",LEFT(IFERROR(INDEX(醫師週班表!$C$5:$T$44,$CU45,S$57),""),1)),IFERROR(INDEX(醫師週班表!$C$5:$T$44,$CU45,S$57),""))))))</f>
        <v/>
      </c>
      <c r="T45" s="67">
        <f>IF(T$59="X","",IF(T$59&lt;&gt;"",T$59,IF(IFERROR(INDEX(醫師週班表!$C$5:$T$44,$CU45,T$57),"")=0,"",IF(LEN(IFERROR(INDEX(醫師週班表!$C$5:$T$44,$CU45,T$57),""))=4,MID(IFERROR(INDEX(醫師週班表!$C$5:$T$44,$CU45,T$57),""),1+T$58*2,1),IF(LEN(IFERROR(INDEX(醫師週班表!$C$5:$T$44,$CU45,T$57),""))=2,IF(AND(RIGHT(IFERROR(INDEX(醫師週班表!$C$5:$T$44,$CU45,T$57),""),1)="~",T$58=1),"",LEFT(IFERROR(INDEX(醫師週班表!$C$5:$T$44,$CU45,T$57),""),1)),IFERROR(INDEX(醫師週班表!$C$5:$T$44,$CU45,T$57),""))))))</f>
        <v/>
      </c>
      <c r="U45" s="68">
        <f>IF(U$59="X","",IF(U$59&lt;&gt;"",U$59,IF(IFERROR(INDEX(醫師週班表!$C$5:$T$44,$CU45,U$57),"")=0,"",IF(LEN(IFERROR(INDEX(醫師週班表!$C$5:$T$44,$CU45,U$57),""))=4,MID(IFERROR(INDEX(醫師週班表!$C$5:$T$44,$CU45,U$57),""),1+U$58*2,1),IF(LEN(IFERROR(INDEX(醫師週班表!$C$5:$T$44,$CU45,U$57),""))=2,IF(AND(RIGHT(IFERROR(INDEX(醫師週班表!$C$5:$T$44,$CU45,U$57),""),1)="~",U$58=1),"",LEFT(IFERROR(INDEX(醫師週班表!$C$5:$T$44,$CU45,U$57),""),1)),IFERROR(INDEX(醫師週班表!$C$5:$T$44,$CU45,U$57),""))))))</f>
        <v/>
      </c>
      <c r="V45" s="68">
        <f>IF(V$59="X","",IF(V$59&lt;&gt;"",V$59,IF(IFERROR(INDEX(醫師週班表!$C$5:$T$44,$CU45,V$57),"")=0,"",IF(LEN(IFERROR(INDEX(醫師週班表!$C$5:$T$44,$CU45,V$57),""))=4,MID(IFERROR(INDEX(醫師週班表!$C$5:$T$44,$CU45,V$57),""),1+V$58*2,1),IF(LEN(IFERROR(INDEX(醫師週班表!$C$5:$T$44,$CU45,V$57),""))=2,IF(AND(RIGHT(IFERROR(INDEX(醫師週班表!$C$5:$T$44,$CU45,V$57),""),1)="~",V$58=1),"",LEFT(IFERROR(INDEX(醫師週班表!$C$5:$T$44,$CU45,V$57),""),1)),IFERROR(INDEX(醫師週班表!$C$5:$T$44,$CU45,V$57),""))))))</f>
        <v/>
      </c>
      <c r="W45" s="67">
        <f>IF(W$59="X","",IF(W$59&lt;&gt;"",W$59,IF(IFERROR(INDEX(醫師週班表!$C$5:$T$44,$CU45,W$57),"")=0,"",IF(LEN(IFERROR(INDEX(醫師週班表!$C$5:$T$44,$CU45,W$57),""))=4,MID(IFERROR(INDEX(醫師週班表!$C$5:$T$44,$CU45,W$57),""),1+W$58*2,1),IF(LEN(IFERROR(INDEX(醫師週班表!$C$5:$T$44,$CU45,W$57),""))=2,IF(AND(RIGHT(IFERROR(INDEX(醫師週班表!$C$5:$T$44,$CU45,W$57),""),1)="~",W$58=1),"",LEFT(IFERROR(INDEX(醫師週班表!$C$5:$T$44,$CU45,W$57),""),1)),IFERROR(INDEX(醫師週班表!$C$5:$T$44,$CU45,W$57),""))))))</f>
        <v/>
      </c>
      <c r="X45" s="68">
        <f>IF(X$59="X","",IF(X$59&lt;&gt;"",X$59,IF(IFERROR(INDEX(醫師週班表!$C$5:$T$44,$CU45,X$57),"")=0,"",IF(LEN(IFERROR(INDEX(醫師週班表!$C$5:$T$44,$CU45,X$57),""))=4,MID(IFERROR(INDEX(醫師週班表!$C$5:$T$44,$CU45,X$57),""),1+X$58*2,1),IF(LEN(IFERROR(INDEX(醫師週班表!$C$5:$T$44,$CU45,X$57),""))=2,IF(AND(RIGHT(IFERROR(INDEX(醫師週班表!$C$5:$T$44,$CU45,X$57),""),1)="~",X$58=1),"",LEFT(IFERROR(INDEX(醫師週班表!$C$5:$T$44,$CU45,X$57),""),1)),IFERROR(INDEX(醫師週班表!$C$5:$T$44,$CU45,X$57),""))))))</f>
        <v/>
      </c>
      <c r="Y45" s="68">
        <f>IF(Y$59="X","",IF(Y$59&lt;&gt;"",Y$59,IF(IFERROR(INDEX(醫師週班表!$C$5:$T$44,$CU45,Y$57),"")=0,"",IF(LEN(IFERROR(INDEX(醫師週班表!$C$5:$T$44,$CU45,Y$57),""))=4,MID(IFERROR(INDEX(醫師週班表!$C$5:$T$44,$CU45,Y$57),""),1+Y$58*2,1),IF(LEN(IFERROR(INDEX(醫師週班表!$C$5:$T$44,$CU45,Y$57),""))=2,IF(AND(RIGHT(IFERROR(INDEX(醫師週班表!$C$5:$T$44,$CU45,Y$57),""),1)="~",Y$58=1),"",LEFT(IFERROR(INDEX(醫師週班表!$C$5:$T$44,$CU45,Y$57),""),1)),IFERROR(INDEX(醫師週班表!$C$5:$T$44,$CU45,Y$57),""))))))</f>
        <v/>
      </c>
      <c r="Z45" s="67">
        <f>IF(Z$59="X","",IF(Z$59&lt;&gt;"",Z$59,IF(IFERROR(INDEX(醫師週班表!$C$5:$T$44,$CU45,Z$57),"")=0,"",IF(LEN(IFERROR(INDEX(醫師週班表!$C$5:$T$44,$CU45,Z$57),""))=4,MID(IFERROR(INDEX(醫師週班表!$C$5:$T$44,$CU45,Z$57),""),1+Z$58*2,1),IF(LEN(IFERROR(INDEX(醫師週班表!$C$5:$T$44,$CU45,Z$57),""))=2,IF(AND(RIGHT(IFERROR(INDEX(醫師週班表!$C$5:$T$44,$CU45,Z$57),""),1)="~",Z$58=1),"",LEFT(IFERROR(INDEX(醫師週班表!$C$5:$T$44,$CU45,Z$57),""),1)),IFERROR(INDEX(醫師週班表!$C$5:$T$44,$CU45,Z$57),""))))))</f>
        <v/>
      </c>
      <c r="AA45" s="68">
        <f>IF(AA$59="X","",IF(AA$59&lt;&gt;"",AA$59,IF(IFERROR(INDEX(醫師週班表!$C$5:$T$44,$CU45,AA$57),"")=0,"",IF(LEN(IFERROR(INDEX(醫師週班表!$C$5:$T$44,$CU45,AA$57),""))=4,MID(IFERROR(INDEX(醫師週班表!$C$5:$T$44,$CU45,AA$57),""),1+AA$58*2,1),IF(LEN(IFERROR(INDEX(醫師週班表!$C$5:$T$44,$CU45,AA$57),""))=2,IF(AND(RIGHT(IFERROR(INDEX(醫師週班表!$C$5:$T$44,$CU45,AA$57),""),1)="~",AA$58=1),"",LEFT(IFERROR(INDEX(醫師週班表!$C$5:$T$44,$CU45,AA$57),""),1)),IFERROR(INDEX(醫師週班表!$C$5:$T$44,$CU45,AA$57),""))))))</f>
        <v/>
      </c>
      <c r="AB45" s="68">
        <f>IF(AB$59="X","",IF(AB$59&lt;&gt;"",AB$59,IF(IFERROR(INDEX(醫師週班表!$C$5:$T$44,$CU45,AB$57),"")=0,"",IF(LEN(IFERROR(INDEX(醫師週班表!$C$5:$T$44,$CU45,AB$57),""))=4,MID(IFERROR(INDEX(醫師週班表!$C$5:$T$44,$CU45,AB$57),""),1+AB$58*2,1),IF(LEN(IFERROR(INDEX(醫師週班表!$C$5:$T$44,$CU45,AB$57),""))=2,IF(AND(RIGHT(IFERROR(INDEX(醫師週班表!$C$5:$T$44,$CU45,AB$57),""),1)="~",AB$58=1),"",LEFT(IFERROR(INDEX(醫師週班表!$C$5:$T$44,$CU45,AB$57),""),1)),IFERROR(INDEX(醫師週班表!$C$5:$T$44,$CU45,AB$57),""))))))</f>
        <v/>
      </c>
      <c r="AC45" s="67">
        <f>IF(AC$59="X","",IF(AC$59&lt;&gt;"",AC$59,IF(IFERROR(INDEX(醫師週班表!$C$5:$T$44,$CU45,AC$57),"")=0,"",IF(LEN(IFERROR(INDEX(醫師週班表!$C$5:$T$44,$CU45,AC$57),""))=4,MID(IFERROR(INDEX(醫師週班表!$C$5:$T$44,$CU45,AC$57),""),1+AC$58*2,1),IF(LEN(IFERROR(INDEX(醫師週班表!$C$5:$T$44,$CU45,AC$57),""))=2,IF(AND(RIGHT(IFERROR(INDEX(醫師週班表!$C$5:$T$44,$CU45,AC$57),""),1)="~",AC$58=1),"",LEFT(IFERROR(INDEX(醫師週班表!$C$5:$T$44,$CU45,AC$57),""),1)),IFERROR(INDEX(醫師週班表!$C$5:$T$44,$CU45,AC$57),""))))))</f>
        <v/>
      </c>
      <c r="AD45" s="68">
        <f>IF(AD$59="X","",IF(AD$59&lt;&gt;"",AD$59,IF(IFERROR(INDEX(醫師週班表!$C$5:$T$44,$CU45,AD$57),"")=0,"",IF(LEN(IFERROR(INDEX(醫師週班表!$C$5:$T$44,$CU45,AD$57),""))=4,MID(IFERROR(INDEX(醫師週班表!$C$5:$T$44,$CU45,AD$57),""),1+AD$58*2,1),IF(LEN(IFERROR(INDEX(醫師週班表!$C$5:$T$44,$CU45,AD$57),""))=2,IF(AND(RIGHT(IFERROR(INDEX(醫師週班表!$C$5:$T$44,$CU45,AD$57),""),1)="~",AD$58=1),"",LEFT(IFERROR(INDEX(醫師週班表!$C$5:$T$44,$CU45,AD$57),""),1)),IFERROR(INDEX(醫師週班表!$C$5:$T$44,$CU45,AD$57),""))))))</f>
        <v/>
      </c>
      <c r="AE45" s="68">
        <f>IF(AE$59="X","",IF(AE$59&lt;&gt;"",AE$59,IF(IFERROR(INDEX(醫師週班表!$C$5:$T$44,$CU45,AE$57),"")=0,"",IF(LEN(IFERROR(INDEX(醫師週班表!$C$5:$T$44,$CU45,AE$57),""))=4,MID(IFERROR(INDEX(醫師週班表!$C$5:$T$44,$CU45,AE$57),""),1+AE$58*2,1),IF(LEN(IFERROR(INDEX(醫師週班表!$C$5:$T$44,$CU45,AE$57),""))=2,IF(AND(RIGHT(IFERROR(INDEX(醫師週班表!$C$5:$T$44,$CU45,AE$57),""),1)="~",AE$58=1),"",LEFT(IFERROR(INDEX(醫師週班表!$C$5:$T$44,$CU45,AE$57),""),1)),IFERROR(INDEX(醫師週班表!$C$5:$T$44,$CU45,AE$57),""))))))</f>
        <v/>
      </c>
      <c r="AF45" s="67">
        <f>IF(AF$59="X","",IF(AF$59&lt;&gt;"",AF$59,IF(IFERROR(INDEX(醫師週班表!$C$5:$T$44,$CU45,AF$57),"")=0,"",IF(LEN(IFERROR(INDEX(醫師週班表!$C$5:$T$44,$CU45,AF$57),""))=4,MID(IFERROR(INDEX(醫師週班表!$C$5:$T$44,$CU45,AF$57),""),1+AF$58*2,1),IF(LEN(IFERROR(INDEX(醫師週班表!$C$5:$T$44,$CU45,AF$57),""))=2,IF(AND(RIGHT(IFERROR(INDEX(醫師週班表!$C$5:$T$44,$CU45,AF$57),""),1)="~",AF$58=1),"",LEFT(IFERROR(INDEX(醫師週班表!$C$5:$T$44,$CU45,AF$57),""),1)),IFERROR(INDEX(醫師週班表!$C$5:$T$44,$CU45,AF$57),""))))))</f>
        <v/>
      </c>
      <c r="AG45" s="68">
        <f>IF(AG$59="X","",IF(AG$59&lt;&gt;"",AG$59,IF(IFERROR(INDEX(醫師週班表!$C$5:$T$44,$CU45,AG$57),"")=0,"",IF(LEN(IFERROR(INDEX(醫師週班表!$C$5:$T$44,$CU45,AG$57),""))=4,MID(IFERROR(INDEX(醫師週班表!$C$5:$T$44,$CU45,AG$57),""),1+AG$58*2,1),IF(LEN(IFERROR(INDEX(醫師週班表!$C$5:$T$44,$CU45,AG$57),""))=2,IF(AND(RIGHT(IFERROR(INDEX(醫師週班表!$C$5:$T$44,$CU45,AG$57),""),1)="~",AG$58=1),"",LEFT(IFERROR(INDEX(醫師週班表!$C$5:$T$44,$CU45,AG$57),""),1)),IFERROR(INDEX(醫師週班表!$C$5:$T$44,$CU45,AG$57),""))))))</f>
        <v/>
      </c>
      <c r="AH45" s="68">
        <f>IF(AH$59="X","",IF(AH$59&lt;&gt;"",AH$59,IF(IFERROR(INDEX(醫師週班表!$C$5:$T$44,$CU45,AH$57),"")=0,"",IF(LEN(IFERROR(INDEX(醫師週班表!$C$5:$T$44,$CU45,AH$57),""))=4,MID(IFERROR(INDEX(醫師週班表!$C$5:$T$44,$CU45,AH$57),""),1+AH$58*2,1),IF(LEN(IFERROR(INDEX(醫師週班表!$C$5:$T$44,$CU45,AH$57),""))=2,IF(AND(RIGHT(IFERROR(INDEX(醫師週班表!$C$5:$T$44,$CU45,AH$57),""),1)="~",AH$58=1),"",LEFT(IFERROR(INDEX(醫師週班表!$C$5:$T$44,$CU45,AH$57),""),1)),IFERROR(INDEX(醫師週班表!$C$5:$T$44,$CU45,AH$57),""))))))</f>
        <v/>
      </c>
      <c r="AI45" s="67">
        <f>IF(AI$59="X","",IF(AI$59&lt;&gt;"",AI$59,IF(IFERROR(INDEX(醫師週班表!$C$5:$T$44,$CU45,AI$57),"")=0,"",IF(LEN(IFERROR(INDEX(醫師週班表!$C$5:$T$44,$CU45,AI$57),""))=4,MID(IFERROR(INDEX(醫師週班表!$C$5:$T$44,$CU45,AI$57),""),1+AI$58*2,1),IF(LEN(IFERROR(INDEX(醫師週班表!$C$5:$T$44,$CU45,AI$57),""))=2,IF(AND(RIGHT(IFERROR(INDEX(醫師週班表!$C$5:$T$44,$CU45,AI$57),""),1)="~",AI$58=1),"",LEFT(IFERROR(INDEX(醫師週班表!$C$5:$T$44,$CU45,AI$57),""),1)),IFERROR(INDEX(醫師週班表!$C$5:$T$44,$CU45,AI$57),""))))))</f>
        <v/>
      </c>
      <c r="AJ45" s="68">
        <f>IF(AJ$59="X","",IF(AJ$59&lt;&gt;"",AJ$59,IF(IFERROR(INDEX(醫師週班表!$C$5:$T$44,$CU45,AJ$57),"")=0,"",IF(LEN(IFERROR(INDEX(醫師週班表!$C$5:$T$44,$CU45,AJ$57),""))=4,MID(IFERROR(INDEX(醫師週班表!$C$5:$T$44,$CU45,AJ$57),""),1+AJ$58*2,1),IF(LEN(IFERROR(INDEX(醫師週班表!$C$5:$T$44,$CU45,AJ$57),""))=2,IF(AND(RIGHT(IFERROR(INDEX(醫師週班表!$C$5:$T$44,$CU45,AJ$57),""),1)="~",AJ$58=1),"",LEFT(IFERROR(INDEX(醫師週班表!$C$5:$T$44,$CU45,AJ$57),""),1)),IFERROR(INDEX(醫師週班表!$C$5:$T$44,$CU45,AJ$57),""))))))</f>
        <v/>
      </c>
      <c r="AK45" s="68">
        <f>IF(AK$59="X","",IF(AK$59&lt;&gt;"",AK$59,IF(IFERROR(INDEX(醫師週班表!$C$5:$T$44,$CU45,AK$57),"")=0,"",IF(LEN(IFERROR(INDEX(醫師週班表!$C$5:$T$44,$CU45,AK$57),""))=4,MID(IFERROR(INDEX(醫師週班表!$C$5:$T$44,$CU45,AK$57),""),1+AK$58*2,1),IF(LEN(IFERROR(INDEX(醫師週班表!$C$5:$T$44,$CU45,AK$57),""))=2,IF(AND(RIGHT(IFERROR(INDEX(醫師週班表!$C$5:$T$44,$CU45,AK$57),""),1)="~",AK$58=1),"",LEFT(IFERROR(INDEX(醫師週班表!$C$5:$T$44,$CU45,AK$57),""),1)),IFERROR(INDEX(醫師週班表!$C$5:$T$44,$CU45,AK$57),""))))))</f>
        <v/>
      </c>
      <c r="AL45" s="67">
        <f>IF(AL$59="X","",IF(AL$59&lt;&gt;"",AL$59,IF(IFERROR(INDEX(醫師週班表!$C$5:$T$44,$CU45,AL$57),"")=0,"",IF(LEN(IFERROR(INDEX(醫師週班表!$C$5:$T$44,$CU45,AL$57),""))=4,MID(IFERROR(INDEX(醫師週班表!$C$5:$T$44,$CU45,AL$57),""),1+AL$58*2,1),IF(LEN(IFERROR(INDEX(醫師週班表!$C$5:$T$44,$CU45,AL$57),""))=2,IF(AND(RIGHT(IFERROR(INDEX(醫師週班表!$C$5:$T$44,$CU45,AL$57),""),1)="~",AL$58=1),"",LEFT(IFERROR(INDEX(醫師週班表!$C$5:$T$44,$CU45,AL$57),""),1)),IFERROR(INDEX(醫師週班表!$C$5:$T$44,$CU45,AL$57),""))))))</f>
        <v/>
      </c>
      <c r="AM45" s="68">
        <f>IF(AM$59="X","",IF(AM$59&lt;&gt;"",AM$59,IF(IFERROR(INDEX(醫師週班表!$C$5:$T$44,$CU45,AM$57),"")=0,"",IF(LEN(IFERROR(INDEX(醫師週班表!$C$5:$T$44,$CU45,AM$57),""))=4,MID(IFERROR(INDEX(醫師週班表!$C$5:$T$44,$CU45,AM$57),""),1+AM$58*2,1),IF(LEN(IFERROR(INDEX(醫師週班表!$C$5:$T$44,$CU45,AM$57),""))=2,IF(AND(RIGHT(IFERROR(INDEX(醫師週班表!$C$5:$T$44,$CU45,AM$57),""),1)="~",AM$58=1),"",LEFT(IFERROR(INDEX(醫師週班表!$C$5:$T$44,$CU45,AM$57),""),1)),IFERROR(INDEX(醫師週班表!$C$5:$T$44,$CU45,AM$57),""))))))</f>
        <v/>
      </c>
      <c r="AN45" s="68">
        <f>IF(AN$59="X","",IF(AN$59&lt;&gt;"",AN$59,IF(IFERROR(INDEX(醫師週班表!$C$5:$T$44,$CU45,AN$57),"")=0,"",IF(LEN(IFERROR(INDEX(醫師週班表!$C$5:$T$44,$CU45,AN$57),""))=4,MID(IFERROR(INDEX(醫師週班表!$C$5:$T$44,$CU45,AN$57),""),1+AN$58*2,1),IF(LEN(IFERROR(INDEX(醫師週班表!$C$5:$T$44,$CU45,AN$57),""))=2,IF(AND(RIGHT(IFERROR(INDEX(醫師週班表!$C$5:$T$44,$CU45,AN$57),""),1)="~",AN$58=1),"",LEFT(IFERROR(INDEX(醫師週班表!$C$5:$T$44,$CU45,AN$57),""),1)),IFERROR(INDEX(醫師週班表!$C$5:$T$44,$CU45,AN$57),""))))))</f>
        <v/>
      </c>
      <c r="AO45" s="67">
        <f>IF(AO$59="X","",IF(AO$59&lt;&gt;"",AO$59,IF(IFERROR(INDEX(醫師週班表!$C$5:$T$44,$CU45,AO$57),"")=0,"",IF(LEN(IFERROR(INDEX(醫師週班表!$C$5:$T$44,$CU45,AO$57),""))=4,MID(IFERROR(INDEX(醫師週班表!$C$5:$T$44,$CU45,AO$57),""),1+AO$58*2,1),IF(LEN(IFERROR(INDEX(醫師週班表!$C$5:$T$44,$CU45,AO$57),""))=2,IF(AND(RIGHT(IFERROR(INDEX(醫師週班表!$C$5:$T$44,$CU45,AO$57),""),1)="~",AO$58=1),"",LEFT(IFERROR(INDEX(醫師週班表!$C$5:$T$44,$CU45,AO$57),""),1)),IFERROR(INDEX(醫師週班表!$C$5:$T$44,$CU45,AO$57),""))))))</f>
        <v/>
      </c>
      <c r="AP45" s="68">
        <f>IF(AP$59="X","",IF(AP$59&lt;&gt;"",AP$59,IF(IFERROR(INDEX(醫師週班表!$C$5:$T$44,$CU45,AP$57),"")=0,"",IF(LEN(IFERROR(INDEX(醫師週班表!$C$5:$T$44,$CU45,AP$57),""))=4,MID(IFERROR(INDEX(醫師週班表!$C$5:$T$44,$CU45,AP$57),""),1+AP$58*2,1),IF(LEN(IFERROR(INDEX(醫師週班表!$C$5:$T$44,$CU45,AP$57),""))=2,IF(AND(RIGHT(IFERROR(INDEX(醫師週班表!$C$5:$T$44,$CU45,AP$57),""),1)="~",AP$58=1),"",LEFT(IFERROR(INDEX(醫師週班表!$C$5:$T$44,$CU45,AP$57),""),1)),IFERROR(INDEX(醫師週班表!$C$5:$T$44,$CU45,AP$57),""))))))</f>
        <v/>
      </c>
      <c r="AQ45" s="68">
        <f>IF(AQ$59="X","",IF(AQ$59&lt;&gt;"",AQ$59,IF(IFERROR(INDEX(醫師週班表!$C$5:$T$44,$CU45,AQ$57),"")=0,"",IF(LEN(IFERROR(INDEX(醫師週班表!$C$5:$T$44,$CU45,AQ$57),""))=4,MID(IFERROR(INDEX(醫師週班表!$C$5:$T$44,$CU45,AQ$57),""),1+AQ$58*2,1),IF(LEN(IFERROR(INDEX(醫師週班表!$C$5:$T$44,$CU45,AQ$57),""))=2,IF(AND(RIGHT(IFERROR(INDEX(醫師週班表!$C$5:$T$44,$CU45,AQ$57),""),1)="~",AQ$58=1),"",LEFT(IFERROR(INDEX(醫師週班表!$C$5:$T$44,$CU45,AQ$57),""),1)),IFERROR(INDEX(醫師週班表!$C$5:$T$44,$CU45,AQ$57),""))))))</f>
        <v/>
      </c>
      <c r="AR45" s="67">
        <f>IF(AR$59="X","",IF(AR$59&lt;&gt;"",AR$59,IF(IFERROR(INDEX(醫師週班表!$C$5:$T$44,$CU45,AR$57),"")=0,"",IF(LEN(IFERROR(INDEX(醫師週班表!$C$5:$T$44,$CU45,AR$57),""))=4,MID(IFERROR(INDEX(醫師週班表!$C$5:$T$44,$CU45,AR$57),""),1+AR$58*2,1),IF(LEN(IFERROR(INDEX(醫師週班表!$C$5:$T$44,$CU45,AR$57),""))=2,IF(AND(RIGHT(IFERROR(INDEX(醫師週班表!$C$5:$T$44,$CU45,AR$57),""),1)="~",AR$58=1),"",LEFT(IFERROR(INDEX(醫師週班表!$C$5:$T$44,$CU45,AR$57),""),1)),IFERROR(INDEX(醫師週班表!$C$5:$T$44,$CU45,AR$57),""))))))</f>
        <v/>
      </c>
      <c r="AS45" s="68">
        <f>IF(AS$59="X","",IF(AS$59&lt;&gt;"",AS$59,IF(IFERROR(INDEX(醫師週班表!$C$5:$T$44,$CU45,AS$57),"")=0,"",IF(LEN(IFERROR(INDEX(醫師週班表!$C$5:$T$44,$CU45,AS$57),""))=4,MID(IFERROR(INDEX(醫師週班表!$C$5:$T$44,$CU45,AS$57),""),1+AS$58*2,1),IF(LEN(IFERROR(INDEX(醫師週班表!$C$5:$T$44,$CU45,AS$57),""))=2,IF(AND(RIGHT(IFERROR(INDEX(醫師週班表!$C$5:$T$44,$CU45,AS$57),""),1)="~",AS$58=1),"",LEFT(IFERROR(INDEX(醫師週班表!$C$5:$T$44,$CU45,AS$57),""),1)),IFERROR(INDEX(醫師週班表!$C$5:$T$44,$CU45,AS$57),""))))))</f>
        <v/>
      </c>
      <c r="AT45" s="68">
        <f>IF(AT$59="X","",IF(AT$59&lt;&gt;"",AT$59,IF(IFERROR(INDEX(醫師週班表!$C$5:$T$44,$CU45,AT$57),"")=0,"",IF(LEN(IFERROR(INDEX(醫師週班表!$C$5:$T$44,$CU45,AT$57),""))=4,MID(IFERROR(INDEX(醫師週班表!$C$5:$T$44,$CU45,AT$57),""),1+AT$58*2,1),IF(LEN(IFERROR(INDEX(醫師週班表!$C$5:$T$44,$CU45,AT$57),""))=2,IF(AND(RIGHT(IFERROR(INDEX(醫師週班表!$C$5:$T$44,$CU45,AT$57),""),1)="~",AT$58=1),"",LEFT(IFERROR(INDEX(醫師週班表!$C$5:$T$44,$CU45,AT$57),""),1)),IFERROR(INDEX(醫師週班表!$C$5:$T$44,$CU45,AT$57),""))))))</f>
        <v/>
      </c>
      <c r="AU45" s="67">
        <f>IF(AU$59="X","",IF(AU$59&lt;&gt;"",AU$59,IF(IFERROR(INDEX(醫師週班表!$C$5:$T$44,$CU45,AU$57),"")=0,"",IF(LEN(IFERROR(INDEX(醫師週班表!$C$5:$T$44,$CU45,AU$57),""))=4,MID(IFERROR(INDEX(醫師週班表!$C$5:$T$44,$CU45,AU$57),""),1+AU$58*2,1),IF(LEN(IFERROR(INDEX(醫師週班表!$C$5:$T$44,$CU45,AU$57),""))=2,IF(AND(RIGHT(IFERROR(INDEX(醫師週班表!$C$5:$T$44,$CU45,AU$57),""),1)="~",AU$58=1),"",LEFT(IFERROR(INDEX(醫師週班表!$C$5:$T$44,$CU45,AU$57),""),1)),IFERROR(INDEX(醫師週班表!$C$5:$T$44,$CU45,AU$57),""))))))</f>
        <v/>
      </c>
      <c r="AV45" s="68">
        <f>IF(AV$59="X","",IF(AV$59&lt;&gt;"",AV$59,IF(IFERROR(INDEX(醫師週班表!$C$5:$T$44,$CU45,AV$57),"")=0,"",IF(LEN(IFERROR(INDEX(醫師週班表!$C$5:$T$44,$CU45,AV$57),""))=4,MID(IFERROR(INDEX(醫師週班表!$C$5:$T$44,$CU45,AV$57),""),1+AV$58*2,1),IF(LEN(IFERROR(INDEX(醫師週班表!$C$5:$T$44,$CU45,AV$57),""))=2,IF(AND(RIGHT(IFERROR(INDEX(醫師週班表!$C$5:$T$44,$CU45,AV$57),""),1)="~",AV$58=1),"",LEFT(IFERROR(INDEX(醫師週班表!$C$5:$T$44,$CU45,AV$57),""),1)),IFERROR(INDEX(醫師週班表!$C$5:$T$44,$CU45,AV$57),""))))))</f>
        <v/>
      </c>
      <c r="AW45" s="68">
        <f>IF(AW$59="X","",IF(AW$59&lt;&gt;"",AW$59,IF(IFERROR(INDEX(醫師週班表!$C$5:$T$44,$CU45,AW$57),"")=0,"",IF(LEN(IFERROR(INDEX(醫師週班表!$C$5:$T$44,$CU45,AW$57),""))=4,MID(IFERROR(INDEX(醫師週班表!$C$5:$T$44,$CU45,AW$57),""),1+AW$58*2,1),IF(LEN(IFERROR(INDEX(醫師週班表!$C$5:$T$44,$CU45,AW$57),""))=2,IF(AND(RIGHT(IFERROR(INDEX(醫師週班表!$C$5:$T$44,$CU45,AW$57),""),1)="~",AW$58=1),"",LEFT(IFERROR(INDEX(醫師週班表!$C$5:$T$44,$CU45,AW$57),""),1)),IFERROR(INDEX(醫師週班表!$C$5:$T$44,$CU45,AW$57),""))))))</f>
        <v/>
      </c>
      <c r="AX45" s="67">
        <f>IF(AX$59="X","",IF(AX$59&lt;&gt;"",AX$59,IF(IFERROR(INDEX(醫師週班表!$C$5:$T$44,$CU45,AX$57),"")=0,"",IF(LEN(IFERROR(INDEX(醫師週班表!$C$5:$T$44,$CU45,AX$57),""))=4,MID(IFERROR(INDEX(醫師週班表!$C$5:$T$44,$CU45,AX$57),""),1+AX$58*2,1),IF(LEN(IFERROR(INDEX(醫師週班表!$C$5:$T$44,$CU45,AX$57),""))=2,IF(AND(RIGHT(IFERROR(INDEX(醫師週班表!$C$5:$T$44,$CU45,AX$57),""),1)="~",AX$58=1),"",LEFT(IFERROR(INDEX(醫師週班表!$C$5:$T$44,$CU45,AX$57),""),1)),IFERROR(INDEX(醫師週班表!$C$5:$T$44,$CU45,AX$57),""))))))</f>
        <v/>
      </c>
      <c r="AY45" s="68">
        <f>IF(AY$59="X","",IF(AY$59&lt;&gt;"",AY$59,IF(IFERROR(INDEX(醫師週班表!$C$5:$T$44,$CU45,AY$57),"")=0,"",IF(LEN(IFERROR(INDEX(醫師週班表!$C$5:$T$44,$CU45,AY$57),""))=4,MID(IFERROR(INDEX(醫師週班表!$C$5:$T$44,$CU45,AY$57),""),1+AY$58*2,1),IF(LEN(IFERROR(INDEX(醫師週班表!$C$5:$T$44,$CU45,AY$57),""))=2,IF(AND(RIGHT(IFERROR(INDEX(醫師週班表!$C$5:$T$44,$CU45,AY$57),""),1)="~",AY$58=1),"",LEFT(IFERROR(INDEX(醫師週班表!$C$5:$T$44,$CU45,AY$57),""),1)),IFERROR(INDEX(醫師週班表!$C$5:$T$44,$CU45,AY$57),""))))))</f>
        <v/>
      </c>
      <c r="AZ45" s="68">
        <f>IF(AZ$59="X","",IF(AZ$59&lt;&gt;"",AZ$59,IF(IFERROR(INDEX(醫師週班表!$C$5:$T$44,$CU45,AZ$57),"")=0,"",IF(LEN(IFERROR(INDEX(醫師週班表!$C$5:$T$44,$CU45,AZ$57),""))=4,MID(IFERROR(INDEX(醫師週班表!$C$5:$T$44,$CU45,AZ$57),""),1+AZ$58*2,1),IF(LEN(IFERROR(INDEX(醫師週班表!$C$5:$T$44,$CU45,AZ$57),""))=2,IF(AND(RIGHT(IFERROR(INDEX(醫師週班表!$C$5:$T$44,$CU45,AZ$57),""),1)="~",AZ$58=1),"",LEFT(IFERROR(INDEX(醫師週班表!$C$5:$T$44,$CU45,AZ$57),""),1)),IFERROR(INDEX(醫師週班表!$C$5:$T$44,$CU45,AZ$57),""))))))</f>
        <v/>
      </c>
      <c r="BA45" s="67">
        <f>IF(BA$59="X","",IF(BA$59&lt;&gt;"",BA$59,IF(IFERROR(INDEX(醫師週班表!$C$5:$T$44,$CU45,BA$57),"")=0,"",IF(LEN(IFERROR(INDEX(醫師週班表!$C$5:$T$44,$CU45,BA$57),""))=4,MID(IFERROR(INDEX(醫師週班表!$C$5:$T$44,$CU45,BA$57),""),1+BA$58*2,1),IF(LEN(IFERROR(INDEX(醫師週班表!$C$5:$T$44,$CU45,BA$57),""))=2,IF(AND(RIGHT(IFERROR(INDEX(醫師週班表!$C$5:$T$44,$CU45,BA$57),""),1)="~",BA$58=1),"",LEFT(IFERROR(INDEX(醫師週班表!$C$5:$T$44,$CU45,BA$57),""),1)),IFERROR(INDEX(醫師週班表!$C$5:$T$44,$CU45,BA$57),""))))))</f>
        <v/>
      </c>
      <c r="BB45" s="68">
        <f>IF(BB$59="X","",IF(BB$59&lt;&gt;"",BB$59,IF(IFERROR(INDEX(醫師週班表!$C$5:$T$44,$CU45,BB$57),"")=0,"",IF(LEN(IFERROR(INDEX(醫師週班表!$C$5:$T$44,$CU45,BB$57),""))=4,MID(IFERROR(INDEX(醫師週班表!$C$5:$T$44,$CU45,BB$57),""),1+BB$58*2,1),IF(LEN(IFERROR(INDEX(醫師週班表!$C$5:$T$44,$CU45,BB$57),""))=2,IF(AND(RIGHT(IFERROR(INDEX(醫師週班表!$C$5:$T$44,$CU45,BB$57),""),1)="~",BB$58=1),"",LEFT(IFERROR(INDEX(醫師週班表!$C$5:$T$44,$CU45,BB$57),""),1)),IFERROR(INDEX(醫師週班表!$C$5:$T$44,$CU45,BB$57),""))))))</f>
        <v/>
      </c>
      <c r="BC45" s="68">
        <f>IF(BC$59="X","",IF(BC$59&lt;&gt;"",BC$59,IF(IFERROR(INDEX(醫師週班表!$C$5:$T$44,$CU45,BC$57),"")=0,"",IF(LEN(IFERROR(INDEX(醫師週班表!$C$5:$T$44,$CU45,BC$57),""))=4,MID(IFERROR(INDEX(醫師週班表!$C$5:$T$44,$CU45,BC$57),""),1+BC$58*2,1),IF(LEN(IFERROR(INDEX(醫師週班表!$C$5:$T$44,$CU45,BC$57),""))=2,IF(AND(RIGHT(IFERROR(INDEX(醫師週班表!$C$5:$T$44,$CU45,BC$57),""),1)="~",BC$58=1),"",LEFT(IFERROR(INDEX(醫師週班表!$C$5:$T$44,$CU45,BC$57),""),1)),IFERROR(INDEX(醫師週班表!$C$5:$T$44,$CU45,BC$57),""))))))</f>
        <v/>
      </c>
      <c r="BD45" s="67">
        <f>IF(BD$59="X","",IF(BD$59&lt;&gt;"",BD$59,IF(IFERROR(INDEX(醫師週班表!$C$5:$T$44,$CU45,BD$57),"")=0,"",IF(LEN(IFERROR(INDEX(醫師週班表!$C$5:$T$44,$CU45,BD$57),""))=4,MID(IFERROR(INDEX(醫師週班表!$C$5:$T$44,$CU45,BD$57),""),1+BD$58*2,1),IF(LEN(IFERROR(INDEX(醫師週班表!$C$5:$T$44,$CU45,BD$57),""))=2,IF(AND(RIGHT(IFERROR(INDEX(醫師週班表!$C$5:$T$44,$CU45,BD$57),""),1)="~",BD$58=1),"",LEFT(IFERROR(INDEX(醫師週班表!$C$5:$T$44,$CU45,BD$57),""),1)),IFERROR(INDEX(醫師週班表!$C$5:$T$44,$CU45,BD$57),""))))))</f>
        <v/>
      </c>
      <c r="BE45" s="68">
        <f>IF(BE$59="X","",IF(BE$59&lt;&gt;"",BE$59,IF(IFERROR(INDEX(醫師週班表!$C$5:$T$44,$CU45,BE$57),"")=0,"",IF(LEN(IFERROR(INDEX(醫師週班表!$C$5:$T$44,$CU45,BE$57),""))=4,MID(IFERROR(INDEX(醫師週班表!$C$5:$T$44,$CU45,BE$57),""),1+BE$58*2,1),IF(LEN(IFERROR(INDEX(醫師週班表!$C$5:$T$44,$CU45,BE$57),""))=2,IF(AND(RIGHT(IFERROR(INDEX(醫師週班表!$C$5:$T$44,$CU45,BE$57),""),1)="~",BE$58=1),"",LEFT(IFERROR(INDEX(醫師週班表!$C$5:$T$44,$CU45,BE$57),""),1)),IFERROR(INDEX(醫師週班表!$C$5:$T$44,$CU45,BE$57),""))))))</f>
        <v/>
      </c>
      <c r="BF45" s="68">
        <f>IF(BF$59="X","",IF(BF$59&lt;&gt;"",BF$59,IF(IFERROR(INDEX(醫師週班表!$C$5:$T$44,$CU45,BF$57),"")=0,"",IF(LEN(IFERROR(INDEX(醫師週班表!$C$5:$T$44,$CU45,BF$57),""))=4,MID(IFERROR(INDEX(醫師週班表!$C$5:$T$44,$CU45,BF$57),""),1+BF$58*2,1),IF(LEN(IFERROR(INDEX(醫師週班表!$C$5:$T$44,$CU45,BF$57),""))=2,IF(AND(RIGHT(IFERROR(INDEX(醫師週班表!$C$5:$T$44,$CU45,BF$57),""),1)="~",BF$58=1),"",LEFT(IFERROR(INDEX(醫師週班表!$C$5:$T$44,$CU45,BF$57),""),1)),IFERROR(INDEX(醫師週班表!$C$5:$T$44,$CU45,BF$57),""))))))</f>
        <v/>
      </c>
      <c r="BG45" s="67">
        <f>IF(BG$59="X","",IF(BG$59&lt;&gt;"",BG$59,IF(IFERROR(INDEX(醫師週班表!$C$5:$T$44,$CU45,BG$57),"")=0,"",IF(LEN(IFERROR(INDEX(醫師週班表!$C$5:$T$44,$CU45,BG$57),""))=4,MID(IFERROR(INDEX(醫師週班表!$C$5:$T$44,$CU45,BG$57),""),1+BG$58*2,1),IF(LEN(IFERROR(INDEX(醫師週班表!$C$5:$T$44,$CU45,BG$57),""))=2,IF(AND(RIGHT(IFERROR(INDEX(醫師週班表!$C$5:$T$44,$CU45,BG$57),""),1)="~",BG$58=1),"",LEFT(IFERROR(INDEX(醫師週班表!$C$5:$T$44,$CU45,BG$57),""),1)),IFERROR(INDEX(醫師週班表!$C$5:$T$44,$CU45,BG$57),""))))))</f>
        <v/>
      </c>
      <c r="BH45" s="68">
        <f>IF(BH$59="X","",IF(BH$59&lt;&gt;"",BH$59,IF(IFERROR(INDEX(醫師週班表!$C$5:$T$44,$CU45,BH$57),"")=0,"",IF(LEN(IFERROR(INDEX(醫師週班表!$C$5:$T$44,$CU45,BH$57),""))=4,MID(IFERROR(INDEX(醫師週班表!$C$5:$T$44,$CU45,BH$57),""),1+BH$58*2,1),IF(LEN(IFERROR(INDEX(醫師週班表!$C$5:$T$44,$CU45,BH$57),""))=2,IF(AND(RIGHT(IFERROR(INDEX(醫師週班表!$C$5:$T$44,$CU45,BH$57),""),1)="~",BH$58=1),"",LEFT(IFERROR(INDEX(醫師週班表!$C$5:$T$44,$CU45,BH$57),""),1)),IFERROR(INDEX(醫師週班表!$C$5:$T$44,$CU45,BH$57),""))))))</f>
        <v/>
      </c>
      <c r="BI45" s="68">
        <f>IF(BI$59="X","",IF(BI$59&lt;&gt;"",BI$59,IF(IFERROR(INDEX(醫師週班表!$C$5:$T$44,$CU45,BI$57),"")=0,"",IF(LEN(IFERROR(INDEX(醫師週班表!$C$5:$T$44,$CU45,BI$57),""))=4,MID(IFERROR(INDEX(醫師週班表!$C$5:$T$44,$CU45,BI$57),""),1+BI$58*2,1),IF(LEN(IFERROR(INDEX(醫師週班表!$C$5:$T$44,$CU45,BI$57),""))=2,IF(AND(RIGHT(IFERROR(INDEX(醫師週班表!$C$5:$T$44,$CU45,BI$57),""),1)="~",BI$58=1),"",LEFT(IFERROR(INDEX(醫師週班表!$C$5:$T$44,$CU45,BI$57),""),1)),IFERROR(INDEX(醫師週班表!$C$5:$T$44,$CU45,BI$57),""))))))</f>
        <v/>
      </c>
      <c r="BJ45" s="67">
        <f>IF(BJ$59="X","",IF(BJ$59&lt;&gt;"",BJ$59,IF(IFERROR(INDEX(醫師週班表!$C$5:$T$44,$CU45,BJ$57),"")=0,"",IF(LEN(IFERROR(INDEX(醫師週班表!$C$5:$T$44,$CU45,BJ$57),""))=4,MID(IFERROR(INDEX(醫師週班表!$C$5:$T$44,$CU45,BJ$57),""),1+BJ$58*2,1),IF(LEN(IFERROR(INDEX(醫師週班表!$C$5:$T$44,$CU45,BJ$57),""))=2,IF(AND(RIGHT(IFERROR(INDEX(醫師週班表!$C$5:$T$44,$CU45,BJ$57),""),1)="~",BJ$58=1),"",LEFT(IFERROR(INDEX(醫師週班表!$C$5:$T$44,$CU45,BJ$57),""),1)),IFERROR(INDEX(醫師週班表!$C$5:$T$44,$CU45,BJ$57),""))))))</f>
        <v/>
      </c>
      <c r="BK45" s="68">
        <f>IF(BK$59="X","",IF(BK$59&lt;&gt;"",BK$59,IF(IFERROR(INDEX(醫師週班表!$C$5:$T$44,$CU45,BK$57),"")=0,"",IF(LEN(IFERROR(INDEX(醫師週班表!$C$5:$T$44,$CU45,BK$57),""))=4,MID(IFERROR(INDEX(醫師週班表!$C$5:$T$44,$CU45,BK$57),""),1+BK$58*2,1),IF(LEN(IFERROR(INDEX(醫師週班表!$C$5:$T$44,$CU45,BK$57),""))=2,IF(AND(RIGHT(IFERROR(INDEX(醫師週班表!$C$5:$T$44,$CU45,BK$57),""),1)="~",BK$58=1),"",LEFT(IFERROR(INDEX(醫師週班表!$C$5:$T$44,$CU45,BK$57),""),1)),IFERROR(INDEX(醫師週班表!$C$5:$T$44,$CU45,BK$57),""))))))</f>
        <v/>
      </c>
      <c r="BL45" s="68">
        <f>IF(BL$59="X","",IF(BL$59&lt;&gt;"",BL$59,IF(IFERROR(INDEX(醫師週班表!$C$5:$T$44,$CU45,BL$57),"")=0,"",IF(LEN(IFERROR(INDEX(醫師週班表!$C$5:$T$44,$CU45,BL$57),""))=4,MID(IFERROR(INDEX(醫師週班表!$C$5:$T$44,$CU45,BL$57),""),1+BL$58*2,1),IF(LEN(IFERROR(INDEX(醫師週班表!$C$5:$T$44,$CU45,BL$57),""))=2,IF(AND(RIGHT(IFERROR(INDEX(醫師週班表!$C$5:$T$44,$CU45,BL$57),""),1)="~",BL$58=1),"",LEFT(IFERROR(INDEX(醫師週班表!$C$5:$T$44,$CU45,BL$57),""),1)),IFERROR(INDEX(醫師週班表!$C$5:$T$44,$CU45,BL$57),""))))))</f>
        <v/>
      </c>
      <c r="BM45" s="67">
        <f>IF(BM$59="X","",IF(BM$59&lt;&gt;"",BM$59,IF(IFERROR(INDEX(醫師週班表!$C$5:$T$44,$CU45,BM$57),"")=0,"",IF(LEN(IFERROR(INDEX(醫師週班表!$C$5:$T$44,$CU45,BM$57),""))=4,MID(IFERROR(INDEX(醫師週班表!$C$5:$T$44,$CU45,BM$57),""),1+BM$58*2,1),IF(LEN(IFERROR(INDEX(醫師週班表!$C$5:$T$44,$CU45,BM$57),""))=2,IF(AND(RIGHT(IFERROR(INDEX(醫師週班表!$C$5:$T$44,$CU45,BM$57),""),1)="~",BM$58=1),"",LEFT(IFERROR(INDEX(醫師週班表!$C$5:$T$44,$CU45,BM$57),""),1)),IFERROR(INDEX(醫師週班表!$C$5:$T$44,$CU45,BM$57),""))))))</f>
        <v/>
      </c>
      <c r="BN45" s="68">
        <f>IF(BN$59="X","",IF(BN$59&lt;&gt;"",BN$59,IF(IFERROR(INDEX(醫師週班表!$C$5:$T$44,$CU45,BN$57),"")=0,"",IF(LEN(IFERROR(INDEX(醫師週班表!$C$5:$T$44,$CU45,BN$57),""))=4,MID(IFERROR(INDEX(醫師週班表!$C$5:$T$44,$CU45,BN$57),""),1+BN$58*2,1),IF(LEN(IFERROR(INDEX(醫師週班表!$C$5:$T$44,$CU45,BN$57),""))=2,IF(AND(RIGHT(IFERROR(INDEX(醫師週班表!$C$5:$T$44,$CU45,BN$57),""),1)="~",BN$58=1),"",LEFT(IFERROR(INDEX(醫師週班表!$C$5:$T$44,$CU45,BN$57),""),1)),IFERROR(INDEX(醫師週班表!$C$5:$T$44,$CU45,BN$57),""))))))</f>
        <v/>
      </c>
      <c r="BO45" s="68">
        <f>IF(BO$59="X","",IF(BO$59&lt;&gt;"",BO$59,IF(IFERROR(INDEX(醫師週班表!$C$5:$T$44,$CU45,BO$57),"")=0,"",IF(LEN(IFERROR(INDEX(醫師週班表!$C$5:$T$44,$CU45,BO$57),""))=4,MID(IFERROR(INDEX(醫師週班表!$C$5:$T$44,$CU45,BO$57),""),1+BO$58*2,1),IF(LEN(IFERROR(INDEX(醫師週班表!$C$5:$T$44,$CU45,BO$57),""))=2,IF(AND(RIGHT(IFERROR(INDEX(醫師週班表!$C$5:$T$44,$CU45,BO$57),""),1)="~",BO$58=1),"",LEFT(IFERROR(INDEX(醫師週班表!$C$5:$T$44,$CU45,BO$57),""),1)),IFERROR(INDEX(醫師週班表!$C$5:$T$44,$CU45,BO$57),""))))))</f>
        <v/>
      </c>
      <c r="BP45" s="67">
        <f>IF(BP$59="X","",IF(BP$59&lt;&gt;"",BP$59,IF(IFERROR(INDEX(醫師週班表!$C$5:$T$44,$CU45,BP$57),"")=0,"",IF(LEN(IFERROR(INDEX(醫師週班表!$C$5:$T$44,$CU45,BP$57),""))=4,MID(IFERROR(INDEX(醫師週班表!$C$5:$T$44,$CU45,BP$57),""),1+BP$58*2,1),IF(LEN(IFERROR(INDEX(醫師週班表!$C$5:$T$44,$CU45,BP$57),""))=2,IF(AND(RIGHT(IFERROR(INDEX(醫師週班表!$C$5:$T$44,$CU45,BP$57),""),1)="~",BP$58=1),"",LEFT(IFERROR(INDEX(醫師週班表!$C$5:$T$44,$CU45,BP$57),""),1)),IFERROR(INDEX(醫師週班表!$C$5:$T$44,$CU45,BP$57),""))))))</f>
        <v/>
      </c>
      <c r="BQ45" s="68">
        <f>IF(BQ$59="X","",IF(BQ$59&lt;&gt;"",BQ$59,IF(IFERROR(INDEX(醫師週班表!$C$5:$T$44,$CU45,BQ$57),"")=0,"",IF(LEN(IFERROR(INDEX(醫師週班表!$C$5:$T$44,$CU45,BQ$57),""))=4,MID(IFERROR(INDEX(醫師週班表!$C$5:$T$44,$CU45,BQ$57),""),1+BQ$58*2,1),IF(LEN(IFERROR(INDEX(醫師週班表!$C$5:$T$44,$CU45,BQ$57),""))=2,IF(AND(RIGHT(IFERROR(INDEX(醫師週班表!$C$5:$T$44,$CU45,BQ$57),""),1)="~",BQ$58=1),"",LEFT(IFERROR(INDEX(醫師週班表!$C$5:$T$44,$CU45,BQ$57),""),1)),IFERROR(INDEX(醫師週班表!$C$5:$T$44,$CU45,BQ$57),""))))))</f>
        <v/>
      </c>
      <c r="BR45" s="68">
        <f>IF(BR$59="X","",IF(BR$59&lt;&gt;"",BR$59,IF(IFERROR(INDEX(醫師週班表!$C$5:$T$44,$CU45,BR$57),"")=0,"",IF(LEN(IFERROR(INDEX(醫師週班表!$C$5:$T$44,$CU45,BR$57),""))=4,MID(IFERROR(INDEX(醫師週班表!$C$5:$T$44,$CU45,BR$57),""),1+BR$58*2,1),IF(LEN(IFERROR(INDEX(醫師週班表!$C$5:$T$44,$CU45,BR$57),""))=2,IF(AND(RIGHT(IFERROR(INDEX(醫師週班表!$C$5:$T$44,$CU45,BR$57),""),1)="~",BR$58=1),"",LEFT(IFERROR(INDEX(醫師週班表!$C$5:$T$44,$CU45,BR$57),""),1)),IFERROR(INDEX(醫師週班表!$C$5:$T$44,$CU45,BR$57),""))))))</f>
        <v/>
      </c>
      <c r="BS45" s="67">
        <f>IF(BS$59="X","",IF(BS$59&lt;&gt;"",BS$59,IF(IFERROR(INDEX(醫師週班表!$C$5:$T$44,$CU45,BS$57),"")=0,"",IF(LEN(IFERROR(INDEX(醫師週班表!$C$5:$T$44,$CU45,BS$57),""))=4,MID(IFERROR(INDEX(醫師週班表!$C$5:$T$44,$CU45,BS$57),""),1+BS$58*2,1),IF(LEN(IFERROR(INDEX(醫師週班表!$C$5:$T$44,$CU45,BS$57),""))=2,IF(AND(RIGHT(IFERROR(INDEX(醫師週班表!$C$5:$T$44,$CU45,BS$57),""),1)="~",BS$58=1),"",LEFT(IFERROR(INDEX(醫師週班表!$C$5:$T$44,$CU45,BS$57),""),1)),IFERROR(INDEX(醫師週班表!$C$5:$T$44,$CU45,BS$57),""))))))</f>
        <v/>
      </c>
      <c r="BT45" s="68">
        <f>IF(BT$59="X","",IF(BT$59&lt;&gt;"",BT$59,IF(IFERROR(INDEX(醫師週班表!$C$5:$T$44,$CU45,BT$57),"")=0,"",IF(LEN(IFERROR(INDEX(醫師週班表!$C$5:$T$44,$CU45,BT$57),""))=4,MID(IFERROR(INDEX(醫師週班表!$C$5:$T$44,$CU45,BT$57),""),1+BT$58*2,1),IF(LEN(IFERROR(INDEX(醫師週班表!$C$5:$T$44,$CU45,BT$57),""))=2,IF(AND(RIGHT(IFERROR(INDEX(醫師週班表!$C$5:$T$44,$CU45,BT$57),""),1)="~",BT$58=1),"",LEFT(IFERROR(INDEX(醫師週班表!$C$5:$T$44,$CU45,BT$57),""),1)),IFERROR(INDEX(醫師週班表!$C$5:$T$44,$CU45,BT$57),""))))))</f>
        <v/>
      </c>
      <c r="BU45" s="68">
        <f>IF(BU$59="X","",IF(BU$59&lt;&gt;"",BU$59,IF(IFERROR(INDEX(醫師週班表!$C$5:$T$44,$CU45,BU$57),"")=0,"",IF(LEN(IFERROR(INDEX(醫師週班表!$C$5:$T$44,$CU45,BU$57),""))=4,MID(IFERROR(INDEX(醫師週班表!$C$5:$T$44,$CU45,BU$57),""),1+BU$58*2,1),IF(LEN(IFERROR(INDEX(醫師週班表!$C$5:$T$44,$CU45,BU$57),""))=2,IF(AND(RIGHT(IFERROR(INDEX(醫師週班表!$C$5:$T$44,$CU45,BU$57),""),1)="~",BU$58=1),"",LEFT(IFERROR(INDEX(醫師週班表!$C$5:$T$44,$CU45,BU$57),""),1)),IFERROR(INDEX(醫師週班表!$C$5:$T$44,$CU45,BU$57),""))))))</f>
        <v/>
      </c>
      <c r="BV45" s="67">
        <f>IF(BV$59="X","",IF(BV$59&lt;&gt;"",BV$59,IF(IFERROR(INDEX(醫師週班表!$C$5:$T$44,$CU45,BV$57),"")=0,"",IF(LEN(IFERROR(INDEX(醫師週班表!$C$5:$T$44,$CU45,BV$57),""))=4,MID(IFERROR(INDEX(醫師週班表!$C$5:$T$44,$CU45,BV$57),""),1+BV$58*2,1),IF(LEN(IFERROR(INDEX(醫師週班表!$C$5:$T$44,$CU45,BV$57),""))=2,IF(AND(RIGHT(IFERROR(INDEX(醫師週班表!$C$5:$T$44,$CU45,BV$57),""),1)="~",BV$58=1),"",LEFT(IFERROR(INDEX(醫師週班表!$C$5:$T$44,$CU45,BV$57),""),1)),IFERROR(INDEX(醫師週班表!$C$5:$T$44,$CU45,BV$57),""))))))</f>
        <v/>
      </c>
      <c r="BW45" s="68">
        <f>IF(BW$59="X","",IF(BW$59&lt;&gt;"",BW$59,IF(IFERROR(INDEX(醫師週班表!$C$5:$T$44,$CU45,BW$57),"")=0,"",IF(LEN(IFERROR(INDEX(醫師週班表!$C$5:$T$44,$CU45,BW$57),""))=4,MID(IFERROR(INDEX(醫師週班表!$C$5:$T$44,$CU45,BW$57),""),1+BW$58*2,1),IF(LEN(IFERROR(INDEX(醫師週班表!$C$5:$T$44,$CU45,BW$57),""))=2,IF(AND(RIGHT(IFERROR(INDEX(醫師週班表!$C$5:$T$44,$CU45,BW$57),""),1)="~",BW$58=1),"",LEFT(IFERROR(INDEX(醫師週班表!$C$5:$T$44,$CU45,BW$57),""),1)),IFERROR(INDEX(醫師週班表!$C$5:$T$44,$CU45,BW$57),""))))))</f>
        <v/>
      </c>
      <c r="BX45" s="68">
        <f>IF(BX$59="X","",IF(BX$59&lt;&gt;"",BX$59,IF(IFERROR(INDEX(醫師週班表!$C$5:$T$44,$CU45,BX$57),"")=0,"",IF(LEN(IFERROR(INDEX(醫師週班表!$C$5:$T$44,$CU45,BX$57),""))=4,MID(IFERROR(INDEX(醫師週班表!$C$5:$T$44,$CU45,BX$57),""),1+BX$58*2,1),IF(LEN(IFERROR(INDEX(醫師週班表!$C$5:$T$44,$CU45,BX$57),""))=2,IF(AND(RIGHT(IFERROR(INDEX(醫師週班表!$C$5:$T$44,$CU45,BX$57),""),1)="~",BX$58=1),"",LEFT(IFERROR(INDEX(醫師週班表!$C$5:$T$44,$CU45,BX$57),""),1)),IFERROR(INDEX(醫師週班表!$C$5:$T$44,$CU45,BX$57),""))))))</f>
        <v/>
      </c>
      <c r="BY45" s="67">
        <f>IF(BY$59="X","",IF(BY$59&lt;&gt;"",BY$59,IF(IFERROR(INDEX(醫師週班表!$C$5:$T$44,$CU45,BY$57),"")=0,"",IF(LEN(IFERROR(INDEX(醫師週班表!$C$5:$T$44,$CU45,BY$57),""))=4,MID(IFERROR(INDEX(醫師週班表!$C$5:$T$44,$CU45,BY$57),""),1+BY$58*2,1),IF(LEN(IFERROR(INDEX(醫師週班表!$C$5:$T$44,$CU45,BY$57),""))=2,IF(AND(RIGHT(IFERROR(INDEX(醫師週班表!$C$5:$T$44,$CU45,BY$57),""),1)="~",BY$58=1),"",LEFT(IFERROR(INDEX(醫師週班表!$C$5:$T$44,$CU45,BY$57),""),1)),IFERROR(INDEX(醫師週班表!$C$5:$T$44,$CU45,BY$57),""))))))</f>
        <v/>
      </c>
      <c r="BZ45" s="68">
        <f>IF(BZ$59="X","",IF(BZ$59&lt;&gt;"",BZ$59,IF(IFERROR(INDEX(醫師週班表!$C$5:$T$44,$CU45,BZ$57),"")=0,"",IF(LEN(IFERROR(INDEX(醫師週班表!$C$5:$T$44,$CU45,BZ$57),""))=4,MID(IFERROR(INDEX(醫師週班表!$C$5:$T$44,$CU45,BZ$57),""),1+BZ$58*2,1),IF(LEN(IFERROR(INDEX(醫師週班表!$C$5:$T$44,$CU45,BZ$57),""))=2,IF(AND(RIGHT(IFERROR(INDEX(醫師週班表!$C$5:$T$44,$CU45,BZ$57),""),1)="~",BZ$58=1),"",LEFT(IFERROR(INDEX(醫師週班表!$C$5:$T$44,$CU45,BZ$57),""),1)),IFERROR(INDEX(醫師週班表!$C$5:$T$44,$CU45,BZ$57),""))))))</f>
        <v/>
      </c>
      <c r="CA45" s="68">
        <f>IF(CA$59="X","",IF(CA$59&lt;&gt;"",CA$59,IF(IFERROR(INDEX(醫師週班表!$C$5:$T$44,$CU45,CA$57),"")=0,"",IF(LEN(IFERROR(INDEX(醫師週班表!$C$5:$T$44,$CU45,CA$57),""))=4,MID(IFERROR(INDEX(醫師週班表!$C$5:$T$44,$CU45,CA$57),""),1+CA$58*2,1),IF(LEN(IFERROR(INDEX(醫師週班表!$C$5:$T$44,$CU45,CA$57),""))=2,IF(AND(RIGHT(IFERROR(INDEX(醫師週班表!$C$5:$T$44,$CU45,CA$57),""),1)="~",CA$58=1),"",LEFT(IFERROR(INDEX(醫師週班表!$C$5:$T$44,$CU45,CA$57),""),1)),IFERROR(INDEX(醫師週班表!$C$5:$T$44,$CU45,CA$57),""))))))</f>
        <v/>
      </c>
      <c r="CB45" s="67">
        <f>IF(CB$59="X","",IF(CB$59&lt;&gt;"",CB$59,IF(IFERROR(INDEX(醫師週班表!$C$5:$T$44,$CU45,CB$57),"")=0,"",IF(LEN(IFERROR(INDEX(醫師週班表!$C$5:$T$44,$CU45,CB$57),""))=4,MID(IFERROR(INDEX(醫師週班表!$C$5:$T$44,$CU45,CB$57),""),1+CB$58*2,1),IF(LEN(IFERROR(INDEX(醫師週班表!$C$5:$T$44,$CU45,CB$57),""))=2,IF(AND(RIGHT(IFERROR(INDEX(醫師週班表!$C$5:$T$44,$CU45,CB$57),""),1)="~",CB$58=1),"",LEFT(IFERROR(INDEX(醫師週班表!$C$5:$T$44,$CU45,CB$57),""),1)),IFERROR(INDEX(醫師週班表!$C$5:$T$44,$CU45,CB$57),""))))))</f>
        <v/>
      </c>
      <c r="CC45" s="68">
        <f>IF(CC$59="X","",IF(CC$59&lt;&gt;"",CC$59,IF(IFERROR(INDEX(醫師週班表!$C$5:$T$44,$CU45,CC$57),"")=0,"",IF(LEN(IFERROR(INDEX(醫師週班表!$C$5:$T$44,$CU45,CC$57),""))=4,MID(IFERROR(INDEX(醫師週班表!$C$5:$T$44,$CU45,CC$57),""),1+CC$58*2,1),IF(LEN(IFERROR(INDEX(醫師週班表!$C$5:$T$44,$CU45,CC$57),""))=2,IF(AND(RIGHT(IFERROR(INDEX(醫師週班表!$C$5:$T$44,$CU45,CC$57),""),1)="~",CC$58=1),"",LEFT(IFERROR(INDEX(醫師週班表!$C$5:$T$44,$CU45,CC$57),""),1)),IFERROR(INDEX(醫師週班表!$C$5:$T$44,$CU45,CC$57),""))))))</f>
        <v/>
      </c>
      <c r="CD45" s="68">
        <f>IF(CD$59="X","",IF(CD$59&lt;&gt;"",CD$59,IF(IFERROR(INDEX(醫師週班表!$C$5:$T$44,$CU45,CD$57),"")=0,"",IF(LEN(IFERROR(INDEX(醫師週班表!$C$5:$T$44,$CU45,CD$57),""))=4,MID(IFERROR(INDEX(醫師週班表!$C$5:$T$44,$CU45,CD$57),""),1+CD$58*2,1),IF(LEN(IFERROR(INDEX(醫師週班表!$C$5:$T$44,$CU45,CD$57),""))=2,IF(AND(RIGHT(IFERROR(INDEX(醫師週班表!$C$5:$T$44,$CU45,CD$57),""),1)="~",CD$58=1),"",LEFT(IFERROR(INDEX(醫師週班表!$C$5:$T$44,$CU45,CD$57),""),1)),IFERROR(INDEX(醫師週班表!$C$5:$T$44,$CU45,CD$57),""))))))</f>
        <v/>
      </c>
      <c r="CE45" s="67">
        <f>IF(CE$59="X","",IF(CE$59&lt;&gt;"",CE$59,IF(IFERROR(INDEX(醫師週班表!$C$5:$T$44,$CU45,CE$57),"")=0,"",IF(LEN(IFERROR(INDEX(醫師週班表!$C$5:$T$44,$CU45,CE$57),""))=4,MID(IFERROR(INDEX(醫師週班表!$C$5:$T$44,$CU45,CE$57),""),1+CE$58*2,1),IF(LEN(IFERROR(INDEX(醫師週班表!$C$5:$T$44,$CU45,CE$57),""))=2,IF(AND(RIGHT(IFERROR(INDEX(醫師週班表!$C$5:$T$44,$CU45,CE$57),""),1)="~",CE$58=1),"",LEFT(IFERROR(INDEX(醫師週班表!$C$5:$T$44,$CU45,CE$57),""),1)),IFERROR(INDEX(醫師週班表!$C$5:$T$44,$CU45,CE$57),""))))))</f>
        <v/>
      </c>
      <c r="CF45" s="68">
        <f>IF(CF$59="X","",IF(CF$59&lt;&gt;"",CF$59,IF(IFERROR(INDEX(醫師週班表!$C$5:$T$44,$CU45,CF$57),"")=0,"",IF(LEN(IFERROR(INDEX(醫師週班表!$C$5:$T$44,$CU45,CF$57),""))=4,MID(IFERROR(INDEX(醫師週班表!$C$5:$T$44,$CU45,CF$57),""),1+CF$58*2,1),IF(LEN(IFERROR(INDEX(醫師週班表!$C$5:$T$44,$CU45,CF$57),""))=2,IF(AND(RIGHT(IFERROR(INDEX(醫師週班表!$C$5:$T$44,$CU45,CF$57),""),1)="~",CF$58=1),"",LEFT(IFERROR(INDEX(醫師週班表!$C$5:$T$44,$CU45,CF$57),""),1)),IFERROR(INDEX(醫師週班表!$C$5:$T$44,$CU45,CF$57),""))))))</f>
        <v/>
      </c>
      <c r="CG45" s="68">
        <f>IF(CG$59="X","",IF(CG$59&lt;&gt;"",CG$59,IF(IFERROR(INDEX(醫師週班表!$C$5:$T$44,$CU45,CG$57),"")=0,"",IF(LEN(IFERROR(INDEX(醫師週班表!$C$5:$T$44,$CU45,CG$57),""))=4,MID(IFERROR(INDEX(醫師週班表!$C$5:$T$44,$CU45,CG$57),""),1+CG$58*2,1),IF(LEN(IFERROR(INDEX(醫師週班表!$C$5:$T$44,$CU45,CG$57),""))=2,IF(AND(RIGHT(IFERROR(INDEX(醫師週班表!$C$5:$T$44,$CU45,CG$57),""),1)="~",CG$58=1),"",LEFT(IFERROR(INDEX(醫師週班表!$C$5:$T$44,$CU45,CG$57),""),1)),IFERROR(INDEX(醫師週班表!$C$5:$T$44,$CU45,CG$57),""))))))</f>
        <v/>
      </c>
      <c r="CH45" s="67">
        <f>IF(CH$59="X","",IF(CH$59&lt;&gt;"",CH$59,IF(IFERROR(INDEX(醫師週班表!$C$5:$T$44,$CU45,CH$57),"")=0,"",IF(LEN(IFERROR(INDEX(醫師週班表!$C$5:$T$44,$CU45,CH$57),""))=4,MID(IFERROR(INDEX(醫師週班表!$C$5:$T$44,$CU45,CH$57),""),1+CH$58*2,1),IF(LEN(IFERROR(INDEX(醫師週班表!$C$5:$T$44,$CU45,CH$57),""))=2,IF(AND(RIGHT(IFERROR(INDEX(醫師週班表!$C$5:$T$44,$CU45,CH$57),""),1)="~",CH$58=1),"",LEFT(IFERROR(INDEX(醫師週班表!$C$5:$T$44,$CU45,CH$57),""),1)),IFERROR(INDEX(醫師週班表!$C$5:$T$44,$CU45,CH$57),""))))))</f>
        <v/>
      </c>
      <c r="CI45" s="68">
        <f>IF(CI$59="X","",IF(CI$59&lt;&gt;"",CI$59,IF(IFERROR(INDEX(醫師週班表!$C$5:$T$44,$CU45,CI$57),"")=0,"",IF(LEN(IFERROR(INDEX(醫師週班表!$C$5:$T$44,$CU45,CI$57),""))=4,MID(IFERROR(INDEX(醫師週班表!$C$5:$T$44,$CU45,CI$57),""),1+CI$58*2,1),IF(LEN(IFERROR(INDEX(醫師週班表!$C$5:$T$44,$CU45,CI$57),""))=2,IF(AND(RIGHT(IFERROR(INDEX(醫師週班表!$C$5:$T$44,$CU45,CI$57),""),1)="~",CI$58=1),"",LEFT(IFERROR(INDEX(醫師週班表!$C$5:$T$44,$CU45,CI$57),""),1)),IFERROR(INDEX(醫師週班表!$C$5:$T$44,$CU45,CI$57),""))))))</f>
        <v/>
      </c>
      <c r="CJ45" s="68">
        <f>IF(CJ$59="X","",IF(CJ$59&lt;&gt;"",CJ$59,IF(IFERROR(INDEX(醫師週班表!$C$5:$T$44,$CU45,CJ$57),"")=0,"",IF(LEN(IFERROR(INDEX(醫師週班表!$C$5:$T$44,$CU45,CJ$57),""))=4,MID(IFERROR(INDEX(醫師週班表!$C$5:$T$44,$CU45,CJ$57),""),1+CJ$58*2,1),IF(LEN(IFERROR(INDEX(醫師週班表!$C$5:$T$44,$CU45,CJ$57),""))=2,IF(AND(RIGHT(IFERROR(INDEX(醫師週班表!$C$5:$T$44,$CU45,CJ$57),""),1)="~",CJ$58=1),"",LEFT(IFERROR(INDEX(醫師週班表!$C$5:$T$44,$CU45,CJ$57),""),1)),IFERROR(INDEX(醫師週班表!$C$5:$T$44,$CU45,CJ$57),""))))))</f>
        <v/>
      </c>
      <c r="CK45" s="67">
        <f>IF(CK$59="X","",IF(CK$59&lt;&gt;"",CK$59,IF(IFERROR(INDEX(醫師週班表!$C$5:$T$44,$CU45,CK$57),"")=0,"",IF(LEN(IFERROR(INDEX(醫師週班表!$C$5:$T$44,$CU45,CK$57),""))=4,MID(IFERROR(INDEX(醫師週班表!$C$5:$T$44,$CU45,CK$57),""),1+CK$58*2,1),IF(LEN(IFERROR(INDEX(醫師週班表!$C$5:$T$44,$CU45,CK$57),""))=2,IF(AND(RIGHT(IFERROR(INDEX(醫師週班表!$C$5:$T$44,$CU45,CK$57),""),1)="~",CK$58=1),"",LEFT(IFERROR(INDEX(醫師週班表!$C$5:$T$44,$CU45,CK$57),""),1)),IFERROR(INDEX(醫師週班表!$C$5:$T$44,$CU45,CK$57),""))))))</f>
        <v/>
      </c>
      <c r="CL45" s="68">
        <f>IF(CL$59="X","",IF(CL$59&lt;&gt;"",CL$59,IF(IFERROR(INDEX(醫師週班表!$C$5:$T$44,$CU45,CL$57),"")=0,"",IF(LEN(IFERROR(INDEX(醫師週班表!$C$5:$T$44,$CU45,CL$57),""))=4,MID(IFERROR(INDEX(醫師週班表!$C$5:$T$44,$CU45,CL$57),""),1+CL$58*2,1),IF(LEN(IFERROR(INDEX(醫師週班表!$C$5:$T$44,$CU45,CL$57),""))=2,IF(AND(RIGHT(IFERROR(INDEX(醫師週班表!$C$5:$T$44,$CU45,CL$57),""),1)="~",CL$58=1),"",LEFT(IFERROR(INDEX(醫師週班表!$C$5:$T$44,$CU45,CL$57),""),1)),IFERROR(INDEX(醫師週班表!$C$5:$T$44,$CU45,CL$57),""))))))</f>
        <v/>
      </c>
      <c r="CM45" s="68">
        <f>IF(CM$59="X","",IF(CM$59&lt;&gt;"",CM$59,IF(IFERROR(INDEX(醫師週班表!$C$5:$T$44,$CU45,CM$57),"")=0,"",IF(LEN(IFERROR(INDEX(醫師週班表!$C$5:$T$44,$CU45,CM$57),""))=4,MID(IFERROR(INDEX(醫師週班表!$C$5:$T$44,$CU45,CM$57),""),1+CM$58*2,1),IF(LEN(IFERROR(INDEX(醫師週班表!$C$5:$T$44,$CU45,CM$57),""))=2,IF(AND(RIGHT(IFERROR(INDEX(醫師週班表!$C$5:$T$44,$CU45,CM$57),""),1)="~",CM$58=1),"",LEFT(IFERROR(INDEX(醫師週班表!$C$5:$T$44,$CU45,CM$57),""),1)),IFERROR(INDEX(醫師週班表!$C$5:$T$44,$CU45,CM$57),""))))))</f>
        <v/>
      </c>
      <c r="CN45" s="67">
        <f>IF(CN$59="X","",IF(CN$59&lt;&gt;"",CN$59,IF(IFERROR(INDEX(醫師週班表!$C$5:$T$44,$CU45,CN$57),"")=0,"",IF(LEN(IFERROR(INDEX(醫師週班表!$C$5:$T$44,$CU45,CN$57),""))=4,MID(IFERROR(INDEX(醫師週班表!$C$5:$T$44,$CU45,CN$57),""),1+CN$58*2,1),IF(LEN(IFERROR(INDEX(醫師週班表!$C$5:$T$44,$CU45,CN$57),""))=2,IF(AND(RIGHT(IFERROR(INDEX(醫師週班表!$C$5:$T$44,$CU45,CN$57),""),1)="~",CN$58=1),"",LEFT(IFERROR(INDEX(醫師週班表!$C$5:$T$44,$CU45,CN$57),""),1)),IFERROR(INDEX(醫師週班表!$C$5:$T$44,$CU45,CN$57),""))))))</f>
        <v/>
      </c>
      <c r="CO45" s="68">
        <f>IF(CO$59="X","",IF(CO$59&lt;&gt;"",CO$59,IF(IFERROR(INDEX(醫師週班表!$C$5:$T$44,$CU45,CO$57),"")=0,"",IF(LEN(IFERROR(INDEX(醫師週班表!$C$5:$T$44,$CU45,CO$57),""))=4,MID(IFERROR(INDEX(醫師週班表!$C$5:$T$44,$CU45,CO$57),""),1+CO$58*2,1),IF(LEN(IFERROR(INDEX(醫師週班表!$C$5:$T$44,$CU45,CO$57),""))=2,IF(AND(RIGHT(IFERROR(INDEX(醫師週班表!$C$5:$T$44,$CU45,CO$57),""),1)="~",CO$58=1),"",LEFT(IFERROR(INDEX(醫師週班表!$C$5:$T$44,$CU45,CO$57),""),1)),IFERROR(INDEX(醫師週班表!$C$5:$T$44,$CU45,CO$57),""))))))</f>
        <v/>
      </c>
      <c r="CP45" s="68">
        <f>IF(CP$59="X","",IF(CP$59&lt;&gt;"",CP$59,IF(IFERROR(INDEX(醫師週班表!$C$5:$T$44,$CU45,CP$57),"")=0,"",IF(LEN(IFERROR(INDEX(醫師週班表!$C$5:$T$44,$CU45,CP$57),""))=4,MID(IFERROR(INDEX(醫師週班表!$C$5:$T$44,$CU45,CP$57),""),1+CP$58*2,1),IF(LEN(IFERROR(INDEX(醫師週班表!$C$5:$T$44,$CU45,CP$57),""))=2,IF(AND(RIGHT(IFERROR(INDEX(醫師週班表!$C$5:$T$44,$CU45,CP$57),""),1)="~",CP$58=1),"",LEFT(IFERROR(INDEX(醫師週班表!$C$5:$T$44,$CU45,CP$57),""),1)),IFERROR(INDEX(醫師週班表!$C$5:$T$44,$CU45,CP$57),""))))))</f>
        <v/>
      </c>
      <c r="CQ45" s="67">
        <f>IF(CQ$59="X","",IF(CQ$59&lt;&gt;"",CQ$59,IF(IFERROR(INDEX(醫師週班表!$C$5:$T$44,$CU45,CQ$57),"")=0,"",IF(LEN(IFERROR(INDEX(醫師週班表!$C$5:$T$44,$CU45,CQ$57),""))=4,MID(IFERROR(INDEX(醫師週班表!$C$5:$T$44,$CU45,CQ$57),""),1+CQ$58*2,1),IF(LEN(IFERROR(INDEX(醫師週班表!$C$5:$T$44,$CU45,CQ$57),""))=2,IF(AND(RIGHT(IFERROR(INDEX(醫師週班表!$C$5:$T$44,$CU45,CQ$57),""),1)="~",CQ$58=1),"",LEFT(IFERROR(INDEX(醫師週班表!$C$5:$T$44,$CU45,CQ$57),""),1)),IFERROR(INDEX(醫師週班表!$C$5:$T$44,$CU45,CQ$57),""))))))</f>
        <v/>
      </c>
      <c r="CR45" s="68">
        <f>IF(CR$59="X","",IF(CR$59&lt;&gt;"",CR$59,IF(IFERROR(INDEX(醫師週班表!$C$5:$T$44,$CU45,CR$57),"")=0,"",IF(LEN(IFERROR(INDEX(醫師週班表!$C$5:$T$44,$CU45,CR$57),""))=4,MID(IFERROR(INDEX(醫師週班表!$C$5:$T$44,$CU45,CR$57),""),1+CR$58*2,1),IF(LEN(IFERROR(INDEX(醫師週班表!$C$5:$T$44,$CU45,CR$57),""))=2,IF(AND(RIGHT(IFERROR(INDEX(醫師週班表!$C$5:$T$44,$CU45,CR$57),""),1)="~",CR$58=1),"",LEFT(IFERROR(INDEX(醫師週班表!$C$5:$T$44,$CU45,CR$57),""),1)),IFERROR(INDEX(醫師週班表!$C$5:$T$44,$CU45,CR$57),""))))))</f>
        <v/>
      </c>
      <c r="CS45" s="68">
        <f>IF(CS$59="X","",IF(CS$59&lt;&gt;"",CS$59,IF(IFERROR(INDEX(醫師週班表!$C$5:$T$44,$CU45,CS$57),"")=0,"",IF(LEN(IFERROR(INDEX(醫師週班表!$C$5:$T$44,$CU45,CS$57),""))=4,MID(IFERROR(INDEX(醫師週班表!$C$5:$T$44,$CU45,CS$57),""),1+CS$58*2,1),IF(LEN(IFERROR(INDEX(醫師週班表!$C$5:$T$44,$CU45,CS$57),""))=2,IF(AND(RIGHT(IFERROR(INDEX(醫師週班表!$C$5:$T$44,$CU45,CS$57),""),1)="~",CS$58=1),"",LEFT(IFERROR(INDEX(醫師週班表!$C$5:$T$44,$CU45,CS$57),""),1)),IFERROR(INDEX(醫師週班表!$C$5:$T$44,$CU45,CS$57),"")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IF(E$4="","",IF(COUNTIF(設定!$W$6:$W$40,DATE(設定!$C$2,設定!$D$2,1))&gt;0,"假",IF(INDEX(設定!$U$47:$AO$47,(WEEKDAY(DATE(設定!$C$2,設定!$D$2,1),2)-1)*3+1)=0,"休",COUNTIF(E$6:E$45,"悅"))))</f>
        <v/>
      </c>
      <c r="F47" s="72">
        <f>IF(F$4="","",IF(COUNTIF(設定!$W$6:$W$40,DATE(設定!$C$2,設定!$D$2,1))&gt;0,"假",IF(INDEX(設定!$U$47:$AO$47,(WEEKDAY(DATE(設定!$C$2,設定!$D$2,1),2)-1)*3+2)=0,"休",COUNTIF(F$6:F$45,"悅"))))</f>
        <v/>
      </c>
      <c r="G47" s="72">
        <f>IF(G$4="","",IF(COUNTIF(設定!$W$6:$W$40,DATE(設定!$C$2,設定!$D$2,1))&gt;0,"假",IF(INDEX(設定!$U$47:$AO$47,(WEEKDAY(DATE(設定!$C$2,設定!$D$2,1),2)-1)*3+3)=0,"休",COUNTIF(G$6:G$45,"悅"))))</f>
        <v/>
      </c>
      <c r="H47" s="71">
        <f>IF(H$4="","",IF(COUNTIF(設定!$W$6:$W$40,DATE(設定!$C$2,設定!$D$2,2))&gt;0,"假",IF(INDEX(設定!$U$47:$AO$47,(WEEKDAY(DATE(設定!$C$2,設定!$D$2,2),2)-1)*3+1)=0,"休",COUNTIF(H$6:H$45,"悅"))))</f>
        <v/>
      </c>
      <c r="I47" s="72">
        <f>IF(I$4="","",IF(COUNTIF(設定!$W$6:$W$40,DATE(設定!$C$2,設定!$D$2,2))&gt;0,"假",IF(INDEX(設定!$U$47:$AO$47,(WEEKDAY(DATE(設定!$C$2,設定!$D$2,2),2)-1)*3+2)=0,"休",COUNTIF(I$6:I$45,"悅"))))</f>
        <v/>
      </c>
      <c r="J47" s="72">
        <f>IF(J$4="","",IF(COUNTIF(設定!$W$6:$W$40,DATE(設定!$C$2,設定!$D$2,2))&gt;0,"假",IF(INDEX(設定!$U$47:$AO$47,(WEEKDAY(DATE(設定!$C$2,設定!$D$2,2),2)-1)*3+3)=0,"休",COUNTIF(J$6:J$45,"悅"))))</f>
        <v/>
      </c>
      <c r="K47" s="71">
        <f>IF(K$4="","",IF(COUNTIF(設定!$W$6:$W$40,DATE(設定!$C$2,設定!$D$2,3))&gt;0,"假",IF(INDEX(設定!$U$47:$AO$47,(WEEKDAY(DATE(設定!$C$2,設定!$D$2,3),2)-1)*3+1)=0,"休",COUNTIF(K$6:K$45,"悅"))))</f>
        <v/>
      </c>
      <c r="L47" s="72">
        <f>IF(L$4="","",IF(COUNTIF(設定!$W$6:$W$40,DATE(設定!$C$2,設定!$D$2,3))&gt;0,"假",IF(INDEX(設定!$U$47:$AO$47,(WEEKDAY(DATE(設定!$C$2,設定!$D$2,3),2)-1)*3+2)=0,"休",COUNTIF(L$6:L$45,"悅"))))</f>
        <v/>
      </c>
      <c r="M47" s="72">
        <f>IF(M$4="","",IF(COUNTIF(設定!$W$6:$W$40,DATE(設定!$C$2,設定!$D$2,3))&gt;0,"假",IF(INDEX(設定!$U$47:$AO$47,(WEEKDAY(DATE(設定!$C$2,設定!$D$2,3),2)-1)*3+3)=0,"休",COUNTIF(M$6:M$45,"悅"))))</f>
        <v/>
      </c>
      <c r="N47" s="71">
        <f>IF(N$4="","",IF(COUNTIF(設定!$W$6:$W$40,DATE(設定!$C$2,設定!$D$2,4))&gt;0,"假",IF(INDEX(設定!$U$47:$AO$47,(WEEKDAY(DATE(設定!$C$2,設定!$D$2,4),2)-1)*3+1)=0,"休",COUNTIF(N$6:N$45,"悅"))))</f>
        <v/>
      </c>
      <c r="O47" s="72">
        <f>IF(O$4="","",IF(COUNTIF(設定!$W$6:$W$40,DATE(設定!$C$2,設定!$D$2,4))&gt;0,"假",IF(INDEX(設定!$U$47:$AO$47,(WEEKDAY(DATE(設定!$C$2,設定!$D$2,4),2)-1)*3+2)=0,"休",COUNTIF(O$6:O$45,"悅"))))</f>
        <v/>
      </c>
      <c r="P47" s="72">
        <f>IF(P$4="","",IF(COUNTIF(設定!$W$6:$W$40,DATE(設定!$C$2,設定!$D$2,4))&gt;0,"假",IF(INDEX(設定!$U$47:$AO$47,(WEEKDAY(DATE(設定!$C$2,設定!$D$2,4),2)-1)*3+3)=0,"休",COUNTIF(P$6:P$45,"悅"))))</f>
        <v/>
      </c>
      <c r="Q47" s="71">
        <f>IF(Q$4="","",IF(COUNTIF(設定!$W$6:$W$40,DATE(設定!$C$2,設定!$D$2,5))&gt;0,"假",IF(INDEX(設定!$U$47:$AO$47,(WEEKDAY(DATE(設定!$C$2,設定!$D$2,5),2)-1)*3+1)=0,"休",COUNTIF(Q$6:Q$45,"悅"))))</f>
        <v/>
      </c>
      <c r="R47" s="72">
        <f>IF(R$4="","",IF(COUNTIF(設定!$W$6:$W$40,DATE(設定!$C$2,設定!$D$2,5))&gt;0,"假",IF(INDEX(設定!$U$47:$AO$47,(WEEKDAY(DATE(設定!$C$2,設定!$D$2,5),2)-1)*3+2)=0,"休",COUNTIF(R$6:R$45,"悅"))))</f>
        <v/>
      </c>
      <c r="S47" s="72">
        <f>IF(S$4="","",IF(COUNTIF(設定!$W$6:$W$40,DATE(設定!$C$2,設定!$D$2,5))&gt;0,"假",IF(INDEX(設定!$U$47:$AO$47,(WEEKDAY(DATE(設定!$C$2,設定!$D$2,5),2)-1)*3+3)=0,"休",COUNTIF(S$6:S$45,"悅"))))</f>
        <v/>
      </c>
      <c r="T47" s="71">
        <f>IF(T$4="","",IF(COUNTIF(設定!$W$6:$W$40,DATE(設定!$C$2,設定!$D$2,6))&gt;0,"假",IF(INDEX(設定!$U$47:$AO$47,(WEEKDAY(DATE(設定!$C$2,設定!$D$2,6),2)-1)*3+1)=0,"休",COUNTIF(T$6:T$45,"悅"))))</f>
        <v/>
      </c>
      <c r="U47" s="72">
        <f>IF(U$4="","",IF(COUNTIF(設定!$W$6:$W$40,DATE(設定!$C$2,設定!$D$2,6))&gt;0,"假",IF(INDEX(設定!$U$47:$AO$47,(WEEKDAY(DATE(設定!$C$2,設定!$D$2,6),2)-1)*3+2)=0,"休",COUNTIF(U$6:U$45,"悅"))))</f>
        <v/>
      </c>
      <c r="V47" s="72">
        <f>IF(V$4="","",IF(COUNTIF(設定!$W$6:$W$40,DATE(設定!$C$2,設定!$D$2,6))&gt;0,"假",IF(INDEX(設定!$U$47:$AO$47,(WEEKDAY(DATE(設定!$C$2,設定!$D$2,6),2)-1)*3+3)=0,"休",COUNTIF(V$6:V$45,"悅"))))</f>
        <v/>
      </c>
      <c r="W47" s="71">
        <f>IF(W$4="","",IF(COUNTIF(設定!$W$6:$W$40,DATE(設定!$C$2,設定!$D$2,7))&gt;0,"假",IF(INDEX(設定!$U$47:$AO$47,(WEEKDAY(DATE(設定!$C$2,設定!$D$2,7),2)-1)*3+1)=0,"休",COUNTIF(W$6:W$45,"悅"))))</f>
        <v/>
      </c>
      <c r="X47" s="72">
        <f>IF(X$4="","",IF(COUNTIF(設定!$W$6:$W$40,DATE(設定!$C$2,設定!$D$2,7))&gt;0,"假",IF(INDEX(設定!$U$47:$AO$47,(WEEKDAY(DATE(設定!$C$2,設定!$D$2,7),2)-1)*3+2)=0,"休",COUNTIF(X$6:X$45,"悅"))))</f>
        <v/>
      </c>
      <c r="Y47" s="72">
        <f>IF(Y$4="","",IF(COUNTIF(設定!$W$6:$W$40,DATE(設定!$C$2,設定!$D$2,7))&gt;0,"假",IF(INDEX(設定!$U$47:$AO$47,(WEEKDAY(DATE(設定!$C$2,設定!$D$2,7),2)-1)*3+3)=0,"休",COUNTIF(Y$6:Y$45,"悅"))))</f>
        <v/>
      </c>
      <c r="Z47" s="71">
        <f>IF(Z$4="","",IF(COUNTIF(設定!$W$6:$W$40,DATE(設定!$C$2,設定!$D$2,8))&gt;0,"假",IF(INDEX(設定!$U$47:$AO$47,(WEEKDAY(DATE(設定!$C$2,設定!$D$2,8),2)-1)*3+1)=0,"休",COUNTIF(Z$6:Z$45,"悅"))))</f>
        <v/>
      </c>
      <c r="AA47" s="72">
        <f>IF(AA$4="","",IF(COUNTIF(設定!$W$6:$W$40,DATE(設定!$C$2,設定!$D$2,8))&gt;0,"假",IF(INDEX(設定!$U$47:$AO$47,(WEEKDAY(DATE(設定!$C$2,設定!$D$2,8),2)-1)*3+2)=0,"休",COUNTIF(AA$6:AA$45,"悅"))))</f>
        <v/>
      </c>
      <c r="AB47" s="72">
        <f>IF(AB$4="","",IF(COUNTIF(設定!$W$6:$W$40,DATE(設定!$C$2,設定!$D$2,8))&gt;0,"假",IF(INDEX(設定!$U$47:$AO$47,(WEEKDAY(DATE(設定!$C$2,設定!$D$2,8),2)-1)*3+3)=0,"休",COUNTIF(AB$6:AB$45,"悅"))))</f>
        <v/>
      </c>
      <c r="AC47" s="71">
        <f>IF(AC$4="","",IF(COUNTIF(設定!$W$6:$W$40,DATE(設定!$C$2,設定!$D$2,9))&gt;0,"假",IF(INDEX(設定!$U$47:$AO$47,(WEEKDAY(DATE(設定!$C$2,設定!$D$2,9),2)-1)*3+1)=0,"休",COUNTIF(AC$6:AC$45,"悅"))))</f>
        <v/>
      </c>
      <c r="AD47" s="72">
        <f>IF(AD$4="","",IF(COUNTIF(設定!$W$6:$W$40,DATE(設定!$C$2,設定!$D$2,9))&gt;0,"假",IF(INDEX(設定!$U$47:$AO$47,(WEEKDAY(DATE(設定!$C$2,設定!$D$2,9),2)-1)*3+2)=0,"休",COUNTIF(AD$6:AD$45,"悅"))))</f>
        <v/>
      </c>
      <c r="AE47" s="72">
        <f>IF(AE$4="","",IF(COUNTIF(設定!$W$6:$W$40,DATE(設定!$C$2,設定!$D$2,9))&gt;0,"假",IF(INDEX(設定!$U$47:$AO$47,(WEEKDAY(DATE(設定!$C$2,設定!$D$2,9),2)-1)*3+3)=0,"休",COUNTIF(AE$6:AE$45,"悅"))))</f>
        <v/>
      </c>
      <c r="AF47" s="71">
        <f>IF(AF$4="","",IF(COUNTIF(設定!$W$6:$W$40,DATE(設定!$C$2,設定!$D$2,10))&gt;0,"假",IF(INDEX(設定!$U$47:$AO$47,(WEEKDAY(DATE(設定!$C$2,設定!$D$2,10),2)-1)*3+1)=0,"休",COUNTIF(AF$6:AF$45,"悅"))))</f>
        <v/>
      </c>
      <c r="AG47" s="72">
        <f>IF(AG$4="","",IF(COUNTIF(設定!$W$6:$W$40,DATE(設定!$C$2,設定!$D$2,10))&gt;0,"假",IF(INDEX(設定!$U$47:$AO$47,(WEEKDAY(DATE(設定!$C$2,設定!$D$2,10),2)-1)*3+2)=0,"休",COUNTIF(AG$6:AG$45,"悅"))))</f>
        <v/>
      </c>
      <c r="AH47" s="72">
        <f>IF(AH$4="","",IF(COUNTIF(設定!$W$6:$W$40,DATE(設定!$C$2,設定!$D$2,10))&gt;0,"假",IF(INDEX(設定!$U$47:$AO$47,(WEEKDAY(DATE(設定!$C$2,設定!$D$2,10),2)-1)*3+3)=0,"休",COUNTIF(AH$6:AH$45,"悅"))))</f>
        <v/>
      </c>
      <c r="AI47" s="71">
        <f>IF(AI$4="","",IF(COUNTIF(設定!$W$6:$W$40,DATE(設定!$C$2,設定!$D$2,11))&gt;0,"假",IF(INDEX(設定!$U$47:$AO$47,(WEEKDAY(DATE(設定!$C$2,設定!$D$2,11),2)-1)*3+1)=0,"休",COUNTIF(AI$6:AI$45,"悅"))))</f>
        <v/>
      </c>
      <c r="AJ47" s="72">
        <f>IF(AJ$4="","",IF(COUNTIF(設定!$W$6:$W$40,DATE(設定!$C$2,設定!$D$2,11))&gt;0,"假",IF(INDEX(設定!$U$47:$AO$47,(WEEKDAY(DATE(設定!$C$2,設定!$D$2,11),2)-1)*3+2)=0,"休",COUNTIF(AJ$6:AJ$45,"悅"))))</f>
        <v/>
      </c>
      <c r="AK47" s="72">
        <f>IF(AK$4="","",IF(COUNTIF(設定!$W$6:$W$40,DATE(設定!$C$2,設定!$D$2,11))&gt;0,"假",IF(INDEX(設定!$U$47:$AO$47,(WEEKDAY(DATE(設定!$C$2,設定!$D$2,11),2)-1)*3+3)=0,"休",COUNTIF(AK$6:AK$45,"悅"))))</f>
        <v/>
      </c>
      <c r="AL47" s="71">
        <f>IF(AL$4="","",IF(COUNTIF(設定!$W$6:$W$40,DATE(設定!$C$2,設定!$D$2,12))&gt;0,"假",IF(INDEX(設定!$U$47:$AO$47,(WEEKDAY(DATE(設定!$C$2,設定!$D$2,12),2)-1)*3+1)=0,"休",COUNTIF(AL$6:AL$45,"悅"))))</f>
        <v/>
      </c>
      <c r="AM47" s="72">
        <f>IF(AM$4="","",IF(COUNTIF(設定!$W$6:$W$40,DATE(設定!$C$2,設定!$D$2,12))&gt;0,"假",IF(INDEX(設定!$U$47:$AO$47,(WEEKDAY(DATE(設定!$C$2,設定!$D$2,12),2)-1)*3+2)=0,"休",COUNTIF(AM$6:AM$45,"悅"))))</f>
        <v/>
      </c>
      <c r="AN47" s="72">
        <f>IF(AN$4="","",IF(COUNTIF(設定!$W$6:$W$40,DATE(設定!$C$2,設定!$D$2,12))&gt;0,"假",IF(INDEX(設定!$U$47:$AO$47,(WEEKDAY(DATE(設定!$C$2,設定!$D$2,12),2)-1)*3+3)=0,"休",COUNTIF(AN$6:AN$45,"悅"))))</f>
        <v/>
      </c>
      <c r="AO47" s="71">
        <f>IF(AO$4="","",IF(COUNTIF(設定!$W$6:$W$40,DATE(設定!$C$2,設定!$D$2,13))&gt;0,"假",IF(INDEX(設定!$U$47:$AO$47,(WEEKDAY(DATE(設定!$C$2,設定!$D$2,13),2)-1)*3+1)=0,"休",COUNTIF(AO$6:AO$45,"悅"))))</f>
        <v/>
      </c>
      <c r="AP47" s="72">
        <f>IF(AP$4="","",IF(COUNTIF(設定!$W$6:$W$40,DATE(設定!$C$2,設定!$D$2,13))&gt;0,"假",IF(INDEX(設定!$U$47:$AO$47,(WEEKDAY(DATE(設定!$C$2,設定!$D$2,13),2)-1)*3+2)=0,"休",COUNTIF(AP$6:AP$45,"悅"))))</f>
        <v/>
      </c>
      <c r="AQ47" s="72">
        <f>IF(AQ$4="","",IF(COUNTIF(設定!$W$6:$W$40,DATE(設定!$C$2,設定!$D$2,13))&gt;0,"假",IF(INDEX(設定!$U$47:$AO$47,(WEEKDAY(DATE(設定!$C$2,設定!$D$2,13),2)-1)*3+3)=0,"休",COUNTIF(AQ$6:AQ$45,"悅"))))</f>
        <v/>
      </c>
      <c r="AR47" s="71">
        <f>IF(AR$4="","",IF(COUNTIF(設定!$W$6:$W$40,DATE(設定!$C$2,設定!$D$2,14))&gt;0,"假",IF(INDEX(設定!$U$47:$AO$47,(WEEKDAY(DATE(設定!$C$2,設定!$D$2,14),2)-1)*3+1)=0,"休",COUNTIF(AR$6:AR$45,"悅"))))</f>
        <v/>
      </c>
      <c r="AS47" s="72">
        <f>IF(AS$4="","",IF(COUNTIF(設定!$W$6:$W$40,DATE(設定!$C$2,設定!$D$2,14))&gt;0,"假",IF(INDEX(設定!$U$47:$AO$47,(WEEKDAY(DATE(設定!$C$2,設定!$D$2,14),2)-1)*3+2)=0,"休",COUNTIF(AS$6:AS$45,"悅"))))</f>
        <v/>
      </c>
      <c r="AT47" s="72">
        <f>IF(AT$4="","",IF(COUNTIF(設定!$W$6:$W$40,DATE(設定!$C$2,設定!$D$2,14))&gt;0,"假",IF(INDEX(設定!$U$47:$AO$47,(WEEKDAY(DATE(設定!$C$2,設定!$D$2,14),2)-1)*3+3)=0,"休",COUNTIF(AT$6:AT$45,"悅"))))</f>
        <v/>
      </c>
      <c r="AU47" s="71">
        <f>IF(AU$4="","",IF(COUNTIF(設定!$W$6:$W$40,DATE(設定!$C$2,設定!$D$2,15))&gt;0,"假",IF(INDEX(設定!$U$47:$AO$47,(WEEKDAY(DATE(設定!$C$2,設定!$D$2,15),2)-1)*3+1)=0,"休",COUNTIF(AU$6:AU$45,"悅"))))</f>
        <v/>
      </c>
      <c r="AV47" s="72">
        <f>IF(AV$4="","",IF(COUNTIF(設定!$W$6:$W$40,DATE(設定!$C$2,設定!$D$2,15))&gt;0,"假",IF(INDEX(設定!$U$47:$AO$47,(WEEKDAY(DATE(設定!$C$2,設定!$D$2,15),2)-1)*3+2)=0,"休",COUNTIF(AV$6:AV$45,"悅"))))</f>
        <v/>
      </c>
      <c r="AW47" s="72">
        <f>IF(AW$4="","",IF(COUNTIF(設定!$W$6:$W$40,DATE(設定!$C$2,設定!$D$2,15))&gt;0,"假",IF(INDEX(設定!$U$47:$AO$47,(WEEKDAY(DATE(設定!$C$2,設定!$D$2,15),2)-1)*3+3)=0,"休",COUNTIF(AW$6:AW$45,"悅"))))</f>
        <v/>
      </c>
      <c r="AX47" s="71">
        <f>IF(AX$4="","",IF(COUNTIF(設定!$W$6:$W$40,DATE(設定!$C$2,設定!$D$2,16))&gt;0,"假",IF(INDEX(設定!$U$47:$AO$47,(WEEKDAY(DATE(設定!$C$2,設定!$D$2,16),2)-1)*3+1)=0,"休",COUNTIF(AX$6:AX$45,"悅"))))</f>
        <v/>
      </c>
      <c r="AY47" s="72">
        <f>IF(AY$4="","",IF(COUNTIF(設定!$W$6:$W$40,DATE(設定!$C$2,設定!$D$2,16))&gt;0,"假",IF(INDEX(設定!$U$47:$AO$47,(WEEKDAY(DATE(設定!$C$2,設定!$D$2,16),2)-1)*3+2)=0,"休",COUNTIF(AY$6:AY$45,"悅"))))</f>
        <v/>
      </c>
      <c r="AZ47" s="72">
        <f>IF(AZ$4="","",IF(COUNTIF(設定!$W$6:$W$40,DATE(設定!$C$2,設定!$D$2,16))&gt;0,"假",IF(INDEX(設定!$U$47:$AO$47,(WEEKDAY(DATE(設定!$C$2,設定!$D$2,16),2)-1)*3+3)=0,"休",COUNTIF(AZ$6:AZ$45,"悅"))))</f>
        <v/>
      </c>
      <c r="BA47" s="71">
        <f>IF(BA$4="","",IF(COUNTIF(設定!$W$6:$W$40,DATE(設定!$C$2,設定!$D$2,17))&gt;0,"假",IF(INDEX(設定!$U$47:$AO$47,(WEEKDAY(DATE(設定!$C$2,設定!$D$2,17),2)-1)*3+1)=0,"休",COUNTIF(BA$6:BA$45,"悅"))))</f>
        <v/>
      </c>
      <c r="BB47" s="72">
        <f>IF(BB$4="","",IF(COUNTIF(設定!$W$6:$W$40,DATE(設定!$C$2,設定!$D$2,17))&gt;0,"假",IF(INDEX(設定!$U$47:$AO$47,(WEEKDAY(DATE(設定!$C$2,設定!$D$2,17),2)-1)*3+2)=0,"休",COUNTIF(BB$6:BB$45,"悅"))))</f>
        <v/>
      </c>
      <c r="BC47" s="72">
        <f>IF(BC$4="","",IF(COUNTIF(設定!$W$6:$W$40,DATE(設定!$C$2,設定!$D$2,17))&gt;0,"假",IF(INDEX(設定!$U$47:$AO$47,(WEEKDAY(DATE(設定!$C$2,設定!$D$2,17),2)-1)*3+3)=0,"休",COUNTIF(BC$6:BC$45,"悅"))))</f>
        <v/>
      </c>
      <c r="BD47" s="71">
        <f>IF(BD$4="","",IF(COUNTIF(設定!$W$6:$W$40,DATE(設定!$C$2,設定!$D$2,18))&gt;0,"假",IF(INDEX(設定!$U$47:$AO$47,(WEEKDAY(DATE(設定!$C$2,設定!$D$2,18),2)-1)*3+1)=0,"休",COUNTIF(BD$6:BD$45,"悅"))))</f>
        <v/>
      </c>
      <c r="BE47" s="72">
        <f>IF(BE$4="","",IF(COUNTIF(設定!$W$6:$W$40,DATE(設定!$C$2,設定!$D$2,18))&gt;0,"假",IF(INDEX(設定!$U$47:$AO$47,(WEEKDAY(DATE(設定!$C$2,設定!$D$2,18),2)-1)*3+2)=0,"休",COUNTIF(BE$6:BE$45,"悅"))))</f>
        <v/>
      </c>
      <c r="BF47" s="72">
        <f>IF(BF$4="","",IF(COUNTIF(設定!$W$6:$W$40,DATE(設定!$C$2,設定!$D$2,18))&gt;0,"假",IF(INDEX(設定!$U$47:$AO$47,(WEEKDAY(DATE(設定!$C$2,設定!$D$2,18),2)-1)*3+3)=0,"休",COUNTIF(BF$6:BF$45,"悅"))))</f>
        <v/>
      </c>
      <c r="BG47" s="71">
        <f>IF(BG$4="","",IF(COUNTIF(設定!$W$6:$W$40,DATE(設定!$C$2,設定!$D$2,19))&gt;0,"假",IF(INDEX(設定!$U$47:$AO$47,(WEEKDAY(DATE(設定!$C$2,設定!$D$2,19),2)-1)*3+1)=0,"休",COUNTIF(BG$6:BG$45,"悅"))))</f>
        <v/>
      </c>
      <c r="BH47" s="72">
        <f>IF(BH$4="","",IF(COUNTIF(設定!$W$6:$W$40,DATE(設定!$C$2,設定!$D$2,19))&gt;0,"假",IF(INDEX(設定!$U$47:$AO$47,(WEEKDAY(DATE(設定!$C$2,設定!$D$2,19),2)-1)*3+2)=0,"休",COUNTIF(BH$6:BH$45,"悅"))))</f>
        <v/>
      </c>
      <c r="BI47" s="72">
        <f>IF(BI$4="","",IF(COUNTIF(設定!$W$6:$W$40,DATE(設定!$C$2,設定!$D$2,19))&gt;0,"假",IF(INDEX(設定!$U$47:$AO$47,(WEEKDAY(DATE(設定!$C$2,設定!$D$2,19),2)-1)*3+3)=0,"休",COUNTIF(BI$6:BI$45,"悅"))))</f>
        <v/>
      </c>
      <c r="BJ47" s="71">
        <f>IF(BJ$4="","",IF(COUNTIF(設定!$W$6:$W$40,DATE(設定!$C$2,設定!$D$2,20))&gt;0,"假",IF(INDEX(設定!$U$47:$AO$47,(WEEKDAY(DATE(設定!$C$2,設定!$D$2,20),2)-1)*3+1)=0,"休",COUNTIF(BJ$6:BJ$45,"悅"))))</f>
        <v/>
      </c>
      <c r="BK47" s="72">
        <f>IF(BK$4="","",IF(COUNTIF(設定!$W$6:$W$40,DATE(設定!$C$2,設定!$D$2,20))&gt;0,"假",IF(INDEX(設定!$U$47:$AO$47,(WEEKDAY(DATE(設定!$C$2,設定!$D$2,20),2)-1)*3+2)=0,"休",COUNTIF(BK$6:BK$45,"悅"))))</f>
        <v/>
      </c>
      <c r="BL47" s="72">
        <f>IF(BL$4="","",IF(COUNTIF(設定!$W$6:$W$40,DATE(設定!$C$2,設定!$D$2,20))&gt;0,"假",IF(INDEX(設定!$U$47:$AO$47,(WEEKDAY(DATE(設定!$C$2,設定!$D$2,20),2)-1)*3+3)=0,"休",COUNTIF(BL$6:BL$45,"悅"))))</f>
        <v/>
      </c>
      <c r="BM47" s="71">
        <f>IF(BM$4="","",IF(COUNTIF(設定!$W$6:$W$40,DATE(設定!$C$2,設定!$D$2,21))&gt;0,"假",IF(INDEX(設定!$U$47:$AO$47,(WEEKDAY(DATE(設定!$C$2,設定!$D$2,21),2)-1)*3+1)=0,"休",COUNTIF(BM$6:BM$45,"悅"))))</f>
        <v/>
      </c>
      <c r="BN47" s="72">
        <f>IF(BN$4="","",IF(COUNTIF(設定!$W$6:$W$40,DATE(設定!$C$2,設定!$D$2,21))&gt;0,"假",IF(INDEX(設定!$U$47:$AO$47,(WEEKDAY(DATE(設定!$C$2,設定!$D$2,21),2)-1)*3+2)=0,"休",COUNTIF(BN$6:BN$45,"悅"))))</f>
        <v/>
      </c>
      <c r="BO47" s="72">
        <f>IF(BO$4="","",IF(COUNTIF(設定!$W$6:$W$40,DATE(設定!$C$2,設定!$D$2,21))&gt;0,"假",IF(INDEX(設定!$U$47:$AO$47,(WEEKDAY(DATE(設定!$C$2,設定!$D$2,21),2)-1)*3+3)=0,"休",COUNTIF(BO$6:BO$45,"悅"))))</f>
        <v/>
      </c>
      <c r="BP47" s="71">
        <f>IF(BP$4="","",IF(COUNTIF(設定!$W$6:$W$40,DATE(設定!$C$2,設定!$D$2,22))&gt;0,"假",IF(INDEX(設定!$U$47:$AO$47,(WEEKDAY(DATE(設定!$C$2,設定!$D$2,22),2)-1)*3+1)=0,"休",COUNTIF(BP$6:BP$45,"悅"))))</f>
        <v/>
      </c>
      <c r="BQ47" s="72">
        <f>IF(BQ$4="","",IF(COUNTIF(設定!$W$6:$W$40,DATE(設定!$C$2,設定!$D$2,22))&gt;0,"假",IF(INDEX(設定!$U$47:$AO$47,(WEEKDAY(DATE(設定!$C$2,設定!$D$2,22),2)-1)*3+2)=0,"休",COUNTIF(BQ$6:BQ$45,"悅"))))</f>
        <v/>
      </c>
      <c r="BR47" s="72">
        <f>IF(BR$4="","",IF(COUNTIF(設定!$W$6:$W$40,DATE(設定!$C$2,設定!$D$2,22))&gt;0,"假",IF(INDEX(設定!$U$47:$AO$47,(WEEKDAY(DATE(設定!$C$2,設定!$D$2,22),2)-1)*3+3)=0,"休",COUNTIF(BR$6:BR$45,"悅"))))</f>
        <v/>
      </c>
      <c r="BS47" s="71">
        <f>IF(BS$4="","",IF(COUNTIF(設定!$W$6:$W$40,DATE(設定!$C$2,設定!$D$2,23))&gt;0,"假",IF(INDEX(設定!$U$47:$AO$47,(WEEKDAY(DATE(設定!$C$2,設定!$D$2,23),2)-1)*3+1)=0,"休",COUNTIF(BS$6:BS$45,"悅"))))</f>
        <v/>
      </c>
      <c r="BT47" s="72">
        <f>IF(BT$4="","",IF(COUNTIF(設定!$W$6:$W$40,DATE(設定!$C$2,設定!$D$2,23))&gt;0,"假",IF(INDEX(設定!$U$47:$AO$47,(WEEKDAY(DATE(設定!$C$2,設定!$D$2,23),2)-1)*3+2)=0,"休",COUNTIF(BT$6:BT$45,"悅"))))</f>
        <v/>
      </c>
      <c r="BU47" s="72">
        <f>IF(BU$4="","",IF(COUNTIF(設定!$W$6:$W$40,DATE(設定!$C$2,設定!$D$2,23))&gt;0,"假",IF(INDEX(設定!$U$47:$AO$47,(WEEKDAY(DATE(設定!$C$2,設定!$D$2,23),2)-1)*3+3)=0,"休",COUNTIF(BU$6:BU$45,"悅"))))</f>
        <v/>
      </c>
      <c r="BV47" s="71">
        <f>IF(BV$4="","",IF(COUNTIF(設定!$W$6:$W$40,DATE(設定!$C$2,設定!$D$2,24))&gt;0,"假",IF(INDEX(設定!$U$47:$AO$47,(WEEKDAY(DATE(設定!$C$2,設定!$D$2,24),2)-1)*3+1)=0,"休",COUNTIF(BV$6:BV$45,"悅"))))</f>
        <v/>
      </c>
      <c r="BW47" s="72">
        <f>IF(BW$4="","",IF(COUNTIF(設定!$W$6:$W$40,DATE(設定!$C$2,設定!$D$2,24))&gt;0,"假",IF(INDEX(設定!$U$47:$AO$47,(WEEKDAY(DATE(設定!$C$2,設定!$D$2,24),2)-1)*3+2)=0,"休",COUNTIF(BW$6:BW$45,"悅"))))</f>
        <v/>
      </c>
      <c r="BX47" s="72">
        <f>IF(BX$4="","",IF(COUNTIF(設定!$W$6:$W$40,DATE(設定!$C$2,設定!$D$2,24))&gt;0,"假",IF(INDEX(設定!$U$47:$AO$47,(WEEKDAY(DATE(設定!$C$2,設定!$D$2,24),2)-1)*3+3)=0,"休",COUNTIF(BX$6:BX$45,"悅"))))</f>
        <v/>
      </c>
      <c r="BY47" s="71">
        <f>IF(BY$4="","",IF(COUNTIF(設定!$W$6:$W$40,DATE(設定!$C$2,設定!$D$2,25))&gt;0,"假",IF(INDEX(設定!$U$47:$AO$47,(WEEKDAY(DATE(設定!$C$2,設定!$D$2,25),2)-1)*3+1)=0,"休",COUNTIF(BY$6:BY$45,"悅"))))</f>
        <v/>
      </c>
      <c r="BZ47" s="72">
        <f>IF(BZ$4="","",IF(COUNTIF(設定!$W$6:$W$40,DATE(設定!$C$2,設定!$D$2,25))&gt;0,"假",IF(INDEX(設定!$U$47:$AO$47,(WEEKDAY(DATE(設定!$C$2,設定!$D$2,25),2)-1)*3+2)=0,"休",COUNTIF(BZ$6:BZ$45,"悅"))))</f>
        <v/>
      </c>
      <c r="CA47" s="72">
        <f>IF(CA$4="","",IF(COUNTIF(設定!$W$6:$W$40,DATE(設定!$C$2,設定!$D$2,25))&gt;0,"假",IF(INDEX(設定!$U$47:$AO$47,(WEEKDAY(DATE(設定!$C$2,設定!$D$2,25),2)-1)*3+3)=0,"休",COUNTIF(CA$6:CA$45,"悅"))))</f>
        <v/>
      </c>
      <c r="CB47" s="71">
        <f>IF(CB$4="","",IF(COUNTIF(設定!$W$6:$W$40,DATE(設定!$C$2,設定!$D$2,26))&gt;0,"假",IF(INDEX(設定!$U$47:$AO$47,(WEEKDAY(DATE(設定!$C$2,設定!$D$2,26),2)-1)*3+1)=0,"休",COUNTIF(CB$6:CB$45,"悅"))))</f>
        <v/>
      </c>
      <c r="CC47" s="72">
        <f>IF(CC$4="","",IF(COUNTIF(設定!$W$6:$W$40,DATE(設定!$C$2,設定!$D$2,26))&gt;0,"假",IF(INDEX(設定!$U$47:$AO$47,(WEEKDAY(DATE(設定!$C$2,設定!$D$2,26),2)-1)*3+2)=0,"休",COUNTIF(CC$6:CC$45,"悅"))))</f>
        <v/>
      </c>
      <c r="CD47" s="72">
        <f>IF(CD$4="","",IF(COUNTIF(設定!$W$6:$W$40,DATE(設定!$C$2,設定!$D$2,26))&gt;0,"假",IF(INDEX(設定!$U$47:$AO$47,(WEEKDAY(DATE(設定!$C$2,設定!$D$2,26),2)-1)*3+3)=0,"休",COUNTIF(CD$6:CD$45,"悅"))))</f>
        <v/>
      </c>
      <c r="CE47" s="71">
        <f>IF(CE$4="","",IF(COUNTIF(設定!$W$6:$W$40,DATE(設定!$C$2,設定!$D$2,27))&gt;0,"假",IF(INDEX(設定!$U$47:$AO$47,(WEEKDAY(DATE(設定!$C$2,設定!$D$2,27),2)-1)*3+1)=0,"休",COUNTIF(CE$6:CE$45,"悅"))))</f>
        <v/>
      </c>
      <c r="CF47" s="72">
        <f>IF(CF$4="","",IF(COUNTIF(設定!$W$6:$W$40,DATE(設定!$C$2,設定!$D$2,27))&gt;0,"假",IF(INDEX(設定!$U$47:$AO$47,(WEEKDAY(DATE(設定!$C$2,設定!$D$2,27),2)-1)*3+2)=0,"休",COUNTIF(CF$6:CF$45,"悅"))))</f>
        <v/>
      </c>
      <c r="CG47" s="72">
        <f>IF(CG$4="","",IF(COUNTIF(設定!$W$6:$W$40,DATE(設定!$C$2,設定!$D$2,27))&gt;0,"假",IF(INDEX(設定!$U$47:$AO$47,(WEEKDAY(DATE(設定!$C$2,設定!$D$2,27),2)-1)*3+3)=0,"休",COUNTIF(CG$6:CG$45,"悅"))))</f>
        <v/>
      </c>
      <c r="CH47" s="71">
        <f>IF(CH$4="","",IF(COUNTIF(設定!$W$6:$W$40,DATE(設定!$C$2,設定!$D$2,28))&gt;0,"假",IF(INDEX(設定!$U$47:$AO$47,(WEEKDAY(DATE(設定!$C$2,設定!$D$2,28),2)-1)*3+1)=0,"休",COUNTIF(CH$6:CH$45,"悅"))))</f>
        <v/>
      </c>
      <c r="CI47" s="72">
        <f>IF(CI$4="","",IF(COUNTIF(設定!$W$6:$W$40,DATE(設定!$C$2,設定!$D$2,28))&gt;0,"假",IF(INDEX(設定!$U$47:$AO$47,(WEEKDAY(DATE(設定!$C$2,設定!$D$2,28),2)-1)*3+2)=0,"休",COUNTIF(CI$6:CI$45,"悅"))))</f>
        <v/>
      </c>
      <c r="CJ47" s="72">
        <f>IF(CJ$4="","",IF(COUNTIF(設定!$W$6:$W$40,DATE(設定!$C$2,設定!$D$2,28))&gt;0,"假",IF(INDEX(設定!$U$47:$AO$47,(WEEKDAY(DATE(設定!$C$2,設定!$D$2,28),2)-1)*3+3)=0,"休",COUNTIF(CJ$6:CJ$45,"悅"))))</f>
        <v/>
      </c>
      <c r="CK47" s="71">
        <f>IF(CK$4="","",IF(COUNTIF(設定!$W$6:$W$40,DATE(設定!$C$2,設定!$D$2,29))&gt;0,"假",IF(INDEX(設定!$U$47:$AO$47,(WEEKDAY(DATE(設定!$C$2,設定!$D$2,29),2)-1)*3+1)=0,"休",COUNTIF(CK$6:CK$45,"悅"))))</f>
        <v/>
      </c>
      <c r="CL47" s="72">
        <f>IF(CL$4="","",IF(COUNTIF(設定!$W$6:$W$40,DATE(設定!$C$2,設定!$D$2,29))&gt;0,"假",IF(INDEX(設定!$U$47:$AO$47,(WEEKDAY(DATE(設定!$C$2,設定!$D$2,29),2)-1)*3+2)=0,"休",COUNTIF(CL$6:CL$45,"悅"))))</f>
        <v/>
      </c>
      <c r="CM47" s="72">
        <f>IF(CM$4="","",IF(COUNTIF(設定!$W$6:$W$40,DATE(設定!$C$2,設定!$D$2,29))&gt;0,"假",IF(INDEX(設定!$U$47:$AO$47,(WEEKDAY(DATE(設定!$C$2,設定!$D$2,29),2)-1)*3+3)=0,"休",COUNTIF(CM$6:CM$45,"悅"))))</f>
        <v/>
      </c>
      <c r="CN47" s="71">
        <f>IF(CN$4="","",IF(COUNTIF(設定!$W$6:$W$40,DATE(設定!$C$2,設定!$D$2,30))&gt;0,"假",IF(INDEX(設定!$U$47:$AO$47,(WEEKDAY(DATE(設定!$C$2,設定!$D$2,30),2)-1)*3+1)=0,"休",COUNTIF(CN$6:CN$45,"悅"))))</f>
        <v/>
      </c>
      <c r="CO47" s="72">
        <f>IF(CO$4="","",IF(COUNTIF(設定!$W$6:$W$40,DATE(設定!$C$2,設定!$D$2,30))&gt;0,"假",IF(INDEX(設定!$U$47:$AO$47,(WEEKDAY(DATE(設定!$C$2,設定!$D$2,30),2)-1)*3+2)=0,"休",COUNTIF(CO$6:CO$45,"悅"))))</f>
        <v/>
      </c>
      <c r="CP47" s="72">
        <f>IF(CP$4="","",IF(COUNTIF(設定!$W$6:$W$40,DATE(設定!$C$2,設定!$D$2,30))&gt;0,"假",IF(INDEX(設定!$U$47:$AO$47,(WEEKDAY(DATE(設定!$C$2,設定!$D$2,30),2)-1)*3+3)=0,"休",COUNTIF(CP$6:CP$45,"悅"))))</f>
        <v/>
      </c>
      <c r="CQ47" s="71">
        <f>IF(CQ$4="","",IF(COUNTIF(設定!$W$6:$W$40,DATE(設定!$C$2,設定!$D$2,31))&gt;0,"假",IF(INDEX(設定!$U$47:$AO$47,(WEEKDAY(DATE(設定!$C$2,設定!$D$2,31),2)-1)*3+1)=0,"休",COUNTIF(CQ$6:CQ$45,"悅"))))</f>
        <v/>
      </c>
      <c r="CR47" s="72">
        <f>IF(CR$4="","",IF(COUNTIF(設定!$W$6:$W$40,DATE(設定!$C$2,設定!$D$2,31))&gt;0,"假",IF(INDEX(設定!$U$47:$AO$47,(WEEKDAY(DATE(設定!$C$2,設定!$D$2,31),2)-1)*3+2)=0,"休",COUNTIF(CR$6:CR$45,"悅"))))</f>
        <v/>
      </c>
      <c r="CS47" s="72">
        <f>IF(CS$4="","",IF(COUNTIF(設定!$W$6:$W$40,DATE(設定!$C$2,設定!$D$2,31))&gt;0,"假",IF(INDEX(設定!$U$47:$AO$47,(WEEKDAY(DATE(設定!$C$2,設定!$D$2,31),2)-1)*3+3)=0,"休",COUNTIF(CS$6:CS$45,"悅"))))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IF(E$4="","",IF(COUNTIF(設定!$W$6:$W$40,DATE(設定!$C$2,設定!$D$2,1))&gt;0,"假",IF(INDEX(設定!$U$48:$AO$48,(WEEKDAY(DATE(設定!$C$2,設定!$D$2,1),2)-1)*3+1)=0,"休",COUNTIF(E$6:E$45,"睿"))))</f>
        <v/>
      </c>
      <c r="F48" s="72">
        <f>IF(F$4="","",IF(COUNTIF(設定!$W$6:$W$40,DATE(設定!$C$2,設定!$D$2,1))&gt;0,"假",IF(INDEX(設定!$U$48:$AO$48,(WEEKDAY(DATE(設定!$C$2,設定!$D$2,1),2)-1)*3+2)=0,"休",COUNTIF(F$6:F$45,"睿"))))</f>
        <v/>
      </c>
      <c r="G48" s="72">
        <f>IF(G$4="","",IF(COUNTIF(設定!$W$6:$W$40,DATE(設定!$C$2,設定!$D$2,1))&gt;0,"假",IF(INDEX(設定!$U$48:$AO$48,(WEEKDAY(DATE(設定!$C$2,設定!$D$2,1),2)-1)*3+3)=0,"休",COUNTIF(G$6:G$45,"睿"))))</f>
        <v/>
      </c>
      <c r="H48" s="71">
        <f>IF(H$4="","",IF(COUNTIF(設定!$W$6:$W$40,DATE(設定!$C$2,設定!$D$2,2))&gt;0,"假",IF(INDEX(設定!$U$48:$AO$48,(WEEKDAY(DATE(設定!$C$2,設定!$D$2,2),2)-1)*3+1)=0,"休",COUNTIF(H$6:H$45,"睿"))))</f>
        <v/>
      </c>
      <c r="I48" s="72">
        <f>IF(I$4="","",IF(COUNTIF(設定!$W$6:$W$40,DATE(設定!$C$2,設定!$D$2,2))&gt;0,"假",IF(INDEX(設定!$U$48:$AO$48,(WEEKDAY(DATE(設定!$C$2,設定!$D$2,2),2)-1)*3+2)=0,"休",COUNTIF(I$6:I$45,"睿"))))</f>
        <v/>
      </c>
      <c r="J48" s="72">
        <f>IF(J$4="","",IF(COUNTIF(設定!$W$6:$W$40,DATE(設定!$C$2,設定!$D$2,2))&gt;0,"假",IF(INDEX(設定!$U$48:$AO$48,(WEEKDAY(DATE(設定!$C$2,設定!$D$2,2),2)-1)*3+3)=0,"休",COUNTIF(J$6:J$45,"睿"))))</f>
        <v/>
      </c>
      <c r="K48" s="71">
        <f>IF(K$4="","",IF(COUNTIF(設定!$W$6:$W$40,DATE(設定!$C$2,設定!$D$2,3))&gt;0,"假",IF(INDEX(設定!$U$48:$AO$48,(WEEKDAY(DATE(設定!$C$2,設定!$D$2,3),2)-1)*3+1)=0,"休",COUNTIF(K$6:K$45,"睿"))))</f>
        <v/>
      </c>
      <c r="L48" s="72">
        <f>IF(L$4="","",IF(COUNTIF(設定!$W$6:$W$40,DATE(設定!$C$2,設定!$D$2,3))&gt;0,"假",IF(INDEX(設定!$U$48:$AO$48,(WEEKDAY(DATE(設定!$C$2,設定!$D$2,3),2)-1)*3+2)=0,"休",COUNTIF(L$6:L$45,"睿"))))</f>
        <v/>
      </c>
      <c r="M48" s="72">
        <f>IF(M$4="","",IF(COUNTIF(設定!$W$6:$W$40,DATE(設定!$C$2,設定!$D$2,3))&gt;0,"假",IF(INDEX(設定!$U$48:$AO$48,(WEEKDAY(DATE(設定!$C$2,設定!$D$2,3),2)-1)*3+3)=0,"休",COUNTIF(M$6:M$45,"睿"))))</f>
        <v/>
      </c>
      <c r="N48" s="71">
        <f>IF(N$4="","",IF(COUNTIF(設定!$W$6:$W$40,DATE(設定!$C$2,設定!$D$2,4))&gt;0,"假",IF(INDEX(設定!$U$48:$AO$48,(WEEKDAY(DATE(設定!$C$2,設定!$D$2,4),2)-1)*3+1)=0,"休",COUNTIF(N$6:N$45,"睿"))))</f>
        <v/>
      </c>
      <c r="O48" s="72">
        <f>IF(O$4="","",IF(COUNTIF(設定!$W$6:$W$40,DATE(設定!$C$2,設定!$D$2,4))&gt;0,"假",IF(INDEX(設定!$U$48:$AO$48,(WEEKDAY(DATE(設定!$C$2,設定!$D$2,4),2)-1)*3+2)=0,"休",COUNTIF(O$6:O$45,"睿"))))</f>
        <v/>
      </c>
      <c r="P48" s="72">
        <f>IF(P$4="","",IF(COUNTIF(設定!$W$6:$W$40,DATE(設定!$C$2,設定!$D$2,4))&gt;0,"假",IF(INDEX(設定!$U$48:$AO$48,(WEEKDAY(DATE(設定!$C$2,設定!$D$2,4),2)-1)*3+3)=0,"休",COUNTIF(P$6:P$45,"睿"))))</f>
        <v/>
      </c>
      <c r="Q48" s="71">
        <f>IF(Q$4="","",IF(COUNTIF(設定!$W$6:$W$40,DATE(設定!$C$2,設定!$D$2,5))&gt;0,"假",IF(INDEX(設定!$U$48:$AO$48,(WEEKDAY(DATE(設定!$C$2,設定!$D$2,5),2)-1)*3+1)=0,"休",COUNTIF(Q$6:Q$45,"睿"))))</f>
        <v/>
      </c>
      <c r="R48" s="72">
        <f>IF(R$4="","",IF(COUNTIF(設定!$W$6:$W$40,DATE(設定!$C$2,設定!$D$2,5))&gt;0,"假",IF(INDEX(設定!$U$48:$AO$48,(WEEKDAY(DATE(設定!$C$2,設定!$D$2,5),2)-1)*3+2)=0,"休",COUNTIF(R$6:R$45,"睿"))))</f>
        <v/>
      </c>
      <c r="S48" s="72">
        <f>IF(S$4="","",IF(COUNTIF(設定!$W$6:$W$40,DATE(設定!$C$2,設定!$D$2,5))&gt;0,"假",IF(INDEX(設定!$U$48:$AO$48,(WEEKDAY(DATE(設定!$C$2,設定!$D$2,5),2)-1)*3+3)=0,"休",COUNTIF(S$6:S$45,"睿"))))</f>
        <v/>
      </c>
      <c r="T48" s="71">
        <f>IF(T$4="","",IF(COUNTIF(設定!$W$6:$W$40,DATE(設定!$C$2,設定!$D$2,6))&gt;0,"假",IF(INDEX(設定!$U$48:$AO$48,(WEEKDAY(DATE(設定!$C$2,設定!$D$2,6),2)-1)*3+1)=0,"休",COUNTIF(T$6:T$45,"睿"))))</f>
        <v/>
      </c>
      <c r="U48" s="72">
        <f>IF(U$4="","",IF(COUNTIF(設定!$W$6:$W$40,DATE(設定!$C$2,設定!$D$2,6))&gt;0,"假",IF(INDEX(設定!$U$48:$AO$48,(WEEKDAY(DATE(設定!$C$2,設定!$D$2,6),2)-1)*3+2)=0,"休",COUNTIF(U$6:U$45,"睿"))))</f>
        <v/>
      </c>
      <c r="V48" s="72">
        <f>IF(V$4="","",IF(COUNTIF(設定!$W$6:$W$40,DATE(設定!$C$2,設定!$D$2,6))&gt;0,"假",IF(INDEX(設定!$U$48:$AO$48,(WEEKDAY(DATE(設定!$C$2,設定!$D$2,6),2)-1)*3+3)=0,"休",COUNTIF(V$6:V$45,"睿"))))</f>
        <v/>
      </c>
      <c r="W48" s="71">
        <f>IF(W$4="","",IF(COUNTIF(設定!$W$6:$W$40,DATE(設定!$C$2,設定!$D$2,7))&gt;0,"假",IF(INDEX(設定!$U$48:$AO$48,(WEEKDAY(DATE(設定!$C$2,設定!$D$2,7),2)-1)*3+1)=0,"休",COUNTIF(W$6:W$45,"睿"))))</f>
        <v/>
      </c>
      <c r="X48" s="72">
        <f>IF(X$4="","",IF(COUNTIF(設定!$W$6:$W$40,DATE(設定!$C$2,設定!$D$2,7))&gt;0,"假",IF(INDEX(設定!$U$48:$AO$48,(WEEKDAY(DATE(設定!$C$2,設定!$D$2,7),2)-1)*3+2)=0,"休",COUNTIF(X$6:X$45,"睿"))))</f>
        <v/>
      </c>
      <c r="Y48" s="72">
        <f>IF(Y$4="","",IF(COUNTIF(設定!$W$6:$W$40,DATE(設定!$C$2,設定!$D$2,7))&gt;0,"假",IF(INDEX(設定!$U$48:$AO$48,(WEEKDAY(DATE(設定!$C$2,設定!$D$2,7),2)-1)*3+3)=0,"休",COUNTIF(Y$6:Y$45,"睿"))))</f>
        <v/>
      </c>
      <c r="Z48" s="71">
        <f>IF(Z$4="","",IF(COUNTIF(設定!$W$6:$W$40,DATE(設定!$C$2,設定!$D$2,8))&gt;0,"假",IF(INDEX(設定!$U$48:$AO$48,(WEEKDAY(DATE(設定!$C$2,設定!$D$2,8),2)-1)*3+1)=0,"休",COUNTIF(Z$6:Z$45,"睿"))))</f>
        <v/>
      </c>
      <c r="AA48" s="72">
        <f>IF(AA$4="","",IF(COUNTIF(設定!$W$6:$W$40,DATE(設定!$C$2,設定!$D$2,8))&gt;0,"假",IF(INDEX(設定!$U$48:$AO$48,(WEEKDAY(DATE(設定!$C$2,設定!$D$2,8),2)-1)*3+2)=0,"休",COUNTIF(AA$6:AA$45,"睿"))))</f>
        <v/>
      </c>
      <c r="AB48" s="72">
        <f>IF(AB$4="","",IF(COUNTIF(設定!$W$6:$W$40,DATE(設定!$C$2,設定!$D$2,8))&gt;0,"假",IF(INDEX(設定!$U$48:$AO$48,(WEEKDAY(DATE(設定!$C$2,設定!$D$2,8),2)-1)*3+3)=0,"休",COUNTIF(AB$6:AB$45,"睿"))))</f>
        <v/>
      </c>
      <c r="AC48" s="71">
        <f>IF(AC$4="","",IF(COUNTIF(設定!$W$6:$W$40,DATE(設定!$C$2,設定!$D$2,9))&gt;0,"假",IF(INDEX(設定!$U$48:$AO$48,(WEEKDAY(DATE(設定!$C$2,設定!$D$2,9),2)-1)*3+1)=0,"休",COUNTIF(AC$6:AC$45,"睿"))))</f>
        <v/>
      </c>
      <c r="AD48" s="72">
        <f>IF(AD$4="","",IF(COUNTIF(設定!$W$6:$W$40,DATE(設定!$C$2,設定!$D$2,9))&gt;0,"假",IF(INDEX(設定!$U$48:$AO$48,(WEEKDAY(DATE(設定!$C$2,設定!$D$2,9),2)-1)*3+2)=0,"休",COUNTIF(AD$6:AD$45,"睿"))))</f>
        <v/>
      </c>
      <c r="AE48" s="72">
        <f>IF(AE$4="","",IF(COUNTIF(設定!$W$6:$W$40,DATE(設定!$C$2,設定!$D$2,9))&gt;0,"假",IF(INDEX(設定!$U$48:$AO$48,(WEEKDAY(DATE(設定!$C$2,設定!$D$2,9),2)-1)*3+3)=0,"休",COUNTIF(AE$6:AE$45,"睿"))))</f>
        <v/>
      </c>
      <c r="AF48" s="71">
        <f>IF(AF$4="","",IF(COUNTIF(設定!$W$6:$W$40,DATE(設定!$C$2,設定!$D$2,10))&gt;0,"假",IF(INDEX(設定!$U$48:$AO$48,(WEEKDAY(DATE(設定!$C$2,設定!$D$2,10),2)-1)*3+1)=0,"休",COUNTIF(AF$6:AF$45,"睿"))))</f>
        <v/>
      </c>
      <c r="AG48" s="72">
        <f>IF(AG$4="","",IF(COUNTIF(設定!$W$6:$W$40,DATE(設定!$C$2,設定!$D$2,10))&gt;0,"假",IF(INDEX(設定!$U$48:$AO$48,(WEEKDAY(DATE(設定!$C$2,設定!$D$2,10),2)-1)*3+2)=0,"休",COUNTIF(AG$6:AG$45,"睿"))))</f>
        <v/>
      </c>
      <c r="AH48" s="72">
        <f>IF(AH$4="","",IF(COUNTIF(設定!$W$6:$W$40,DATE(設定!$C$2,設定!$D$2,10))&gt;0,"假",IF(INDEX(設定!$U$48:$AO$48,(WEEKDAY(DATE(設定!$C$2,設定!$D$2,10),2)-1)*3+3)=0,"休",COUNTIF(AH$6:AH$45,"睿"))))</f>
        <v/>
      </c>
      <c r="AI48" s="71">
        <f>IF(AI$4="","",IF(COUNTIF(設定!$W$6:$W$40,DATE(設定!$C$2,設定!$D$2,11))&gt;0,"假",IF(INDEX(設定!$U$48:$AO$48,(WEEKDAY(DATE(設定!$C$2,設定!$D$2,11),2)-1)*3+1)=0,"休",COUNTIF(AI$6:AI$45,"睿"))))</f>
        <v/>
      </c>
      <c r="AJ48" s="72">
        <f>IF(AJ$4="","",IF(COUNTIF(設定!$W$6:$W$40,DATE(設定!$C$2,設定!$D$2,11))&gt;0,"假",IF(INDEX(設定!$U$48:$AO$48,(WEEKDAY(DATE(設定!$C$2,設定!$D$2,11),2)-1)*3+2)=0,"休",COUNTIF(AJ$6:AJ$45,"睿"))))</f>
        <v/>
      </c>
      <c r="AK48" s="72">
        <f>IF(AK$4="","",IF(COUNTIF(設定!$W$6:$W$40,DATE(設定!$C$2,設定!$D$2,11))&gt;0,"假",IF(INDEX(設定!$U$48:$AO$48,(WEEKDAY(DATE(設定!$C$2,設定!$D$2,11),2)-1)*3+3)=0,"休",COUNTIF(AK$6:AK$45,"睿"))))</f>
        <v/>
      </c>
      <c r="AL48" s="71">
        <f>IF(AL$4="","",IF(COUNTIF(設定!$W$6:$W$40,DATE(設定!$C$2,設定!$D$2,12))&gt;0,"假",IF(INDEX(設定!$U$48:$AO$48,(WEEKDAY(DATE(設定!$C$2,設定!$D$2,12),2)-1)*3+1)=0,"休",COUNTIF(AL$6:AL$45,"睿"))))</f>
        <v/>
      </c>
      <c r="AM48" s="72">
        <f>IF(AM$4="","",IF(COUNTIF(設定!$W$6:$W$40,DATE(設定!$C$2,設定!$D$2,12))&gt;0,"假",IF(INDEX(設定!$U$48:$AO$48,(WEEKDAY(DATE(設定!$C$2,設定!$D$2,12),2)-1)*3+2)=0,"休",COUNTIF(AM$6:AM$45,"睿"))))</f>
        <v/>
      </c>
      <c r="AN48" s="72">
        <f>IF(AN$4="","",IF(COUNTIF(設定!$W$6:$W$40,DATE(設定!$C$2,設定!$D$2,12))&gt;0,"假",IF(INDEX(設定!$U$48:$AO$48,(WEEKDAY(DATE(設定!$C$2,設定!$D$2,12),2)-1)*3+3)=0,"休",COUNTIF(AN$6:AN$45,"睿"))))</f>
        <v/>
      </c>
      <c r="AO48" s="71">
        <f>IF(AO$4="","",IF(COUNTIF(設定!$W$6:$W$40,DATE(設定!$C$2,設定!$D$2,13))&gt;0,"假",IF(INDEX(設定!$U$48:$AO$48,(WEEKDAY(DATE(設定!$C$2,設定!$D$2,13),2)-1)*3+1)=0,"休",COUNTIF(AO$6:AO$45,"睿"))))</f>
        <v/>
      </c>
      <c r="AP48" s="72">
        <f>IF(AP$4="","",IF(COUNTIF(設定!$W$6:$W$40,DATE(設定!$C$2,設定!$D$2,13))&gt;0,"假",IF(INDEX(設定!$U$48:$AO$48,(WEEKDAY(DATE(設定!$C$2,設定!$D$2,13),2)-1)*3+2)=0,"休",COUNTIF(AP$6:AP$45,"睿"))))</f>
        <v/>
      </c>
      <c r="AQ48" s="72">
        <f>IF(AQ$4="","",IF(COUNTIF(設定!$W$6:$W$40,DATE(設定!$C$2,設定!$D$2,13))&gt;0,"假",IF(INDEX(設定!$U$48:$AO$48,(WEEKDAY(DATE(設定!$C$2,設定!$D$2,13),2)-1)*3+3)=0,"休",COUNTIF(AQ$6:AQ$45,"睿"))))</f>
        <v/>
      </c>
      <c r="AR48" s="71">
        <f>IF(AR$4="","",IF(COUNTIF(設定!$W$6:$W$40,DATE(設定!$C$2,設定!$D$2,14))&gt;0,"假",IF(INDEX(設定!$U$48:$AO$48,(WEEKDAY(DATE(設定!$C$2,設定!$D$2,14),2)-1)*3+1)=0,"休",COUNTIF(AR$6:AR$45,"睿"))))</f>
        <v/>
      </c>
      <c r="AS48" s="72">
        <f>IF(AS$4="","",IF(COUNTIF(設定!$W$6:$W$40,DATE(設定!$C$2,設定!$D$2,14))&gt;0,"假",IF(INDEX(設定!$U$48:$AO$48,(WEEKDAY(DATE(設定!$C$2,設定!$D$2,14),2)-1)*3+2)=0,"休",COUNTIF(AS$6:AS$45,"睿"))))</f>
        <v/>
      </c>
      <c r="AT48" s="72">
        <f>IF(AT$4="","",IF(COUNTIF(設定!$W$6:$W$40,DATE(設定!$C$2,設定!$D$2,14))&gt;0,"假",IF(INDEX(設定!$U$48:$AO$48,(WEEKDAY(DATE(設定!$C$2,設定!$D$2,14),2)-1)*3+3)=0,"休",COUNTIF(AT$6:AT$45,"睿"))))</f>
        <v/>
      </c>
      <c r="AU48" s="71">
        <f>IF(AU$4="","",IF(COUNTIF(設定!$W$6:$W$40,DATE(設定!$C$2,設定!$D$2,15))&gt;0,"假",IF(INDEX(設定!$U$48:$AO$48,(WEEKDAY(DATE(設定!$C$2,設定!$D$2,15),2)-1)*3+1)=0,"休",COUNTIF(AU$6:AU$45,"睿"))))</f>
        <v/>
      </c>
      <c r="AV48" s="72">
        <f>IF(AV$4="","",IF(COUNTIF(設定!$W$6:$W$40,DATE(設定!$C$2,設定!$D$2,15))&gt;0,"假",IF(INDEX(設定!$U$48:$AO$48,(WEEKDAY(DATE(設定!$C$2,設定!$D$2,15),2)-1)*3+2)=0,"休",COUNTIF(AV$6:AV$45,"睿"))))</f>
        <v/>
      </c>
      <c r="AW48" s="72">
        <f>IF(AW$4="","",IF(COUNTIF(設定!$W$6:$W$40,DATE(設定!$C$2,設定!$D$2,15))&gt;0,"假",IF(INDEX(設定!$U$48:$AO$48,(WEEKDAY(DATE(設定!$C$2,設定!$D$2,15),2)-1)*3+3)=0,"休",COUNTIF(AW$6:AW$45,"睿"))))</f>
        <v/>
      </c>
      <c r="AX48" s="71">
        <f>IF(AX$4="","",IF(COUNTIF(設定!$W$6:$W$40,DATE(設定!$C$2,設定!$D$2,16))&gt;0,"假",IF(INDEX(設定!$U$48:$AO$48,(WEEKDAY(DATE(設定!$C$2,設定!$D$2,16),2)-1)*3+1)=0,"休",COUNTIF(AX$6:AX$45,"睿"))))</f>
        <v/>
      </c>
      <c r="AY48" s="72">
        <f>IF(AY$4="","",IF(COUNTIF(設定!$W$6:$W$40,DATE(設定!$C$2,設定!$D$2,16))&gt;0,"假",IF(INDEX(設定!$U$48:$AO$48,(WEEKDAY(DATE(設定!$C$2,設定!$D$2,16),2)-1)*3+2)=0,"休",COUNTIF(AY$6:AY$45,"睿"))))</f>
        <v/>
      </c>
      <c r="AZ48" s="72">
        <f>IF(AZ$4="","",IF(COUNTIF(設定!$W$6:$W$40,DATE(設定!$C$2,設定!$D$2,16))&gt;0,"假",IF(INDEX(設定!$U$48:$AO$48,(WEEKDAY(DATE(設定!$C$2,設定!$D$2,16),2)-1)*3+3)=0,"休",COUNTIF(AZ$6:AZ$45,"睿"))))</f>
        <v/>
      </c>
      <c r="BA48" s="71">
        <f>IF(BA$4="","",IF(COUNTIF(設定!$W$6:$W$40,DATE(設定!$C$2,設定!$D$2,17))&gt;0,"假",IF(INDEX(設定!$U$48:$AO$48,(WEEKDAY(DATE(設定!$C$2,設定!$D$2,17),2)-1)*3+1)=0,"休",COUNTIF(BA$6:BA$45,"睿"))))</f>
        <v/>
      </c>
      <c r="BB48" s="72">
        <f>IF(BB$4="","",IF(COUNTIF(設定!$W$6:$W$40,DATE(設定!$C$2,設定!$D$2,17))&gt;0,"假",IF(INDEX(設定!$U$48:$AO$48,(WEEKDAY(DATE(設定!$C$2,設定!$D$2,17),2)-1)*3+2)=0,"休",COUNTIF(BB$6:BB$45,"睿"))))</f>
        <v/>
      </c>
      <c r="BC48" s="72">
        <f>IF(BC$4="","",IF(COUNTIF(設定!$W$6:$W$40,DATE(設定!$C$2,設定!$D$2,17))&gt;0,"假",IF(INDEX(設定!$U$48:$AO$48,(WEEKDAY(DATE(設定!$C$2,設定!$D$2,17),2)-1)*3+3)=0,"休",COUNTIF(BC$6:BC$45,"睿"))))</f>
        <v/>
      </c>
      <c r="BD48" s="71">
        <f>IF(BD$4="","",IF(COUNTIF(設定!$W$6:$W$40,DATE(設定!$C$2,設定!$D$2,18))&gt;0,"假",IF(INDEX(設定!$U$48:$AO$48,(WEEKDAY(DATE(設定!$C$2,設定!$D$2,18),2)-1)*3+1)=0,"休",COUNTIF(BD$6:BD$45,"睿"))))</f>
        <v/>
      </c>
      <c r="BE48" s="72">
        <f>IF(BE$4="","",IF(COUNTIF(設定!$W$6:$W$40,DATE(設定!$C$2,設定!$D$2,18))&gt;0,"假",IF(INDEX(設定!$U$48:$AO$48,(WEEKDAY(DATE(設定!$C$2,設定!$D$2,18),2)-1)*3+2)=0,"休",COUNTIF(BE$6:BE$45,"睿"))))</f>
        <v/>
      </c>
      <c r="BF48" s="72">
        <f>IF(BF$4="","",IF(COUNTIF(設定!$W$6:$W$40,DATE(設定!$C$2,設定!$D$2,18))&gt;0,"假",IF(INDEX(設定!$U$48:$AO$48,(WEEKDAY(DATE(設定!$C$2,設定!$D$2,18),2)-1)*3+3)=0,"休",COUNTIF(BF$6:BF$45,"睿"))))</f>
        <v/>
      </c>
      <c r="BG48" s="71">
        <f>IF(BG$4="","",IF(COUNTIF(設定!$W$6:$W$40,DATE(設定!$C$2,設定!$D$2,19))&gt;0,"假",IF(INDEX(設定!$U$48:$AO$48,(WEEKDAY(DATE(設定!$C$2,設定!$D$2,19),2)-1)*3+1)=0,"休",COUNTIF(BG$6:BG$45,"睿"))))</f>
        <v/>
      </c>
      <c r="BH48" s="72">
        <f>IF(BH$4="","",IF(COUNTIF(設定!$W$6:$W$40,DATE(設定!$C$2,設定!$D$2,19))&gt;0,"假",IF(INDEX(設定!$U$48:$AO$48,(WEEKDAY(DATE(設定!$C$2,設定!$D$2,19),2)-1)*3+2)=0,"休",COUNTIF(BH$6:BH$45,"睿"))))</f>
        <v/>
      </c>
      <c r="BI48" s="72">
        <f>IF(BI$4="","",IF(COUNTIF(設定!$W$6:$W$40,DATE(設定!$C$2,設定!$D$2,19))&gt;0,"假",IF(INDEX(設定!$U$48:$AO$48,(WEEKDAY(DATE(設定!$C$2,設定!$D$2,19),2)-1)*3+3)=0,"休",COUNTIF(BI$6:BI$45,"睿"))))</f>
        <v/>
      </c>
      <c r="BJ48" s="71">
        <f>IF(BJ$4="","",IF(COUNTIF(設定!$W$6:$W$40,DATE(設定!$C$2,設定!$D$2,20))&gt;0,"假",IF(INDEX(設定!$U$48:$AO$48,(WEEKDAY(DATE(設定!$C$2,設定!$D$2,20),2)-1)*3+1)=0,"休",COUNTIF(BJ$6:BJ$45,"睿"))))</f>
        <v/>
      </c>
      <c r="BK48" s="72">
        <f>IF(BK$4="","",IF(COUNTIF(設定!$W$6:$W$40,DATE(設定!$C$2,設定!$D$2,20))&gt;0,"假",IF(INDEX(設定!$U$48:$AO$48,(WEEKDAY(DATE(設定!$C$2,設定!$D$2,20),2)-1)*3+2)=0,"休",COUNTIF(BK$6:BK$45,"睿"))))</f>
        <v/>
      </c>
      <c r="BL48" s="72">
        <f>IF(BL$4="","",IF(COUNTIF(設定!$W$6:$W$40,DATE(設定!$C$2,設定!$D$2,20))&gt;0,"假",IF(INDEX(設定!$U$48:$AO$48,(WEEKDAY(DATE(設定!$C$2,設定!$D$2,20),2)-1)*3+3)=0,"休",COUNTIF(BL$6:BL$45,"睿"))))</f>
        <v/>
      </c>
      <c r="BM48" s="71">
        <f>IF(BM$4="","",IF(COUNTIF(設定!$W$6:$W$40,DATE(設定!$C$2,設定!$D$2,21))&gt;0,"假",IF(INDEX(設定!$U$48:$AO$48,(WEEKDAY(DATE(設定!$C$2,設定!$D$2,21),2)-1)*3+1)=0,"休",COUNTIF(BM$6:BM$45,"睿"))))</f>
        <v/>
      </c>
      <c r="BN48" s="72">
        <f>IF(BN$4="","",IF(COUNTIF(設定!$W$6:$W$40,DATE(設定!$C$2,設定!$D$2,21))&gt;0,"假",IF(INDEX(設定!$U$48:$AO$48,(WEEKDAY(DATE(設定!$C$2,設定!$D$2,21),2)-1)*3+2)=0,"休",COUNTIF(BN$6:BN$45,"睿"))))</f>
        <v/>
      </c>
      <c r="BO48" s="72">
        <f>IF(BO$4="","",IF(COUNTIF(設定!$W$6:$W$40,DATE(設定!$C$2,設定!$D$2,21))&gt;0,"假",IF(INDEX(設定!$U$48:$AO$48,(WEEKDAY(DATE(設定!$C$2,設定!$D$2,21),2)-1)*3+3)=0,"休",COUNTIF(BO$6:BO$45,"睿"))))</f>
        <v/>
      </c>
      <c r="BP48" s="71">
        <f>IF(BP$4="","",IF(COUNTIF(設定!$W$6:$W$40,DATE(設定!$C$2,設定!$D$2,22))&gt;0,"假",IF(INDEX(設定!$U$48:$AO$48,(WEEKDAY(DATE(設定!$C$2,設定!$D$2,22),2)-1)*3+1)=0,"休",COUNTIF(BP$6:BP$45,"睿"))))</f>
        <v/>
      </c>
      <c r="BQ48" s="72">
        <f>IF(BQ$4="","",IF(COUNTIF(設定!$W$6:$W$40,DATE(設定!$C$2,設定!$D$2,22))&gt;0,"假",IF(INDEX(設定!$U$48:$AO$48,(WEEKDAY(DATE(設定!$C$2,設定!$D$2,22),2)-1)*3+2)=0,"休",COUNTIF(BQ$6:BQ$45,"睿"))))</f>
        <v/>
      </c>
      <c r="BR48" s="72">
        <f>IF(BR$4="","",IF(COUNTIF(設定!$W$6:$W$40,DATE(設定!$C$2,設定!$D$2,22))&gt;0,"假",IF(INDEX(設定!$U$48:$AO$48,(WEEKDAY(DATE(設定!$C$2,設定!$D$2,22),2)-1)*3+3)=0,"休",COUNTIF(BR$6:BR$45,"睿"))))</f>
        <v/>
      </c>
      <c r="BS48" s="71">
        <f>IF(BS$4="","",IF(COUNTIF(設定!$W$6:$W$40,DATE(設定!$C$2,設定!$D$2,23))&gt;0,"假",IF(INDEX(設定!$U$48:$AO$48,(WEEKDAY(DATE(設定!$C$2,設定!$D$2,23),2)-1)*3+1)=0,"休",COUNTIF(BS$6:BS$45,"睿"))))</f>
        <v/>
      </c>
      <c r="BT48" s="72">
        <f>IF(BT$4="","",IF(COUNTIF(設定!$W$6:$W$40,DATE(設定!$C$2,設定!$D$2,23))&gt;0,"假",IF(INDEX(設定!$U$48:$AO$48,(WEEKDAY(DATE(設定!$C$2,設定!$D$2,23),2)-1)*3+2)=0,"休",COUNTIF(BT$6:BT$45,"睿"))))</f>
        <v/>
      </c>
      <c r="BU48" s="72">
        <f>IF(BU$4="","",IF(COUNTIF(設定!$W$6:$W$40,DATE(設定!$C$2,設定!$D$2,23))&gt;0,"假",IF(INDEX(設定!$U$48:$AO$48,(WEEKDAY(DATE(設定!$C$2,設定!$D$2,23),2)-1)*3+3)=0,"休",COUNTIF(BU$6:BU$45,"睿"))))</f>
        <v/>
      </c>
      <c r="BV48" s="71">
        <f>IF(BV$4="","",IF(COUNTIF(設定!$W$6:$W$40,DATE(設定!$C$2,設定!$D$2,24))&gt;0,"假",IF(INDEX(設定!$U$48:$AO$48,(WEEKDAY(DATE(設定!$C$2,設定!$D$2,24),2)-1)*3+1)=0,"休",COUNTIF(BV$6:BV$45,"睿"))))</f>
        <v/>
      </c>
      <c r="BW48" s="72">
        <f>IF(BW$4="","",IF(COUNTIF(設定!$W$6:$W$40,DATE(設定!$C$2,設定!$D$2,24))&gt;0,"假",IF(INDEX(設定!$U$48:$AO$48,(WEEKDAY(DATE(設定!$C$2,設定!$D$2,24),2)-1)*3+2)=0,"休",COUNTIF(BW$6:BW$45,"睿"))))</f>
        <v/>
      </c>
      <c r="BX48" s="72">
        <f>IF(BX$4="","",IF(COUNTIF(設定!$W$6:$W$40,DATE(設定!$C$2,設定!$D$2,24))&gt;0,"假",IF(INDEX(設定!$U$48:$AO$48,(WEEKDAY(DATE(設定!$C$2,設定!$D$2,24),2)-1)*3+3)=0,"休",COUNTIF(BX$6:BX$45,"睿"))))</f>
        <v/>
      </c>
      <c r="BY48" s="71">
        <f>IF(BY$4="","",IF(COUNTIF(設定!$W$6:$W$40,DATE(設定!$C$2,設定!$D$2,25))&gt;0,"假",IF(INDEX(設定!$U$48:$AO$48,(WEEKDAY(DATE(設定!$C$2,設定!$D$2,25),2)-1)*3+1)=0,"休",COUNTIF(BY$6:BY$45,"睿"))))</f>
        <v/>
      </c>
      <c r="BZ48" s="72">
        <f>IF(BZ$4="","",IF(COUNTIF(設定!$W$6:$W$40,DATE(設定!$C$2,設定!$D$2,25))&gt;0,"假",IF(INDEX(設定!$U$48:$AO$48,(WEEKDAY(DATE(設定!$C$2,設定!$D$2,25),2)-1)*3+2)=0,"休",COUNTIF(BZ$6:BZ$45,"睿"))))</f>
        <v/>
      </c>
      <c r="CA48" s="72">
        <f>IF(CA$4="","",IF(COUNTIF(設定!$W$6:$W$40,DATE(設定!$C$2,設定!$D$2,25))&gt;0,"假",IF(INDEX(設定!$U$48:$AO$48,(WEEKDAY(DATE(設定!$C$2,設定!$D$2,25),2)-1)*3+3)=0,"休",COUNTIF(CA$6:CA$45,"睿"))))</f>
        <v/>
      </c>
      <c r="CB48" s="71">
        <f>IF(CB$4="","",IF(COUNTIF(設定!$W$6:$W$40,DATE(設定!$C$2,設定!$D$2,26))&gt;0,"假",IF(INDEX(設定!$U$48:$AO$48,(WEEKDAY(DATE(設定!$C$2,設定!$D$2,26),2)-1)*3+1)=0,"休",COUNTIF(CB$6:CB$45,"睿"))))</f>
        <v/>
      </c>
      <c r="CC48" s="72">
        <f>IF(CC$4="","",IF(COUNTIF(設定!$W$6:$W$40,DATE(設定!$C$2,設定!$D$2,26))&gt;0,"假",IF(INDEX(設定!$U$48:$AO$48,(WEEKDAY(DATE(設定!$C$2,設定!$D$2,26),2)-1)*3+2)=0,"休",COUNTIF(CC$6:CC$45,"睿"))))</f>
        <v/>
      </c>
      <c r="CD48" s="72">
        <f>IF(CD$4="","",IF(COUNTIF(設定!$W$6:$W$40,DATE(設定!$C$2,設定!$D$2,26))&gt;0,"假",IF(INDEX(設定!$U$48:$AO$48,(WEEKDAY(DATE(設定!$C$2,設定!$D$2,26),2)-1)*3+3)=0,"休",COUNTIF(CD$6:CD$45,"睿"))))</f>
        <v/>
      </c>
      <c r="CE48" s="71">
        <f>IF(CE$4="","",IF(COUNTIF(設定!$W$6:$W$40,DATE(設定!$C$2,設定!$D$2,27))&gt;0,"假",IF(INDEX(設定!$U$48:$AO$48,(WEEKDAY(DATE(設定!$C$2,設定!$D$2,27),2)-1)*3+1)=0,"休",COUNTIF(CE$6:CE$45,"睿"))))</f>
        <v/>
      </c>
      <c r="CF48" s="72">
        <f>IF(CF$4="","",IF(COUNTIF(設定!$W$6:$W$40,DATE(設定!$C$2,設定!$D$2,27))&gt;0,"假",IF(INDEX(設定!$U$48:$AO$48,(WEEKDAY(DATE(設定!$C$2,設定!$D$2,27),2)-1)*3+2)=0,"休",COUNTIF(CF$6:CF$45,"睿"))))</f>
        <v/>
      </c>
      <c r="CG48" s="72">
        <f>IF(CG$4="","",IF(COUNTIF(設定!$W$6:$W$40,DATE(設定!$C$2,設定!$D$2,27))&gt;0,"假",IF(INDEX(設定!$U$48:$AO$48,(WEEKDAY(DATE(設定!$C$2,設定!$D$2,27),2)-1)*3+3)=0,"休",COUNTIF(CG$6:CG$45,"睿"))))</f>
        <v/>
      </c>
      <c r="CH48" s="71">
        <f>IF(CH$4="","",IF(COUNTIF(設定!$W$6:$W$40,DATE(設定!$C$2,設定!$D$2,28))&gt;0,"假",IF(INDEX(設定!$U$48:$AO$48,(WEEKDAY(DATE(設定!$C$2,設定!$D$2,28),2)-1)*3+1)=0,"休",COUNTIF(CH$6:CH$45,"睿"))))</f>
        <v/>
      </c>
      <c r="CI48" s="72">
        <f>IF(CI$4="","",IF(COUNTIF(設定!$W$6:$W$40,DATE(設定!$C$2,設定!$D$2,28))&gt;0,"假",IF(INDEX(設定!$U$48:$AO$48,(WEEKDAY(DATE(設定!$C$2,設定!$D$2,28),2)-1)*3+2)=0,"休",COUNTIF(CI$6:CI$45,"睿"))))</f>
        <v/>
      </c>
      <c r="CJ48" s="72">
        <f>IF(CJ$4="","",IF(COUNTIF(設定!$W$6:$W$40,DATE(設定!$C$2,設定!$D$2,28))&gt;0,"假",IF(INDEX(設定!$U$48:$AO$48,(WEEKDAY(DATE(設定!$C$2,設定!$D$2,28),2)-1)*3+3)=0,"休",COUNTIF(CJ$6:CJ$45,"睿"))))</f>
        <v/>
      </c>
      <c r="CK48" s="71">
        <f>IF(CK$4="","",IF(COUNTIF(設定!$W$6:$W$40,DATE(設定!$C$2,設定!$D$2,29))&gt;0,"假",IF(INDEX(設定!$U$48:$AO$48,(WEEKDAY(DATE(設定!$C$2,設定!$D$2,29),2)-1)*3+1)=0,"休",COUNTIF(CK$6:CK$45,"睿"))))</f>
        <v/>
      </c>
      <c r="CL48" s="72">
        <f>IF(CL$4="","",IF(COUNTIF(設定!$W$6:$W$40,DATE(設定!$C$2,設定!$D$2,29))&gt;0,"假",IF(INDEX(設定!$U$48:$AO$48,(WEEKDAY(DATE(設定!$C$2,設定!$D$2,29),2)-1)*3+2)=0,"休",COUNTIF(CL$6:CL$45,"睿"))))</f>
        <v/>
      </c>
      <c r="CM48" s="72">
        <f>IF(CM$4="","",IF(COUNTIF(設定!$W$6:$W$40,DATE(設定!$C$2,設定!$D$2,29))&gt;0,"假",IF(INDEX(設定!$U$48:$AO$48,(WEEKDAY(DATE(設定!$C$2,設定!$D$2,29),2)-1)*3+3)=0,"休",COUNTIF(CM$6:CM$45,"睿"))))</f>
        <v/>
      </c>
      <c r="CN48" s="71">
        <f>IF(CN$4="","",IF(COUNTIF(設定!$W$6:$W$40,DATE(設定!$C$2,設定!$D$2,30))&gt;0,"假",IF(INDEX(設定!$U$48:$AO$48,(WEEKDAY(DATE(設定!$C$2,設定!$D$2,30),2)-1)*3+1)=0,"休",COUNTIF(CN$6:CN$45,"睿"))))</f>
        <v/>
      </c>
      <c r="CO48" s="72">
        <f>IF(CO$4="","",IF(COUNTIF(設定!$W$6:$W$40,DATE(設定!$C$2,設定!$D$2,30))&gt;0,"假",IF(INDEX(設定!$U$48:$AO$48,(WEEKDAY(DATE(設定!$C$2,設定!$D$2,30),2)-1)*3+2)=0,"休",COUNTIF(CO$6:CO$45,"睿"))))</f>
        <v/>
      </c>
      <c r="CP48" s="72">
        <f>IF(CP$4="","",IF(COUNTIF(設定!$W$6:$W$40,DATE(設定!$C$2,設定!$D$2,30))&gt;0,"假",IF(INDEX(設定!$U$48:$AO$48,(WEEKDAY(DATE(設定!$C$2,設定!$D$2,30),2)-1)*3+3)=0,"休",COUNTIF(CP$6:CP$45,"睿"))))</f>
        <v/>
      </c>
      <c r="CQ48" s="71">
        <f>IF(CQ$4="","",IF(COUNTIF(設定!$W$6:$W$40,DATE(設定!$C$2,設定!$D$2,31))&gt;0,"假",IF(INDEX(設定!$U$48:$AO$48,(WEEKDAY(DATE(設定!$C$2,設定!$D$2,31),2)-1)*3+1)=0,"休",COUNTIF(CQ$6:CQ$45,"睿"))))</f>
        <v/>
      </c>
      <c r="CR48" s="72">
        <f>IF(CR$4="","",IF(COUNTIF(設定!$W$6:$W$40,DATE(設定!$C$2,設定!$D$2,31))&gt;0,"假",IF(INDEX(設定!$U$48:$AO$48,(WEEKDAY(DATE(設定!$C$2,設定!$D$2,31),2)-1)*3+2)=0,"休",COUNTIF(CR$6:CR$45,"睿"))))</f>
        <v/>
      </c>
      <c r="CS48" s="72">
        <f>IF(CS$4="","",IF(COUNTIF(設定!$W$6:$W$40,DATE(設定!$C$2,設定!$D$2,31))&gt;0,"假",IF(INDEX(設定!$U$48:$AO$48,(WEEKDAY(DATE(設定!$C$2,設定!$D$2,31),2)-1)*3+3)=0,"休",COUNTIF(CS$6:CS$45,"睿"))))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IF(E$4="","",IF(COUNTIF(設定!$W$6:$W$40,DATE(設定!$C$2,設定!$D$2,1))&gt;0,"假",IF(INDEX(設定!$U$49:$AO$49,(WEEKDAY(DATE(設定!$C$2,設定!$D$2,1),2)-1)*3+1)=0,"休",COUNTIF(E$6:E$45,"匯"))))</f>
        <v/>
      </c>
      <c r="F49" s="72">
        <f>IF(F$4="","",IF(COUNTIF(設定!$W$6:$W$40,DATE(設定!$C$2,設定!$D$2,1))&gt;0,"假",IF(INDEX(設定!$U$49:$AO$49,(WEEKDAY(DATE(設定!$C$2,設定!$D$2,1),2)-1)*3+2)=0,"休",COUNTIF(F$6:F$45,"匯"))))</f>
        <v/>
      </c>
      <c r="G49" s="72">
        <f>IF(G$4="","",IF(COUNTIF(設定!$W$6:$W$40,DATE(設定!$C$2,設定!$D$2,1))&gt;0,"假",IF(INDEX(設定!$U$49:$AO$49,(WEEKDAY(DATE(設定!$C$2,設定!$D$2,1),2)-1)*3+3)=0,"休",COUNTIF(G$6:G$45,"匯"))))</f>
        <v/>
      </c>
      <c r="H49" s="71">
        <f>IF(H$4="","",IF(COUNTIF(設定!$W$6:$W$40,DATE(設定!$C$2,設定!$D$2,2))&gt;0,"假",IF(INDEX(設定!$U$49:$AO$49,(WEEKDAY(DATE(設定!$C$2,設定!$D$2,2),2)-1)*3+1)=0,"休",COUNTIF(H$6:H$45,"匯"))))</f>
        <v/>
      </c>
      <c r="I49" s="72">
        <f>IF(I$4="","",IF(COUNTIF(設定!$W$6:$W$40,DATE(設定!$C$2,設定!$D$2,2))&gt;0,"假",IF(INDEX(設定!$U$49:$AO$49,(WEEKDAY(DATE(設定!$C$2,設定!$D$2,2),2)-1)*3+2)=0,"休",COUNTIF(I$6:I$45,"匯"))))</f>
        <v/>
      </c>
      <c r="J49" s="72">
        <f>IF(J$4="","",IF(COUNTIF(設定!$W$6:$W$40,DATE(設定!$C$2,設定!$D$2,2))&gt;0,"假",IF(INDEX(設定!$U$49:$AO$49,(WEEKDAY(DATE(設定!$C$2,設定!$D$2,2),2)-1)*3+3)=0,"休",COUNTIF(J$6:J$45,"匯"))))</f>
        <v/>
      </c>
      <c r="K49" s="71">
        <f>IF(K$4="","",IF(COUNTIF(設定!$W$6:$W$40,DATE(設定!$C$2,設定!$D$2,3))&gt;0,"假",IF(INDEX(設定!$U$49:$AO$49,(WEEKDAY(DATE(設定!$C$2,設定!$D$2,3),2)-1)*3+1)=0,"休",COUNTIF(K$6:K$45,"匯"))))</f>
        <v/>
      </c>
      <c r="L49" s="72">
        <f>IF(L$4="","",IF(COUNTIF(設定!$W$6:$W$40,DATE(設定!$C$2,設定!$D$2,3))&gt;0,"假",IF(INDEX(設定!$U$49:$AO$49,(WEEKDAY(DATE(設定!$C$2,設定!$D$2,3),2)-1)*3+2)=0,"休",COUNTIF(L$6:L$45,"匯"))))</f>
        <v/>
      </c>
      <c r="M49" s="72">
        <f>IF(M$4="","",IF(COUNTIF(設定!$W$6:$W$40,DATE(設定!$C$2,設定!$D$2,3))&gt;0,"假",IF(INDEX(設定!$U$49:$AO$49,(WEEKDAY(DATE(設定!$C$2,設定!$D$2,3),2)-1)*3+3)=0,"休",COUNTIF(M$6:M$45,"匯"))))</f>
        <v/>
      </c>
      <c r="N49" s="71">
        <f>IF(N$4="","",IF(COUNTIF(設定!$W$6:$W$40,DATE(設定!$C$2,設定!$D$2,4))&gt;0,"假",IF(INDEX(設定!$U$49:$AO$49,(WEEKDAY(DATE(設定!$C$2,設定!$D$2,4),2)-1)*3+1)=0,"休",COUNTIF(N$6:N$45,"匯"))))</f>
        <v/>
      </c>
      <c r="O49" s="72">
        <f>IF(O$4="","",IF(COUNTIF(設定!$W$6:$W$40,DATE(設定!$C$2,設定!$D$2,4))&gt;0,"假",IF(INDEX(設定!$U$49:$AO$49,(WEEKDAY(DATE(設定!$C$2,設定!$D$2,4),2)-1)*3+2)=0,"休",COUNTIF(O$6:O$45,"匯"))))</f>
        <v/>
      </c>
      <c r="P49" s="72">
        <f>IF(P$4="","",IF(COUNTIF(設定!$W$6:$W$40,DATE(設定!$C$2,設定!$D$2,4))&gt;0,"假",IF(INDEX(設定!$U$49:$AO$49,(WEEKDAY(DATE(設定!$C$2,設定!$D$2,4),2)-1)*3+3)=0,"休",COUNTIF(P$6:P$45,"匯"))))</f>
        <v/>
      </c>
      <c r="Q49" s="71">
        <f>IF(Q$4="","",IF(COUNTIF(設定!$W$6:$W$40,DATE(設定!$C$2,設定!$D$2,5))&gt;0,"假",IF(INDEX(設定!$U$49:$AO$49,(WEEKDAY(DATE(設定!$C$2,設定!$D$2,5),2)-1)*3+1)=0,"休",COUNTIF(Q$6:Q$45,"匯"))))</f>
        <v/>
      </c>
      <c r="R49" s="72">
        <f>IF(R$4="","",IF(COUNTIF(設定!$W$6:$W$40,DATE(設定!$C$2,設定!$D$2,5))&gt;0,"假",IF(INDEX(設定!$U$49:$AO$49,(WEEKDAY(DATE(設定!$C$2,設定!$D$2,5),2)-1)*3+2)=0,"休",COUNTIF(R$6:R$45,"匯"))))</f>
        <v/>
      </c>
      <c r="S49" s="72">
        <f>IF(S$4="","",IF(COUNTIF(設定!$W$6:$W$40,DATE(設定!$C$2,設定!$D$2,5))&gt;0,"假",IF(INDEX(設定!$U$49:$AO$49,(WEEKDAY(DATE(設定!$C$2,設定!$D$2,5),2)-1)*3+3)=0,"休",COUNTIF(S$6:S$45,"匯"))))</f>
        <v/>
      </c>
      <c r="T49" s="71">
        <f>IF(T$4="","",IF(COUNTIF(設定!$W$6:$W$40,DATE(設定!$C$2,設定!$D$2,6))&gt;0,"假",IF(INDEX(設定!$U$49:$AO$49,(WEEKDAY(DATE(設定!$C$2,設定!$D$2,6),2)-1)*3+1)=0,"休",COUNTIF(T$6:T$45,"匯"))))</f>
        <v/>
      </c>
      <c r="U49" s="72">
        <f>IF(U$4="","",IF(COUNTIF(設定!$W$6:$W$40,DATE(設定!$C$2,設定!$D$2,6))&gt;0,"假",IF(INDEX(設定!$U$49:$AO$49,(WEEKDAY(DATE(設定!$C$2,設定!$D$2,6),2)-1)*3+2)=0,"休",COUNTIF(U$6:U$45,"匯"))))</f>
        <v/>
      </c>
      <c r="V49" s="72">
        <f>IF(V$4="","",IF(COUNTIF(設定!$W$6:$W$40,DATE(設定!$C$2,設定!$D$2,6))&gt;0,"假",IF(INDEX(設定!$U$49:$AO$49,(WEEKDAY(DATE(設定!$C$2,設定!$D$2,6),2)-1)*3+3)=0,"休",COUNTIF(V$6:V$45,"匯"))))</f>
        <v/>
      </c>
      <c r="W49" s="71">
        <f>IF(W$4="","",IF(COUNTIF(設定!$W$6:$W$40,DATE(設定!$C$2,設定!$D$2,7))&gt;0,"假",IF(INDEX(設定!$U$49:$AO$49,(WEEKDAY(DATE(設定!$C$2,設定!$D$2,7),2)-1)*3+1)=0,"休",COUNTIF(W$6:W$45,"匯"))))</f>
        <v/>
      </c>
      <c r="X49" s="72">
        <f>IF(X$4="","",IF(COUNTIF(設定!$W$6:$W$40,DATE(設定!$C$2,設定!$D$2,7))&gt;0,"假",IF(INDEX(設定!$U$49:$AO$49,(WEEKDAY(DATE(設定!$C$2,設定!$D$2,7),2)-1)*3+2)=0,"休",COUNTIF(X$6:X$45,"匯"))))</f>
        <v/>
      </c>
      <c r="Y49" s="72">
        <f>IF(Y$4="","",IF(COUNTIF(設定!$W$6:$W$40,DATE(設定!$C$2,設定!$D$2,7))&gt;0,"假",IF(INDEX(設定!$U$49:$AO$49,(WEEKDAY(DATE(設定!$C$2,設定!$D$2,7),2)-1)*3+3)=0,"休",COUNTIF(Y$6:Y$45,"匯"))))</f>
        <v/>
      </c>
      <c r="Z49" s="71">
        <f>IF(Z$4="","",IF(COUNTIF(設定!$W$6:$W$40,DATE(設定!$C$2,設定!$D$2,8))&gt;0,"假",IF(INDEX(設定!$U$49:$AO$49,(WEEKDAY(DATE(設定!$C$2,設定!$D$2,8),2)-1)*3+1)=0,"休",COUNTIF(Z$6:Z$45,"匯"))))</f>
        <v/>
      </c>
      <c r="AA49" s="72">
        <f>IF(AA$4="","",IF(COUNTIF(設定!$W$6:$W$40,DATE(設定!$C$2,設定!$D$2,8))&gt;0,"假",IF(INDEX(設定!$U$49:$AO$49,(WEEKDAY(DATE(設定!$C$2,設定!$D$2,8),2)-1)*3+2)=0,"休",COUNTIF(AA$6:AA$45,"匯"))))</f>
        <v/>
      </c>
      <c r="AB49" s="72">
        <f>IF(AB$4="","",IF(COUNTIF(設定!$W$6:$W$40,DATE(設定!$C$2,設定!$D$2,8))&gt;0,"假",IF(INDEX(設定!$U$49:$AO$49,(WEEKDAY(DATE(設定!$C$2,設定!$D$2,8),2)-1)*3+3)=0,"休",COUNTIF(AB$6:AB$45,"匯"))))</f>
        <v/>
      </c>
      <c r="AC49" s="71">
        <f>IF(AC$4="","",IF(COUNTIF(設定!$W$6:$W$40,DATE(設定!$C$2,設定!$D$2,9))&gt;0,"假",IF(INDEX(設定!$U$49:$AO$49,(WEEKDAY(DATE(設定!$C$2,設定!$D$2,9),2)-1)*3+1)=0,"休",COUNTIF(AC$6:AC$45,"匯"))))</f>
        <v/>
      </c>
      <c r="AD49" s="72">
        <f>IF(AD$4="","",IF(COUNTIF(設定!$W$6:$W$40,DATE(設定!$C$2,設定!$D$2,9))&gt;0,"假",IF(INDEX(設定!$U$49:$AO$49,(WEEKDAY(DATE(設定!$C$2,設定!$D$2,9),2)-1)*3+2)=0,"休",COUNTIF(AD$6:AD$45,"匯"))))</f>
        <v/>
      </c>
      <c r="AE49" s="72">
        <f>IF(AE$4="","",IF(COUNTIF(設定!$W$6:$W$40,DATE(設定!$C$2,設定!$D$2,9))&gt;0,"假",IF(INDEX(設定!$U$49:$AO$49,(WEEKDAY(DATE(設定!$C$2,設定!$D$2,9),2)-1)*3+3)=0,"休",COUNTIF(AE$6:AE$45,"匯"))))</f>
        <v/>
      </c>
      <c r="AF49" s="71">
        <f>IF(AF$4="","",IF(COUNTIF(設定!$W$6:$W$40,DATE(設定!$C$2,設定!$D$2,10))&gt;0,"假",IF(INDEX(設定!$U$49:$AO$49,(WEEKDAY(DATE(設定!$C$2,設定!$D$2,10),2)-1)*3+1)=0,"休",COUNTIF(AF$6:AF$45,"匯"))))</f>
        <v/>
      </c>
      <c r="AG49" s="72">
        <f>IF(AG$4="","",IF(COUNTIF(設定!$W$6:$W$40,DATE(設定!$C$2,設定!$D$2,10))&gt;0,"假",IF(INDEX(設定!$U$49:$AO$49,(WEEKDAY(DATE(設定!$C$2,設定!$D$2,10),2)-1)*3+2)=0,"休",COUNTIF(AG$6:AG$45,"匯"))))</f>
        <v/>
      </c>
      <c r="AH49" s="72">
        <f>IF(AH$4="","",IF(COUNTIF(設定!$W$6:$W$40,DATE(設定!$C$2,設定!$D$2,10))&gt;0,"假",IF(INDEX(設定!$U$49:$AO$49,(WEEKDAY(DATE(設定!$C$2,設定!$D$2,10),2)-1)*3+3)=0,"休",COUNTIF(AH$6:AH$45,"匯"))))</f>
        <v/>
      </c>
      <c r="AI49" s="71">
        <f>IF(AI$4="","",IF(COUNTIF(設定!$W$6:$W$40,DATE(設定!$C$2,設定!$D$2,11))&gt;0,"假",IF(INDEX(設定!$U$49:$AO$49,(WEEKDAY(DATE(設定!$C$2,設定!$D$2,11),2)-1)*3+1)=0,"休",COUNTIF(AI$6:AI$45,"匯"))))</f>
        <v/>
      </c>
      <c r="AJ49" s="72">
        <f>IF(AJ$4="","",IF(COUNTIF(設定!$W$6:$W$40,DATE(設定!$C$2,設定!$D$2,11))&gt;0,"假",IF(INDEX(設定!$U$49:$AO$49,(WEEKDAY(DATE(設定!$C$2,設定!$D$2,11),2)-1)*3+2)=0,"休",COUNTIF(AJ$6:AJ$45,"匯"))))</f>
        <v/>
      </c>
      <c r="AK49" s="72">
        <f>IF(AK$4="","",IF(COUNTIF(設定!$W$6:$W$40,DATE(設定!$C$2,設定!$D$2,11))&gt;0,"假",IF(INDEX(設定!$U$49:$AO$49,(WEEKDAY(DATE(設定!$C$2,設定!$D$2,11),2)-1)*3+3)=0,"休",COUNTIF(AK$6:AK$45,"匯"))))</f>
        <v/>
      </c>
      <c r="AL49" s="71">
        <f>IF(AL$4="","",IF(COUNTIF(設定!$W$6:$W$40,DATE(設定!$C$2,設定!$D$2,12))&gt;0,"假",IF(INDEX(設定!$U$49:$AO$49,(WEEKDAY(DATE(設定!$C$2,設定!$D$2,12),2)-1)*3+1)=0,"休",COUNTIF(AL$6:AL$45,"匯"))))</f>
        <v/>
      </c>
      <c r="AM49" s="72">
        <f>IF(AM$4="","",IF(COUNTIF(設定!$W$6:$W$40,DATE(設定!$C$2,設定!$D$2,12))&gt;0,"假",IF(INDEX(設定!$U$49:$AO$49,(WEEKDAY(DATE(設定!$C$2,設定!$D$2,12),2)-1)*3+2)=0,"休",COUNTIF(AM$6:AM$45,"匯"))))</f>
        <v/>
      </c>
      <c r="AN49" s="72">
        <f>IF(AN$4="","",IF(COUNTIF(設定!$W$6:$W$40,DATE(設定!$C$2,設定!$D$2,12))&gt;0,"假",IF(INDEX(設定!$U$49:$AO$49,(WEEKDAY(DATE(設定!$C$2,設定!$D$2,12),2)-1)*3+3)=0,"休",COUNTIF(AN$6:AN$45,"匯"))))</f>
        <v/>
      </c>
      <c r="AO49" s="71">
        <f>IF(AO$4="","",IF(COUNTIF(設定!$W$6:$W$40,DATE(設定!$C$2,設定!$D$2,13))&gt;0,"假",IF(INDEX(設定!$U$49:$AO$49,(WEEKDAY(DATE(設定!$C$2,設定!$D$2,13),2)-1)*3+1)=0,"休",COUNTIF(AO$6:AO$45,"匯"))))</f>
        <v/>
      </c>
      <c r="AP49" s="72">
        <f>IF(AP$4="","",IF(COUNTIF(設定!$W$6:$W$40,DATE(設定!$C$2,設定!$D$2,13))&gt;0,"假",IF(INDEX(設定!$U$49:$AO$49,(WEEKDAY(DATE(設定!$C$2,設定!$D$2,13),2)-1)*3+2)=0,"休",COUNTIF(AP$6:AP$45,"匯"))))</f>
        <v/>
      </c>
      <c r="AQ49" s="72">
        <f>IF(AQ$4="","",IF(COUNTIF(設定!$W$6:$W$40,DATE(設定!$C$2,設定!$D$2,13))&gt;0,"假",IF(INDEX(設定!$U$49:$AO$49,(WEEKDAY(DATE(設定!$C$2,設定!$D$2,13),2)-1)*3+3)=0,"休",COUNTIF(AQ$6:AQ$45,"匯"))))</f>
        <v/>
      </c>
      <c r="AR49" s="71">
        <f>IF(AR$4="","",IF(COUNTIF(設定!$W$6:$W$40,DATE(設定!$C$2,設定!$D$2,14))&gt;0,"假",IF(INDEX(設定!$U$49:$AO$49,(WEEKDAY(DATE(設定!$C$2,設定!$D$2,14),2)-1)*3+1)=0,"休",COUNTIF(AR$6:AR$45,"匯"))))</f>
        <v/>
      </c>
      <c r="AS49" s="72">
        <f>IF(AS$4="","",IF(COUNTIF(設定!$W$6:$W$40,DATE(設定!$C$2,設定!$D$2,14))&gt;0,"假",IF(INDEX(設定!$U$49:$AO$49,(WEEKDAY(DATE(設定!$C$2,設定!$D$2,14),2)-1)*3+2)=0,"休",COUNTIF(AS$6:AS$45,"匯"))))</f>
        <v/>
      </c>
      <c r="AT49" s="72">
        <f>IF(AT$4="","",IF(COUNTIF(設定!$W$6:$W$40,DATE(設定!$C$2,設定!$D$2,14))&gt;0,"假",IF(INDEX(設定!$U$49:$AO$49,(WEEKDAY(DATE(設定!$C$2,設定!$D$2,14),2)-1)*3+3)=0,"休",COUNTIF(AT$6:AT$45,"匯"))))</f>
        <v/>
      </c>
      <c r="AU49" s="71">
        <f>IF(AU$4="","",IF(COUNTIF(設定!$W$6:$W$40,DATE(設定!$C$2,設定!$D$2,15))&gt;0,"假",IF(INDEX(設定!$U$49:$AO$49,(WEEKDAY(DATE(設定!$C$2,設定!$D$2,15),2)-1)*3+1)=0,"休",COUNTIF(AU$6:AU$45,"匯"))))</f>
        <v/>
      </c>
      <c r="AV49" s="72">
        <f>IF(AV$4="","",IF(COUNTIF(設定!$W$6:$W$40,DATE(設定!$C$2,設定!$D$2,15))&gt;0,"假",IF(INDEX(設定!$U$49:$AO$49,(WEEKDAY(DATE(設定!$C$2,設定!$D$2,15),2)-1)*3+2)=0,"休",COUNTIF(AV$6:AV$45,"匯"))))</f>
        <v/>
      </c>
      <c r="AW49" s="72">
        <f>IF(AW$4="","",IF(COUNTIF(設定!$W$6:$W$40,DATE(設定!$C$2,設定!$D$2,15))&gt;0,"假",IF(INDEX(設定!$U$49:$AO$49,(WEEKDAY(DATE(設定!$C$2,設定!$D$2,15),2)-1)*3+3)=0,"休",COUNTIF(AW$6:AW$45,"匯"))))</f>
        <v/>
      </c>
      <c r="AX49" s="71">
        <f>IF(AX$4="","",IF(COUNTIF(設定!$W$6:$W$40,DATE(設定!$C$2,設定!$D$2,16))&gt;0,"假",IF(INDEX(設定!$U$49:$AO$49,(WEEKDAY(DATE(設定!$C$2,設定!$D$2,16),2)-1)*3+1)=0,"休",COUNTIF(AX$6:AX$45,"匯"))))</f>
        <v/>
      </c>
      <c r="AY49" s="72">
        <f>IF(AY$4="","",IF(COUNTIF(設定!$W$6:$W$40,DATE(設定!$C$2,設定!$D$2,16))&gt;0,"假",IF(INDEX(設定!$U$49:$AO$49,(WEEKDAY(DATE(設定!$C$2,設定!$D$2,16),2)-1)*3+2)=0,"休",COUNTIF(AY$6:AY$45,"匯"))))</f>
        <v/>
      </c>
      <c r="AZ49" s="72">
        <f>IF(AZ$4="","",IF(COUNTIF(設定!$W$6:$W$40,DATE(設定!$C$2,設定!$D$2,16))&gt;0,"假",IF(INDEX(設定!$U$49:$AO$49,(WEEKDAY(DATE(設定!$C$2,設定!$D$2,16),2)-1)*3+3)=0,"休",COUNTIF(AZ$6:AZ$45,"匯"))))</f>
        <v/>
      </c>
      <c r="BA49" s="71">
        <f>IF(BA$4="","",IF(COUNTIF(設定!$W$6:$W$40,DATE(設定!$C$2,設定!$D$2,17))&gt;0,"假",IF(INDEX(設定!$U$49:$AO$49,(WEEKDAY(DATE(設定!$C$2,設定!$D$2,17),2)-1)*3+1)=0,"休",COUNTIF(BA$6:BA$45,"匯"))))</f>
        <v/>
      </c>
      <c r="BB49" s="72">
        <f>IF(BB$4="","",IF(COUNTIF(設定!$W$6:$W$40,DATE(設定!$C$2,設定!$D$2,17))&gt;0,"假",IF(INDEX(設定!$U$49:$AO$49,(WEEKDAY(DATE(設定!$C$2,設定!$D$2,17),2)-1)*3+2)=0,"休",COUNTIF(BB$6:BB$45,"匯"))))</f>
        <v/>
      </c>
      <c r="BC49" s="72">
        <f>IF(BC$4="","",IF(COUNTIF(設定!$W$6:$W$40,DATE(設定!$C$2,設定!$D$2,17))&gt;0,"假",IF(INDEX(設定!$U$49:$AO$49,(WEEKDAY(DATE(設定!$C$2,設定!$D$2,17),2)-1)*3+3)=0,"休",COUNTIF(BC$6:BC$45,"匯"))))</f>
        <v/>
      </c>
      <c r="BD49" s="71">
        <f>IF(BD$4="","",IF(COUNTIF(設定!$W$6:$W$40,DATE(設定!$C$2,設定!$D$2,18))&gt;0,"假",IF(INDEX(設定!$U$49:$AO$49,(WEEKDAY(DATE(設定!$C$2,設定!$D$2,18),2)-1)*3+1)=0,"休",COUNTIF(BD$6:BD$45,"匯"))))</f>
        <v/>
      </c>
      <c r="BE49" s="72">
        <f>IF(BE$4="","",IF(COUNTIF(設定!$W$6:$W$40,DATE(設定!$C$2,設定!$D$2,18))&gt;0,"假",IF(INDEX(設定!$U$49:$AO$49,(WEEKDAY(DATE(設定!$C$2,設定!$D$2,18),2)-1)*3+2)=0,"休",COUNTIF(BE$6:BE$45,"匯"))))</f>
        <v/>
      </c>
      <c r="BF49" s="72">
        <f>IF(BF$4="","",IF(COUNTIF(設定!$W$6:$W$40,DATE(設定!$C$2,設定!$D$2,18))&gt;0,"假",IF(INDEX(設定!$U$49:$AO$49,(WEEKDAY(DATE(設定!$C$2,設定!$D$2,18),2)-1)*3+3)=0,"休",COUNTIF(BF$6:BF$45,"匯"))))</f>
        <v/>
      </c>
      <c r="BG49" s="71">
        <f>IF(BG$4="","",IF(COUNTIF(設定!$W$6:$W$40,DATE(設定!$C$2,設定!$D$2,19))&gt;0,"假",IF(INDEX(設定!$U$49:$AO$49,(WEEKDAY(DATE(設定!$C$2,設定!$D$2,19),2)-1)*3+1)=0,"休",COUNTIF(BG$6:BG$45,"匯"))))</f>
        <v/>
      </c>
      <c r="BH49" s="72">
        <f>IF(BH$4="","",IF(COUNTIF(設定!$W$6:$W$40,DATE(設定!$C$2,設定!$D$2,19))&gt;0,"假",IF(INDEX(設定!$U$49:$AO$49,(WEEKDAY(DATE(設定!$C$2,設定!$D$2,19),2)-1)*3+2)=0,"休",COUNTIF(BH$6:BH$45,"匯"))))</f>
        <v/>
      </c>
      <c r="BI49" s="72">
        <f>IF(BI$4="","",IF(COUNTIF(設定!$W$6:$W$40,DATE(設定!$C$2,設定!$D$2,19))&gt;0,"假",IF(INDEX(設定!$U$49:$AO$49,(WEEKDAY(DATE(設定!$C$2,設定!$D$2,19),2)-1)*3+3)=0,"休",COUNTIF(BI$6:BI$45,"匯"))))</f>
        <v/>
      </c>
      <c r="BJ49" s="71">
        <f>IF(BJ$4="","",IF(COUNTIF(設定!$W$6:$W$40,DATE(設定!$C$2,設定!$D$2,20))&gt;0,"假",IF(INDEX(設定!$U$49:$AO$49,(WEEKDAY(DATE(設定!$C$2,設定!$D$2,20),2)-1)*3+1)=0,"休",COUNTIF(BJ$6:BJ$45,"匯"))))</f>
        <v/>
      </c>
      <c r="BK49" s="72">
        <f>IF(BK$4="","",IF(COUNTIF(設定!$W$6:$W$40,DATE(設定!$C$2,設定!$D$2,20))&gt;0,"假",IF(INDEX(設定!$U$49:$AO$49,(WEEKDAY(DATE(設定!$C$2,設定!$D$2,20),2)-1)*3+2)=0,"休",COUNTIF(BK$6:BK$45,"匯"))))</f>
        <v/>
      </c>
      <c r="BL49" s="72">
        <f>IF(BL$4="","",IF(COUNTIF(設定!$W$6:$W$40,DATE(設定!$C$2,設定!$D$2,20))&gt;0,"假",IF(INDEX(設定!$U$49:$AO$49,(WEEKDAY(DATE(設定!$C$2,設定!$D$2,20),2)-1)*3+3)=0,"休",COUNTIF(BL$6:BL$45,"匯"))))</f>
        <v/>
      </c>
      <c r="BM49" s="71">
        <f>IF(BM$4="","",IF(COUNTIF(設定!$W$6:$W$40,DATE(設定!$C$2,設定!$D$2,21))&gt;0,"假",IF(INDEX(設定!$U$49:$AO$49,(WEEKDAY(DATE(設定!$C$2,設定!$D$2,21),2)-1)*3+1)=0,"休",COUNTIF(BM$6:BM$45,"匯"))))</f>
        <v/>
      </c>
      <c r="BN49" s="72">
        <f>IF(BN$4="","",IF(COUNTIF(設定!$W$6:$W$40,DATE(設定!$C$2,設定!$D$2,21))&gt;0,"假",IF(INDEX(設定!$U$49:$AO$49,(WEEKDAY(DATE(設定!$C$2,設定!$D$2,21),2)-1)*3+2)=0,"休",COUNTIF(BN$6:BN$45,"匯"))))</f>
        <v/>
      </c>
      <c r="BO49" s="72">
        <f>IF(BO$4="","",IF(COUNTIF(設定!$W$6:$W$40,DATE(設定!$C$2,設定!$D$2,21))&gt;0,"假",IF(INDEX(設定!$U$49:$AO$49,(WEEKDAY(DATE(設定!$C$2,設定!$D$2,21),2)-1)*3+3)=0,"休",COUNTIF(BO$6:BO$45,"匯"))))</f>
        <v/>
      </c>
      <c r="BP49" s="71">
        <f>IF(BP$4="","",IF(COUNTIF(設定!$W$6:$W$40,DATE(設定!$C$2,設定!$D$2,22))&gt;0,"假",IF(INDEX(設定!$U$49:$AO$49,(WEEKDAY(DATE(設定!$C$2,設定!$D$2,22),2)-1)*3+1)=0,"休",COUNTIF(BP$6:BP$45,"匯"))))</f>
        <v/>
      </c>
      <c r="BQ49" s="72">
        <f>IF(BQ$4="","",IF(COUNTIF(設定!$W$6:$W$40,DATE(設定!$C$2,設定!$D$2,22))&gt;0,"假",IF(INDEX(設定!$U$49:$AO$49,(WEEKDAY(DATE(設定!$C$2,設定!$D$2,22),2)-1)*3+2)=0,"休",COUNTIF(BQ$6:BQ$45,"匯"))))</f>
        <v/>
      </c>
      <c r="BR49" s="72">
        <f>IF(BR$4="","",IF(COUNTIF(設定!$W$6:$W$40,DATE(設定!$C$2,設定!$D$2,22))&gt;0,"假",IF(INDEX(設定!$U$49:$AO$49,(WEEKDAY(DATE(設定!$C$2,設定!$D$2,22),2)-1)*3+3)=0,"休",COUNTIF(BR$6:BR$45,"匯"))))</f>
        <v/>
      </c>
      <c r="BS49" s="71">
        <f>IF(BS$4="","",IF(COUNTIF(設定!$W$6:$W$40,DATE(設定!$C$2,設定!$D$2,23))&gt;0,"假",IF(INDEX(設定!$U$49:$AO$49,(WEEKDAY(DATE(設定!$C$2,設定!$D$2,23),2)-1)*3+1)=0,"休",COUNTIF(BS$6:BS$45,"匯"))))</f>
        <v/>
      </c>
      <c r="BT49" s="72">
        <f>IF(BT$4="","",IF(COUNTIF(設定!$W$6:$W$40,DATE(設定!$C$2,設定!$D$2,23))&gt;0,"假",IF(INDEX(設定!$U$49:$AO$49,(WEEKDAY(DATE(設定!$C$2,設定!$D$2,23),2)-1)*3+2)=0,"休",COUNTIF(BT$6:BT$45,"匯"))))</f>
        <v/>
      </c>
      <c r="BU49" s="72">
        <f>IF(BU$4="","",IF(COUNTIF(設定!$W$6:$W$40,DATE(設定!$C$2,設定!$D$2,23))&gt;0,"假",IF(INDEX(設定!$U$49:$AO$49,(WEEKDAY(DATE(設定!$C$2,設定!$D$2,23),2)-1)*3+3)=0,"休",COUNTIF(BU$6:BU$45,"匯"))))</f>
        <v/>
      </c>
      <c r="BV49" s="71">
        <f>IF(BV$4="","",IF(COUNTIF(設定!$W$6:$W$40,DATE(設定!$C$2,設定!$D$2,24))&gt;0,"假",IF(INDEX(設定!$U$49:$AO$49,(WEEKDAY(DATE(設定!$C$2,設定!$D$2,24),2)-1)*3+1)=0,"休",COUNTIF(BV$6:BV$45,"匯"))))</f>
        <v/>
      </c>
      <c r="BW49" s="72">
        <f>IF(BW$4="","",IF(COUNTIF(設定!$W$6:$W$40,DATE(設定!$C$2,設定!$D$2,24))&gt;0,"假",IF(INDEX(設定!$U$49:$AO$49,(WEEKDAY(DATE(設定!$C$2,設定!$D$2,24),2)-1)*3+2)=0,"休",COUNTIF(BW$6:BW$45,"匯"))))</f>
        <v/>
      </c>
      <c r="BX49" s="72">
        <f>IF(BX$4="","",IF(COUNTIF(設定!$W$6:$W$40,DATE(設定!$C$2,設定!$D$2,24))&gt;0,"假",IF(INDEX(設定!$U$49:$AO$49,(WEEKDAY(DATE(設定!$C$2,設定!$D$2,24),2)-1)*3+3)=0,"休",COUNTIF(BX$6:BX$45,"匯"))))</f>
        <v/>
      </c>
      <c r="BY49" s="71">
        <f>IF(BY$4="","",IF(COUNTIF(設定!$W$6:$W$40,DATE(設定!$C$2,設定!$D$2,25))&gt;0,"假",IF(INDEX(設定!$U$49:$AO$49,(WEEKDAY(DATE(設定!$C$2,設定!$D$2,25),2)-1)*3+1)=0,"休",COUNTIF(BY$6:BY$45,"匯"))))</f>
        <v/>
      </c>
      <c r="BZ49" s="72">
        <f>IF(BZ$4="","",IF(COUNTIF(設定!$W$6:$W$40,DATE(設定!$C$2,設定!$D$2,25))&gt;0,"假",IF(INDEX(設定!$U$49:$AO$49,(WEEKDAY(DATE(設定!$C$2,設定!$D$2,25),2)-1)*3+2)=0,"休",COUNTIF(BZ$6:BZ$45,"匯"))))</f>
        <v/>
      </c>
      <c r="CA49" s="72">
        <f>IF(CA$4="","",IF(COUNTIF(設定!$W$6:$W$40,DATE(設定!$C$2,設定!$D$2,25))&gt;0,"假",IF(INDEX(設定!$U$49:$AO$49,(WEEKDAY(DATE(設定!$C$2,設定!$D$2,25),2)-1)*3+3)=0,"休",COUNTIF(CA$6:CA$45,"匯"))))</f>
        <v/>
      </c>
      <c r="CB49" s="71">
        <f>IF(CB$4="","",IF(COUNTIF(設定!$W$6:$W$40,DATE(設定!$C$2,設定!$D$2,26))&gt;0,"假",IF(INDEX(設定!$U$49:$AO$49,(WEEKDAY(DATE(設定!$C$2,設定!$D$2,26),2)-1)*3+1)=0,"休",COUNTIF(CB$6:CB$45,"匯"))))</f>
        <v/>
      </c>
      <c r="CC49" s="72">
        <f>IF(CC$4="","",IF(COUNTIF(設定!$W$6:$W$40,DATE(設定!$C$2,設定!$D$2,26))&gt;0,"假",IF(INDEX(設定!$U$49:$AO$49,(WEEKDAY(DATE(設定!$C$2,設定!$D$2,26),2)-1)*3+2)=0,"休",COUNTIF(CC$6:CC$45,"匯"))))</f>
        <v/>
      </c>
      <c r="CD49" s="72">
        <f>IF(CD$4="","",IF(COUNTIF(設定!$W$6:$W$40,DATE(設定!$C$2,設定!$D$2,26))&gt;0,"假",IF(INDEX(設定!$U$49:$AO$49,(WEEKDAY(DATE(設定!$C$2,設定!$D$2,26),2)-1)*3+3)=0,"休",COUNTIF(CD$6:CD$45,"匯"))))</f>
        <v/>
      </c>
      <c r="CE49" s="71">
        <f>IF(CE$4="","",IF(COUNTIF(設定!$W$6:$W$40,DATE(設定!$C$2,設定!$D$2,27))&gt;0,"假",IF(INDEX(設定!$U$49:$AO$49,(WEEKDAY(DATE(設定!$C$2,設定!$D$2,27),2)-1)*3+1)=0,"休",COUNTIF(CE$6:CE$45,"匯"))))</f>
        <v/>
      </c>
      <c r="CF49" s="72">
        <f>IF(CF$4="","",IF(COUNTIF(設定!$W$6:$W$40,DATE(設定!$C$2,設定!$D$2,27))&gt;0,"假",IF(INDEX(設定!$U$49:$AO$49,(WEEKDAY(DATE(設定!$C$2,設定!$D$2,27),2)-1)*3+2)=0,"休",COUNTIF(CF$6:CF$45,"匯"))))</f>
        <v/>
      </c>
      <c r="CG49" s="72">
        <f>IF(CG$4="","",IF(COUNTIF(設定!$W$6:$W$40,DATE(設定!$C$2,設定!$D$2,27))&gt;0,"假",IF(INDEX(設定!$U$49:$AO$49,(WEEKDAY(DATE(設定!$C$2,設定!$D$2,27),2)-1)*3+3)=0,"休",COUNTIF(CG$6:CG$45,"匯"))))</f>
        <v/>
      </c>
      <c r="CH49" s="71">
        <f>IF(CH$4="","",IF(COUNTIF(設定!$W$6:$W$40,DATE(設定!$C$2,設定!$D$2,28))&gt;0,"假",IF(INDEX(設定!$U$49:$AO$49,(WEEKDAY(DATE(設定!$C$2,設定!$D$2,28),2)-1)*3+1)=0,"休",COUNTIF(CH$6:CH$45,"匯"))))</f>
        <v/>
      </c>
      <c r="CI49" s="72">
        <f>IF(CI$4="","",IF(COUNTIF(設定!$W$6:$W$40,DATE(設定!$C$2,設定!$D$2,28))&gt;0,"假",IF(INDEX(設定!$U$49:$AO$49,(WEEKDAY(DATE(設定!$C$2,設定!$D$2,28),2)-1)*3+2)=0,"休",COUNTIF(CI$6:CI$45,"匯"))))</f>
        <v/>
      </c>
      <c r="CJ49" s="72">
        <f>IF(CJ$4="","",IF(COUNTIF(設定!$W$6:$W$40,DATE(設定!$C$2,設定!$D$2,28))&gt;0,"假",IF(INDEX(設定!$U$49:$AO$49,(WEEKDAY(DATE(設定!$C$2,設定!$D$2,28),2)-1)*3+3)=0,"休",COUNTIF(CJ$6:CJ$45,"匯"))))</f>
        <v/>
      </c>
      <c r="CK49" s="71">
        <f>IF(CK$4="","",IF(COUNTIF(設定!$W$6:$W$40,DATE(設定!$C$2,設定!$D$2,29))&gt;0,"假",IF(INDEX(設定!$U$49:$AO$49,(WEEKDAY(DATE(設定!$C$2,設定!$D$2,29),2)-1)*3+1)=0,"休",COUNTIF(CK$6:CK$45,"匯"))))</f>
        <v/>
      </c>
      <c r="CL49" s="72">
        <f>IF(CL$4="","",IF(COUNTIF(設定!$W$6:$W$40,DATE(設定!$C$2,設定!$D$2,29))&gt;0,"假",IF(INDEX(設定!$U$49:$AO$49,(WEEKDAY(DATE(設定!$C$2,設定!$D$2,29),2)-1)*3+2)=0,"休",COUNTIF(CL$6:CL$45,"匯"))))</f>
        <v/>
      </c>
      <c r="CM49" s="72">
        <f>IF(CM$4="","",IF(COUNTIF(設定!$W$6:$W$40,DATE(設定!$C$2,設定!$D$2,29))&gt;0,"假",IF(INDEX(設定!$U$49:$AO$49,(WEEKDAY(DATE(設定!$C$2,設定!$D$2,29),2)-1)*3+3)=0,"休",COUNTIF(CM$6:CM$45,"匯"))))</f>
        <v/>
      </c>
      <c r="CN49" s="71">
        <f>IF(CN$4="","",IF(COUNTIF(設定!$W$6:$W$40,DATE(設定!$C$2,設定!$D$2,30))&gt;0,"假",IF(INDEX(設定!$U$49:$AO$49,(WEEKDAY(DATE(設定!$C$2,設定!$D$2,30),2)-1)*3+1)=0,"休",COUNTIF(CN$6:CN$45,"匯"))))</f>
        <v/>
      </c>
      <c r="CO49" s="72">
        <f>IF(CO$4="","",IF(COUNTIF(設定!$W$6:$W$40,DATE(設定!$C$2,設定!$D$2,30))&gt;0,"假",IF(INDEX(設定!$U$49:$AO$49,(WEEKDAY(DATE(設定!$C$2,設定!$D$2,30),2)-1)*3+2)=0,"休",COUNTIF(CO$6:CO$45,"匯"))))</f>
        <v/>
      </c>
      <c r="CP49" s="72">
        <f>IF(CP$4="","",IF(COUNTIF(設定!$W$6:$W$40,DATE(設定!$C$2,設定!$D$2,30))&gt;0,"假",IF(INDEX(設定!$U$49:$AO$49,(WEEKDAY(DATE(設定!$C$2,設定!$D$2,30),2)-1)*3+3)=0,"休",COUNTIF(CP$6:CP$45,"匯"))))</f>
        <v/>
      </c>
      <c r="CQ49" s="71">
        <f>IF(CQ$4="","",IF(COUNTIF(設定!$W$6:$W$40,DATE(設定!$C$2,設定!$D$2,31))&gt;0,"假",IF(INDEX(設定!$U$49:$AO$49,(WEEKDAY(DATE(設定!$C$2,設定!$D$2,31),2)-1)*3+1)=0,"休",COUNTIF(CQ$6:CQ$45,"匯"))))</f>
        <v/>
      </c>
      <c r="CR49" s="72">
        <f>IF(CR$4="","",IF(COUNTIF(設定!$W$6:$W$40,DATE(設定!$C$2,設定!$D$2,31))&gt;0,"假",IF(INDEX(設定!$U$49:$AO$49,(WEEKDAY(DATE(設定!$C$2,設定!$D$2,31),2)-1)*3+2)=0,"休",COUNTIF(CR$6:CR$45,"匯"))))</f>
        <v/>
      </c>
      <c r="CS49" s="72">
        <f>IF(CS$4="","",IF(COUNTIF(設定!$W$6:$W$40,DATE(設定!$C$2,設定!$D$2,31))&gt;0,"假",IF(INDEX(設定!$U$49:$AO$49,(WEEKDAY(DATE(設定!$C$2,設定!$D$2,31),2)-1)*3+3)=0,"休",COUNTIF(CS$6:CS$45,"匯"))))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IF(E$4="","",IF(COUNTIF(設定!$W$6:$W$40,DATE(設定!$C$2,設定!$D$2,1))&gt;0,"假",IF(INDEX(設定!$U$50:$AO$50,(WEEKDAY(DATE(設定!$C$2,設定!$D$2,1),2)-1)*3+1)=0,"休",COUNTIF(E$6:E$45,"曜"))))</f>
        <v/>
      </c>
      <c r="F50" s="72">
        <f>IF(F$4="","",IF(COUNTIF(設定!$W$6:$W$40,DATE(設定!$C$2,設定!$D$2,1))&gt;0,"假",IF(INDEX(設定!$U$50:$AO$50,(WEEKDAY(DATE(設定!$C$2,設定!$D$2,1),2)-1)*3+2)=0,"休",COUNTIF(F$6:F$45,"曜"))))</f>
        <v/>
      </c>
      <c r="G50" s="72">
        <f>IF(G$4="","",IF(COUNTIF(設定!$W$6:$W$40,DATE(設定!$C$2,設定!$D$2,1))&gt;0,"假",IF(INDEX(設定!$U$50:$AO$50,(WEEKDAY(DATE(設定!$C$2,設定!$D$2,1),2)-1)*3+3)=0,"休",COUNTIF(G$6:G$45,"曜"))))</f>
        <v/>
      </c>
      <c r="H50" s="71">
        <f>IF(H$4="","",IF(COUNTIF(設定!$W$6:$W$40,DATE(設定!$C$2,設定!$D$2,2))&gt;0,"假",IF(INDEX(設定!$U$50:$AO$50,(WEEKDAY(DATE(設定!$C$2,設定!$D$2,2),2)-1)*3+1)=0,"休",COUNTIF(H$6:H$45,"曜"))))</f>
        <v/>
      </c>
      <c r="I50" s="72">
        <f>IF(I$4="","",IF(COUNTIF(設定!$W$6:$W$40,DATE(設定!$C$2,設定!$D$2,2))&gt;0,"假",IF(INDEX(設定!$U$50:$AO$50,(WEEKDAY(DATE(設定!$C$2,設定!$D$2,2),2)-1)*3+2)=0,"休",COUNTIF(I$6:I$45,"曜"))))</f>
        <v/>
      </c>
      <c r="J50" s="72">
        <f>IF(J$4="","",IF(COUNTIF(設定!$W$6:$W$40,DATE(設定!$C$2,設定!$D$2,2))&gt;0,"假",IF(INDEX(設定!$U$50:$AO$50,(WEEKDAY(DATE(設定!$C$2,設定!$D$2,2),2)-1)*3+3)=0,"休",COUNTIF(J$6:J$45,"曜"))))</f>
        <v/>
      </c>
      <c r="K50" s="71">
        <f>IF(K$4="","",IF(COUNTIF(設定!$W$6:$W$40,DATE(設定!$C$2,設定!$D$2,3))&gt;0,"假",IF(INDEX(設定!$U$50:$AO$50,(WEEKDAY(DATE(設定!$C$2,設定!$D$2,3),2)-1)*3+1)=0,"休",COUNTIF(K$6:K$45,"曜"))))</f>
        <v/>
      </c>
      <c r="L50" s="72">
        <f>IF(L$4="","",IF(COUNTIF(設定!$W$6:$W$40,DATE(設定!$C$2,設定!$D$2,3))&gt;0,"假",IF(INDEX(設定!$U$50:$AO$50,(WEEKDAY(DATE(設定!$C$2,設定!$D$2,3),2)-1)*3+2)=0,"休",COUNTIF(L$6:L$45,"曜"))))</f>
        <v/>
      </c>
      <c r="M50" s="72">
        <f>IF(M$4="","",IF(COUNTIF(設定!$W$6:$W$40,DATE(設定!$C$2,設定!$D$2,3))&gt;0,"假",IF(INDEX(設定!$U$50:$AO$50,(WEEKDAY(DATE(設定!$C$2,設定!$D$2,3),2)-1)*3+3)=0,"休",COUNTIF(M$6:M$45,"曜"))))</f>
        <v/>
      </c>
      <c r="N50" s="71">
        <f>IF(N$4="","",IF(COUNTIF(設定!$W$6:$W$40,DATE(設定!$C$2,設定!$D$2,4))&gt;0,"假",IF(INDEX(設定!$U$50:$AO$50,(WEEKDAY(DATE(設定!$C$2,設定!$D$2,4),2)-1)*3+1)=0,"休",COUNTIF(N$6:N$45,"曜"))))</f>
        <v/>
      </c>
      <c r="O50" s="72">
        <f>IF(O$4="","",IF(COUNTIF(設定!$W$6:$W$40,DATE(設定!$C$2,設定!$D$2,4))&gt;0,"假",IF(INDEX(設定!$U$50:$AO$50,(WEEKDAY(DATE(設定!$C$2,設定!$D$2,4),2)-1)*3+2)=0,"休",COUNTIF(O$6:O$45,"曜"))))</f>
        <v/>
      </c>
      <c r="P50" s="72">
        <f>IF(P$4="","",IF(COUNTIF(設定!$W$6:$W$40,DATE(設定!$C$2,設定!$D$2,4))&gt;0,"假",IF(INDEX(設定!$U$50:$AO$50,(WEEKDAY(DATE(設定!$C$2,設定!$D$2,4),2)-1)*3+3)=0,"休",COUNTIF(P$6:P$45,"曜"))))</f>
        <v/>
      </c>
      <c r="Q50" s="71">
        <f>IF(Q$4="","",IF(COUNTIF(設定!$W$6:$W$40,DATE(設定!$C$2,設定!$D$2,5))&gt;0,"假",IF(INDEX(設定!$U$50:$AO$50,(WEEKDAY(DATE(設定!$C$2,設定!$D$2,5),2)-1)*3+1)=0,"休",COUNTIF(Q$6:Q$45,"曜"))))</f>
        <v/>
      </c>
      <c r="R50" s="72">
        <f>IF(R$4="","",IF(COUNTIF(設定!$W$6:$W$40,DATE(設定!$C$2,設定!$D$2,5))&gt;0,"假",IF(INDEX(設定!$U$50:$AO$50,(WEEKDAY(DATE(設定!$C$2,設定!$D$2,5),2)-1)*3+2)=0,"休",COUNTIF(R$6:R$45,"曜"))))</f>
        <v/>
      </c>
      <c r="S50" s="72">
        <f>IF(S$4="","",IF(COUNTIF(設定!$W$6:$W$40,DATE(設定!$C$2,設定!$D$2,5))&gt;0,"假",IF(INDEX(設定!$U$50:$AO$50,(WEEKDAY(DATE(設定!$C$2,設定!$D$2,5),2)-1)*3+3)=0,"休",COUNTIF(S$6:S$45,"曜"))))</f>
        <v/>
      </c>
      <c r="T50" s="71">
        <f>IF(T$4="","",IF(COUNTIF(設定!$W$6:$W$40,DATE(設定!$C$2,設定!$D$2,6))&gt;0,"假",IF(INDEX(設定!$U$50:$AO$50,(WEEKDAY(DATE(設定!$C$2,設定!$D$2,6),2)-1)*3+1)=0,"休",COUNTIF(T$6:T$45,"曜"))))</f>
        <v/>
      </c>
      <c r="U50" s="72">
        <f>IF(U$4="","",IF(COUNTIF(設定!$W$6:$W$40,DATE(設定!$C$2,設定!$D$2,6))&gt;0,"假",IF(INDEX(設定!$U$50:$AO$50,(WEEKDAY(DATE(設定!$C$2,設定!$D$2,6),2)-1)*3+2)=0,"休",COUNTIF(U$6:U$45,"曜"))))</f>
        <v/>
      </c>
      <c r="V50" s="72">
        <f>IF(V$4="","",IF(COUNTIF(設定!$W$6:$W$40,DATE(設定!$C$2,設定!$D$2,6))&gt;0,"假",IF(INDEX(設定!$U$50:$AO$50,(WEEKDAY(DATE(設定!$C$2,設定!$D$2,6),2)-1)*3+3)=0,"休",COUNTIF(V$6:V$45,"曜"))))</f>
        <v/>
      </c>
      <c r="W50" s="71">
        <f>IF(W$4="","",IF(COUNTIF(設定!$W$6:$W$40,DATE(設定!$C$2,設定!$D$2,7))&gt;0,"假",IF(INDEX(設定!$U$50:$AO$50,(WEEKDAY(DATE(設定!$C$2,設定!$D$2,7),2)-1)*3+1)=0,"休",COUNTIF(W$6:W$45,"曜"))))</f>
        <v/>
      </c>
      <c r="X50" s="72">
        <f>IF(X$4="","",IF(COUNTIF(設定!$W$6:$W$40,DATE(設定!$C$2,設定!$D$2,7))&gt;0,"假",IF(INDEX(設定!$U$50:$AO$50,(WEEKDAY(DATE(設定!$C$2,設定!$D$2,7),2)-1)*3+2)=0,"休",COUNTIF(X$6:X$45,"曜"))))</f>
        <v/>
      </c>
      <c r="Y50" s="72">
        <f>IF(Y$4="","",IF(COUNTIF(設定!$W$6:$W$40,DATE(設定!$C$2,設定!$D$2,7))&gt;0,"假",IF(INDEX(設定!$U$50:$AO$50,(WEEKDAY(DATE(設定!$C$2,設定!$D$2,7),2)-1)*3+3)=0,"休",COUNTIF(Y$6:Y$45,"曜"))))</f>
        <v/>
      </c>
      <c r="Z50" s="71">
        <f>IF(Z$4="","",IF(COUNTIF(設定!$W$6:$W$40,DATE(設定!$C$2,設定!$D$2,8))&gt;0,"假",IF(INDEX(設定!$U$50:$AO$50,(WEEKDAY(DATE(設定!$C$2,設定!$D$2,8),2)-1)*3+1)=0,"休",COUNTIF(Z$6:Z$45,"曜"))))</f>
        <v/>
      </c>
      <c r="AA50" s="72">
        <f>IF(AA$4="","",IF(COUNTIF(設定!$W$6:$W$40,DATE(設定!$C$2,設定!$D$2,8))&gt;0,"假",IF(INDEX(設定!$U$50:$AO$50,(WEEKDAY(DATE(設定!$C$2,設定!$D$2,8),2)-1)*3+2)=0,"休",COUNTIF(AA$6:AA$45,"曜"))))</f>
        <v/>
      </c>
      <c r="AB50" s="72">
        <f>IF(AB$4="","",IF(COUNTIF(設定!$W$6:$W$40,DATE(設定!$C$2,設定!$D$2,8))&gt;0,"假",IF(INDEX(設定!$U$50:$AO$50,(WEEKDAY(DATE(設定!$C$2,設定!$D$2,8),2)-1)*3+3)=0,"休",COUNTIF(AB$6:AB$45,"曜"))))</f>
        <v/>
      </c>
      <c r="AC50" s="71">
        <f>IF(AC$4="","",IF(COUNTIF(設定!$W$6:$W$40,DATE(設定!$C$2,設定!$D$2,9))&gt;0,"假",IF(INDEX(設定!$U$50:$AO$50,(WEEKDAY(DATE(設定!$C$2,設定!$D$2,9),2)-1)*3+1)=0,"休",COUNTIF(AC$6:AC$45,"曜"))))</f>
        <v/>
      </c>
      <c r="AD50" s="72">
        <f>IF(AD$4="","",IF(COUNTIF(設定!$W$6:$W$40,DATE(設定!$C$2,設定!$D$2,9))&gt;0,"假",IF(INDEX(設定!$U$50:$AO$50,(WEEKDAY(DATE(設定!$C$2,設定!$D$2,9),2)-1)*3+2)=0,"休",COUNTIF(AD$6:AD$45,"曜"))))</f>
        <v/>
      </c>
      <c r="AE50" s="72">
        <f>IF(AE$4="","",IF(COUNTIF(設定!$W$6:$W$40,DATE(設定!$C$2,設定!$D$2,9))&gt;0,"假",IF(INDEX(設定!$U$50:$AO$50,(WEEKDAY(DATE(設定!$C$2,設定!$D$2,9),2)-1)*3+3)=0,"休",COUNTIF(AE$6:AE$45,"曜"))))</f>
        <v/>
      </c>
      <c r="AF50" s="71">
        <f>IF(AF$4="","",IF(COUNTIF(設定!$W$6:$W$40,DATE(設定!$C$2,設定!$D$2,10))&gt;0,"假",IF(INDEX(設定!$U$50:$AO$50,(WEEKDAY(DATE(設定!$C$2,設定!$D$2,10),2)-1)*3+1)=0,"休",COUNTIF(AF$6:AF$45,"曜"))))</f>
        <v/>
      </c>
      <c r="AG50" s="72">
        <f>IF(AG$4="","",IF(COUNTIF(設定!$W$6:$W$40,DATE(設定!$C$2,設定!$D$2,10))&gt;0,"假",IF(INDEX(設定!$U$50:$AO$50,(WEEKDAY(DATE(設定!$C$2,設定!$D$2,10),2)-1)*3+2)=0,"休",COUNTIF(AG$6:AG$45,"曜"))))</f>
        <v/>
      </c>
      <c r="AH50" s="72">
        <f>IF(AH$4="","",IF(COUNTIF(設定!$W$6:$W$40,DATE(設定!$C$2,設定!$D$2,10))&gt;0,"假",IF(INDEX(設定!$U$50:$AO$50,(WEEKDAY(DATE(設定!$C$2,設定!$D$2,10),2)-1)*3+3)=0,"休",COUNTIF(AH$6:AH$45,"曜"))))</f>
        <v/>
      </c>
      <c r="AI50" s="71">
        <f>IF(AI$4="","",IF(COUNTIF(設定!$W$6:$W$40,DATE(設定!$C$2,設定!$D$2,11))&gt;0,"假",IF(INDEX(設定!$U$50:$AO$50,(WEEKDAY(DATE(設定!$C$2,設定!$D$2,11),2)-1)*3+1)=0,"休",COUNTIF(AI$6:AI$45,"曜"))))</f>
        <v/>
      </c>
      <c r="AJ50" s="72">
        <f>IF(AJ$4="","",IF(COUNTIF(設定!$W$6:$W$40,DATE(設定!$C$2,設定!$D$2,11))&gt;0,"假",IF(INDEX(設定!$U$50:$AO$50,(WEEKDAY(DATE(設定!$C$2,設定!$D$2,11),2)-1)*3+2)=0,"休",COUNTIF(AJ$6:AJ$45,"曜"))))</f>
        <v/>
      </c>
      <c r="AK50" s="72">
        <f>IF(AK$4="","",IF(COUNTIF(設定!$W$6:$W$40,DATE(設定!$C$2,設定!$D$2,11))&gt;0,"假",IF(INDEX(設定!$U$50:$AO$50,(WEEKDAY(DATE(設定!$C$2,設定!$D$2,11),2)-1)*3+3)=0,"休",COUNTIF(AK$6:AK$45,"曜"))))</f>
        <v/>
      </c>
      <c r="AL50" s="71">
        <f>IF(AL$4="","",IF(COUNTIF(設定!$W$6:$W$40,DATE(設定!$C$2,設定!$D$2,12))&gt;0,"假",IF(INDEX(設定!$U$50:$AO$50,(WEEKDAY(DATE(設定!$C$2,設定!$D$2,12),2)-1)*3+1)=0,"休",COUNTIF(AL$6:AL$45,"曜"))))</f>
        <v/>
      </c>
      <c r="AM50" s="72">
        <f>IF(AM$4="","",IF(COUNTIF(設定!$W$6:$W$40,DATE(設定!$C$2,設定!$D$2,12))&gt;0,"假",IF(INDEX(設定!$U$50:$AO$50,(WEEKDAY(DATE(設定!$C$2,設定!$D$2,12),2)-1)*3+2)=0,"休",COUNTIF(AM$6:AM$45,"曜"))))</f>
        <v/>
      </c>
      <c r="AN50" s="72">
        <f>IF(AN$4="","",IF(COUNTIF(設定!$W$6:$W$40,DATE(設定!$C$2,設定!$D$2,12))&gt;0,"假",IF(INDEX(設定!$U$50:$AO$50,(WEEKDAY(DATE(設定!$C$2,設定!$D$2,12),2)-1)*3+3)=0,"休",COUNTIF(AN$6:AN$45,"曜"))))</f>
        <v/>
      </c>
      <c r="AO50" s="71">
        <f>IF(AO$4="","",IF(COUNTIF(設定!$W$6:$W$40,DATE(設定!$C$2,設定!$D$2,13))&gt;0,"假",IF(INDEX(設定!$U$50:$AO$50,(WEEKDAY(DATE(設定!$C$2,設定!$D$2,13),2)-1)*3+1)=0,"休",COUNTIF(AO$6:AO$45,"曜"))))</f>
        <v/>
      </c>
      <c r="AP50" s="72">
        <f>IF(AP$4="","",IF(COUNTIF(設定!$W$6:$W$40,DATE(設定!$C$2,設定!$D$2,13))&gt;0,"假",IF(INDEX(設定!$U$50:$AO$50,(WEEKDAY(DATE(設定!$C$2,設定!$D$2,13),2)-1)*3+2)=0,"休",COUNTIF(AP$6:AP$45,"曜"))))</f>
        <v/>
      </c>
      <c r="AQ50" s="72">
        <f>IF(AQ$4="","",IF(COUNTIF(設定!$W$6:$W$40,DATE(設定!$C$2,設定!$D$2,13))&gt;0,"假",IF(INDEX(設定!$U$50:$AO$50,(WEEKDAY(DATE(設定!$C$2,設定!$D$2,13),2)-1)*3+3)=0,"休",COUNTIF(AQ$6:AQ$45,"曜"))))</f>
        <v/>
      </c>
      <c r="AR50" s="71">
        <f>IF(AR$4="","",IF(COUNTIF(設定!$W$6:$W$40,DATE(設定!$C$2,設定!$D$2,14))&gt;0,"假",IF(INDEX(設定!$U$50:$AO$50,(WEEKDAY(DATE(設定!$C$2,設定!$D$2,14),2)-1)*3+1)=0,"休",COUNTIF(AR$6:AR$45,"曜"))))</f>
        <v/>
      </c>
      <c r="AS50" s="72">
        <f>IF(AS$4="","",IF(COUNTIF(設定!$W$6:$W$40,DATE(設定!$C$2,設定!$D$2,14))&gt;0,"假",IF(INDEX(設定!$U$50:$AO$50,(WEEKDAY(DATE(設定!$C$2,設定!$D$2,14),2)-1)*3+2)=0,"休",COUNTIF(AS$6:AS$45,"曜"))))</f>
        <v/>
      </c>
      <c r="AT50" s="72">
        <f>IF(AT$4="","",IF(COUNTIF(設定!$W$6:$W$40,DATE(設定!$C$2,設定!$D$2,14))&gt;0,"假",IF(INDEX(設定!$U$50:$AO$50,(WEEKDAY(DATE(設定!$C$2,設定!$D$2,14),2)-1)*3+3)=0,"休",COUNTIF(AT$6:AT$45,"曜"))))</f>
        <v/>
      </c>
      <c r="AU50" s="71">
        <f>IF(AU$4="","",IF(COUNTIF(設定!$W$6:$W$40,DATE(設定!$C$2,設定!$D$2,15))&gt;0,"假",IF(INDEX(設定!$U$50:$AO$50,(WEEKDAY(DATE(設定!$C$2,設定!$D$2,15),2)-1)*3+1)=0,"休",COUNTIF(AU$6:AU$45,"曜"))))</f>
        <v/>
      </c>
      <c r="AV50" s="72">
        <f>IF(AV$4="","",IF(COUNTIF(設定!$W$6:$W$40,DATE(設定!$C$2,設定!$D$2,15))&gt;0,"假",IF(INDEX(設定!$U$50:$AO$50,(WEEKDAY(DATE(設定!$C$2,設定!$D$2,15),2)-1)*3+2)=0,"休",COUNTIF(AV$6:AV$45,"曜"))))</f>
        <v/>
      </c>
      <c r="AW50" s="72">
        <f>IF(AW$4="","",IF(COUNTIF(設定!$W$6:$W$40,DATE(設定!$C$2,設定!$D$2,15))&gt;0,"假",IF(INDEX(設定!$U$50:$AO$50,(WEEKDAY(DATE(設定!$C$2,設定!$D$2,15),2)-1)*3+3)=0,"休",COUNTIF(AW$6:AW$45,"曜"))))</f>
        <v/>
      </c>
      <c r="AX50" s="71">
        <f>IF(AX$4="","",IF(COUNTIF(設定!$W$6:$W$40,DATE(設定!$C$2,設定!$D$2,16))&gt;0,"假",IF(INDEX(設定!$U$50:$AO$50,(WEEKDAY(DATE(設定!$C$2,設定!$D$2,16),2)-1)*3+1)=0,"休",COUNTIF(AX$6:AX$45,"曜"))))</f>
        <v/>
      </c>
      <c r="AY50" s="72">
        <f>IF(AY$4="","",IF(COUNTIF(設定!$W$6:$W$40,DATE(設定!$C$2,設定!$D$2,16))&gt;0,"假",IF(INDEX(設定!$U$50:$AO$50,(WEEKDAY(DATE(設定!$C$2,設定!$D$2,16),2)-1)*3+2)=0,"休",COUNTIF(AY$6:AY$45,"曜"))))</f>
        <v/>
      </c>
      <c r="AZ50" s="72">
        <f>IF(AZ$4="","",IF(COUNTIF(設定!$W$6:$W$40,DATE(設定!$C$2,設定!$D$2,16))&gt;0,"假",IF(INDEX(設定!$U$50:$AO$50,(WEEKDAY(DATE(設定!$C$2,設定!$D$2,16),2)-1)*3+3)=0,"休",COUNTIF(AZ$6:AZ$45,"曜"))))</f>
        <v/>
      </c>
      <c r="BA50" s="71">
        <f>IF(BA$4="","",IF(COUNTIF(設定!$W$6:$W$40,DATE(設定!$C$2,設定!$D$2,17))&gt;0,"假",IF(INDEX(設定!$U$50:$AO$50,(WEEKDAY(DATE(設定!$C$2,設定!$D$2,17),2)-1)*3+1)=0,"休",COUNTIF(BA$6:BA$45,"曜"))))</f>
        <v/>
      </c>
      <c r="BB50" s="72">
        <f>IF(BB$4="","",IF(COUNTIF(設定!$W$6:$W$40,DATE(設定!$C$2,設定!$D$2,17))&gt;0,"假",IF(INDEX(設定!$U$50:$AO$50,(WEEKDAY(DATE(設定!$C$2,設定!$D$2,17),2)-1)*3+2)=0,"休",COUNTIF(BB$6:BB$45,"曜"))))</f>
        <v/>
      </c>
      <c r="BC50" s="72">
        <f>IF(BC$4="","",IF(COUNTIF(設定!$W$6:$W$40,DATE(設定!$C$2,設定!$D$2,17))&gt;0,"假",IF(INDEX(設定!$U$50:$AO$50,(WEEKDAY(DATE(設定!$C$2,設定!$D$2,17),2)-1)*3+3)=0,"休",COUNTIF(BC$6:BC$45,"曜"))))</f>
        <v/>
      </c>
      <c r="BD50" s="71">
        <f>IF(BD$4="","",IF(COUNTIF(設定!$W$6:$W$40,DATE(設定!$C$2,設定!$D$2,18))&gt;0,"假",IF(INDEX(設定!$U$50:$AO$50,(WEEKDAY(DATE(設定!$C$2,設定!$D$2,18),2)-1)*3+1)=0,"休",COUNTIF(BD$6:BD$45,"曜"))))</f>
        <v/>
      </c>
      <c r="BE50" s="72">
        <f>IF(BE$4="","",IF(COUNTIF(設定!$W$6:$W$40,DATE(設定!$C$2,設定!$D$2,18))&gt;0,"假",IF(INDEX(設定!$U$50:$AO$50,(WEEKDAY(DATE(設定!$C$2,設定!$D$2,18),2)-1)*3+2)=0,"休",COUNTIF(BE$6:BE$45,"曜"))))</f>
        <v/>
      </c>
      <c r="BF50" s="72">
        <f>IF(BF$4="","",IF(COUNTIF(設定!$W$6:$W$40,DATE(設定!$C$2,設定!$D$2,18))&gt;0,"假",IF(INDEX(設定!$U$50:$AO$50,(WEEKDAY(DATE(設定!$C$2,設定!$D$2,18),2)-1)*3+3)=0,"休",COUNTIF(BF$6:BF$45,"曜"))))</f>
        <v/>
      </c>
      <c r="BG50" s="71">
        <f>IF(BG$4="","",IF(COUNTIF(設定!$W$6:$W$40,DATE(設定!$C$2,設定!$D$2,19))&gt;0,"假",IF(INDEX(設定!$U$50:$AO$50,(WEEKDAY(DATE(設定!$C$2,設定!$D$2,19),2)-1)*3+1)=0,"休",COUNTIF(BG$6:BG$45,"曜"))))</f>
        <v/>
      </c>
      <c r="BH50" s="72">
        <f>IF(BH$4="","",IF(COUNTIF(設定!$W$6:$W$40,DATE(設定!$C$2,設定!$D$2,19))&gt;0,"假",IF(INDEX(設定!$U$50:$AO$50,(WEEKDAY(DATE(設定!$C$2,設定!$D$2,19),2)-1)*3+2)=0,"休",COUNTIF(BH$6:BH$45,"曜"))))</f>
        <v/>
      </c>
      <c r="BI50" s="72">
        <f>IF(BI$4="","",IF(COUNTIF(設定!$W$6:$W$40,DATE(設定!$C$2,設定!$D$2,19))&gt;0,"假",IF(INDEX(設定!$U$50:$AO$50,(WEEKDAY(DATE(設定!$C$2,設定!$D$2,19),2)-1)*3+3)=0,"休",COUNTIF(BI$6:BI$45,"曜"))))</f>
        <v/>
      </c>
      <c r="BJ50" s="71">
        <f>IF(BJ$4="","",IF(COUNTIF(設定!$W$6:$W$40,DATE(設定!$C$2,設定!$D$2,20))&gt;0,"假",IF(INDEX(設定!$U$50:$AO$50,(WEEKDAY(DATE(設定!$C$2,設定!$D$2,20),2)-1)*3+1)=0,"休",COUNTIF(BJ$6:BJ$45,"曜"))))</f>
        <v/>
      </c>
      <c r="BK50" s="72">
        <f>IF(BK$4="","",IF(COUNTIF(設定!$W$6:$W$40,DATE(設定!$C$2,設定!$D$2,20))&gt;0,"假",IF(INDEX(設定!$U$50:$AO$50,(WEEKDAY(DATE(設定!$C$2,設定!$D$2,20),2)-1)*3+2)=0,"休",COUNTIF(BK$6:BK$45,"曜"))))</f>
        <v/>
      </c>
      <c r="BL50" s="72">
        <f>IF(BL$4="","",IF(COUNTIF(設定!$W$6:$W$40,DATE(設定!$C$2,設定!$D$2,20))&gt;0,"假",IF(INDEX(設定!$U$50:$AO$50,(WEEKDAY(DATE(設定!$C$2,設定!$D$2,20),2)-1)*3+3)=0,"休",COUNTIF(BL$6:BL$45,"曜"))))</f>
        <v/>
      </c>
      <c r="BM50" s="71">
        <f>IF(BM$4="","",IF(COUNTIF(設定!$W$6:$W$40,DATE(設定!$C$2,設定!$D$2,21))&gt;0,"假",IF(INDEX(設定!$U$50:$AO$50,(WEEKDAY(DATE(設定!$C$2,設定!$D$2,21),2)-1)*3+1)=0,"休",COUNTIF(BM$6:BM$45,"曜"))))</f>
        <v/>
      </c>
      <c r="BN50" s="72">
        <f>IF(BN$4="","",IF(COUNTIF(設定!$W$6:$W$40,DATE(設定!$C$2,設定!$D$2,21))&gt;0,"假",IF(INDEX(設定!$U$50:$AO$50,(WEEKDAY(DATE(設定!$C$2,設定!$D$2,21),2)-1)*3+2)=0,"休",COUNTIF(BN$6:BN$45,"曜"))))</f>
        <v/>
      </c>
      <c r="BO50" s="72">
        <f>IF(BO$4="","",IF(COUNTIF(設定!$W$6:$W$40,DATE(設定!$C$2,設定!$D$2,21))&gt;0,"假",IF(INDEX(設定!$U$50:$AO$50,(WEEKDAY(DATE(設定!$C$2,設定!$D$2,21),2)-1)*3+3)=0,"休",COUNTIF(BO$6:BO$45,"曜"))))</f>
        <v/>
      </c>
      <c r="BP50" s="71">
        <f>IF(BP$4="","",IF(COUNTIF(設定!$W$6:$W$40,DATE(設定!$C$2,設定!$D$2,22))&gt;0,"假",IF(INDEX(設定!$U$50:$AO$50,(WEEKDAY(DATE(設定!$C$2,設定!$D$2,22),2)-1)*3+1)=0,"休",COUNTIF(BP$6:BP$45,"曜"))))</f>
        <v/>
      </c>
      <c r="BQ50" s="72">
        <f>IF(BQ$4="","",IF(COUNTIF(設定!$W$6:$W$40,DATE(設定!$C$2,設定!$D$2,22))&gt;0,"假",IF(INDEX(設定!$U$50:$AO$50,(WEEKDAY(DATE(設定!$C$2,設定!$D$2,22),2)-1)*3+2)=0,"休",COUNTIF(BQ$6:BQ$45,"曜"))))</f>
        <v/>
      </c>
      <c r="BR50" s="72">
        <f>IF(BR$4="","",IF(COUNTIF(設定!$W$6:$W$40,DATE(設定!$C$2,設定!$D$2,22))&gt;0,"假",IF(INDEX(設定!$U$50:$AO$50,(WEEKDAY(DATE(設定!$C$2,設定!$D$2,22),2)-1)*3+3)=0,"休",COUNTIF(BR$6:BR$45,"曜"))))</f>
        <v/>
      </c>
      <c r="BS50" s="71">
        <f>IF(BS$4="","",IF(COUNTIF(設定!$W$6:$W$40,DATE(設定!$C$2,設定!$D$2,23))&gt;0,"假",IF(INDEX(設定!$U$50:$AO$50,(WEEKDAY(DATE(設定!$C$2,設定!$D$2,23),2)-1)*3+1)=0,"休",COUNTIF(BS$6:BS$45,"曜"))))</f>
        <v/>
      </c>
      <c r="BT50" s="72">
        <f>IF(BT$4="","",IF(COUNTIF(設定!$W$6:$W$40,DATE(設定!$C$2,設定!$D$2,23))&gt;0,"假",IF(INDEX(設定!$U$50:$AO$50,(WEEKDAY(DATE(設定!$C$2,設定!$D$2,23),2)-1)*3+2)=0,"休",COUNTIF(BT$6:BT$45,"曜"))))</f>
        <v/>
      </c>
      <c r="BU50" s="72">
        <f>IF(BU$4="","",IF(COUNTIF(設定!$W$6:$W$40,DATE(設定!$C$2,設定!$D$2,23))&gt;0,"假",IF(INDEX(設定!$U$50:$AO$50,(WEEKDAY(DATE(設定!$C$2,設定!$D$2,23),2)-1)*3+3)=0,"休",COUNTIF(BU$6:BU$45,"曜"))))</f>
        <v/>
      </c>
      <c r="BV50" s="71">
        <f>IF(BV$4="","",IF(COUNTIF(設定!$W$6:$W$40,DATE(設定!$C$2,設定!$D$2,24))&gt;0,"假",IF(INDEX(設定!$U$50:$AO$50,(WEEKDAY(DATE(設定!$C$2,設定!$D$2,24),2)-1)*3+1)=0,"休",COUNTIF(BV$6:BV$45,"曜"))))</f>
        <v/>
      </c>
      <c r="BW50" s="72">
        <f>IF(BW$4="","",IF(COUNTIF(設定!$W$6:$W$40,DATE(設定!$C$2,設定!$D$2,24))&gt;0,"假",IF(INDEX(設定!$U$50:$AO$50,(WEEKDAY(DATE(設定!$C$2,設定!$D$2,24),2)-1)*3+2)=0,"休",COUNTIF(BW$6:BW$45,"曜"))))</f>
        <v/>
      </c>
      <c r="BX50" s="72">
        <f>IF(BX$4="","",IF(COUNTIF(設定!$W$6:$W$40,DATE(設定!$C$2,設定!$D$2,24))&gt;0,"假",IF(INDEX(設定!$U$50:$AO$50,(WEEKDAY(DATE(設定!$C$2,設定!$D$2,24),2)-1)*3+3)=0,"休",COUNTIF(BX$6:BX$45,"曜"))))</f>
        <v/>
      </c>
      <c r="BY50" s="71">
        <f>IF(BY$4="","",IF(COUNTIF(設定!$W$6:$W$40,DATE(設定!$C$2,設定!$D$2,25))&gt;0,"假",IF(INDEX(設定!$U$50:$AO$50,(WEEKDAY(DATE(設定!$C$2,設定!$D$2,25),2)-1)*3+1)=0,"休",COUNTIF(BY$6:BY$45,"曜"))))</f>
        <v/>
      </c>
      <c r="BZ50" s="72">
        <f>IF(BZ$4="","",IF(COUNTIF(設定!$W$6:$W$40,DATE(設定!$C$2,設定!$D$2,25))&gt;0,"假",IF(INDEX(設定!$U$50:$AO$50,(WEEKDAY(DATE(設定!$C$2,設定!$D$2,25),2)-1)*3+2)=0,"休",COUNTIF(BZ$6:BZ$45,"曜"))))</f>
        <v/>
      </c>
      <c r="CA50" s="72">
        <f>IF(CA$4="","",IF(COUNTIF(設定!$W$6:$W$40,DATE(設定!$C$2,設定!$D$2,25))&gt;0,"假",IF(INDEX(設定!$U$50:$AO$50,(WEEKDAY(DATE(設定!$C$2,設定!$D$2,25),2)-1)*3+3)=0,"休",COUNTIF(CA$6:CA$45,"曜"))))</f>
        <v/>
      </c>
      <c r="CB50" s="71">
        <f>IF(CB$4="","",IF(COUNTIF(設定!$W$6:$W$40,DATE(設定!$C$2,設定!$D$2,26))&gt;0,"假",IF(INDEX(設定!$U$50:$AO$50,(WEEKDAY(DATE(設定!$C$2,設定!$D$2,26),2)-1)*3+1)=0,"休",COUNTIF(CB$6:CB$45,"曜"))))</f>
        <v/>
      </c>
      <c r="CC50" s="72">
        <f>IF(CC$4="","",IF(COUNTIF(設定!$W$6:$W$40,DATE(設定!$C$2,設定!$D$2,26))&gt;0,"假",IF(INDEX(設定!$U$50:$AO$50,(WEEKDAY(DATE(設定!$C$2,設定!$D$2,26),2)-1)*3+2)=0,"休",COUNTIF(CC$6:CC$45,"曜"))))</f>
        <v/>
      </c>
      <c r="CD50" s="72">
        <f>IF(CD$4="","",IF(COUNTIF(設定!$W$6:$W$40,DATE(設定!$C$2,設定!$D$2,26))&gt;0,"假",IF(INDEX(設定!$U$50:$AO$50,(WEEKDAY(DATE(設定!$C$2,設定!$D$2,26),2)-1)*3+3)=0,"休",COUNTIF(CD$6:CD$45,"曜"))))</f>
        <v/>
      </c>
      <c r="CE50" s="71">
        <f>IF(CE$4="","",IF(COUNTIF(設定!$W$6:$W$40,DATE(設定!$C$2,設定!$D$2,27))&gt;0,"假",IF(INDEX(設定!$U$50:$AO$50,(WEEKDAY(DATE(設定!$C$2,設定!$D$2,27),2)-1)*3+1)=0,"休",COUNTIF(CE$6:CE$45,"曜"))))</f>
        <v/>
      </c>
      <c r="CF50" s="72">
        <f>IF(CF$4="","",IF(COUNTIF(設定!$W$6:$W$40,DATE(設定!$C$2,設定!$D$2,27))&gt;0,"假",IF(INDEX(設定!$U$50:$AO$50,(WEEKDAY(DATE(設定!$C$2,設定!$D$2,27),2)-1)*3+2)=0,"休",COUNTIF(CF$6:CF$45,"曜"))))</f>
        <v/>
      </c>
      <c r="CG50" s="72">
        <f>IF(CG$4="","",IF(COUNTIF(設定!$W$6:$W$40,DATE(設定!$C$2,設定!$D$2,27))&gt;0,"假",IF(INDEX(設定!$U$50:$AO$50,(WEEKDAY(DATE(設定!$C$2,設定!$D$2,27),2)-1)*3+3)=0,"休",COUNTIF(CG$6:CG$45,"曜"))))</f>
        <v/>
      </c>
      <c r="CH50" s="71">
        <f>IF(CH$4="","",IF(COUNTIF(設定!$W$6:$W$40,DATE(設定!$C$2,設定!$D$2,28))&gt;0,"假",IF(INDEX(設定!$U$50:$AO$50,(WEEKDAY(DATE(設定!$C$2,設定!$D$2,28),2)-1)*3+1)=0,"休",COUNTIF(CH$6:CH$45,"曜"))))</f>
        <v/>
      </c>
      <c r="CI50" s="72">
        <f>IF(CI$4="","",IF(COUNTIF(設定!$W$6:$W$40,DATE(設定!$C$2,設定!$D$2,28))&gt;0,"假",IF(INDEX(設定!$U$50:$AO$50,(WEEKDAY(DATE(設定!$C$2,設定!$D$2,28),2)-1)*3+2)=0,"休",COUNTIF(CI$6:CI$45,"曜"))))</f>
        <v/>
      </c>
      <c r="CJ50" s="72">
        <f>IF(CJ$4="","",IF(COUNTIF(設定!$W$6:$W$40,DATE(設定!$C$2,設定!$D$2,28))&gt;0,"假",IF(INDEX(設定!$U$50:$AO$50,(WEEKDAY(DATE(設定!$C$2,設定!$D$2,28),2)-1)*3+3)=0,"休",COUNTIF(CJ$6:CJ$45,"曜"))))</f>
        <v/>
      </c>
      <c r="CK50" s="71">
        <f>IF(CK$4="","",IF(COUNTIF(設定!$W$6:$W$40,DATE(設定!$C$2,設定!$D$2,29))&gt;0,"假",IF(INDEX(設定!$U$50:$AO$50,(WEEKDAY(DATE(設定!$C$2,設定!$D$2,29),2)-1)*3+1)=0,"休",COUNTIF(CK$6:CK$45,"曜"))))</f>
        <v/>
      </c>
      <c r="CL50" s="72">
        <f>IF(CL$4="","",IF(COUNTIF(設定!$W$6:$W$40,DATE(設定!$C$2,設定!$D$2,29))&gt;0,"假",IF(INDEX(設定!$U$50:$AO$50,(WEEKDAY(DATE(設定!$C$2,設定!$D$2,29),2)-1)*3+2)=0,"休",COUNTIF(CL$6:CL$45,"曜"))))</f>
        <v/>
      </c>
      <c r="CM50" s="72">
        <f>IF(CM$4="","",IF(COUNTIF(設定!$W$6:$W$40,DATE(設定!$C$2,設定!$D$2,29))&gt;0,"假",IF(INDEX(設定!$U$50:$AO$50,(WEEKDAY(DATE(設定!$C$2,設定!$D$2,29),2)-1)*3+3)=0,"休",COUNTIF(CM$6:CM$45,"曜"))))</f>
        <v/>
      </c>
      <c r="CN50" s="71">
        <f>IF(CN$4="","",IF(COUNTIF(設定!$W$6:$W$40,DATE(設定!$C$2,設定!$D$2,30))&gt;0,"假",IF(INDEX(設定!$U$50:$AO$50,(WEEKDAY(DATE(設定!$C$2,設定!$D$2,30),2)-1)*3+1)=0,"休",COUNTIF(CN$6:CN$45,"曜"))))</f>
        <v/>
      </c>
      <c r="CO50" s="72">
        <f>IF(CO$4="","",IF(COUNTIF(設定!$W$6:$W$40,DATE(設定!$C$2,設定!$D$2,30))&gt;0,"假",IF(INDEX(設定!$U$50:$AO$50,(WEEKDAY(DATE(設定!$C$2,設定!$D$2,30),2)-1)*3+2)=0,"休",COUNTIF(CO$6:CO$45,"曜"))))</f>
        <v/>
      </c>
      <c r="CP50" s="72">
        <f>IF(CP$4="","",IF(COUNTIF(設定!$W$6:$W$40,DATE(設定!$C$2,設定!$D$2,30))&gt;0,"假",IF(INDEX(設定!$U$50:$AO$50,(WEEKDAY(DATE(設定!$C$2,設定!$D$2,30),2)-1)*3+3)=0,"休",COUNTIF(CP$6:CP$45,"曜"))))</f>
        <v/>
      </c>
      <c r="CQ50" s="71">
        <f>IF(CQ$4="","",IF(COUNTIF(設定!$W$6:$W$40,DATE(設定!$C$2,設定!$D$2,31))&gt;0,"假",IF(INDEX(設定!$U$50:$AO$50,(WEEKDAY(DATE(設定!$C$2,設定!$D$2,31),2)-1)*3+1)=0,"休",COUNTIF(CQ$6:CQ$45,"曜"))))</f>
        <v/>
      </c>
      <c r="CR50" s="72">
        <f>IF(CR$4="","",IF(COUNTIF(設定!$W$6:$W$40,DATE(設定!$C$2,設定!$D$2,31))&gt;0,"假",IF(INDEX(設定!$U$50:$AO$50,(WEEKDAY(DATE(設定!$C$2,設定!$D$2,31),2)-1)*3+2)=0,"休",COUNTIF(CR$6:CR$45,"曜"))))</f>
        <v/>
      </c>
      <c r="CS50" s="72">
        <f>IF(CS$4="","",IF(COUNTIF(設定!$W$6:$W$40,DATE(設定!$C$2,設定!$D$2,31))&gt;0,"假",IF(INDEX(設定!$U$50:$AO$50,(WEEKDAY(DATE(設定!$C$2,設定!$D$2,31),2)-1)*3+3)=0,"休",COUNTIF(CS$6:CS$45,"曜"))))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IF(E$4="","",IF(COUNTIF(設定!$W$6:$W$40,DATE(設定!$C$2,設定!$D$2,1))&gt;0,"假",IF(INDEX(設定!$U$51:$AO$51,(WEEKDAY(DATE(設定!$C$2,設定!$D$2,1),2)-1)*3+1)=0,"休",COUNTIF(E$6:E$45,"寶"))))</f>
        <v/>
      </c>
      <c r="F51" s="72">
        <f>IF(F$4="","",IF(COUNTIF(設定!$W$6:$W$40,DATE(設定!$C$2,設定!$D$2,1))&gt;0,"假",IF(INDEX(設定!$U$51:$AO$51,(WEEKDAY(DATE(設定!$C$2,設定!$D$2,1),2)-1)*3+2)=0,"休",COUNTIF(F$6:F$45,"寶"))))</f>
        <v/>
      </c>
      <c r="G51" s="72">
        <f>IF(G$4="","",IF(COUNTIF(設定!$W$6:$W$40,DATE(設定!$C$2,設定!$D$2,1))&gt;0,"假",IF(INDEX(設定!$U$51:$AO$51,(WEEKDAY(DATE(設定!$C$2,設定!$D$2,1),2)-1)*3+3)=0,"休",COUNTIF(G$6:G$45,"寶"))))</f>
        <v/>
      </c>
      <c r="H51" s="71">
        <f>IF(H$4="","",IF(COUNTIF(設定!$W$6:$W$40,DATE(設定!$C$2,設定!$D$2,2))&gt;0,"假",IF(INDEX(設定!$U$51:$AO$51,(WEEKDAY(DATE(設定!$C$2,設定!$D$2,2),2)-1)*3+1)=0,"休",COUNTIF(H$6:H$45,"寶"))))</f>
        <v/>
      </c>
      <c r="I51" s="72">
        <f>IF(I$4="","",IF(COUNTIF(設定!$W$6:$W$40,DATE(設定!$C$2,設定!$D$2,2))&gt;0,"假",IF(INDEX(設定!$U$51:$AO$51,(WEEKDAY(DATE(設定!$C$2,設定!$D$2,2),2)-1)*3+2)=0,"休",COUNTIF(I$6:I$45,"寶"))))</f>
        <v/>
      </c>
      <c r="J51" s="72">
        <f>IF(J$4="","",IF(COUNTIF(設定!$W$6:$W$40,DATE(設定!$C$2,設定!$D$2,2))&gt;0,"假",IF(INDEX(設定!$U$51:$AO$51,(WEEKDAY(DATE(設定!$C$2,設定!$D$2,2),2)-1)*3+3)=0,"休",COUNTIF(J$6:J$45,"寶"))))</f>
        <v/>
      </c>
      <c r="K51" s="71">
        <f>IF(K$4="","",IF(COUNTIF(設定!$W$6:$W$40,DATE(設定!$C$2,設定!$D$2,3))&gt;0,"假",IF(INDEX(設定!$U$51:$AO$51,(WEEKDAY(DATE(設定!$C$2,設定!$D$2,3),2)-1)*3+1)=0,"休",COUNTIF(K$6:K$45,"寶"))))</f>
        <v/>
      </c>
      <c r="L51" s="72">
        <f>IF(L$4="","",IF(COUNTIF(設定!$W$6:$W$40,DATE(設定!$C$2,設定!$D$2,3))&gt;0,"假",IF(INDEX(設定!$U$51:$AO$51,(WEEKDAY(DATE(設定!$C$2,設定!$D$2,3),2)-1)*3+2)=0,"休",COUNTIF(L$6:L$45,"寶"))))</f>
        <v/>
      </c>
      <c r="M51" s="72">
        <f>IF(M$4="","",IF(COUNTIF(設定!$W$6:$W$40,DATE(設定!$C$2,設定!$D$2,3))&gt;0,"假",IF(INDEX(設定!$U$51:$AO$51,(WEEKDAY(DATE(設定!$C$2,設定!$D$2,3),2)-1)*3+3)=0,"休",COUNTIF(M$6:M$45,"寶"))))</f>
        <v/>
      </c>
      <c r="N51" s="71">
        <f>IF(N$4="","",IF(COUNTIF(設定!$W$6:$W$40,DATE(設定!$C$2,設定!$D$2,4))&gt;0,"假",IF(INDEX(設定!$U$51:$AO$51,(WEEKDAY(DATE(設定!$C$2,設定!$D$2,4),2)-1)*3+1)=0,"休",COUNTIF(N$6:N$45,"寶"))))</f>
        <v/>
      </c>
      <c r="O51" s="72">
        <f>IF(O$4="","",IF(COUNTIF(設定!$W$6:$W$40,DATE(設定!$C$2,設定!$D$2,4))&gt;0,"假",IF(INDEX(設定!$U$51:$AO$51,(WEEKDAY(DATE(設定!$C$2,設定!$D$2,4),2)-1)*3+2)=0,"休",COUNTIF(O$6:O$45,"寶"))))</f>
        <v/>
      </c>
      <c r="P51" s="72">
        <f>IF(P$4="","",IF(COUNTIF(設定!$W$6:$W$40,DATE(設定!$C$2,設定!$D$2,4))&gt;0,"假",IF(INDEX(設定!$U$51:$AO$51,(WEEKDAY(DATE(設定!$C$2,設定!$D$2,4),2)-1)*3+3)=0,"休",COUNTIF(P$6:P$45,"寶"))))</f>
        <v/>
      </c>
      <c r="Q51" s="71">
        <f>IF(Q$4="","",IF(COUNTIF(設定!$W$6:$W$40,DATE(設定!$C$2,設定!$D$2,5))&gt;0,"假",IF(INDEX(設定!$U$51:$AO$51,(WEEKDAY(DATE(設定!$C$2,設定!$D$2,5),2)-1)*3+1)=0,"休",COUNTIF(Q$6:Q$45,"寶"))))</f>
        <v/>
      </c>
      <c r="R51" s="72">
        <f>IF(R$4="","",IF(COUNTIF(設定!$W$6:$W$40,DATE(設定!$C$2,設定!$D$2,5))&gt;0,"假",IF(INDEX(設定!$U$51:$AO$51,(WEEKDAY(DATE(設定!$C$2,設定!$D$2,5),2)-1)*3+2)=0,"休",COUNTIF(R$6:R$45,"寶"))))</f>
        <v/>
      </c>
      <c r="S51" s="72">
        <f>IF(S$4="","",IF(COUNTIF(設定!$W$6:$W$40,DATE(設定!$C$2,設定!$D$2,5))&gt;0,"假",IF(INDEX(設定!$U$51:$AO$51,(WEEKDAY(DATE(設定!$C$2,設定!$D$2,5),2)-1)*3+3)=0,"休",COUNTIF(S$6:S$45,"寶"))))</f>
        <v/>
      </c>
      <c r="T51" s="71">
        <f>IF(T$4="","",IF(COUNTIF(設定!$W$6:$W$40,DATE(設定!$C$2,設定!$D$2,6))&gt;0,"假",IF(INDEX(設定!$U$51:$AO$51,(WEEKDAY(DATE(設定!$C$2,設定!$D$2,6),2)-1)*3+1)=0,"休",COUNTIF(T$6:T$45,"寶"))))</f>
        <v/>
      </c>
      <c r="U51" s="72">
        <f>IF(U$4="","",IF(COUNTIF(設定!$W$6:$W$40,DATE(設定!$C$2,設定!$D$2,6))&gt;0,"假",IF(INDEX(設定!$U$51:$AO$51,(WEEKDAY(DATE(設定!$C$2,設定!$D$2,6),2)-1)*3+2)=0,"休",COUNTIF(U$6:U$45,"寶"))))</f>
        <v/>
      </c>
      <c r="V51" s="72">
        <f>IF(V$4="","",IF(COUNTIF(設定!$W$6:$W$40,DATE(設定!$C$2,設定!$D$2,6))&gt;0,"假",IF(INDEX(設定!$U$51:$AO$51,(WEEKDAY(DATE(設定!$C$2,設定!$D$2,6),2)-1)*3+3)=0,"休",COUNTIF(V$6:V$45,"寶"))))</f>
        <v/>
      </c>
      <c r="W51" s="71">
        <f>IF(W$4="","",IF(COUNTIF(設定!$W$6:$W$40,DATE(設定!$C$2,設定!$D$2,7))&gt;0,"假",IF(INDEX(設定!$U$51:$AO$51,(WEEKDAY(DATE(設定!$C$2,設定!$D$2,7),2)-1)*3+1)=0,"休",COUNTIF(W$6:W$45,"寶"))))</f>
        <v/>
      </c>
      <c r="X51" s="72">
        <f>IF(X$4="","",IF(COUNTIF(設定!$W$6:$W$40,DATE(設定!$C$2,設定!$D$2,7))&gt;0,"假",IF(INDEX(設定!$U$51:$AO$51,(WEEKDAY(DATE(設定!$C$2,設定!$D$2,7),2)-1)*3+2)=0,"休",COUNTIF(X$6:X$45,"寶"))))</f>
        <v/>
      </c>
      <c r="Y51" s="72">
        <f>IF(Y$4="","",IF(COUNTIF(設定!$W$6:$W$40,DATE(設定!$C$2,設定!$D$2,7))&gt;0,"假",IF(INDEX(設定!$U$51:$AO$51,(WEEKDAY(DATE(設定!$C$2,設定!$D$2,7),2)-1)*3+3)=0,"休",COUNTIF(Y$6:Y$45,"寶"))))</f>
        <v/>
      </c>
      <c r="Z51" s="71">
        <f>IF(Z$4="","",IF(COUNTIF(設定!$W$6:$W$40,DATE(設定!$C$2,設定!$D$2,8))&gt;0,"假",IF(INDEX(設定!$U$51:$AO$51,(WEEKDAY(DATE(設定!$C$2,設定!$D$2,8),2)-1)*3+1)=0,"休",COUNTIF(Z$6:Z$45,"寶"))))</f>
        <v/>
      </c>
      <c r="AA51" s="72">
        <f>IF(AA$4="","",IF(COUNTIF(設定!$W$6:$W$40,DATE(設定!$C$2,設定!$D$2,8))&gt;0,"假",IF(INDEX(設定!$U$51:$AO$51,(WEEKDAY(DATE(設定!$C$2,設定!$D$2,8),2)-1)*3+2)=0,"休",COUNTIF(AA$6:AA$45,"寶"))))</f>
        <v/>
      </c>
      <c r="AB51" s="72">
        <f>IF(AB$4="","",IF(COUNTIF(設定!$W$6:$W$40,DATE(設定!$C$2,設定!$D$2,8))&gt;0,"假",IF(INDEX(設定!$U$51:$AO$51,(WEEKDAY(DATE(設定!$C$2,設定!$D$2,8),2)-1)*3+3)=0,"休",COUNTIF(AB$6:AB$45,"寶"))))</f>
        <v/>
      </c>
      <c r="AC51" s="71">
        <f>IF(AC$4="","",IF(COUNTIF(設定!$W$6:$W$40,DATE(設定!$C$2,設定!$D$2,9))&gt;0,"假",IF(INDEX(設定!$U$51:$AO$51,(WEEKDAY(DATE(設定!$C$2,設定!$D$2,9),2)-1)*3+1)=0,"休",COUNTIF(AC$6:AC$45,"寶"))))</f>
        <v/>
      </c>
      <c r="AD51" s="72">
        <f>IF(AD$4="","",IF(COUNTIF(設定!$W$6:$W$40,DATE(設定!$C$2,設定!$D$2,9))&gt;0,"假",IF(INDEX(設定!$U$51:$AO$51,(WEEKDAY(DATE(設定!$C$2,設定!$D$2,9),2)-1)*3+2)=0,"休",COUNTIF(AD$6:AD$45,"寶"))))</f>
        <v/>
      </c>
      <c r="AE51" s="72">
        <f>IF(AE$4="","",IF(COUNTIF(設定!$W$6:$W$40,DATE(設定!$C$2,設定!$D$2,9))&gt;0,"假",IF(INDEX(設定!$U$51:$AO$51,(WEEKDAY(DATE(設定!$C$2,設定!$D$2,9),2)-1)*3+3)=0,"休",COUNTIF(AE$6:AE$45,"寶"))))</f>
        <v/>
      </c>
      <c r="AF51" s="71">
        <f>IF(AF$4="","",IF(COUNTIF(設定!$W$6:$W$40,DATE(設定!$C$2,設定!$D$2,10))&gt;0,"假",IF(INDEX(設定!$U$51:$AO$51,(WEEKDAY(DATE(設定!$C$2,設定!$D$2,10),2)-1)*3+1)=0,"休",COUNTIF(AF$6:AF$45,"寶"))))</f>
        <v/>
      </c>
      <c r="AG51" s="72">
        <f>IF(AG$4="","",IF(COUNTIF(設定!$W$6:$W$40,DATE(設定!$C$2,設定!$D$2,10))&gt;0,"假",IF(INDEX(設定!$U$51:$AO$51,(WEEKDAY(DATE(設定!$C$2,設定!$D$2,10),2)-1)*3+2)=0,"休",COUNTIF(AG$6:AG$45,"寶"))))</f>
        <v/>
      </c>
      <c r="AH51" s="72">
        <f>IF(AH$4="","",IF(COUNTIF(設定!$W$6:$W$40,DATE(設定!$C$2,設定!$D$2,10))&gt;0,"假",IF(INDEX(設定!$U$51:$AO$51,(WEEKDAY(DATE(設定!$C$2,設定!$D$2,10),2)-1)*3+3)=0,"休",COUNTIF(AH$6:AH$45,"寶"))))</f>
        <v/>
      </c>
      <c r="AI51" s="71">
        <f>IF(AI$4="","",IF(COUNTIF(設定!$W$6:$W$40,DATE(設定!$C$2,設定!$D$2,11))&gt;0,"假",IF(INDEX(設定!$U$51:$AO$51,(WEEKDAY(DATE(設定!$C$2,設定!$D$2,11),2)-1)*3+1)=0,"休",COUNTIF(AI$6:AI$45,"寶"))))</f>
        <v/>
      </c>
      <c r="AJ51" s="72">
        <f>IF(AJ$4="","",IF(COUNTIF(設定!$W$6:$W$40,DATE(設定!$C$2,設定!$D$2,11))&gt;0,"假",IF(INDEX(設定!$U$51:$AO$51,(WEEKDAY(DATE(設定!$C$2,設定!$D$2,11),2)-1)*3+2)=0,"休",COUNTIF(AJ$6:AJ$45,"寶"))))</f>
        <v/>
      </c>
      <c r="AK51" s="72">
        <f>IF(AK$4="","",IF(COUNTIF(設定!$W$6:$W$40,DATE(設定!$C$2,設定!$D$2,11))&gt;0,"假",IF(INDEX(設定!$U$51:$AO$51,(WEEKDAY(DATE(設定!$C$2,設定!$D$2,11),2)-1)*3+3)=0,"休",COUNTIF(AK$6:AK$45,"寶"))))</f>
        <v/>
      </c>
      <c r="AL51" s="71">
        <f>IF(AL$4="","",IF(COUNTIF(設定!$W$6:$W$40,DATE(設定!$C$2,設定!$D$2,12))&gt;0,"假",IF(INDEX(設定!$U$51:$AO$51,(WEEKDAY(DATE(設定!$C$2,設定!$D$2,12),2)-1)*3+1)=0,"休",COUNTIF(AL$6:AL$45,"寶"))))</f>
        <v/>
      </c>
      <c r="AM51" s="72">
        <f>IF(AM$4="","",IF(COUNTIF(設定!$W$6:$W$40,DATE(設定!$C$2,設定!$D$2,12))&gt;0,"假",IF(INDEX(設定!$U$51:$AO$51,(WEEKDAY(DATE(設定!$C$2,設定!$D$2,12),2)-1)*3+2)=0,"休",COUNTIF(AM$6:AM$45,"寶"))))</f>
        <v/>
      </c>
      <c r="AN51" s="72">
        <f>IF(AN$4="","",IF(COUNTIF(設定!$W$6:$W$40,DATE(設定!$C$2,設定!$D$2,12))&gt;0,"假",IF(INDEX(設定!$U$51:$AO$51,(WEEKDAY(DATE(設定!$C$2,設定!$D$2,12),2)-1)*3+3)=0,"休",COUNTIF(AN$6:AN$45,"寶"))))</f>
        <v/>
      </c>
      <c r="AO51" s="71">
        <f>IF(AO$4="","",IF(COUNTIF(設定!$W$6:$W$40,DATE(設定!$C$2,設定!$D$2,13))&gt;0,"假",IF(INDEX(設定!$U$51:$AO$51,(WEEKDAY(DATE(設定!$C$2,設定!$D$2,13),2)-1)*3+1)=0,"休",COUNTIF(AO$6:AO$45,"寶"))))</f>
        <v/>
      </c>
      <c r="AP51" s="72">
        <f>IF(AP$4="","",IF(COUNTIF(設定!$W$6:$W$40,DATE(設定!$C$2,設定!$D$2,13))&gt;0,"假",IF(INDEX(設定!$U$51:$AO$51,(WEEKDAY(DATE(設定!$C$2,設定!$D$2,13),2)-1)*3+2)=0,"休",COUNTIF(AP$6:AP$45,"寶"))))</f>
        <v/>
      </c>
      <c r="AQ51" s="72">
        <f>IF(AQ$4="","",IF(COUNTIF(設定!$W$6:$W$40,DATE(設定!$C$2,設定!$D$2,13))&gt;0,"假",IF(INDEX(設定!$U$51:$AO$51,(WEEKDAY(DATE(設定!$C$2,設定!$D$2,13),2)-1)*3+3)=0,"休",COUNTIF(AQ$6:AQ$45,"寶"))))</f>
        <v/>
      </c>
      <c r="AR51" s="71">
        <f>IF(AR$4="","",IF(COUNTIF(設定!$W$6:$W$40,DATE(設定!$C$2,設定!$D$2,14))&gt;0,"假",IF(INDEX(設定!$U$51:$AO$51,(WEEKDAY(DATE(設定!$C$2,設定!$D$2,14),2)-1)*3+1)=0,"休",COUNTIF(AR$6:AR$45,"寶"))))</f>
        <v/>
      </c>
      <c r="AS51" s="72">
        <f>IF(AS$4="","",IF(COUNTIF(設定!$W$6:$W$40,DATE(設定!$C$2,設定!$D$2,14))&gt;0,"假",IF(INDEX(設定!$U$51:$AO$51,(WEEKDAY(DATE(設定!$C$2,設定!$D$2,14),2)-1)*3+2)=0,"休",COUNTIF(AS$6:AS$45,"寶"))))</f>
        <v/>
      </c>
      <c r="AT51" s="72">
        <f>IF(AT$4="","",IF(COUNTIF(設定!$W$6:$W$40,DATE(設定!$C$2,設定!$D$2,14))&gt;0,"假",IF(INDEX(設定!$U$51:$AO$51,(WEEKDAY(DATE(設定!$C$2,設定!$D$2,14),2)-1)*3+3)=0,"休",COUNTIF(AT$6:AT$45,"寶"))))</f>
        <v/>
      </c>
      <c r="AU51" s="71">
        <f>IF(AU$4="","",IF(COUNTIF(設定!$W$6:$W$40,DATE(設定!$C$2,設定!$D$2,15))&gt;0,"假",IF(INDEX(設定!$U$51:$AO$51,(WEEKDAY(DATE(設定!$C$2,設定!$D$2,15),2)-1)*3+1)=0,"休",COUNTIF(AU$6:AU$45,"寶"))))</f>
        <v/>
      </c>
      <c r="AV51" s="72">
        <f>IF(AV$4="","",IF(COUNTIF(設定!$W$6:$W$40,DATE(設定!$C$2,設定!$D$2,15))&gt;0,"假",IF(INDEX(設定!$U$51:$AO$51,(WEEKDAY(DATE(設定!$C$2,設定!$D$2,15),2)-1)*3+2)=0,"休",COUNTIF(AV$6:AV$45,"寶"))))</f>
        <v/>
      </c>
      <c r="AW51" s="72">
        <f>IF(AW$4="","",IF(COUNTIF(設定!$W$6:$W$40,DATE(設定!$C$2,設定!$D$2,15))&gt;0,"假",IF(INDEX(設定!$U$51:$AO$51,(WEEKDAY(DATE(設定!$C$2,設定!$D$2,15),2)-1)*3+3)=0,"休",COUNTIF(AW$6:AW$45,"寶"))))</f>
        <v/>
      </c>
      <c r="AX51" s="71">
        <f>IF(AX$4="","",IF(COUNTIF(設定!$W$6:$W$40,DATE(設定!$C$2,設定!$D$2,16))&gt;0,"假",IF(INDEX(設定!$U$51:$AO$51,(WEEKDAY(DATE(設定!$C$2,設定!$D$2,16),2)-1)*3+1)=0,"休",COUNTIF(AX$6:AX$45,"寶"))))</f>
        <v/>
      </c>
      <c r="AY51" s="72">
        <f>IF(AY$4="","",IF(COUNTIF(設定!$W$6:$W$40,DATE(設定!$C$2,設定!$D$2,16))&gt;0,"假",IF(INDEX(設定!$U$51:$AO$51,(WEEKDAY(DATE(設定!$C$2,設定!$D$2,16),2)-1)*3+2)=0,"休",COUNTIF(AY$6:AY$45,"寶"))))</f>
        <v/>
      </c>
      <c r="AZ51" s="72">
        <f>IF(AZ$4="","",IF(COUNTIF(設定!$W$6:$W$40,DATE(設定!$C$2,設定!$D$2,16))&gt;0,"假",IF(INDEX(設定!$U$51:$AO$51,(WEEKDAY(DATE(設定!$C$2,設定!$D$2,16),2)-1)*3+3)=0,"休",COUNTIF(AZ$6:AZ$45,"寶"))))</f>
        <v/>
      </c>
      <c r="BA51" s="71">
        <f>IF(BA$4="","",IF(COUNTIF(設定!$W$6:$W$40,DATE(設定!$C$2,設定!$D$2,17))&gt;0,"假",IF(INDEX(設定!$U$51:$AO$51,(WEEKDAY(DATE(設定!$C$2,設定!$D$2,17),2)-1)*3+1)=0,"休",COUNTIF(BA$6:BA$45,"寶"))))</f>
        <v/>
      </c>
      <c r="BB51" s="72">
        <f>IF(BB$4="","",IF(COUNTIF(設定!$W$6:$W$40,DATE(設定!$C$2,設定!$D$2,17))&gt;0,"假",IF(INDEX(設定!$U$51:$AO$51,(WEEKDAY(DATE(設定!$C$2,設定!$D$2,17),2)-1)*3+2)=0,"休",COUNTIF(BB$6:BB$45,"寶"))))</f>
        <v/>
      </c>
      <c r="BC51" s="72">
        <f>IF(BC$4="","",IF(COUNTIF(設定!$W$6:$W$40,DATE(設定!$C$2,設定!$D$2,17))&gt;0,"假",IF(INDEX(設定!$U$51:$AO$51,(WEEKDAY(DATE(設定!$C$2,設定!$D$2,17),2)-1)*3+3)=0,"休",COUNTIF(BC$6:BC$45,"寶"))))</f>
        <v/>
      </c>
      <c r="BD51" s="71">
        <f>IF(BD$4="","",IF(COUNTIF(設定!$W$6:$W$40,DATE(設定!$C$2,設定!$D$2,18))&gt;0,"假",IF(INDEX(設定!$U$51:$AO$51,(WEEKDAY(DATE(設定!$C$2,設定!$D$2,18),2)-1)*3+1)=0,"休",COUNTIF(BD$6:BD$45,"寶"))))</f>
        <v/>
      </c>
      <c r="BE51" s="72">
        <f>IF(BE$4="","",IF(COUNTIF(設定!$W$6:$W$40,DATE(設定!$C$2,設定!$D$2,18))&gt;0,"假",IF(INDEX(設定!$U$51:$AO$51,(WEEKDAY(DATE(設定!$C$2,設定!$D$2,18),2)-1)*3+2)=0,"休",COUNTIF(BE$6:BE$45,"寶"))))</f>
        <v/>
      </c>
      <c r="BF51" s="72">
        <f>IF(BF$4="","",IF(COUNTIF(設定!$W$6:$W$40,DATE(設定!$C$2,設定!$D$2,18))&gt;0,"假",IF(INDEX(設定!$U$51:$AO$51,(WEEKDAY(DATE(設定!$C$2,設定!$D$2,18),2)-1)*3+3)=0,"休",COUNTIF(BF$6:BF$45,"寶"))))</f>
        <v/>
      </c>
      <c r="BG51" s="71">
        <f>IF(BG$4="","",IF(COUNTIF(設定!$W$6:$W$40,DATE(設定!$C$2,設定!$D$2,19))&gt;0,"假",IF(INDEX(設定!$U$51:$AO$51,(WEEKDAY(DATE(設定!$C$2,設定!$D$2,19),2)-1)*3+1)=0,"休",COUNTIF(BG$6:BG$45,"寶"))))</f>
        <v/>
      </c>
      <c r="BH51" s="72">
        <f>IF(BH$4="","",IF(COUNTIF(設定!$W$6:$W$40,DATE(設定!$C$2,設定!$D$2,19))&gt;0,"假",IF(INDEX(設定!$U$51:$AO$51,(WEEKDAY(DATE(設定!$C$2,設定!$D$2,19),2)-1)*3+2)=0,"休",COUNTIF(BH$6:BH$45,"寶"))))</f>
        <v/>
      </c>
      <c r="BI51" s="72">
        <f>IF(BI$4="","",IF(COUNTIF(設定!$W$6:$W$40,DATE(設定!$C$2,設定!$D$2,19))&gt;0,"假",IF(INDEX(設定!$U$51:$AO$51,(WEEKDAY(DATE(設定!$C$2,設定!$D$2,19),2)-1)*3+3)=0,"休",COUNTIF(BI$6:BI$45,"寶"))))</f>
        <v/>
      </c>
      <c r="BJ51" s="71">
        <f>IF(BJ$4="","",IF(COUNTIF(設定!$W$6:$W$40,DATE(設定!$C$2,設定!$D$2,20))&gt;0,"假",IF(INDEX(設定!$U$51:$AO$51,(WEEKDAY(DATE(設定!$C$2,設定!$D$2,20),2)-1)*3+1)=0,"休",COUNTIF(BJ$6:BJ$45,"寶"))))</f>
        <v/>
      </c>
      <c r="BK51" s="72">
        <f>IF(BK$4="","",IF(COUNTIF(設定!$W$6:$W$40,DATE(設定!$C$2,設定!$D$2,20))&gt;0,"假",IF(INDEX(設定!$U$51:$AO$51,(WEEKDAY(DATE(設定!$C$2,設定!$D$2,20),2)-1)*3+2)=0,"休",COUNTIF(BK$6:BK$45,"寶"))))</f>
        <v/>
      </c>
      <c r="BL51" s="72">
        <f>IF(BL$4="","",IF(COUNTIF(設定!$W$6:$W$40,DATE(設定!$C$2,設定!$D$2,20))&gt;0,"假",IF(INDEX(設定!$U$51:$AO$51,(WEEKDAY(DATE(設定!$C$2,設定!$D$2,20),2)-1)*3+3)=0,"休",COUNTIF(BL$6:BL$45,"寶"))))</f>
        <v/>
      </c>
      <c r="BM51" s="71">
        <f>IF(BM$4="","",IF(COUNTIF(設定!$W$6:$W$40,DATE(設定!$C$2,設定!$D$2,21))&gt;0,"假",IF(INDEX(設定!$U$51:$AO$51,(WEEKDAY(DATE(設定!$C$2,設定!$D$2,21),2)-1)*3+1)=0,"休",COUNTIF(BM$6:BM$45,"寶"))))</f>
        <v/>
      </c>
      <c r="BN51" s="72">
        <f>IF(BN$4="","",IF(COUNTIF(設定!$W$6:$W$40,DATE(設定!$C$2,設定!$D$2,21))&gt;0,"假",IF(INDEX(設定!$U$51:$AO$51,(WEEKDAY(DATE(設定!$C$2,設定!$D$2,21),2)-1)*3+2)=0,"休",COUNTIF(BN$6:BN$45,"寶"))))</f>
        <v/>
      </c>
      <c r="BO51" s="72">
        <f>IF(BO$4="","",IF(COUNTIF(設定!$W$6:$W$40,DATE(設定!$C$2,設定!$D$2,21))&gt;0,"假",IF(INDEX(設定!$U$51:$AO$51,(WEEKDAY(DATE(設定!$C$2,設定!$D$2,21),2)-1)*3+3)=0,"休",COUNTIF(BO$6:BO$45,"寶"))))</f>
        <v/>
      </c>
      <c r="BP51" s="71">
        <f>IF(BP$4="","",IF(COUNTIF(設定!$W$6:$W$40,DATE(設定!$C$2,設定!$D$2,22))&gt;0,"假",IF(INDEX(設定!$U$51:$AO$51,(WEEKDAY(DATE(設定!$C$2,設定!$D$2,22),2)-1)*3+1)=0,"休",COUNTIF(BP$6:BP$45,"寶"))))</f>
        <v/>
      </c>
      <c r="BQ51" s="72">
        <f>IF(BQ$4="","",IF(COUNTIF(設定!$W$6:$W$40,DATE(設定!$C$2,設定!$D$2,22))&gt;0,"假",IF(INDEX(設定!$U$51:$AO$51,(WEEKDAY(DATE(設定!$C$2,設定!$D$2,22),2)-1)*3+2)=0,"休",COUNTIF(BQ$6:BQ$45,"寶"))))</f>
        <v/>
      </c>
      <c r="BR51" s="72">
        <f>IF(BR$4="","",IF(COUNTIF(設定!$W$6:$W$40,DATE(設定!$C$2,設定!$D$2,22))&gt;0,"假",IF(INDEX(設定!$U$51:$AO$51,(WEEKDAY(DATE(設定!$C$2,設定!$D$2,22),2)-1)*3+3)=0,"休",COUNTIF(BR$6:BR$45,"寶"))))</f>
        <v/>
      </c>
      <c r="BS51" s="71">
        <f>IF(BS$4="","",IF(COUNTIF(設定!$W$6:$W$40,DATE(設定!$C$2,設定!$D$2,23))&gt;0,"假",IF(INDEX(設定!$U$51:$AO$51,(WEEKDAY(DATE(設定!$C$2,設定!$D$2,23),2)-1)*3+1)=0,"休",COUNTIF(BS$6:BS$45,"寶"))))</f>
        <v/>
      </c>
      <c r="BT51" s="72">
        <f>IF(BT$4="","",IF(COUNTIF(設定!$W$6:$W$40,DATE(設定!$C$2,設定!$D$2,23))&gt;0,"假",IF(INDEX(設定!$U$51:$AO$51,(WEEKDAY(DATE(設定!$C$2,設定!$D$2,23),2)-1)*3+2)=0,"休",COUNTIF(BT$6:BT$45,"寶"))))</f>
        <v/>
      </c>
      <c r="BU51" s="72">
        <f>IF(BU$4="","",IF(COUNTIF(設定!$W$6:$W$40,DATE(設定!$C$2,設定!$D$2,23))&gt;0,"假",IF(INDEX(設定!$U$51:$AO$51,(WEEKDAY(DATE(設定!$C$2,設定!$D$2,23),2)-1)*3+3)=0,"休",COUNTIF(BU$6:BU$45,"寶"))))</f>
        <v/>
      </c>
      <c r="BV51" s="71">
        <f>IF(BV$4="","",IF(COUNTIF(設定!$W$6:$W$40,DATE(設定!$C$2,設定!$D$2,24))&gt;0,"假",IF(INDEX(設定!$U$51:$AO$51,(WEEKDAY(DATE(設定!$C$2,設定!$D$2,24),2)-1)*3+1)=0,"休",COUNTIF(BV$6:BV$45,"寶"))))</f>
        <v/>
      </c>
      <c r="BW51" s="72">
        <f>IF(BW$4="","",IF(COUNTIF(設定!$W$6:$W$40,DATE(設定!$C$2,設定!$D$2,24))&gt;0,"假",IF(INDEX(設定!$U$51:$AO$51,(WEEKDAY(DATE(設定!$C$2,設定!$D$2,24),2)-1)*3+2)=0,"休",COUNTIF(BW$6:BW$45,"寶"))))</f>
        <v/>
      </c>
      <c r="BX51" s="72">
        <f>IF(BX$4="","",IF(COUNTIF(設定!$W$6:$W$40,DATE(設定!$C$2,設定!$D$2,24))&gt;0,"假",IF(INDEX(設定!$U$51:$AO$51,(WEEKDAY(DATE(設定!$C$2,設定!$D$2,24),2)-1)*3+3)=0,"休",COUNTIF(BX$6:BX$45,"寶"))))</f>
        <v/>
      </c>
      <c r="BY51" s="71">
        <f>IF(BY$4="","",IF(COUNTIF(設定!$W$6:$W$40,DATE(設定!$C$2,設定!$D$2,25))&gt;0,"假",IF(INDEX(設定!$U$51:$AO$51,(WEEKDAY(DATE(設定!$C$2,設定!$D$2,25),2)-1)*3+1)=0,"休",COUNTIF(BY$6:BY$45,"寶"))))</f>
        <v/>
      </c>
      <c r="BZ51" s="72">
        <f>IF(BZ$4="","",IF(COUNTIF(設定!$W$6:$W$40,DATE(設定!$C$2,設定!$D$2,25))&gt;0,"假",IF(INDEX(設定!$U$51:$AO$51,(WEEKDAY(DATE(設定!$C$2,設定!$D$2,25),2)-1)*3+2)=0,"休",COUNTIF(BZ$6:BZ$45,"寶"))))</f>
        <v/>
      </c>
      <c r="CA51" s="72">
        <f>IF(CA$4="","",IF(COUNTIF(設定!$W$6:$W$40,DATE(設定!$C$2,設定!$D$2,25))&gt;0,"假",IF(INDEX(設定!$U$51:$AO$51,(WEEKDAY(DATE(設定!$C$2,設定!$D$2,25),2)-1)*3+3)=0,"休",COUNTIF(CA$6:CA$45,"寶"))))</f>
        <v/>
      </c>
      <c r="CB51" s="71">
        <f>IF(CB$4="","",IF(COUNTIF(設定!$W$6:$W$40,DATE(設定!$C$2,設定!$D$2,26))&gt;0,"假",IF(INDEX(設定!$U$51:$AO$51,(WEEKDAY(DATE(設定!$C$2,設定!$D$2,26),2)-1)*3+1)=0,"休",COUNTIF(CB$6:CB$45,"寶"))))</f>
        <v/>
      </c>
      <c r="CC51" s="72">
        <f>IF(CC$4="","",IF(COUNTIF(設定!$W$6:$W$40,DATE(設定!$C$2,設定!$D$2,26))&gt;0,"假",IF(INDEX(設定!$U$51:$AO$51,(WEEKDAY(DATE(設定!$C$2,設定!$D$2,26),2)-1)*3+2)=0,"休",COUNTIF(CC$6:CC$45,"寶"))))</f>
        <v/>
      </c>
      <c r="CD51" s="72">
        <f>IF(CD$4="","",IF(COUNTIF(設定!$W$6:$W$40,DATE(設定!$C$2,設定!$D$2,26))&gt;0,"假",IF(INDEX(設定!$U$51:$AO$51,(WEEKDAY(DATE(設定!$C$2,設定!$D$2,26),2)-1)*3+3)=0,"休",COUNTIF(CD$6:CD$45,"寶"))))</f>
        <v/>
      </c>
      <c r="CE51" s="71">
        <f>IF(CE$4="","",IF(COUNTIF(設定!$W$6:$W$40,DATE(設定!$C$2,設定!$D$2,27))&gt;0,"假",IF(INDEX(設定!$U$51:$AO$51,(WEEKDAY(DATE(設定!$C$2,設定!$D$2,27),2)-1)*3+1)=0,"休",COUNTIF(CE$6:CE$45,"寶"))))</f>
        <v/>
      </c>
      <c r="CF51" s="72">
        <f>IF(CF$4="","",IF(COUNTIF(設定!$W$6:$W$40,DATE(設定!$C$2,設定!$D$2,27))&gt;0,"假",IF(INDEX(設定!$U$51:$AO$51,(WEEKDAY(DATE(設定!$C$2,設定!$D$2,27),2)-1)*3+2)=0,"休",COUNTIF(CF$6:CF$45,"寶"))))</f>
        <v/>
      </c>
      <c r="CG51" s="72">
        <f>IF(CG$4="","",IF(COUNTIF(設定!$W$6:$W$40,DATE(設定!$C$2,設定!$D$2,27))&gt;0,"假",IF(INDEX(設定!$U$51:$AO$51,(WEEKDAY(DATE(設定!$C$2,設定!$D$2,27),2)-1)*3+3)=0,"休",COUNTIF(CG$6:CG$45,"寶"))))</f>
        <v/>
      </c>
      <c r="CH51" s="71">
        <f>IF(CH$4="","",IF(COUNTIF(設定!$W$6:$W$40,DATE(設定!$C$2,設定!$D$2,28))&gt;0,"假",IF(INDEX(設定!$U$51:$AO$51,(WEEKDAY(DATE(設定!$C$2,設定!$D$2,28),2)-1)*3+1)=0,"休",COUNTIF(CH$6:CH$45,"寶"))))</f>
        <v/>
      </c>
      <c r="CI51" s="72">
        <f>IF(CI$4="","",IF(COUNTIF(設定!$W$6:$W$40,DATE(設定!$C$2,設定!$D$2,28))&gt;0,"假",IF(INDEX(設定!$U$51:$AO$51,(WEEKDAY(DATE(設定!$C$2,設定!$D$2,28),2)-1)*3+2)=0,"休",COUNTIF(CI$6:CI$45,"寶"))))</f>
        <v/>
      </c>
      <c r="CJ51" s="72">
        <f>IF(CJ$4="","",IF(COUNTIF(設定!$W$6:$W$40,DATE(設定!$C$2,設定!$D$2,28))&gt;0,"假",IF(INDEX(設定!$U$51:$AO$51,(WEEKDAY(DATE(設定!$C$2,設定!$D$2,28),2)-1)*3+3)=0,"休",COUNTIF(CJ$6:CJ$45,"寶"))))</f>
        <v/>
      </c>
      <c r="CK51" s="71">
        <f>IF(CK$4="","",IF(COUNTIF(設定!$W$6:$W$40,DATE(設定!$C$2,設定!$D$2,29))&gt;0,"假",IF(INDEX(設定!$U$51:$AO$51,(WEEKDAY(DATE(設定!$C$2,設定!$D$2,29),2)-1)*3+1)=0,"休",COUNTIF(CK$6:CK$45,"寶"))))</f>
        <v/>
      </c>
      <c r="CL51" s="72">
        <f>IF(CL$4="","",IF(COUNTIF(設定!$W$6:$W$40,DATE(設定!$C$2,設定!$D$2,29))&gt;0,"假",IF(INDEX(設定!$U$51:$AO$51,(WEEKDAY(DATE(設定!$C$2,設定!$D$2,29),2)-1)*3+2)=0,"休",COUNTIF(CL$6:CL$45,"寶"))))</f>
        <v/>
      </c>
      <c r="CM51" s="72">
        <f>IF(CM$4="","",IF(COUNTIF(設定!$W$6:$W$40,DATE(設定!$C$2,設定!$D$2,29))&gt;0,"假",IF(INDEX(設定!$U$51:$AO$51,(WEEKDAY(DATE(設定!$C$2,設定!$D$2,29),2)-1)*3+3)=0,"休",COUNTIF(CM$6:CM$45,"寶"))))</f>
        <v/>
      </c>
      <c r="CN51" s="71">
        <f>IF(CN$4="","",IF(COUNTIF(設定!$W$6:$W$40,DATE(設定!$C$2,設定!$D$2,30))&gt;0,"假",IF(INDEX(設定!$U$51:$AO$51,(WEEKDAY(DATE(設定!$C$2,設定!$D$2,30),2)-1)*3+1)=0,"休",COUNTIF(CN$6:CN$45,"寶"))))</f>
        <v/>
      </c>
      <c r="CO51" s="72">
        <f>IF(CO$4="","",IF(COUNTIF(設定!$W$6:$W$40,DATE(設定!$C$2,設定!$D$2,30))&gt;0,"假",IF(INDEX(設定!$U$51:$AO$51,(WEEKDAY(DATE(設定!$C$2,設定!$D$2,30),2)-1)*3+2)=0,"休",COUNTIF(CO$6:CO$45,"寶"))))</f>
        <v/>
      </c>
      <c r="CP51" s="72">
        <f>IF(CP$4="","",IF(COUNTIF(設定!$W$6:$W$40,DATE(設定!$C$2,設定!$D$2,30))&gt;0,"假",IF(INDEX(設定!$U$51:$AO$51,(WEEKDAY(DATE(設定!$C$2,設定!$D$2,30),2)-1)*3+3)=0,"休",COUNTIF(CP$6:CP$45,"寶"))))</f>
        <v/>
      </c>
      <c r="CQ51" s="71">
        <f>IF(CQ$4="","",IF(COUNTIF(設定!$W$6:$W$40,DATE(設定!$C$2,設定!$D$2,31))&gt;0,"假",IF(INDEX(設定!$U$51:$AO$51,(WEEKDAY(DATE(設定!$C$2,設定!$D$2,31),2)-1)*3+1)=0,"休",COUNTIF(CQ$6:CQ$45,"寶"))))</f>
        <v/>
      </c>
      <c r="CR51" s="72">
        <f>IF(CR$4="","",IF(COUNTIF(設定!$W$6:$W$40,DATE(設定!$C$2,設定!$D$2,31))&gt;0,"假",IF(INDEX(設定!$U$51:$AO$51,(WEEKDAY(DATE(設定!$C$2,設定!$D$2,31),2)-1)*3+2)=0,"休",COUNTIF(CR$6:CR$45,"寶"))))</f>
        <v/>
      </c>
      <c r="CS51" s="72">
        <f>IF(CS$4="","",IF(COUNTIF(設定!$W$6:$W$40,DATE(設定!$C$2,設定!$D$2,31))&gt;0,"假",IF(INDEX(設定!$U$51:$AO$51,(WEEKDAY(DATE(設定!$C$2,設定!$D$2,31),2)-1)*3+3)=0,"休",COUNTIF(CS$6:CS$45,"寶"))))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IF(1&gt;DAY(EOMONTH(DATE(設定!$C$2,設定!$D$2,1),0)),0,MOD(INT((DATE(設定!$C$2,設定!$D$2,1)-設定!$C$43)/7),2))</f>
        <v/>
      </c>
      <c r="F58">
        <f>IF(1&gt;DAY(EOMONTH(DATE(設定!$C$2,設定!$D$2,1),0)),0,MOD(INT((DATE(設定!$C$2,設定!$D$2,1)-設定!$C$43)/7),2))</f>
        <v/>
      </c>
      <c r="G58">
        <f>IF(1&gt;DAY(EOMONTH(DATE(設定!$C$2,設定!$D$2,1),0)),0,MOD(INT((DATE(設定!$C$2,設定!$D$2,1)-設定!$C$43)/7),2))</f>
        <v/>
      </c>
      <c r="H58">
        <f>IF(2&gt;DAY(EOMONTH(DATE(設定!$C$2,設定!$D$2,1),0)),0,MOD(INT((DATE(設定!$C$2,設定!$D$2,2)-設定!$C$43)/7),2))</f>
        <v/>
      </c>
      <c r="I58">
        <f>IF(2&gt;DAY(EOMONTH(DATE(設定!$C$2,設定!$D$2,1),0)),0,MOD(INT((DATE(設定!$C$2,設定!$D$2,2)-設定!$C$43)/7),2))</f>
        <v/>
      </c>
      <c r="J58">
        <f>IF(2&gt;DAY(EOMONTH(DATE(設定!$C$2,設定!$D$2,1),0)),0,MOD(INT((DATE(設定!$C$2,設定!$D$2,2)-設定!$C$43)/7),2))</f>
        <v/>
      </c>
      <c r="K58">
        <f>IF(3&gt;DAY(EOMONTH(DATE(設定!$C$2,設定!$D$2,1),0)),0,MOD(INT((DATE(設定!$C$2,設定!$D$2,3)-設定!$C$43)/7),2))</f>
        <v/>
      </c>
      <c r="L58">
        <f>IF(3&gt;DAY(EOMONTH(DATE(設定!$C$2,設定!$D$2,1),0)),0,MOD(INT((DATE(設定!$C$2,設定!$D$2,3)-設定!$C$43)/7),2))</f>
        <v/>
      </c>
      <c r="M58">
        <f>IF(3&gt;DAY(EOMONTH(DATE(設定!$C$2,設定!$D$2,1),0)),0,MOD(INT((DATE(設定!$C$2,設定!$D$2,3)-設定!$C$43)/7),2))</f>
        <v/>
      </c>
      <c r="N58">
        <f>IF(4&gt;DAY(EOMONTH(DATE(設定!$C$2,設定!$D$2,1),0)),0,MOD(INT((DATE(設定!$C$2,設定!$D$2,4)-設定!$C$43)/7),2))</f>
        <v/>
      </c>
      <c r="O58">
        <f>IF(4&gt;DAY(EOMONTH(DATE(設定!$C$2,設定!$D$2,1),0)),0,MOD(INT((DATE(設定!$C$2,設定!$D$2,4)-設定!$C$43)/7),2))</f>
        <v/>
      </c>
      <c r="P58">
        <f>IF(4&gt;DAY(EOMONTH(DATE(設定!$C$2,設定!$D$2,1),0)),0,MOD(INT((DATE(設定!$C$2,設定!$D$2,4)-設定!$C$43)/7),2))</f>
        <v/>
      </c>
      <c r="Q58">
        <f>IF(5&gt;DAY(EOMONTH(DATE(設定!$C$2,設定!$D$2,1),0)),0,MOD(INT((DATE(設定!$C$2,設定!$D$2,5)-設定!$C$43)/7),2))</f>
        <v/>
      </c>
      <c r="R58">
        <f>IF(5&gt;DAY(EOMONTH(DATE(設定!$C$2,設定!$D$2,1),0)),0,MOD(INT((DATE(設定!$C$2,設定!$D$2,5)-設定!$C$43)/7),2))</f>
        <v/>
      </c>
      <c r="S58">
        <f>IF(5&gt;DAY(EOMONTH(DATE(設定!$C$2,設定!$D$2,1),0)),0,MOD(INT((DATE(設定!$C$2,設定!$D$2,5)-設定!$C$43)/7),2))</f>
        <v/>
      </c>
      <c r="T58">
        <f>IF(6&gt;DAY(EOMONTH(DATE(設定!$C$2,設定!$D$2,1),0)),0,MOD(INT((DATE(設定!$C$2,設定!$D$2,6)-設定!$C$43)/7),2))</f>
        <v/>
      </c>
      <c r="U58">
        <f>IF(6&gt;DAY(EOMONTH(DATE(設定!$C$2,設定!$D$2,1),0)),0,MOD(INT((DATE(設定!$C$2,設定!$D$2,6)-設定!$C$43)/7),2))</f>
        <v/>
      </c>
      <c r="V58">
        <f>IF(6&gt;DAY(EOMONTH(DATE(設定!$C$2,設定!$D$2,1),0)),0,MOD(INT((DATE(設定!$C$2,設定!$D$2,6)-設定!$C$43)/7),2))</f>
        <v/>
      </c>
      <c r="W58">
        <f>IF(7&gt;DAY(EOMONTH(DATE(設定!$C$2,設定!$D$2,1),0)),0,MOD(INT((DATE(設定!$C$2,設定!$D$2,7)-設定!$C$43)/7),2))</f>
        <v/>
      </c>
      <c r="X58">
        <f>IF(7&gt;DAY(EOMONTH(DATE(設定!$C$2,設定!$D$2,1),0)),0,MOD(INT((DATE(設定!$C$2,設定!$D$2,7)-設定!$C$43)/7),2))</f>
        <v/>
      </c>
      <c r="Y58">
        <f>IF(7&gt;DAY(EOMONTH(DATE(設定!$C$2,設定!$D$2,1),0)),0,MOD(INT((DATE(設定!$C$2,設定!$D$2,7)-設定!$C$43)/7),2))</f>
        <v/>
      </c>
      <c r="Z58">
        <f>IF(8&gt;DAY(EOMONTH(DATE(設定!$C$2,設定!$D$2,1),0)),0,MOD(INT((DATE(設定!$C$2,設定!$D$2,8)-設定!$C$43)/7),2))</f>
        <v/>
      </c>
      <c r="AA58">
        <f>IF(8&gt;DAY(EOMONTH(DATE(設定!$C$2,設定!$D$2,1),0)),0,MOD(INT((DATE(設定!$C$2,設定!$D$2,8)-設定!$C$43)/7),2))</f>
        <v/>
      </c>
      <c r="AB58">
        <f>IF(8&gt;DAY(EOMONTH(DATE(設定!$C$2,設定!$D$2,1),0)),0,MOD(INT((DATE(設定!$C$2,設定!$D$2,8)-設定!$C$43)/7),2))</f>
        <v/>
      </c>
      <c r="AC58">
        <f>IF(9&gt;DAY(EOMONTH(DATE(設定!$C$2,設定!$D$2,1),0)),0,MOD(INT((DATE(設定!$C$2,設定!$D$2,9)-設定!$C$43)/7),2))</f>
        <v/>
      </c>
      <c r="AD58">
        <f>IF(9&gt;DAY(EOMONTH(DATE(設定!$C$2,設定!$D$2,1),0)),0,MOD(INT((DATE(設定!$C$2,設定!$D$2,9)-設定!$C$43)/7),2))</f>
        <v/>
      </c>
      <c r="AE58">
        <f>IF(9&gt;DAY(EOMONTH(DATE(設定!$C$2,設定!$D$2,1),0)),0,MOD(INT((DATE(設定!$C$2,設定!$D$2,9)-設定!$C$43)/7),2))</f>
        <v/>
      </c>
      <c r="AF58">
        <f>IF(10&gt;DAY(EOMONTH(DATE(設定!$C$2,設定!$D$2,1),0)),0,MOD(INT((DATE(設定!$C$2,設定!$D$2,10)-設定!$C$43)/7),2))</f>
        <v/>
      </c>
      <c r="AG58">
        <f>IF(10&gt;DAY(EOMONTH(DATE(設定!$C$2,設定!$D$2,1),0)),0,MOD(INT((DATE(設定!$C$2,設定!$D$2,10)-設定!$C$43)/7),2))</f>
        <v/>
      </c>
      <c r="AH58">
        <f>IF(10&gt;DAY(EOMONTH(DATE(設定!$C$2,設定!$D$2,1),0)),0,MOD(INT((DATE(設定!$C$2,設定!$D$2,10)-設定!$C$43)/7),2))</f>
        <v/>
      </c>
      <c r="AI58">
        <f>IF(11&gt;DAY(EOMONTH(DATE(設定!$C$2,設定!$D$2,1),0)),0,MOD(INT((DATE(設定!$C$2,設定!$D$2,11)-設定!$C$43)/7),2))</f>
        <v/>
      </c>
      <c r="AJ58">
        <f>IF(11&gt;DAY(EOMONTH(DATE(設定!$C$2,設定!$D$2,1),0)),0,MOD(INT((DATE(設定!$C$2,設定!$D$2,11)-設定!$C$43)/7),2))</f>
        <v/>
      </c>
      <c r="AK58">
        <f>IF(11&gt;DAY(EOMONTH(DATE(設定!$C$2,設定!$D$2,1),0)),0,MOD(INT((DATE(設定!$C$2,設定!$D$2,11)-設定!$C$43)/7),2))</f>
        <v/>
      </c>
      <c r="AL58">
        <f>IF(12&gt;DAY(EOMONTH(DATE(設定!$C$2,設定!$D$2,1),0)),0,MOD(INT((DATE(設定!$C$2,設定!$D$2,12)-設定!$C$43)/7),2))</f>
        <v/>
      </c>
      <c r="AM58">
        <f>IF(12&gt;DAY(EOMONTH(DATE(設定!$C$2,設定!$D$2,1),0)),0,MOD(INT((DATE(設定!$C$2,設定!$D$2,12)-設定!$C$43)/7),2))</f>
        <v/>
      </c>
      <c r="AN58">
        <f>IF(12&gt;DAY(EOMONTH(DATE(設定!$C$2,設定!$D$2,1),0)),0,MOD(INT((DATE(設定!$C$2,設定!$D$2,12)-設定!$C$43)/7),2))</f>
        <v/>
      </c>
      <c r="AO58">
        <f>IF(13&gt;DAY(EOMONTH(DATE(設定!$C$2,設定!$D$2,1),0)),0,MOD(INT((DATE(設定!$C$2,設定!$D$2,13)-設定!$C$43)/7),2))</f>
        <v/>
      </c>
      <c r="AP58">
        <f>IF(13&gt;DAY(EOMONTH(DATE(設定!$C$2,設定!$D$2,1),0)),0,MOD(INT((DATE(設定!$C$2,設定!$D$2,13)-設定!$C$43)/7),2))</f>
        <v/>
      </c>
      <c r="AQ58">
        <f>IF(13&gt;DAY(EOMONTH(DATE(設定!$C$2,設定!$D$2,1),0)),0,MOD(INT((DATE(設定!$C$2,設定!$D$2,13)-設定!$C$43)/7),2))</f>
        <v/>
      </c>
      <c r="AR58">
        <f>IF(14&gt;DAY(EOMONTH(DATE(設定!$C$2,設定!$D$2,1),0)),0,MOD(INT((DATE(設定!$C$2,設定!$D$2,14)-設定!$C$43)/7),2))</f>
        <v/>
      </c>
      <c r="AS58">
        <f>IF(14&gt;DAY(EOMONTH(DATE(設定!$C$2,設定!$D$2,1),0)),0,MOD(INT((DATE(設定!$C$2,設定!$D$2,14)-設定!$C$43)/7),2))</f>
        <v/>
      </c>
      <c r="AT58">
        <f>IF(14&gt;DAY(EOMONTH(DATE(設定!$C$2,設定!$D$2,1),0)),0,MOD(INT((DATE(設定!$C$2,設定!$D$2,14)-設定!$C$43)/7),2))</f>
        <v/>
      </c>
      <c r="AU58">
        <f>IF(15&gt;DAY(EOMONTH(DATE(設定!$C$2,設定!$D$2,1),0)),0,MOD(INT((DATE(設定!$C$2,設定!$D$2,15)-設定!$C$43)/7),2))</f>
        <v/>
      </c>
      <c r="AV58">
        <f>IF(15&gt;DAY(EOMONTH(DATE(設定!$C$2,設定!$D$2,1),0)),0,MOD(INT((DATE(設定!$C$2,設定!$D$2,15)-設定!$C$43)/7),2))</f>
        <v/>
      </c>
      <c r="AW58">
        <f>IF(15&gt;DAY(EOMONTH(DATE(設定!$C$2,設定!$D$2,1),0)),0,MOD(INT((DATE(設定!$C$2,設定!$D$2,15)-設定!$C$43)/7),2))</f>
        <v/>
      </c>
      <c r="AX58">
        <f>IF(16&gt;DAY(EOMONTH(DATE(設定!$C$2,設定!$D$2,1),0)),0,MOD(INT((DATE(設定!$C$2,設定!$D$2,16)-設定!$C$43)/7),2))</f>
        <v/>
      </c>
      <c r="AY58">
        <f>IF(16&gt;DAY(EOMONTH(DATE(設定!$C$2,設定!$D$2,1),0)),0,MOD(INT((DATE(設定!$C$2,設定!$D$2,16)-設定!$C$43)/7),2))</f>
        <v/>
      </c>
      <c r="AZ58">
        <f>IF(16&gt;DAY(EOMONTH(DATE(設定!$C$2,設定!$D$2,1),0)),0,MOD(INT((DATE(設定!$C$2,設定!$D$2,16)-設定!$C$43)/7),2))</f>
        <v/>
      </c>
      <c r="BA58">
        <f>IF(17&gt;DAY(EOMONTH(DATE(設定!$C$2,設定!$D$2,1),0)),0,MOD(INT((DATE(設定!$C$2,設定!$D$2,17)-設定!$C$43)/7),2))</f>
        <v/>
      </c>
      <c r="BB58">
        <f>IF(17&gt;DAY(EOMONTH(DATE(設定!$C$2,設定!$D$2,1),0)),0,MOD(INT((DATE(設定!$C$2,設定!$D$2,17)-設定!$C$43)/7),2))</f>
        <v/>
      </c>
      <c r="BC58">
        <f>IF(17&gt;DAY(EOMONTH(DATE(設定!$C$2,設定!$D$2,1),0)),0,MOD(INT((DATE(設定!$C$2,設定!$D$2,17)-設定!$C$43)/7),2))</f>
        <v/>
      </c>
      <c r="BD58">
        <f>IF(18&gt;DAY(EOMONTH(DATE(設定!$C$2,設定!$D$2,1),0)),0,MOD(INT((DATE(設定!$C$2,設定!$D$2,18)-設定!$C$43)/7),2))</f>
        <v/>
      </c>
      <c r="BE58">
        <f>IF(18&gt;DAY(EOMONTH(DATE(設定!$C$2,設定!$D$2,1),0)),0,MOD(INT((DATE(設定!$C$2,設定!$D$2,18)-設定!$C$43)/7),2))</f>
        <v/>
      </c>
      <c r="BF58">
        <f>IF(18&gt;DAY(EOMONTH(DATE(設定!$C$2,設定!$D$2,1),0)),0,MOD(INT((DATE(設定!$C$2,設定!$D$2,18)-設定!$C$43)/7),2))</f>
        <v/>
      </c>
      <c r="BG58">
        <f>IF(19&gt;DAY(EOMONTH(DATE(設定!$C$2,設定!$D$2,1),0)),0,MOD(INT((DATE(設定!$C$2,設定!$D$2,19)-設定!$C$43)/7),2))</f>
        <v/>
      </c>
      <c r="BH58">
        <f>IF(19&gt;DAY(EOMONTH(DATE(設定!$C$2,設定!$D$2,1),0)),0,MOD(INT((DATE(設定!$C$2,設定!$D$2,19)-設定!$C$43)/7),2))</f>
        <v/>
      </c>
      <c r="BI58">
        <f>IF(19&gt;DAY(EOMONTH(DATE(設定!$C$2,設定!$D$2,1),0)),0,MOD(INT((DATE(設定!$C$2,設定!$D$2,19)-設定!$C$43)/7),2))</f>
        <v/>
      </c>
      <c r="BJ58">
        <f>IF(20&gt;DAY(EOMONTH(DATE(設定!$C$2,設定!$D$2,1),0)),0,MOD(INT((DATE(設定!$C$2,設定!$D$2,20)-設定!$C$43)/7),2))</f>
        <v/>
      </c>
      <c r="BK58">
        <f>IF(20&gt;DAY(EOMONTH(DATE(設定!$C$2,設定!$D$2,1),0)),0,MOD(INT((DATE(設定!$C$2,設定!$D$2,20)-設定!$C$43)/7),2))</f>
        <v/>
      </c>
      <c r="BL58">
        <f>IF(20&gt;DAY(EOMONTH(DATE(設定!$C$2,設定!$D$2,1),0)),0,MOD(INT((DATE(設定!$C$2,設定!$D$2,20)-設定!$C$43)/7),2))</f>
        <v/>
      </c>
      <c r="BM58">
        <f>IF(21&gt;DAY(EOMONTH(DATE(設定!$C$2,設定!$D$2,1),0)),0,MOD(INT((DATE(設定!$C$2,設定!$D$2,21)-設定!$C$43)/7),2))</f>
        <v/>
      </c>
      <c r="BN58">
        <f>IF(21&gt;DAY(EOMONTH(DATE(設定!$C$2,設定!$D$2,1),0)),0,MOD(INT((DATE(設定!$C$2,設定!$D$2,21)-設定!$C$43)/7),2))</f>
        <v/>
      </c>
      <c r="BO58">
        <f>IF(21&gt;DAY(EOMONTH(DATE(設定!$C$2,設定!$D$2,1),0)),0,MOD(INT((DATE(設定!$C$2,設定!$D$2,21)-設定!$C$43)/7),2))</f>
        <v/>
      </c>
      <c r="BP58">
        <f>IF(22&gt;DAY(EOMONTH(DATE(設定!$C$2,設定!$D$2,1),0)),0,MOD(INT((DATE(設定!$C$2,設定!$D$2,22)-設定!$C$43)/7),2))</f>
        <v/>
      </c>
      <c r="BQ58">
        <f>IF(22&gt;DAY(EOMONTH(DATE(設定!$C$2,設定!$D$2,1),0)),0,MOD(INT((DATE(設定!$C$2,設定!$D$2,22)-設定!$C$43)/7),2))</f>
        <v/>
      </c>
      <c r="BR58">
        <f>IF(22&gt;DAY(EOMONTH(DATE(設定!$C$2,設定!$D$2,1),0)),0,MOD(INT((DATE(設定!$C$2,設定!$D$2,22)-設定!$C$43)/7),2))</f>
        <v/>
      </c>
      <c r="BS58">
        <f>IF(23&gt;DAY(EOMONTH(DATE(設定!$C$2,設定!$D$2,1),0)),0,MOD(INT((DATE(設定!$C$2,設定!$D$2,23)-設定!$C$43)/7),2))</f>
        <v/>
      </c>
      <c r="BT58">
        <f>IF(23&gt;DAY(EOMONTH(DATE(設定!$C$2,設定!$D$2,1),0)),0,MOD(INT((DATE(設定!$C$2,設定!$D$2,23)-設定!$C$43)/7),2))</f>
        <v/>
      </c>
      <c r="BU58">
        <f>IF(23&gt;DAY(EOMONTH(DATE(設定!$C$2,設定!$D$2,1),0)),0,MOD(INT((DATE(設定!$C$2,設定!$D$2,23)-設定!$C$43)/7),2))</f>
        <v/>
      </c>
      <c r="BV58">
        <f>IF(24&gt;DAY(EOMONTH(DATE(設定!$C$2,設定!$D$2,1),0)),0,MOD(INT((DATE(設定!$C$2,設定!$D$2,24)-設定!$C$43)/7),2))</f>
        <v/>
      </c>
      <c r="BW58">
        <f>IF(24&gt;DAY(EOMONTH(DATE(設定!$C$2,設定!$D$2,1),0)),0,MOD(INT((DATE(設定!$C$2,設定!$D$2,24)-設定!$C$43)/7),2))</f>
        <v/>
      </c>
      <c r="BX58">
        <f>IF(24&gt;DAY(EOMONTH(DATE(設定!$C$2,設定!$D$2,1),0)),0,MOD(INT((DATE(設定!$C$2,設定!$D$2,24)-設定!$C$43)/7),2))</f>
        <v/>
      </c>
      <c r="BY58">
        <f>IF(25&gt;DAY(EOMONTH(DATE(設定!$C$2,設定!$D$2,1),0)),0,MOD(INT((DATE(設定!$C$2,設定!$D$2,25)-設定!$C$43)/7),2))</f>
        <v/>
      </c>
      <c r="BZ58">
        <f>IF(25&gt;DAY(EOMONTH(DATE(設定!$C$2,設定!$D$2,1),0)),0,MOD(INT((DATE(設定!$C$2,設定!$D$2,25)-設定!$C$43)/7),2))</f>
        <v/>
      </c>
      <c r="CA58">
        <f>IF(25&gt;DAY(EOMONTH(DATE(設定!$C$2,設定!$D$2,1),0)),0,MOD(INT((DATE(設定!$C$2,設定!$D$2,25)-設定!$C$43)/7),2))</f>
        <v/>
      </c>
      <c r="CB58">
        <f>IF(26&gt;DAY(EOMONTH(DATE(設定!$C$2,設定!$D$2,1),0)),0,MOD(INT((DATE(設定!$C$2,設定!$D$2,26)-設定!$C$43)/7),2))</f>
        <v/>
      </c>
      <c r="CC58">
        <f>IF(26&gt;DAY(EOMONTH(DATE(設定!$C$2,設定!$D$2,1),0)),0,MOD(INT((DATE(設定!$C$2,設定!$D$2,26)-設定!$C$43)/7),2))</f>
        <v/>
      </c>
      <c r="CD58">
        <f>IF(26&gt;DAY(EOMONTH(DATE(設定!$C$2,設定!$D$2,1),0)),0,MOD(INT((DATE(設定!$C$2,設定!$D$2,26)-設定!$C$43)/7),2))</f>
        <v/>
      </c>
      <c r="CE58">
        <f>IF(27&gt;DAY(EOMONTH(DATE(設定!$C$2,設定!$D$2,1),0)),0,MOD(INT((DATE(設定!$C$2,設定!$D$2,27)-設定!$C$43)/7),2))</f>
        <v/>
      </c>
      <c r="CF58">
        <f>IF(27&gt;DAY(EOMONTH(DATE(設定!$C$2,設定!$D$2,1),0)),0,MOD(INT((DATE(設定!$C$2,設定!$D$2,27)-設定!$C$43)/7),2))</f>
        <v/>
      </c>
      <c r="CG58">
        <f>IF(27&gt;DAY(EOMONTH(DATE(設定!$C$2,設定!$D$2,1),0)),0,MOD(INT((DATE(設定!$C$2,設定!$D$2,27)-設定!$C$43)/7),2))</f>
        <v/>
      </c>
      <c r="CH58">
        <f>IF(28&gt;DAY(EOMONTH(DATE(設定!$C$2,設定!$D$2,1),0)),0,MOD(INT((DATE(設定!$C$2,設定!$D$2,28)-設定!$C$43)/7),2))</f>
        <v/>
      </c>
      <c r="CI58">
        <f>IF(28&gt;DAY(EOMONTH(DATE(設定!$C$2,設定!$D$2,1),0)),0,MOD(INT((DATE(設定!$C$2,設定!$D$2,28)-設定!$C$43)/7),2))</f>
        <v/>
      </c>
      <c r="CJ58">
        <f>IF(28&gt;DAY(EOMONTH(DATE(設定!$C$2,設定!$D$2,1),0)),0,MOD(INT((DATE(設定!$C$2,設定!$D$2,28)-設定!$C$43)/7),2))</f>
        <v/>
      </c>
      <c r="CK58">
        <f>IF(29&gt;DAY(EOMONTH(DATE(設定!$C$2,設定!$D$2,1),0)),0,MOD(INT((DATE(設定!$C$2,設定!$D$2,29)-設定!$C$43)/7),2))</f>
        <v/>
      </c>
      <c r="CL58">
        <f>IF(29&gt;DAY(EOMONTH(DATE(設定!$C$2,設定!$D$2,1),0)),0,MOD(INT((DATE(設定!$C$2,設定!$D$2,29)-設定!$C$43)/7),2))</f>
        <v/>
      </c>
      <c r="CM58">
        <f>IF(29&gt;DAY(EOMONTH(DATE(設定!$C$2,設定!$D$2,1),0)),0,MOD(INT((DATE(設定!$C$2,設定!$D$2,29)-設定!$C$43)/7),2))</f>
        <v/>
      </c>
      <c r="CN58">
        <f>IF(30&gt;DAY(EOMONTH(DATE(設定!$C$2,設定!$D$2,1),0)),0,MOD(INT((DATE(設定!$C$2,設定!$D$2,30)-設定!$C$43)/7),2))</f>
        <v/>
      </c>
      <c r="CO58">
        <f>IF(30&gt;DAY(EOMONTH(DATE(設定!$C$2,設定!$D$2,1),0)),0,MOD(INT((DATE(設定!$C$2,設定!$D$2,30)-設定!$C$43)/7),2))</f>
        <v/>
      </c>
      <c r="CP58">
        <f>IF(30&gt;DAY(EOMONTH(DATE(設定!$C$2,設定!$D$2,1),0)),0,MOD(INT((DATE(設定!$C$2,設定!$D$2,30)-設定!$C$43)/7),2))</f>
        <v/>
      </c>
      <c r="CQ58">
        <f>IF(31&gt;DAY(EOMONTH(DATE(設定!$C$2,設定!$D$2,1),0)),0,MOD(INT((DATE(設定!$C$2,設定!$D$2,31)-設定!$C$43)/7),2))</f>
        <v/>
      </c>
      <c r="CR58">
        <f>IF(31&gt;DAY(EOMONTH(DATE(設定!$C$2,設定!$D$2,1),0)),0,MOD(INT((DATE(設定!$C$2,設定!$D$2,31)-設定!$C$43)/7),2))</f>
        <v/>
      </c>
      <c r="CS58">
        <f>IF(31&gt;DAY(EOMONTH(DATE(設定!$C$2,設定!$D$2,1),0)),0,MOD(INT((DATE(設定!$C$2,設定!$D$2,31)-設定!$C$43)/7),2))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IF(1&gt;DAY(EOMONTH(DATE(設定!$C$2,設定!$D$2,1),0)),"X",IF(COUNTIF(設定!$W$6:$W$40,DATE(設定!$C$2,設定!$D$2,1))&gt;0,"國",IF(SUMPRODUCT(INDEX(設定!$U$47:$AO$51,0,E$57))=0,"休","")))</f>
        <v/>
      </c>
      <c r="F59">
        <f>IF(1&gt;DAY(EOMONTH(DATE(設定!$C$2,設定!$D$2,1),0)),"X",IF(COUNTIF(設定!$W$6:$W$40,DATE(設定!$C$2,設定!$D$2,1))&gt;0,"國",IF(SUMPRODUCT(INDEX(設定!$U$47:$AO$51,0,F$57))=0,"休","")))</f>
        <v/>
      </c>
      <c r="G59">
        <f>IF(1&gt;DAY(EOMONTH(DATE(設定!$C$2,設定!$D$2,1),0)),"X",IF(COUNTIF(設定!$W$6:$W$40,DATE(設定!$C$2,設定!$D$2,1))&gt;0,"國",IF(SUMPRODUCT(INDEX(設定!$U$47:$AO$51,0,G$57))=0,"休","")))</f>
        <v/>
      </c>
      <c r="H59">
        <f>IF(2&gt;DAY(EOMONTH(DATE(設定!$C$2,設定!$D$2,1),0)),"X",IF(COUNTIF(設定!$W$6:$W$40,DATE(設定!$C$2,設定!$D$2,2))&gt;0,"國",IF(SUMPRODUCT(INDEX(設定!$U$47:$AO$51,0,H$57))=0,"休","")))</f>
        <v/>
      </c>
      <c r="I59">
        <f>IF(2&gt;DAY(EOMONTH(DATE(設定!$C$2,設定!$D$2,1),0)),"X",IF(COUNTIF(設定!$W$6:$W$40,DATE(設定!$C$2,設定!$D$2,2))&gt;0,"國",IF(SUMPRODUCT(INDEX(設定!$U$47:$AO$51,0,I$57))=0,"休","")))</f>
        <v/>
      </c>
      <c r="J59">
        <f>IF(2&gt;DAY(EOMONTH(DATE(設定!$C$2,設定!$D$2,1),0)),"X",IF(COUNTIF(設定!$W$6:$W$40,DATE(設定!$C$2,設定!$D$2,2))&gt;0,"國",IF(SUMPRODUCT(INDEX(設定!$U$47:$AO$51,0,J$57))=0,"休","")))</f>
        <v/>
      </c>
      <c r="K59">
        <f>IF(3&gt;DAY(EOMONTH(DATE(設定!$C$2,設定!$D$2,1),0)),"X",IF(COUNTIF(設定!$W$6:$W$40,DATE(設定!$C$2,設定!$D$2,3))&gt;0,"國",IF(SUMPRODUCT(INDEX(設定!$U$47:$AO$51,0,K$57))=0,"休","")))</f>
        <v/>
      </c>
      <c r="L59">
        <f>IF(3&gt;DAY(EOMONTH(DATE(設定!$C$2,設定!$D$2,1),0)),"X",IF(COUNTIF(設定!$W$6:$W$40,DATE(設定!$C$2,設定!$D$2,3))&gt;0,"國",IF(SUMPRODUCT(INDEX(設定!$U$47:$AO$51,0,L$57))=0,"休","")))</f>
        <v/>
      </c>
      <c r="M59">
        <f>IF(3&gt;DAY(EOMONTH(DATE(設定!$C$2,設定!$D$2,1),0)),"X",IF(COUNTIF(設定!$W$6:$W$40,DATE(設定!$C$2,設定!$D$2,3))&gt;0,"國",IF(SUMPRODUCT(INDEX(設定!$U$47:$AO$51,0,M$57))=0,"休","")))</f>
        <v/>
      </c>
      <c r="N59">
        <f>IF(4&gt;DAY(EOMONTH(DATE(設定!$C$2,設定!$D$2,1),0)),"X",IF(COUNTIF(設定!$W$6:$W$40,DATE(設定!$C$2,設定!$D$2,4))&gt;0,"國",IF(SUMPRODUCT(INDEX(設定!$U$47:$AO$51,0,N$57))=0,"休","")))</f>
        <v/>
      </c>
      <c r="O59">
        <f>IF(4&gt;DAY(EOMONTH(DATE(設定!$C$2,設定!$D$2,1),0)),"X",IF(COUNTIF(設定!$W$6:$W$40,DATE(設定!$C$2,設定!$D$2,4))&gt;0,"國",IF(SUMPRODUCT(INDEX(設定!$U$47:$AO$51,0,O$57))=0,"休","")))</f>
        <v/>
      </c>
      <c r="P59">
        <f>IF(4&gt;DAY(EOMONTH(DATE(設定!$C$2,設定!$D$2,1),0)),"X",IF(COUNTIF(設定!$W$6:$W$40,DATE(設定!$C$2,設定!$D$2,4))&gt;0,"國",IF(SUMPRODUCT(INDEX(設定!$U$47:$AO$51,0,P$57))=0,"休","")))</f>
        <v/>
      </c>
      <c r="Q59">
        <f>IF(5&gt;DAY(EOMONTH(DATE(設定!$C$2,設定!$D$2,1),0)),"X",IF(COUNTIF(設定!$W$6:$W$40,DATE(設定!$C$2,設定!$D$2,5))&gt;0,"國",IF(SUMPRODUCT(INDEX(設定!$U$47:$AO$51,0,Q$57))=0,"休","")))</f>
        <v/>
      </c>
      <c r="R59">
        <f>IF(5&gt;DAY(EOMONTH(DATE(設定!$C$2,設定!$D$2,1),0)),"X",IF(COUNTIF(設定!$W$6:$W$40,DATE(設定!$C$2,設定!$D$2,5))&gt;0,"國",IF(SUMPRODUCT(INDEX(設定!$U$47:$AO$51,0,R$57))=0,"休","")))</f>
        <v/>
      </c>
      <c r="S59">
        <f>IF(5&gt;DAY(EOMONTH(DATE(設定!$C$2,設定!$D$2,1),0)),"X",IF(COUNTIF(設定!$W$6:$W$40,DATE(設定!$C$2,設定!$D$2,5))&gt;0,"國",IF(SUMPRODUCT(INDEX(設定!$U$47:$AO$51,0,S$57))=0,"休","")))</f>
        <v/>
      </c>
      <c r="T59">
        <f>IF(6&gt;DAY(EOMONTH(DATE(設定!$C$2,設定!$D$2,1),0)),"X",IF(COUNTIF(設定!$W$6:$W$40,DATE(設定!$C$2,設定!$D$2,6))&gt;0,"國",IF(SUMPRODUCT(INDEX(設定!$U$47:$AO$51,0,T$57))=0,"休","")))</f>
        <v/>
      </c>
      <c r="U59">
        <f>IF(6&gt;DAY(EOMONTH(DATE(設定!$C$2,設定!$D$2,1),0)),"X",IF(COUNTIF(設定!$W$6:$W$40,DATE(設定!$C$2,設定!$D$2,6))&gt;0,"國",IF(SUMPRODUCT(INDEX(設定!$U$47:$AO$51,0,U$57))=0,"休","")))</f>
        <v/>
      </c>
      <c r="V59">
        <f>IF(6&gt;DAY(EOMONTH(DATE(設定!$C$2,設定!$D$2,1),0)),"X",IF(COUNTIF(設定!$W$6:$W$40,DATE(設定!$C$2,設定!$D$2,6))&gt;0,"國",IF(SUMPRODUCT(INDEX(設定!$U$47:$AO$51,0,V$57))=0,"休","")))</f>
        <v/>
      </c>
      <c r="W59">
        <f>IF(7&gt;DAY(EOMONTH(DATE(設定!$C$2,設定!$D$2,1),0)),"X",IF(COUNTIF(設定!$W$6:$W$40,DATE(設定!$C$2,設定!$D$2,7))&gt;0,"國",IF(SUMPRODUCT(INDEX(設定!$U$47:$AO$51,0,W$57))=0,"休","")))</f>
        <v/>
      </c>
      <c r="X59">
        <f>IF(7&gt;DAY(EOMONTH(DATE(設定!$C$2,設定!$D$2,1),0)),"X",IF(COUNTIF(設定!$W$6:$W$40,DATE(設定!$C$2,設定!$D$2,7))&gt;0,"國",IF(SUMPRODUCT(INDEX(設定!$U$47:$AO$51,0,X$57))=0,"休","")))</f>
        <v/>
      </c>
      <c r="Y59">
        <f>IF(7&gt;DAY(EOMONTH(DATE(設定!$C$2,設定!$D$2,1),0)),"X",IF(COUNTIF(設定!$W$6:$W$40,DATE(設定!$C$2,設定!$D$2,7))&gt;0,"國",IF(SUMPRODUCT(INDEX(設定!$U$47:$AO$51,0,Y$57))=0,"休","")))</f>
        <v/>
      </c>
      <c r="Z59">
        <f>IF(8&gt;DAY(EOMONTH(DATE(設定!$C$2,設定!$D$2,1),0)),"X",IF(COUNTIF(設定!$W$6:$W$40,DATE(設定!$C$2,設定!$D$2,8))&gt;0,"國",IF(SUMPRODUCT(INDEX(設定!$U$47:$AO$51,0,Z$57))=0,"休","")))</f>
        <v/>
      </c>
      <c r="AA59">
        <f>IF(8&gt;DAY(EOMONTH(DATE(設定!$C$2,設定!$D$2,1),0)),"X",IF(COUNTIF(設定!$W$6:$W$40,DATE(設定!$C$2,設定!$D$2,8))&gt;0,"國",IF(SUMPRODUCT(INDEX(設定!$U$47:$AO$51,0,AA$57))=0,"休","")))</f>
        <v/>
      </c>
      <c r="AB59">
        <f>IF(8&gt;DAY(EOMONTH(DATE(設定!$C$2,設定!$D$2,1),0)),"X",IF(COUNTIF(設定!$W$6:$W$40,DATE(設定!$C$2,設定!$D$2,8))&gt;0,"國",IF(SUMPRODUCT(INDEX(設定!$U$47:$AO$51,0,AB$57))=0,"休","")))</f>
        <v/>
      </c>
      <c r="AC59">
        <f>IF(9&gt;DAY(EOMONTH(DATE(設定!$C$2,設定!$D$2,1),0)),"X",IF(COUNTIF(設定!$W$6:$W$40,DATE(設定!$C$2,設定!$D$2,9))&gt;0,"國",IF(SUMPRODUCT(INDEX(設定!$U$47:$AO$51,0,AC$57))=0,"休","")))</f>
        <v/>
      </c>
      <c r="AD59">
        <f>IF(9&gt;DAY(EOMONTH(DATE(設定!$C$2,設定!$D$2,1),0)),"X",IF(COUNTIF(設定!$W$6:$W$40,DATE(設定!$C$2,設定!$D$2,9))&gt;0,"國",IF(SUMPRODUCT(INDEX(設定!$U$47:$AO$51,0,AD$57))=0,"休","")))</f>
        <v/>
      </c>
      <c r="AE59">
        <f>IF(9&gt;DAY(EOMONTH(DATE(設定!$C$2,設定!$D$2,1),0)),"X",IF(COUNTIF(設定!$W$6:$W$40,DATE(設定!$C$2,設定!$D$2,9))&gt;0,"國",IF(SUMPRODUCT(INDEX(設定!$U$47:$AO$51,0,AE$57))=0,"休","")))</f>
        <v/>
      </c>
      <c r="AF59">
        <f>IF(10&gt;DAY(EOMONTH(DATE(設定!$C$2,設定!$D$2,1),0)),"X",IF(COUNTIF(設定!$W$6:$W$40,DATE(設定!$C$2,設定!$D$2,10))&gt;0,"國",IF(SUMPRODUCT(INDEX(設定!$U$47:$AO$51,0,AF$57))=0,"休","")))</f>
        <v/>
      </c>
      <c r="AG59">
        <f>IF(10&gt;DAY(EOMONTH(DATE(設定!$C$2,設定!$D$2,1),0)),"X",IF(COUNTIF(設定!$W$6:$W$40,DATE(設定!$C$2,設定!$D$2,10))&gt;0,"國",IF(SUMPRODUCT(INDEX(設定!$U$47:$AO$51,0,AG$57))=0,"休","")))</f>
        <v/>
      </c>
      <c r="AH59">
        <f>IF(10&gt;DAY(EOMONTH(DATE(設定!$C$2,設定!$D$2,1),0)),"X",IF(COUNTIF(設定!$W$6:$W$40,DATE(設定!$C$2,設定!$D$2,10))&gt;0,"國",IF(SUMPRODUCT(INDEX(設定!$U$47:$AO$51,0,AH$57))=0,"休","")))</f>
        <v/>
      </c>
      <c r="AI59">
        <f>IF(11&gt;DAY(EOMONTH(DATE(設定!$C$2,設定!$D$2,1),0)),"X",IF(COUNTIF(設定!$W$6:$W$40,DATE(設定!$C$2,設定!$D$2,11))&gt;0,"國",IF(SUMPRODUCT(INDEX(設定!$U$47:$AO$51,0,AI$57))=0,"休","")))</f>
        <v/>
      </c>
      <c r="AJ59">
        <f>IF(11&gt;DAY(EOMONTH(DATE(設定!$C$2,設定!$D$2,1),0)),"X",IF(COUNTIF(設定!$W$6:$W$40,DATE(設定!$C$2,設定!$D$2,11))&gt;0,"國",IF(SUMPRODUCT(INDEX(設定!$U$47:$AO$51,0,AJ$57))=0,"休","")))</f>
        <v/>
      </c>
      <c r="AK59">
        <f>IF(11&gt;DAY(EOMONTH(DATE(設定!$C$2,設定!$D$2,1),0)),"X",IF(COUNTIF(設定!$W$6:$W$40,DATE(設定!$C$2,設定!$D$2,11))&gt;0,"國",IF(SUMPRODUCT(INDEX(設定!$U$47:$AO$51,0,AK$57))=0,"休","")))</f>
        <v/>
      </c>
      <c r="AL59">
        <f>IF(12&gt;DAY(EOMONTH(DATE(設定!$C$2,設定!$D$2,1),0)),"X",IF(COUNTIF(設定!$W$6:$W$40,DATE(設定!$C$2,設定!$D$2,12))&gt;0,"國",IF(SUMPRODUCT(INDEX(設定!$U$47:$AO$51,0,AL$57))=0,"休","")))</f>
        <v/>
      </c>
      <c r="AM59">
        <f>IF(12&gt;DAY(EOMONTH(DATE(設定!$C$2,設定!$D$2,1),0)),"X",IF(COUNTIF(設定!$W$6:$W$40,DATE(設定!$C$2,設定!$D$2,12))&gt;0,"國",IF(SUMPRODUCT(INDEX(設定!$U$47:$AO$51,0,AM$57))=0,"休","")))</f>
        <v/>
      </c>
      <c r="AN59">
        <f>IF(12&gt;DAY(EOMONTH(DATE(設定!$C$2,設定!$D$2,1),0)),"X",IF(COUNTIF(設定!$W$6:$W$40,DATE(設定!$C$2,設定!$D$2,12))&gt;0,"國",IF(SUMPRODUCT(INDEX(設定!$U$47:$AO$51,0,AN$57))=0,"休","")))</f>
        <v/>
      </c>
      <c r="AO59">
        <f>IF(13&gt;DAY(EOMONTH(DATE(設定!$C$2,設定!$D$2,1),0)),"X",IF(COUNTIF(設定!$W$6:$W$40,DATE(設定!$C$2,設定!$D$2,13))&gt;0,"國",IF(SUMPRODUCT(INDEX(設定!$U$47:$AO$51,0,AO$57))=0,"休","")))</f>
        <v/>
      </c>
      <c r="AP59">
        <f>IF(13&gt;DAY(EOMONTH(DATE(設定!$C$2,設定!$D$2,1),0)),"X",IF(COUNTIF(設定!$W$6:$W$40,DATE(設定!$C$2,設定!$D$2,13))&gt;0,"國",IF(SUMPRODUCT(INDEX(設定!$U$47:$AO$51,0,AP$57))=0,"休","")))</f>
        <v/>
      </c>
      <c r="AQ59">
        <f>IF(13&gt;DAY(EOMONTH(DATE(設定!$C$2,設定!$D$2,1),0)),"X",IF(COUNTIF(設定!$W$6:$W$40,DATE(設定!$C$2,設定!$D$2,13))&gt;0,"國",IF(SUMPRODUCT(INDEX(設定!$U$47:$AO$51,0,AQ$57))=0,"休","")))</f>
        <v/>
      </c>
      <c r="AR59">
        <f>IF(14&gt;DAY(EOMONTH(DATE(設定!$C$2,設定!$D$2,1),0)),"X",IF(COUNTIF(設定!$W$6:$W$40,DATE(設定!$C$2,設定!$D$2,14))&gt;0,"國",IF(SUMPRODUCT(INDEX(設定!$U$47:$AO$51,0,AR$57))=0,"休","")))</f>
        <v/>
      </c>
      <c r="AS59">
        <f>IF(14&gt;DAY(EOMONTH(DATE(設定!$C$2,設定!$D$2,1),0)),"X",IF(COUNTIF(設定!$W$6:$W$40,DATE(設定!$C$2,設定!$D$2,14))&gt;0,"國",IF(SUMPRODUCT(INDEX(設定!$U$47:$AO$51,0,AS$57))=0,"休","")))</f>
        <v/>
      </c>
      <c r="AT59">
        <f>IF(14&gt;DAY(EOMONTH(DATE(設定!$C$2,設定!$D$2,1),0)),"X",IF(COUNTIF(設定!$W$6:$W$40,DATE(設定!$C$2,設定!$D$2,14))&gt;0,"國",IF(SUMPRODUCT(INDEX(設定!$U$47:$AO$51,0,AT$57))=0,"休","")))</f>
        <v/>
      </c>
      <c r="AU59">
        <f>IF(15&gt;DAY(EOMONTH(DATE(設定!$C$2,設定!$D$2,1),0)),"X",IF(COUNTIF(設定!$W$6:$W$40,DATE(設定!$C$2,設定!$D$2,15))&gt;0,"國",IF(SUMPRODUCT(INDEX(設定!$U$47:$AO$51,0,AU$57))=0,"休","")))</f>
        <v/>
      </c>
      <c r="AV59">
        <f>IF(15&gt;DAY(EOMONTH(DATE(設定!$C$2,設定!$D$2,1),0)),"X",IF(COUNTIF(設定!$W$6:$W$40,DATE(設定!$C$2,設定!$D$2,15))&gt;0,"國",IF(SUMPRODUCT(INDEX(設定!$U$47:$AO$51,0,AV$57))=0,"休","")))</f>
        <v/>
      </c>
      <c r="AW59">
        <f>IF(15&gt;DAY(EOMONTH(DATE(設定!$C$2,設定!$D$2,1),0)),"X",IF(COUNTIF(設定!$W$6:$W$40,DATE(設定!$C$2,設定!$D$2,15))&gt;0,"國",IF(SUMPRODUCT(INDEX(設定!$U$47:$AO$51,0,AW$57))=0,"休","")))</f>
        <v/>
      </c>
      <c r="AX59">
        <f>IF(16&gt;DAY(EOMONTH(DATE(設定!$C$2,設定!$D$2,1),0)),"X",IF(COUNTIF(設定!$W$6:$W$40,DATE(設定!$C$2,設定!$D$2,16))&gt;0,"國",IF(SUMPRODUCT(INDEX(設定!$U$47:$AO$51,0,AX$57))=0,"休","")))</f>
        <v/>
      </c>
      <c r="AY59">
        <f>IF(16&gt;DAY(EOMONTH(DATE(設定!$C$2,設定!$D$2,1),0)),"X",IF(COUNTIF(設定!$W$6:$W$40,DATE(設定!$C$2,設定!$D$2,16))&gt;0,"國",IF(SUMPRODUCT(INDEX(設定!$U$47:$AO$51,0,AY$57))=0,"休","")))</f>
        <v/>
      </c>
      <c r="AZ59">
        <f>IF(16&gt;DAY(EOMONTH(DATE(設定!$C$2,設定!$D$2,1),0)),"X",IF(COUNTIF(設定!$W$6:$W$40,DATE(設定!$C$2,設定!$D$2,16))&gt;0,"國",IF(SUMPRODUCT(INDEX(設定!$U$47:$AO$51,0,AZ$57))=0,"休","")))</f>
        <v/>
      </c>
      <c r="BA59">
        <f>IF(17&gt;DAY(EOMONTH(DATE(設定!$C$2,設定!$D$2,1),0)),"X",IF(COUNTIF(設定!$W$6:$W$40,DATE(設定!$C$2,設定!$D$2,17))&gt;0,"國",IF(SUMPRODUCT(INDEX(設定!$U$47:$AO$51,0,BA$57))=0,"休","")))</f>
        <v/>
      </c>
      <c r="BB59">
        <f>IF(17&gt;DAY(EOMONTH(DATE(設定!$C$2,設定!$D$2,1),0)),"X",IF(COUNTIF(設定!$W$6:$W$40,DATE(設定!$C$2,設定!$D$2,17))&gt;0,"國",IF(SUMPRODUCT(INDEX(設定!$U$47:$AO$51,0,BB$57))=0,"休","")))</f>
        <v/>
      </c>
      <c r="BC59">
        <f>IF(17&gt;DAY(EOMONTH(DATE(設定!$C$2,設定!$D$2,1),0)),"X",IF(COUNTIF(設定!$W$6:$W$40,DATE(設定!$C$2,設定!$D$2,17))&gt;0,"國",IF(SUMPRODUCT(INDEX(設定!$U$47:$AO$51,0,BC$57))=0,"休","")))</f>
        <v/>
      </c>
      <c r="BD59">
        <f>IF(18&gt;DAY(EOMONTH(DATE(設定!$C$2,設定!$D$2,1),0)),"X",IF(COUNTIF(設定!$W$6:$W$40,DATE(設定!$C$2,設定!$D$2,18))&gt;0,"國",IF(SUMPRODUCT(INDEX(設定!$U$47:$AO$51,0,BD$57))=0,"休","")))</f>
        <v/>
      </c>
      <c r="BE59">
        <f>IF(18&gt;DAY(EOMONTH(DATE(設定!$C$2,設定!$D$2,1),0)),"X",IF(COUNTIF(設定!$W$6:$W$40,DATE(設定!$C$2,設定!$D$2,18))&gt;0,"國",IF(SUMPRODUCT(INDEX(設定!$U$47:$AO$51,0,BE$57))=0,"休","")))</f>
        <v/>
      </c>
      <c r="BF59">
        <f>IF(18&gt;DAY(EOMONTH(DATE(設定!$C$2,設定!$D$2,1),0)),"X",IF(COUNTIF(設定!$W$6:$W$40,DATE(設定!$C$2,設定!$D$2,18))&gt;0,"國",IF(SUMPRODUCT(INDEX(設定!$U$47:$AO$51,0,BF$57))=0,"休","")))</f>
        <v/>
      </c>
      <c r="BG59">
        <f>IF(19&gt;DAY(EOMONTH(DATE(設定!$C$2,設定!$D$2,1),0)),"X",IF(COUNTIF(設定!$W$6:$W$40,DATE(設定!$C$2,設定!$D$2,19))&gt;0,"國",IF(SUMPRODUCT(INDEX(設定!$U$47:$AO$51,0,BG$57))=0,"休","")))</f>
        <v/>
      </c>
      <c r="BH59">
        <f>IF(19&gt;DAY(EOMONTH(DATE(設定!$C$2,設定!$D$2,1),0)),"X",IF(COUNTIF(設定!$W$6:$W$40,DATE(設定!$C$2,設定!$D$2,19))&gt;0,"國",IF(SUMPRODUCT(INDEX(設定!$U$47:$AO$51,0,BH$57))=0,"休","")))</f>
        <v/>
      </c>
      <c r="BI59">
        <f>IF(19&gt;DAY(EOMONTH(DATE(設定!$C$2,設定!$D$2,1),0)),"X",IF(COUNTIF(設定!$W$6:$W$40,DATE(設定!$C$2,設定!$D$2,19))&gt;0,"國",IF(SUMPRODUCT(INDEX(設定!$U$47:$AO$51,0,BI$57))=0,"休","")))</f>
        <v/>
      </c>
      <c r="BJ59">
        <f>IF(20&gt;DAY(EOMONTH(DATE(設定!$C$2,設定!$D$2,1),0)),"X",IF(COUNTIF(設定!$W$6:$W$40,DATE(設定!$C$2,設定!$D$2,20))&gt;0,"國",IF(SUMPRODUCT(INDEX(設定!$U$47:$AO$51,0,BJ$57))=0,"休","")))</f>
        <v/>
      </c>
      <c r="BK59">
        <f>IF(20&gt;DAY(EOMONTH(DATE(設定!$C$2,設定!$D$2,1),0)),"X",IF(COUNTIF(設定!$W$6:$W$40,DATE(設定!$C$2,設定!$D$2,20))&gt;0,"國",IF(SUMPRODUCT(INDEX(設定!$U$47:$AO$51,0,BK$57))=0,"休","")))</f>
        <v/>
      </c>
      <c r="BL59">
        <f>IF(20&gt;DAY(EOMONTH(DATE(設定!$C$2,設定!$D$2,1),0)),"X",IF(COUNTIF(設定!$W$6:$W$40,DATE(設定!$C$2,設定!$D$2,20))&gt;0,"國",IF(SUMPRODUCT(INDEX(設定!$U$47:$AO$51,0,BL$57))=0,"休","")))</f>
        <v/>
      </c>
      <c r="BM59">
        <f>IF(21&gt;DAY(EOMONTH(DATE(設定!$C$2,設定!$D$2,1),0)),"X",IF(COUNTIF(設定!$W$6:$W$40,DATE(設定!$C$2,設定!$D$2,21))&gt;0,"國",IF(SUMPRODUCT(INDEX(設定!$U$47:$AO$51,0,BM$57))=0,"休","")))</f>
        <v/>
      </c>
      <c r="BN59">
        <f>IF(21&gt;DAY(EOMONTH(DATE(設定!$C$2,設定!$D$2,1),0)),"X",IF(COUNTIF(設定!$W$6:$W$40,DATE(設定!$C$2,設定!$D$2,21))&gt;0,"國",IF(SUMPRODUCT(INDEX(設定!$U$47:$AO$51,0,BN$57))=0,"休","")))</f>
        <v/>
      </c>
      <c r="BO59">
        <f>IF(21&gt;DAY(EOMONTH(DATE(設定!$C$2,設定!$D$2,1),0)),"X",IF(COUNTIF(設定!$W$6:$W$40,DATE(設定!$C$2,設定!$D$2,21))&gt;0,"國",IF(SUMPRODUCT(INDEX(設定!$U$47:$AO$51,0,BO$57))=0,"休","")))</f>
        <v/>
      </c>
      <c r="BP59">
        <f>IF(22&gt;DAY(EOMONTH(DATE(設定!$C$2,設定!$D$2,1),0)),"X",IF(COUNTIF(設定!$W$6:$W$40,DATE(設定!$C$2,設定!$D$2,22))&gt;0,"國",IF(SUMPRODUCT(INDEX(設定!$U$47:$AO$51,0,BP$57))=0,"休","")))</f>
        <v/>
      </c>
      <c r="BQ59">
        <f>IF(22&gt;DAY(EOMONTH(DATE(設定!$C$2,設定!$D$2,1),0)),"X",IF(COUNTIF(設定!$W$6:$W$40,DATE(設定!$C$2,設定!$D$2,22))&gt;0,"國",IF(SUMPRODUCT(INDEX(設定!$U$47:$AO$51,0,BQ$57))=0,"休","")))</f>
        <v/>
      </c>
      <c r="BR59">
        <f>IF(22&gt;DAY(EOMONTH(DATE(設定!$C$2,設定!$D$2,1),0)),"X",IF(COUNTIF(設定!$W$6:$W$40,DATE(設定!$C$2,設定!$D$2,22))&gt;0,"國",IF(SUMPRODUCT(INDEX(設定!$U$47:$AO$51,0,BR$57))=0,"休","")))</f>
        <v/>
      </c>
      <c r="BS59">
        <f>IF(23&gt;DAY(EOMONTH(DATE(設定!$C$2,設定!$D$2,1),0)),"X",IF(COUNTIF(設定!$W$6:$W$40,DATE(設定!$C$2,設定!$D$2,23))&gt;0,"國",IF(SUMPRODUCT(INDEX(設定!$U$47:$AO$51,0,BS$57))=0,"休","")))</f>
        <v/>
      </c>
      <c r="BT59">
        <f>IF(23&gt;DAY(EOMONTH(DATE(設定!$C$2,設定!$D$2,1),0)),"X",IF(COUNTIF(設定!$W$6:$W$40,DATE(設定!$C$2,設定!$D$2,23))&gt;0,"國",IF(SUMPRODUCT(INDEX(設定!$U$47:$AO$51,0,BT$57))=0,"休","")))</f>
        <v/>
      </c>
      <c r="BU59">
        <f>IF(23&gt;DAY(EOMONTH(DATE(設定!$C$2,設定!$D$2,1),0)),"X",IF(COUNTIF(設定!$W$6:$W$40,DATE(設定!$C$2,設定!$D$2,23))&gt;0,"國",IF(SUMPRODUCT(INDEX(設定!$U$47:$AO$51,0,BU$57))=0,"休","")))</f>
        <v/>
      </c>
      <c r="BV59">
        <f>IF(24&gt;DAY(EOMONTH(DATE(設定!$C$2,設定!$D$2,1),0)),"X",IF(COUNTIF(設定!$W$6:$W$40,DATE(設定!$C$2,設定!$D$2,24))&gt;0,"國",IF(SUMPRODUCT(INDEX(設定!$U$47:$AO$51,0,BV$57))=0,"休","")))</f>
        <v/>
      </c>
      <c r="BW59">
        <f>IF(24&gt;DAY(EOMONTH(DATE(設定!$C$2,設定!$D$2,1),0)),"X",IF(COUNTIF(設定!$W$6:$W$40,DATE(設定!$C$2,設定!$D$2,24))&gt;0,"國",IF(SUMPRODUCT(INDEX(設定!$U$47:$AO$51,0,BW$57))=0,"休","")))</f>
        <v/>
      </c>
      <c r="BX59">
        <f>IF(24&gt;DAY(EOMONTH(DATE(設定!$C$2,設定!$D$2,1),0)),"X",IF(COUNTIF(設定!$W$6:$W$40,DATE(設定!$C$2,設定!$D$2,24))&gt;0,"國",IF(SUMPRODUCT(INDEX(設定!$U$47:$AO$51,0,BX$57))=0,"休","")))</f>
        <v/>
      </c>
      <c r="BY59">
        <f>IF(25&gt;DAY(EOMONTH(DATE(設定!$C$2,設定!$D$2,1),0)),"X",IF(COUNTIF(設定!$W$6:$W$40,DATE(設定!$C$2,設定!$D$2,25))&gt;0,"國",IF(SUMPRODUCT(INDEX(設定!$U$47:$AO$51,0,BY$57))=0,"休","")))</f>
        <v/>
      </c>
      <c r="BZ59">
        <f>IF(25&gt;DAY(EOMONTH(DATE(設定!$C$2,設定!$D$2,1),0)),"X",IF(COUNTIF(設定!$W$6:$W$40,DATE(設定!$C$2,設定!$D$2,25))&gt;0,"國",IF(SUMPRODUCT(INDEX(設定!$U$47:$AO$51,0,BZ$57))=0,"休","")))</f>
        <v/>
      </c>
      <c r="CA59">
        <f>IF(25&gt;DAY(EOMONTH(DATE(設定!$C$2,設定!$D$2,1),0)),"X",IF(COUNTIF(設定!$W$6:$W$40,DATE(設定!$C$2,設定!$D$2,25))&gt;0,"國",IF(SUMPRODUCT(INDEX(設定!$U$47:$AO$51,0,CA$57))=0,"休","")))</f>
        <v/>
      </c>
      <c r="CB59">
        <f>IF(26&gt;DAY(EOMONTH(DATE(設定!$C$2,設定!$D$2,1),0)),"X",IF(COUNTIF(設定!$W$6:$W$40,DATE(設定!$C$2,設定!$D$2,26))&gt;0,"國",IF(SUMPRODUCT(INDEX(設定!$U$47:$AO$51,0,CB$57))=0,"休","")))</f>
        <v/>
      </c>
      <c r="CC59">
        <f>IF(26&gt;DAY(EOMONTH(DATE(設定!$C$2,設定!$D$2,1),0)),"X",IF(COUNTIF(設定!$W$6:$W$40,DATE(設定!$C$2,設定!$D$2,26))&gt;0,"國",IF(SUMPRODUCT(INDEX(設定!$U$47:$AO$51,0,CC$57))=0,"休","")))</f>
        <v/>
      </c>
      <c r="CD59">
        <f>IF(26&gt;DAY(EOMONTH(DATE(設定!$C$2,設定!$D$2,1),0)),"X",IF(COUNTIF(設定!$W$6:$W$40,DATE(設定!$C$2,設定!$D$2,26))&gt;0,"國",IF(SUMPRODUCT(INDEX(設定!$U$47:$AO$51,0,CD$57))=0,"休","")))</f>
        <v/>
      </c>
      <c r="CE59">
        <f>IF(27&gt;DAY(EOMONTH(DATE(設定!$C$2,設定!$D$2,1),0)),"X",IF(COUNTIF(設定!$W$6:$W$40,DATE(設定!$C$2,設定!$D$2,27))&gt;0,"國",IF(SUMPRODUCT(INDEX(設定!$U$47:$AO$51,0,CE$57))=0,"休","")))</f>
        <v/>
      </c>
      <c r="CF59">
        <f>IF(27&gt;DAY(EOMONTH(DATE(設定!$C$2,設定!$D$2,1),0)),"X",IF(COUNTIF(設定!$W$6:$W$40,DATE(設定!$C$2,設定!$D$2,27))&gt;0,"國",IF(SUMPRODUCT(INDEX(設定!$U$47:$AO$51,0,CF$57))=0,"休","")))</f>
        <v/>
      </c>
      <c r="CG59">
        <f>IF(27&gt;DAY(EOMONTH(DATE(設定!$C$2,設定!$D$2,1),0)),"X",IF(COUNTIF(設定!$W$6:$W$40,DATE(設定!$C$2,設定!$D$2,27))&gt;0,"國",IF(SUMPRODUCT(INDEX(設定!$U$47:$AO$51,0,CG$57))=0,"休","")))</f>
        <v/>
      </c>
      <c r="CH59">
        <f>IF(28&gt;DAY(EOMONTH(DATE(設定!$C$2,設定!$D$2,1),0)),"X",IF(COUNTIF(設定!$W$6:$W$40,DATE(設定!$C$2,設定!$D$2,28))&gt;0,"國",IF(SUMPRODUCT(INDEX(設定!$U$47:$AO$51,0,CH$57))=0,"休","")))</f>
        <v/>
      </c>
      <c r="CI59">
        <f>IF(28&gt;DAY(EOMONTH(DATE(設定!$C$2,設定!$D$2,1),0)),"X",IF(COUNTIF(設定!$W$6:$W$40,DATE(設定!$C$2,設定!$D$2,28))&gt;0,"國",IF(SUMPRODUCT(INDEX(設定!$U$47:$AO$51,0,CI$57))=0,"休","")))</f>
        <v/>
      </c>
      <c r="CJ59">
        <f>IF(28&gt;DAY(EOMONTH(DATE(設定!$C$2,設定!$D$2,1),0)),"X",IF(COUNTIF(設定!$W$6:$W$40,DATE(設定!$C$2,設定!$D$2,28))&gt;0,"國",IF(SUMPRODUCT(INDEX(設定!$U$47:$AO$51,0,CJ$57))=0,"休","")))</f>
        <v/>
      </c>
      <c r="CK59">
        <f>IF(29&gt;DAY(EOMONTH(DATE(設定!$C$2,設定!$D$2,1),0)),"X",IF(COUNTIF(設定!$W$6:$W$40,DATE(設定!$C$2,設定!$D$2,29))&gt;0,"國",IF(SUMPRODUCT(INDEX(設定!$U$47:$AO$51,0,CK$57))=0,"休","")))</f>
        <v/>
      </c>
      <c r="CL59">
        <f>IF(29&gt;DAY(EOMONTH(DATE(設定!$C$2,設定!$D$2,1),0)),"X",IF(COUNTIF(設定!$W$6:$W$40,DATE(設定!$C$2,設定!$D$2,29))&gt;0,"國",IF(SUMPRODUCT(INDEX(設定!$U$47:$AO$51,0,CL$57))=0,"休","")))</f>
        <v/>
      </c>
      <c r="CM59">
        <f>IF(29&gt;DAY(EOMONTH(DATE(設定!$C$2,設定!$D$2,1),0)),"X",IF(COUNTIF(設定!$W$6:$W$40,DATE(設定!$C$2,設定!$D$2,29))&gt;0,"國",IF(SUMPRODUCT(INDEX(設定!$U$47:$AO$51,0,CM$57))=0,"休","")))</f>
        <v/>
      </c>
      <c r="CN59">
        <f>IF(30&gt;DAY(EOMONTH(DATE(設定!$C$2,設定!$D$2,1),0)),"X",IF(COUNTIF(設定!$W$6:$W$40,DATE(設定!$C$2,設定!$D$2,30))&gt;0,"國",IF(SUMPRODUCT(INDEX(設定!$U$47:$AO$51,0,CN$57))=0,"休","")))</f>
        <v/>
      </c>
      <c r="CO59">
        <f>IF(30&gt;DAY(EOMONTH(DATE(設定!$C$2,設定!$D$2,1),0)),"X",IF(COUNTIF(設定!$W$6:$W$40,DATE(設定!$C$2,設定!$D$2,30))&gt;0,"國",IF(SUMPRODUCT(INDEX(設定!$U$47:$AO$51,0,CO$57))=0,"休","")))</f>
        <v/>
      </c>
      <c r="CP59">
        <f>IF(30&gt;DAY(EOMONTH(DATE(設定!$C$2,設定!$D$2,1),0)),"X",IF(COUNTIF(設定!$W$6:$W$40,DATE(設定!$C$2,設定!$D$2,30))&gt;0,"國",IF(SUMPRODUCT(INDEX(設定!$U$47:$AO$51,0,CP$57))=0,"休","")))</f>
        <v/>
      </c>
      <c r="CQ59">
        <f>IF(31&gt;DAY(EOMONTH(DATE(設定!$C$2,設定!$D$2,1),0)),"X",IF(COUNTIF(設定!$W$6:$W$40,DATE(設定!$C$2,設定!$D$2,31))&gt;0,"國",IF(SUMPRODUCT(INDEX(設定!$U$47:$AO$51,0,CQ$57))=0,"休","")))</f>
        <v/>
      </c>
      <c r="CR59">
        <f>IF(31&gt;DAY(EOMONTH(DATE(設定!$C$2,設定!$D$2,1),0)),"X",IF(COUNTIF(設定!$W$6:$W$40,DATE(設定!$C$2,設定!$D$2,31))&gt;0,"國",IF(SUMPRODUCT(INDEX(設定!$U$47:$AO$51,0,CR$57))=0,"休","")))</f>
        <v/>
      </c>
      <c r="CS59">
        <f>IF(31&gt;DAY(EOMONTH(DATE(設定!$C$2,設定!$D$2,1),0)),"X",IF(COUNTIF(設定!$W$6:$W$40,DATE(設定!$C$2,設定!$D$2,31))&gt;0,"國",IF(SUMPRODUCT(INDEX(設定!$U$47:$AO$51,0,CS$57))=0,"休","")))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2026-09-11T06:45:35Z</dcterms:created>
  <dcterms:modified xsi:type="dcterms:W3CDTF">2026-09-11T06:45:40Z</dcterms:modified>
</cp:coreProperties>
</file>