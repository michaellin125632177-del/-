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這是醫師版,助理與醫護長的四個分頁(助理班表、打卡匯入、出勤紀錄、月結統計)
已經拿掉,等名單到位後用完整版。那四頁彼此相依——出勤紀錄要讀助理班表與
打卡匯入、月結統計要讀出勤紀錄——所以是整組拿掉,不是只拔一頁。
「設定」分頁裡的助理班別代碼保留不動,完整版會用到。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涵蓋助理與醫護長。這一版不能單獨拿來因應勞檢。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一、助理與醫護長名單尚未提供。名單到位後改用完整版,那邊有助理班表、
   打卡匯入、出勤紀錄、月結統計四個分頁。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曜(隔)</t>
        </is>
      </c>
    </row>
    <row r="15">
      <c r="B15" s="12" t="inlineStr">
        <is>
          <t>OFF</t>
        </is>
      </c>
      <c r="C15" s="13" t="inlineStr">
        <is>
          <t>排休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寶(隔)</t>
        </is>
      </c>
    </row>
    <row r="16">
      <c r="B16" s="12" t="inlineStr">
        <is>
          <t>特</t>
        </is>
      </c>
      <c r="C16" s="13" t="inlineStr">
        <is>
          <t>特休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寶(不定)</t>
        </is>
      </c>
    </row>
    <row r="17">
      <c r="B17" s="12" t="inlineStr">
        <is>
          <t>病</t>
        </is>
      </c>
      <c r="C17" s="13" t="inlineStr">
        <is>
          <t>病假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悅(不定)</t>
        </is>
      </c>
    </row>
    <row r="18">
      <c r="B18" s="12" t="inlineStr">
        <is>
          <t>事</t>
        </is>
      </c>
      <c r="C18" s="13" t="inlineStr">
        <is>
          <t>事假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悅(註)</t>
        </is>
      </c>
    </row>
    <row r="19">
      <c r="B19" s="12" t="inlineStr">
        <is>
          <t>公</t>
        </is>
      </c>
      <c r="C19" s="13" t="inlineStr">
        <is>
          <t>公假</t>
        </is>
      </c>
      <c r="D19" s="14" t="n"/>
      <c r="E19" s="14" t="n"/>
      <c r="F19" s="12" t="n">
        <v>0</v>
      </c>
      <c r="G19" s="15" t="n">
        <v>0</v>
      </c>
      <c r="H19" s="12" t="n">
        <v>0</v>
      </c>
      <c r="I19" s="12" t="inlineStr">
        <is>
          <t>休假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悅/匯</t>
        </is>
      </c>
    </row>
    <row r="20">
      <c r="B20" s="12" t="inlineStr">
        <is>
          <t>國</t>
        </is>
      </c>
      <c r="C20" s="13" t="inlineStr">
        <is>
          <t>國定假日</t>
        </is>
      </c>
      <c r="D20" s="14" t="n"/>
      <c r="E20" s="14" t="n"/>
      <c r="F20" s="12" t="n">
        <v>0</v>
      </c>
      <c r="G20" s="15" t="n">
        <v>0</v>
      </c>
      <c r="H20" s="12" t="n">
        <v>0</v>
      </c>
      <c r="I20" s="12" t="inlineStr">
        <is>
          <t>休假</t>
        </is>
      </c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悅/睿</t>
        </is>
      </c>
    </row>
    <row r="21">
      <c r="B21" s="12" t="inlineStr">
        <is>
          <t>休</t>
        </is>
      </c>
      <c r="C21" s="13" t="inlineStr">
        <is>
          <t>休診</t>
        </is>
      </c>
      <c r="D21" s="14" t="n"/>
      <c r="E21" s="14" t="n"/>
      <c r="F21" s="12" t="n">
        <v>0</v>
      </c>
      <c r="G21" s="15" t="n">
        <v>0</v>
      </c>
      <c r="H21" s="12" t="n">
        <v>0</v>
      </c>
      <c r="I21" s="12" t="inlineStr">
        <is>
          <t>休假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睿/曜</t>
        </is>
      </c>
    </row>
    <row r="22">
      <c r="B22" s="6" t="inlineStr">
        <is>
          <t>※ 有固定時段的代碼必須滿足「應退 − 應到 − 休息 = 排班工時」,否則出勤紀錄會算出不存在的加班。建置腳本會自動檢查。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7" t="inlineStr">
        <is>
          <t>二、醫師診次代碼(醫師班表用:一格填一個代碼)</t>
        </is>
      </c>
      <c r="E24" s="7" t="inlineStr">
        <is>
          <t>二之二、醫師週班表的標記(母表專用)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10" t="inlineStr">
        <is>
          <t>代碼</t>
        </is>
      </c>
      <c r="C25" s="10" t="inlineStr">
        <is>
          <t>意義</t>
        </is>
      </c>
      <c r="E25" s="10" t="inlineStr">
        <is>
          <t>寫法</t>
        </is>
      </c>
      <c r="F25" s="10" t="inlineStr">
        <is>
          <t>意思</t>
        </is>
      </c>
      <c r="G25" s="10" t="inlineStr">
        <is>
          <t>舉例說明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1" t="inlineStr">
        <is>
          <t>悅</t>
        </is>
      </c>
      <c r="C26" s="13" t="inlineStr">
        <is>
          <t>晶悅牙醫</t>
        </is>
      </c>
      <c r="E26" s="22" t="inlineStr">
        <is>
          <t>悅</t>
        </is>
      </c>
      <c r="F26" s="17" t="inlineStr">
        <is>
          <t>每週固定</t>
        </is>
      </c>
      <c r="G26" s="23" t="inlineStr">
        <is>
          <t>每一週的這個診次都在晶悅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4" t="inlineStr">
        <is>
          <t>睿</t>
        </is>
      </c>
      <c r="C27" s="13" t="inlineStr">
        <is>
          <t>晶睿牙醫</t>
        </is>
      </c>
      <c r="E27" s="22" t="inlineStr">
        <is>
          <t>悅(隔)</t>
        </is>
      </c>
      <c r="F27" s="17" t="inlineStr">
        <is>
          <t>隔週看診</t>
        </is>
      </c>
      <c r="G27" s="23" t="inlineStr">
        <is>
          <t>單數週在晶悅,雙數週這個診次不排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5" t="inlineStr">
        <is>
          <t>匯</t>
        </is>
      </c>
      <c r="C28" s="13" t="inlineStr">
        <is>
          <t>晶匯牙醫</t>
        </is>
      </c>
      <c r="E28" s="22" t="inlineStr">
        <is>
          <t>悅/睿</t>
        </is>
      </c>
      <c r="F28" s="17" t="inlineStr">
        <is>
          <t>兩間院所輪替</t>
        </is>
      </c>
      <c r="G28" s="23" t="inlineStr">
        <is>
          <t>斜線前 = 單數週、斜線後 = 雙數週(全表共四組)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6" t="inlineStr">
        <is>
          <t>曜</t>
        </is>
      </c>
      <c r="C29" s="13" t="inlineStr">
        <is>
          <t>晶曜牙醫</t>
        </is>
      </c>
      <c r="E29" s="22" t="inlineStr">
        <is>
          <t>寶(不定)</t>
        </is>
      </c>
      <c r="F29" s="17" t="inlineStr">
        <is>
          <t>非每週固定</t>
        </is>
      </c>
      <c r="G29" s="23" t="inlineStr">
        <is>
          <t>官網註明「詳情請聯繫院所」,需逐一向院所確認</t>
        </is>
      </c>
      <c r="H29" s="8" t="n"/>
      <c r="I29" s="8" t="n"/>
      <c r="J29" s="9" t="n"/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7" t="inlineStr">
        <is>
          <t>寶</t>
        </is>
      </c>
      <c r="C30" s="13" t="inlineStr">
        <is>
          <t>寶貝牙牙醫</t>
        </is>
      </c>
      <c r="E30" s="22" t="inlineStr">
        <is>
          <t>悅(註)</t>
        </is>
      </c>
      <c r="F30" s="17" t="inlineStr">
        <is>
          <t>有附加條件</t>
        </is>
      </c>
      <c r="G30" s="23" t="inlineStr">
        <is>
          <t>條件寫在該列最右邊的附註欄</t>
        </is>
      </c>
      <c r="H30" s="8" t="n"/>
      <c r="I30" s="8" t="n"/>
      <c r="J30" s="9" t="n"/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訓</t>
        </is>
      </c>
      <c r="C31" s="13" t="inlineStr">
        <is>
          <t>教育訓練 / 學會</t>
        </is>
      </c>
      <c r="E31" s="22" t="inlineStr">
        <is>
          <t>OFF 特 病</t>
        </is>
      </c>
      <c r="F31" s="17" t="inlineStr">
        <is>
          <t>休假類</t>
        </is>
      </c>
      <c r="G31" s="23" t="inlineStr">
        <is>
          <t>整個診次請假,寫法與醫師班表相同</t>
        </is>
      </c>
      <c r="H31" s="8" t="n"/>
      <c r="I31" s="8" t="n"/>
      <c r="J31" s="9" t="n"/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OFF</t>
        </is>
      </c>
      <c r="C32" s="13" t="inlineStr">
        <is>
          <t>排休</t>
        </is>
      </c>
      <c r="E32" s="6" t="inlineStr">
        <is>
          <t>※ 單數/雙數週以計算參數區的「隔週基準日」起算,跨月跨年連續不會斷。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特</t>
        </is>
      </c>
      <c r="C33" s="13" t="inlineStr">
        <is>
          <t>特休</t>
        </is>
      </c>
      <c r="E33" s="6" t="inlineStr">
        <is>
          <t>※ 週班表的資料格有下拉選單,但不強制——輸入清單外的寫法只會跳提醒,按「是」照樣存入。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病</t>
        </is>
      </c>
      <c r="C34" s="13" t="inlineStr">
        <is>
          <t>病假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事</t>
        </is>
      </c>
      <c r="C35" s="13" t="inlineStr">
        <is>
          <t>事假</t>
        </is>
      </c>
      <c r="Q35" s="17" t="inlineStr"/>
      <c r="S35" s="17" t="inlineStr"/>
      <c r="W35" s="17" t="n"/>
      <c r="X35" s="17" t="n"/>
      <c r="Y35" s="17" t="n"/>
    </row>
    <row r="36">
      <c r="B36" s="22" t="inlineStr">
        <is>
          <t>公</t>
        </is>
      </c>
      <c r="C36" s="13" t="inlineStr">
        <is>
          <t>公假</t>
        </is>
      </c>
      <c r="Q36" s="17" t="inlineStr"/>
      <c r="S36" s="17" t="inlineStr"/>
      <c r="W36" s="17" t="n"/>
      <c r="X36" s="17" t="n"/>
      <c r="Y36" s="17" t="n"/>
    </row>
    <row r="37">
      <c r="B37" s="22" t="inlineStr">
        <is>
          <t>國</t>
        </is>
      </c>
      <c r="C37" s="13" t="inlineStr">
        <is>
          <t>國定假日</t>
        </is>
      </c>
      <c r="Q37" s="17" t="inlineStr"/>
      <c r="S37" s="17" t="inlineStr"/>
      <c r="W37" s="17" t="n"/>
      <c r="X37" s="17" t="n"/>
      <c r="Y37" s="17" t="n"/>
    </row>
    <row r="38">
      <c r="B38" s="22" t="inlineStr">
        <is>
          <t>休</t>
        </is>
      </c>
      <c r="C38" s="13" t="inlineStr">
        <is>
          <t>休診</t>
        </is>
      </c>
      <c r="Q38" s="17" t="inlineStr"/>
      <c r="S38" s="17" t="inlineStr"/>
      <c r="W38" s="17" t="n"/>
      <c r="X38" s="17" t="n"/>
      <c r="Y38" s="17" t="n"/>
    </row>
    <row r="39">
      <c r="B39" s="6" t="inlineStr">
        <is>
          <t>※ 醫師班表一格 = 一個診次。填院所代碼表示該診次在哪間看診,填休假代碼表示該診次請假。</t>
        </is>
      </c>
      <c r="Q39" s="17" t="inlineStr"/>
      <c r="S39" s="17" t="inlineStr"/>
      <c r="W39" s="17" t="n"/>
      <c r="X39" s="17" t="n"/>
      <c r="Y39" s="17" t="n"/>
    </row>
    <row r="40">
      <c r="B40" s="6" t="inlineStr">
        <is>
          <t>※ 「醫師週班表」除了上面這些代碼,還會用到右邊那幾種標記——那是母表,要表示隔週與輪替,所以下拉選項比較多。</t>
        </is>
      </c>
      <c r="Q40" s="17" t="inlineStr"/>
      <c r="S40" s="17" t="inlineStr"/>
      <c r="W40" s="17" t="n"/>
      <c r="X40" s="17" t="n"/>
      <c r="Y40" s="17" t="n"/>
    </row>
    <row r="41">
      <c r="Q41" s="17" t="inlineStr"/>
      <c r="S41" s="17" t="inlineStr"/>
    </row>
    <row r="42">
      <c r="B42" s="7" t="inlineStr">
        <is>
          <t>三、計算參數(全體系一致)</t>
        </is>
      </c>
      <c r="Q42" s="17" t="inlineStr"/>
      <c r="S42" s="17" t="inlineStr"/>
      <c r="W42" s="28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參數</t>
        </is>
      </c>
      <c r="C43" s="10" t="inlineStr">
        <is>
          <t>值</t>
        </is>
      </c>
      <c r="D43" s="10" t="inlineStr">
        <is>
          <t>說明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B44" s="29" t="inlineStr">
        <is>
          <t>加班認定門檻(分)</t>
        </is>
      </c>
      <c r="C44" s="5" t="n">
        <v>30</v>
      </c>
      <c r="D44" s="23" t="inlineStr">
        <is>
          <t>超過排班工時多少分鐘才認定為加班。低於門檻視為正常收尾。</t>
        </is>
      </c>
      <c r="E44" s="8" t="n"/>
      <c r="F44" s="8" t="n"/>
      <c r="G44" s="8" t="n"/>
      <c r="H44" s="8" t="n"/>
      <c r="I44" s="8" t="n"/>
      <c r="J44" s="9" t="n"/>
      <c r="Q44" s="17" t="inlineStr"/>
      <c r="S44" s="17" t="inlineStr"/>
    </row>
    <row r="45">
      <c r="B45" s="29" t="inlineStr">
        <is>
          <t>加班計算單位(分)</t>
        </is>
      </c>
      <c r="C45" s="5" t="n">
        <v>30</v>
      </c>
      <c r="D45" s="23" t="inlineStr">
        <is>
          <t>認定為加班後,無條件捨去到此單位。填 1 表示逐分鐘計。</t>
        </is>
      </c>
      <c r="E45" s="8" t="n"/>
      <c r="F45" s="8" t="n"/>
      <c r="G45" s="8" t="n"/>
      <c r="H45" s="8" t="n"/>
      <c r="I45" s="8" t="n"/>
      <c r="J45" s="9" t="n"/>
      <c r="Q45" s="17" t="inlineStr"/>
      <c r="S45" s="17" t="inlineStr"/>
    </row>
    <row r="46">
      <c r="B46" s="29" t="inlineStr">
        <is>
          <t>遲到早退寬限(分)</t>
        </is>
      </c>
      <c r="C46" s="5" t="n">
        <v>5</v>
      </c>
      <c r="D46" s="23" t="inlineStr">
        <is>
          <t>打卡與應到/應退時間差在此範圍內不判定為遲到或早退。</t>
        </is>
      </c>
      <c r="E46" s="8" t="n"/>
      <c r="F46" s="8" t="n"/>
      <c r="G46" s="8" t="n"/>
      <c r="H46" s="8" t="n"/>
      <c r="I46" s="8" t="n"/>
      <c r="J46" s="9" t="n"/>
      <c r="S46" s="17" t="inlineStr"/>
    </row>
    <row r="47">
      <c r="B47" s="29" t="inlineStr">
        <is>
          <t>隔週基準日</t>
        </is>
      </c>
      <c r="C47" s="30" t="n">
        <v>46293</v>
      </c>
      <c r="D47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7" s="8" t="n"/>
      <c r="F47" s="8" t="n"/>
      <c r="G47" s="8" t="n"/>
      <c r="H47" s="8" t="n"/>
      <c r="I47" s="8" t="n"/>
      <c r="J47" s="9" t="n"/>
      <c r="S47" s="17" t="inlineStr"/>
    </row>
    <row r="48">
      <c r="B48" s="6" t="inlineStr">
        <is>
          <t>※ 前三個是勞資雙方的認定慣例,不是法律規定的數字。上線前請與人資或勞務顧問確認,並讓同仁事先知道規則。</t>
        </is>
      </c>
      <c r="S48" s="17" t="inlineStr"/>
    </row>
    <row r="49">
      <c r="S49" s="17" t="inlineStr"/>
    </row>
    <row r="50">
      <c r="B50" s="7" t="inlineStr">
        <is>
          <t>四、院所清單</t>
        </is>
      </c>
      <c r="S50" s="17" t="inlineStr"/>
      <c r="U50" s="31" t="inlineStr">
        <is>
          <t>一早</t>
        </is>
      </c>
      <c r="V50" s="31" t="inlineStr">
        <is>
          <t>一午</t>
        </is>
      </c>
      <c r="W50" s="31" t="inlineStr">
        <is>
          <t>一晚</t>
        </is>
      </c>
      <c r="X50" s="31" t="inlineStr">
        <is>
          <t>二早</t>
        </is>
      </c>
      <c r="Y50" s="31" t="inlineStr">
        <is>
          <t>二午</t>
        </is>
      </c>
      <c r="Z50" s="31" t="inlineStr">
        <is>
          <t>二晚</t>
        </is>
      </c>
      <c r="AA50" s="31" t="inlineStr">
        <is>
          <t>三早</t>
        </is>
      </c>
      <c r="AB50" s="31" t="inlineStr">
        <is>
          <t>三午</t>
        </is>
      </c>
      <c r="AC50" s="31" t="inlineStr">
        <is>
          <t>三晚</t>
        </is>
      </c>
      <c r="AD50" s="31" t="inlineStr">
        <is>
          <t>四早</t>
        </is>
      </c>
      <c r="AE50" s="31" t="inlineStr">
        <is>
          <t>四午</t>
        </is>
      </c>
      <c r="AF50" s="31" t="inlineStr">
        <is>
          <t>四晚</t>
        </is>
      </c>
      <c r="AG50" s="31" t="inlineStr">
        <is>
          <t>五早</t>
        </is>
      </c>
      <c r="AH50" s="31" t="inlineStr">
        <is>
          <t>五午</t>
        </is>
      </c>
      <c r="AI50" s="31" t="inlineStr">
        <is>
          <t>五晚</t>
        </is>
      </c>
      <c r="AJ50" s="31" t="inlineStr">
        <is>
          <t>六早</t>
        </is>
      </c>
      <c r="AK50" s="31" t="inlineStr">
        <is>
          <t>六午</t>
        </is>
      </c>
      <c r="AL50" s="31" t="inlineStr">
        <is>
          <t>六晚</t>
        </is>
      </c>
      <c r="AM50" s="31" t="inlineStr">
        <is>
          <t>日早</t>
        </is>
      </c>
      <c r="AN50" s="31" t="inlineStr">
        <is>
          <t>日午</t>
        </is>
      </c>
      <c r="AO50" s="31" t="inlineStr">
        <is>
          <t>日晚</t>
        </is>
      </c>
    </row>
    <row r="51">
      <c r="B51" s="10" t="inlineStr">
        <is>
          <t>代碼</t>
        </is>
      </c>
      <c r="C51" s="10" t="inlineStr">
        <is>
          <t>簡稱</t>
        </is>
      </c>
      <c r="D51" s="10" t="inlineStr">
        <is>
          <t>全名</t>
        </is>
      </c>
      <c r="E51" s="10" t="inlineStr">
        <is>
          <t>院長</t>
        </is>
      </c>
      <c r="F51" s="10" t="inlineStr">
        <is>
          <t>電話</t>
        </is>
      </c>
      <c r="G51" s="10" t="inlineStr">
        <is>
          <t>地址</t>
        </is>
      </c>
      <c r="H51" s="10" t="inlineStr">
        <is>
          <t>早診起</t>
        </is>
      </c>
      <c r="I51" s="10" t="inlineStr">
        <is>
          <t>早診訖</t>
        </is>
      </c>
      <c r="J51" s="10" t="inlineStr">
        <is>
          <t>午診起</t>
        </is>
      </c>
      <c r="K51" s="10" t="inlineStr">
        <is>
          <t>午診訖</t>
        </is>
      </c>
      <c r="L51" s="10" t="inlineStr">
        <is>
          <t>晚診起</t>
        </is>
      </c>
      <c r="M51" s="10" t="inlineStr">
        <is>
          <t>晚診訖</t>
        </is>
      </c>
      <c r="S51" s="17" t="inlineStr"/>
      <c r="U51" s="32" t="inlineStr">
        <is>
          <t>開診時段(1 = 有開診,0 = 休診;順序為週一早…週日晚)</t>
        </is>
      </c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9" t="n"/>
    </row>
    <row r="52">
      <c r="B52" s="33" t="inlineStr">
        <is>
          <t>悅</t>
        </is>
      </c>
      <c r="C52" s="12" t="inlineStr">
        <is>
          <t>晶悅</t>
        </is>
      </c>
      <c r="D52" s="13" t="inlineStr">
        <is>
          <t>晶悅牙醫診所</t>
        </is>
      </c>
      <c r="E52" s="12" t="inlineStr">
        <is>
          <t>林智俊</t>
        </is>
      </c>
      <c r="F52" s="12" t="inlineStr">
        <is>
          <t>03-4257710</t>
        </is>
      </c>
      <c r="G52" s="13" t="inlineStr">
        <is>
          <t>320桃園市中壢區新生路251號</t>
        </is>
      </c>
      <c r="H52" s="17" t="inlineStr">
        <is>
          <t>09:00</t>
        </is>
      </c>
      <c r="I52" s="17" t="inlineStr">
        <is>
          <t>11:30</t>
        </is>
      </c>
      <c r="J52" s="17" t="inlineStr">
        <is>
          <t>14:00</t>
        </is>
      </c>
      <c r="K52" s="17" t="inlineStr">
        <is>
          <t>16:30</t>
        </is>
      </c>
      <c r="L52" s="17" t="inlineStr">
        <is>
          <t>18:00</t>
        </is>
      </c>
      <c r="M52" s="17" t="inlineStr">
        <is>
          <t>20:30</t>
        </is>
      </c>
      <c r="S52" s="17" t="inlineStr"/>
      <c r="U52" s="34" t="n">
        <v>1</v>
      </c>
      <c r="V52" s="34" t="n">
        <v>1</v>
      </c>
      <c r="W52" s="34" t="n">
        <v>1</v>
      </c>
      <c r="X52" s="34" t="n">
        <v>1</v>
      </c>
      <c r="Y52" s="34" t="n">
        <v>1</v>
      </c>
      <c r="Z52" s="34" t="n">
        <v>1</v>
      </c>
      <c r="AA52" s="34" t="n">
        <v>1</v>
      </c>
      <c r="AB52" s="34" t="n">
        <v>1</v>
      </c>
      <c r="AC52" s="34" t="n">
        <v>1</v>
      </c>
      <c r="AD52" s="34" t="n">
        <v>1</v>
      </c>
      <c r="AE52" s="34" t="n">
        <v>1</v>
      </c>
      <c r="AF52" s="34" t="n">
        <v>1</v>
      </c>
      <c r="AG52" s="34" t="n">
        <v>1</v>
      </c>
      <c r="AH52" s="34" t="n">
        <v>1</v>
      </c>
      <c r="AI52" s="34" t="n">
        <v>1</v>
      </c>
      <c r="AJ52" s="34" t="n">
        <v>1</v>
      </c>
      <c r="AK52" s="34" t="n">
        <v>1</v>
      </c>
      <c r="AL52" s="35" t="n">
        <v>0</v>
      </c>
      <c r="AM52" s="35" t="n">
        <v>0</v>
      </c>
      <c r="AN52" s="35" t="n">
        <v>0</v>
      </c>
      <c r="AO52" s="35" t="n">
        <v>0</v>
      </c>
    </row>
    <row r="53">
      <c r="B53" s="36" t="inlineStr">
        <is>
          <t>睿</t>
        </is>
      </c>
      <c r="C53" s="12" t="inlineStr">
        <is>
          <t>晶睿</t>
        </is>
      </c>
      <c r="D53" s="13" t="inlineStr">
        <is>
          <t>晶睿牙醫診所</t>
        </is>
      </c>
      <c r="E53" s="12" t="inlineStr">
        <is>
          <t>温健成</t>
        </is>
      </c>
      <c r="F53" s="12" t="inlineStr">
        <is>
          <t>03-4522360</t>
        </is>
      </c>
      <c r="G53" s="13" t="inlineStr">
        <is>
          <t>桃園市中壢區福州二街502號</t>
        </is>
      </c>
      <c r="H53" s="17" t="inlineStr">
        <is>
          <t>09:00</t>
        </is>
      </c>
      <c r="I53" s="17" t="inlineStr">
        <is>
          <t>11:30</t>
        </is>
      </c>
      <c r="J53" s="17" t="inlineStr">
        <is>
          <t>14:00</t>
        </is>
      </c>
      <c r="K53" s="17" t="inlineStr">
        <is>
          <t>16:30</t>
        </is>
      </c>
      <c r="L53" s="17" t="inlineStr">
        <is>
          <t>18:00</t>
        </is>
      </c>
      <c r="M53" s="17" t="inlineStr">
        <is>
          <t>20:30</t>
        </is>
      </c>
      <c r="S53" s="17" t="inlineStr"/>
      <c r="U53" s="34" t="n">
        <v>1</v>
      </c>
      <c r="V53" s="34" t="n">
        <v>1</v>
      </c>
      <c r="W53" s="34" t="n">
        <v>1</v>
      </c>
      <c r="X53" s="34" t="n">
        <v>1</v>
      </c>
      <c r="Y53" s="34" t="n">
        <v>1</v>
      </c>
      <c r="Z53" s="34" t="n">
        <v>1</v>
      </c>
      <c r="AA53" s="34" t="n">
        <v>1</v>
      </c>
      <c r="AB53" s="34" t="n">
        <v>1</v>
      </c>
      <c r="AC53" s="34" t="n">
        <v>1</v>
      </c>
      <c r="AD53" s="34" t="n">
        <v>1</v>
      </c>
      <c r="AE53" s="34" t="n">
        <v>1</v>
      </c>
      <c r="AF53" s="34" t="n">
        <v>1</v>
      </c>
      <c r="AG53" s="34" t="n">
        <v>1</v>
      </c>
      <c r="AH53" s="34" t="n">
        <v>1</v>
      </c>
      <c r="AI53" s="34" t="n">
        <v>1</v>
      </c>
      <c r="AJ53" s="34" t="n">
        <v>1</v>
      </c>
      <c r="AK53" s="34" t="n">
        <v>1</v>
      </c>
      <c r="AL53" s="35" t="n">
        <v>0</v>
      </c>
      <c r="AM53" s="35" t="n">
        <v>0</v>
      </c>
      <c r="AN53" s="35" t="n">
        <v>0</v>
      </c>
      <c r="AO53" s="35" t="n">
        <v>0</v>
      </c>
    </row>
    <row r="54">
      <c r="B54" s="37" t="inlineStr">
        <is>
          <t>匯</t>
        </is>
      </c>
      <c r="C54" s="12" t="inlineStr">
        <is>
          <t>晶匯</t>
        </is>
      </c>
      <c r="D54" s="13" t="inlineStr">
        <is>
          <t>晶匯牙醫診所</t>
        </is>
      </c>
      <c r="E54" s="12" t="inlineStr">
        <is>
          <t>陳昺元</t>
        </is>
      </c>
      <c r="F54" s="12" t="inlineStr">
        <is>
          <t>03-4550719</t>
        </is>
      </c>
      <c r="G54" s="13" t="inlineStr">
        <is>
          <t>桃園市中壢區成章一街172號</t>
        </is>
      </c>
      <c r="H54" s="17" t="inlineStr">
        <is>
          <t>09:00</t>
        </is>
      </c>
      <c r="I54" s="17" t="inlineStr">
        <is>
          <t>11:30</t>
        </is>
      </c>
      <c r="J54" s="17" t="inlineStr">
        <is>
          <t>14:00</t>
        </is>
      </c>
      <c r="K54" s="17" t="inlineStr">
        <is>
          <t>16:30</t>
        </is>
      </c>
      <c r="L54" s="17" t="inlineStr">
        <is>
          <t>18:00</t>
        </is>
      </c>
      <c r="M54" s="17" t="inlineStr">
        <is>
          <t>20:30</t>
        </is>
      </c>
      <c r="S54" s="17" t="inlineStr"/>
      <c r="U54" s="34" t="n">
        <v>1</v>
      </c>
      <c r="V54" s="34" t="n">
        <v>1</v>
      </c>
      <c r="W54" s="34" t="n">
        <v>1</v>
      </c>
      <c r="X54" s="34" t="n">
        <v>1</v>
      </c>
      <c r="Y54" s="34" t="n">
        <v>1</v>
      </c>
      <c r="Z54" s="34" t="n">
        <v>1</v>
      </c>
      <c r="AA54" s="34" t="n">
        <v>1</v>
      </c>
      <c r="AB54" s="34" t="n">
        <v>1</v>
      </c>
      <c r="AC54" s="34" t="n">
        <v>1</v>
      </c>
      <c r="AD54" s="34" t="n">
        <v>1</v>
      </c>
      <c r="AE54" s="34" t="n">
        <v>1</v>
      </c>
      <c r="AF54" s="34" t="n">
        <v>1</v>
      </c>
      <c r="AG54" s="34" t="n">
        <v>1</v>
      </c>
      <c r="AH54" s="34" t="n">
        <v>1</v>
      </c>
      <c r="AI54" s="34" t="n">
        <v>1</v>
      </c>
      <c r="AJ54" s="34" t="n">
        <v>1</v>
      </c>
      <c r="AK54" s="34" t="n">
        <v>1</v>
      </c>
      <c r="AL54" s="35" t="n">
        <v>0</v>
      </c>
      <c r="AM54" s="35" t="n">
        <v>0</v>
      </c>
      <c r="AN54" s="35" t="n">
        <v>0</v>
      </c>
      <c r="AO54" s="35" t="n">
        <v>0</v>
      </c>
    </row>
    <row r="55">
      <c r="B55" s="38" t="inlineStr">
        <is>
          <t>曜</t>
        </is>
      </c>
      <c r="C55" s="12" t="inlineStr">
        <is>
          <t>晶曜</t>
        </is>
      </c>
      <c r="D55" s="13" t="inlineStr">
        <is>
          <t>晶曜牙醫診所</t>
        </is>
      </c>
      <c r="E55" s="12" t="inlineStr">
        <is>
          <t>劉立德</t>
        </is>
      </c>
      <c r="F55" s="12" t="inlineStr">
        <is>
          <t>03-3150666</t>
        </is>
      </c>
      <c r="G55" s="13" t="inlineStr">
        <is>
          <t>桃園市桃園區中正路1398-1號</t>
        </is>
      </c>
      <c r="H55" s="17" t="inlineStr">
        <is>
          <t>09:00</t>
        </is>
      </c>
      <c r="I55" s="17" t="inlineStr">
        <is>
          <t>11:30</t>
        </is>
      </c>
      <c r="J55" s="17" t="inlineStr">
        <is>
          <t>14:00</t>
        </is>
      </c>
      <c r="K55" s="17" t="inlineStr">
        <is>
          <t>16:30</t>
        </is>
      </c>
      <c r="L55" s="17" t="inlineStr">
        <is>
          <t>18:00</t>
        </is>
      </c>
      <c r="M55" s="17" t="inlineStr">
        <is>
          <t>20:30</t>
        </is>
      </c>
      <c r="S55" s="17" t="inlineStr"/>
      <c r="U55" s="34" t="n">
        <v>1</v>
      </c>
      <c r="V55" s="34" t="n">
        <v>1</v>
      </c>
      <c r="W55" s="34" t="n">
        <v>1</v>
      </c>
      <c r="X55" s="34" t="n">
        <v>1</v>
      </c>
      <c r="Y55" s="34" t="n">
        <v>1</v>
      </c>
      <c r="Z55" s="34" t="n">
        <v>1</v>
      </c>
      <c r="AA55" s="34" t="n">
        <v>1</v>
      </c>
      <c r="AB55" s="34" t="n">
        <v>1</v>
      </c>
      <c r="AC55" s="34" t="n">
        <v>1</v>
      </c>
      <c r="AD55" s="34" t="n">
        <v>1</v>
      </c>
      <c r="AE55" s="34" t="n">
        <v>1</v>
      </c>
      <c r="AF55" s="34" t="n">
        <v>1</v>
      </c>
      <c r="AG55" s="34" t="n">
        <v>1</v>
      </c>
      <c r="AH55" s="34" t="n">
        <v>1</v>
      </c>
      <c r="AI55" s="34" t="n">
        <v>1</v>
      </c>
      <c r="AJ55" s="34" t="n">
        <v>1</v>
      </c>
      <c r="AK55" s="34" t="n">
        <v>1</v>
      </c>
      <c r="AL55" s="35" t="n">
        <v>0</v>
      </c>
      <c r="AM55" s="35" t="n">
        <v>0</v>
      </c>
      <c r="AN55" s="35" t="n">
        <v>0</v>
      </c>
      <c r="AO55" s="35" t="n">
        <v>0</v>
      </c>
    </row>
    <row r="56">
      <c r="B56" s="39" t="inlineStr">
        <is>
          <t>寶</t>
        </is>
      </c>
      <c r="C56" s="12" t="inlineStr">
        <is>
          <t>寶貝牙</t>
        </is>
      </c>
      <c r="D56" s="13" t="inlineStr">
        <is>
          <t>寶貝牙牙醫診所</t>
        </is>
      </c>
      <c r="E56" s="12" t="inlineStr">
        <is>
          <t>黃育亭</t>
        </is>
      </c>
      <c r="F56" s="12" t="inlineStr">
        <is>
          <t>03-2871688</t>
        </is>
      </c>
      <c r="G56" s="13" t="inlineStr">
        <is>
          <t>桃園市大園區新生路四段273號2樓</t>
        </is>
      </c>
      <c r="H56" s="17" t="inlineStr">
        <is>
          <t>09:00</t>
        </is>
      </c>
      <c r="I56" s="17" t="inlineStr">
        <is>
          <t>14:00</t>
        </is>
      </c>
      <c r="J56" s="17" t="inlineStr">
        <is>
          <t>14:00</t>
        </is>
      </c>
      <c r="K56" s="17" t="inlineStr">
        <is>
          <t>17:00</t>
        </is>
      </c>
      <c r="L56" s="17" t="inlineStr">
        <is>
          <t>17:30</t>
        </is>
      </c>
      <c r="M56" s="17" t="inlineStr">
        <is>
          <t>21:00</t>
        </is>
      </c>
      <c r="S56" s="17" t="inlineStr"/>
      <c r="U56" s="35" t="n">
        <v>0</v>
      </c>
      <c r="V56" s="34" t="n">
        <v>1</v>
      </c>
      <c r="W56" s="34" t="n">
        <v>1</v>
      </c>
      <c r="X56" s="35" t="n">
        <v>0</v>
      </c>
      <c r="Y56" s="34" t="n">
        <v>1</v>
      </c>
      <c r="Z56" s="34" t="n">
        <v>1</v>
      </c>
      <c r="AA56" s="35" t="n">
        <v>0</v>
      </c>
      <c r="AB56" s="34" t="n">
        <v>1</v>
      </c>
      <c r="AC56" s="34" t="n">
        <v>1</v>
      </c>
      <c r="AD56" s="35" t="n">
        <v>0</v>
      </c>
      <c r="AE56" s="34" t="n">
        <v>1</v>
      </c>
      <c r="AF56" s="34" t="n">
        <v>1</v>
      </c>
      <c r="AG56" s="35" t="n">
        <v>0</v>
      </c>
      <c r="AH56" s="34" t="n">
        <v>1</v>
      </c>
      <c r="AI56" s="34" t="n">
        <v>1</v>
      </c>
      <c r="AJ56" s="34" t="n">
        <v>1</v>
      </c>
      <c r="AK56" s="34" t="n">
        <v>1</v>
      </c>
      <c r="AL56" s="35" t="n">
        <v>0</v>
      </c>
      <c r="AM56" s="35" t="n">
        <v>0</v>
      </c>
      <c r="AN56" s="35" t="n">
        <v>0</v>
      </c>
      <c r="AO56" s="35" t="n">
        <v>0</v>
      </c>
    </row>
    <row r="57">
      <c r="B57" s="12" t="inlineStr"/>
      <c r="C57" s="12" t="inlineStr"/>
      <c r="D57" s="13" t="inlineStr"/>
      <c r="E57" s="12" t="inlineStr"/>
      <c r="F57" s="12" t="inlineStr"/>
      <c r="G57" s="13" t="inlineStr"/>
      <c r="H57" s="17" t="inlineStr"/>
      <c r="I57" s="17" t="inlineStr"/>
      <c r="J57" s="17" t="inlineStr"/>
      <c r="K57" s="17" t="inlineStr"/>
      <c r="L57" s="17" t="inlineStr"/>
      <c r="M57" s="17" t="inlineStr"/>
      <c r="S57" s="17" t="inlineStr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</row>
    <row r="58">
      <c r="B58" s="12" t="inlineStr"/>
      <c r="C58" s="12" t="inlineStr"/>
      <c r="D58" s="13" t="inlineStr"/>
      <c r="E58" s="12" t="inlineStr"/>
      <c r="F58" s="12" t="inlineStr"/>
      <c r="G58" s="13" t="inlineStr"/>
      <c r="H58" s="17" t="inlineStr"/>
      <c r="I58" s="17" t="inlineStr"/>
      <c r="J58" s="17" t="inlineStr"/>
      <c r="K58" s="17" t="inlineStr"/>
      <c r="L58" s="17" t="inlineStr"/>
      <c r="M58" s="17" t="inlineStr"/>
      <c r="S58" s="17" t="inlineStr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</row>
    <row r="59">
      <c r="S59" s="17" t="inlineStr"/>
    </row>
    <row r="60">
      <c r="B60" s="40" t="inlineStr">
        <is>
          <t>五、人員名冊</t>
        </is>
      </c>
      <c r="S60" s="17" t="inlineStr"/>
    </row>
    <row r="61">
      <c r="B61" s="10" t="inlineStr">
        <is>
          <t>員工編號</t>
        </is>
      </c>
      <c r="C61" s="10" t="inlineStr">
        <is>
          <t>姓名</t>
        </is>
      </c>
      <c r="D61" s="10" t="inlineStr">
        <is>
          <t>職類</t>
        </is>
      </c>
      <c r="E61" s="10" t="inlineStr">
        <is>
          <t>專科</t>
        </is>
      </c>
      <c r="F61" s="10" t="inlineStr">
        <is>
          <t>職務</t>
        </is>
      </c>
      <c r="G61" s="10" t="inlineStr">
        <is>
          <t>主要院所</t>
        </is>
      </c>
      <c r="H61" s="10" t="inlineStr">
        <is>
          <t>服務院所(醫師)</t>
        </is>
      </c>
      <c r="I61" s="10" t="inlineStr">
        <is>
          <t>英文名</t>
        </is>
      </c>
      <c r="J61" s="10" t="inlineStr">
        <is>
          <t>到職日</t>
        </is>
      </c>
      <c r="K61" s="10" t="inlineStr">
        <is>
          <t>備註</t>
        </is>
      </c>
      <c r="S61" s="17" t="inlineStr"/>
    </row>
    <row r="62">
      <c r="B62" s="20" t="inlineStr">
        <is>
          <t>D001</t>
        </is>
      </c>
      <c r="C62" s="20" t="inlineStr">
        <is>
          <t>林智俊</t>
        </is>
      </c>
      <c r="D62" s="20" t="inlineStr">
        <is>
          <t>醫師</t>
        </is>
      </c>
      <c r="E62" s="19" t="inlineStr">
        <is>
          <t>牙周植牙專科</t>
        </is>
      </c>
      <c r="F62" s="20" t="inlineStr">
        <is>
          <t>晶悅院長</t>
        </is>
      </c>
      <c r="G62" s="20" t="inlineStr">
        <is>
          <t>晶悅</t>
        </is>
      </c>
      <c r="H62" s="19" t="inlineStr">
        <is>
          <t>晶悅 · 晶睿 · 晶匯 · 晶曜</t>
        </is>
      </c>
      <c r="I62" s="20" t="inlineStr">
        <is>
          <t>JASON LIN</t>
        </is>
      </c>
      <c r="J62" s="20" t="inlineStr"/>
      <c r="K62" s="19" t="inlineStr"/>
      <c r="S62" s="17" t="inlineStr"/>
    </row>
    <row r="63">
      <c r="B63" s="20" t="inlineStr">
        <is>
          <t>D002</t>
        </is>
      </c>
      <c r="C63" s="20" t="inlineStr">
        <is>
          <t>劉立德</t>
        </is>
      </c>
      <c r="D63" s="20" t="inlineStr">
        <is>
          <t>醫師</t>
        </is>
      </c>
      <c r="E63" s="19" t="inlineStr">
        <is>
          <t>植牙專科 家庭牙醫專科</t>
        </is>
      </c>
      <c r="F63" s="20" t="inlineStr">
        <is>
          <t>晶曜院長</t>
        </is>
      </c>
      <c r="G63" s="20" t="inlineStr">
        <is>
          <t>晶曜</t>
        </is>
      </c>
      <c r="H63" s="19" t="inlineStr">
        <is>
          <t>晶睿 · 晶曜</t>
        </is>
      </c>
      <c r="I63" s="20" t="inlineStr">
        <is>
          <t>LEADER LIU</t>
        </is>
      </c>
      <c r="J63" s="20" t="inlineStr"/>
      <c r="K63" s="19" t="inlineStr"/>
      <c r="S63" s="17" t="inlineStr"/>
    </row>
    <row r="64">
      <c r="B64" s="20" t="inlineStr">
        <is>
          <t>D003</t>
        </is>
      </c>
      <c r="C64" s="20" t="inlineStr">
        <is>
          <t>王泳泉</t>
        </is>
      </c>
      <c r="D64" s="20" t="inlineStr">
        <is>
          <t>醫師</t>
        </is>
      </c>
      <c r="E64" s="19" t="inlineStr">
        <is>
          <t>矯正專科</t>
        </is>
      </c>
      <c r="F64" s="20" t="inlineStr"/>
      <c r="G64" s="20" t="inlineStr">
        <is>
          <t>晶悅</t>
        </is>
      </c>
      <c r="H64" s="19" t="inlineStr">
        <is>
          <t>晶悅 · 晶睿</t>
        </is>
      </c>
      <c r="I64" s="20" t="inlineStr">
        <is>
          <t>RYAN WANG</t>
        </is>
      </c>
      <c r="J64" s="20" t="inlineStr"/>
      <c r="K64" s="19" t="inlineStr"/>
      <c r="S64" s="17" t="inlineStr"/>
    </row>
    <row r="65">
      <c r="B65" s="20" t="inlineStr">
        <is>
          <t>D004</t>
        </is>
      </c>
      <c r="C65" s="20" t="inlineStr">
        <is>
          <t>劉玠旻</t>
        </is>
      </c>
      <c r="D65" s="20" t="inlineStr">
        <is>
          <t>醫師</t>
        </is>
      </c>
      <c r="E65" s="19" t="inlineStr">
        <is>
          <t>兒童專科</t>
        </is>
      </c>
      <c r="F65" s="20" t="inlineStr"/>
      <c r="G65" s="20" t="inlineStr">
        <is>
          <t>晶悅</t>
        </is>
      </c>
      <c r="H65" s="19" t="inlineStr">
        <is>
          <t>晶悅 · 晶睿 · 晶曜</t>
        </is>
      </c>
      <c r="I65" s="20" t="inlineStr">
        <is>
          <t>CHIEH-MIN LIU</t>
        </is>
      </c>
      <c r="J65" s="20" t="inlineStr"/>
      <c r="K65" s="19" t="inlineStr"/>
      <c r="S65" s="17" t="inlineStr"/>
    </row>
    <row r="66">
      <c r="B66" s="20" t="inlineStr">
        <is>
          <t>D005</t>
        </is>
      </c>
      <c r="C66" s="20" t="inlineStr">
        <is>
          <t>陳志僑</t>
        </is>
      </c>
      <c r="D66" s="20" t="inlineStr">
        <is>
          <t>醫師</t>
        </is>
      </c>
      <c r="E66" s="19" t="inlineStr">
        <is>
          <t>口外專科</t>
        </is>
      </c>
      <c r="F66" s="20" t="inlineStr"/>
      <c r="G66" s="20" t="inlineStr">
        <is>
          <t>晶悅</t>
        </is>
      </c>
      <c r="H66" s="19" t="inlineStr">
        <is>
          <t>晶悅 · 晶睿</t>
        </is>
      </c>
      <c r="I66" s="20" t="inlineStr">
        <is>
          <t>CHIH-CHIAO CHEN</t>
        </is>
      </c>
      <c r="J66" s="20" t="inlineStr"/>
      <c r="K66" s="19" t="inlineStr"/>
    </row>
    <row r="67">
      <c r="B67" s="20" t="inlineStr">
        <is>
          <t>D006</t>
        </is>
      </c>
      <c r="C67" s="20" t="inlineStr">
        <is>
          <t>黃榆鈞</t>
        </is>
      </c>
      <c r="D67" s="20" t="inlineStr">
        <is>
          <t>醫師</t>
        </is>
      </c>
      <c r="E67" s="19" t="inlineStr">
        <is>
          <t>矯正專科</t>
        </is>
      </c>
      <c r="F67" s="20" t="inlineStr"/>
      <c r="G67" s="20" t="inlineStr">
        <is>
          <t>晶悅</t>
        </is>
      </c>
      <c r="H67" s="19" t="inlineStr">
        <is>
          <t>晶悅 · 寶貝牙</t>
        </is>
      </c>
      <c r="I67" s="20" t="inlineStr">
        <is>
          <t>YU-CHUN HUANG</t>
        </is>
      </c>
      <c r="J67" s="20" t="inlineStr"/>
      <c r="K67" s="19" t="inlineStr"/>
    </row>
    <row r="68">
      <c r="B68" s="20" t="inlineStr">
        <is>
          <t>D007</t>
        </is>
      </c>
      <c r="C68" s="20" t="inlineStr">
        <is>
          <t>温翊君</t>
        </is>
      </c>
      <c r="D68" s="20" t="inlineStr">
        <is>
          <t>醫師</t>
        </is>
      </c>
      <c r="E68" s="19" t="inlineStr">
        <is>
          <t>根管治療專科</t>
        </is>
      </c>
      <c r="F68" s="20" t="inlineStr"/>
      <c r="G68" s="20" t="inlineStr">
        <is>
          <t>晶悅</t>
        </is>
      </c>
      <c r="H68" s="19" t="inlineStr">
        <is>
          <t>晶悅</t>
        </is>
      </c>
      <c r="I68" s="20" t="inlineStr">
        <is>
          <t>YI-CHUN WEN</t>
        </is>
      </c>
      <c r="J68" s="20" t="inlineStr"/>
      <c r="K68" s="19" t="inlineStr"/>
    </row>
    <row r="69">
      <c r="B69" s="20" t="inlineStr">
        <is>
          <t>D008</t>
        </is>
      </c>
      <c r="C69" s="20" t="inlineStr">
        <is>
          <t>林紫亭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</t>
        </is>
      </c>
      <c r="I69" s="20" t="inlineStr">
        <is>
          <t>TZU-TING LIN</t>
        </is>
      </c>
      <c r="J69" s="20" t="inlineStr"/>
      <c r="K69" s="19" t="inlineStr"/>
    </row>
    <row r="70">
      <c r="B70" s="20" t="inlineStr">
        <is>
          <t>D009</t>
        </is>
      </c>
      <c r="C70" s="20" t="inlineStr">
        <is>
          <t>陳昺元</t>
        </is>
      </c>
      <c r="D70" s="20" t="inlineStr">
        <is>
          <t>醫師</t>
        </is>
      </c>
      <c r="E70" s="19" t="inlineStr">
        <is>
          <t>美學植牙專科</t>
        </is>
      </c>
      <c r="F70" s="20" t="inlineStr">
        <is>
          <t>晶匯院長</t>
        </is>
      </c>
      <c r="G70" s="20" t="inlineStr">
        <is>
          <t>晶匯</t>
        </is>
      </c>
      <c r="H70" s="19" t="inlineStr">
        <is>
          <t>晶悅 · 晶匯 · 寶貝牙</t>
        </is>
      </c>
      <c r="I70" s="20" t="inlineStr">
        <is>
          <t>PING-YUAN CHEN</t>
        </is>
      </c>
      <c r="J70" s="20" t="inlineStr"/>
      <c r="K70" s="19" t="inlineStr"/>
    </row>
    <row r="71">
      <c r="B71" s="20" t="inlineStr">
        <is>
          <t>D010</t>
        </is>
      </c>
      <c r="C71" s="20" t="inlineStr">
        <is>
          <t>蔡季軒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</t>
        </is>
      </c>
      <c r="I71" s="20" t="inlineStr">
        <is>
          <t>CHI-HSUAN TSAI</t>
        </is>
      </c>
      <c r="J71" s="20" t="inlineStr"/>
      <c r="K71" s="19" t="inlineStr"/>
    </row>
    <row r="72">
      <c r="B72" s="20" t="inlineStr">
        <is>
          <t>D011</t>
        </is>
      </c>
      <c r="C72" s="20" t="inlineStr">
        <is>
          <t>温健成</t>
        </is>
      </c>
      <c r="D72" s="20" t="inlineStr">
        <is>
          <t>醫師</t>
        </is>
      </c>
      <c r="E72" s="19" t="inlineStr"/>
      <c r="F72" s="20" t="inlineStr">
        <is>
          <t>晶睿院長</t>
        </is>
      </c>
      <c r="G72" s="20" t="inlineStr">
        <is>
          <t>晶睿</t>
        </is>
      </c>
      <c r="H72" s="19" t="inlineStr">
        <is>
          <t>晶睿 · 晶匯</t>
        </is>
      </c>
      <c r="I72" s="20" t="inlineStr">
        <is>
          <t>JIAN-CHENG WEN</t>
        </is>
      </c>
      <c r="J72" s="20" t="inlineStr"/>
      <c r="K72" s="19" t="inlineStr"/>
    </row>
    <row r="73">
      <c r="B73" s="20" t="inlineStr">
        <is>
          <t>D012</t>
        </is>
      </c>
      <c r="C73" s="20" t="inlineStr">
        <is>
          <t>陳立軒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晶匯 · 晶曜</t>
        </is>
      </c>
      <c r="I73" s="20" t="inlineStr">
        <is>
          <t>LI-HSUAN CHEN</t>
        </is>
      </c>
      <c r="J73" s="20" t="inlineStr"/>
      <c r="K73" s="19" t="inlineStr"/>
    </row>
    <row r="74">
      <c r="B74" s="20" t="inlineStr">
        <is>
          <t>D013</t>
        </is>
      </c>
      <c r="C74" s="20" t="inlineStr">
        <is>
          <t>朱柏非</t>
        </is>
      </c>
      <c r="D74" s="20" t="inlineStr">
        <is>
          <t>醫師</t>
        </is>
      </c>
      <c r="E74" s="19" t="inlineStr"/>
      <c r="F74" s="20" t="inlineStr"/>
      <c r="G74" s="20" t="inlineStr">
        <is>
          <t>晶悅</t>
        </is>
      </c>
      <c r="H74" s="19" t="inlineStr">
        <is>
          <t>晶悅 · 晶匯 · 寶貝牙</t>
        </is>
      </c>
      <c r="I74" s="20" t="inlineStr">
        <is>
          <t>PO-FEI CHU</t>
        </is>
      </c>
      <c r="J74" s="20" t="inlineStr"/>
      <c r="K74" s="19" t="inlineStr"/>
    </row>
    <row r="75">
      <c r="B75" s="20" t="inlineStr">
        <is>
          <t>D014</t>
        </is>
      </c>
      <c r="C75" s="20" t="inlineStr">
        <is>
          <t>鄭漢賢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 · 晶匯</t>
        </is>
      </c>
      <c r="I75" s="20" t="inlineStr">
        <is>
          <t>HON-YIN CHENG</t>
        </is>
      </c>
      <c r="J75" s="20" t="inlineStr"/>
      <c r="K75" s="19" t="inlineStr"/>
    </row>
    <row r="76">
      <c r="B76" s="20" t="inlineStr">
        <is>
          <t>D015</t>
        </is>
      </c>
      <c r="C76" s="20" t="inlineStr">
        <is>
          <t>徐平</t>
        </is>
      </c>
      <c r="D76" s="20" t="inlineStr">
        <is>
          <t>醫師</t>
        </is>
      </c>
      <c r="E76" s="19" t="inlineStr"/>
      <c r="F76" s="20" t="inlineStr"/>
      <c r="G76" s="20" t="inlineStr">
        <is>
          <t>晶悅</t>
        </is>
      </c>
      <c r="H76" s="19" t="inlineStr">
        <is>
          <t>晶悅 · 晶曜</t>
        </is>
      </c>
      <c r="I76" s="20" t="inlineStr">
        <is>
          <t>PING HSU</t>
        </is>
      </c>
      <c r="J76" s="20" t="inlineStr"/>
      <c r="K76" s="19" t="inlineStr"/>
    </row>
    <row r="77">
      <c r="B77" s="20" t="inlineStr">
        <is>
          <t>D016</t>
        </is>
      </c>
      <c r="C77" s="20" t="inlineStr">
        <is>
          <t>賴敏傑</t>
        </is>
      </c>
      <c r="D77" s="20" t="inlineStr">
        <is>
          <t>醫師</t>
        </is>
      </c>
      <c r="E77" s="19" t="inlineStr"/>
      <c r="F77" s="20" t="inlineStr"/>
      <c r="G77" s="20" t="inlineStr">
        <is>
          <t>晶睿</t>
        </is>
      </c>
      <c r="H77" s="19" t="inlineStr">
        <is>
          <t>晶睿</t>
        </is>
      </c>
      <c r="I77" s="20" t="inlineStr">
        <is>
          <t>MIN-CHIEH LAI</t>
        </is>
      </c>
      <c r="J77" s="20" t="inlineStr"/>
      <c r="K77" s="19" t="inlineStr"/>
    </row>
    <row r="78">
      <c r="B78" s="20" t="inlineStr">
        <is>
          <t>D017</t>
        </is>
      </c>
      <c r="C78" s="20" t="inlineStr">
        <is>
          <t>吳柏賢</t>
        </is>
      </c>
      <c r="D78" s="20" t="inlineStr">
        <is>
          <t>醫師</t>
        </is>
      </c>
      <c r="E78" s="19" t="inlineStr"/>
      <c r="F78" s="20" t="inlineStr"/>
      <c r="G78" s="20" t="inlineStr">
        <is>
          <t>晶睿</t>
        </is>
      </c>
      <c r="H78" s="19" t="inlineStr">
        <is>
          <t>晶睿 · 晶曜</t>
        </is>
      </c>
      <c r="I78" s="20" t="inlineStr">
        <is>
          <t>BO-XIAN WU</t>
        </is>
      </c>
      <c r="J78" s="20" t="inlineStr"/>
      <c r="K78" s="19" t="inlineStr"/>
    </row>
    <row r="79">
      <c r="B79" s="20" t="inlineStr">
        <is>
          <t>D018</t>
        </is>
      </c>
      <c r="C79" s="20" t="inlineStr">
        <is>
          <t>許博諺</t>
        </is>
      </c>
      <c r="D79" s="20" t="inlineStr">
        <is>
          <t>醫師</t>
        </is>
      </c>
      <c r="E79" s="19" t="inlineStr"/>
      <c r="F79" s="20" t="inlineStr"/>
      <c r="G79" s="20" t="inlineStr">
        <is>
          <t>晶睿</t>
        </is>
      </c>
      <c r="H79" s="19" t="inlineStr">
        <is>
          <t>晶睿 · 晶曜</t>
        </is>
      </c>
      <c r="I79" s="20" t="inlineStr">
        <is>
          <t>PO-YEN HSU</t>
        </is>
      </c>
      <c r="J79" s="20" t="inlineStr"/>
      <c r="K79" s="19" t="inlineStr"/>
    </row>
    <row r="80">
      <c r="B80" s="20" t="inlineStr">
        <is>
          <t>D019</t>
        </is>
      </c>
      <c r="C80" s="20" t="inlineStr">
        <is>
          <t>翁崎紘</t>
        </is>
      </c>
      <c r="D80" s="20" t="inlineStr">
        <is>
          <t>醫師</t>
        </is>
      </c>
      <c r="E80" s="19" t="inlineStr"/>
      <c r="F80" s="20" t="inlineStr"/>
      <c r="G80" s="20" t="inlineStr">
        <is>
          <t>晶悅</t>
        </is>
      </c>
      <c r="H80" s="19" t="inlineStr">
        <is>
          <t>晶悅</t>
        </is>
      </c>
      <c r="I80" s="20" t="inlineStr">
        <is>
          <t>CHI-HONG WENG</t>
        </is>
      </c>
      <c r="J80" s="20" t="inlineStr"/>
      <c r="K80" s="19" t="inlineStr"/>
    </row>
    <row r="81">
      <c r="B81" s="20" t="inlineStr">
        <is>
          <t>D020</t>
        </is>
      </c>
      <c r="C81" s="20" t="inlineStr">
        <is>
          <t>余柏萱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 · 寶貝牙</t>
        </is>
      </c>
      <c r="I81" s="20" t="inlineStr">
        <is>
          <t>PO-HSUAN YU</t>
        </is>
      </c>
      <c r="J81" s="20" t="inlineStr"/>
      <c r="K81" s="19" t="inlineStr"/>
    </row>
    <row r="82">
      <c r="B82" s="20" t="inlineStr">
        <is>
          <t>D021</t>
        </is>
      </c>
      <c r="C82" s="20" t="inlineStr">
        <is>
          <t>鄭博文</t>
        </is>
      </c>
      <c r="D82" s="20" t="inlineStr">
        <is>
          <t>醫師</t>
        </is>
      </c>
      <c r="E82" s="19" t="inlineStr"/>
      <c r="F82" s="20" t="inlineStr"/>
      <c r="G82" s="20" t="inlineStr">
        <is>
          <t>晶悅</t>
        </is>
      </c>
      <c r="H82" s="19" t="inlineStr">
        <is>
          <t>晶悅</t>
        </is>
      </c>
      <c r="I82" s="20" t="inlineStr">
        <is>
          <t>PO-WEN CHENG</t>
        </is>
      </c>
      <c r="J82" s="20" t="inlineStr"/>
      <c r="K82" s="19" t="inlineStr"/>
    </row>
    <row r="83">
      <c r="B83" s="20" t="inlineStr">
        <is>
          <t>D022</t>
        </is>
      </c>
      <c r="C83" s="20" t="inlineStr">
        <is>
          <t>黃育亭</t>
        </is>
      </c>
      <c r="D83" s="20" t="inlineStr">
        <is>
          <t>醫師</t>
        </is>
      </c>
      <c r="E83" s="19" t="inlineStr">
        <is>
          <t>兒童</t>
        </is>
      </c>
      <c r="F83" s="20" t="inlineStr">
        <is>
          <t>寶貝牙院長</t>
        </is>
      </c>
      <c r="G83" s="20" t="inlineStr">
        <is>
          <t>寶貝牙</t>
        </is>
      </c>
      <c r="H83" s="19" t="inlineStr">
        <is>
          <t>寶貝牙</t>
        </is>
      </c>
      <c r="I83" s="20" t="inlineStr">
        <is>
          <t>YU-TING HUANG</t>
        </is>
      </c>
      <c r="J83" s="20" t="inlineStr"/>
      <c r="K83" s="19" t="inlineStr"/>
    </row>
    <row r="84">
      <c r="B84" s="20" t="inlineStr">
        <is>
          <t>D023</t>
        </is>
      </c>
      <c r="C84" s="20" t="inlineStr">
        <is>
          <t>黃婷愉</t>
        </is>
      </c>
      <c r="D84" s="20" t="inlineStr">
        <is>
          <t>醫師</t>
        </is>
      </c>
      <c r="E84" s="19" t="inlineStr">
        <is>
          <t>口外</t>
        </is>
      </c>
      <c r="F84" s="20" t="inlineStr"/>
      <c r="G84" s="20" t="inlineStr">
        <is>
          <t>寶貝牙</t>
        </is>
      </c>
      <c r="H84" s="19" t="inlineStr">
        <is>
          <t>寶貝牙</t>
        </is>
      </c>
      <c r="I84" s="20" t="inlineStr">
        <is>
          <t>TING-YU HUANG</t>
        </is>
      </c>
      <c r="J84" s="20" t="inlineStr"/>
      <c r="K84" s="19" t="inlineStr"/>
    </row>
    <row r="85">
      <c r="B85" s="20" t="inlineStr">
        <is>
          <t>D024</t>
        </is>
      </c>
      <c r="C85" s="20" t="inlineStr">
        <is>
          <t>林紓安</t>
        </is>
      </c>
      <c r="D85" s="20" t="inlineStr">
        <is>
          <t>醫師</t>
        </is>
      </c>
      <c r="E85" s="19" t="inlineStr">
        <is>
          <t>兒童</t>
        </is>
      </c>
      <c r="F85" s="20" t="inlineStr"/>
      <c r="G85" s="20" t="inlineStr">
        <is>
          <t>晶匯</t>
        </is>
      </c>
      <c r="H85" s="19" t="inlineStr">
        <is>
          <t>晶匯 · 寶貝牙</t>
        </is>
      </c>
      <c r="I85" s="20" t="inlineStr">
        <is>
          <t>SHU-AN LIN</t>
        </is>
      </c>
      <c r="J85" s="20" t="inlineStr"/>
      <c r="K85" s="19" t="inlineStr"/>
    </row>
    <row r="86">
      <c r="B86" s="20" t="inlineStr">
        <is>
          <t>D025</t>
        </is>
      </c>
      <c r="C86" s="20" t="inlineStr">
        <is>
          <t>陳爵安</t>
        </is>
      </c>
      <c r="D86" s="20" t="inlineStr">
        <is>
          <t>醫師</t>
        </is>
      </c>
      <c r="E86" s="19" t="inlineStr"/>
      <c r="F86" s="20" t="inlineStr"/>
      <c r="G86" s="20" t="inlineStr">
        <is>
          <t>晶睿</t>
        </is>
      </c>
      <c r="H86" s="19" t="inlineStr">
        <is>
          <t>晶睿</t>
        </is>
      </c>
      <c r="I86" s="20" t="inlineStr"/>
      <c r="J86" s="20" t="inlineStr"/>
      <c r="K86" s="19" t="inlineStr"/>
    </row>
    <row r="87">
      <c r="B87" s="20" t="inlineStr">
        <is>
          <t>D026</t>
        </is>
      </c>
      <c r="C87" s="20" t="inlineStr">
        <is>
          <t>吳冠廷</t>
        </is>
      </c>
      <c r="D87" s="20" t="inlineStr">
        <is>
          <t>醫師</t>
        </is>
      </c>
      <c r="E87" s="19" t="inlineStr"/>
      <c r="F87" s="20" t="inlineStr"/>
      <c r="G87" s="20" t="inlineStr">
        <is>
          <t>晶匯</t>
        </is>
      </c>
      <c r="H87" s="19" t="inlineStr">
        <is>
          <t>晶匯</t>
        </is>
      </c>
      <c r="I87" s="20" t="inlineStr"/>
      <c r="J87" s="20" t="inlineStr"/>
      <c r="K87" s="19" t="inlineStr"/>
    </row>
    <row r="88">
      <c r="B88" s="20" t="inlineStr">
        <is>
          <t>D027</t>
        </is>
      </c>
      <c r="C88" s="20" t="inlineStr">
        <is>
          <t>楊孟庭</t>
        </is>
      </c>
      <c r="D88" s="20" t="inlineStr">
        <is>
          <t>醫師</t>
        </is>
      </c>
      <c r="E88" s="19" t="inlineStr"/>
      <c r="F88" s="20" t="inlineStr"/>
      <c r="G88" s="20" t="inlineStr">
        <is>
          <t>晶匯</t>
        </is>
      </c>
      <c r="H88" s="19" t="inlineStr">
        <is>
          <t>晶匯</t>
        </is>
      </c>
      <c r="I88" s="20" t="inlineStr"/>
      <c r="J88" s="20" t="inlineStr"/>
      <c r="K88" s="19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  <row r="197">
      <c r="B197" s="17" t="inlineStr"/>
      <c r="C197" s="17" t="inlineStr"/>
      <c r="D197" s="17" t="inlineStr"/>
      <c r="E197" s="23" t="inlineStr"/>
      <c r="F197" s="17" t="inlineStr"/>
      <c r="G197" s="17" t="inlineStr"/>
      <c r="H197" s="23" t="inlineStr"/>
      <c r="I197" s="17" t="inlineStr"/>
      <c r="J197" s="17" t="inlineStr"/>
      <c r="K197" s="23" t="inlineStr"/>
    </row>
    <row r="198">
      <c r="B198" s="17" t="inlineStr"/>
      <c r="C198" s="17" t="inlineStr"/>
      <c r="D198" s="17" t="inlineStr"/>
      <c r="E198" s="23" t="inlineStr"/>
      <c r="F198" s="17" t="inlineStr"/>
      <c r="G198" s="17" t="inlineStr"/>
      <c r="H198" s="23" t="inlineStr"/>
      <c r="I198" s="17" t="inlineStr"/>
      <c r="J198" s="17" t="inlineStr"/>
      <c r="K198" s="23" t="inlineStr"/>
    </row>
    <row r="199">
      <c r="B199" s="17" t="inlineStr"/>
      <c r="C199" s="17" t="inlineStr"/>
      <c r="D199" s="17" t="inlineStr"/>
      <c r="E199" s="23" t="inlineStr"/>
      <c r="F199" s="17" t="inlineStr"/>
      <c r="G199" s="17" t="inlineStr"/>
      <c r="H199" s="23" t="inlineStr"/>
      <c r="I199" s="17" t="inlineStr"/>
      <c r="J199" s="17" t="inlineStr"/>
      <c r="K199" s="23" t="inlineStr"/>
    </row>
    <row r="200">
      <c r="B200" s="17" t="inlineStr"/>
      <c r="C200" s="17" t="inlineStr"/>
      <c r="D200" s="17" t="inlineStr"/>
      <c r="E200" s="23" t="inlineStr"/>
      <c r="F200" s="17" t="inlineStr"/>
      <c r="G200" s="17" t="inlineStr"/>
      <c r="H200" s="23" t="inlineStr"/>
      <c r="I200" s="17" t="inlineStr"/>
      <c r="J200" s="17" t="inlineStr"/>
      <c r="K200" s="23" t="inlineStr"/>
    </row>
    <row r="201">
      <c r="B201" s="17" t="inlineStr"/>
      <c r="C201" s="17" t="inlineStr"/>
      <c r="D201" s="17" t="inlineStr"/>
      <c r="E201" s="23" t="inlineStr"/>
      <c r="F201" s="17" t="inlineStr"/>
      <c r="G201" s="17" t="inlineStr"/>
      <c r="H201" s="23" t="inlineStr"/>
      <c r="I201" s="17" t="inlineStr"/>
      <c r="J201" s="17" t="inlineStr"/>
      <c r="K201" s="23" t="inlineStr"/>
    </row>
  </sheetData>
  <mergeCells count="13">
    <mergeCell ref="D46:J46"/>
    <mergeCell ref="G31:J31"/>
    <mergeCell ref="G26:J26"/>
    <mergeCell ref="D44:J44"/>
    <mergeCell ref="D45:J45"/>
    <mergeCell ref="AP5:AR5"/>
    <mergeCell ref="D47:J47"/>
    <mergeCell ref="G29:J29"/>
    <mergeCell ref="G30:J30"/>
    <mergeCell ref="W4:Y4"/>
    <mergeCell ref="U51:AO51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悅(隔)</t>
        </is>
      </c>
      <c r="S5" s="48" t="n"/>
      <c r="T5" s="48" t="n"/>
      <c r="V5" s="51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睿/曜</t>
        </is>
      </c>
      <c r="J6" s="52" t="inlineStr">
        <is>
          <t>睿/曜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4" t="n"/>
      <c r="D7" s="45" t="inlineStr">
        <is>
          <t>悅/睿</t>
        </is>
      </c>
      <c r="E7" s="45" t="inlineStr">
        <is>
          <t>悅/睿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4" t="n"/>
      <c r="D8" s="45" t="inlineStr">
        <is>
          <t>悅(隔)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寶(不定)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悅(註)</t>
        </is>
      </c>
      <c r="N10" s="45" t="inlineStr">
        <is>
          <t>悅(註)</t>
        </is>
      </c>
      <c r="O10" s="44" t="n"/>
      <c r="P10" s="48" t="n"/>
      <c r="Q10" s="48" t="n"/>
      <c r="R10" s="55" t="inlineStr">
        <is>
          <t>寶(不定)</t>
        </is>
      </c>
      <c r="S10" s="54" t="inlineStr">
        <is>
          <t>寶(不定)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悅/匯</t>
        </is>
      </c>
      <c r="S13" s="45" t="inlineStr">
        <is>
          <t>悅/匯</t>
        </is>
      </c>
      <c r="T13" s="48" t="n"/>
      <c r="V13" s="51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睿(隔)</t>
        </is>
      </c>
      <c r="S15" s="52" t="inlineStr">
        <is>
          <t>睿(隔)</t>
        </is>
      </c>
      <c r="T15" s="48" t="n"/>
      <c r="V15" s="51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曜(隔)</t>
        </is>
      </c>
      <c r="S16" s="47" t="inlineStr">
        <is>
          <t>曜(隔)</t>
        </is>
      </c>
      <c r="T16" s="48" t="n"/>
      <c r="V16" s="51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悅/匯</t>
        </is>
      </c>
      <c r="S17" s="45" t="inlineStr">
        <is>
          <t>悅/匯</t>
        </is>
      </c>
      <c r="T17" s="48" t="n"/>
      <c r="V17" s="51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曜(隔)</t>
        </is>
      </c>
      <c r="S19" s="47" t="inlineStr">
        <is>
          <t>曜(隔)</t>
        </is>
      </c>
      <c r="T19" s="48" t="n"/>
      <c r="V19" s="51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悅(不定)</t>
        </is>
      </c>
      <c r="Q23" s="45" t="inlineStr">
        <is>
          <t>悅(不定)</t>
        </is>
      </c>
      <c r="R23" s="44" t="n"/>
      <c r="S23" s="48" t="n"/>
      <c r="T23" s="48" t="n"/>
      <c r="V23" s="51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寶(不定)</t>
        </is>
      </c>
      <c r="S26" s="54" t="inlineStr">
        <is>
          <t>寶(不定)</t>
        </is>
      </c>
      <c r="T26" s="48" t="n"/>
      <c r="V26" s="51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寶(不定)</t>
        </is>
      </c>
      <c r="S27" s="54" t="inlineStr">
        <is>
          <t>寶(不定)</t>
        </is>
      </c>
      <c r="T27" s="48" t="n"/>
      <c r="V27" s="51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匯(隔)</t>
        </is>
      </c>
      <c r="K28" s="50" t="inlineStr">
        <is>
          <t>匯(隔)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匯(隔)</t>
        </is>
      </c>
      <c r="E31" s="50" t="inlineStr">
        <is>
          <t>匯(隔)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匯(隔)</t>
        </is>
      </c>
      <c r="S31" s="50" t="inlineStr">
        <is>
          <t>匯(隔)</t>
        </is>
      </c>
      <c r="T31" s="48" t="n"/>
      <c r="V31" s="51" t="inlineStr"/>
    </row>
    <row r="32" ht="17" customHeight="1">
      <c r="A32" s="20" t="n"/>
      <c r="B32" s="16">
        <f>IFERROR(INDEX(設定!$C$62:$C$201,MATCH($A32,設定!$B$62:$B$201,0)),"")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20" t="n"/>
      <c r="B33" s="16">
        <f>IFERROR(INDEX(設定!$C$62:$C$201,MATCH($A33,設定!$B$62:$B$201,0)),"")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20" t="n"/>
      <c r="B34" s="16">
        <f>IFERROR(INDEX(設定!$C$62:$C$201,MATCH($A34,設定!$B$62:$B$201,0)),"")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20" t="n"/>
      <c r="B35" s="16">
        <f>IFERROR(INDEX(設定!$C$62:$C$201,MATCH($A35,設定!$B$62:$B$201,0)),"")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20" t="n"/>
      <c r="B36" s="16">
        <f>IFERROR(INDEX(設定!$C$62:$C$201,MATCH($A36,設定!$B$62:$B$201,0)),"")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20" t="n"/>
      <c r="B37" s="16">
        <f>IFERROR(INDEX(設定!$C$62:$C$201,MATCH($A37,設定!$B$62:$B$201,0)),"")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20" t="n"/>
      <c r="B38" s="16">
        <f>IFERROR(INDEX(設定!$C$62:$C$201,MATCH($A38,設定!$B$62:$B$201,0)),"")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20" t="n"/>
      <c r="B39" s="16">
        <f>IFERROR(INDEX(設定!$C$62:$C$201,MATCH($A39,設定!$B$62:$B$201,0)),"")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20" t="n"/>
      <c r="B40" s="16">
        <f>IFERROR(INDEX(設定!$C$62:$C$201,MATCH($A40,設定!$B$62:$B$201,0)),"")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20" t="n"/>
      <c r="B41" s="16">
        <f>IFERROR(INDEX(設定!$C$62:$C$201,MATCH($A41,設定!$B$62:$B$201,0)),"")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20" t="n"/>
      <c r="B42" s="16">
        <f>IFERROR(INDEX(設定!$C$62:$C$201,MATCH($A42,設定!$B$62:$B$201,0)),"")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20" t="n"/>
      <c r="B43" s="16">
        <f>IFERROR(INDEX(設定!$C$62:$C$201,MATCH($A43,設定!$B$62:$B$201,0)),"")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20" t="n"/>
      <c r="B44" s="16">
        <f>IFERROR(INDEX(設定!$C$62:$C$201,MATCH($A44,設定!$B$62:$B$201,0)),"")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68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68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67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68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68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67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68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68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67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68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68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67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68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68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67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68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68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67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68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68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67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68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68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67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68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68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67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68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68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67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68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68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67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68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68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67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68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68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67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68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68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67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68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68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67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68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68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67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68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68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67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68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68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67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68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68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67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68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68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67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68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68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67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68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68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67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68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68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67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68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68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67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68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68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67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68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68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67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68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68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67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68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68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67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68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68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67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68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68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67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68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68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69">
        <f>IFERROR(MATCH($A6,醫師週班表!$A$5:$A$44,0),0)</f>
        <v/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68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68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67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68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68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67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68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68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67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68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68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67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68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68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67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68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68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67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68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68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67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68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68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67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68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68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67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68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68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67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68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68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67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68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68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67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68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68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67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68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68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67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68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68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67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68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68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67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68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68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67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68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68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67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68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68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67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68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68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67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68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68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67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68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68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67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68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68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67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68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68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67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68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68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67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68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68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67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68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68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67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68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68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67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68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68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67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68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68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67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68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68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69">
        <f>IFERROR(MATCH($A7,醫師週班表!$A$5:$A$44,0),0)</f>
        <v/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68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68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67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68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68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67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68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68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67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68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68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67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68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68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67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68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68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67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68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68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67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68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68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67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68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68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67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68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68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67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68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68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67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68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68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67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68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68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67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68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68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67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68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68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67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68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68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67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68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68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67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68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68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67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68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68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67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68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68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67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68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68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67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68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68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67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68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68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67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68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68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67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68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68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67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68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68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67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68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68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67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68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68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67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68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68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67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68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68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67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68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68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69">
        <f>IFERROR(MATCH($A8,醫師週班表!$A$5:$A$44,0),0)</f>
        <v/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68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68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67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68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68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67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68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68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67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68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68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67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68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68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67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68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68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67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68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68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67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68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68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67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68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68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67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68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68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67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68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68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67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68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68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67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68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68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67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68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68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67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68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68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67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68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68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67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68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68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67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68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68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67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68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68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67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68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68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67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68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68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67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68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68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67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68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68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67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68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68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67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68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68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67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68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68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67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68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68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67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68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68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67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68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68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67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68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68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67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68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68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69">
        <f>IFERROR(MATCH($A9,醫師週班表!$A$5:$A$44,0),0)</f>
        <v/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68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68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67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68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68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67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68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68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67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68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68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67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68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68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67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68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68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67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68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68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67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68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68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67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68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68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67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68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68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67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68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68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67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68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68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67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68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68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67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68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68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67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68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68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67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68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68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67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68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68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67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68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68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67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68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68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67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68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68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67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68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68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67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68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68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67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68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68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67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68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68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67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68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68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67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68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68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67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68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68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67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68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68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67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68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68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67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68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68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67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68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68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69">
        <f>IFERROR(MATCH($A10,醫師週班表!$A$5:$A$44,0),0)</f>
        <v/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68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68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67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68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68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67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68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68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67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68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68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67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68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68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67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68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68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67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68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68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67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68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68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67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68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68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67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68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68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67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68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68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67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68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68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67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68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68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67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68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68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67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68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68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67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68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68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67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68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68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67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68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68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67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68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68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67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68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68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67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68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68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67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68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68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67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68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68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67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68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68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67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68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68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67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68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68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67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68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68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67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68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68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67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68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68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67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68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68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67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68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68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69">
        <f>IFERROR(MATCH($A11,醫師週班表!$A$5:$A$44,0),0)</f>
        <v/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68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68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67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68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68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67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68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68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67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68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68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67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68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68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67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68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68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67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68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68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67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68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68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67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68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68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67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68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68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67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68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68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67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68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68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67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68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68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67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68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68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67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68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68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67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68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68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67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68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68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67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68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68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67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68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68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67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68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68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67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68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68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67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68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68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67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68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68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67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68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68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67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68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68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67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68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68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67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68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68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67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68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68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67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68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68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67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68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68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67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68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68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69">
        <f>IFERROR(MATCH($A12,醫師週班表!$A$5:$A$44,0),0)</f>
        <v/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68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68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67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68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68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67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68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68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67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68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68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67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68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68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67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68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68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67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68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68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67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68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68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67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68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68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67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68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68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67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68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68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67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68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68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67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68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68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67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68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68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67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68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68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67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68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68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67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68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68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67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68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68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67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68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68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67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68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68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67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68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68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67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68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68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67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68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68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67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68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68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67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68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68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67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68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68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67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68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68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67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68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68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67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68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68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67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68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68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67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68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68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69">
        <f>IFERROR(MATCH($A13,醫師週班表!$A$5:$A$44,0),0)</f>
        <v/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68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68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67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68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68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67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68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68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67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68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68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67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68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68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67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68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68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67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68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68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67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68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68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67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68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68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67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68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68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67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68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68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67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68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68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67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68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68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67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68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68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67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68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68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67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68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68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67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68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68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67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68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68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67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68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68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67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68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68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67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68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68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67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68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68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67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68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68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67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68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68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67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68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68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67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68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68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67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68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68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67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68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68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67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68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68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67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68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68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67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68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68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69">
        <f>IFERROR(MATCH($A14,醫師週班表!$A$5:$A$44,0),0)</f>
        <v/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68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68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67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68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68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67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68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68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67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68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68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67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68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68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67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68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68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67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68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68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67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68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68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67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68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68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67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68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68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67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68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68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67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68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68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67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68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68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67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68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68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67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68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68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67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68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68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67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68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68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67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68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68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67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68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68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67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68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68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67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68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68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67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68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68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67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68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68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67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68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68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67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68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68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67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68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68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67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68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68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67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68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68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67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68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68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67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68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68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67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68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68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69">
        <f>IFERROR(MATCH($A15,醫師週班表!$A$5:$A$44,0),0)</f>
        <v/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68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68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67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68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68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67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68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68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67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68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68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67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68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68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67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68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68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67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68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68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67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68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68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67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68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68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67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68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68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67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68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68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67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68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68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67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68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68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67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68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68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67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68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68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67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68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68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67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68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68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67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68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68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67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68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68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67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68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68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67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68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68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67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68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68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67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68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68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67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68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68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67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68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68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67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68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68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67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68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68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67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68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68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67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68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68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67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68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68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67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68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68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69">
        <f>IFERROR(MATCH($A16,醫師週班表!$A$5:$A$44,0),0)</f>
        <v/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68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68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67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68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68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67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68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68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67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68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68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67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68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68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67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68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68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67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68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68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67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68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68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67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68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68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67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68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68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67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68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68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67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68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68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67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68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68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67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68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68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67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68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68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67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68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68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67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68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68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67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68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68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67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68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68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67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68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68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67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68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68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67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68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68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67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68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68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67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68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68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67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68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68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67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68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68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67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68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68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67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68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68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67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68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68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67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68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68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67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68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68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69">
        <f>IFERROR(MATCH($A17,醫師週班表!$A$5:$A$44,0),0)</f>
        <v/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68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68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67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68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68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67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68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68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67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68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68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67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68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68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67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68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68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67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68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68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67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68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68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67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68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68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67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68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68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67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68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68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67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68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68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67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68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68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67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68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68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67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68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68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67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68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68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67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68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68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67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68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68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67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68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68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67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68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68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67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68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68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67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68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68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67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68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68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67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68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68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67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68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68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67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68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68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67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68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68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67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68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68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67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68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68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67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68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68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67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68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68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69">
        <f>IFERROR(MATCH($A18,醫師週班表!$A$5:$A$44,0),0)</f>
        <v/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68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68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67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68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68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67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68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68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67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68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68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67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68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68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67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68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68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67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68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68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67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68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68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67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68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68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67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68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68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67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68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68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67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68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68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67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68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68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67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68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68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67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68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68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67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68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68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67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68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68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67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68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68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67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68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68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67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68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68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67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68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68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67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68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68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67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68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68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67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68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68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67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68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68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67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68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68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67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68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68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67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68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68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67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68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68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67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68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68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67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68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68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69">
        <f>IFERROR(MATCH($A19,醫師週班表!$A$5:$A$44,0),0)</f>
        <v/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68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68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67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68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68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67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68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68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67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68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68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67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68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68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67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68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68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67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68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68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67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68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68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67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68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68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67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68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68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67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68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68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67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68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68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67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68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68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67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68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68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67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68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68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67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68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68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67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68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68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67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68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68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67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68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68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67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68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68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67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68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68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67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68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68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67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68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68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67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68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68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67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68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68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67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68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68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67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68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68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67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68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68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67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68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68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67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68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68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67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68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68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69">
        <f>IFERROR(MATCH($A20,醫師週班表!$A$5:$A$44,0),0)</f>
        <v/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68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68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67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68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68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67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68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68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67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68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68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67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68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68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67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68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68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67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68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68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67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68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68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67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68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68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67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68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68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67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68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68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67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68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68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67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68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68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67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68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68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67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68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68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67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68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68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67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68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68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67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68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68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67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68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68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67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68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68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67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68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68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67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68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68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67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68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68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67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68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68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67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68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68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67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68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68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67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68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68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67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68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68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67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68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68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67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68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68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67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68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68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69">
        <f>IFERROR(MATCH($A21,醫師週班表!$A$5:$A$44,0),0)</f>
        <v/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68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68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67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68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68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67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68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68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67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68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68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67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68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68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67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68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68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67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68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68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67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68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68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67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68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68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67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68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68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67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68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68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67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68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68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67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68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68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67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68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68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67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68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68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67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68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68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67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68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68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67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68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68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67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68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68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67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68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68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67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68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68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67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68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68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67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68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68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67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68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68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67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68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68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67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68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68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67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68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68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67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68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68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67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68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68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67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68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68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67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68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68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69">
        <f>IFERROR(MATCH($A22,醫師週班表!$A$5:$A$44,0),0)</f>
        <v/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68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68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67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68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68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67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68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68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67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68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68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67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68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68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67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68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68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67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68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68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67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68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68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67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68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68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67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68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68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67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68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68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67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68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68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67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68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68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67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68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68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67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68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68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67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68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68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67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68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68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67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68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68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67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68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68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67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68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68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67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68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68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67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68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68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67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68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68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67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68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68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67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68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68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67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68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68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67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68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68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67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68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68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67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68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68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67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68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68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67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68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68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69">
        <f>IFERROR(MATCH($A23,醫師週班表!$A$5:$A$44,0),0)</f>
        <v/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68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68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67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68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68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67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68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68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67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68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68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67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68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68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67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68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68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67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68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68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67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68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68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67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68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68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67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68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68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67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68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68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67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68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68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67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68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68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67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68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68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67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68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68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67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68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68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67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68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68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67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68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68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67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68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68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67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68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68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67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68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68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67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68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68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67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68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68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67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68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68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67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68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68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67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68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68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67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68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68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67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68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68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67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68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68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67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68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68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67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68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68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69">
        <f>IFERROR(MATCH($A24,醫師週班表!$A$5:$A$44,0),0)</f>
        <v/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68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68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67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68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68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67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68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68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67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68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68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67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68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68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67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68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68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67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68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68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67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68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68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67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68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68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67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68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68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67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68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68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67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68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68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67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68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68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67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68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68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67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68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68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67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68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68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67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68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68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67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68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68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67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68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68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67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68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68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67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68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68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67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68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68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67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68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68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67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68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68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67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68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68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67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68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68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67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68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68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67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68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68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67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68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68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67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68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68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67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68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68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69">
        <f>IFERROR(MATCH($A25,醫師週班表!$A$5:$A$44,0),0)</f>
        <v/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68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68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67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68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68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67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68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68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67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68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68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67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68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68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67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68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68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67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68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68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67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68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68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67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68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68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67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68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68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67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68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68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67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68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68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67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68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68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67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68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68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67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68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68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67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68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68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67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68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68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67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68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68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67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68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68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67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68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68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67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68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68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67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68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68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67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68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68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67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68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68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67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68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68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67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68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68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67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68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68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67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68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68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67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68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68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67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68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68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67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68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68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69">
        <f>IFERROR(MATCH($A26,醫師週班表!$A$5:$A$44,0),0)</f>
        <v/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68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68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67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68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68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67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68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68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67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68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68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67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68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68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67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68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68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67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68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68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67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68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68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67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68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68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67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68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68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67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68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68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67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68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68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67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68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68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67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68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68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67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68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68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67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68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68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67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68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68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67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68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68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67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68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68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67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68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68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67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68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68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67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68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68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67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68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68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67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68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68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67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68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68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67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68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68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67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68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68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67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68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68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67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68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68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67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68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68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67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68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68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69">
        <f>IFERROR(MATCH($A27,醫師週班表!$A$5:$A$44,0),0)</f>
        <v/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68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68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67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68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68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67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68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68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67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68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68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67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68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68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67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68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68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67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68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68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67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68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68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67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68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68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67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68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68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67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68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68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67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68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68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67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68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68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67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68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68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67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68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68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67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68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68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67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68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68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67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68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68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67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68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68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67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68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68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67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68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68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67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68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68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67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68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68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67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68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68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67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68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68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67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68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68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67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68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68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67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68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68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67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68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68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67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68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68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67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68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68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69">
        <f>IFERROR(MATCH($A28,醫師週班表!$A$5:$A$44,0),0)</f>
        <v/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68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68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67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68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68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67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68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68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67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68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68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67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68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68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67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68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68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67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68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68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67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68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68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67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68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68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67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68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68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67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68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68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67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68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68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67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68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68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67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68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68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67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68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68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67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68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68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67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68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68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67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68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68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67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68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68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67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68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68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67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68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68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67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68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68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67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68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68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67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68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68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67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68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68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67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68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68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67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68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68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67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68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68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67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68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68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67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68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68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67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68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68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69">
        <f>IFERROR(MATCH($A29,醫師週班表!$A$5:$A$44,0),0)</f>
        <v/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68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68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67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68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68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67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68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68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67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68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68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67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68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68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67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68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68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67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68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68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67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68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68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67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68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68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67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68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68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67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68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68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67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68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68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67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68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68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67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68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68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67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68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68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67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68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68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67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68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68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67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68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68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67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68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68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67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68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68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67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68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68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67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68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68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67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68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68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67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68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68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67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68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68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67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68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68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67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68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68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67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68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68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67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68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68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67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68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68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67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68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68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69">
        <f>IFERROR(MATCH($A30,醫師週班表!$A$5:$A$44,0),0)</f>
        <v/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68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68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67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68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68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67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68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68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67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68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68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67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68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68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67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68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68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67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68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68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67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68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68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67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68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68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67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68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68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67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68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68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67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68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68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67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68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68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67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68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68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67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68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68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67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68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68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67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68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68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67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68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68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67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68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68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67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68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68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67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68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68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67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68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68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67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68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68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67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68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68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67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68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68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67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68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68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67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68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68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67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68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68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67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68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68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67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68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68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67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68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68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69">
        <f>IFERROR(MATCH($A31,醫師週班表!$A$5:$A$44,0),0)</f>
        <v/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68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68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67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68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68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67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68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68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67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68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68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67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68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68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67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68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68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67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68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68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67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68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68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67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68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68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67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68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68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67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68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68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67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68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68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67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68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68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67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68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68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67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68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68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67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68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68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67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68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68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67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68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68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67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68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68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67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68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68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67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68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68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67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68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68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67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68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68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67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68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68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67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68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68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67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68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68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67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68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68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67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68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68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67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68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68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67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68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68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67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68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68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69">
        <f>IFERROR(MATCH($A32,醫師週班表!$A$5:$A$44,0),0)</f>
        <v/>
      </c>
    </row>
    <row r="33" ht="17" customHeight="1">
      <c r="A33" s="20" t="n"/>
      <c r="B33" s="16">
        <f>IFERROR(INDEX(設定!$C$62:$C$201,MATCH($A33,設定!$B$62:$B$201,0)),"")</f>
        <v/>
      </c>
      <c r="C33" s="66">
        <f>IFERROR(INDEX(設定!$E$62:$E$201,MATCH($A33,設定!$B$62:$B$201,0)),"")</f>
        <v/>
      </c>
      <c r="D33" s="16">
        <f>IFERROR(INDEX(設定!$F$62:$F$201,MATCH($A33,設定!$B$62:$B$201,0)),"")</f>
        <v/>
      </c>
      <c r="E33" s="67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68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68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67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68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68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67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68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68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67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68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68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67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68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68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67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68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68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67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68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68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67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68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68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67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68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68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67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68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68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67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68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68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67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68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68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67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68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68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67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68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68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67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68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68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67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68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68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67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68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68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67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68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68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67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68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68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67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68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68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67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68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68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67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68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68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67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68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68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67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68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68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67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68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68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67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68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68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67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68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68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67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68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68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67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68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68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67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68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68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67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68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68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69">
        <f>IFERROR(MATCH($A33,醫師週班表!$A$5:$A$44,0),0)</f>
        <v/>
      </c>
    </row>
    <row r="34" ht="17" customHeight="1">
      <c r="A34" s="20" t="n"/>
      <c r="B34" s="16">
        <f>IFERROR(INDEX(設定!$C$62:$C$201,MATCH($A34,設定!$B$62:$B$201,0)),"")</f>
        <v/>
      </c>
      <c r="C34" s="66">
        <f>IFERROR(INDEX(設定!$E$62:$E$201,MATCH($A34,設定!$B$62:$B$201,0)),"")</f>
        <v/>
      </c>
      <c r="D34" s="16">
        <f>IFERROR(INDEX(設定!$F$62:$F$201,MATCH($A34,設定!$B$62:$B$201,0)),"")</f>
        <v/>
      </c>
      <c r="E34" s="67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68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68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67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68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68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67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68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68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67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68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68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67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68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68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67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68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68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67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68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68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67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68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68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67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68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68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67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68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68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67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68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68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67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68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68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67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68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68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67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68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68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67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68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68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67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68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68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67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68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68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67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68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68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67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68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68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67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68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68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67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68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68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67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68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68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67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68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68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67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68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68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67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68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68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67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68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68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67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68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68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67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68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68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67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68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68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67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68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68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67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68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68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69">
        <f>IFERROR(MATCH($A34,醫師週班表!$A$5:$A$44,0),0)</f>
        <v/>
      </c>
    </row>
    <row r="35" ht="17" customHeight="1">
      <c r="A35" s="20" t="n"/>
      <c r="B35" s="16">
        <f>IFERROR(INDEX(設定!$C$62:$C$201,MATCH($A35,設定!$B$62:$B$201,0)),"")</f>
        <v/>
      </c>
      <c r="C35" s="66">
        <f>IFERROR(INDEX(設定!$E$62:$E$201,MATCH($A35,設定!$B$62:$B$201,0)),"")</f>
        <v/>
      </c>
      <c r="D35" s="16">
        <f>IFERROR(INDEX(設定!$F$62:$F$201,MATCH($A35,設定!$B$62:$B$201,0)),"")</f>
        <v/>
      </c>
      <c r="E35" s="67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68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68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67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68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68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67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68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68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67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68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68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67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68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68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67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68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68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67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68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68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67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68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68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67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68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68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67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68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68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67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68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68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67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68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68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67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68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68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67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68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68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67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68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68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67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68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68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67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68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68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67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68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68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67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68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68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67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68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68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67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68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68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67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68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68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67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68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68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67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68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68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67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68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68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67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68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68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67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68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68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67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68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68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67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68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68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67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68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68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67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68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68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69">
        <f>IFERROR(MATCH($A35,醫師週班表!$A$5:$A$44,0),0)</f>
        <v/>
      </c>
    </row>
    <row r="36" ht="17" customHeight="1">
      <c r="A36" s="20" t="n"/>
      <c r="B36" s="16">
        <f>IFERROR(INDEX(設定!$C$62:$C$201,MATCH($A36,設定!$B$62:$B$201,0)),"")</f>
        <v/>
      </c>
      <c r="C36" s="66">
        <f>IFERROR(INDEX(設定!$E$62:$E$201,MATCH($A36,設定!$B$62:$B$201,0)),"")</f>
        <v/>
      </c>
      <c r="D36" s="16">
        <f>IFERROR(INDEX(設定!$F$62:$F$201,MATCH($A36,設定!$B$62:$B$201,0)),"")</f>
        <v/>
      </c>
      <c r="E36" s="67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68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68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67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68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68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67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68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68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67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68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68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67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68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68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67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68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68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67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68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68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67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68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68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67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68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68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67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68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68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67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68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68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67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68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68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67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68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68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67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68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68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67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68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68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67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68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68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67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68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68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67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68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68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67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68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68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67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68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68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67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68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68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67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68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68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67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68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68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67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68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68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67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68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68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67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68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68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67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68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68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67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68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68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67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68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68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67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68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68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67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68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68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69">
        <f>IFERROR(MATCH($A36,醫師週班表!$A$5:$A$44,0),0)</f>
        <v/>
      </c>
    </row>
    <row r="37" ht="17" customHeight="1">
      <c r="A37" s="20" t="n"/>
      <c r="B37" s="16">
        <f>IFERROR(INDEX(設定!$C$62:$C$201,MATCH($A37,設定!$B$62:$B$201,0)),"")</f>
        <v/>
      </c>
      <c r="C37" s="66">
        <f>IFERROR(INDEX(設定!$E$62:$E$201,MATCH($A37,設定!$B$62:$B$201,0)),"")</f>
        <v/>
      </c>
      <c r="D37" s="16">
        <f>IFERROR(INDEX(設定!$F$62:$F$201,MATCH($A37,設定!$B$62:$B$201,0)),"")</f>
        <v/>
      </c>
      <c r="E37" s="67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68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68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67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68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68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67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68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68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67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68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68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67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68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68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67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68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68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67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68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68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67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68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68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67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68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68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67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68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68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67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68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68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67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68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68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67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68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68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67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68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68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67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68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68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67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68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68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67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68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68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67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68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68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67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68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68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67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68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68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67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68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68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67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68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68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67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68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68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67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68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68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67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68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68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67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68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68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67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68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68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67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68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68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67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68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68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67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68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68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67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68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68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69">
        <f>IFERROR(MATCH($A37,醫師週班表!$A$5:$A$44,0),0)</f>
        <v/>
      </c>
    </row>
    <row r="38" ht="17" customHeight="1">
      <c r="A38" s="20" t="n"/>
      <c r="B38" s="16">
        <f>IFERROR(INDEX(設定!$C$62:$C$201,MATCH($A38,設定!$B$62:$B$201,0)),"")</f>
        <v/>
      </c>
      <c r="C38" s="66">
        <f>IFERROR(INDEX(設定!$E$62:$E$201,MATCH($A38,設定!$B$62:$B$201,0)),"")</f>
        <v/>
      </c>
      <c r="D38" s="16">
        <f>IFERROR(INDEX(設定!$F$62:$F$201,MATCH($A38,設定!$B$62:$B$201,0)),"")</f>
        <v/>
      </c>
      <c r="E38" s="67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68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68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67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68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68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67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68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68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67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68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68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67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68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68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67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68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68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67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68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68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67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68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68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67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68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68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67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68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68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67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68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68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67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68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68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67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68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68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67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68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68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67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68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68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67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68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68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67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68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68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67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68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68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67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68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68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67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68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68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67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68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68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67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68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68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67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68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68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67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68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68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67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68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68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67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68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68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67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68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68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67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68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68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67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68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68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67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68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68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67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68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68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69">
        <f>IFERROR(MATCH($A38,醫師週班表!$A$5:$A$44,0),0)</f>
        <v/>
      </c>
    </row>
    <row r="39" ht="17" customHeight="1">
      <c r="A39" s="20" t="n"/>
      <c r="B39" s="16">
        <f>IFERROR(INDEX(設定!$C$62:$C$201,MATCH($A39,設定!$B$62:$B$201,0)),"")</f>
        <v/>
      </c>
      <c r="C39" s="66">
        <f>IFERROR(INDEX(設定!$E$62:$E$201,MATCH($A39,設定!$B$62:$B$201,0)),"")</f>
        <v/>
      </c>
      <c r="D39" s="16">
        <f>IFERROR(INDEX(設定!$F$62:$F$201,MATCH($A39,設定!$B$62:$B$201,0)),"")</f>
        <v/>
      </c>
      <c r="E39" s="67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68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68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67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68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68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67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68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68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67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68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68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67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68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68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67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68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68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67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68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68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67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68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68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67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68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68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67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68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68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67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68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68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67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68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68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67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68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68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67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68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68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67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68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68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67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68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68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67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68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68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67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68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68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67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68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68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67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68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68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67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68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68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67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68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68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67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68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68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67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68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68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67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68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68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67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68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68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67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68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68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67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68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68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67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68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68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67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68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68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67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68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68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69">
        <f>IFERROR(MATCH($A39,醫師週班表!$A$5:$A$44,0),0)</f>
        <v/>
      </c>
    </row>
    <row r="40" ht="17" customHeight="1">
      <c r="A40" s="20" t="n"/>
      <c r="B40" s="16">
        <f>IFERROR(INDEX(設定!$C$62:$C$201,MATCH($A40,設定!$B$62:$B$201,0)),"")</f>
        <v/>
      </c>
      <c r="C40" s="66">
        <f>IFERROR(INDEX(設定!$E$62:$E$201,MATCH($A40,設定!$B$62:$B$201,0)),"")</f>
        <v/>
      </c>
      <c r="D40" s="16">
        <f>IFERROR(INDEX(設定!$F$62:$F$201,MATCH($A40,設定!$B$62:$B$201,0)),"")</f>
        <v/>
      </c>
      <c r="E40" s="67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68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68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67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68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68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67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68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68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67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68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68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67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68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68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67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68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68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67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68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68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67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68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68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67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68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68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67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68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68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67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68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68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67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68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68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67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68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68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67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68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68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67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68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68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67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68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68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67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68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68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67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68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68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67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68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68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67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68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68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67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68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68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67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68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68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67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68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68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67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68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68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67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68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68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67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68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68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67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68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68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67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68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68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67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68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68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67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68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68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67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68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68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69">
        <f>IFERROR(MATCH($A40,醫師週班表!$A$5:$A$44,0),0)</f>
        <v/>
      </c>
    </row>
    <row r="41" ht="17" customHeight="1">
      <c r="A41" s="20" t="n"/>
      <c r="B41" s="16">
        <f>IFERROR(INDEX(設定!$C$62:$C$201,MATCH($A41,設定!$B$62:$B$201,0)),"")</f>
        <v/>
      </c>
      <c r="C41" s="66">
        <f>IFERROR(INDEX(設定!$E$62:$E$201,MATCH($A41,設定!$B$62:$B$201,0)),"")</f>
        <v/>
      </c>
      <c r="D41" s="16">
        <f>IFERROR(INDEX(設定!$F$62:$F$201,MATCH($A41,設定!$B$62:$B$201,0)),"")</f>
        <v/>
      </c>
      <c r="E41" s="67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68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68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67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68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68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67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68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68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67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68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68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67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68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68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67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68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68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67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68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68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67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68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68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67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68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68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67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68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68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67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68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68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67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68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68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67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68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68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67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68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68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67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68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68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67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68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68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67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68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68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67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68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68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67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68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68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67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68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68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67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68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68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67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68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68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67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68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68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67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68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68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67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68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68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67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68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68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67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68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68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67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68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68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67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68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68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67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68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68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67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68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68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69">
        <f>IFERROR(MATCH($A41,醫師週班表!$A$5:$A$44,0),0)</f>
        <v/>
      </c>
    </row>
    <row r="42" ht="17" customHeight="1">
      <c r="A42" s="20" t="n"/>
      <c r="B42" s="16">
        <f>IFERROR(INDEX(設定!$C$62:$C$201,MATCH($A42,設定!$B$62:$B$201,0)),"")</f>
        <v/>
      </c>
      <c r="C42" s="66">
        <f>IFERROR(INDEX(設定!$E$62:$E$201,MATCH($A42,設定!$B$62:$B$201,0)),"")</f>
        <v/>
      </c>
      <c r="D42" s="16">
        <f>IFERROR(INDEX(設定!$F$62:$F$201,MATCH($A42,設定!$B$62:$B$201,0)),"")</f>
        <v/>
      </c>
      <c r="E42" s="67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68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68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67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68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68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67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68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68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67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68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68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67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68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68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67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68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68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67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68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68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67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68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68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67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68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68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67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68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68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67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68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68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67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68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68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67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68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68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67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68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68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67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68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68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67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68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68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67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68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68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67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68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68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67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68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68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67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68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68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67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68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68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67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68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68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67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68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68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67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68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68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67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68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68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67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68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68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67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68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68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67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68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68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67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68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68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67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68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68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67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68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68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69">
        <f>IFERROR(MATCH($A42,醫師週班表!$A$5:$A$44,0),0)</f>
        <v/>
      </c>
    </row>
    <row r="43" ht="17" customHeight="1">
      <c r="A43" s="20" t="n"/>
      <c r="B43" s="16">
        <f>IFERROR(INDEX(設定!$C$62:$C$201,MATCH($A43,設定!$B$62:$B$201,0)),"")</f>
        <v/>
      </c>
      <c r="C43" s="66">
        <f>IFERROR(INDEX(設定!$E$62:$E$201,MATCH($A43,設定!$B$62:$B$201,0)),"")</f>
        <v/>
      </c>
      <c r="D43" s="16">
        <f>IFERROR(INDEX(設定!$F$62:$F$201,MATCH($A43,設定!$B$62:$B$201,0)),"")</f>
        <v/>
      </c>
      <c r="E43" s="67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68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68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67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68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68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67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68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68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67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68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68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67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68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68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67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68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68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67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68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68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67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68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68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67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68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68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67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68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68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67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68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68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67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68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68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67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68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68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67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68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68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67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68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68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67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68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68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67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68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68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67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68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68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67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68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68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67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68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68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67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68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68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67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68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68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67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68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68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67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68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68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67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68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68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67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68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68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67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68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68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67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68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68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67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68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68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67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68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68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67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68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68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69">
        <f>IFERROR(MATCH($A43,醫師週班表!$A$5:$A$44,0),0)</f>
        <v/>
      </c>
    </row>
    <row r="44" ht="17" customHeight="1">
      <c r="A44" s="20" t="n"/>
      <c r="B44" s="16">
        <f>IFERROR(INDEX(設定!$C$62:$C$201,MATCH($A44,設定!$B$62:$B$201,0)),"")</f>
        <v/>
      </c>
      <c r="C44" s="66">
        <f>IFERROR(INDEX(設定!$E$62:$E$201,MATCH($A44,設定!$B$62:$B$201,0)),"")</f>
        <v/>
      </c>
      <c r="D44" s="16">
        <f>IFERROR(INDEX(設定!$F$62:$F$201,MATCH($A44,設定!$B$62:$B$201,0)),"")</f>
        <v/>
      </c>
      <c r="E44" s="67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68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68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67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68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68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67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68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68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67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68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68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67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68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68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67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68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68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67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68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68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67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68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68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67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68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68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67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68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68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67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68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68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67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68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68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67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68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68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67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68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68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67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68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68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67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68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68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67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68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68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67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68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68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67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68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68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67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68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68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67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68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68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67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68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68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67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68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68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67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68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68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67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68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68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67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68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68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67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68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68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67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68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68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67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68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68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67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68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68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67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68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68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69">
        <f>IFERROR(MATCH($A44,醫師週班表!$A$5:$A$44,0),0)</f>
        <v/>
      </c>
    </row>
    <row r="45" ht="17" customHeight="1">
      <c r="A45" s="20" t="n"/>
      <c r="B45" s="16">
        <f>IFERROR(INDEX(設定!$C$62:$C$201,MATCH($A45,設定!$B$62:$B$201,0)),"")</f>
        <v/>
      </c>
      <c r="C45" s="66">
        <f>IFERROR(INDEX(設定!$E$62:$E$201,MATCH($A45,設定!$B$62:$B$201,0)),"")</f>
        <v/>
      </c>
      <c r="D45" s="16">
        <f>IFERROR(INDEX(設定!$F$62:$F$201,MATCH($A45,設定!$B$62:$B$201,0)),"")</f>
        <v/>
      </c>
      <c r="E45" s="67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68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68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67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68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68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67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68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68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67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68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68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67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68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68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67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68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68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67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68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68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67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68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68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67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68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68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67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68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68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67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68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68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67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68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68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67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68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68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67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68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68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67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68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68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67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68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68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67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68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68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67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68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68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67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68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68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67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68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68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67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68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68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67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68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68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67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68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68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67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68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68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67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68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68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67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68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68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67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68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68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67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68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68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67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68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68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67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68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68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67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68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68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IF(E$4="","",IF(COUNTIF(設定!$W$6:$W$40,DATE(設定!$C$2,設定!$D$2,1))&gt;0,"假",IF(INDEX(設定!$U$52:$AO$52,(WEEKDAY(DATE(設定!$C$2,設定!$D$2,1),2)-1)*3+1)=0,"休",COUNTIF(E$6:E$45,"悅"))))</f>
        <v/>
      </c>
      <c r="F47" s="72">
        <f>IF(F$4="","",IF(COUNTIF(設定!$W$6:$W$40,DATE(設定!$C$2,設定!$D$2,1))&gt;0,"假",IF(INDEX(設定!$U$52:$AO$52,(WEEKDAY(DATE(設定!$C$2,設定!$D$2,1),2)-1)*3+2)=0,"休",COUNTIF(F$6:F$45,"悅"))))</f>
        <v/>
      </c>
      <c r="G47" s="72">
        <f>IF(G$4="","",IF(COUNTIF(設定!$W$6:$W$40,DATE(設定!$C$2,設定!$D$2,1))&gt;0,"假",IF(INDEX(設定!$U$52:$AO$52,(WEEKDAY(DATE(設定!$C$2,設定!$D$2,1),2)-1)*3+3)=0,"休",COUNTIF(G$6:G$45,"悅"))))</f>
        <v/>
      </c>
      <c r="H47" s="71">
        <f>IF(H$4="","",IF(COUNTIF(設定!$W$6:$W$40,DATE(設定!$C$2,設定!$D$2,2))&gt;0,"假",IF(INDEX(設定!$U$52:$AO$52,(WEEKDAY(DATE(設定!$C$2,設定!$D$2,2),2)-1)*3+1)=0,"休",COUNTIF(H$6:H$45,"悅"))))</f>
        <v/>
      </c>
      <c r="I47" s="72">
        <f>IF(I$4="","",IF(COUNTIF(設定!$W$6:$W$40,DATE(設定!$C$2,設定!$D$2,2))&gt;0,"假",IF(INDEX(設定!$U$52:$AO$52,(WEEKDAY(DATE(設定!$C$2,設定!$D$2,2),2)-1)*3+2)=0,"休",COUNTIF(I$6:I$45,"悅"))))</f>
        <v/>
      </c>
      <c r="J47" s="72">
        <f>IF(J$4="","",IF(COUNTIF(設定!$W$6:$W$40,DATE(設定!$C$2,設定!$D$2,2))&gt;0,"假",IF(INDEX(設定!$U$52:$AO$52,(WEEKDAY(DATE(設定!$C$2,設定!$D$2,2),2)-1)*3+3)=0,"休",COUNTIF(J$6:J$45,"悅"))))</f>
        <v/>
      </c>
      <c r="K47" s="71">
        <f>IF(K$4="","",IF(COUNTIF(設定!$W$6:$W$40,DATE(設定!$C$2,設定!$D$2,3))&gt;0,"假",IF(INDEX(設定!$U$52:$AO$52,(WEEKDAY(DATE(設定!$C$2,設定!$D$2,3),2)-1)*3+1)=0,"休",COUNTIF(K$6:K$45,"悅"))))</f>
        <v/>
      </c>
      <c r="L47" s="72">
        <f>IF(L$4="","",IF(COUNTIF(設定!$W$6:$W$40,DATE(設定!$C$2,設定!$D$2,3))&gt;0,"假",IF(INDEX(設定!$U$52:$AO$52,(WEEKDAY(DATE(設定!$C$2,設定!$D$2,3),2)-1)*3+2)=0,"休",COUNTIF(L$6:L$45,"悅"))))</f>
        <v/>
      </c>
      <c r="M47" s="72">
        <f>IF(M$4="","",IF(COUNTIF(設定!$W$6:$W$40,DATE(設定!$C$2,設定!$D$2,3))&gt;0,"假",IF(INDEX(設定!$U$52:$AO$52,(WEEKDAY(DATE(設定!$C$2,設定!$D$2,3),2)-1)*3+3)=0,"休",COUNTIF(M$6:M$45,"悅"))))</f>
        <v/>
      </c>
      <c r="N47" s="71">
        <f>IF(N$4="","",IF(COUNTIF(設定!$W$6:$W$40,DATE(設定!$C$2,設定!$D$2,4))&gt;0,"假",IF(INDEX(設定!$U$52:$AO$52,(WEEKDAY(DATE(設定!$C$2,設定!$D$2,4),2)-1)*3+1)=0,"休",COUNTIF(N$6:N$45,"悅"))))</f>
        <v/>
      </c>
      <c r="O47" s="72">
        <f>IF(O$4="","",IF(COUNTIF(設定!$W$6:$W$40,DATE(設定!$C$2,設定!$D$2,4))&gt;0,"假",IF(INDEX(設定!$U$52:$AO$52,(WEEKDAY(DATE(設定!$C$2,設定!$D$2,4),2)-1)*3+2)=0,"休",COUNTIF(O$6:O$45,"悅"))))</f>
        <v/>
      </c>
      <c r="P47" s="72">
        <f>IF(P$4="","",IF(COUNTIF(設定!$W$6:$W$40,DATE(設定!$C$2,設定!$D$2,4))&gt;0,"假",IF(INDEX(設定!$U$52:$AO$52,(WEEKDAY(DATE(設定!$C$2,設定!$D$2,4),2)-1)*3+3)=0,"休",COUNTIF(P$6:P$45,"悅"))))</f>
        <v/>
      </c>
      <c r="Q47" s="71">
        <f>IF(Q$4="","",IF(COUNTIF(設定!$W$6:$W$40,DATE(設定!$C$2,設定!$D$2,5))&gt;0,"假",IF(INDEX(設定!$U$52:$AO$52,(WEEKDAY(DATE(設定!$C$2,設定!$D$2,5),2)-1)*3+1)=0,"休",COUNTIF(Q$6:Q$45,"悅"))))</f>
        <v/>
      </c>
      <c r="R47" s="72">
        <f>IF(R$4="","",IF(COUNTIF(設定!$W$6:$W$40,DATE(設定!$C$2,設定!$D$2,5))&gt;0,"假",IF(INDEX(設定!$U$52:$AO$52,(WEEKDAY(DATE(設定!$C$2,設定!$D$2,5),2)-1)*3+2)=0,"休",COUNTIF(R$6:R$45,"悅"))))</f>
        <v/>
      </c>
      <c r="S47" s="72">
        <f>IF(S$4="","",IF(COUNTIF(設定!$W$6:$W$40,DATE(設定!$C$2,設定!$D$2,5))&gt;0,"假",IF(INDEX(設定!$U$52:$AO$52,(WEEKDAY(DATE(設定!$C$2,設定!$D$2,5),2)-1)*3+3)=0,"休",COUNTIF(S$6:S$45,"悅"))))</f>
        <v/>
      </c>
      <c r="T47" s="71">
        <f>IF(T$4="","",IF(COUNTIF(設定!$W$6:$W$40,DATE(設定!$C$2,設定!$D$2,6))&gt;0,"假",IF(INDEX(設定!$U$52:$AO$52,(WEEKDAY(DATE(設定!$C$2,設定!$D$2,6),2)-1)*3+1)=0,"休",COUNTIF(T$6:T$45,"悅"))))</f>
        <v/>
      </c>
      <c r="U47" s="72">
        <f>IF(U$4="","",IF(COUNTIF(設定!$W$6:$W$40,DATE(設定!$C$2,設定!$D$2,6))&gt;0,"假",IF(INDEX(設定!$U$52:$AO$52,(WEEKDAY(DATE(設定!$C$2,設定!$D$2,6),2)-1)*3+2)=0,"休",COUNTIF(U$6:U$45,"悅"))))</f>
        <v/>
      </c>
      <c r="V47" s="72">
        <f>IF(V$4="","",IF(COUNTIF(設定!$W$6:$W$40,DATE(設定!$C$2,設定!$D$2,6))&gt;0,"假",IF(INDEX(設定!$U$52:$AO$52,(WEEKDAY(DATE(設定!$C$2,設定!$D$2,6),2)-1)*3+3)=0,"休",COUNTIF(V$6:V$45,"悅"))))</f>
        <v/>
      </c>
      <c r="W47" s="71">
        <f>IF(W$4="","",IF(COUNTIF(設定!$W$6:$W$40,DATE(設定!$C$2,設定!$D$2,7))&gt;0,"假",IF(INDEX(設定!$U$52:$AO$52,(WEEKDAY(DATE(設定!$C$2,設定!$D$2,7),2)-1)*3+1)=0,"休",COUNTIF(W$6:W$45,"悅"))))</f>
        <v/>
      </c>
      <c r="X47" s="72">
        <f>IF(X$4="","",IF(COUNTIF(設定!$W$6:$W$40,DATE(設定!$C$2,設定!$D$2,7))&gt;0,"假",IF(INDEX(設定!$U$52:$AO$52,(WEEKDAY(DATE(設定!$C$2,設定!$D$2,7),2)-1)*3+2)=0,"休",COUNTIF(X$6:X$45,"悅"))))</f>
        <v/>
      </c>
      <c r="Y47" s="72">
        <f>IF(Y$4="","",IF(COUNTIF(設定!$W$6:$W$40,DATE(設定!$C$2,設定!$D$2,7))&gt;0,"假",IF(INDEX(設定!$U$52:$AO$52,(WEEKDAY(DATE(設定!$C$2,設定!$D$2,7),2)-1)*3+3)=0,"休",COUNTIF(Y$6:Y$45,"悅"))))</f>
        <v/>
      </c>
      <c r="Z47" s="71">
        <f>IF(Z$4="","",IF(COUNTIF(設定!$W$6:$W$40,DATE(設定!$C$2,設定!$D$2,8))&gt;0,"假",IF(INDEX(設定!$U$52:$AO$52,(WEEKDAY(DATE(設定!$C$2,設定!$D$2,8),2)-1)*3+1)=0,"休",COUNTIF(Z$6:Z$45,"悅"))))</f>
        <v/>
      </c>
      <c r="AA47" s="72">
        <f>IF(AA$4="","",IF(COUNTIF(設定!$W$6:$W$40,DATE(設定!$C$2,設定!$D$2,8))&gt;0,"假",IF(INDEX(設定!$U$52:$AO$52,(WEEKDAY(DATE(設定!$C$2,設定!$D$2,8),2)-1)*3+2)=0,"休",COUNTIF(AA$6:AA$45,"悅"))))</f>
        <v/>
      </c>
      <c r="AB47" s="72">
        <f>IF(AB$4="","",IF(COUNTIF(設定!$W$6:$W$40,DATE(設定!$C$2,設定!$D$2,8))&gt;0,"假",IF(INDEX(設定!$U$52:$AO$52,(WEEKDAY(DATE(設定!$C$2,設定!$D$2,8),2)-1)*3+3)=0,"休",COUNTIF(AB$6:AB$45,"悅"))))</f>
        <v/>
      </c>
      <c r="AC47" s="71">
        <f>IF(AC$4="","",IF(COUNTIF(設定!$W$6:$W$40,DATE(設定!$C$2,設定!$D$2,9))&gt;0,"假",IF(INDEX(設定!$U$52:$AO$52,(WEEKDAY(DATE(設定!$C$2,設定!$D$2,9),2)-1)*3+1)=0,"休",COUNTIF(AC$6:AC$45,"悅"))))</f>
        <v/>
      </c>
      <c r="AD47" s="72">
        <f>IF(AD$4="","",IF(COUNTIF(設定!$W$6:$W$40,DATE(設定!$C$2,設定!$D$2,9))&gt;0,"假",IF(INDEX(設定!$U$52:$AO$52,(WEEKDAY(DATE(設定!$C$2,設定!$D$2,9),2)-1)*3+2)=0,"休",COUNTIF(AD$6:AD$45,"悅"))))</f>
        <v/>
      </c>
      <c r="AE47" s="72">
        <f>IF(AE$4="","",IF(COUNTIF(設定!$W$6:$W$40,DATE(設定!$C$2,設定!$D$2,9))&gt;0,"假",IF(INDEX(設定!$U$52:$AO$52,(WEEKDAY(DATE(設定!$C$2,設定!$D$2,9),2)-1)*3+3)=0,"休",COUNTIF(AE$6:AE$45,"悅"))))</f>
        <v/>
      </c>
      <c r="AF47" s="71">
        <f>IF(AF$4="","",IF(COUNTIF(設定!$W$6:$W$40,DATE(設定!$C$2,設定!$D$2,10))&gt;0,"假",IF(INDEX(設定!$U$52:$AO$52,(WEEKDAY(DATE(設定!$C$2,設定!$D$2,10),2)-1)*3+1)=0,"休",COUNTIF(AF$6:AF$45,"悅"))))</f>
        <v/>
      </c>
      <c r="AG47" s="72">
        <f>IF(AG$4="","",IF(COUNTIF(設定!$W$6:$W$40,DATE(設定!$C$2,設定!$D$2,10))&gt;0,"假",IF(INDEX(設定!$U$52:$AO$52,(WEEKDAY(DATE(設定!$C$2,設定!$D$2,10),2)-1)*3+2)=0,"休",COUNTIF(AG$6:AG$45,"悅"))))</f>
        <v/>
      </c>
      <c r="AH47" s="72">
        <f>IF(AH$4="","",IF(COUNTIF(設定!$W$6:$W$40,DATE(設定!$C$2,設定!$D$2,10))&gt;0,"假",IF(INDEX(設定!$U$52:$AO$52,(WEEKDAY(DATE(設定!$C$2,設定!$D$2,10),2)-1)*3+3)=0,"休",COUNTIF(AH$6:AH$45,"悅"))))</f>
        <v/>
      </c>
      <c r="AI47" s="71">
        <f>IF(AI$4="","",IF(COUNTIF(設定!$W$6:$W$40,DATE(設定!$C$2,設定!$D$2,11))&gt;0,"假",IF(INDEX(設定!$U$52:$AO$52,(WEEKDAY(DATE(設定!$C$2,設定!$D$2,11),2)-1)*3+1)=0,"休",COUNTIF(AI$6:AI$45,"悅"))))</f>
        <v/>
      </c>
      <c r="AJ47" s="72">
        <f>IF(AJ$4="","",IF(COUNTIF(設定!$W$6:$W$40,DATE(設定!$C$2,設定!$D$2,11))&gt;0,"假",IF(INDEX(設定!$U$52:$AO$52,(WEEKDAY(DATE(設定!$C$2,設定!$D$2,11),2)-1)*3+2)=0,"休",COUNTIF(AJ$6:AJ$45,"悅"))))</f>
        <v/>
      </c>
      <c r="AK47" s="72">
        <f>IF(AK$4="","",IF(COUNTIF(設定!$W$6:$W$40,DATE(設定!$C$2,設定!$D$2,11))&gt;0,"假",IF(INDEX(設定!$U$52:$AO$52,(WEEKDAY(DATE(設定!$C$2,設定!$D$2,11),2)-1)*3+3)=0,"休",COUNTIF(AK$6:AK$45,"悅"))))</f>
        <v/>
      </c>
      <c r="AL47" s="71">
        <f>IF(AL$4="","",IF(COUNTIF(設定!$W$6:$W$40,DATE(設定!$C$2,設定!$D$2,12))&gt;0,"假",IF(INDEX(設定!$U$52:$AO$52,(WEEKDAY(DATE(設定!$C$2,設定!$D$2,12),2)-1)*3+1)=0,"休",COUNTIF(AL$6:AL$45,"悅"))))</f>
        <v/>
      </c>
      <c r="AM47" s="72">
        <f>IF(AM$4="","",IF(COUNTIF(設定!$W$6:$W$40,DATE(設定!$C$2,設定!$D$2,12))&gt;0,"假",IF(INDEX(設定!$U$52:$AO$52,(WEEKDAY(DATE(設定!$C$2,設定!$D$2,12),2)-1)*3+2)=0,"休",COUNTIF(AM$6:AM$45,"悅"))))</f>
        <v/>
      </c>
      <c r="AN47" s="72">
        <f>IF(AN$4="","",IF(COUNTIF(設定!$W$6:$W$40,DATE(設定!$C$2,設定!$D$2,12))&gt;0,"假",IF(INDEX(設定!$U$52:$AO$52,(WEEKDAY(DATE(設定!$C$2,設定!$D$2,12),2)-1)*3+3)=0,"休",COUNTIF(AN$6:AN$45,"悅"))))</f>
        <v/>
      </c>
      <c r="AO47" s="71">
        <f>IF(AO$4="","",IF(COUNTIF(設定!$W$6:$W$40,DATE(設定!$C$2,設定!$D$2,13))&gt;0,"假",IF(INDEX(設定!$U$52:$AO$52,(WEEKDAY(DATE(設定!$C$2,設定!$D$2,13),2)-1)*3+1)=0,"休",COUNTIF(AO$6:AO$45,"悅"))))</f>
        <v/>
      </c>
      <c r="AP47" s="72">
        <f>IF(AP$4="","",IF(COUNTIF(設定!$W$6:$W$40,DATE(設定!$C$2,設定!$D$2,13))&gt;0,"假",IF(INDEX(設定!$U$52:$AO$52,(WEEKDAY(DATE(設定!$C$2,設定!$D$2,13),2)-1)*3+2)=0,"休",COUNTIF(AP$6:AP$45,"悅"))))</f>
        <v/>
      </c>
      <c r="AQ47" s="72">
        <f>IF(AQ$4="","",IF(COUNTIF(設定!$W$6:$W$40,DATE(設定!$C$2,設定!$D$2,13))&gt;0,"假",IF(INDEX(設定!$U$52:$AO$52,(WEEKDAY(DATE(設定!$C$2,設定!$D$2,13),2)-1)*3+3)=0,"休",COUNTIF(AQ$6:AQ$45,"悅"))))</f>
        <v/>
      </c>
      <c r="AR47" s="71">
        <f>IF(AR$4="","",IF(COUNTIF(設定!$W$6:$W$40,DATE(設定!$C$2,設定!$D$2,14))&gt;0,"假",IF(INDEX(設定!$U$52:$AO$52,(WEEKDAY(DATE(設定!$C$2,設定!$D$2,14),2)-1)*3+1)=0,"休",COUNTIF(AR$6:AR$45,"悅"))))</f>
        <v/>
      </c>
      <c r="AS47" s="72">
        <f>IF(AS$4="","",IF(COUNTIF(設定!$W$6:$W$40,DATE(設定!$C$2,設定!$D$2,14))&gt;0,"假",IF(INDEX(設定!$U$52:$AO$52,(WEEKDAY(DATE(設定!$C$2,設定!$D$2,14),2)-1)*3+2)=0,"休",COUNTIF(AS$6:AS$45,"悅"))))</f>
        <v/>
      </c>
      <c r="AT47" s="72">
        <f>IF(AT$4="","",IF(COUNTIF(設定!$W$6:$W$40,DATE(設定!$C$2,設定!$D$2,14))&gt;0,"假",IF(INDEX(設定!$U$52:$AO$52,(WEEKDAY(DATE(設定!$C$2,設定!$D$2,14),2)-1)*3+3)=0,"休",COUNTIF(AT$6:AT$45,"悅"))))</f>
        <v/>
      </c>
      <c r="AU47" s="71">
        <f>IF(AU$4="","",IF(COUNTIF(設定!$W$6:$W$40,DATE(設定!$C$2,設定!$D$2,15))&gt;0,"假",IF(INDEX(設定!$U$52:$AO$52,(WEEKDAY(DATE(設定!$C$2,設定!$D$2,15),2)-1)*3+1)=0,"休",COUNTIF(AU$6:AU$45,"悅"))))</f>
        <v/>
      </c>
      <c r="AV47" s="72">
        <f>IF(AV$4="","",IF(COUNTIF(設定!$W$6:$W$40,DATE(設定!$C$2,設定!$D$2,15))&gt;0,"假",IF(INDEX(設定!$U$52:$AO$52,(WEEKDAY(DATE(設定!$C$2,設定!$D$2,15),2)-1)*3+2)=0,"休",COUNTIF(AV$6:AV$45,"悅"))))</f>
        <v/>
      </c>
      <c r="AW47" s="72">
        <f>IF(AW$4="","",IF(COUNTIF(設定!$W$6:$W$40,DATE(設定!$C$2,設定!$D$2,15))&gt;0,"假",IF(INDEX(設定!$U$52:$AO$52,(WEEKDAY(DATE(設定!$C$2,設定!$D$2,15),2)-1)*3+3)=0,"休",COUNTIF(AW$6:AW$45,"悅"))))</f>
        <v/>
      </c>
      <c r="AX47" s="71">
        <f>IF(AX$4="","",IF(COUNTIF(設定!$W$6:$W$40,DATE(設定!$C$2,設定!$D$2,16))&gt;0,"假",IF(INDEX(設定!$U$52:$AO$52,(WEEKDAY(DATE(設定!$C$2,設定!$D$2,16),2)-1)*3+1)=0,"休",COUNTIF(AX$6:AX$45,"悅"))))</f>
        <v/>
      </c>
      <c r="AY47" s="72">
        <f>IF(AY$4="","",IF(COUNTIF(設定!$W$6:$W$40,DATE(設定!$C$2,設定!$D$2,16))&gt;0,"假",IF(INDEX(設定!$U$52:$AO$52,(WEEKDAY(DATE(設定!$C$2,設定!$D$2,16),2)-1)*3+2)=0,"休",COUNTIF(AY$6:AY$45,"悅"))))</f>
        <v/>
      </c>
      <c r="AZ47" s="72">
        <f>IF(AZ$4="","",IF(COUNTIF(設定!$W$6:$W$40,DATE(設定!$C$2,設定!$D$2,16))&gt;0,"假",IF(INDEX(設定!$U$52:$AO$52,(WEEKDAY(DATE(設定!$C$2,設定!$D$2,16),2)-1)*3+3)=0,"休",COUNTIF(AZ$6:AZ$45,"悅"))))</f>
        <v/>
      </c>
      <c r="BA47" s="71">
        <f>IF(BA$4="","",IF(COUNTIF(設定!$W$6:$W$40,DATE(設定!$C$2,設定!$D$2,17))&gt;0,"假",IF(INDEX(設定!$U$52:$AO$52,(WEEKDAY(DATE(設定!$C$2,設定!$D$2,17),2)-1)*3+1)=0,"休",COUNTIF(BA$6:BA$45,"悅"))))</f>
        <v/>
      </c>
      <c r="BB47" s="72">
        <f>IF(BB$4="","",IF(COUNTIF(設定!$W$6:$W$40,DATE(設定!$C$2,設定!$D$2,17))&gt;0,"假",IF(INDEX(設定!$U$52:$AO$52,(WEEKDAY(DATE(設定!$C$2,設定!$D$2,17),2)-1)*3+2)=0,"休",COUNTIF(BB$6:BB$45,"悅"))))</f>
        <v/>
      </c>
      <c r="BC47" s="72">
        <f>IF(BC$4="","",IF(COUNTIF(設定!$W$6:$W$40,DATE(設定!$C$2,設定!$D$2,17))&gt;0,"假",IF(INDEX(設定!$U$52:$AO$52,(WEEKDAY(DATE(設定!$C$2,設定!$D$2,17),2)-1)*3+3)=0,"休",COUNTIF(BC$6:BC$45,"悅"))))</f>
        <v/>
      </c>
      <c r="BD47" s="71">
        <f>IF(BD$4="","",IF(COUNTIF(設定!$W$6:$W$40,DATE(設定!$C$2,設定!$D$2,18))&gt;0,"假",IF(INDEX(設定!$U$52:$AO$52,(WEEKDAY(DATE(設定!$C$2,設定!$D$2,18),2)-1)*3+1)=0,"休",COUNTIF(BD$6:BD$45,"悅"))))</f>
        <v/>
      </c>
      <c r="BE47" s="72">
        <f>IF(BE$4="","",IF(COUNTIF(設定!$W$6:$W$40,DATE(設定!$C$2,設定!$D$2,18))&gt;0,"假",IF(INDEX(設定!$U$52:$AO$52,(WEEKDAY(DATE(設定!$C$2,設定!$D$2,18),2)-1)*3+2)=0,"休",COUNTIF(BE$6:BE$45,"悅"))))</f>
        <v/>
      </c>
      <c r="BF47" s="72">
        <f>IF(BF$4="","",IF(COUNTIF(設定!$W$6:$W$40,DATE(設定!$C$2,設定!$D$2,18))&gt;0,"假",IF(INDEX(設定!$U$52:$AO$52,(WEEKDAY(DATE(設定!$C$2,設定!$D$2,18),2)-1)*3+3)=0,"休",COUNTIF(BF$6:BF$45,"悅"))))</f>
        <v/>
      </c>
      <c r="BG47" s="71">
        <f>IF(BG$4="","",IF(COUNTIF(設定!$W$6:$W$40,DATE(設定!$C$2,設定!$D$2,19))&gt;0,"假",IF(INDEX(設定!$U$52:$AO$52,(WEEKDAY(DATE(設定!$C$2,設定!$D$2,19),2)-1)*3+1)=0,"休",COUNTIF(BG$6:BG$45,"悅"))))</f>
        <v/>
      </c>
      <c r="BH47" s="72">
        <f>IF(BH$4="","",IF(COUNTIF(設定!$W$6:$W$40,DATE(設定!$C$2,設定!$D$2,19))&gt;0,"假",IF(INDEX(設定!$U$52:$AO$52,(WEEKDAY(DATE(設定!$C$2,設定!$D$2,19),2)-1)*3+2)=0,"休",COUNTIF(BH$6:BH$45,"悅"))))</f>
        <v/>
      </c>
      <c r="BI47" s="72">
        <f>IF(BI$4="","",IF(COUNTIF(設定!$W$6:$W$40,DATE(設定!$C$2,設定!$D$2,19))&gt;0,"假",IF(INDEX(設定!$U$52:$AO$52,(WEEKDAY(DATE(設定!$C$2,設定!$D$2,19),2)-1)*3+3)=0,"休",COUNTIF(BI$6:BI$45,"悅"))))</f>
        <v/>
      </c>
      <c r="BJ47" s="71">
        <f>IF(BJ$4="","",IF(COUNTIF(設定!$W$6:$W$40,DATE(設定!$C$2,設定!$D$2,20))&gt;0,"假",IF(INDEX(設定!$U$52:$AO$52,(WEEKDAY(DATE(設定!$C$2,設定!$D$2,20),2)-1)*3+1)=0,"休",COUNTIF(BJ$6:BJ$45,"悅"))))</f>
        <v/>
      </c>
      <c r="BK47" s="72">
        <f>IF(BK$4="","",IF(COUNTIF(設定!$W$6:$W$40,DATE(設定!$C$2,設定!$D$2,20))&gt;0,"假",IF(INDEX(設定!$U$52:$AO$52,(WEEKDAY(DATE(設定!$C$2,設定!$D$2,20),2)-1)*3+2)=0,"休",COUNTIF(BK$6:BK$45,"悅"))))</f>
        <v/>
      </c>
      <c r="BL47" s="72">
        <f>IF(BL$4="","",IF(COUNTIF(設定!$W$6:$W$40,DATE(設定!$C$2,設定!$D$2,20))&gt;0,"假",IF(INDEX(設定!$U$52:$AO$52,(WEEKDAY(DATE(設定!$C$2,設定!$D$2,20),2)-1)*3+3)=0,"休",COUNTIF(BL$6:BL$45,"悅"))))</f>
        <v/>
      </c>
      <c r="BM47" s="71">
        <f>IF(BM$4="","",IF(COUNTIF(設定!$W$6:$W$40,DATE(設定!$C$2,設定!$D$2,21))&gt;0,"假",IF(INDEX(設定!$U$52:$AO$52,(WEEKDAY(DATE(設定!$C$2,設定!$D$2,21),2)-1)*3+1)=0,"休",COUNTIF(BM$6:BM$45,"悅"))))</f>
        <v/>
      </c>
      <c r="BN47" s="72">
        <f>IF(BN$4="","",IF(COUNTIF(設定!$W$6:$W$40,DATE(設定!$C$2,設定!$D$2,21))&gt;0,"假",IF(INDEX(設定!$U$52:$AO$52,(WEEKDAY(DATE(設定!$C$2,設定!$D$2,21),2)-1)*3+2)=0,"休",COUNTIF(BN$6:BN$45,"悅"))))</f>
        <v/>
      </c>
      <c r="BO47" s="72">
        <f>IF(BO$4="","",IF(COUNTIF(設定!$W$6:$W$40,DATE(設定!$C$2,設定!$D$2,21))&gt;0,"假",IF(INDEX(設定!$U$52:$AO$52,(WEEKDAY(DATE(設定!$C$2,設定!$D$2,21),2)-1)*3+3)=0,"休",COUNTIF(BO$6:BO$45,"悅"))))</f>
        <v/>
      </c>
      <c r="BP47" s="71">
        <f>IF(BP$4="","",IF(COUNTIF(設定!$W$6:$W$40,DATE(設定!$C$2,設定!$D$2,22))&gt;0,"假",IF(INDEX(設定!$U$52:$AO$52,(WEEKDAY(DATE(設定!$C$2,設定!$D$2,22),2)-1)*3+1)=0,"休",COUNTIF(BP$6:BP$45,"悅"))))</f>
        <v/>
      </c>
      <c r="BQ47" s="72">
        <f>IF(BQ$4="","",IF(COUNTIF(設定!$W$6:$W$40,DATE(設定!$C$2,設定!$D$2,22))&gt;0,"假",IF(INDEX(設定!$U$52:$AO$52,(WEEKDAY(DATE(設定!$C$2,設定!$D$2,22),2)-1)*3+2)=0,"休",COUNTIF(BQ$6:BQ$45,"悅"))))</f>
        <v/>
      </c>
      <c r="BR47" s="72">
        <f>IF(BR$4="","",IF(COUNTIF(設定!$W$6:$W$40,DATE(設定!$C$2,設定!$D$2,22))&gt;0,"假",IF(INDEX(設定!$U$52:$AO$52,(WEEKDAY(DATE(設定!$C$2,設定!$D$2,22),2)-1)*3+3)=0,"休",COUNTIF(BR$6:BR$45,"悅"))))</f>
        <v/>
      </c>
      <c r="BS47" s="71">
        <f>IF(BS$4="","",IF(COUNTIF(設定!$W$6:$W$40,DATE(設定!$C$2,設定!$D$2,23))&gt;0,"假",IF(INDEX(設定!$U$52:$AO$52,(WEEKDAY(DATE(設定!$C$2,設定!$D$2,23),2)-1)*3+1)=0,"休",COUNTIF(BS$6:BS$45,"悅"))))</f>
        <v/>
      </c>
      <c r="BT47" s="72">
        <f>IF(BT$4="","",IF(COUNTIF(設定!$W$6:$W$40,DATE(設定!$C$2,設定!$D$2,23))&gt;0,"假",IF(INDEX(設定!$U$52:$AO$52,(WEEKDAY(DATE(設定!$C$2,設定!$D$2,23),2)-1)*3+2)=0,"休",COUNTIF(BT$6:BT$45,"悅"))))</f>
        <v/>
      </c>
      <c r="BU47" s="72">
        <f>IF(BU$4="","",IF(COUNTIF(設定!$W$6:$W$40,DATE(設定!$C$2,設定!$D$2,23))&gt;0,"假",IF(INDEX(設定!$U$52:$AO$52,(WEEKDAY(DATE(設定!$C$2,設定!$D$2,23),2)-1)*3+3)=0,"休",COUNTIF(BU$6:BU$45,"悅"))))</f>
        <v/>
      </c>
      <c r="BV47" s="71">
        <f>IF(BV$4="","",IF(COUNTIF(設定!$W$6:$W$40,DATE(設定!$C$2,設定!$D$2,24))&gt;0,"假",IF(INDEX(設定!$U$52:$AO$52,(WEEKDAY(DATE(設定!$C$2,設定!$D$2,24),2)-1)*3+1)=0,"休",COUNTIF(BV$6:BV$45,"悅"))))</f>
        <v/>
      </c>
      <c r="BW47" s="72">
        <f>IF(BW$4="","",IF(COUNTIF(設定!$W$6:$W$40,DATE(設定!$C$2,設定!$D$2,24))&gt;0,"假",IF(INDEX(設定!$U$52:$AO$52,(WEEKDAY(DATE(設定!$C$2,設定!$D$2,24),2)-1)*3+2)=0,"休",COUNTIF(BW$6:BW$45,"悅"))))</f>
        <v/>
      </c>
      <c r="BX47" s="72">
        <f>IF(BX$4="","",IF(COUNTIF(設定!$W$6:$W$40,DATE(設定!$C$2,設定!$D$2,24))&gt;0,"假",IF(INDEX(設定!$U$52:$AO$52,(WEEKDAY(DATE(設定!$C$2,設定!$D$2,24),2)-1)*3+3)=0,"休",COUNTIF(BX$6:BX$45,"悅"))))</f>
        <v/>
      </c>
      <c r="BY47" s="71">
        <f>IF(BY$4="","",IF(COUNTIF(設定!$W$6:$W$40,DATE(設定!$C$2,設定!$D$2,25))&gt;0,"假",IF(INDEX(設定!$U$52:$AO$52,(WEEKDAY(DATE(設定!$C$2,設定!$D$2,25),2)-1)*3+1)=0,"休",COUNTIF(BY$6:BY$45,"悅"))))</f>
        <v/>
      </c>
      <c r="BZ47" s="72">
        <f>IF(BZ$4="","",IF(COUNTIF(設定!$W$6:$W$40,DATE(設定!$C$2,設定!$D$2,25))&gt;0,"假",IF(INDEX(設定!$U$52:$AO$52,(WEEKDAY(DATE(設定!$C$2,設定!$D$2,25),2)-1)*3+2)=0,"休",COUNTIF(BZ$6:BZ$45,"悅"))))</f>
        <v/>
      </c>
      <c r="CA47" s="72">
        <f>IF(CA$4="","",IF(COUNTIF(設定!$W$6:$W$40,DATE(設定!$C$2,設定!$D$2,25))&gt;0,"假",IF(INDEX(設定!$U$52:$AO$52,(WEEKDAY(DATE(設定!$C$2,設定!$D$2,25),2)-1)*3+3)=0,"休",COUNTIF(CA$6:CA$45,"悅"))))</f>
        <v/>
      </c>
      <c r="CB47" s="71">
        <f>IF(CB$4="","",IF(COUNTIF(設定!$W$6:$W$40,DATE(設定!$C$2,設定!$D$2,26))&gt;0,"假",IF(INDEX(設定!$U$52:$AO$52,(WEEKDAY(DATE(設定!$C$2,設定!$D$2,26),2)-1)*3+1)=0,"休",COUNTIF(CB$6:CB$45,"悅"))))</f>
        <v/>
      </c>
      <c r="CC47" s="72">
        <f>IF(CC$4="","",IF(COUNTIF(設定!$W$6:$W$40,DATE(設定!$C$2,設定!$D$2,26))&gt;0,"假",IF(INDEX(設定!$U$52:$AO$52,(WEEKDAY(DATE(設定!$C$2,設定!$D$2,26),2)-1)*3+2)=0,"休",COUNTIF(CC$6:CC$45,"悅"))))</f>
        <v/>
      </c>
      <c r="CD47" s="72">
        <f>IF(CD$4="","",IF(COUNTIF(設定!$W$6:$W$40,DATE(設定!$C$2,設定!$D$2,26))&gt;0,"假",IF(INDEX(設定!$U$52:$AO$52,(WEEKDAY(DATE(設定!$C$2,設定!$D$2,26),2)-1)*3+3)=0,"休",COUNTIF(CD$6:CD$45,"悅"))))</f>
        <v/>
      </c>
      <c r="CE47" s="71">
        <f>IF(CE$4="","",IF(COUNTIF(設定!$W$6:$W$40,DATE(設定!$C$2,設定!$D$2,27))&gt;0,"假",IF(INDEX(設定!$U$52:$AO$52,(WEEKDAY(DATE(設定!$C$2,設定!$D$2,27),2)-1)*3+1)=0,"休",COUNTIF(CE$6:CE$45,"悅"))))</f>
        <v/>
      </c>
      <c r="CF47" s="72">
        <f>IF(CF$4="","",IF(COUNTIF(設定!$W$6:$W$40,DATE(設定!$C$2,設定!$D$2,27))&gt;0,"假",IF(INDEX(設定!$U$52:$AO$52,(WEEKDAY(DATE(設定!$C$2,設定!$D$2,27),2)-1)*3+2)=0,"休",COUNTIF(CF$6:CF$45,"悅"))))</f>
        <v/>
      </c>
      <c r="CG47" s="72">
        <f>IF(CG$4="","",IF(COUNTIF(設定!$W$6:$W$40,DATE(設定!$C$2,設定!$D$2,27))&gt;0,"假",IF(INDEX(設定!$U$52:$AO$52,(WEEKDAY(DATE(設定!$C$2,設定!$D$2,27),2)-1)*3+3)=0,"休",COUNTIF(CG$6:CG$45,"悅"))))</f>
        <v/>
      </c>
      <c r="CH47" s="71">
        <f>IF(CH$4="","",IF(COUNTIF(設定!$W$6:$W$40,DATE(設定!$C$2,設定!$D$2,28))&gt;0,"假",IF(INDEX(設定!$U$52:$AO$52,(WEEKDAY(DATE(設定!$C$2,設定!$D$2,28),2)-1)*3+1)=0,"休",COUNTIF(CH$6:CH$45,"悅"))))</f>
        <v/>
      </c>
      <c r="CI47" s="72">
        <f>IF(CI$4="","",IF(COUNTIF(設定!$W$6:$W$40,DATE(設定!$C$2,設定!$D$2,28))&gt;0,"假",IF(INDEX(設定!$U$52:$AO$52,(WEEKDAY(DATE(設定!$C$2,設定!$D$2,28),2)-1)*3+2)=0,"休",COUNTIF(CI$6:CI$45,"悅"))))</f>
        <v/>
      </c>
      <c r="CJ47" s="72">
        <f>IF(CJ$4="","",IF(COUNTIF(設定!$W$6:$W$40,DATE(設定!$C$2,設定!$D$2,28))&gt;0,"假",IF(INDEX(設定!$U$52:$AO$52,(WEEKDAY(DATE(設定!$C$2,設定!$D$2,28),2)-1)*3+3)=0,"休",COUNTIF(CJ$6:CJ$45,"悅"))))</f>
        <v/>
      </c>
      <c r="CK47" s="71">
        <f>IF(CK$4="","",IF(COUNTIF(設定!$W$6:$W$40,DATE(設定!$C$2,設定!$D$2,29))&gt;0,"假",IF(INDEX(設定!$U$52:$AO$52,(WEEKDAY(DATE(設定!$C$2,設定!$D$2,29),2)-1)*3+1)=0,"休",COUNTIF(CK$6:CK$45,"悅"))))</f>
        <v/>
      </c>
      <c r="CL47" s="72">
        <f>IF(CL$4="","",IF(COUNTIF(設定!$W$6:$W$40,DATE(設定!$C$2,設定!$D$2,29))&gt;0,"假",IF(INDEX(設定!$U$52:$AO$52,(WEEKDAY(DATE(設定!$C$2,設定!$D$2,29),2)-1)*3+2)=0,"休",COUNTIF(CL$6:CL$45,"悅"))))</f>
        <v/>
      </c>
      <c r="CM47" s="72">
        <f>IF(CM$4="","",IF(COUNTIF(設定!$W$6:$W$40,DATE(設定!$C$2,設定!$D$2,29))&gt;0,"假",IF(INDEX(設定!$U$52:$AO$52,(WEEKDAY(DATE(設定!$C$2,設定!$D$2,29),2)-1)*3+3)=0,"休",COUNTIF(CM$6:CM$45,"悅"))))</f>
        <v/>
      </c>
      <c r="CN47" s="71">
        <f>IF(CN$4="","",IF(COUNTIF(設定!$W$6:$W$40,DATE(設定!$C$2,設定!$D$2,30))&gt;0,"假",IF(INDEX(設定!$U$52:$AO$52,(WEEKDAY(DATE(設定!$C$2,設定!$D$2,30),2)-1)*3+1)=0,"休",COUNTIF(CN$6:CN$45,"悅"))))</f>
        <v/>
      </c>
      <c r="CO47" s="72">
        <f>IF(CO$4="","",IF(COUNTIF(設定!$W$6:$W$40,DATE(設定!$C$2,設定!$D$2,30))&gt;0,"假",IF(INDEX(設定!$U$52:$AO$52,(WEEKDAY(DATE(設定!$C$2,設定!$D$2,30),2)-1)*3+2)=0,"休",COUNTIF(CO$6:CO$45,"悅"))))</f>
        <v/>
      </c>
      <c r="CP47" s="72">
        <f>IF(CP$4="","",IF(COUNTIF(設定!$W$6:$W$40,DATE(設定!$C$2,設定!$D$2,30))&gt;0,"假",IF(INDEX(設定!$U$52:$AO$52,(WEEKDAY(DATE(設定!$C$2,設定!$D$2,30),2)-1)*3+3)=0,"休",COUNTIF(CP$6:CP$45,"悅"))))</f>
        <v/>
      </c>
      <c r="CQ47" s="71">
        <f>IF(CQ$4="","",IF(COUNTIF(設定!$W$6:$W$40,DATE(設定!$C$2,設定!$D$2,31))&gt;0,"假",IF(INDEX(設定!$U$52:$AO$52,(WEEKDAY(DATE(設定!$C$2,設定!$D$2,31),2)-1)*3+1)=0,"休",COUNTIF(CQ$6:CQ$45,"悅"))))</f>
        <v/>
      </c>
      <c r="CR47" s="72">
        <f>IF(CR$4="","",IF(COUNTIF(設定!$W$6:$W$40,DATE(設定!$C$2,設定!$D$2,31))&gt;0,"假",IF(INDEX(設定!$U$52:$AO$52,(WEEKDAY(DATE(設定!$C$2,設定!$D$2,31),2)-1)*3+2)=0,"休",COUNTIF(CR$6:CR$45,"悅"))))</f>
        <v/>
      </c>
      <c r="CS47" s="72">
        <f>IF(CS$4="","",IF(COUNTIF(設定!$W$6:$W$40,DATE(設定!$C$2,設定!$D$2,31))&gt;0,"假",IF(INDEX(設定!$U$52:$AO$52,(WEEKDAY(DATE(設定!$C$2,設定!$D$2,31),2)-1)*3+3)=0,"休",COUNTIF(CS$6:CS$45,"悅"))))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IF(E$4="","",IF(COUNTIF(設定!$W$6:$W$40,DATE(設定!$C$2,設定!$D$2,1))&gt;0,"假",IF(INDEX(設定!$U$53:$AO$53,(WEEKDAY(DATE(設定!$C$2,設定!$D$2,1),2)-1)*3+1)=0,"休",COUNTIF(E$6:E$45,"睿"))))</f>
        <v/>
      </c>
      <c r="F48" s="72">
        <f>IF(F$4="","",IF(COUNTIF(設定!$W$6:$W$40,DATE(設定!$C$2,設定!$D$2,1))&gt;0,"假",IF(INDEX(設定!$U$53:$AO$53,(WEEKDAY(DATE(設定!$C$2,設定!$D$2,1),2)-1)*3+2)=0,"休",COUNTIF(F$6:F$45,"睿"))))</f>
        <v/>
      </c>
      <c r="G48" s="72">
        <f>IF(G$4="","",IF(COUNTIF(設定!$W$6:$W$40,DATE(設定!$C$2,設定!$D$2,1))&gt;0,"假",IF(INDEX(設定!$U$53:$AO$53,(WEEKDAY(DATE(設定!$C$2,設定!$D$2,1),2)-1)*3+3)=0,"休",COUNTIF(G$6:G$45,"睿"))))</f>
        <v/>
      </c>
      <c r="H48" s="71">
        <f>IF(H$4="","",IF(COUNTIF(設定!$W$6:$W$40,DATE(設定!$C$2,設定!$D$2,2))&gt;0,"假",IF(INDEX(設定!$U$53:$AO$53,(WEEKDAY(DATE(設定!$C$2,設定!$D$2,2),2)-1)*3+1)=0,"休",COUNTIF(H$6:H$45,"睿"))))</f>
        <v/>
      </c>
      <c r="I48" s="72">
        <f>IF(I$4="","",IF(COUNTIF(設定!$W$6:$W$40,DATE(設定!$C$2,設定!$D$2,2))&gt;0,"假",IF(INDEX(設定!$U$53:$AO$53,(WEEKDAY(DATE(設定!$C$2,設定!$D$2,2),2)-1)*3+2)=0,"休",COUNTIF(I$6:I$45,"睿"))))</f>
        <v/>
      </c>
      <c r="J48" s="72">
        <f>IF(J$4="","",IF(COUNTIF(設定!$W$6:$W$40,DATE(設定!$C$2,設定!$D$2,2))&gt;0,"假",IF(INDEX(設定!$U$53:$AO$53,(WEEKDAY(DATE(設定!$C$2,設定!$D$2,2),2)-1)*3+3)=0,"休",COUNTIF(J$6:J$45,"睿"))))</f>
        <v/>
      </c>
      <c r="K48" s="71">
        <f>IF(K$4="","",IF(COUNTIF(設定!$W$6:$W$40,DATE(設定!$C$2,設定!$D$2,3))&gt;0,"假",IF(INDEX(設定!$U$53:$AO$53,(WEEKDAY(DATE(設定!$C$2,設定!$D$2,3),2)-1)*3+1)=0,"休",COUNTIF(K$6:K$45,"睿"))))</f>
        <v/>
      </c>
      <c r="L48" s="72">
        <f>IF(L$4="","",IF(COUNTIF(設定!$W$6:$W$40,DATE(設定!$C$2,設定!$D$2,3))&gt;0,"假",IF(INDEX(設定!$U$53:$AO$53,(WEEKDAY(DATE(設定!$C$2,設定!$D$2,3),2)-1)*3+2)=0,"休",COUNTIF(L$6:L$45,"睿"))))</f>
        <v/>
      </c>
      <c r="M48" s="72">
        <f>IF(M$4="","",IF(COUNTIF(設定!$W$6:$W$40,DATE(設定!$C$2,設定!$D$2,3))&gt;0,"假",IF(INDEX(設定!$U$53:$AO$53,(WEEKDAY(DATE(設定!$C$2,設定!$D$2,3),2)-1)*3+3)=0,"休",COUNTIF(M$6:M$45,"睿"))))</f>
        <v/>
      </c>
      <c r="N48" s="71">
        <f>IF(N$4="","",IF(COUNTIF(設定!$W$6:$W$40,DATE(設定!$C$2,設定!$D$2,4))&gt;0,"假",IF(INDEX(設定!$U$53:$AO$53,(WEEKDAY(DATE(設定!$C$2,設定!$D$2,4),2)-1)*3+1)=0,"休",COUNTIF(N$6:N$45,"睿"))))</f>
        <v/>
      </c>
      <c r="O48" s="72">
        <f>IF(O$4="","",IF(COUNTIF(設定!$W$6:$W$40,DATE(設定!$C$2,設定!$D$2,4))&gt;0,"假",IF(INDEX(設定!$U$53:$AO$53,(WEEKDAY(DATE(設定!$C$2,設定!$D$2,4),2)-1)*3+2)=0,"休",COUNTIF(O$6:O$45,"睿"))))</f>
        <v/>
      </c>
      <c r="P48" s="72">
        <f>IF(P$4="","",IF(COUNTIF(設定!$W$6:$W$40,DATE(設定!$C$2,設定!$D$2,4))&gt;0,"假",IF(INDEX(設定!$U$53:$AO$53,(WEEKDAY(DATE(設定!$C$2,設定!$D$2,4),2)-1)*3+3)=0,"休",COUNTIF(P$6:P$45,"睿"))))</f>
        <v/>
      </c>
      <c r="Q48" s="71">
        <f>IF(Q$4="","",IF(COUNTIF(設定!$W$6:$W$40,DATE(設定!$C$2,設定!$D$2,5))&gt;0,"假",IF(INDEX(設定!$U$53:$AO$53,(WEEKDAY(DATE(設定!$C$2,設定!$D$2,5),2)-1)*3+1)=0,"休",COUNTIF(Q$6:Q$45,"睿"))))</f>
        <v/>
      </c>
      <c r="R48" s="72">
        <f>IF(R$4="","",IF(COUNTIF(設定!$W$6:$W$40,DATE(設定!$C$2,設定!$D$2,5))&gt;0,"假",IF(INDEX(設定!$U$53:$AO$53,(WEEKDAY(DATE(設定!$C$2,設定!$D$2,5),2)-1)*3+2)=0,"休",COUNTIF(R$6:R$45,"睿"))))</f>
        <v/>
      </c>
      <c r="S48" s="72">
        <f>IF(S$4="","",IF(COUNTIF(設定!$W$6:$W$40,DATE(設定!$C$2,設定!$D$2,5))&gt;0,"假",IF(INDEX(設定!$U$53:$AO$53,(WEEKDAY(DATE(設定!$C$2,設定!$D$2,5),2)-1)*3+3)=0,"休",COUNTIF(S$6:S$45,"睿"))))</f>
        <v/>
      </c>
      <c r="T48" s="71">
        <f>IF(T$4="","",IF(COUNTIF(設定!$W$6:$W$40,DATE(設定!$C$2,設定!$D$2,6))&gt;0,"假",IF(INDEX(設定!$U$53:$AO$53,(WEEKDAY(DATE(設定!$C$2,設定!$D$2,6),2)-1)*3+1)=0,"休",COUNTIF(T$6:T$45,"睿"))))</f>
        <v/>
      </c>
      <c r="U48" s="72">
        <f>IF(U$4="","",IF(COUNTIF(設定!$W$6:$W$40,DATE(設定!$C$2,設定!$D$2,6))&gt;0,"假",IF(INDEX(設定!$U$53:$AO$53,(WEEKDAY(DATE(設定!$C$2,設定!$D$2,6),2)-1)*3+2)=0,"休",COUNTIF(U$6:U$45,"睿"))))</f>
        <v/>
      </c>
      <c r="V48" s="72">
        <f>IF(V$4="","",IF(COUNTIF(設定!$W$6:$W$40,DATE(設定!$C$2,設定!$D$2,6))&gt;0,"假",IF(INDEX(設定!$U$53:$AO$53,(WEEKDAY(DATE(設定!$C$2,設定!$D$2,6),2)-1)*3+3)=0,"休",COUNTIF(V$6:V$45,"睿"))))</f>
        <v/>
      </c>
      <c r="W48" s="71">
        <f>IF(W$4="","",IF(COUNTIF(設定!$W$6:$W$40,DATE(設定!$C$2,設定!$D$2,7))&gt;0,"假",IF(INDEX(設定!$U$53:$AO$53,(WEEKDAY(DATE(設定!$C$2,設定!$D$2,7),2)-1)*3+1)=0,"休",COUNTIF(W$6:W$45,"睿"))))</f>
        <v/>
      </c>
      <c r="X48" s="72">
        <f>IF(X$4="","",IF(COUNTIF(設定!$W$6:$W$40,DATE(設定!$C$2,設定!$D$2,7))&gt;0,"假",IF(INDEX(設定!$U$53:$AO$53,(WEEKDAY(DATE(設定!$C$2,設定!$D$2,7),2)-1)*3+2)=0,"休",COUNTIF(X$6:X$45,"睿"))))</f>
        <v/>
      </c>
      <c r="Y48" s="72">
        <f>IF(Y$4="","",IF(COUNTIF(設定!$W$6:$W$40,DATE(設定!$C$2,設定!$D$2,7))&gt;0,"假",IF(INDEX(設定!$U$53:$AO$53,(WEEKDAY(DATE(設定!$C$2,設定!$D$2,7),2)-1)*3+3)=0,"休",COUNTIF(Y$6:Y$45,"睿"))))</f>
        <v/>
      </c>
      <c r="Z48" s="71">
        <f>IF(Z$4="","",IF(COUNTIF(設定!$W$6:$W$40,DATE(設定!$C$2,設定!$D$2,8))&gt;0,"假",IF(INDEX(設定!$U$53:$AO$53,(WEEKDAY(DATE(設定!$C$2,設定!$D$2,8),2)-1)*3+1)=0,"休",COUNTIF(Z$6:Z$45,"睿"))))</f>
        <v/>
      </c>
      <c r="AA48" s="72">
        <f>IF(AA$4="","",IF(COUNTIF(設定!$W$6:$W$40,DATE(設定!$C$2,設定!$D$2,8))&gt;0,"假",IF(INDEX(設定!$U$53:$AO$53,(WEEKDAY(DATE(設定!$C$2,設定!$D$2,8),2)-1)*3+2)=0,"休",COUNTIF(AA$6:AA$45,"睿"))))</f>
        <v/>
      </c>
      <c r="AB48" s="72">
        <f>IF(AB$4="","",IF(COUNTIF(設定!$W$6:$W$40,DATE(設定!$C$2,設定!$D$2,8))&gt;0,"假",IF(INDEX(設定!$U$53:$AO$53,(WEEKDAY(DATE(設定!$C$2,設定!$D$2,8),2)-1)*3+3)=0,"休",COUNTIF(AB$6:AB$45,"睿"))))</f>
        <v/>
      </c>
      <c r="AC48" s="71">
        <f>IF(AC$4="","",IF(COUNTIF(設定!$W$6:$W$40,DATE(設定!$C$2,設定!$D$2,9))&gt;0,"假",IF(INDEX(設定!$U$53:$AO$53,(WEEKDAY(DATE(設定!$C$2,設定!$D$2,9),2)-1)*3+1)=0,"休",COUNTIF(AC$6:AC$45,"睿"))))</f>
        <v/>
      </c>
      <c r="AD48" s="72">
        <f>IF(AD$4="","",IF(COUNTIF(設定!$W$6:$W$40,DATE(設定!$C$2,設定!$D$2,9))&gt;0,"假",IF(INDEX(設定!$U$53:$AO$53,(WEEKDAY(DATE(設定!$C$2,設定!$D$2,9),2)-1)*3+2)=0,"休",COUNTIF(AD$6:AD$45,"睿"))))</f>
        <v/>
      </c>
      <c r="AE48" s="72">
        <f>IF(AE$4="","",IF(COUNTIF(設定!$W$6:$W$40,DATE(設定!$C$2,設定!$D$2,9))&gt;0,"假",IF(INDEX(設定!$U$53:$AO$53,(WEEKDAY(DATE(設定!$C$2,設定!$D$2,9),2)-1)*3+3)=0,"休",COUNTIF(AE$6:AE$45,"睿"))))</f>
        <v/>
      </c>
      <c r="AF48" s="71">
        <f>IF(AF$4="","",IF(COUNTIF(設定!$W$6:$W$40,DATE(設定!$C$2,設定!$D$2,10))&gt;0,"假",IF(INDEX(設定!$U$53:$AO$53,(WEEKDAY(DATE(設定!$C$2,設定!$D$2,10),2)-1)*3+1)=0,"休",COUNTIF(AF$6:AF$45,"睿"))))</f>
        <v/>
      </c>
      <c r="AG48" s="72">
        <f>IF(AG$4="","",IF(COUNTIF(設定!$W$6:$W$40,DATE(設定!$C$2,設定!$D$2,10))&gt;0,"假",IF(INDEX(設定!$U$53:$AO$53,(WEEKDAY(DATE(設定!$C$2,設定!$D$2,10),2)-1)*3+2)=0,"休",COUNTIF(AG$6:AG$45,"睿"))))</f>
        <v/>
      </c>
      <c r="AH48" s="72">
        <f>IF(AH$4="","",IF(COUNTIF(設定!$W$6:$W$40,DATE(設定!$C$2,設定!$D$2,10))&gt;0,"假",IF(INDEX(設定!$U$53:$AO$53,(WEEKDAY(DATE(設定!$C$2,設定!$D$2,10),2)-1)*3+3)=0,"休",COUNTIF(AH$6:AH$45,"睿"))))</f>
        <v/>
      </c>
      <c r="AI48" s="71">
        <f>IF(AI$4="","",IF(COUNTIF(設定!$W$6:$W$40,DATE(設定!$C$2,設定!$D$2,11))&gt;0,"假",IF(INDEX(設定!$U$53:$AO$53,(WEEKDAY(DATE(設定!$C$2,設定!$D$2,11),2)-1)*3+1)=0,"休",COUNTIF(AI$6:AI$45,"睿"))))</f>
        <v/>
      </c>
      <c r="AJ48" s="72">
        <f>IF(AJ$4="","",IF(COUNTIF(設定!$W$6:$W$40,DATE(設定!$C$2,設定!$D$2,11))&gt;0,"假",IF(INDEX(設定!$U$53:$AO$53,(WEEKDAY(DATE(設定!$C$2,設定!$D$2,11),2)-1)*3+2)=0,"休",COUNTIF(AJ$6:AJ$45,"睿"))))</f>
        <v/>
      </c>
      <c r="AK48" s="72">
        <f>IF(AK$4="","",IF(COUNTIF(設定!$W$6:$W$40,DATE(設定!$C$2,設定!$D$2,11))&gt;0,"假",IF(INDEX(設定!$U$53:$AO$53,(WEEKDAY(DATE(設定!$C$2,設定!$D$2,11),2)-1)*3+3)=0,"休",COUNTIF(AK$6:AK$45,"睿"))))</f>
        <v/>
      </c>
      <c r="AL48" s="71">
        <f>IF(AL$4="","",IF(COUNTIF(設定!$W$6:$W$40,DATE(設定!$C$2,設定!$D$2,12))&gt;0,"假",IF(INDEX(設定!$U$53:$AO$53,(WEEKDAY(DATE(設定!$C$2,設定!$D$2,12),2)-1)*3+1)=0,"休",COUNTIF(AL$6:AL$45,"睿"))))</f>
        <v/>
      </c>
      <c r="AM48" s="72">
        <f>IF(AM$4="","",IF(COUNTIF(設定!$W$6:$W$40,DATE(設定!$C$2,設定!$D$2,12))&gt;0,"假",IF(INDEX(設定!$U$53:$AO$53,(WEEKDAY(DATE(設定!$C$2,設定!$D$2,12),2)-1)*3+2)=0,"休",COUNTIF(AM$6:AM$45,"睿"))))</f>
        <v/>
      </c>
      <c r="AN48" s="72">
        <f>IF(AN$4="","",IF(COUNTIF(設定!$W$6:$W$40,DATE(設定!$C$2,設定!$D$2,12))&gt;0,"假",IF(INDEX(設定!$U$53:$AO$53,(WEEKDAY(DATE(設定!$C$2,設定!$D$2,12),2)-1)*3+3)=0,"休",COUNTIF(AN$6:AN$45,"睿"))))</f>
        <v/>
      </c>
      <c r="AO48" s="71">
        <f>IF(AO$4="","",IF(COUNTIF(設定!$W$6:$W$40,DATE(設定!$C$2,設定!$D$2,13))&gt;0,"假",IF(INDEX(設定!$U$53:$AO$53,(WEEKDAY(DATE(設定!$C$2,設定!$D$2,13),2)-1)*3+1)=0,"休",COUNTIF(AO$6:AO$45,"睿"))))</f>
        <v/>
      </c>
      <c r="AP48" s="72">
        <f>IF(AP$4="","",IF(COUNTIF(設定!$W$6:$W$40,DATE(設定!$C$2,設定!$D$2,13))&gt;0,"假",IF(INDEX(設定!$U$53:$AO$53,(WEEKDAY(DATE(設定!$C$2,設定!$D$2,13),2)-1)*3+2)=0,"休",COUNTIF(AP$6:AP$45,"睿"))))</f>
        <v/>
      </c>
      <c r="AQ48" s="72">
        <f>IF(AQ$4="","",IF(COUNTIF(設定!$W$6:$W$40,DATE(設定!$C$2,設定!$D$2,13))&gt;0,"假",IF(INDEX(設定!$U$53:$AO$53,(WEEKDAY(DATE(設定!$C$2,設定!$D$2,13),2)-1)*3+3)=0,"休",COUNTIF(AQ$6:AQ$45,"睿"))))</f>
        <v/>
      </c>
      <c r="AR48" s="71">
        <f>IF(AR$4="","",IF(COUNTIF(設定!$W$6:$W$40,DATE(設定!$C$2,設定!$D$2,14))&gt;0,"假",IF(INDEX(設定!$U$53:$AO$53,(WEEKDAY(DATE(設定!$C$2,設定!$D$2,14),2)-1)*3+1)=0,"休",COUNTIF(AR$6:AR$45,"睿"))))</f>
        <v/>
      </c>
      <c r="AS48" s="72">
        <f>IF(AS$4="","",IF(COUNTIF(設定!$W$6:$W$40,DATE(設定!$C$2,設定!$D$2,14))&gt;0,"假",IF(INDEX(設定!$U$53:$AO$53,(WEEKDAY(DATE(設定!$C$2,設定!$D$2,14),2)-1)*3+2)=0,"休",COUNTIF(AS$6:AS$45,"睿"))))</f>
        <v/>
      </c>
      <c r="AT48" s="72">
        <f>IF(AT$4="","",IF(COUNTIF(設定!$W$6:$W$40,DATE(設定!$C$2,設定!$D$2,14))&gt;0,"假",IF(INDEX(設定!$U$53:$AO$53,(WEEKDAY(DATE(設定!$C$2,設定!$D$2,14),2)-1)*3+3)=0,"休",COUNTIF(AT$6:AT$45,"睿"))))</f>
        <v/>
      </c>
      <c r="AU48" s="71">
        <f>IF(AU$4="","",IF(COUNTIF(設定!$W$6:$W$40,DATE(設定!$C$2,設定!$D$2,15))&gt;0,"假",IF(INDEX(設定!$U$53:$AO$53,(WEEKDAY(DATE(設定!$C$2,設定!$D$2,15),2)-1)*3+1)=0,"休",COUNTIF(AU$6:AU$45,"睿"))))</f>
        <v/>
      </c>
      <c r="AV48" s="72">
        <f>IF(AV$4="","",IF(COUNTIF(設定!$W$6:$W$40,DATE(設定!$C$2,設定!$D$2,15))&gt;0,"假",IF(INDEX(設定!$U$53:$AO$53,(WEEKDAY(DATE(設定!$C$2,設定!$D$2,15),2)-1)*3+2)=0,"休",COUNTIF(AV$6:AV$45,"睿"))))</f>
        <v/>
      </c>
      <c r="AW48" s="72">
        <f>IF(AW$4="","",IF(COUNTIF(設定!$W$6:$W$40,DATE(設定!$C$2,設定!$D$2,15))&gt;0,"假",IF(INDEX(設定!$U$53:$AO$53,(WEEKDAY(DATE(設定!$C$2,設定!$D$2,15),2)-1)*3+3)=0,"休",COUNTIF(AW$6:AW$45,"睿"))))</f>
        <v/>
      </c>
      <c r="AX48" s="71">
        <f>IF(AX$4="","",IF(COUNTIF(設定!$W$6:$W$40,DATE(設定!$C$2,設定!$D$2,16))&gt;0,"假",IF(INDEX(設定!$U$53:$AO$53,(WEEKDAY(DATE(設定!$C$2,設定!$D$2,16),2)-1)*3+1)=0,"休",COUNTIF(AX$6:AX$45,"睿"))))</f>
        <v/>
      </c>
      <c r="AY48" s="72">
        <f>IF(AY$4="","",IF(COUNTIF(設定!$W$6:$W$40,DATE(設定!$C$2,設定!$D$2,16))&gt;0,"假",IF(INDEX(設定!$U$53:$AO$53,(WEEKDAY(DATE(設定!$C$2,設定!$D$2,16),2)-1)*3+2)=0,"休",COUNTIF(AY$6:AY$45,"睿"))))</f>
        <v/>
      </c>
      <c r="AZ48" s="72">
        <f>IF(AZ$4="","",IF(COUNTIF(設定!$W$6:$W$40,DATE(設定!$C$2,設定!$D$2,16))&gt;0,"假",IF(INDEX(設定!$U$53:$AO$53,(WEEKDAY(DATE(設定!$C$2,設定!$D$2,16),2)-1)*3+3)=0,"休",COUNTIF(AZ$6:AZ$45,"睿"))))</f>
        <v/>
      </c>
      <c r="BA48" s="71">
        <f>IF(BA$4="","",IF(COUNTIF(設定!$W$6:$W$40,DATE(設定!$C$2,設定!$D$2,17))&gt;0,"假",IF(INDEX(設定!$U$53:$AO$53,(WEEKDAY(DATE(設定!$C$2,設定!$D$2,17),2)-1)*3+1)=0,"休",COUNTIF(BA$6:BA$45,"睿"))))</f>
        <v/>
      </c>
      <c r="BB48" s="72">
        <f>IF(BB$4="","",IF(COUNTIF(設定!$W$6:$W$40,DATE(設定!$C$2,設定!$D$2,17))&gt;0,"假",IF(INDEX(設定!$U$53:$AO$53,(WEEKDAY(DATE(設定!$C$2,設定!$D$2,17),2)-1)*3+2)=0,"休",COUNTIF(BB$6:BB$45,"睿"))))</f>
        <v/>
      </c>
      <c r="BC48" s="72">
        <f>IF(BC$4="","",IF(COUNTIF(設定!$W$6:$W$40,DATE(設定!$C$2,設定!$D$2,17))&gt;0,"假",IF(INDEX(設定!$U$53:$AO$53,(WEEKDAY(DATE(設定!$C$2,設定!$D$2,17),2)-1)*3+3)=0,"休",COUNTIF(BC$6:BC$45,"睿"))))</f>
        <v/>
      </c>
      <c r="BD48" s="71">
        <f>IF(BD$4="","",IF(COUNTIF(設定!$W$6:$W$40,DATE(設定!$C$2,設定!$D$2,18))&gt;0,"假",IF(INDEX(設定!$U$53:$AO$53,(WEEKDAY(DATE(設定!$C$2,設定!$D$2,18),2)-1)*3+1)=0,"休",COUNTIF(BD$6:BD$45,"睿"))))</f>
        <v/>
      </c>
      <c r="BE48" s="72">
        <f>IF(BE$4="","",IF(COUNTIF(設定!$W$6:$W$40,DATE(設定!$C$2,設定!$D$2,18))&gt;0,"假",IF(INDEX(設定!$U$53:$AO$53,(WEEKDAY(DATE(設定!$C$2,設定!$D$2,18),2)-1)*3+2)=0,"休",COUNTIF(BE$6:BE$45,"睿"))))</f>
        <v/>
      </c>
      <c r="BF48" s="72">
        <f>IF(BF$4="","",IF(COUNTIF(設定!$W$6:$W$40,DATE(設定!$C$2,設定!$D$2,18))&gt;0,"假",IF(INDEX(設定!$U$53:$AO$53,(WEEKDAY(DATE(設定!$C$2,設定!$D$2,18),2)-1)*3+3)=0,"休",COUNTIF(BF$6:BF$45,"睿"))))</f>
        <v/>
      </c>
      <c r="BG48" s="71">
        <f>IF(BG$4="","",IF(COUNTIF(設定!$W$6:$W$40,DATE(設定!$C$2,設定!$D$2,19))&gt;0,"假",IF(INDEX(設定!$U$53:$AO$53,(WEEKDAY(DATE(設定!$C$2,設定!$D$2,19),2)-1)*3+1)=0,"休",COUNTIF(BG$6:BG$45,"睿"))))</f>
        <v/>
      </c>
      <c r="BH48" s="72">
        <f>IF(BH$4="","",IF(COUNTIF(設定!$W$6:$W$40,DATE(設定!$C$2,設定!$D$2,19))&gt;0,"假",IF(INDEX(設定!$U$53:$AO$53,(WEEKDAY(DATE(設定!$C$2,設定!$D$2,19),2)-1)*3+2)=0,"休",COUNTIF(BH$6:BH$45,"睿"))))</f>
        <v/>
      </c>
      <c r="BI48" s="72">
        <f>IF(BI$4="","",IF(COUNTIF(設定!$W$6:$W$40,DATE(設定!$C$2,設定!$D$2,19))&gt;0,"假",IF(INDEX(設定!$U$53:$AO$53,(WEEKDAY(DATE(設定!$C$2,設定!$D$2,19),2)-1)*3+3)=0,"休",COUNTIF(BI$6:BI$45,"睿"))))</f>
        <v/>
      </c>
      <c r="BJ48" s="71">
        <f>IF(BJ$4="","",IF(COUNTIF(設定!$W$6:$W$40,DATE(設定!$C$2,設定!$D$2,20))&gt;0,"假",IF(INDEX(設定!$U$53:$AO$53,(WEEKDAY(DATE(設定!$C$2,設定!$D$2,20),2)-1)*3+1)=0,"休",COUNTIF(BJ$6:BJ$45,"睿"))))</f>
        <v/>
      </c>
      <c r="BK48" s="72">
        <f>IF(BK$4="","",IF(COUNTIF(設定!$W$6:$W$40,DATE(設定!$C$2,設定!$D$2,20))&gt;0,"假",IF(INDEX(設定!$U$53:$AO$53,(WEEKDAY(DATE(設定!$C$2,設定!$D$2,20),2)-1)*3+2)=0,"休",COUNTIF(BK$6:BK$45,"睿"))))</f>
        <v/>
      </c>
      <c r="BL48" s="72">
        <f>IF(BL$4="","",IF(COUNTIF(設定!$W$6:$W$40,DATE(設定!$C$2,設定!$D$2,20))&gt;0,"假",IF(INDEX(設定!$U$53:$AO$53,(WEEKDAY(DATE(設定!$C$2,設定!$D$2,20),2)-1)*3+3)=0,"休",COUNTIF(BL$6:BL$45,"睿"))))</f>
        <v/>
      </c>
      <c r="BM48" s="71">
        <f>IF(BM$4="","",IF(COUNTIF(設定!$W$6:$W$40,DATE(設定!$C$2,設定!$D$2,21))&gt;0,"假",IF(INDEX(設定!$U$53:$AO$53,(WEEKDAY(DATE(設定!$C$2,設定!$D$2,21),2)-1)*3+1)=0,"休",COUNTIF(BM$6:BM$45,"睿"))))</f>
        <v/>
      </c>
      <c r="BN48" s="72">
        <f>IF(BN$4="","",IF(COUNTIF(設定!$W$6:$W$40,DATE(設定!$C$2,設定!$D$2,21))&gt;0,"假",IF(INDEX(設定!$U$53:$AO$53,(WEEKDAY(DATE(設定!$C$2,設定!$D$2,21),2)-1)*3+2)=0,"休",COUNTIF(BN$6:BN$45,"睿"))))</f>
        <v/>
      </c>
      <c r="BO48" s="72">
        <f>IF(BO$4="","",IF(COUNTIF(設定!$W$6:$W$40,DATE(設定!$C$2,設定!$D$2,21))&gt;0,"假",IF(INDEX(設定!$U$53:$AO$53,(WEEKDAY(DATE(設定!$C$2,設定!$D$2,21),2)-1)*3+3)=0,"休",COUNTIF(BO$6:BO$45,"睿"))))</f>
        <v/>
      </c>
      <c r="BP48" s="71">
        <f>IF(BP$4="","",IF(COUNTIF(設定!$W$6:$W$40,DATE(設定!$C$2,設定!$D$2,22))&gt;0,"假",IF(INDEX(設定!$U$53:$AO$53,(WEEKDAY(DATE(設定!$C$2,設定!$D$2,22),2)-1)*3+1)=0,"休",COUNTIF(BP$6:BP$45,"睿"))))</f>
        <v/>
      </c>
      <c r="BQ48" s="72">
        <f>IF(BQ$4="","",IF(COUNTIF(設定!$W$6:$W$40,DATE(設定!$C$2,設定!$D$2,22))&gt;0,"假",IF(INDEX(設定!$U$53:$AO$53,(WEEKDAY(DATE(設定!$C$2,設定!$D$2,22),2)-1)*3+2)=0,"休",COUNTIF(BQ$6:BQ$45,"睿"))))</f>
        <v/>
      </c>
      <c r="BR48" s="72">
        <f>IF(BR$4="","",IF(COUNTIF(設定!$W$6:$W$40,DATE(設定!$C$2,設定!$D$2,22))&gt;0,"假",IF(INDEX(設定!$U$53:$AO$53,(WEEKDAY(DATE(設定!$C$2,設定!$D$2,22),2)-1)*3+3)=0,"休",COUNTIF(BR$6:BR$45,"睿"))))</f>
        <v/>
      </c>
      <c r="BS48" s="71">
        <f>IF(BS$4="","",IF(COUNTIF(設定!$W$6:$W$40,DATE(設定!$C$2,設定!$D$2,23))&gt;0,"假",IF(INDEX(設定!$U$53:$AO$53,(WEEKDAY(DATE(設定!$C$2,設定!$D$2,23),2)-1)*3+1)=0,"休",COUNTIF(BS$6:BS$45,"睿"))))</f>
        <v/>
      </c>
      <c r="BT48" s="72">
        <f>IF(BT$4="","",IF(COUNTIF(設定!$W$6:$W$40,DATE(設定!$C$2,設定!$D$2,23))&gt;0,"假",IF(INDEX(設定!$U$53:$AO$53,(WEEKDAY(DATE(設定!$C$2,設定!$D$2,23),2)-1)*3+2)=0,"休",COUNTIF(BT$6:BT$45,"睿"))))</f>
        <v/>
      </c>
      <c r="BU48" s="72">
        <f>IF(BU$4="","",IF(COUNTIF(設定!$W$6:$W$40,DATE(設定!$C$2,設定!$D$2,23))&gt;0,"假",IF(INDEX(設定!$U$53:$AO$53,(WEEKDAY(DATE(設定!$C$2,設定!$D$2,23),2)-1)*3+3)=0,"休",COUNTIF(BU$6:BU$45,"睿"))))</f>
        <v/>
      </c>
      <c r="BV48" s="71">
        <f>IF(BV$4="","",IF(COUNTIF(設定!$W$6:$W$40,DATE(設定!$C$2,設定!$D$2,24))&gt;0,"假",IF(INDEX(設定!$U$53:$AO$53,(WEEKDAY(DATE(設定!$C$2,設定!$D$2,24),2)-1)*3+1)=0,"休",COUNTIF(BV$6:BV$45,"睿"))))</f>
        <v/>
      </c>
      <c r="BW48" s="72">
        <f>IF(BW$4="","",IF(COUNTIF(設定!$W$6:$W$40,DATE(設定!$C$2,設定!$D$2,24))&gt;0,"假",IF(INDEX(設定!$U$53:$AO$53,(WEEKDAY(DATE(設定!$C$2,設定!$D$2,24),2)-1)*3+2)=0,"休",COUNTIF(BW$6:BW$45,"睿"))))</f>
        <v/>
      </c>
      <c r="BX48" s="72">
        <f>IF(BX$4="","",IF(COUNTIF(設定!$W$6:$W$40,DATE(設定!$C$2,設定!$D$2,24))&gt;0,"假",IF(INDEX(設定!$U$53:$AO$53,(WEEKDAY(DATE(設定!$C$2,設定!$D$2,24),2)-1)*3+3)=0,"休",COUNTIF(BX$6:BX$45,"睿"))))</f>
        <v/>
      </c>
      <c r="BY48" s="71">
        <f>IF(BY$4="","",IF(COUNTIF(設定!$W$6:$W$40,DATE(設定!$C$2,設定!$D$2,25))&gt;0,"假",IF(INDEX(設定!$U$53:$AO$53,(WEEKDAY(DATE(設定!$C$2,設定!$D$2,25),2)-1)*3+1)=0,"休",COUNTIF(BY$6:BY$45,"睿"))))</f>
        <v/>
      </c>
      <c r="BZ48" s="72">
        <f>IF(BZ$4="","",IF(COUNTIF(設定!$W$6:$W$40,DATE(設定!$C$2,設定!$D$2,25))&gt;0,"假",IF(INDEX(設定!$U$53:$AO$53,(WEEKDAY(DATE(設定!$C$2,設定!$D$2,25),2)-1)*3+2)=0,"休",COUNTIF(BZ$6:BZ$45,"睿"))))</f>
        <v/>
      </c>
      <c r="CA48" s="72">
        <f>IF(CA$4="","",IF(COUNTIF(設定!$W$6:$W$40,DATE(設定!$C$2,設定!$D$2,25))&gt;0,"假",IF(INDEX(設定!$U$53:$AO$53,(WEEKDAY(DATE(設定!$C$2,設定!$D$2,25),2)-1)*3+3)=0,"休",COUNTIF(CA$6:CA$45,"睿"))))</f>
        <v/>
      </c>
      <c r="CB48" s="71">
        <f>IF(CB$4="","",IF(COUNTIF(設定!$W$6:$W$40,DATE(設定!$C$2,設定!$D$2,26))&gt;0,"假",IF(INDEX(設定!$U$53:$AO$53,(WEEKDAY(DATE(設定!$C$2,設定!$D$2,26),2)-1)*3+1)=0,"休",COUNTIF(CB$6:CB$45,"睿"))))</f>
        <v/>
      </c>
      <c r="CC48" s="72">
        <f>IF(CC$4="","",IF(COUNTIF(設定!$W$6:$W$40,DATE(設定!$C$2,設定!$D$2,26))&gt;0,"假",IF(INDEX(設定!$U$53:$AO$53,(WEEKDAY(DATE(設定!$C$2,設定!$D$2,26),2)-1)*3+2)=0,"休",COUNTIF(CC$6:CC$45,"睿"))))</f>
        <v/>
      </c>
      <c r="CD48" s="72">
        <f>IF(CD$4="","",IF(COUNTIF(設定!$W$6:$W$40,DATE(設定!$C$2,設定!$D$2,26))&gt;0,"假",IF(INDEX(設定!$U$53:$AO$53,(WEEKDAY(DATE(設定!$C$2,設定!$D$2,26),2)-1)*3+3)=0,"休",COUNTIF(CD$6:CD$45,"睿"))))</f>
        <v/>
      </c>
      <c r="CE48" s="71">
        <f>IF(CE$4="","",IF(COUNTIF(設定!$W$6:$W$40,DATE(設定!$C$2,設定!$D$2,27))&gt;0,"假",IF(INDEX(設定!$U$53:$AO$53,(WEEKDAY(DATE(設定!$C$2,設定!$D$2,27),2)-1)*3+1)=0,"休",COUNTIF(CE$6:CE$45,"睿"))))</f>
        <v/>
      </c>
      <c r="CF48" s="72">
        <f>IF(CF$4="","",IF(COUNTIF(設定!$W$6:$W$40,DATE(設定!$C$2,設定!$D$2,27))&gt;0,"假",IF(INDEX(設定!$U$53:$AO$53,(WEEKDAY(DATE(設定!$C$2,設定!$D$2,27),2)-1)*3+2)=0,"休",COUNTIF(CF$6:CF$45,"睿"))))</f>
        <v/>
      </c>
      <c r="CG48" s="72">
        <f>IF(CG$4="","",IF(COUNTIF(設定!$W$6:$W$40,DATE(設定!$C$2,設定!$D$2,27))&gt;0,"假",IF(INDEX(設定!$U$53:$AO$53,(WEEKDAY(DATE(設定!$C$2,設定!$D$2,27),2)-1)*3+3)=0,"休",COUNTIF(CG$6:CG$45,"睿"))))</f>
        <v/>
      </c>
      <c r="CH48" s="71">
        <f>IF(CH$4="","",IF(COUNTIF(設定!$W$6:$W$40,DATE(設定!$C$2,設定!$D$2,28))&gt;0,"假",IF(INDEX(設定!$U$53:$AO$53,(WEEKDAY(DATE(設定!$C$2,設定!$D$2,28),2)-1)*3+1)=0,"休",COUNTIF(CH$6:CH$45,"睿"))))</f>
        <v/>
      </c>
      <c r="CI48" s="72">
        <f>IF(CI$4="","",IF(COUNTIF(設定!$W$6:$W$40,DATE(設定!$C$2,設定!$D$2,28))&gt;0,"假",IF(INDEX(設定!$U$53:$AO$53,(WEEKDAY(DATE(設定!$C$2,設定!$D$2,28),2)-1)*3+2)=0,"休",COUNTIF(CI$6:CI$45,"睿"))))</f>
        <v/>
      </c>
      <c r="CJ48" s="72">
        <f>IF(CJ$4="","",IF(COUNTIF(設定!$W$6:$W$40,DATE(設定!$C$2,設定!$D$2,28))&gt;0,"假",IF(INDEX(設定!$U$53:$AO$53,(WEEKDAY(DATE(設定!$C$2,設定!$D$2,28),2)-1)*3+3)=0,"休",COUNTIF(CJ$6:CJ$45,"睿"))))</f>
        <v/>
      </c>
      <c r="CK48" s="71">
        <f>IF(CK$4="","",IF(COUNTIF(設定!$W$6:$W$40,DATE(設定!$C$2,設定!$D$2,29))&gt;0,"假",IF(INDEX(設定!$U$53:$AO$53,(WEEKDAY(DATE(設定!$C$2,設定!$D$2,29),2)-1)*3+1)=0,"休",COUNTIF(CK$6:CK$45,"睿"))))</f>
        <v/>
      </c>
      <c r="CL48" s="72">
        <f>IF(CL$4="","",IF(COUNTIF(設定!$W$6:$W$40,DATE(設定!$C$2,設定!$D$2,29))&gt;0,"假",IF(INDEX(設定!$U$53:$AO$53,(WEEKDAY(DATE(設定!$C$2,設定!$D$2,29),2)-1)*3+2)=0,"休",COUNTIF(CL$6:CL$45,"睿"))))</f>
        <v/>
      </c>
      <c r="CM48" s="72">
        <f>IF(CM$4="","",IF(COUNTIF(設定!$W$6:$W$40,DATE(設定!$C$2,設定!$D$2,29))&gt;0,"假",IF(INDEX(設定!$U$53:$AO$53,(WEEKDAY(DATE(設定!$C$2,設定!$D$2,29),2)-1)*3+3)=0,"休",COUNTIF(CM$6:CM$45,"睿"))))</f>
        <v/>
      </c>
      <c r="CN48" s="71">
        <f>IF(CN$4="","",IF(COUNTIF(設定!$W$6:$W$40,DATE(設定!$C$2,設定!$D$2,30))&gt;0,"假",IF(INDEX(設定!$U$53:$AO$53,(WEEKDAY(DATE(設定!$C$2,設定!$D$2,30),2)-1)*3+1)=0,"休",COUNTIF(CN$6:CN$45,"睿"))))</f>
        <v/>
      </c>
      <c r="CO48" s="72">
        <f>IF(CO$4="","",IF(COUNTIF(設定!$W$6:$W$40,DATE(設定!$C$2,設定!$D$2,30))&gt;0,"假",IF(INDEX(設定!$U$53:$AO$53,(WEEKDAY(DATE(設定!$C$2,設定!$D$2,30),2)-1)*3+2)=0,"休",COUNTIF(CO$6:CO$45,"睿"))))</f>
        <v/>
      </c>
      <c r="CP48" s="72">
        <f>IF(CP$4="","",IF(COUNTIF(設定!$W$6:$W$40,DATE(設定!$C$2,設定!$D$2,30))&gt;0,"假",IF(INDEX(設定!$U$53:$AO$53,(WEEKDAY(DATE(設定!$C$2,設定!$D$2,30),2)-1)*3+3)=0,"休",COUNTIF(CP$6:CP$45,"睿"))))</f>
        <v/>
      </c>
      <c r="CQ48" s="71">
        <f>IF(CQ$4="","",IF(COUNTIF(設定!$W$6:$W$40,DATE(設定!$C$2,設定!$D$2,31))&gt;0,"假",IF(INDEX(設定!$U$53:$AO$53,(WEEKDAY(DATE(設定!$C$2,設定!$D$2,31),2)-1)*3+1)=0,"休",COUNTIF(CQ$6:CQ$45,"睿"))))</f>
        <v/>
      </c>
      <c r="CR48" s="72">
        <f>IF(CR$4="","",IF(COUNTIF(設定!$W$6:$W$40,DATE(設定!$C$2,設定!$D$2,31))&gt;0,"假",IF(INDEX(設定!$U$53:$AO$53,(WEEKDAY(DATE(設定!$C$2,設定!$D$2,31),2)-1)*3+2)=0,"休",COUNTIF(CR$6:CR$45,"睿"))))</f>
        <v/>
      </c>
      <c r="CS48" s="72">
        <f>IF(CS$4="","",IF(COUNTIF(設定!$W$6:$W$40,DATE(設定!$C$2,設定!$D$2,31))&gt;0,"假",IF(INDEX(設定!$U$53:$AO$53,(WEEKDAY(DATE(設定!$C$2,設定!$D$2,31),2)-1)*3+3)=0,"休",COUNTIF(CS$6:CS$45,"睿"))))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IF(E$4="","",IF(COUNTIF(設定!$W$6:$W$40,DATE(設定!$C$2,設定!$D$2,1))&gt;0,"假",IF(INDEX(設定!$U$54:$AO$54,(WEEKDAY(DATE(設定!$C$2,設定!$D$2,1),2)-1)*3+1)=0,"休",COUNTIF(E$6:E$45,"匯"))))</f>
        <v/>
      </c>
      <c r="F49" s="72">
        <f>IF(F$4="","",IF(COUNTIF(設定!$W$6:$W$40,DATE(設定!$C$2,設定!$D$2,1))&gt;0,"假",IF(INDEX(設定!$U$54:$AO$54,(WEEKDAY(DATE(設定!$C$2,設定!$D$2,1),2)-1)*3+2)=0,"休",COUNTIF(F$6:F$45,"匯"))))</f>
        <v/>
      </c>
      <c r="G49" s="72">
        <f>IF(G$4="","",IF(COUNTIF(設定!$W$6:$W$40,DATE(設定!$C$2,設定!$D$2,1))&gt;0,"假",IF(INDEX(設定!$U$54:$AO$54,(WEEKDAY(DATE(設定!$C$2,設定!$D$2,1),2)-1)*3+3)=0,"休",COUNTIF(G$6:G$45,"匯"))))</f>
        <v/>
      </c>
      <c r="H49" s="71">
        <f>IF(H$4="","",IF(COUNTIF(設定!$W$6:$W$40,DATE(設定!$C$2,設定!$D$2,2))&gt;0,"假",IF(INDEX(設定!$U$54:$AO$54,(WEEKDAY(DATE(設定!$C$2,設定!$D$2,2),2)-1)*3+1)=0,"休",COUNTIF(H$6:H$45,"匯"))))</f>
        <v/>
      </c>
      <c r="I49" s="72">
        <f>IF(I$4="","",IF(COUNTIF(設定!$W$6:$W$40,DATE(設定!$C$2,設定!$D$2,2))&gt;0,"假",IF(INDEX(設定!$U$54:$AO$54,(WEEKDAY(DATE(設定!$C$2,設定!$D$2,2),2)-1)*3+2)=0,"休",COUNTIF(I$6:I$45,"匯"))))</f>
        <v/>
      </c>
      <c r="J49" s="72">
        <f>IF(J$4="","",IF(COUNTIF(設定!$W$6:$W$40,DATE(設定!$C$2,設定!$D$2,2))&gt;0,"假",IF(INDEX(設定!$U$54:$AO$54,(WEEKDAY(DATE(設定!$C$2,設定!$D$2,2),2)-1)*3+3)=0,"休",COUNTIF(J$6:J$45,"匯"))))</f>
        <v/>
      </c>
      <c r="K49" s="71">
        <f>IF(K$4="","",IF(COUNTIF(設定!$W$6:$W$40,DATE(設定!$C$2,設定!$D$2,3))&gt;0,"假",IF(INDEX(設定!$U$54:$AO$54,(WEEKDAY(DATE(設定!$C$2,設定!$D$2,3),2)-1)*3+1)=0,"休",COUNTIF(K$6:K$45,"匯"))))</f>
        <v/>
      </c>
      <c r="L49" s="72">
        <f>IF(L$4="","",IF(COUNTIF(設定!$W$6:$W$40,DATE(設定!$C$2,設定!$D$2,3))&gt;0,"假",IF(INDEX(設定!$U$54:$AO$54,(WEEKDAY(DATE(設定!$C$2,設定!$D$2,3),2)-1)*3+2)=0,"休",COUNTIF(L$6:L$45,"匯"))))</f>
        <v/>
      </c>
      <c r="M49" s="72">
        <f>IF(M$4="","",IF(COUNTIF(設定!$W$6:$W$40,DATE(設定!$C$2,設定!$D$2,3))&gt;0,"假",IF(INDEX(設定!$U$54:$AO$54,(WEEKDAY(DATE(設定!$C$2,設定!$D$2,3),2)-1)*3+3)=0,"休",COUNTIF(M$6:M$45,"匯"))))</f>
        <v/>
      </c>
      <c r="N49" s="71">
        <f>IF(N$4="","",IF(COUNTIF(設定!$W$6:$W$40,DATE(設定!$C$2,設定!$D$2,4))&gt;0,"假",IF(INDEX(設定!$U$54:$AO$54,(WEEKDAY(DATE(設定!$C$2,設定!$D$2,4),2)-1)*3+1)=0,"休",COUNTIF(N$6:N$45,"匯"))))</f>
        <v/>
      </c>
      <c r="O49" s="72">
        <f>IF(O$4="","",IF(COUNTIF(設定!$W$6:$W$40,DATE(設定!$C$2,設定!$D$2,4))&gt;0,"假",IF(INDEX(設定!$U$54:$AO$54,(WEEKDAY(DATE(設定!$C$2,設定!$D$2,4),2)-1)*3+2)=0,"休",COUNTIF(O$6:O$45,"匯"))))</f>
        <v/>
      </c>
      <c r="P49" s="72">
        <f>IF(P$4="","",IF(COUNTIF(設定!$W$6:$W$40,DATE(設定!$C$2,設定!$D$2,4))&gt;0,"假",IF(INDEX(設定!$U$54:$AO$54,(WEEKDAY(DATE(設定!$C$2,設定!$D$2,4),2)-1)*3+3)=0,"休",COUNTIF(P$6:P$45,"匯"))))</f>
        <v/>
      </c>
      <c r="Q49" s="71">
        <f>IF(Q$4="","",IF(COUNTIF(設定!$W$6:$W$40,DATE(設定!$C$2,設定!$D$2,5))&gt;0,"假",IF(INDEX(設定!$U$54:$AO$54,(WEEKDAY(DATE(設定!$C$2,設定!$D$2,5),2)-1)*3+1)=0,"休",COUNTIF(Q$6:Q$45,"匯"))))</f>
        <v/>
      </c>
      <c r="R49" s="72">
        <f>IF(R$4="","",IF(COUNTIF(設定!$W$6:$W$40,DATE(設定!$C$2,設定!$D$2,5))&gt;0,"假",IF(INDEX(設定!$U$54:$AO$54,(WEEKDAY(DATE(設定!$C$2,設定!$D$2,5),2)-1)*3+2)=0,"休",COUNTIF(R$6:R$45,"匯"))))</f>
        <v/>
      </c>
      <c r="S49" s="72">
        <f>IF(S$4="","",IF(COUNTIF(設定!$W$6:$W$40,DATE(設定!$C$2,設定!$D$2,5))&gt;0,"假",IF(INDEX(設定!$U$54:$AO$54,(WEEKDAY(DATE(設定!$C$2,設定!$D$2,5),2)-1)*3+3)=0,"休",COUNTIF(S$6:S$45,"匯"))))</f>
        <v/>
      </c>
      <c r="T49" s="71">
        <f>IF(T$4="","",IF(COUNTIF(設定!$W$6:$W$40,DATE(設定!$C$2,設定!$D$2,6))&gt;0,"假",IF(INDEX(設定!$U$54:$AO$54,(WEEKDAY(DATE(設定!$C$2,設定!$D$2,6),2)-1)*3+1)=0,"休",COUNTIF(T$6:T$45,"匯"))))</f>
        <v/>
      </c>
      <c r="U49" s="72">
        <f>IF(U$4="","",IF(COUNTIF(設定!$W$6:$W$40,DATE(設定!$C$2,設定!$D$2,6))&gt;0,"假",IF(INDEX(設定!$U$54:$AO$54,(WEEKDAY(DATE(設定!$C$2,設定!$D$2,6),2)-1)*3+2)=0,"休",COUNTIF(U$6:U$45,"匯"))))</f>
        <v/>
      </c>
      <c r="V49" s="72">
        <f>IF(V$4="","",IF(COUNTIF(設定!$W$6:$W$40,DATE(設定!$C$2,設定!$D$2,6))&gt;0,"假",IF(INDEX(設定!$U$54:$AO$54,(WEEKDAY(DATE(設定!$C$2,設定!$D$2,6),2)-1)*3+3)=0,"休",COUNTIF(V$6:V$45,"匯"))))</f>
        <v/>
      </c>
      <c r="W49" s="71">
        <f>IF(W$4="","",IF(COUNTIF(設定!$W$6:$W$40,DATE(設定!$C$2,設定!$D$2,7))&gt;0,"假",IF(INDEX(設定!$U$54:$AO$54,(WEEKDAY(DATE(設定!$C$2,設定!$D$2,7),2)-1)*3+1)=0,"休",COUNTIF(W$6:W$45,"匯"))))</f>
        <v/>
      </c>
      <c r="X49" s="72">
        <f>IF(X$4="","",IF(COUNTIF(設定!$W$6:$W$40,DATE(設定!$C$2,設定!$D$2,7))&gt;0,"假",IF(INDEX(設定!$U$54:$AO$54,(WEEKDAY(DATE(設定!$C$2,設定!$D$2,7),2)-1)*3+2)=0,"休",COUNTIF(X$6:X$45,"匯"))))</f>
        <v/>
      </c>
      <c r="Y49" s="72">
        <f>IF(Y$4="","",IF(COUNTIF(設定!$W$6:$W$40,DATE(設定!$C$2,設定!$D$2,7))&gt;0,"假",IF(INDEX(設定!$U$54:$AO$54,(WEEKDAY(DATE(設定!$C$2,設定!$D$2,7),2)-1)*3+3)=0,"休",COUNTIF(Y$6:Y$45,"匯"))))</f>
        <v/>
      </c>
      <c r="Z49" s="71">
        <f>IF(Z$4="","",IF(COUNTIF(設定!$W$6:$W$40,DATE(設定!$C$2,設定!$D$2,8))&gt;0,"假",IF(INDEX(設定!$U$54:$AO$54,(WEEKDAY(DATE(設定!$C$2,設定!$D$2,8),2)-1)*3+1)=0,"休",COUNTIF(Z$6:Z$45,"匯"))))</f>
        <v/>
      </c>
      <c r="AA49" s="72">
        <f>IF(AA$4="","",IF(COUNTIF(設定!$W$6:$W$40,DATE(設定!$C$2,設定!$D$2,8))&gt;0,"假",IF(INDEX(設定!$U$54:$AO$54,(WEEKDAY(DATE(設定!$C$2,設定!$D$2,8),2)-1)*3+2)=0,"休",COUNTIF(AA$6:AA$45,"匯"))))</f>
        <v/>
      </c>
      <c r="AB49" s="72">
        <f>IF(AB$4="","",IF(COUNTIF(設定!$W$6:$W$40,DATE(設定!$C$2,設定!$D$2,8))&gt;0,"假",IF(INDEX(設定!$U$54:$AO$54,(WEEKDAY(DATE(設定!$C$2,設定!$D$2,8),2)-1)*3+3)=0,"休",COUNTIF(AB$6:AB$45,"匯"))))</f>
        <v/>
      </c>
      <c r="AC49" s="71">
        <f>IF(AC$4="","",IF(COUNTIF(設定!$W$6:$W$40,DATE(設定!$C$2,設定!$D$2,9))&gt;0,"假",IF(INDEX(設定!$U$54:$AO$54,(WEEKDAY(DATE(設定!$C$2,設定!$D$2,9),2)-1)*3+1)=0,"休",COUNTIF(AC$6:AC$45,"匯"))))</f>
        <v/>
      </c>
      <c r="AD49" s="72">
        <f>IF(AD$4="","",IF(COUNTIF(設定!$W$6:$W$40,DATE(設定!$C$2,設定!$D$2,9))&gt;0,"假",IF(INDEX(設定!$U$54:$AO$54,(WEEKDAY(DATE(設定!$C$2,設定!$D$2,9),2)-1)*3+2)=0,"休",COUNTIF(AD$6:AD$45,"匯"))))</f>
        <v/>
      </c>
      <c r="AE49" s="72">
        <f>IF(AE$4="","",IF(COUNTIF(設定!$W$6:$W$40,DATE(設定!$C$2,設定!$D$2,9))&gt;0,"假",IF(INDEX(設定!$U$54:$AO$54,(WEEKDAY(DATE(設定!$C$2,設定!$D$2,9),2)-1)*3+3)=0,"休",COUNTIF(AE$6:AE$45,"匯"))))</f>
        <v/>
      </c>
      <c r="AF49" s="71">
        <f>IF(AF$4="","",IF(COUNTIF(設定!$W$6:$W$40,DATE(設定!$C$2,設定!$D$2,10))&gt;0,"假",IF(INDEX(設定!$U$54:$AO$54,(WEEKDAY(DATE(設定!$C$2,設定!$D$2,10),2)-1)*3+1)=0,"休",COUNTIF(AF$6:AF$45,"匯"))))</f>
        <v/>
      </c>
      <c r="AG49" s="72">
        <f>IF(AG$4="","",IF(COUNTIF(設定!$W$6:$W$40,DATE(設定!$C$2,設定!$D$2,10))&gt;0,"假",IF(INDEX(設定!$U$54:$AO$54,(WEEKDAY(DATE(設定!$C$2,設定!$D$2,10),2)-1)*3+2)=0,"休",COUNTIF(AG$6:AG$45,"匯"))))</f>
        <v/>
      </c>
      <c r="AH49" s="72">
        <f>IF(AH$4="","",IF(COUNTIF(設定!$W$6:$W$40,DATE(設定!$C$2,設定!$D$2,10))&gt;0,"假",IF(INDEX(設定!$U$54:$AO$54,(WEEKDAY(DATE(設定!$C$2,設定!$D$2,10),2)-1)*3+3)=0,"休",COUNTIF(AH$6:AH$45,"匯"))))</f>
        <v/>
      </c>
      <c r="AI49" s="71">
        <f>IF(AI$4="","",IF(COUNTIF(設定!$W$6:$W$40,DATE(設定!$C$2,設定!$D$2,11))&gt;0,"假",IF(INDEX(設定!$U$54:$AO$54,(WEEKDAY(DATE(設定!$C$2,設定!$D$2,11),2)-1)*3+1)=0,"休",COUNTIF(AI$6:AI$45,"匯"))))</f>
        <v/>
      </c>
      <c r="AJ49" s="72">
        <f>IF(AJ$4="","",IF(COUNTIF(設定!$W$6:$W$40,DATE(設定!$C$2,設定!$D$2,11))&gt;0,"假",IF(INDEX(設定!$U$54:$AO$54,(WEEKDAY(DATE(設定!$C$2,設定!$D$2,11),2)-1)*3+2)=0,"休",COUNTIF(AJ$6:AJ$45,"匯"))))</f>
        <v/>
      </c>
      <c r="AK49" s="72">
        <f>IF(AK$4="","",IF(COUNTIF(設定!$W$6:$W$40,DATE(設定!$C$2,設定!$D$2,11))&gt;0,"假",IF(INDEX(設定!$U$54:$AO$54,(WEEKDAY(DATE(設定!$C$2,設定!$D$2,11),2)-1)*3+3)=0,"休",COUNTIF(AK$6:AK$45,"匯"))))</f>
        <v/>
      </c>
      <c r="AL49" s="71">
        <f>IF(AL$4="","",IF(COUNTIF(設定!$W$6:$W$40,DATE(設定!$C$2,設定!$D$2,12))&gt;0,"假",IF(INDEX(設定!$U$54:$AO$54,(WEEKDAY(DATE(設定!$C$2,設定!$D$2,12),2)-1)*3+1)=0,"休",COUNTIF(AL$6:AL$45,"匯"))))</f>
        <v/>
      </c>
      <c r="AM49" s="72">
        <f>IF(AM$4="","",IF(COUNTIF(設定!$W$6:$W$40,DATE(設定!$C$2,設定!$D$2,12))&gt;0,"假",IF(INDEX(設定!$U$54:$AO$54,(WEEKDAY(DATE(設定!$C$2,設定!$D$2,12),2)-1)*3+2)=0,"休",COUNTIF(AM$6:AM$45,"匯"))))</f>
        <v/>
      </c>
      <c r="AN49" s="72">
        <f>IF(AN$4="","",IF(COUNTIF(設定!$W$6:$W$40,DATE(設定!$C$2,設定!$D$2,12))&gt;0,"假",IF(INDEX(設定!$U$54:$AO$54,(WEEKDAY(DATE(設定!$C$2,設定!$D$2,12),2)-1)*3+3)=0,"休",COUNTIF(AN$6:AN$45,"匯"))))</f>
        <v/>
      </c>
      <c r="AO49" s="71">
        <f>IF(AO$4="","",IF(COUNTIF(設定!$W$6:$W$40,DATE(設定!$C$2,設定!$D$2,13))&gt;0,"假",IF(INDEX(設定!$U$54:$AO$54,(WEEKDAY(DATE(設定!$C$2,設定!$D$2,13),2)-1)*3+1)=0,"休",COUNTIF(AO$6:AO$45,"匯"))))</f>
        <v/>
      </c>
      <c r="AP49" s="72">
        <f>IF(AP$4="","",IF(COUNTIF(設定!$W$6:$W$40,DATE(設定!$C$2,設定!$D$2,13))&gt;0,"假",IF(INDEX(設定!$U$54:$AO$54,(WEEKDAY(DATE(設定!$C$2,設定!$D$2,13),2)-1)*3+2)=0,"休",COUNTIF(AP$6:AP$45,"匯"))))</f>
        <v/>
      </c>
      <c r="AQ49" s="72">
        <f>IF(AQ$4="","",IF(COUNTIF(設定!$W$6:$W$40,DATE(設定!$C$2,設定!$D$2,13))&gt;0,"假",IF(INDEX(設定!$U$54:$AO$54,(WEEKDAY(DATE(設定!$C$2,設定!$D$2,13),2)-1)*3+3)=0,"休",COUNTIF(AQ$6:AQ$45,"匯"))))</f>
        <v/>
      </c>
      <c r="AR49" s="71">
        <f>IF(AR$4="","",IF(COUNTIF(設定!$W$6:$W$40,DATE(設定!$C$2,設定!$D$2,14))&gt;0,"假",IF(INDEX(設定!$U$54:$AO$54,(WEEKDAY(DATE(設定!$C$2,設定!$D$2,14),2)-1)*3+1)=0,"休",COUNTIF(AR$6:AR$45,"匯"))))</f>
        <v/>
      </c>
      <c r="AS49" s="72">
        <f>IF(AS$4="","",IF(COUNTIF(設定!$W$6:$W$40,DATE(設定!$C$2,設定!$D$2,14))&gt;0,"假",IF(INDEX(設定!$U$54:$AO$54,(WEEKDAY(DATE(設定!$C$2,設定!$D$2,14),2)-1)*3+2)=0,"休",COUNTIF(AS$6:AS$45,"匯"))))</f>
        <v/>
      </c>
      <c r="AT49" s="72">
        <f>IF(AT$4="","",IF(COUNTIF(設定!$W$6:$W$40,DATE(設定!$C$2,設定!$D$2,14))&gt;0,"假",IF(INDEX(設定!$U$54:$AO$54,(WEEKDAY(DATE(設定!$C$2,設定!$D$2,14),2)-1)*3+3)=0,"休",COUNTIF(AT$6:AT$45,"匯"))))</f>
        <v/>
      </c>
      <c r="AU49" s="71">
        <f>IF(AU$4="","",IF(COUNTIF(設定!$W$6:$W$40,DATE(設定!$C$2,設定!$D$2,15))&gt;0,"假",IF(INDEX(設定!$U$54:$AO$54,(WEEKDAY(DATE(設定!$C$2,設定!$D$2,15),2)-1)*3+1)=0,"休",COUNTIF(AU$6:AU$45,"匯"))))</f>
        <v/>
      </c>
      <c r="AV49" s="72">
        <f>IF(AV$4="","",IF(COUNTIF(設定!$W$6:$W$40,DATE(設定!$C$2,設定!$D$2,15))&gt;0,"假",IF(INDEX(設定!$U$54:$AO$54,(WEEKDAY(DATE(設定!$C$2,設定!$D$2,15),2)-1)*3+2)=0,"休",COUNTIF(AV$6:AV$45,"匯"))))</f>
        <v/>
      </c>
      <c r="AW49" s="72">
        <f>IF(AW$4="","",IF(COUNTIF(設定!$W$6:$W$40,DATE(設定!$C$2,設定!$D$2,15))&gt;0,"假",IF(INDEX(設定!$U$54:$AO$54,(WEEKDAY(DATE(設定!$C$2,設定!$D$2,15),2)-1)*3+3)=0,"休",COUNTIF(AW$6:AW$45,"匯"))))</f>
        <v/>
      </c>
      <c r="AX49" s="71">
        <f>IF(AX$4="","",IF(COUNTIF(設定!$W$6:$W$40,DATE(設定!$C$2,設定!$D$2,16))&gt;0,"假",IF(INDEX(設定!$U$54:$AO$54,(WEEKDAY(DATE(設定!$C$2,設定!$D$2,16),2)-1)*3+1)=0,"休",COUNTIF(AX$6:AX$45,"匯"))))</f>
        <v/>
      </c>
      <c r="AY49" s="72">
        <f>IF(AY$4="","",IF(COUNTIF(設定!$W$6:$W$40,DATE(設定!$C$2,設定!$D$2,16))&gt;0,"假",IF(INDEX(設定!$U$54:$AO$54,(WEEKDAY(DATE(設定!$C$2,設定!$D$2,16),2)-1)*3+2)=0,"休",COUNTIF(AY$6:AY$45,"匯"))))</f>
        <v/>
      </c>
      <c r="AZ49" s="72">
        <f>IF(AZ$4="","",IF(COUNTIF(設定!$W$6:$W$40,DATE(設定!$C$2,設定!$D$2,16))&gt;0,"假",IF(INDEX(設定!$U$54:$AO$54,(WEEKDAY(DATE(設定!$C$2,設定!$D$2,16),2)-1)*3+3)=0,"休",COUNTIF(AZ$6:AZ$45,"匯"))))</f>
        <v/>
      </c>
      <c r="BA49" s="71">
        <f>IF(BA$4="","",IF(COUNTIF(設定!$W$6:$W$40,DATE(設定!$C$2,設定!$D$2,17))&gt;0,"假",IF(INDEX(設定!$U$54:$AO$54,(WEEKDAY(DATE(設定!$C$2,設定!$D$2,17),2)-1)*3+1)=0,"休",COUNTIF(BA$6:BA$45,"匯"))))</f>
        <v/>
      </c>
      <c r="BB49" s="72">
        <f>IF(BB$4="","",IF(COUNTIF(設定!$W$6:$W$40,DATE(設定!$C$2,設定!$D$2,17))&gt;0,"假",IF(INDEX(設定!$U$54:$AO$54,(WEEKDAY(DATE(設定!$C$2,設定!$D$2,17),2)-1)*3+2)=0,"休",COUNTIF(BB$6:BB$45,"匯"))))</f>
        <v/>
      </c>
      <c r="BC49" s="72">
        <f>IF(BC$4="","",IF(COUNTIF(設定!$W$6:$W$40,DATE(設定!$C$2,設定!$D$2,17))&gt;0,"假",IF(INDEX(設定!$U$54:$AO$54,(WEEKDAY(DATE(設定!$C$2,設定!$D$2,17),2)-1)*3+3)=0,"休",COUNTIF(BC$6:BC$45,"匯"))))</f>
        <v/>
      </c>
      <c r="BD49" s="71">
        <f>IF(BD$4="","",IF(COUNTIF(設定!$W$6:$W$40,DATE(設定!$C$2,設定!$D$2,18))&gt;0,"假",IF(INDEX(設定!$U$54:$AO$54,(WEEKDAY(DATE(設定!$C$2,設定!$D$2,18),2)-1)*3+1)=0,"休",COUNTIF(BD$6:BD$45,"匯"))))</f>
        <v/>
      </c>
      <c r="BE49" s="72">
        <f>IF(BE$4="","",IF(COUNTIF(設定!$W$6:$W$40,DATE(設定!$C$2,設定!$D$2,18))&gt;0,"假",IF(INDEX(設定!$U$54:$AO$54,(WEEKDAY(DATE(設定!$C$2,設定!$D$2,18),2)-1)*3+2)=0,"休",COUNTIF(BE$6:BE$45,"匯"))))</f>
        <v/>
      </c>
      <c r="BF49" s="72">
        <f>IF(BF$4="","",IF(COUNTIF(設定!$W$6:$W$40,DATE(設定!$C$2,設定!$D$2,18))&gt;0,"假",IF(INDEX(設定!$U$54:$AO$54,(WEEKDAY(DATE(設定!$C$2,設定!$D$2,18),2)-1)*3+3)=0,"休",COUNTIF(BF$6:BF$45,"匯"))))</f>
        <v/>
      </c>
      <c r="BG49" s="71">
        <f>IF(BG$4="","",IF(COUNTIF(設定!$W$6:$W$40,DATE(設定!$C$2,設定!$D$2,19))&gt;0,"假",IF(INDEX(設定!$U$54:$AO$54,(WEEKDAY(DATE(設定!$C$2,設定!$D$2,19),2)-1)*3+1)=0,"休",COUNTIF(BG$6:BG$45,"匯"))))</f>
        <v/>
      </c>
      <c r="BH49" s="72">
        <f>IF(BH$4="","",IF(COUNTIF(設定!$W$6:$W$40,DATE(設定!$C$2,設定!$D$2,19))&gt;0,"假",IF(INDEX(設定!$U$54:$AO$54,(WEEKDAY(DATE(設定!$C$2,設定!$D$2,19),2)-1)*3+2)=0,"休",COUNTIF(BH$6:BH$45,"匯"))))</f>
        <v/>
      </c>
      <c r="BI49" s="72">
        <f>IF(BI$4="","",IF(COUNTIF(設定!$W$6:$W$40,DATE(設定!$C$2,設定!$D$2,19))&gt;0,"假",IF(INDEX(設定!$U$54:$AO$54,(WEEKDAY(DATE(設定!$C$2,設定!$D$2,19),2)-1)*3+3)=0,"休",COUNTIF(BI$6:BI$45,"匯"))))</f>
        <v/>
      </c>
      <c r="BJ49" s="71">
        <f>IF(BJ$4="","",IF(COUNTIF(設定!$W$6:$W$40,DATE(設定!$C$2,設定!$D$2,20))&gt;0,"假",IF(INDEX(設定!$U$54:$AO$54,(WEEKDAY(DATE(設定!$C$2,設定!$D$2,20),2)-1)*3+1)=0,"休",COUNTIF(BJ$6:BJ$45,"匯"))))</f>
        <v/>
      </c>
      <c r="BK49" s="72">
        <f>IF(BK$4="","",IF(COUNTIF(設定!$W$6:$W$40,DATE(設定!$C$2,設定!$D$2,20))&gt;0,"假",IF(INDEX(設定!$U$54:$AO$54,(WEEKDAY(DATE(設定!$C$2,設定!$D$2,20),2)-1)*3+2)=0,"休",COUNTIF(BK$6:BK$45,"匯"))))</f>
        <v/>
      </c>
      <c r="BL49" s="72">
        <f>IF(BL$4="","",IF(COUNTIF(設定!$W$6:$W$40,DATE(設定!$C$2,設定!$D$2,20))&gt;0,"假",IF(INDEX(設定!$U$54:$AO$54,(WEEKDAY(DATE(設定!$C$2,設定!$D$2,20),2)-1)*3+3)=0,"休",COUNTIF(BL$6:BL$45,"匯"))))</f>
        <v/>
      </c>
      <c r="BM49" s="71">
        <f>IF(BM$4="","",IF(COUNTIF(設定!$W$6:$W$40,DATE(設定!$C$2,設定!$D$2,21))&gt;0,"假",IF(INDEX(設定!$U$54:$AO$54,(WEEKDAY(DATE(設定!$C$2,設定!$D$2,21),2)-1)*3+1)=0,"休",COUNTIF(BM$6:BM$45,"匯"))))</f>
        <v/>
      </c>
      <c r="BN49" s="72">
        <f>IF(BN$4="","",IF(COUNTIF(設定!$W$6:$W$40,DATE(設定!$C$2,設定!$D$2,21))&gt;0,"假",IF(INDEX(設定!$U$54:$AO$54,(WEEKDAY(DATE(設定!$C$2,設定!$D$2,21),2)-1)*3+2)=0,"休",COUNTIF(BN$6:BN$45,"匯"))))</f>
        <v/>
      </c>
      <c r="BO49" s="72">
        <f>IF(BO$4="","",IF(COUNTIF(設定!$W$6:$W$40,DATE(設定!$C$2,設定!$D$2,21))&gt;0,"假",IF(INDEX(設定!$U$54:$AO$54,(WEEKDAY(DATE(設定!$C$2,設定!$D$2,21),2)-1)*3+3)=0,"休",COUNTIF(BO$6:BO$45,"匯"))))</f>
        <v/>
      </c>
      <c r="BP49" s="71">
        <f>IF(BP$4="","",IF(COUNTIF(設定!$W$6:$W$40,DATE(設定!$C$2,設定!$D$2,22))&gt;0,"假",IF(INDEX(設定!$U$54:$AO$54,(WEEKDAY(DATE(設定!$C$2,設定!$D$2,22),2)-1)*3+1)=0,"休",COUNTIF(BP$6:BP$45,"匯"))))</f>
        <v/>
      </c>
      <c r="BQ49" s="72">
        <f>IF(BQ$4="","",IF(COUNTIF(設定!$W$6:$W$40,DATE(設定!$C$2,設定!$D$2,22))&gt;0,"假",IF(INDEX(設定!$U$54:$AO$54,(WEEKDAY(DATE(設定!$C$2,設定!$D$2,22),2)-1)*3+2)=0,"休",COUNTIF(BQ$6:BQ$45,"匯"))))</f>
        <v/>
      </c>
      <c r="BR49" s="72">
        <f>IF(BR$4="","",IF(COUNTIF(設定!$W$6:$W$40,DATE(設定!$C$2,設定!$D$2,22))&gt;0,"假",IF(INDEX(設定!$U$54:$AO$54,(WEEKDAY(DATE(設定!$C$2,設定!$D$2,22),2)-1)*3+3)=0,"休",COUNTIF(BR$6:BR$45,"匯"))))</f>
        <v/>
      </c>
      <c r="BS49" s="71">
        <f>IF(BS$4="","",IF(COUNTIF(設定!$W$6:$W$40,DATE(設定!$C$2,設定!$D$2,23))&gt;0,"假",IF(INDEX(設定!$U$54:$AO$54,(WEEKDAY(DATE(設定!$C$2,設定!$D$2,23),2)-1)*3+1)=0,"休",COUNTIF(BS$6:BS$45,"匯"))))</f>
        <v/>
      </c>
      <c r="BT49" s="72">
        <f>IF(BT$4="","",IF(COUNTIF(設定!$W$6:$W$40,DATE(設定!$C$2,設定!$D$2,23))&gt;0,"假",IF(INDEX(設定!$U$54:$AO$54,(WEEKDAY(DATE(設定!$C$2,設定!$D$2,23),2)-1)*3+2)=0,"休",COUNTIF(BT$6:BT$45,"匯"))))</f>
        <v/>
      </c>
      <c r="BU49" s="72">
        <f>IF(BU$4="","",IF(COUNTIF(設定!$W$6:$W$40,DATE(設定!$C$2,設定!$D$2,23))&gt;0,"假",IF(INDEX(設定!$U$54:$AO$54,(WEEKDAY(DATE(設定!$C$2,設定!$D$2,23),2)-1)*3+3)=0,"休",COUNTIF(BU$6:BU$45,"匯"))))</f>
        <v/>
      </c>
      <c r="BV49" s="71">
        <f>IF(BV$4="","",IF(COUNTIF(設定!$W$6:$W$40,DATE(設定!$C$2,設定!$D$2,24))&gt;0,"假",IF(INDEX(設定!$U$54:$AO$54,(WEEKDAY(DATE(設定!$C$2,設定!$D$2,24),2)-1)*3+1)=0,"休",COUNTIF(BV$6:BV$45,"匯"))))</f>
        <v/>
      </c>
      <c r="BW49" s="72">
        <f>IF(BW$4="","",IF(COUNTIF(設定!$W$6:$W$40,DATE(設定!$C$2,設定!$D$2,24))&gt;0,"假",IF(INDEX(設定!$U$54:$AO$54,(WEEKDAY(DATE(設定!$C$2,設定!$D$2,24),2)-1)*3+2)=0,"休",COUNTIF(BW$6:BW$45,"匯"))))</f>
        <v/>
      </c>
      <c r="BX49" s="72">
        <f>IF(BX$4="","",IF(COUNTIF(設定!$W$6:$W$40,DATE(設定!$C$2,設定!$D$2,24))&gt;0,"假",IF(INDEX(設定!$U$54:$AO$54,(WEEKDAY(DATE(設定!$C$2,設定!$D$2,24),2)-1)*3+3)=0,"休",COUNTIF(BX$6:BX$45,"匯"))))</f>
        <v/>
      </c>
      <c r="BY49" s="71">
        <f>IF(BY$4="","",IF(COUNTIF(設定!$W$6:$W$40,DATE(設定!$C$2,設定!$D$2,25))&gt;0,"假",IF(INDEX(設定!$U$54:$AO$54,(WEEKDAY(DATE(設定!$C$2,設定!$D$2,25),2)-1)*3+1)=0,"休",COUNTIF(BY$6:BY$45,"匯"))))</f>
        <v/>
      </c>
      <c r="BZ49" s="72">
        <f>IF(BZ$4="","",IF(COUNTIF(設定!$W$6:$W$40,DATE(設定!$C$2,設定!$D$2,25))&gt;0,"假",IF(INDEX(設定!$U$54:$AO$54,(WEEKDAY(DATE(設定!$C$2,設定!$D$2,25),2)-1)*3+2)=0,"休",COUNTIF(BZ$6:BZ$45,"匯"))))</f>
        <v/>
      </c>
      <c r="CA49" s="72">
        <f>IF(CA$4="","",IF(COUNTIF(設定!$W$6:$W$40,DATE(設定!$C$2,設定!$D$2,25))&gt;0,"假",IF(INDEX(設定!$U$54:$AO$54,(WEEKDAY(DATE(設定!$C$2,設定!$D$2,25),2)-1)*3+3)=0,"休",COUNTIF(CA$6:CA$45,"匯"))))</f>
        <v/>
      </c>
      <c r="CB49" s="71">
        <f>IF(CB$4="","",IF(COUNTIF(設定!$W$6:$W$40,DATE(設定!$C$2,設定!$D$2,26))&gt;0,"假",IF(INDEX(設定!$U$54:$AO$54,(WEEKDAY(DATE(設定!$C$2,設定!$D$2,26),2)-1)*3+1)=0,"休",COUNTIF(CB$6:CB$45,"匯"))))</f>
        <v/>
      </c>
      <c r="CC49" s="72">
        <f>IF(CC$4="","",IF(COUNTIF(設定!$W$6:$W$40,DATE(設定!$C$2,設定!$D$2,26))&gt;0,"假",IF(INDEX(設定!$U$54:$AO$54,(WEEKDAY(DATE(設定!$C$2,設定!$D$2,26),2)-1)*3+2)=0,"休",COUNTIF(CC$6:CC$45,"匯"))))</f>
        <v/>
      </c>
      <c r="CD49" s="72">
        <f>IF(CD$4="","",IF(COUNTIF(設定!$W$6:$W$40,DATE(設定!$C$2,設定!$D$2,26))&gt;0,"假",IF(INDEX(設定!$U$54:$AO$54,(WEEKDAY(DATE(設定!$C$2,設定!$D$2,26),2)-1)*3+3)=0,"休",COUNTIF(CD$6:CD$45,"匯"))))</f>
        <v/>
      </c>
      <c r="CE49" s="71">
        <f>IF(CE$4="","",IF(COUNTIF(設定!$W$6:$W$40,DATE(設定!$C$2,設定!$D$2,27))&gt;0,"假",IF(INDEX(設定!$U$54:$AO$54,(WEEKDAY(DATE(設定!$C$2,設定!$D$2,27),2)-1)*3+1)=0,"休",COUNTIF(CE$6:CE$45,"匯"))))</f>
        <v/>
      </c>
      <c r="CF49" s="72">
        <f>IF(CF$4="","",IF(COUNTIF(設定!$W$6:$W$40,DATE(設定!$C$2,設定!$D$2,27))&gt;0,"假",IF(INDEX(設定!$U$54:$AO$54,(WEEKDAY(DATE(設定!$C$2,設定!$D$2,27),2)-1)*3+2)=0,"休",COUNTIF(CF$6:CF$45,"匯"))))</f>
        <v/>
      </c>
      <c r="CG49" s="72">
        <f>IF(CG$4="","",IF(COUNTIF(設定!$W$6:$W$40,DATE(設定!$C$2,設定!$D$2,27))&gt;0,"假",IF(INDEX(設定!$U$54:$AO$54,(WEEKDAY(DATE(設定!$C$2,設定!$D$2,27),2)-1)*3+3)=0,"休",COUNTIF(CG$6:CG$45,"匯"))))</f>
        <v/>
      </c>
      <c r="CH49" s="71">
        <f>IF(CH$4="","",IF(COUNTIF(設定!$W$6:$W$40,DATE(設定!$C$2,設定!$D$2,28))&gt;0,"假",IF(INDEX(設定!$U$54:$AO$54,(WEEKDAY(DATE(設定!$C$2,設定!$D$2,28),2)-1)*3+1)=0,"休",COUNTIF(CH$6:CH$45,"匯"))))</f>
        <v/>
      </c>
      <c r="CI49" s="72">
        <f>IF(CI$4="","",IF(COUNTIF(設定!$W$6:$W$40,DATE(設定!$C$2,設定!$D$2,28))&gt;0,"假",IF(INDEX(設定!$U$54:$AO$54,(WEEKDAY(DATE(設定!$C$2,設定!$D$2,28),2)-1)*3+2)=0,"休",COUNTIF(CI$6:CI$45,"匯"))))</f>
        <v/>
      </c>
      <c r="CJ49" s="72">
        <f>IF(CJ$4="","",IF(COUNTIF(設定!$W$6:$W$40,DATE(設定!$C$2,設定!$D$2,28))&gt;0,"假",IF(INDEX(設定!$U$54:$AO$54,(WEEKDAY(DATE(設定!$C$2,設定!$D$2,28),2)-1)*3+3)=0,"休",COUNTIF(CJ$6:CJ$45,"匯"))))</f>
        <v/>
      </c>
      <c r="CK49" s="71">
        <f>IF(CK$4="","",IF(COUNTIF(設定!$W$6:$W$40,DATE(設定!$C$2,設定!$D$2,29))&gt;0,"假",IF(INDEX(設定!$U$54:$AO$54,(WEEKDAY(DATE(設定!$C$2,設定!$D$2,29),2)-1)*3+1)=0,"休",COUNTIF(CK$6:CK$45,"匯"))))</f>
        <v/>
      </c>
      <c r="CL49" s="72">
        <f>IF(CL$4="","",IF(COUNTIF(設定!$W$6:$W$40,DATE(設定!$C$2,設定!$D$2,29))&gt;0,"假",IF(INDEX(設定!$U$54:$AO$54,(WEEKDAY(DATE(設定!$C$2,設定!$D$2,29),2)-1)*3+2)=0,"休",COUNTIF(CL$6:CL$45,"匯"))))</f>
        <v/>
      </c>
      <c r="CM49" s="72">
        <f>IF(CM$4="","",IF(COUNTIF(設定!$W$6:$W$40,DATE(設定!$C$2,設定!$D$2,29))&gt;0,"假",IF(INDEX(設定!$U$54:$AO$54,(WEEKDAY(DATE(設定!$C$2,設定!$D$2,29),2)-1)*3+3)=0,"休",COUNTIF(CM$6:CM$45,"匯"))))</f>
        <v/>
      </c>
      <c r="CN49" s="71">
        <f>IF(CN$4="","",IF(COUNTIF(設定!$W$6:$W$40,DATE(設定!$C$2,設定!$D$2,30))&gt;0,"假",IF(INDEX(設定!$U$54:$AO$54,(WEEKDAY(DATE(設定!$C$2,設定!$D$2,30),2)-1)*3+1)=0,"休",COUNTIF(CN$6:CN$45,"匯"))))</f>
        <v/>
      </c>
      <c r="CO49" s="72">
        <f>IF(CO$4="","",IF(COUNTIF(設定!$W$6:$W$40,DATE(設定!$C$2,設定!$D$2,30))&gt;0,"假",IF(INDEX(設定!$U$54:$AO$54,(WEEKDAY(DATE(設定!$C$2,設定!$D$2,30),2)-1)*3+2)=0,"休",COUNTIF(CO$6:CO$45,"匯"))))</f>
        <v/>
      </c>
      <c r="CP49" s="72">
        <f>IF(CP$4="","",IF(COUNTIF(設定!$W$6:$W$40,DATE(設定!$C$2,設定!$D$2,30))&gt;0,"假",IF(INDEX(設定!$U$54:$AO$54,(WEEKDAY(DATE(設定!$C$2,設定!$D$2,30),2)-1)*3+3)=0,"休",COUNTIF(CP$6:CP$45,"匯"))))</f>
        <v/>
      </c>
      <c r="CQ49" s="71">
        <f>IF(CQ$4="","",IF(COUNTIF(設定!$W$6:$W$40,DATE(設定!$C$2,設定!$D$2,31))&gt;0,"假",IF(INDEX(設定!$U$54:$AO$54,(WEEKDAY(DATE(設定!$C$2,設定!$D$2,31),2)-1)*3+1)=0,"休",COUNTIF(CQ$6:CQ$45,"匯"))))</f>
        <v/>
      </c>
      <c r="CR49" s="72">
        <f>IF(CR$4="","",IF(COUNTIF(設定!$W$6:$W$40,DATE(設定!$C$2,設定!$D$2,31))&gt;0,"假",IF(INDEX(設定!$U$54:$AO$54,(WEEKDAY(DATE(設定!$C$2,設定!$D$2,31),2)-1)*3+2)=0,"休",COUNTIF(CR$6:CR$45,"匯"))))</f>
        <v/>
      </c>
      <c r="CS49" s="72">
        <f>IF(CS$4="","",IF(COUNTIF(設定!$W$6:$W$40,DATE(設定!$C$2,設定!$D$2,31))&gt;0,"假",IF(INDEX(設定!$U$54:$AO$54,(WEEKDAY(DATE(設定!$C$2,設定!$D$2,31),2)-1)*3+3)=0,"休",COUNTIF(CS$6:CS$45,"匯"))))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IF(E$4="","",IF(COUNTIF(設定!$W$6:$W$40,DATE(設定!$C$2,設定!$D$2,1))&gt;0,"假",IF(INDEX(設定!$U$55:$AO$55,(WEEKDAY(DATE(設定!$C$2,設定!$D$2,1),2)-1)*3+1)=0,"休",COUNTIF(E$6:E$45,"曜"))))</f>
        <v/>
      </c>
      <c r="F50" s="72">
        <f>IF(F$4="","",IF(COUNTIF(設定!$W$6:$W$40,DATE(設定!$C$2,設定!$D$2,1))&gt;0,"假",IF(INDEX(設定!$U$55:$AO$55,(WEEKDAY(DATE(設定!$C$2,設定!$D$2,1),2)-1)*3+2)=0,"休",COUNTIF(F$6:F$45,"曜"))))</f>
        <v/>
      </c>
      <c r="G50" s="72">
        <f>IF(G$4="","",IF(COUNTIF(設定!$W$6:$W$40,DATE(設定!$C$2,設定!$D$2,1))&gt;0,"假",IF(INDEX(設定!$U$55:$AO$55,(WEEKDAY(DATE(設定!$C$2,設定!$D$2,1),2)-1)*3+3)=0,"休",COUNTIF(G$6:G$45,"曜"))))</f>
        <v/>
      </c>
      <c r="H50" s="71">
        <f>IF(H$4="","",IF(COUNTIF(設定!$W$6:$W$40,DATE(設定!$C$2,設定!$D$2,2))&gt;0,"假",IF(INDEX(設定!$U$55:$AO$55,(WEEKDAY(DATE(設定!$C$2,設定!$D$2,2),2)-1)*3+1)=0,"休",COUNTIF(H$6:H$45,"曜"))))</f>
        <v/>
      </c>
      <c r="I50" s="72">
        <f>IF(I$4="","",IF(COUNTIF(設定!$W$6:$W$40,DATE(設定!$C$2,設定!$D$2,2))&gt;0,"假",IF(INDEX(設定!$U$55:$AO$55,(WEEKDAY(DATE(設定!$C$2,設定!$D$2,2),2)-1)*3+2)=0,"休",COUNTIF(I$6:I$45,"曜"))))</f>
        <v/>
      </c>
      <c r="J50" s="72">
        <f>IF(J$4="","",IF(COUNTIF(設定!$W$6:$W$40,DATE(設定!$C$2,設定!$D$2,2))&gt;0,"假",IF(INDEX(設定!$U$55:$AO$55,(WEEKDAY(DATE(設定!$C$2,設定!$D$2,2),2)-1)*3+3)=0,"休",COUNTIF(J$6:J$45,"曜"))))</f>
        <v/>
      </c>
      <c r="K50" s="71">
        <f>IF(K$4="","",IF(COUNTIF(設定!$W$6:$W$40,DATE(設定!$C$2,設定!$D$2,3))&gt;0,"假",IF(INDEX(設定!$U$55:$AO$55,(WEEKDAY(DATE(設定!$C$2,設定!$D$2,3),2)-1)*3+1)=0,"休",COUNTIF(K$6:K$45,"曜"))))</f>
        <v/>
      </c>
      <c r="L50" s="72">
        <f>IF(L$4="","",IF(COUNTIF(設定!$W$6:$W$40,DATE(設定!$C$2,設定!$D$2,3))&gt;0,"假",IF(INDEX(設定!$U$55:$AO$55,(WEEKDAY(DATE(設定!$C$2,設定!$D$2,3),2)-1)*3+2)=0,"休",COUNTIF(L$6:L$45,"曜"))))</f>
        <v/>
      </c>
      <c r="M50" s="72">
        <f>IF(M$4="","",IF(COUNTIF(設定!$W$6:$W$40,DATE(設定!$C$2,設定!$D$2,3))&gt;0,"假",IF(INDEX(設定!$U$55:$AO$55,(WEEKDAY(DATE(設定!$C$2,設定!$D$2,3),2)-1)*3+3)=0,"休",COUNTIF(M$6:M$45,"曜"))))</f>
        <v/>
      </c>
      <c r="N50" s="71">
        <f>IF(N$4="","",IF(COUNTIF(設定!$W$6:$W$40,DATE(設定!$C$2,設定!$D$2,4))&gt;0,"假",IF(INDEX(設定!$U$55:$AO$55,(WEEKDAY(DATE(設定!$C$2,設定!$D$2,4),2)-1)*3+1)=0,"休",COUNTIF(N$6:N$45,"曜"))))</f>
        <v/>
      </c>
      <c r="O50" s="72">
        <f>IF(O$4="","",IF(COUNTIF(設定!$W$6:$W$40,DATE(設定!$C$2,設定!$D$2,4))&gt;0,"假",IF(INDEX(設定!$U$55:$AO$55,(WEEKDAY(DATE(設定!$C$2,設定!$D$2,4),2)-1)*3+2)=0,"休",COUNTIF(O$6:O$45,"曜"))))</f>
        <v/>
      </c>
      <c r="P50" s="72">
        <f>IF(P$4="","",IF(COUNTIF(設定!$W$6:$W$40,DATE(設定!$C$2,設定!$D$2,4))&gt;0,"假",IF(INDEX(設定!$U$55:$AO$55,(WEEKDAY(DATE(設定!$C$2,設定!$D$2,4),2)-1)*3+3)=0,"休",COUNTIF(P$6:P$45,"曜"))))</f>
        <v/>
      </c>
      <c r="Q50" s="71">
        <f>IF(Q$4="","",IF(COUNTIF(設定!$W$6:$W$40,DATE(設定!$C$2,設定!$D$2,5))&gt;0,"假",IF(INDEX(設定!$U$55:$AO$55,(WEEKDAY(DATE(設定!$C$2,設定!$D$2,5),2)-1)*3+1)=0,"休",COUNTIF(Q$6:Q$45,"曜"))))</f>
        <v/>
      </c>
      <c r="R50" s="72">
        <f>IF(R$4="","",IF(COUNTIF(設定!$W$6:$W$40,DATE(設定!$C$2,設定!$D$2,5))&gt;0,"假",IF(INDEX(設定!$U$55:$AO$55,(WEEKDAY(DATE(設定!$C$2,設定!$D$2,5),2)-1)*3+2)=0,"休",COUNTIF(R$6:R$45,"曜"))))</f>
        <v/>
      </c>
      <c r="S50" s="72">
        <f>IF(S$4="","",IF(COUNTIF(設定!$W$6:$W$40,DATE(設定!$C$2,設定!$D$2,5))&gt;0,"假",IF(INDEX(設定!$U$55:$AO$55,(WEEKDAY(DATE(設定!$C$2,設定!$D$2,5),2)-1)*3+3)=0,"休",COUNTIF(S$6:S$45,"曜"))))</f>
        <v/>
      </c>
      <c r="T50" s="71">
        <f>IF(T$4="","",IF(COUNTIF(設定!$W$6:$W$40,DATE(設定!$C$2,設定!$D$2,6))&gt;0,"假",IF(INDEX(設定!$U$55:$AO$55,(WEEKDAY(DATE(設定!$C$2,設定!$D$2,6),2)-1)*3+1)=0,"休",COUNTIF(T$6:T$45,"曜"))))</f>
        <v/>
      </c>
      <c r="U50" s="72">
        <f>IF(U$4="","",IF(COUNTIF(設定!$W$6:$W$40,DATE(設定!$C$2,設定!$D$2,6))&gt;0,"假",IF(INDEX(設定!$U$55:$AO$55,(WEEKDAY(DATE(設定!$C$2,設定!$D$2,6),2)-1)*3+2)=0,"休",COUNTIF(U$6:U$45,"曜"))))</f>
        <v/>
      </c>
      <c r="V50" s="72">
        <f>IF(V$4="","",IF(COUNTIF(設定!$W$6:$W$40,DATE(設定!$C$2,設定!$D$2,6))&gt;0,"假",IF(INDEX(設定!$U$55:$AO$55,(WEEKDAY(DATE(設定!$C$2,設定!$D$2,6),2)-1)*3+3)=0,"休",COUNTIF(V$6:V$45,"曜"))))</f>
        <v/>
      </c>
      <c r="W50" s="71">
        <f>IF(W$4="","",IF(COUNTIF(設定!$W$6:$W$40,DATE(設定!$C$2,設定!$D$2,7))&gt;0,"假",IF(INDEX(設定!$U$55:$AO$55,(WEEKDAY(DATE(設定!$C$2,設定!$D$2,7),2)-1)*3+1)=0,"休",COUNTIF(W$6:W$45,"曜"))))</f>
        <v/>
      </c>
      <c r="X50" s="72">
        <f>IF(X$4="","",IF(COUNTIF(設定!$W$6:$W$40,DATE(設定!$C$2,設定!$D$2,7))&gt;0,"假",IF(INDEX(設定!$U$55:$AO$55,(WEEKDAY(DATE(設定!$C$2,設定!$D$2,7),2)-1)*3+2)=0,"休",COUNTIF(X$6:X$45,"曜"))))</f>
        <v/>
      </c>
      <c r="Y50" s="72">
        <f>IF(Y$4="","",IF(COUNTIF(設定!$W$6:$W$40,DATE(設定!$C$2,設定!$D$2,7))&gt;0,"假",IF(INDEX(設定!$U$55:$AO$55,(WEEKDAY(DATE(設定!$C$2,設定!$D$2,7),2)-1)*3+3)=0,"休",COUNTIF(Y$6:Y$45,"曜"))))</f>
        <v/>
      </c>
      <c r="Z50" s="71">
        <f>IF(Z$4="","",IF(COUNTIF(設定!$W$6:$W$40,DATE(設定!$C$2,設定!$D$2,8))&gt;0,"假",IF(INDEX(設定!$U$55:$AO$55,(WEEKDAY(DATE(設定!$C$2,設定!$D$2,8),2)-1)*3+1)=0,"休",COUNTIF(Z$6:Z$45,"曜"))))</f>
        <v/>
      </c>
      <c r="AA50" s="72">
        <f>IF(AA$4="","",IF(COUNTIF(設定!$W$6:$W$40,DATE(設定!$C$2,設定!$D$2,8))&gt;0,"假",IF(INDEX(設定!$U$55:$AO$55,(WEEKDAY(DATE(設定!$C$2,設定!$D$2,8),2)-1)*3+2)=0,"休",COUNTIF(AA$6:AA$45,"曜"))))</f>
        <v/>
      </c>
      <c r="AB50" s="72">
        <f>IF(AB$4="","",IF(COUNTIF(設定!$W$6:$W$40,DATE(設定!$C$2,設定!$D$2,8))&gt;0,"假",IF(INDEX(設定!$U$55:$AO$55,(WEEKDAY(DATE(設定!$C$2,設定!$D$2,8),2)-1)*3+3)=0,"休",COUNTIF(AB$6:AB$45,"曜"))))</f>
        <v/>
      </c>
      <c r="AC50" s="71">
        <f>IF(AC$4="","",IF(COUNTIF(設定!$W$6:$W$40,DATE(設定!$C$2,設定!$D$2,9))&gt;0,"假",IF(INDEX(設定!$U$55:$AO$55,(WEEKDAY(DATE(設定!$C$2,設定!$D$2,9),2)-1)*3+1)=0,"休",COUNTIF(AC$6:AC$45,"曜"))))</f>
        <v/>
      </c>
      <c r="AD50" s="72">
        <f>IF(AD$4="","",IF(COUNTIF(設定!$W$6:$W$40,DATE(設定!$C$2,設定!$D$2,9))&gt;0,"假",IF(INDEX(設定!$U$55:$AO$55,(WEEKDAY(DATE(設定!$C$2,設定!$D$2,9),2)-1)*3+2)=0,"休",COUNTIF(AD$6:AD$45,"曜"))))</f>
        <v/>
      </c>
      <c r="AE50" s="72">
        <f>IF(AE$4="","",IF(COUNTIF(設定!$W$6:$W$40,DATE(設定!$C$2,設定!$D$2,9))&gt;0,"假",IF(INDEX(設定!$U$55:$AO$55,(WEEKDAY(DATE(設定!$C$2,設定!$D$2,9),2)-1)*3+3)=0,"休",COUNTIF(AE$6:AE$45,"曜"))))</f>
        <v/>
      </c>
      <c r="AF50" s="71">
        <f>IF(AF$4="","",IF(COUNTIF(設定!$W$6:$W$40,DATE(設定!$C$2,設定!$D$2,10))&gt;0,"假",IF(INDEX(設定!$U$55:$AO$55,(WEEKDAY(DATE(設定!$C$2,設定!$D$2,10),2)-1)*3+1)=0,"休",COUNTIF(AF$6:AF$45,"曜"))))</f>
        <v/>
      </c>
      <c r="AG50" s="72">
        <f>IF(AG$4="","",IF(COUNTIF(設定!$W$6:$W$40,DATE(設定!$C$2,設定!$D$2,10))&gt;0,"假",IF(INDEX(設定!$U$55:$AO$55,(WEEKDAY(DATE(設定!$C$2,設定!$D$2,10),2)-1)*3+2)=0,"休",COUNTIF(AG$6:AG$45,"曜"))))</f>
        <v/>
      </c>
      <c r="AH50" s="72">
        <f>IF(AH$4="","",IF(COUNTIF(設定!$W$6:$W$40,DATE(設定!$C$2,設定!$D$2,10))&gt;0,"假",IF(INDEX(設定!$U$55:$AO$55,(WEEKDAY(DATE(設定!$C$2,設定!$D$2,10),2)-1)*3+3)=0,"休",COUNTIF(AH$6:AH$45,"曜"))))</f>
        <v/>
      </c>
      <c r="AI50" s="71">
        <f>IF(AI$4="","",IF(COUNTIF(設定!$W$6:$W$40,DATE(設定!$C$2,設定!$D$2,11))&gt;0,"假",IF(INDEX(設定!$U$55:$AO$55,(WEEKDAY(DATE(設定!$C$2,設定!$D$2,11),2)-1)*3+1)=0,"休",COUNTIF(AI$6:AI$45,"曜"))))</f>
        <v/>
      </c>
      <c r="AJ50" s="72">
        <f>IF(AJ$4="","",IF(COUNTIF(設定!$W$6:$W$40,DATE(設定!$C$2,設定!$D$2,11))&gt;0,"假",IF(INDEX(設定!$U$55:$AO$55,(WEEKDAY(DATE(設定!$C$2,設定!$D$2,11),2)-1)*3+2)=0,"休",COUNTIF(AJ$6:AJ$45,"曜"))))</f>
        <v/>
      </c>
      <c r="AK50" s="72">
        <f>IF(AK$4="","",IF(COUNTIF(設定!$W$6:$W$40,DATE(設定!$C$2,設定!$D$2,11))&gt;0,"假",IF(INDEX(設定!$U$55:$AO$55,(WEEKDAY(DATE(設定!$C$2,設定!$D$2,11),2)-1)*3+3)=0,"休",COUNTIF(AK$6:AK$45,"曜"))))</f>
        <v/>
      </c>
      <c r="AL50" s="71">
        <f>IF(AL$4="","",IF(COUNTIF(設定!$W$6:$W$40,DATE(設定!$C$2,設定!$D$2,12))&gt;0,"假",IF(INDEX(設定!$U$55:$AO$55,(WEEKDAY(DATE(設定!$C$2,設定!$D$2,12),2)-1)*3+1)=0,"休",COUNTIF(AL$6:AL$45,"曜"))))</f>
        <v/>
      </c>
      <c r="AM50" s="72">
        <f>IF(AM$4="","",IF(COUNTIF(設定!$W$6:$W$40,DATE(設定!$C$2,設定!$D$2,12))&gt;0,"假",IF(INDEX(設定!$U$55:$AO$55,(WEEKDAY(DATE(設定!$C$2,設定!$D$2,12),2)-1)*3+2)=0,"休",COUNTIF(AM$6:AM$45,"曜"))))</f>
        <v/>
      </c>
      <c r="AN50" s="72">
        <f>IF(AN$4="","",IF(COUNTIF(設定!$W$6:$W$40,DATE(設定!$C$2,設定!$D$2,12))&gt;0,"假",IF(INDEX(設定!$U$55:$AO$55,(WEEKDAY(DATE(設定!$C$2,設定!$D$2,12),2)-1)*3+3)=0,"休",COUNTIF(AN$6:AN$45,"曜"))))</f>
        <v/>
      </c>
      <c r="AO50" s="71">
        <f>IF(AO$4="","",IF(COUNTIF(設定!$W$6:$W$40,DATE(設定!$C$2,設定!$D$2,13))&gt;0,"假",IF(INDEX(設定!$U$55:$AO$55,(WEEKDAY(DATE(設定!$C$2,設定!$D$2,13),2)-1)*3+1)=0,"休",COUNTIF(AO$6:AO$45,"曜"))))</f>
        <v/>
      </c>
      <c r="AP50" s="72">
        <f>IF(AP$4="","",IF(COUNTIF(設定!$W$6:$W$40,DATE(設定!$C$2,設定!$D$2,13))&gt;0,"假",IF(INDEX(設定!$U$55:$AO$55,(WEEKDAY(DATE(設定!$C$2,設定!$D$2,13),2)-1)*3+2)=0,"休",COUNTIF(AP$6:AP$45,"曜"))))</f>
        <v/>
      </c>
      <c r="AQ50" s="72">
        <f>IF(AQ$4="","",IF(COUNTIF(設定!$W$6:$W$40,DATE(設定!$C$2,設定!$D$2,13))&gt;0,"假",IF(INDEX(設定!$U$55:$AO$55,(WEEKDAY(DATE(設定!$C$2,設定!$D$2,13),2)-1)*3+3)=0,"休",COUNTIF(AQ$6:AQ$45,"曜"))))</f>
        <v/>
      </c>
      <c r="AR50" s="71">
        <f>IF(AR$4="","",IF(COUNTIF(設定!$W$6:$W$40,DATE(設定!$C$2,設定!$D$2,14))&gt;0,"假",IF(INDEX(設定!$U$55:$AO$55,(WEEKDAY(DATE(設定!$C$2,設定!$D$2,14),2)-1)*3+1)=0,"休",COUNTIF(AR$6:AR$45,"曜"))))</f>
        <v/>
      </c>
      <c r="AS50" s="72">
        <f>IF(AS$4="","",IF(COUNTIF(設定!$W$6:$W$40,DATE(設定!$C$2,設定!$D$2,14))&gt;0,"假",IF(INDEX(設定!$U$55:$AO$55,(WEEKDAY(DATE(設定!$C$2,設定!$D$2,14),2)-1)*3+2)=0,"休",COUNTIF(AS$6:AS$45,"曜"))))</f>
        <v/>
      </c>
      <c r="AT50" s="72">
        <f>IF(AT$4="","",IF(COUNTIF(設定!$W$6:$W$40,DATE(設定!$C$2,設定!$D$2,14))&gt;0,"假",IF(INDEX(設定!$U$55:$AO$55,(WEEKDAY(DATE(設定!$C$2,設定!$D$2,14),2)-1)*3+3)=0,"休",COUNTIF(AT$6:AT$45,"曜"))))</f>
        <v/>
      </c>
      <c r="AU50" s="71">
        <f>IF(AU$4="","",IF(COUNTIF(設定!$W$6:$W$40,DATE(設定!$C$2,設定!$D$2,15))&gt;0,"假",IF(INDEX(設定!$U$55:$AO$55,(WEEKDAY(DATE(設定!$C$2,設定!$D$2,15),2)-1)*3+1)=0,"休",COUNTIF(AU$6:AU$45,"曜"))))</f>
        <v/>
      </c>
      <c r="AV50" s="72">
        <f>IF(AV$4="","",IF(COUNTIF(設定!$W$6:$W$40,DATE(設定!$C$2,設定!$D$2,15))&gt;0,"假",IF(INDEX(設定!$U$55:$AO$55,(WEEKDAY(DATE(設定!$C$2,設定!$D$2,15),2)-1)*3+2)=0,"休",COUNTIF(AV$6:AV$45,"曜"))))</f>
        <v/>
      </c>
      <c r="AW50" s="72">
        <f>IF(AW$4="","",IF(COUNTIF(設定!$W$6:$W$40,DATE(設定!$C$2,設定!$D$2,15))&gt;0,"假",IF(INDEX(設定!$U$55:$AO$55,(WEEKDAY(DATE(設定!$C$2,設定!$D$2,15),2)-1)*3+3)=0,"休",COUNTIF(AW$6:AW$45,"曜"))))</f>
        <v/>
      </c>
      <c r="AX50" s="71">
        <f>IF(AX$4="","",IF(COUNTIF(設定!$W$6:$W$40,DATE(設定!$C$2,設定!$D$2,16))&gt;0,"假",IF(INDEX(設定!$U$55:$AO$55,(WEEKDAY(DATE(設定!$C$2,設定!$D$2,16),2)-1)*3+1)=0,"休",COUNTIF(AX$6:AX$45,"曜"))))</f>
        <v/>
      </c>
      <c r="AY50" s="72">
        <f>IF(AY$4="","",IF(COUNTIF(設定!$W$6:$W$40,DATE(設定!$C$2,設定!$D$2,16))&gt;0,"假",IF(INDEX(設定!$U$55:$AO$55,(WEEKDAY(DATE(設定!$C$2,設定!$D$2,16),2)-1)*3+2)=0,"休",COUNTIF(AY$6:AY$45,"曜"))))</f>
        <v/>
      </c>
      <c r="AZ50" s="72">
        <f>IF(AZ$4="","",IF(COUNTIF(設定!$W$6:$W$40,DATE(設定!$C$2,設定!$D$2,16))&gt;0,"假",IF(INDEX(設定!$U$55:$AO$55,(WEEKDAY(DATE(設定!$C$2,設定!$D$2,16),2)-1)*3+3)=0,"休",COUNTIF(AZ$6:AZ$45,"曜"))))</f>
        <v/>
      </c>
      <c r="BA50" s="71">
        <f>IF(BA$4="","",IF(COUNTIF(設定!$W$6:$W$40,DATE(設定!$C$2,設定!$D$2,17))&gt;0,"假",IF(INDEX(設定!$U$55:$AO$55,(WEEKDAY(DATE(設定!$C$2,設定!$D$2,17),2)-1)*3+1)=0,"休",COUNTIF(BA$6:BA$45,"曜"))))</f>
        <v/>
      </c>
      <c r="BB50" s="72">
        <f>IF(BB$4="","",IF(COUNTIF(設定!$W$6:$W$40,DATE(設定!$C$2,設定!$D$2,17))&gt;0,"假",IF(INDEX(設定!$U$55:$AO$55,(WEEKDAY(DATE(設定!$C$2,設定!$D$2,17),2)-1)*3+2)=0,"休",COUNTIF(BB$6:BB$45,"曜"))))</f>
        <v/>
      </c>
      <c r="BC50" s="72">
        <f>IF(BC$4="","",IF(COUNTIF(設定!$W$6:$W$40,DATE(設定!$C$2,設定!$D$2,17))&gt;0,"假",IF(INDEX(設定!$U$55:$AO$55,(WEEKDAY(DATE(設定!$C$2,設定!$D$2,17),2)-1)*3+3)=0,"休",COUNTIF(BC$6:BC$45,"曜"))))</f>
        <v/>
      </c>
      <c r="BD50" s="71">
        <f>IF(BD$4="","",IF(COUNTIF(設定!$W$6:$W$40,DATE(設定!$C$2,設定!$D$2,18))&gt;0,"假",IF(INDEX(設定!$U$55:$AO$55,(WEEKDAY(DATE(設定!$C$2,設定!$D$2,18),2)-1)*3+1)=0,"休",COUNTIF(BD$6:BD$45,"曜"))))</f>
        <v/>
      </c>
      <c r="BE50" s="72">
        <f>IF(BE$4="","",IF(COUNTIF(設定!$W$6:$W$40,DATE(設定!$C$2,設定!$D$2,18))&gt;0,"假",IF(INDEX(設定!$U$55:$AO$55,(WEEKDAY(DATE(設定!$C$2,設定!$D$2,18),2)-1)*3+2)=0,"休",COUNTIF(BE$6:BE$45,"曜"))))</f>
        <v/>
      </c>
      <c r="BF50" s="72">
        <f>IF(BF$4="","",IF(COUNTIF(設定!$W$6:$W$40,DATE(設定!$C$2,設定!$D$2,18))&gt;0,"假",IF(INDEX(設定!$U$55:$AO$55,(WEEKDAY(DATE(設定!$C$2,設定!$D$2,18),2)-1)*3+3)=0,"休",COUNTIF(BF$6:BF$45,"曜"))))</f>
        <v/>
      </c>
      <c r="BG50" s="71">
        <f>IF(BG$4="","",IF(COUNTIF(設定!$W$6:$W$40,DATE(設定!$C$2,設定!$D$2,19))&gt;0,"假",IF(INDEX(設定!$U$55:$AO$55,(WEEKDAY(DATE(設定!$C$2,設定!$D$2,19),2)-1)*3+1)=0,"休",COUNTIF(BG$6:BG$45,"曜"))))</f>
        <v/>
      </c>
      <c r="BH50" s="72">
        <f>IF(BH$4="","",IF(COUNTIF(設定!$W$6:$W$40,DATE(設定!$C$2,設定!$D$2,19))&gt;0,"假",IF(INDEX(設定!$U$55:$AO$55,(WEEKDAY(DATE(設定!$C$2,設定!$D$2,19),2)-1)*3+2)=0,"休",COUNTIF(BH$6:BH$45,"曜"))))</f>
        <v/>
      </c>
      <c r="BI50" s="72">
        <f>IF(BI$4="","",IF(COUNTIF(設定!$W$6:$W$40,DATE(設定!$C$2,設定!$D$2,19))&gt;0,"假",IF(INDEX(設定!$U$55:$AO$55,(WEEKDAY(DATE(設定!$C$2,設定!$D$2,19),2)-1)*3+3)=0,"休",COUNTIF(BI$6:BI$45,"曜"))))</f>
        <v/>
      </c>
      <c r="BJ50" s="71">
        <f>IF(BJ$4="","",IF(COUNTIF(設定!$W$6:$W$40,DATE(設定!$C$2,設定!$D$2,20))&gt;0,"假",IF(INDEX(設定!$U$55:$AO$55,(WEEKDAY(DATE(設定!$C$2,設定!$D$2,20),2)-1)*3+1)=0,"休",COUNTIF(BJ$6:BJ$45,"曜"))))</f>
        <v/>
      </c>
      <c r="BK50" s="72">
        <f>IF(BK$4="","",IF(COUNTIF(設定!$W$6:$W$40,DATE(設定!$C$2,設定!$D$2,20))&gt;0,"假",IF(INDEX(設定!$U$55:$AO$55,(WEEKDAY(DATE(設定!$C$2,設定!$D$2,20),2)-1)*3+2)=0,"休",COUNTIF(BK$6:BK$45,"曜"))))</f>
        <v/>
      </c>
      <c r="BL50" s="72">
        <f>IF(BL$4="","",IF(COUNTIF(設定!$W$6:$W$40,DATE(設定!$C$2,設定!$D$2,20))&gt;0,"假",IF(INDEX(設定!$U$55:$AO$55,(WEEKDAY(DATE(設定!$C$2,設定!$D$2,20),2)-1)*3+3)=0,"休",COUNTIF(BL$6:BL$45,"曜"))))</f>
        <v/>
      </c>
      <c r="BM50" s="71">
        <f>IF(BM$4="","",IF(COUNTIF(設定!$W$6:$W$40,DATE(設定!$C$2,設定!$D$2,21))&gt;0,"假",IF(INDEX(設定!$U$55:$AO$55,(WEEKDAY(DATE(設定!$C$2,設定!$D$2,21),2)-1)*3+1)=0,"休",COUNTIF(BM$6:BM$45,"曜"))))</f>
        <v/>
      </c>
      <c r="BN50" s="72">
        <f>IF(BN$4="","",IF(COUNTIF(設定!$W$6:$W$40,DATE(設定!$C$2,設定!$D$2,21))&gt;0,"假",IF(INDEX(設定!$U$55:$AO$55,(WEEKDAY(DATE(設定!$C$2,設定!$D$2,21),2)-1)*3+2)=0,"休",COUNTIF(BN$6:BN$45,"曜"))))</f>
        <v/>
      </c>
      <c r="BO50" s="72">
        <f>IF(BO$4="","",IF(COUNTIF(設定!$W$6:$W$40,DATE(設定!$C$2,設定!$D$2,21))&gt;0,"假",IF(INDEX(設定!$U$55:$AO$55,(WEEKDAY(DATE(設定!$C$2,設定!$D$2,21),2)-1)*3+3)=0,"休",COUNTIF(BO$6:BO$45,"曜"))))</f>
        <v/>
      </c>
      <c r="BP50" s="71">
        <f>IF(BP$4="","",IF(COUNTIF(設定!$W$6:$W$40,DATE(設定!$C$2,設定!$D$2,22))&gt;0,"假",IF(INDEX(設定!$U$55:$AO$55,(WEEKDAY(DATE(設定!$C$2,設定!$D$2,22),2)-1)*3+1)=0,"休",COUNTIF(BP$6:BP$45,"曜"))))</f>
        <v/>
      </c>
      <c r="BQ50" s="72">
        <f>IF(BQ$4="","",IF(COUNTIF(設定!$W$6:$W$40,DATE(設定!$C$2,設定!$D$2,22))&gt;0,"假",IF(INDEX(設定!$U$55:$AO$55,(WEEKDAY(DATE(設定!$C$2,設定!$D$2,22),2)-1)*3+2)=0,"休",COUNTIF(BQ$6:BQ$45,"曜"))))</f>
        <v/>
      </c>
      <c r="BR50" s="72">
        <f>IF(BR$4="","",IF(COUNTIF(設定!$W$6:$W$40,DATE(設定!$C$2,設定!$D$2,22))&gt;0,"假",IF(INDEX(設定!$U$55:$AO$55,(WEEKDAY(DATE(設定!$C$2,設定!$D$2,22),2)-1)*3+3)=0,"休",COUNTIF(BR$6:BR$45,"曜"))))</f>
        <v/>
      </c>
      <c r="BS50" s="71">
        <f>IF(BS$4="","",IF(COUNTIF(設定!$W$6:$W$40,DATE(設定!$C$2,設定!$D$2,23))&gt;0,"假",IF(INDEX(設定!$U$55:$AO$55,(WEEKDAY(DATE(設定!$C$2,設定!$D$2,23),2)-1)*3+1)=0,"休",COUNTIF(BS$6:BS$45,"曜"))))</f>
        <v/>
      </c>
      <c r="BT50" s="72">
        <f>IF(BT$4="","",IF(COUNTIF(設定!$W$6:$W$40,DATE(設定!$C$2,設定!$D$2,23))&gt;0,"假",IF(INDEX(設定!$U$55:$AO$55,(WEEKDAY(DATE(設定!$C$2,設定!$D$2,23),2)-1)*3+2)=0,"休",COUNTIF(BT$6:BT$45,"曜"))))</f>
        <v/>
      </c>
      <c r="BU50" s="72">
        <f>IF(BU$4="","",IF(COUNTIF(設定!$W$6:$W$40,DATE(設定!$C$2,設定!$D$2,23))&gt;0,"假",IF(INDEX(設定!$U$55:$AO$55,(WEEKDAY(DATE(設定!$C$2,設定!$D$2,23),2)-1)*3+3)=0,"休",COUNTIF(BU$6:BU$45,"曜"))))</f>
        <v/>
      </c>
      <c r="BV50" s="71">
        <f>IF(BV$4="","",IF(COUNTIF(設定!$W$6:$W$40,DATE(設定!$C$2,設定!$D$2,24))&gt;0,"假",IF(INDEX(設定!$U$55:$AO$55,(WEEKDAY(DATE(設定!$C$2,設定!$D$2,24),2)-1)*3+1)=0,"休",COUNTIF(BV$6:BV$45,"曜"))))</f>
        <v/>
      </c>
      <c r="BW50" s="72">
        <f>IF(BW$4="","",IF(COUNTIF(設定!$W$6:$W$40,DATE(設定!$C$2,設定!$D$2,24))&gt;0,"假",IF(INDEX(設定!$U$55:$AO$55,(WEEKDAY(DATE(設定!$C$2,設定!$D$2,24),2)-1)*3+2)=0,"休",COUNTIF(BW$6:BW$45,"曜"))))</f>
        <v/>
      </c>
      <c r="BX50" s="72">
        <f>IF(BX$4="","",IF(COUNTIF(設定!$W$6:$W$40,DATE(設定!$C$2,設定!$D$2,24))&gt;0,"假",IF(INDEX(設定!$U$55:$AO$55,(WEEKDAY(DATE(設定!$C$2,設定!$D$2,24),2)-1)*3+3)=0,"休",COUNTIF(BX$6:BX$45,"曜"))))</f>
        <v/>
      </c>
      <c r="BY50" s="71">
        <f>IF(BY$4="","",IF(COUNTIF(設定!$W$6:$W$40,DATE(設定!$C$2,設定!$D$2,25))&gt;0,"假",IF(INDEX(設定!$U$55:$AO$55,(WEEKDAY(DATE(設定!$C$2,設定!$D$2,25),2)-1)*3+1)=0,"休",COUNTIF(BY$6:BY$45,"曜"))))</f>
        <v/>
      </c>
      <c r="BZ50" s="72">
        <f>IF(BZ$4="","",IF(COUNTIF(設定!$W$6:$W$40,DATE(設定!$C$2,設定!$D$2,25))&gt;0,"假",IF(INDEX(設定!$U$55:$AO$55,(WEEKDAY(DATE(設定!$C$2,設定!$D$2,25),2)-1)*3+2)=0,"休",COUNTIF(BZ$6:BZ$45,"曜"))))</f>
        <v/>
      </c>
      <c r="CA50" s="72">
        <f>IF(CA$4="","",IF(COUNTIF(設定!$W$6:$W$40,DATE(設定!$C$2,設定!$D$2,25))&gt;0,"假",IF(INDEX(設定!$U$55:$AO$55,(WEEKDAY(DATE(設定!$C$2,設定!$D$2,25),2)-1)*3+3)=0,"休",COUNTIF(CA$6:CA$45,"曜"))))</f>
        <v/>
      </c>
      <c r="CB50" s="71">
        <f>IF(CB$4="","",IF(COUNTIF(設定!$W$6:$W$40,DATE(設定!$C$2,設定!$D$2,26))&gt;0,"假",IF(INDEX(設定!$U$55:$AO$55,(WEEKDAY(DATE(設定!$C$2,設定!$D$2,26),2)-1)*3+1)=0,"休",COUNTIF(CB$6:CB$45,"曜"))))</f>
        <v/>
      </c>
      <c r="CC50" s="72">
        <f>IF(CC$4="","",IF(COUNTIF(設定!$W$6:$W$40,DATE(設定!$C$2,設定!$D$2,26))&gt;0,"假",IF(INDEX(設定!$U$55:$AO$55,(WEEKDAY(DATE(設定!$C$2,設定!$D$2,26),2)-1)*3+2)=0,"休",COUNTIF(CC$6:CC$45,"曜"))))</f>
        <v/>
      </c>
      <c r="CD50" s="72">
        <f>IF(CD$4="","",IF(COUNTIF(設定!$W$6:$W$40,DATE(設定!$C$2,設定!$D$2,26))&gt;0,"假",IF(INDEX(設定!$U$55:$AO$55,(WEEKDAY(DATE(設定!$C$2,設定!$D$2,26),2)-1)*3+3)=0,"休",COUNTIF(CD$6:CD$45,"曜"))))</f>
        <v/>
      </c>
      <c r="CE50" s="71">
        <f>IF(CE$4="","",IF(COUNTIF(設定!$W$6:$W$40,DATE(設定!$C$2,設定!$D$2,27))&gt;0,"假",IF(INDEX(設定!$U$55:$AO$55,(WEEKDAY(DATE(設定!$C$2,設定!$D$2,27),2)-1)*3+1)=0,"休",COUNTIF(CE$6:CE$45,"曜"))))</f>
        <v/>
      </c>
      <c r="CF50" s="72">
        <f>IF(CF$4="","",IF(COUNTIF(設定!$W$6:$W$40,DATE(設定!$C$2,設定!$D$2,27))&gt;0,"假",IF(INDEX(設定!$U$55:$AO$55,(WEEKDAY(DATE(設定!$C$2,設定!$D$2,27),2)-1)*3+2)=0,"休",COUNTIF(CF$6:CF$45,"曜"))))</f>
        <v/>
      </c>
      <c r="CG50" s="72">
        <f>IF(CG$4="","",IF(COUNTIF(設定!$W$6:$W$40,DATE(設定!$C$2,設定!$D$2,27))&gt;0,"假",IF(INDEX(設定!$U$55:$AO$55,(WEEKDAY(DATE(設定!$C$2,設定!$D$2,27),2)-1)*3+3)=0,"休",COUNTIF(CG$6:CG$45,"曜"))))</f>
        <v/>
      </c>
      <c r="CH50" s="71">
        <f>IF(CH$4="","",IF(COUNTIF(設定!$W$6:$W$40,DATE(設定!$C$2,設定!$D$2,28))&gt;0,"假",IF(INDEX(設定!$U$55:$AO$55,(WEEKDAY(DATE(設定!$C$2,設定!$D$2,28),2)-1)*3+1)=0,"休",COUNTIF(CH$6:CH$45,"曜"))))</f>
        <v/>
      </c>
      <c r="CI50" s="72">
        <f>IF(CI$4="","",IF(COUNTIF(設定!$W$6:$W$40,DATE(設定!$C$2,設定!$D$2,28))&gt;0,"假",IF(INDEX(設定!$U$55:$AO$55,(WEEKDAY(DATE(設定!$C$2,設定!$D$2,28),2)-1)*3+2)=0,"休",COUNTIF(CI$6:CI$45,"曜"))))</f>
        <v/>
      </c>
      <c r="CJ50" s="72">
        <f>IF(CJ$4="","",IF(COUNTIF(設定!$W$6:$W$40,DATE(設定!$C$2,設定!$D$2,28))&gt;0,"假",IF(INDEX(設定!$U$55:$AO$55,(WEEKDAY(DATE(設定!$C$2,設定!$D$2,28),2)-1)*3+3)=0,"休",COUNTIF(CJ$6:CJ$45,"曜"))))</f>
        <v/>
      </c>
      <c r="CK50" s="71">
        <f>IF(CK$4="","",IF(COUNTIF(設定!$W$6:$W$40,DATE(設定!$C$2,設定!$D$2,29))&gt;0,"假",IF(INDEX(設定!$U$55:$AO$55,(WEEKDAY(DATE(設定!$C$2,設定!$D$2,29),2)-1)*3+1)=0,"休",COUNTIF(CK$6:CK$45,"曜"))))</f>
        <v/>
      </c>
      <c r="CL50" s="72">
        <f>IF(CL$4="","",IF(COUNTIF(設定!$W$6:$W$40,DATE(設定!$C$2,設定!$D$2,29))&gt;0,"假",IF(INDEX(設定!$U$55:$AO$55,(WEEKDAY(DATE(設定!$C$2,設定!$D$2,29),2)-1)*3+2)=0,"休",COUNTIF(CL$6:CL$45,"曜"))))</f>
        <v/>
      </c>
      <c r="CM50" s="72">
        <f>IF(CM$4="","",IF(COUNTIF(設定!$W$6:$W$40,DATE(設定!$C$2,設定!$D$2,29))&gt;0,"假",IF(INDEX(設定!$U$55:$AO$55,(WEEKDAY(DATE(設定!$C$2,設定!$D$2,29),2)-1)*3+3)=0,"休",COUNTIF(CM$6:CM$45,"曜"))))</f>
        <v/>
      </c>
      <c r="CN50" s="71">
        <f>IF(CN$4="","",IF(COUNTIF(設定!$W$6:$W$40,DATE(設定!$C$2,設定!$D$2,30))&gt;0,"假",IF(INDEX(設定!$U$55:$AO$55,(WEEKDAY(DATE(設定!$C$2,設定!$D$2,30),2)-1)*3+1)=0,"休",COUNTIF(CN$6:CN$45,"曜"))))</f>
        <v/>
      </c>
      <c r="CO50" s="72">
        <f>IF(CO$4="","",IF(COUNTIF(設定!$W$6:$W$40,DATE(設定!$C$2,設定!$D$2,30))&gt;0,"假",IF(INDEX(設定!$U$55:$AO$55,(WEEKDAY(DATE(設定!$C$2,設定!$D$2,30),2)-1)*3+2)=0,"休",COUNTIF(CO$6:CO$45,"曜"))))</f>
        <v/>
      </c>
      <c r="CP50" s="72">
        <f>IF(CP$4="","",IF(COUNTIF(設定!$W$6:$W$40,DATE(設定!$C$2,設定!$D$2,30))&gt;0,"假",IF(INDEX(設定!$U$55:$AO$55,(WEEKDAY(DATE(設定!$C$2,設定!$D$2,30),2)-1)*3+3)=0,"休",COUNTIF(CP$6:CP$45,"曜"))))</f>
        <v/>
      </c>
      <c r="CQ50" s="71">
        <f>IF(CQ$4="","",IF(COUNTIF(設定!$W$6:$W$40,DATE(設定!$C$2,設定!$D$2,31))&gt;0,"假",IF(INDEX(設定!$U$55:$AO$55,(WEEKDAY(DATE(設定!$C$2,設定!$D$2,31),2)-1)*3+1)=0,"休",COUNTIF(CQ$6:CQ$45,"曜"))))</f>
        <v/>
      </c>
      <c r="CR50" s="72">
        <f>IF(CR$4="","",IF(COUNTIF(設定!$W$6:$W$40,DATE(設定!$C$2,設定!$D$2,31))&gt;0,"假",IF(INDEX(設定!$U$55:$AO$55,(WEEKDAY(DATE(設定!$C$2,設定!$D$2,31),2)-1)*3+2)=0,"休",COUNTIF(CR$6:CR$45,"曜"))))</f>
        <v/>
      </c>
      <c r="CS50" s="72">
        <f>IF(CS$4="","",IF(COUNTIF(設定!$W$6:$W$40,DATE(設定!$C$2,設定!$D$2,31))&gt;0,"假",IF(INDEX(設定!$U$55:$AO$55,(WEEKDAY(DATE(設定!$C$2,設定!$D$2,31),2)-1)*3+3)=0,"休",COUNTIF(CS$6:CS$45,"曜"))))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IF(E$4="","",IF(COUNTIF(設定!$W$6:$W$40,DATE(設定!$C$2,設定!$D$2,1))&gt;0,"假",IF(INDEX(設定!$U$56:$AO$56,(WEEKDAY(DATE(設定!$C$2,設定!$D$2,1),2)-1)*3+1)=0,"休",COUNTIF(E$6:E$45,"寶"))))</f>
        <v/>
      </c>
      <c r="F51" s="72">
        <f>IF(F$4="","",IF(COUNTIF(設定!$W$6:$W$40,DATE(設定!$C$2,設定!$D$2,1))&gt;0,"假",IF(INDEX(設定!$U$56:$AO$56,(WEEKDAY(DATE(設定!$C$2,設定!$D$2,1),2)-1)*3+2)=0,"休",COUNTIF(F$6:F$45,"寶"))))</f>
        <v/>
      </c>
      <c r="G51" s="72">
        <f>IF(G$4="","",IF(COUNTIF(設定!$W$6:$W$40,DATE(設定!$C$2,設定!$D$2,1))&gt;0,"假",IF(INDEX(設定!$U$56:$AO$56,(WEEKDAY(DATE(設定!$C$2,設定!$D$2,1),2)-1)*3+3)=0,"休",COUNTIF(G$6:G$45,"寶"))))</f>
        <v/>
      </c>
      <c r="H51" s="71">
        <f>IF(H$4="","",IF(COUNTIF(設定!$W$6:$W$40,DATE(設定!$C$2,設定!$D$2,2))&gt;0,"假",IF(INDEX(設定!$U$56:$AO$56,(WEEKDAY(DATE(設定!$C$2,設定!$D$2,2),2)-1)*3+1)=0,"休",COUNTIF(H$6:H$45,"寶"))))</f>
        <v/>
      </c>
      <c r="I51" s="72">
        <f>IF(I$4="","",IF(COUNTIF(設定!$W$6:$W$40,DATE(設定!$C$2,設定!$D$2,2))&gt;0,"假",IF(INDEX(設定!$U$56:$AO$56,(WEEKDAY(DATE(設定!$C$2,設定!$D$2,2),2)-1)*3+2)=0,"休",COUNTIF(I$6:I$45,"寶"))))</f>
        <v/>
      </c>
      <c r="J51" s="72">
        <f>IF(J$4="","",IF(COUNTIF(設定!$W$6:$W$40,DATE(設定!$C$2,設定!$D$2,2))&gt;0,"假",IF(INDEX(設定!$U$56:$AO$56,(WEEKDAY(DATE(設定!$C$2,設定!$D$2,2),2)-1)*3+3)=0,"休",COUNTIF(J$6:J$45,"寶"))))</f>
        <v/>
      </c>
      <c r="K51" s="71">
        <f>IF(K$4="","",IF(COUNTIF(設定!$W$6:$W$40,DATE(設定!$C$2,設定!$D$2,3))&gt;0,"假",IF(INDEX(設定!$U$56:$AO$56,(WEEKDAY(DATE(設定!$C$2,設定!$D$2,3),2)-1)*3+1)=0,"休",COUNTIF(K$6:K$45,"寶"))))</f>
        <v/>
      </c>
      <c r="L51" s="72">
        <f>IF(L$4="","",IF(COUNTIF(設定!$W$6:$W$40,DATE(設定!$C$2,設定!$D$2,3))&gt;0,"假",IF(INDEX(設定!$U$56:$AO$56,(WEEKDAY(DATE(設定!$C$2,設定!$D$2,3),2)-1)*3+2)=0,"休",COUNTIF(L$6:L$45,"寶"))))</f>
        <v/>
      </c>
      <c r="M51" s="72">
        <f>IF(M$4="","",IF(COUNTIF(設定!$W$6:$W$40,DATE(設定!$C$2,設定!$D$2,3))&gt;0,"假",IF(INDEX(設定!$U$56:$AO$56,(WEEKDAY(DATE(設定!$C$2,設定!$D$2,3),2)-1)*3+3)=0,"休",COUNTIF(M$6:M$45,"寶"))))</f>
        <v/>
      </c>
      <c r="N51" s="71">
        <f>IF(N$4="","",IF(COUNTIF(設定!$W$6:$W$40,DATE(設定!$C$2,設定!$D$2,4))&gt;0,"假",IF(INDEX(設定!$U$56:$AO$56,(WEEKDAY(DATE(設定!$C$2,設定!$D$2,4),2)-1)*3+1)=0,"休",COUNTIF(N$6:N$45,"寶"))))</f>
        <v/>
      </c>
      <c r="O51" s="72">
        <f>IF(O$4="","",IF(COUNTIF(設定!$W$6:$W$40,DATE(設定!$C$2,設定!$D$2,4))&gt;0,"假",IF(INDEX(設定!$U$56:$AO$56,(WEEKDAY(DATE(設定!$C$2,設定!$D$2,4),2)-1)*3+2)=0,"休",COUNTIF(O$6:O$45,"寶"))))</f>
        <v/>
      </c>
      <c r="P51" s="72">
        <f>IF(P$4="","",IF(COUNTIF(設定!$W$6:$W$40,DATE(設定!$C$2,設定!$D$2,4))&gt;0,"假",IF(INDEX(設定!$U$56:$AO$56,(WEEKDAY(DATE(設定!$C$2,設定!$D$2,4),2)-1)*3+3)=0,"休",COUNTIF(P$6:P$45,"寶"))))</f>
        <v/>
      </c>
      <c r="Q51" s="71">
        <f>IF(Q$4="","",IF(COUNTIF(設定!$W$6:$W$40,DATE(設定!$C$2,設定!$D$2,5))&gt;0,"假",IF(INDEX(設定!$U$56:$AO$56,(WEEKDAY(DATE(設定!$C$2,設定!$D$2,5),2)-1)*3+1)=0,"休",COUNTIF(Q$6:Q$45,"寶"))))</f>
        <v/>
      </c>
      <c r="R51" s="72">
        <f>IF(R$4="","",IF(COUNTIF(設定!$W$6:$W$40,DATE(設定!$C$2,設定!$D$2,5))&gt;0,"假",IF(INDEX(設定!$U$56:$AO$56,(WEEKDAY(DATE(設定!$C$2,設定!$D$2,5),2)-1)*3+2)=0,"休",COUNTIF(R$6:R$45,"寶"))))</f>
        <v/>
      </c>
      <c r="S51" s="72">
        <f>IF(S$4="","",IF(COUNTIF(設定!$W$6:$W$40,DATE(設定!$C$2,設定!$D$2,5))&gt;0,"假",IF(INDEX(設定!$U$56:$AO$56,(WEEKDAY(DATE(設定!$C$2,設定!$D$2,5),2)-1)*3+3)=0,"休",COUNTIF(S$6:S$45,"寶"))))</f>
        <v/>
      </c>
      <c r="T51" s="71">
        <f>IF(T$4="","",IF(COUNTIF(設定!$W$6:$W$40,DATE(設定!$C$2,設定!$D$2,6))&gt;0,"假",IF(INDEX(設定!$U$56:$AO$56,(WEEKDAY(DATE(設定!$C$2,設定!$D$2,6),2)-1)*3+1)=0,"休",COUNTIF(T$6:T$45,"寶"))))</f>
        <v/>
      </c>
      <c r="U51" s="72">
        <f>IF(U$4="","",IF(COUNTIF(設定!$W$6:$W$40,DATE(設定!$C$2,設定!$D$2,6))&gt;0,"假",IF(INDEX(設定!$U$56:$AO$56,(WEEKDAY(DATE(設定!$C$2,設定!$D$2,6),2)-1)*3+2)=0,"休",COUNTIF(U$6:U$45,"寶"))))</f>
        <v/>
      </c>
      <c r="V51" s="72">
        <f>IF(V$4="","",IF(COUNTIF(設定!$W$6:$W$40,DATE(設定!$C$2,設定!$D$2,6))&gt;0,"假",IF(INDEX(設定!$U$56:$AO$56,(WEEKDAY(DATE(設定!$C$2,設定!$D$2,6),2)-1)*3+3)=0,"休",COUNTIF(V$6:V$45,"寶"))))</f>
        <v/>
      </c>
      <c r="W51" s="71">
        <f>IF(W$4="","",IF(COUNTIF(設定!$W$6:$W$40,DATE(設定!$C$2,設定!$D$2,7))&gt;0,"假",IF(INDEX(設定!$U$56:$AO$56,(WEEKDAY(DATE(設定!$C$2,設定!$D$2,7),2)-1)*3+1)=0,"休",COUNTIF(W$6:W$45,"寶"))))</f>
        <v/>
      </c>
      <c r="X51" s="72">
        <f>IF(X$4="","",IF(COUNTIF(設定!$W$6:$W$40,DATE(設定!$C$2,設定!$D$2,7))&gt;0,"假",IF(INDEX(設定!$U$56:$AO$56,(WEEKDAY(DATE(設定!$C$2,設定!$D$2,7),2)-1)*3+2)=0,"休",COUNTIF(X$6:X$45,"寶"))))</f>
        <v/>
      </c>
      <c r="Y51" s="72">
        <f>IF(Y$4="","",IF(COUNTIF(設定!$W$6:$W$40,DATE(設定!$C$2,設定!$D$2,7))&gt;0,"假",IF(INDEX(設定!$U$56:$AO$56,(WEEKDAY(DATE(設定!$C$2,設定!$D$2,7),2)-1)*3+3)=0,"休",COUNTIF(Y$6:Y$45,"寶"))))</f>
        <v/>
      </c>
      <c r="Z51" s="71">
        <f>IF(Z$4="","",IF(COUNTIF(設定!$W$6:$W$40,DATE(設定!$C$2,設定!$D$2,8))&gt;0,"假",IF(INDEX(設定!$U$56:$AO$56,(WEEKDAY(DATE(設定!$C$2,設定!$D$2,8),2)-1)*3+1)=0,"休",COUNTIF(Z$6:Z$45,"寶"))))</f>
        <v/>
      </c>
      <c r="AA51" s="72">
        <f>IF(AA$4="","",IF(COUNTIF(設定!$W$6:$W$40,DATE(設定!$C$2,設定!$D$2,8))&gt;0,"假",IF(INDEX(設定!$U$56:$AO$56,(WEEKDAY(DATE(設定!$C$2,設定!$D$2,8),2)-1)*3+2)=0,"休",COUNTIF(AA$6:AA$45,"寶"))))</f>
        <v/>
      </c>
      <c r="AB51" s="72">
        <f>IF(AB$4="","",IF(COUNTIF(設定!$W$6:$W$40,DATE(設定!$C$2,設定!$D$2,8))&gt;0,"假",IF(INDEX(設定!$U$56:$AO$56,(WEEKDAY(DATE(設定!$C$2,設定!$D$2,8),2)-1)*3+3)=0,"休",COUNTIF(AB$6:AB$45,"寶"))))</f>
        <v/>
      </c>
      <c r="AC51" s="71">
        <f>IF(AC$4="","",IF(COUNTIF(設定!$W$6:$W$40,DATE(設定!$C$2,設定!$D$2,9))&gt;0,"假",IF(INDEX(設定!$U$56:$AO$56,(WEEKDAY(DATE(設定!$C$2,設定!$D$2,9),2)-1)*3+1)=0,"休",COUNTIF(AC$6:AC$45,"寶"))))</f>
        <v/>
      </c>
      <c r="AD51" s="72">
        <f>IF(AD$4="","",IF(COUNTIF(設定!$W$6:$W$40,DATE(設定!$C$2,設定!$D$2,9))&gt;0,"假",IF(INDEX(設定!$U$56:$AO$56,(WEEKDAY(DATE(設定!$C$2,設定!$D$2,9),2)-1)*3+2)=0,"休",COUNTIF(AD$6:AD$45,"寶"))))</f>
        <v/>
      </c>
      <c r="AE51" s="72">
        <f>IF(AE$4="","",IF(COUNTIF(設定!$W$6:$W$40,DATE(設定!$C$2,設定!$D$2,9))&gt;0,"假",IF(INDEX(設定!$U$56:$AO$56,(WEEKDAY(DATE(設定!$C$2,設定!$D$2,9),2)-1)*3+3)=0,"休",COUNTIF(AE$6:AE$45,"寶"))))</f>
        <v/>
      </c>
      <c r="AF51" s="71">
        <f>IF(AF$4="","",IF(COUNTIF(設定!$W$6:$W$40,DATE(設定!$C$2,設定!$D$2,10))&gt;0,"假",IF(INDEX(設定!$U$56:$AO$56,(WEEKDAY(DATE(設定!$C$2,設定!$D$2,10),2)-1)*3+1)=0,"休",COUNTIF(AF$6:AF$45,"寶"))))</f>
        <v/>
      </c>
      <c r="AG51" s="72">
        <f>IF(AG$4="","",IF(COUNTIF(設定!$W$6:$W$40,DATE(設定!$C$2,設定!$D$2,10))&gt;0,"假",IF(INDEX(設定!$U$56:$AO$56,(WEEKDAY(DATE(設定!$C$2,設定!$D$2,10),2)-1)*3+2)=0,"休",COUNTIF(AG$6:AG$45,"寶"))))</f>
        <v/>
      </c>
      <c r="AH51" s="72">
        <f>IF(AH$4="","",IF(COUNTIF(設定!$W$6:$W$40,DATE(設定!$C$2,設定!$D$2,10))&gt;0,"假",IF(INDEX(設定!$U$56:$AO$56,(WEEKDAY(DATE(設定!$C$2,設定!$D$2,10),2)-1)*3+3)=0,"休",COUNTIF(AH$6:AH$45,"寶"))))</f>
        <v/>
      </c>
      <c r="AI51" s="71">
        <f>IF(AI$4="","",IF(COUNTIF(設定!$W$6:$W$40,DATE(設定!$C$2,設定!$D$2,11))&gt;0,"假",IF(INDEX(設定!$U$56:$AO$56,(WEEKDAY(DATE(設定!$C$2,設定!$D$2,11),2)-1)*3+1)=0,"休",COUNTIF(AI$6:AI$45,"寶"))))</f>
        <v/>
      </c>
      <c r="AJ51" s="72">
        <f>IF(AJ$4="","",IF(COUNTIF(設定!$W$6:$W$40,DATE(設定!$C$2,設定!$D$2,11))&gt;0,"假",IF(INDEX(設定!$U$56:$AO$56,(WEEKDAY(DATE(設定!$C$2,設定!$D$2,11),2)-1)*3+2)=0,"休",COUNTIF(AJ$6:AJ$45,"寶"))))</f>
        <v/>
      </c>
      <c r="AK51" s="72">
        <f>IF(AK$4="","",IF(COUNTIF(設定!$W$6:$W$40,DATE(設定!$C$2,設定!$D$2,11))&gt;0,"假",IF(INDEX(設定!$U$56:$AO$56,(WEEKDAY(DATE(設定!$C$2,設定!$D$2,11),2)-1)*3+3)=0,"休",COUNTIF(AK$6:AK$45,"寶"))))</f>
        <v/>
      </c>
      <c r="AL51" s="71">
        <f>IF(AL$4="","",IF(COUNTIF(設定!$W$6:$W$40,DATE(設定!$C$2,設定!$D$2,12))&gt;0,"假",IF(INDEX(設定!$U$56:$AO$56,(WEEKDAY(DATE(設定!$C$2,設定!$D$2,12),2)-1)*3+1)=0,"休",COUNTIF(AL$6:AL$45,"寶"))))</f>
        <v/>
      </c>
      <c r="AM51" s="72">
        <f>IF(AM$4="","",IF(COUNTIF(設定!$W$6:$W$40,DATE(設定!$C$2,設定!$D$2,12))&gt;0,"假",IF(INDEX(設定!$U$56:$AO$56,(WEEKDAY(DATE(設定!$C$2,設定!$D$2,12),2)-1)*3+2)=0,"休",COUNTIF(AM$6:AM$45,"寶"))))</f>
        <v/>
      </c>
      <c r="AN51" s="72">
        <f>IF(AN$4="","",IF(COUNTIF(設定!$W$6:$W$40,DATE(設定!$C$2,設定!$D$2,12))&gt;0,"假",IF(INDEX(設定!$U$56:$AO$56,(WEEKDAY(DATE(設定!$C$2,設定!$D$2,12),2)-1)*3+3)=0,"休",COUNTIF(AN$6:AN$45,"寶"))))</f>
        <v/>
      </c>
      <c r="AO51" s="71">
        <f>IF(AO$4="","",IF(COUNTIF(設定!$W$6:$W$40,DATE(設定!$C$2,設定!$D$2,13))&gt;0,"假",IF(INDEX(設定!$U$56:$AO$56,(WEEKDAY(DATE(設定!$C$2,設定!$D$2,13),2)-1)*3+1)=0,"休",COUNTIF(AO$6:AO$45,"寶"))))</f>
        <v/>
      </c>
      <c r="AP51" s="72">
        <f>IF(AP$4="","",IF(COUNTIF(設定!$W$6:$W$40,DATE(設定!$C$2,設定!$D$2,13))&gt;0,"假",IF(INDEX(設定!$U$56:$AO$56,(WEEKDAY(DATE(設定!$C$2,設定!$D$2,13),2)-1)*3+2)=0,"休",COUNTIF(AP$6:AP$45,"寶"))))</f>
        <v/>
      </c>
      <c r="AQ51" s="72">
        <f>IF(AQ$4="","",IF(COUNTIF(設定!$W$6:$W$40,DATE(設定!$C$2,設定!$D$2,13))&gt;0,"假",IF(INDEX(設定!$U$56:$AO$56,(WEEKDAY(DATE(設定!$C$2,設定!$D$2,13),2)-1)*3+3)=0,"休",COUNTIF(AQ$6:AQ$45,"寶"))))</f>
        <v/>
      </c>
      <c r="AR51" s="71">
        <f>IF(AR$4="","",IF(COUNTIF(設定!$W$6:$W$40,DATE(設定!$C$2,設定!$D$2,14))&gt;0,"假",IF(INDEX(設定!$U$56:$AO$56,(WEEKDAY(DATE(設定!$C$2,設定!$D$2,14),2)-1)*3+1)=0,"休",COUNTIF(AR$6:AR$45,"寶"))))</f>
        <v/>
      </c>
      <c r="AS51" s="72">
        <f>IF(AS$4="","",IF(COUNTIF(設定!$W$6:$W$40,DATE(設定!$C$2,設定!$D$2,14))&gt;0,"假",IF(INDEX(設定!$U$56:$AO$56,(WEEKDAY(DATE(設定!$C$2,設定!$D$2,14),2)-1)*3+2)=0,"休",COUNTIF(AS$6:AS$45,"寶"))))</f>
        <v/>
      </c>
      <c r="AT51" s="72">
        <f>IF(AT$4="","",IF(COUNTIF(設定!$W$6:$W$40,DATE(設定!$C$2,設定!$D$2,14))&gt;0,"假",IF(INDEX(設定!$U$56:$AO$56,(WEEKDAY(DATE(設定!$C$2,設定!$D$2,14),2)-1)*3+3)=0,"休",COUNTIF(AT$6:AT$45,"寶"))))</f>
        <v/>
      </c>
      <c r="AU51" s="71">
        <f>IF(AU$4="","",IF(COUNTIF(設定!$W$6:$W$40,DATE(設定!$C$2,設定!$D$2,15))&gt;0,"假",IF(INDEX(設定!$U$56:$AO$56,(WEEKDAY(DATE(設定!$C$2,設定!$D$2,15),2)-1)*3+1)=0,"休",COUNTIF(AU$6:AU$45,"寶"))))</f>
        <v/>
      </c>
      <c r="AV51" s="72">
        <f>IF(AV$4="","",IF(COUNTIF(設定!$W$6:$W$40,DATE(設定!$C$2,設定!$D$2,15))&gt;0,"假",IF(INDEX(設定!$U$56:$AO$56,(WEEKDAY(DATE(設定!$C$2,設定!$D$2,15),2)-1)*3+2)=0,"休",COUNTIF(AV$6:AV$45,"寶"))))</f>
        <v/>
      </c>
      <c r="AW51" s="72">
        <f>IF(AW$4="","",IF(COUNTIF(設定!$W$6:$W$40,DATE(設定!$C$2,設定!$D$2,15))&gt;0,"假",IF(INDEX(設定!$U$56:$AO$56,(WEEKDAY(DATE(設定!$C$2,設定!$D$2,15),2)-1)*3+3)=0,"休",COUNTIF(AW$6:AW$45,"寶"))))</f>
        <v/>
      </c>
      <c r="AX51" s="71">
        <f>IF(AX$4="","",IF(COUNTIF(設定!$W$6:$W$40,DATE(設定!$C$2,設定!$D$2,16))&gt;0,"假",IF(INDEX(設定!$U$56:$AO$56,(WEEKDAY(DATE(設定!$C$2,設定!$D$2,16),2)-1)*3+1)=0,"休",COUNTIF(AX$6:AX$45,"寶"))))</f>
        <v/>
      </c>
      <c r="AY51" s="72">
        <f>IF(AY$4="","",IF(COUNTIF(設定!$W$6:$W$40,DATE(設定!$C$2,設定!$D$2,16))&gt;0,"假",IF(INDEX(設定!$U$56:$AO$56,(WEEKDAY(DATE(設定!$C$2,設定!$D$2,16),2)-1)*3+2)=0,"休",COUNTIF(AY$6:AY$45,"寶"))))</f>
        <v/>
      </c>
      <c r="AZ51" s="72">
        <f>IF(AZ$4="","",IF(COUNTIF(設定!$W$6:$W$40,DATE(設定!$C$2,設定!$D$2,16))&gt;0,"假",IF(INDEX(設定!$U$56:$AO$56,(WEEKDAY(DATE(設定!$C$2,設定!$D$2,16),2)-1)*3+3)=0,"休",COUNTIF(AZ$6:AZ$45,"寶"))))</f>
        <v/>
      </c>
      <c r="BA51" s="71">
        <f>IF(BA$4="","",IF(COUNTIF(設定!$W$6:$W$40,DATE(設定!$C$2,設定!$D$2,17))&gt;0,"假",IF(INDEX(設定!$U$56:$AO$56,(WEEKDAY(DATE(設定!$C$2,設定!$D$2,17),2)-1)*3+1)=0,"休",COUNTIF(BA$6:BA$45,"寶"))))</f>
        <v/>
      </c>
      <c r="BB51" s="72">
        <f>IF(BB$4="","",IF(COUNTIF(設定!$W$6:$W$40,DATE(設定!$C$2,設定!$D$2,17))&gt;0,"假",IF(INDEX(設定!$U$56:$AO$56,(WEEKDAY(DATE(設定!$C$2,設定!$D$2,17),2)-1)*3+2)=0,"休",COUNTIF(BB$6:BB$45,"寶"))))</f>
        <v/>
      </c>
      <c r="BC51" s="72">
        <f>IF(BC$4="","",IF(COUNTIF(設定!$W$6:$W$40,DATE(設定!$C$2,設定!$D$2,17))&gt;0,"假",IF(INDEX(設定!$U$56:$AO$56,(WEEKDAY(DATE(設定!$C$2,設定!$D$2,17),2)-1)*3+3)=0,"休",COUNTIF(BC$6:BC$45,"寶"))))</f>
        <v/>
      </c>
      <c r="BD51" s="71">
        <f>IF(BD$4="","",IF(COUNTIF(設定!$W$6:$W$40,DATE(設定!$C$2,設定!$D$2,18))&gt;0,"假",IF(INDEX(設定!$U$56:$AO$56,(WEEKDAY(DATE(設定!$C$2,設定!$D$2,18),2)-1)*3+1)=0,"休",COUNTIF(BD$6:BD$45,"寶"))))</f>
        <v/>
      </c>
      <c r="BE51" s="72">
        <f>IF(BE$4="","",IF(COUNTIF(設定!$W$6:$W$40,DATE(設定!$C$2,設定!$D$2,18))&gt;0,"假",IF(INDEX(設定!$U$56:$AO$56,(WEEKDAY(DATE(設定!$C$2,設定!$D$2,18),2)-1)*3+2)=0,"休",COUNTIF(BE$6:BE$45,"寶"))))</f>
        <v/>
      </c>
      <c r="BF51" s="72">
        <f>IF(BF$4="","",IF(COUNTIF(設定!$W$6:$W$40,DATE(設定!$C$2,設定!$D$2,18))&gt;0,"假",IF(INDEX(設定!$U$56:$AO$56,(WEEKDAY(DATE(設定!$C$2,設定!$D$2,18),2)-1)*3+3)=0,"休",COUNTIF(BF$6:BF$45,"寶"))))</f>
        <v/>
      </c>
      <c r="BG51" s="71">
        <f>IF(BG$4="","",IF(COUNTIF(設定!$W$6:$W$40,DATE(設定!$C$2,設定!$D$2,19))&gt;0,"假",IF(INDEX(設定!$U$56:$AO$56,(WEEKDAY(DATE(設定!$C$2,設定!$D$2,19),2)-1)*3+1)=0,"休",COUNTIF(BG$6:BG$45,"寶"))))</f>
        <v/>
      </c>
      <c r="BH51" s="72">
        <f>IF(BH$4="","",IF(COUNTIF(設定!$W$6:$W$40,DATE(設定!$C$2,設定!$D$2,19))&gt;0,"假",IF(INDEX(設定!$U$56:$AO$56,(WEEKDAY(DATE(設定!$C$2,設定!$D$2,19),2)-1)*3+2)=0,"休",COUNTIF(BH$6:BH$45,"寶"))))</f>
        <v/>
      </c>
      <c r="BI51" s="72">
        <f>IF(BI$4="","",IF(COUNTIF(設定!$W$6:$W$40,DATE(設定!$C$2,設定!$D$2,19))&gt;0,"假",IF(INDEX(設定!$U$56:$AO$56,(WEEKDAY(DATE(設定!$C$2,設定!$D$2,19),2)-1)*3+3)=0,"休",COUNTIF(BI$6:BI$45,"寶"))))</f>
        <v/>
      </c>
      <c r="BJ51" s="71">
        <f>IF(BJ$4="","",IF(COUNTIF(設定!$W$6:$W$40,DATE(設定!$C$2,設定!$D$2,20))&gt;0,"假",IF(INDEX(設定!$U$56:$AO$56,(WEEKDAY(DATE(設定!$C$2,設定!$D$2,20),2)-1)*3+1)=0,"休",COUNTIF(BJ$6:BJ$45,"寶"))))</f>
        <v/>
      </c>
      <c r="BK51" s="72">
        <f>IF(BK$4="","",IF(COUNTIF(設定!$W$6:$W$40,DATE(設定!$C$2,設定!$D$2,20))&gt;0,"假",IF(INDEX(設定!$U$56:$AO$56,(WEEKDAY(DATE(設定!$C$2,設定!$D$2,20),2)-1)*3+2)=0,"休",COUNTIF(BK$6:BK$45,"寶"))))</f>
        <v/>
      </c>
      <c r="BL51" s="72">
        <f>IF(BL$4="","",IF(COUNTIF(設定!$W$6:$W$40,DATE(設定!$C$2,設定!$D$2,20))&gt;0,"假",IF(INDEX(設定!$U$56:$AO$56,(WEEKDAY(DATE(設定!$C$2,設定!$D$2,20),2)-1)*3+3)=0,"休",COUNTIF(BL$6:BL$45,"寶"))))</f>
        <v/>
      </c>
      <c r="BM51" s="71">
        <f>IF(BM$4="","",IF(COUNTIF(設定!$W$6:$W$40,DATE(設定!$C$2,設定!$D$2,21))&gt;0,"假",IF(INDEX(設定!$U$56:$AO$56,(WEEKDAY(DATE(設定!$C$2,設定!$D$2,21),2)-1)*3+1)=0,"休",COUNTIF(BM$6:BM$45,"寶"))))</f>
        <v/>
      </c>
      <c r="BN51" s="72">
        <f>IF(BN$4="","",IF(COUNTIF(設定!$W$6:$W$40,DATE(設定!$C$2,設定!$D$2,21))&gt;0,"假",IF(INDEX(設定!$U$56:$AO$56,(WEEKDAY(DATE(設定!$C$2,設定!$D$2,21),2)-1)*3+2)=0,"休",COUNTIF(BN$6:BN$45,"寶"))))</f>
        <v/>
      </c>
      <c r="BO51" s="72">
        <f>IF(BO$4="","",IF(COUNTIF(設定!$W$6:$W$40,DATE(設定!$C$2,設定!$D$2,21))&gt;0,"假",IF(INDEX(設定!$U$56:$AO$56,(WEEKDAY(DATE(設定!$C$2,設定!$D$2,21),2)-1)*3+3)=0,"休",COUNTIF(BO$6:BO$45,"寶"))))</f>
        <v/>
      </c>
      <c r="BP51" s="71">
        <f>IF(BP$4="","",IF(COUNTIF(設定!$W$6:$W$40,DATE(設定!$C$2,設定!$D$2,22))&gt;0,"假",IF(INDEX(設定!$U$56:$AO$56,(WEEKDAY(DATE(設定!$C$2,設定!$D$2,22),2)-1)*3+1)=0,"休",COUNTIF(BP$6:BP$45,"寶"))))</f>
        <v/>
      </c>
      <c r="BQ51" s="72">
        <f>IF(BQ$4="","",IF(COUNTIF(設定!$W$6:$W$40,DATE(設定!$C$2,設定!$D$2,22))&gt;0,"假",IF(INDEX(設定!$U$56:$AO$56,(WEEKDAY(DATE(設定!$C$2,設定!$D$2,22),2)-1)*3+2)=0,"休",COUNTIF(BQ$6:BQ$45,"寶"))))</f>
        <v/>
      </c>
      <c r="BR51" s="72">
        <f>IF(BR$4="","",IF(COUNTIF(設定!$W$6:$W$40,DATE(設定!$C$2,設定!$D$2,22))&gt;0,"假",IF(INDEX(設定!$U$56:$AO$56,(WEEKDAY(DATE(設定!$C$2,設定!$D$2,22),2)-1)*3+3)=0,"休",COUNTIF(BR$6:BR$45,"寶"))))</f>
        <v/>
      </c>
      <c r="BS51" s="71">
        <f>IF(BS$4="","",IF(COUNTIF(設定!$W$6:$W$40,DATE(設定!$C$2,設定!$D$2,23))&gt;0,"假",IF(INDEX(設定!$U$56:$AO$56,(WEEKDAY(DATE(設定!$C$2,設定!$D$2,23),2)-1)*3+1)=0,"休",COUNTIF(BS$6:BS$45,"寶"))))</f>
        <v/>
      </c>
      <c r="BT51" s="72">
        <f>IF(BT$4="","",IF(COUNTIF(設定!$W$6:$W$40,DATE(設定!$C$2,設定!$D$2,23))&gt;0,"假",IF(INDEX(設定!$U$56:$AO$56,(WEEKDAY(DATE(設定!$C$2,設定!$D$2,23),2)-1)*3+2)=0,"休",COUNTIF(BT$6:BT$45,"寶"))))</f>
        <v/>
      </c>
      <c r="BU51" s="72">
        <f>IF(BU$4="","",IF(COUNTIF(設定!$W$6:$W$40,DATE(設定!$C$2,設定!$D$2,23))&gt;0,"假",IF(INDEX(設定!$U$56:$AO$56,(WEEKDAY(DATE(設定!$C$2,設定!$D$2,23),2)-1)*3+3)=0,"休",COUNTIF(BU$6:BU$45,"寶"))))</f>
        <v/>
      </c>
      <c r="BV51" s="71">
        <f>IF(BV$4="","",IF(COUNTIF(設定!$W$6:$W$40,DATE(設定!$C$2,設定!$D$2,24))&gt;0,"假",IF(INDEX(設定!$U$56:$AO$56,(WEEKDAY(DATE(設定!$C$2,設定!$D$2,24),2)-1)*3+1)=0,"休",COUNTIF(BV$6:BV$45,"寶"))))</f>
        <v/>
      </c>
      <c r="BW51" s="72">
        <f>IF(BW$4="","",IF(COUNTIF(設定!$W$6:$W$40,DATE(設定!$C$2,設定!$D$2,24))&gt;0,"假",IF(INDEX(設定!$U$56:$AO$56,(WEEKDAY(DATE(設定!$C$2,設定!$D$2,24),2)-1)*3+2)=0,"休",COUNTIF(BW$6:BW$45,"寶"))))</f>
        <v/>
      </c>
      <c r="BX51" s="72">
        <f>IF(BX$4="","",IF(COUNTIF(設定!$W$6:$W$40,DATE(設定!$C$2,設定!$D$2,24))&gt;0,"假",IF(INDEX(設定!$U$56:$AO$56,(WEEKDAY(DATE(設定!$C$2,設定!$D$2,24),2)-1)*3+3)=0,"休",COUNTIF(BX$6:BX$45,"寶"))))</f>
        <v/>
      </c>
      <c r="BY51" s="71">
        <f>IF(BY$4="","",IF(COUNTIF(設定!$W$6:$W$40,DATE(設定!$C$2,設定!$D$2,25))&gt;0,"假",IF(INDEX(設定!$U$56:$AO$56,(WEEKDAY(DATE(設定!$C$2,設定!$D$2,25),2)-1)*3+1)=0,"休",COUNTIF(BY$6:BY$45,"寶"))))</f>
        <v/>
      </c>
      <c r="BZ51" s="72">
        <f>IF(BZ$4="","",IF(COUNTIF(設定!$W$6:$W$40,DATE(設定!$C$2,設定!$D$2,25))&gt;0,"假",IF(INDEX(設定!$U$56:$AO$56,(WEEKDAY(DATE(設定!$C$2,設定!$D$2,25),2)-1)*3+2)=0,"休",COUNTIF(BZ$6:BZ$45,"寶"))))</f>
        <v/>
      </c>
      <c r="CA51" s="72">
        <f>IF(CA$4="","",IF(COUNTIF(設定!$W$6:$W$40,DATE(設定!$C$2,設定!$D$2,25))&gt;0,"假",IF(INDEX(設定!$U$56:$AO$56,(WEEKDAY(DATE(設定!$C$2,設定!$D$2,25),2)-1)*3+3)=0,"休",COUNTIF(CA$6:CA$45,"寶"))))</f>
        <v/>
      </c>
      <c r="CB51" s="71">
        <f>IF(CB$4="","",IF(COUNTIF(設定!$W$6:$W$40,DATE(設定!$C$2,設定!$D$2,26))&gt;0,"假",IF(INDEX(設定!$U$56:$AO$56,(WEEKDAY(DATE(設定!$C$2,設定!$D$2,26),2)-1)*3+1)=0,"休",COUNTIF(CB$6:CB$45,"寶"))))</f>
        <v/>
      </c>
      <c r="CC51" s="72">
        <f>IF(CC$4="","",IF(COUNTIF(設定!$W$6:$W$40,DATE(設定!$C$2,設定!$D$2,26))&gt;0,"假",IF(INDEX(設定!$U$56:$AO$56,(WEEKDAY(DATE(設定!$C$2,設定!$D$2,26),2)-1)*3+2)=0,"休",COUNTIF(CC$6:CC$45,"寶"))))</f>
        <v/>
      </c>
      <c r="CD51" s="72">
        <f>IF(CD$4="","",IF(COUNTIF(設定!$W$6:$W$40,DATE(設定!$C$2,設定!$D$2,26))&gt;0,"假",IF(INDEX(設定!$U$56:$AO$56,(WEEKDAY(DATE(設定!$C$2,設定!$D$2,26),2)-1)*3+3)=0,"休",COUNTIF(CD$6:CD$45,"寶"))))</f>
        <v/>
      </c>
      <c r="CE51" s="71">
        <f>IF(CE$4="","",IF(COUNTIF(設定!$W$6:$W$40,DATE(設定!$C$2,設定!$D$2,27))&gt;0,"假",IF(INDEX(設定!$U$56:$AO$56,(WEEKDAY(DATE(設定!$C$2,設定!$D$2,27),2)-1)*3+1)=0,"休",COUNTIF(CE$6:CE$45,"寶"))))</f>
        <v/>
      </c>
      <c r="CF51" s="72">
        <f>IF(CF$4="","",IF(COUNTIF(設定!$W$6:$W$40,DATE(設定!$C$2,設定!$D$2,27))&gt;0,"假",IF(INDEX(設定!$U$56:$AO$56,(WEEKDAY(DATE(設定!$C$2,設定!$D$2,27),2)-1)*3+2)=0,"休",COUNTIF(CF$6:CF$45,"寶"))))</f>
        <v/>
      </c>
      <c r="CG51" s="72">
        <f>IF(CG$4="","",IF(COUNTIF(設定!$W$6:$W$40,DATE(設定!$C$2,設定!$D$2,27))&gt;0,"假",IF(INDEX(設定!$U$56:$AO$56,(WEEKDAY(DATE(設定!$C$2,設定!$D$2,27),2)-1)*3+3)=0,"休",COUNTIF(CG$6:CG$45,"寶"))))</f>
        <v/>
      </c>
      <c r="CH51" s="71">
        <f>IF(CH$4="","",IF(COUNTIF(設定!$W$6:$W$40,DATE(設定!$C$2,設定!$D$2,28))&gt;0,"假",IF(INDEX(設定!$U$56:$AO$56,(WEEKDAY(DATE(設定!$C$2,設定!$D$2,28),2)-1)*3+1)=0,"休",COUNTIF(CH$6:CH$45,"寶"))))</f>
        <v/>
      </c>
      <c r="CI51" s="72">
        <f>IF(CI$4="","",IF(COUNTIF(設定!$W$6:$W$40,DATE(設定!$C$2,設定!$D$2,28))&gt;0,"假",IF(INDEX(設定!$U$56:$AO$56,(WEEKDAY(DATE(設定!$C$2,設定!$D$2,28),2)-1)*3+2)=0,"休",COUNTIF(CI$6:CI$45,"寶"))))</f>
        <v/>
      </c>
      <c r="CJ51" s="72">
        <f>IF(CJ$4="","",IF(COUNTIF(設定!$W$6:$W$40,DATE(設定!$C$2,設定!$D$2,28))&gt;0,"假",IF(INDEX(設定!$U$56:$AO$56,(WEEKDAY(DATE(設定!$C$2,設定!$D$2,28),2)-1)*3+3)=0,"休",COUNTIF(CJ$6:CJ$45,"寶"))))</f>
        <v/>
      </c>
      <c r="CK51" s="71">
        <f>IF(CK$4="","",IF(COUNTIF(設定!$W$6:$W$40,DATE(設定!$C$2,設定!$D$2,29))&gt;0,"假",IF(INDEX(設定!$U$56:$AO$56,(WEEKDAY(DATE(設定!$C$2,設定!$D$2,29),2)-1)*3+1)=0,"休",COUNTIF(CK$6:CK$45,"寶"))))</f>
        <v/>
      </c>
      <c r="CL51" s="72">
        <f>IF(CL$4="","",IF(COUNTIF(設定!$W$6:$W$40,DATE(設定!$C$2,設定!$D$2,29))&gt;0,"假",IF(INDEX(設定!$U$56:$AO$56,(WEEKDAY(DATE(設定!$C$2,設定!$D$2,29),2)-1)*3+2)=0,"休",COUNTIF(CL$6:CL$45,"寶"))))</f>
        <v/>
      </c>
      <c r="CM51" s="72">
        <f>IF(CM$4="","",IF(COUNTIF(設定!$W$6:$W$40,DATE(設定!$C$2,設定!$D$2,29))&gt;0,"假",IF(INDEX(設定!$U$56:$AO$56,(WEEKDAY(DATE(設定!$C$2,設定!$D$2,29),2)-1)*3+3)=0,"休",COUNTIF(CM$6:CM$45,"寶"))))</f>
        <v/>
      </c>
      <c r="CN51" s="71">
        <f>IF(CN$4="","",IF(COUNTIF(設定!$W$6:$W$40,DATE(設定!$C$2,設定!$D$2,30))&gt;0,"假",IF(INDEX(設定!$U$56:$AO$56,(WEEKDAY(DATE(設定!$C$2,設定!$D$2,30),2)-1)*3+1)=0,"休",COUNTIF(CN$6:CN$45,"寶"))))</f>
        <v/>
      </c>
      <c r="CO51" s="72">
        <f>IF(CO$4="","",IF(COUNTIF(設定!$W$6:$W$40,DATE(設定!$C$2,設定!$D$2,30))&gt;0,"假",IF(INDEX(設定!$U$56:$AO$56,(WEEKDAY(DATE(設定!$C$2,設定!$D$2,30),2)-1)*3+2)=0,"休",COUNTIF(CO$6:CO$45,"寶"))))</f>
        <v/>
      </c>
      <c r="CP51" s="72">
        <f>IF(CP$4="","",IF(COUNTIF(設定!$W$6:$W$40,DATE(設定!$C$2,設定!$D$2,30))&gt;0,"假",IF(INDEX(設定!$U$56:$AO$56,(WEEKDAY(DATE(設定!$C$2,設定!$D$2,30),2)-1)*3+3)=0,"休",COUNTIF(CP$6:CP$45,"寶"))))</f>
        <v/>
      </c>
      <c r="CQ51" s="71">
        <f>IF(CQ$4="","",IF(COUNTIF(設定!$W$6:$W$40,DATE(設定!$C$2,設定!$D$2,31))&gt;0,"假",IF(INDEX(設定!$U$56:$AO$56,(WEEKDAY(DATE(設定!$C$2,設定!$D$2,31),2)-1)*3+1)=0,"休",COUNTIF(CQ$6:CQ$45,"寶"))))</f>
        <v/>
      </c>
      <c r="CR51" s="72">
        <f>IF(CR$4="","",IF(COUNTIF(設定!$W$6:$W$40,DATE(設定!$C$2,設定!$D$2,31))&gt;0,"假",IF(INDEX(設定!$U$56:$AO$56,(WEEKDAY(DATE(設定!$C$2,設定!$D$2,31),2)-1)*3+2)=0,"休",COUNTIF(CR$6:CR$45,"寶"))))</f>
        <v/>
      </c>
      <c r="CS51" s="72">
        <f>IF(CS$4="","",IF(COUNTIF(設定!$W$6:$W$40,DATE(設定!$C$2,設定!$D$2,31))&gt;0,"假",IF(INDEX(設定!$U$56:$AO$56,(WEEKDAY(DATE(設定!$C$2,設定!$D$2,31),2)-1)*3+3)=0,"休",COUNTIF(CS$6:CS$45,"寶"))))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IF(1&gt;DAY(EOMONTH(DATE(設定!$C$2,設定!$D$2,1),0)),0,MOD(INT((DATE(設定!$C$2,設定!$D$2,1)-設定!$C$47)/7),2))</f>
        <v/>
      </c>
      <c r="F58">
        <f>IF(1&gt;DAY(EOMONTH(DATE(設定!$C$2,設定!$D$2,1),0)),0,MOD(INT((DATE(設定!$C$2,設定!$D$2,1)-設定!$C$47)/7),2))</f>
        <v/>
      </c>
      <c r="G58">
        <f>IF(1&gt;DAY(EOMONTH(DATE(設定!$C$2,設定!$D$2,1),0)),0,MOD(INT((DATE(設定!$C$2,設定!$D$2,1)-設定!$C$47)/7),2))</f>
        <v/>
      </c>
      <c r="H58">
        <f>IF(2&gt;DAY(EOMONTH(DATE(設定!$C$2,設定!$D$2,1),0)),0,MOD(INT((DATE(設定!$C$2,設定!$D$2,2)-設定!$C$47)/7),2))</f>
        <v/>
      </c>
      <c r="I58">
        <f>IF(2&gt;DAY(EOMONTH(DATE(設定!$C$2,設定!$D$2,1),0)),0,MOD(INT((DATE(設定!$C$2,設定!$D$2,2)-設定!$C$47)/7),2))</f>
        <v/>
      </c>
      <c r="J58">
        <f>IF(2&gt;DAY(EOMONTH(DATE(設定!$C$2,設定!$D$2,1),0)),0,MOD(INT((DATE(設定!$C$2,設定!$D$2,2)-設定!$C$47)/7),2))</f>
        <v/>
      </c>
      <c r="K58">
        <f>IF(3&gt;DAY(EOMONTH(DATE(設定!$C$2,設定!$D$2,1),0)),0,MOD(INT((DATE(設定!$C$2,設定!$D$2,3)-設定!$C$47)/7),2))</f>
        <v/>
      </c>
      <c r="L58">
        <f>IF(3&gt;DAY(EOMONTH(DATE(設定!$C$2,設定!$D$2,1),0)),0,MOD(INT((DATE(設定!$C$2,設定!$D$2,3)-設定!$C$47)/7),2))</f>
        <v/>
      </c>
      <c r="M58">
        <f>IF(3&gt;DAY(EOMONTH(DATE(設定!$C$2,設定!$D$2,1),0)),0,MOD(INT((DATE(設定!$C$2,設定!$D$2,3)-設定!$C$47)/7),2))</f>
        <v/>
      </c>
      <c r="N58">
        <f>IF(4&gt;DAY(EOMONTH(DATE(設定!$C$2,設定!$D$2,1),0)),0,MOD(INT((DATE(設定!$C$2,設定!$D$2,4)-設定!$C$47)/7),2))</f>
        <v/>
      </c>
      <c r="O58">
        <f>IF(4&gt;DAY(EOMONTH(DATE(設定!$C$2,設定!$D$2,1),0)),0,MOD(INT((DATE(設定!$C$2,設定!$D$2,4)-設定!$C$47)/7),2))</f>
        <v/>
      </c>
      <c r="P58">
        <f>IF(4&gt;DAY(EOMONTH(DATE(設定!$C$2,設定!$D$2,1),0)),0,MOD(INT((DATE(設定!$C$2,設定!$D$2,4)-設定!$C$47)/7),2))</f>
        <v/>
      </c>
      <c r="Q58">
        <f>IF(5&gt;DAY(EOMONTH(DATE(設定!$C$2,設定!$D$2,1),0)),0,MOD(INT((DATE(設定!$C$2,設定!$D$2,5)-設定!$C$47)/7),2))</f>
        <v/>
      </c>
      <c r="R58">
        <f>IF(5&gt;DAY(EOMONTH(DATE(設定!$C$2,設定!$D$2,1),0)),0,MOD(INT((DATE(設定!$C$2,設定!$D$2,5)-設定!$C$47)/7),2))</f>
        <v/>
      </c>
      <c r="S58">
        <f>IF(5&gt;DAY(EOMONTH(DATE(設定!$C$2,設定!$D$2,1),0)),0,MOD(INT((DATE(設定!$C$2,設定!$D$2,5)-設定!$C$47)/7),2))</f>
        <v/>
      </c>
      <c r="T58">
        <f>IF(6&gt;DAY(EOMONTH(DATE(設定!$C$2,設定!$D$2,1),0)),0,MOD(INT((DATE(設定!$C$2,設定!$D$2,6)-設定!$C$47)/7),2))</f>
        <v/>
      </c>
      <c r="U58">
        <f>IF(6&gt;DAY(EOMONTH(DATE(設定!$C$2,設定!$D$2,1),0)),0,MOD(INT((DATE(設定!$C$2,設定!$D$2,6)-設定!$C$47)/7),2))</f>
        <v/>
      </c>
      <c r="V58">
        <f>IF(6&gt;DAY(EOMONTH(DATE(設定!$C$2,設定!$D$2,1),0)),0,MOD(INT((DATE(設定!$C$2,設定!$D$2,6)-設定!$C$47)/7),2))</f>
        <v/>
      </c>
      <c r="W58">
        <f>IF(7&gt;DAY(EOMONTH(DATE(設定!$C$2,設定!$D$2,1),0)),0,MOD(INT((DATE(設定!$C$2,設定!$D$2,7)-設定!$C$47)/7),2))</f>
        <v/>
      </c>
      <c r="X58">
        <f>IF(7&gt;DAY(EOMONTH(DATE(設定!$C$2,設定!$D$2,1),0)),0,MOD(INT((DATE(設定!$C$2,設定!$D$2,7)-設定!$C$47)/7),2))</f>
        <v/>
      </c>
      <c r="Y58">
        <f>IF(7&gt;DAY(EOMONTH(DATE(設定!$C$2,設定!$D$2,1),0)),0,MOD(INT((DATE(設定!$C$2,設定!$D$2,7)-設定!$C$47)/7),2))</f>
        <v/>
      </c>
      <c r="Z58">
        <f>IF(8&gt;DAY(EOMONTH(DATE(設定!$C$2,設定!$D$2,1),0)),0,MOD(INT((DATE(設定!$C$2,設定!$D$2,8)-設定!$C$47)/7),2))</f>
        <v/>
      </c>
      <c r="AA58">
        <f>IF(8&gt;DAY(EOMONTH(DATE(設定!$C$2,設定!$D$2,1),0)),0,MOD(INT((DATE(設定!$C$2,設定!$D$2,8)-設定!$C$47)/7),2))</f>
        <v/>
      </c>
      <c r="AB58">
        <f>IF(8&gt;DAY(EOMONTH(DATE(設定!$C$2,設定!$D$2,1),0)),0,MOD(INT((DATE(設定!$C$2,設定!$D$2,8)-設定!$C$47)/7),2))</f>
        <v/>
      </c>
      <c r="AC58">
        <f>IF(9&gt;DAY(EOMONTH(DATE(設定!$C$2,設定!$D$2,1),0)),0,MOD(INT((DATE(設定!$C$2,設定!$D$2,9)-設定!$C$47)/7),2))</f>
        <v/>
      </c>
      <c r="AD58">
        <f>IF(9&gt;DAY(EOMONTH(DATE(設定!$C$2,設定!$D$2,1),0)),0,MOD(INT((DATE(設定!$C$2,設定!$D$2,9)-設定!$C$47)/7),2))</f>
        <v/>
      </c>
      <c r="AE58">
        <f>IF(9&gt;DAY(EOMONTH(DATE(設定!$C$2,設定!$D$2,1),0)),0,MOD(INT((DATE(設定!$C$2,設定!$D$2,9)-設定!$C$47)/7),2))</f>
        <v/>
      </c>
      <c r="AF58">
        <f>IF(10&gt;DAY(EOMONTH(DATE(設定!$C$2,設定!$D$2,1),0)),0,MOD(INT((DATE(設定!$C$2,設定!$D$2,10)-設定!$C$47)/7),2))</f>
        <v/>
      </c>
      <c r="AG58">
        <f>IF(10&gt;DAY(EOMONTH(DATE(設定!$C$2,設定!$D$2,1),0)),0,MOD(INT((DATE(設定!$C$2,設定!$D$2,10)-設定!$C$47)/7),2))</f>
        <v/>
      </c>
      <c r="AH58">
        <f>IF(10&gt;DAY(EOMONTH(DATE(設定!$C$2,設定!$D$2,1),0)),0,MOD(INT((DATE(設定!$C$2,設定!$D$2,10)-設定!$C$47)/7),2))</f>
        <v/>
      </c>
      <c r="AI58">
        <f>IF(11&gt;DAY(EOMONTH(DATE(設定!$C$2,設定!$D$2,1),0)),0,MOD(INT((DATE(設定!$C$2,設定!$D$2,11)-設定!$C$47)/7),2))</f>
        <v/>
      </c>
      <c r="AJ58">
        <f>IF(11&gt;DAY(EOMONTH(DATE(設定!$C$2,設定!$D$2,1),0)),0,MOD(INT((DATE(設定!$C$2,設定!$D$2,11)-設定!$C$47)/7),2))</f>
        <v/>
      </c>
      <c r="AK58">
        <f>IF(11&gt;DAY(EOMONTH(DATE(設定!$C$2,設定!$D$2,1),0)),0,MOD(INT((DATE(設定!$C$2,設定!$D$2,11)-設定!$C$47)/7),2))</f>
        <v/>
      </c>
      <c r="AL58">
        <f>IF(12&gt;DAY(EOMONTH(DATE(設定!$C$2,設定!$D$2,1),0)),0,MOD(INT((DATE(設定!$C$2,設定!$D$2,12)-設定!$C$47)/7),2))</f>
        <v/>
      </c>
      <c r="AM58">
        <f>IF(12&gt;DAY(EOMONTH(DATE(設定!$C$2,設定!$D$2,1),0)),0,MOD(INT((DATE(設定!$C$2,設定!$D$2,12)-設定!$C$47)/7),2))</f>
        <v/>
      </c>
      <c r="AN58">
        <f>IF(12&gt;DAY(EOMONTH(DATE(設定!$C$2,設定!$D$2,1),0)),0,MOD(INT((DATE(設定!$C$2,設定!$D$2,12)-設定!$C$47)/7),2))</f>
        <v/>
      </c>
      <c r="AO58">
        <f>IF(13&gt;DAY(EOMONTH(DATE(設定!$C$2,設定!$D$2,1),0)),0,MOD(INT((DATE(設定!$C$2,設定!$D$2,13)-設定!$C$47)/7),2))</f>
        <v/>
      </c>
      <c r="AP58">
        <f>IF(13&gt;DAY(EOMONTH(DATE(設定!$C$2,設定!$D$2,1),0)),0,MOD(INT((DATE(設定!$C$2,設定!$D$2,13)-設定!$C$47)/7),2))</f>
        <v/>
      </c>
      <c r="AQ58">
        <f>IF(13&gt;DAY(EOMONTH(DATE(設定!$C$2,設定!$D$2,1),0)),0,MOD(INT((DATE(設定!$C$2,設定!$D$2,13)-設定!$C$47)/7),2))</f>
        <v/>
      </c>
      <c r="AR58">
        <f>IF(14&gt;DAY(EOMONTH(DATE(設定!$C$2,設定!$D$2,1),0)),0,MOD(INT((DATE(設定!$C$2,設定!$D$2,14)-設定!$C$47)/7),2))</f>
        <v/>
      </c>
      <c r="AS58">
        <f>IF(14&gt;DAY(EOMONTH(DATE(設定!$C$2,設定!$D$2,1),0)),0,MOD(INT((DATE(設定!$C$2,設定!$D$2,14)-設定!$C$47)/7),2))</f>
        <v/>
      </c>
      <c r="AT58">
        <f>IF(14&gt;DAY(EOMONTH(DATE(設定!$C$2,設定!$D$2,1),0)),0,MOD(INT((DATE(設定!$C$2,設定!$D$2,14)-設定!$C$47)/7),2))</f>
        <v/>
      </c>
      <c r="AU58">
        <f>IF(15&gt;DAY(EOMONTH(DATE(設定!$C$2,設定!$D$2,1),0)),0,MOD(INT((DATE(設定!$C$2,設定!$D$2,15)-設定!$C$47)/7),2))</f>
        <v/>
      </c>
      <c r="AV58">
        <f>IF(15&gt;DAY(EOMONTH(DATE(設定!$C$2,設定!$D$2,1),0)),0,MOD(INT((DATE(設定!$C$2,設定!$D$2,15)-設定!$C$47)/7),2))</f>
        <v/>
      </c>
      <c r="AW58">
        <f>IF(15&gt;DAY(EOMONTH(DATE(設定!$C$2,設定!$D$2,1),0)),0,MOD(INT((DATE(設定!$C$2,設定!$D$2,15)-設定!$C$47)/7),2))</f>
        <v/>
      </c>
      <c r="AX58">
        <f>IF(16&gt;DAY(EOMONTH(DATE(設定!$C$2,設定!$D$2,1),0)),0,MOD(INT((DATE(設定!$C$2,設定!$D$2,16)-設定!$C$47)/7),2))</f>
        <v/>
      </c>
      <c r="AY58">
        <f>IF(16&gt;DAY(EOMONTH(DATE(設定!$C$2,設定!$D$2,1),0)),0,MOD(INT((DATE(設定!$C$2,設定!$D$2,16)-設定!$C$47)/7),2))</f>
        <v/>
      </c>
      <c r="AZ58">
        <f>IF(16&gt;DAY(EOMONTH(DATE(設定!$C$2,設定!$D$2,1),0)),0,MOD(INT((DATE(設定!$C$2,設定!$D$2,16)-設定!$C$47)/7),2))</f>
        <v/>
      </c>
      <c r="BA58">
        <f>IF(17&gt;DAY(EOMONTH(DATE(設定!$C$2,設定!$D$2,1),0)),0,MOD(INT((DATE(設定!$C$2,設定!$D$2,17)-設定!$C$47)/7),2))</f>
        <v/>
      </c>
      <c r="BB58">
        <f>IF(17&gt;DAY(EOMONTH(DATE(設定!$C$2,設定!$D$2,1),0)),0,MOD(INT((DATE(設定!$C$2,設定!$D$2,17)-設定!$C$47)/7),2))</f>
        <v/>
      </c>
      <c r="BC58">
        <f>IF(17&gt;DAY(EOMONTH(DATE(設定!$C$2,設定!$D$2,1),0)),0,MOD(INT((DATE(設定!$C$2,設定!$D$2,17)-設定!$C$47)/7),2))</f>
        <v/>
      </c>
      <c r="BD58">
        <f>IF(18&gt;DAY(EOMONTH(DATE(設定!$C$2,設定!$D$2,1),0)),0,MOD(INT((DATE(設定!$C$2,設定!$D$2,18)-設定!$C$47)/7),2))</f>
        <v/>
      </c>
      <c r="BE58">
        <f>IF(18&gt;DAY(EOMONTH(DATE(設定!$C$2,設定!$D$2,1),0)),0,MOD(INT((DATE(設定!$C$2,設定!$D$2,18)-設定!$C$47)/7),2))</f>
        <v/>
      </c>
      <c r="BF58">
        <f>IF(18&gt;DAY(EOMONTH(DATE(設定!$C$2,設定!$D$2,1),0)),0,MOD(INT((DATE(設定!$C$2,設定!$D$2,18)-設定!$C$47)/7),2))</f>
        <v/>
      </c>
      <c r="BG58">
        <f>IF(19&gt;DAY(EOMONTH(DATE(設定!$C$2,設定!$D$2,1),0)),0,MOD(INT((DATE(設定!$C$2,設定!$D$2,19)-設定!$C$47)/7),2))</f>
        <v/>
      </c>
      <c r="BH58">
        <f>IF(19&gt;DAY(EOMONTH(DATE(設定!$C$2,設定!$D$2,1),0)),0,MOD(INT((DATE(設定!$C$2,設定!$D$2,19)-設定!$C$47)/7),2))</f>
        <v/>
      </c>
      <c r="BI58">
        <f>IF(19&gt;DAY(EOMONTH(DATE(設定!$C$2,設定!$D$2,1),0)),0,MOD(INT((DATE(設定!$C$2,設定!$D$2,19)-設定!$C$47)/7),2))</f>
        <v/>
      </c>
      <c r="BJ58">
        <f>IF(20&gt;DAY(EOMONTH(DATE(設定!$C$2,設定!$D$2,1),0)),0,MOD(INT((DATE(設定!$C$2,設定!$D$2,20)-設定!$C$47)/7),2))</f>
        <v/>
      </c>
      <c r="BK58">
        <f>IF(20&gt;DAY(EOMONTH(DATE(設定!$C$2,設定!$D$2,1),0)),0,MOD(INT((DATE(設定!$C$2,設定!$D$2,20)-設定!$C$47)/7),2))</f>
        <v/>
      </c>
      <c r="BL58">
        <f>IF(20&gt;DAY(EOMONTH(DATE(設定!$C$2,設定!$D$2,1),0)),0,MOD(INT((DATE(設定!$C$2,設定!$D$2,20)-設定!$C$47)/7),2))</f>
        <v/>
      </c>
      <c r="BM58">
        <f>IF(21&gt;DAY(EOMONTH(DATE(設定!$C$2,設定!$D$2,1),0)),0,MOD(INT((DATE(設定!$C$2,設定!$D$2,21)-設定!$C$47)/7),2))</f>
        <v/>
      </c>
      <c r="BN58">
        <f>IF(21&gt;DAY(EOMONTH(DATE(設定!$C$2,設定!$D$2,1),0)),0,MOD(INT((DATE(設定!$C$2,設定!$D$2,21)-設定!$C$47)/7),2))</f>
        <v/>
      </c>
      <c r="BO58">
        <f>IF(21&gt;DAY(EOMONTH(DATE(設定!$C$2,設定!$D$2,1),0)),0,MOD(INT((DATE(設定!$C$2,設定!$D$2,21)-設定!$C$47)/7),2))</f>
        <v/>
      </c>
      <c r="BP58">
        <f>IF(22&gt;DAY(EOMONTH(DATE(設定!$C$2,設定!$D$2,1),0)),0,MOD(INT((DATE(設定!$C$2,設定!$D$2,22)-設定!$C$47)/7),2))</f>
        <v/>
      </c>
      <c r="BQ58">
        <f>IF(22&gt;DAY(EOMONTH(DATE(設定!$C$2,設定!$D$2,1),0)),0,MOD(INT((DATE(設定!$C$2,設定!$D$2,22)-設定!$C$47)/7),2))</f>
        <v/>
      </c>
      <c r="BR58">
        <f>IF(22&gt;DAY(EOMONTH(DATE(設定!$C$2,設定!$D$2,1),0)),0,MOD(INT((DATE(設定!$C$2,設定!$D$2,22)-設定!$C$47)/7),2))</f>
        <v/>
      </c>
      <c r="BS58">
        <f>IF(23&gt;DAY(EOMONTH(DATE(設定!$C$2,設定!$D$2,1),0)),0,MOD(INT((DATE(設定!$C$2,設定!$D$2,23)-設定!$C$47)/7),2))</f>
        <v/>
      </c>
      <c r="BT58">
        <f>IF(23&gt;DAY(EOMONTH(DATE(設定!$C$2,設定!$D$2,1),0)),0,MOD(INT((DATE(設定!$C$2,設定!$D$2,23)-設定!$C$47)/7),2))</f>
        <v/>
      </c>
      <c r="BU58">
        <f>IF(23&gt;DAY(EOMONTH(DATE(設定!$C$2,設定!$D$2,1),0)),0,MOD(INT((DATE(設定!$C$2,設定!$D$2,23)-設定!$C$47)/7),2))</f>
        <v/>
      </c>
      <c r="BV58">
        <f>IF(24&gt;DAY(EOMONTH(DATE(設定!$C$2,設定!$D$2,1),0)),0,MOD(INT((DATE(設定!$C$2,設定!$D$2,24)-設定!$C$47)/7),2))</f>
        <v/>
      </c>
      <c r="BW58">
        <f>IF(24&gt;DAY(EOMONTH(DATE(設定!$C$2,設定!$D$2,1),0)),0,MOD(INT((DATE(設定!$C$2,設定!$D$2,24)-設定!$C$47)/7),2))</f>
        <v/>
      </c>
      <c r="BX58">
        <f>IF(24&gt;DAY(EOMONTH(DATE(設定!$C$2,設定!$D$2,1),0)),0,MOD(INT((DATE(設定!$C$2,設定!$D$2,24)-設定!$C$47)/7),2))</f>
        <v/>
      </c>
      <c r="BY58">
        <f>IF(25&gt;DAY(EOMONTH(DATE(設定!$C$2,設定!$D$2,1),0)),0,MOD(INT((DATE(設定!$C$2,設定!$D$2,25)-設定!$C$47)/7),2))</f>
        <v/>
      </c>
      <c r="BZ58">
        <f>IF(25&gt;DAY(EOMONTH(DATE(設定!$C$2,設定!$D$2,1),0)),0,MOD(INT((DATE(設定!$C$2,設定!$D$2,25)-設定!$C$47)/7),2))</f>
        <v/>
      </c>
      <c r="CA58">
        <f>IF(25&gt;DAY(EOMONTH(DATE(設定!$C$2,設定!$D$2,1),0)),0,MOD(INT((DATE(設定!$C$2,設定!$D$2,25)-設定!$C$47)/7),2))</f>
        <v/>
      </c>
      <c r="CB58">
        <f>IF(26&gt;DAY(EOMONTH(DATE(設定!$C$2,設定!$D$2,1),0)),0,MOD(INT((DATE(設定!$C$2,設定!$D$2,26)-設定!$C$47)/7),2))</f>
        <v/>
      </c>
      <c r="CC58">
        <f>IF(26&gt;DAY(EOMONTH(DATE(設定!$C$2,設定!$D$2,1),0)),0,MOD(INT((DATE(設定!$C$2,設定!$D$2,26)-設定!$C$47)/7),2))</f>
        <v/>
      </c>
      <c r="CD58">
        <f>IF(26&gt;DAY(EOMONTH(DATE(設定!$C$2,設定!$D$2,1),0)),0,MOD(INT((DATE(設定!$C$2,設定!$D$2,26)-設定!$C$47)/7),2))</f>
        <v/>
      </c>
      <c r="CE58">
        <f>IF(27&gt;DAY(EOMONTH(DATE(設定!$C$2,設定!$D$2,1),0)),0,MOD(INT((DATE(設定!$C$2,設定!$D$2,27)-設定!$C$47)/7),2))</f>
        <v/>
      </c>
      <c r="CF58">
        <f>IF(27&gt;DAY(EOMONTH(DATE(設定!$C$2,設定!$D$2,1),0)),0,MOD(INT((DATE(設定!$C$2,設定!$D$2,27)-設定!$C$47)/7),2))</f>
        <v/>
      </c>
      <c r="CG58">
        <f>IF(27&gt;DAY(EOMONTH(DATE(設定!$C$2,設定!$D$2,1),0)),0,MOD(INT((DATE(設定!$C$2,設定!$D$2,27)-設定!$C$47)/7),2))</f>
        <v/>
      </c>
      <c r="CH58">
        <f>IF(28&gt;DAY(EOMONTH(DATE(設定!$C$2,設定!$D$2,1),0)),0,MOD(INT((DATE(設定!$C$2,設定!$D$2,28)-設定!$C$47)/7),2))</f>
        <v/>
      </c>
      <c r="CI58">
        <f>IF(28&gt;DAY(EOMONTH(DATE(設定!$C$2,設定!$D$2,1),0)),0,MOD(INT((DATE(設定!$C$2,設定!$D$2,28)-設定!$C$47)/7),2))</f>
        <v/>
      </c>
      <c r="CJ58">
        <f>IF(28&gt;DAY(EOMONTH(DATE(設定!$C$2,設定!$D$2,1),0)),0,MOD(INT((DATE(設定!$C$2,設定!$D$2,28)-設定!$C$47)/7),2))</f>
        <v/>
      </c>
      <c r="CK58">
        <f>IF(29&gt;DAY(EOMONTH(DATE(設定!$C$2,設定!$D$2,1),0)),0,MOD(INT((DATE(設定!$C$2,設定!$D$2,29)-設定!$C$47)/7),2))</f>
        <v/>
      </c>
      <c r="CL58">
        <f>IF(29&gt;DAY(EOMONTH(DATE(設定!$C$2,設定!$D$2,1),0)),0,MOD(INT((DATE(設定!$C$2,設定!$D$2,29)-設定!$C$47)/7),2))</f>
        <v/>
      </c>
      <c r="CM58">
        <f>IF(29&gt;DAY(EOMONTH(DATE(設定!$C$2,設定!$D$2,1),0)),0,MOD(INT((DATE(設定!$C$2,設定!$D$2,29)-設定!$C$47)/7),2))</f>
        <v/>
      </c>
      <c r="CN58">
        <f>IF(30&gt;DAY(EOMONTH(DATE(設定!$C$2,設定!$D$2,1),0)),0,MOD(INT((DATE(設定!$C$2,設定!$D$2,30)-設定!$C$47)/7),2))</f>
        <v/>
      </c>
      <c r="CO58">
        <f>IF(30&gt;DAY(EOMONTH(DATE(設定!$C$2,設定!$D$2,1),0)),0,MOD(INT((DATE(設定!$C$2,設定!$D$2,30)-設定!$C$47)/7),2))</f>
        <v/>
      </c>
      <c r="CP58">
        <f>IF(30&gt;DAY(EOMONTH(DATE(設定!$C$2,設定!$D$2,1),0)),0,MOD(INT((DATE(設定!$C$2,設定!$D$2,30)-設定!$C$47)/7),2))</f>
        <v/>
      </c>
      <c r="CQ58">
        <f>IF(31&gt;DAY(EOMONTH(DATE(設定!$C$2,設定!$D$2,1),0)),0,MOD(INT((DATE(設定!$C$2,設定!$D$2,31)-設定!$C$47)/7),2))</f>
        <v/>
      </c>
      <c r="CR58">
        <f>IF(31&gt;DAY(EOMONTH(DATE(設定!$C$2,設定!$D$2,1),0)),0,MOD(INT((DATE(設定!$C$2,設定!$D$2,31)-設定!$C$47)/7),2))</f>
        <v/>
      </c>
      <c r="CS58">
        <f>IF(31&gt;DAY(EOMONTH(DATE(設定!$C$2,設定!$D$2,1),0)),0,MOD(INT((DATE(設定!$C$2,設定!$D$2,31)-設定!$C$47)/7),2))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IF(1&gt;DAY(EOMONTH(DATE(設定!$C$2,設定!$D$2,1),0)),"X",IF(COUNTIF(設定!$W$6:$W$40,DATE(設定!$C$2,設定!$D$2,1))&gt;0,"國",IF(SUMPRODUCT(INDEX(設定!$U$52:$AO$56,0,E$57))=0,"休","")))</f>
        <v/>
      </c>
      <c r="F59">
        <f>IF(1&gt;DAY(EOMONTH(DATE(設定!$C$2,設定!$D$2,1),0)),"X",IF(COUNTIF(設定!$W$6:$W$40,DATE(設定!$C$2,設定!$D$2,1))&gt;0,"國",IF(SUMPRODUCT(INDEX(設定!$U$52:$AO$56,0,F$57))=0,"休","")))</f>
        <v/>
      </c>
      <c r="G59">
        <f>IF(1&gt;DAY(EOMONTH(DATE(設定!$C$2,設定!$D$2,1),0)),"X",IF(COUNTIF(設定!$W$6:$W$40,DATE(設定!$C$2,設定!$D$2,1))&gt;0,"國",IF(SUMPRODUCT(INDEX(設定!$U$52:$AO$56,0,G$57))=0,"休","")))</f>
        <v/>
      </c>
      <c r="H59">
        <f>IF(2&gt;DAY(EOMONTH(DATE(設定!$C$2,設定!$D$2,1),0)),"X",IF(COUNTIF(設定!$W$6:$W$40,DATE(設定!$C$2,設定!$D$2,2))&gt;0,"國",IF(SUMPRODUCT(INDEX(設定!$U$52:$AO$56,0,H$57))=0,"休","")))</f>
        <v/>
      </c>
      <c r="I59">
        <f>IF(2&gt;DAY(EOMONTH(DATE(設定!$C$2,設定!$D$2,1),0)),"X",IF(COUNTIF(設定!$W$6:$W$40,DATE(設定!$C$2,設定!$D$2,2))&gt;0,"國",IF(SUMPRODUCT(INDEX(設定!$U$52:$AO$56,0,I$57))=0,"休","")))</f>
        <v/>
      </c>
      <c r="J59">
        <f>IF(2&gt;DAY(EOMONTH(DATE(設定!$C$2,設定!$D$2,1),0)),"X",IF(COUNTIF(設定!$W$6:$W$40,DATE(設定!$C$2,設定!$D$2,2))&gt;0,"國",IF(SUMPRODUCT(INDEX(設定!$U$52:$AO$56,0,J$57))=0,"休","")))</f>
        <v/>
      </c>
      <c r="K59">
        <f>IF(3&gt;DAY(EOMONTH(DATE(設定!$C$2,設定!$D$2,1),0)),"X",IF(COUNTIF(設定!$W$6:$W$40,DATE(設定!$C$2,設定!$D$2,3))&gt;0,"國",IF(SUMPRODUCT(INDEX(設定!$U$52:$AO$56,0,K$57))=0,"休","")))</f>
        <v/>
      </c>
      <c r="L59">
        <f>IF(3&gt;DAY(EOMONTH(DATE(設定!$C$2,設定!$D$2,1),0)),"X",IF(COUNTIF(設定!$W$6:$W$40,DATE(設定!$C$2,設定!$D$2,3))&gt;0,"國",IF(SUMPRODUCT(INDEX(設定!$U$52:$AO$56,0,L$57))=0,"休","")))</f>
        <v/>
      </c>
      <c r="M59">
        <f>IF(3&gt;DAY(EOMONTH(DATE(設定!$C$2,設定!$D$2,1),0)),"X",IF(COUNTIF(設定!$W$6:$W$40,DATE(設定!$C$2,設定!$D$2,3))&gt;0,"國",IF(SUMPRODUCT(INDEX(設定!$U$52:$AO$56,0,M$57))=0,"休","")))</f>
        <v/>
      </c>
      <c r="N59">
        <f>IF(4&gt;DAY(EOMONTH(DATE(設定!$C$2,設定!$D$2,1),0)),"X",IF(COUNTIF(設定!$W$6:$W$40,DATE(設定!$C$2,設定!$D$2,4))&gt;0,"國",IF(SUMPRODUCT(INDEX(設定!$U$52:$AO$56,0,N$57))=0,"休","")))</f>
        <v/>
      </c>
      <c r="O59">
        <f>IF(4&gt;DAY(EOMONTH(DATE(設定!$C$2,設定!$D$2,1),0)),"X",IF(COUNTIF(設定!$W$6:$W$40,DATE(設定!$C$2,設定!$D$2,4))&gt;0,"國",IF(SUMPRODUCT(INDEX(設定!$U$52:$AO$56,0,O$57))=0,"休","")))</f>
        <v/>
      </c>
      <c r="P59">
        <f>IF(4&gt;DAY(EOMONTH(DATE(設定!$C$2,設定!$D$2,1),0)),"X",IF(COUNTIF(設定!$W$6:$W$40,DATE(設定!$C$2,設定!$D$2,4))&gt;0,"國",IF(SUMPRODUCT(INDEX(設定!$U$52:$AO$56,0,P$57))=0,"休","")))</f>
        <v/>
      </c>
      <c r="Q59">
        <f>IF(5&gt;DAY(EOMONTH(DATE(設定!$C$2,設定!$D$2,1),0)),"X",IF(COUNTIF(設定!$W$6:$W$40,DATE(設定!$C$2,設定!$D$2,5))&gt;0,"國",IF(SUMPRODUCT(INDEX(設定!$U$52:$AO$56,0,Q$57))=0,"休","")))</f>
        <v/>
      </c>
      <c r="R59">
        <f>IF(5&gt;DAY(EOMONTH(DATE(設定!$C$2,設定!$D$2,1),0)),"X",IF(COUNTIF(設定!$W$6:$W$40,DATE(設定!$C$2,設定!$D$2,5))&gt;0,"國",IF(SUMPRODUCT(INDEX(設定!$U$52:$AO$56,0,R$57))=0,"休","")))</f>
        <v/>
      </c>
      <c r="S59">
        <f>IF(5&gt;DAY(EOMONTH(DATE(設定!$C$2,設定!$D$2,1),0)),"X",IF(COUNTIF(設定!$W$6:$W$40,DATE(設定!$C$2,設定!$D$2,5))&gt;0,"國",IF(SUMPRODUCT(INDEX(設定!$U$52:$AO$56,0,S$57))=0,"休","")))</f>
        <v/>
      </c>
      <c r="T59">
        <f>IF(6&gt;DAY(EOMONTH(DATE(設定!$C$2,設定!$D$2,1),0)),"X",IF(COUNTIF(設定!$W$6:$W$40,DATE(設定!$C$2,設定!$D$2,6))&gt;0,"國",IF(SUMPRODUCT(INDEX(設定!$U$52:$AO$56,0,T$57))=0,"休","")))</f>
        <v/>
      </c>
      <c r="U59">
        <f>IF(6&gt;DAY(EOMONTH(DATE(設定!$C$2,設定!$D$2,1),0)),"X",IF(COUNTIF(設定!$W$6:$W$40,DATE(設定!$C$2,設定!$D$2,6))&gt;0,"國",IF(SUMPRODUCT(INDEX(設定!$U$52:$AO$56,0,U$57))=0,"休","")))</f>
        <v/>
      </c>
      <c r="V59">
        <f>IF(6&gt;DAY(EOMONTH(DATE(設定!$C$2,設定!$D$2,1),0)),"X",IF(COUNTIF(設定!$W$6:$W$40,DATE(設定!$C$2,設定!$D$2,6))&gt;0,"國",IF(SUMPRODUCT(INDEX(設定!$U$52:$AO$56,0,V$57))=0,"休","")))</f>
        <v/>
      </c>
      <c r="W59">
        <f>IF(7&gt;DAY(EOMONTH(DATE(設定!$C$2,設定!$D$2,1),0)),"X",IF(COUNTIF(設定!$W$6:$W$40,DATE(設定!$C$2,設定!$D$2,7))&gt;0,"國",IF(SUMPRODUCT(INDEX(設定!$U$52:$AO$56,0,W$57))=0,"休","")))</f>
        <v/>
      </c>
      <c r="X59">
        <f>IF(7&gt;DAY(EOMONTH(DATE(設定!$C$2,設定!$D$2,1),0)),"X",IF(COUNTIF(設定!$W$6:$W$40,DATE(設定!$C$2,設定!$D$2,7))&gt;0,"國",IF(SUMPRODUCT(INDEX(設定!$U$52:$AO$56,0,X$57))=0,"休","")))</f>
        <v/>
      </c>
      <c r="Y59">
        <f>IF(7&gt;DAY(EOMONTH(DATE(設定!$C$2,設定!$D$2,1),0)),"X",IF(COUNTIF(設定!$W$6:$W$40,DATE(設定!$C$2,設定!$D$2,7))&gt;0,"國",IF(SUMPRODUCT(INDEX(設定!$U$52:$AO$56,0,Y$57))=0,"休","")))</f>
        <v/>
      </c>
      <c r="Z59">
        <f>IF(8&gt;DAY(EOMONTH(DATE(設定!$C$2,設定!$D$2,1),0)),"X",IF(COUNTIF(設定!$W$6:$W$40,DATE(設定!$C$2,設定!$D$2,8))&gt;0,"國",IF(SUMPRODUCT(INDEX(設定!$U$52:$AO$56,0,Z$57))=0,"休","")))</f>
        <v/>
      </c>
      <c r="AA59">
        <f>IF(8&gt;DAY(EOMONTH(DATE(設定!$C$2,設定!$D$2,1),0)),"X",IF(COUNTIF(設定!$W$6:$W$40,DATE(設定!$C$2,設定!$D$2,8))&gt;0,"國",IF(SUMPRODUCT(INDEX(設定!$U$52:$AO$56,0,AA$57))=0,"休","")))</f>
        <v/>
      </c>
      <c r="AB59">
        <f>IF(8&gt;DAY(EOMONTH(DATE(設定!$C$2,設定!$D$2,1),0)),"X",IF(COUNTIF(設定!$W$6:$W$40,DATE(設定!$C$2,設定!$D$2,8))&gt;0,"國",IF(SUMPRODUCT(INDEX(設定!$U$52:$AO$56,0,AB$57))=0,"休","")))</f>
        <v/>
      </c>
      <c r="AC59">
        <f>IF(9&gt;DAY(EOMONTH(DATE(設定!$C$2,設定!$D$2,1),0)),"X",IF(COUNTIF(設定!$W$6:$W$40,DATE(設定!$C$2,設定!$D$2,9))&gt;0,"國",IF(SUMPRODUCT(INDEX(設定!$U$52:$AO$56,0,AC$57))=0,"休","")))</f>
        <v/>
      </c>
      <c r="AD59">
        <f>IF(9&gt;DAY(EOMONTH(DATE(設定!$C$2,設定!$D$2,1),0)),"X",IF(COUNTIF(設定!$W$6:$W$40,DATE(設定!$C$2,設定!$D$2,9))&gt;0,"國",IF(SUMPRODUCT(INDEX(設定!$U$52:$AO$56,0,AD$57))=0,"休","")))</f>
        <v/>
      </c>
      <c r="AE59">
        <f>IF(9&gt;DAY(EOMONTH(DATE(設定!$C$2,設定!$D$2,1),0)),"X",IF(COUNTIF(設定!$W$6:$W$40,DATE(設定!$C$2,設定!$D$2,9))&gt;0,"國",IF(SUMPRODUCT(INDEX(設定!$U$52:$AO$56,0,AE$57))=0,"休","")))</f>
        <v/>
      </c>
      <c r="AF59">
        <f>IF(10&gt;DAY(EOMONTH(DATE(設定!$C$2,設定!$D$2,1),0)),"X",IF(COUNTIF(設定!$W$6:$W$40,DATE(設定!$C$2,設定!$D$2,10))&gt;0,"國",IF(SUMPRODUCT(INDEX(設定!$U$52:$AO$56,0,AF$57))=0,"休","")))</f>
        <v/>
      </c>
      <c r="AG59">
        <f>IF(10&gt;DAY(EOMONTH(DATE(設定!$C$2,設定!$D$2,1),0)),"X",IF(COUNTIF(設定!$W$6:$W$40,DATE(設定!$C$2,設定!$D$2,10))&gt;0,"國",IF(SUMPRODUCT(INDEX(設定!$U$52:$AO$56,0,AG$57))=0,"休","")))</f>
        <v/>
      </c>
      <c r="AH59">
        <f>IF(10&gt;DAY(EOMONTH(DATE(設定!$C$2,設定!$D$2,1),0)),"X",IF(COUNTIF(設定!$W$6:$W$40,DATE(設定!$C$2,設定!$D$2,10))&gt;0,"國",IF(SUMPRODUCT(INDEX(設定!$U$52:$AO$56,0,AH$57))=0,"休","")))</f>
        <v/>
      </c>
      <c r="AI59">
        <f>IF(11&gt;DAY(EOMONTH(DATE(設定!$C$2,設定!$D$2,1),0)),"X",IF(COUNTIF(設定!$W$6:$W$40,DATE(設定!$C$2,設定!$D$2,11))&gt;0,"國",IF(SUMPRODUCT(INDEX(設定!$U$52:$AO$56,0,AI$57))=0,"休","")))</f>
        <v/>
      </c>
      <c r="AJ59">
        <f>IF(11&gt;DAY(EOMONTH(DATE(設定!$C$2,設定!$D$2,1),0)),"X",IF(COUNTIF(設定!$W$6:$W$40,DATE(設定!$C$2,設定!$D$2,11))&gt;0,"國",IF(SUMPRODUCT(INDEX(設定!$U$52:$AO$56,0,AJ$57))=0,"休","")))</f>
        <v/>
      </c>
      <c r="AK59">
        <f>IF(11&gt;DAY(EOMONTH(DATE(設定!$C$2,設定!$D$2,1),0)),"X",IF(COUNTIF(設定!$W$6:$W$40,DATE(設定!$C$2,設定!$D$2,11))&gt;0,"國",IF(SUMPRODUCT(INDEX(設定!$U$52:$AO$56,0,AK$57))=0,"休","")))</f>
        <v/>
      </c>
      <c r="AL59">
        <f>IF(12&gt;DAY(EOMONTH(DATE(設定!$C$2,設定!$D$2,1),0)),"X",IF(COUNTIF(設定!$W$6:$W$40,DATE(設定!$C$2,設定!$D$2,12))&gt;0,"國",IF(SUMPRODUCT(INDEX(設定!$U$52:$AO$56,0,AL$57))=0,"休","")))</f>
        <v/>
      </c>
      <c r="AM59">
        <f>IF(12&gt;DAY(EOMONTH(DATE(設定!$C$2,設定!$D$2,1),0)),"X",IF(COUNTIF(設定!$W$6:$W$40,DATE(設定!$C$2,設定!$D$2,12))&gt;0,"國",IF(SUMPRODUCT(INDEX(設定!$U$52:$AO$56,0,AM$57))=0,"休","")))</f>
        <v/>
      </c>
      <c r="AN59">
        <f>IF(12&gt;DAY(EOMONTH(DATE(設定!$C$2,設定!$D$2,1),0)),"X",IF(COUNTIF(設定!$W$6:$W$40,DATE(設定!$C$2,設定!$D$2,12))&gt;0,"國",IF(SUMPRODUCT(INDEX(設定!$U$52:$AO$56,0,AN$57))=0,"休","")))</f>
        <v/>
      </c>
      <c r="AO59">
        <f>IF(13&gt;DAY(EOMONTH(DATE(設定!$C$2,設定!$D$2,1),0)),"X",IF(COUNTIF(設定!$W$6:$W$40,DATE(設定!$C$2,設定!$D$2,13))&gt;0,"國",IF(SUMPRODUCT(INDEX(設定!$U$52:$AO$56,0,AO$57))=0,"休","")))</f>
        <v/>
      </c>
      <c r="AP59">
        <f>IF(13&gt;DAY(EOMONTH(DATE(設定!$C$2,設定!$D$2,1),0)),"X",IF(COUNTIF(設定!$W$6:$W$40,DATE(設定!$C$2,設定!$D$2,13))&gt;0,"國",IF(SUMPRODUCT(INDEX(設定!$U$52:$AO$56,0,AP$57))=0,"休","")))</f>
        <v/>
      </c>
      <c r="AQ59">
        <f>IF(13&gt;DAY(EOMONTH(DATE(設定!$C$2,設定!$D$2,1),0)),"X",IF(COUNTIF(設定!$W$6:$W$40,DATE(設定!$C$2,設定!$D$2,13))&gt;0,"國",IF(SUMPRODUCT(INDEX(設定!$U$52:$AO$56,0,AQ$57))=0,"休","")))</f>
        <v/>
      </c>
      <c r="AR59">
        <f>IF(14&gt;DAY(EOMONTH(DATE(設定!$C$2,設定!$D$2,1),0)),"X",IF(COUNTIF(設定!$W$6:$W$40,DATE(設定!$C$2,設定!$D$2,14))&gt;0,"國",IF(SUMPRODUCT(INDEX(設定!$U$52:$AO$56,0,AR$57))=0,"休","")))</f>
        <v/>
      </c>
      <c r="AS59">
        <f>IF(14&gt;DAY(EOMONTH(DATE(設定!$C$2,設定!$D$2,1),0)),"X",IF(COUNTIF(設定!$W$6:$W$40,DATE(設定!$C$2,設定!$D$2,14))&gt;0,"國",IF(SUMPRODUCT(INDEX(設定!$U$52:$AO$56,0,AS$57))=0,"休","")))</f>
        <v/>
      </c>
      <c r="AT59">
        <f>IF(14&gt;DAY(EOMONTH(DATE(設定!$C$2,設定!$D$2,1),0)),"X",IF(COUNTIF(設定!$W$6:$W$40,DATE(設定!$C$2,設定!$D$2,14))&gt;0,"國",IF(SUMPRODUCT(INDEX(設定!$U$52:$AO$56,0,AT$57))=0,"休","")))</f>
        <v/>
      </c>
      <c r="AU59">
        <f>IF(15&gt;DAY(EOMONTH(DATE(設定!$C$2,設定!$D$2,1),0)),"X",IF(COUNTIF(設定!$W$6:$W$40,DATE(設定!$C$2,設定!$D$2,15))&gt;0,"國",IF(SUMPRODUCT(INDEX(設定!$U$52:$AO$56,0,AU$57))=0,"休","")))</f>
        <v/>
      </c>
      <c r="AV59">
        <f>IF(15&gt;DAY(EOMONTH(DATE(設定!$C$2,設定!$D$2,1),0)),"X",IF(COUNTIF(設定!$W$6:$W$40,DATE(設定!$C$2,設定!$D$2,15))&gt;0,"國",IF(SUMPRODUCT(INDEX(設定!$U$52:$AO$56,0,AV$57))=0,"休","")))</f>
        <v/>
      </c>
      <c r="AW59">
        <f>IF(15&gt;DAY(EOMONTH(DATE(設定!$C$2,設定!$D$2,1),0)),"X",IF(COUNTIF(設定!$W$6:$W$40,DATE(設定!$C$2,設定!$D$2,15))&gt;0,"國",IF(SUMPRODUCT(INDEX(設定!$U$52:$AO$56,0,AW$57))=0,"休","")))</f>
        <v/>
      </c>
      <c r="AX59">
        <f>IF(16&gt;DAY(EOMONTH(DATE(設定!$C$2,設定!$D$2,1),0)),"X",IF(COUNTIF(設定!$W$6:$W$40,DATE(設定!$C$2,設定!$D$2,16))&gt;0,"國",IF(SUMPRODUCT(INDEX(設定!$U$52:$AO$56,0,AX$57))=0,"休","")))</f>
        <v/>
      </c>
      <c r="AY59">
        <f>IF(16&gt;DAY(EOMONTH(DATE(設定!$C$2,設定!$D$2,1),0)),"X",IF(COUNTIF(設定!$W$6:$W$40,DATE(設定!$C$2,設定!$D$2,16))&gt;0,"國",IF(SUMPRODUCT(INDEX(設定!$U$52:$AO$56,0,AY$57))=0,"休","")))</f>
        <v/>
      </c>
      <c r="AZ59">
        <f>IF(16&gt;DAY(EOMONTH(DATE(設定!$C$2,設定!$D$2,1),0)),"X",IF(COUNTIF(設定!$W$6:$W$40,DATE(設定!$C$2,設定!$D$2,16))&gt;0,"國",IF(SUMPRODUCT(INDEX(設定!$U$52:$AO$56,0,AZ$57))=0,"休","")))</f>
        <v/>
      </c>
      <c r="BA59">
        <f>IF(17&gt;DAY(EOMONTH(DATE(設定!$C$2,設定!$D$2,1),0)),"X",IF(COUNTIF(設定!$W$6:$W$40,DATE(設定!$C$2,設定!$D$2,17))&gt;0,"國",IF(SUMPRODUCT(INDEX(設定!$U$52:$AO$56,0,BA$57))=0,"休","")))</f>
        <v/>
      </c>
      <c r="BB59">
        <f>IF(17&gt;DAY(EOMONTH(DATE(設定!$C$2,設定!$D$2,1),0)),"X",IF(COUNTIF(設定!$W$6:$W$40,DATE(設定!$C$2,設定!$D$2,17))&gt;0,"國",IF(SUMPRODUCT(INDEX(設定!$U$52:$AO$56,0,BB$57))=0,"休","")))</f>
        <v/>
      </c>
      <c r="BC59">
        <f>IF(17&gt;DAY(EOMONTH(DATE(設定!$C$2,設定!$D$2,1),0)),"X",IF(COUNTIF(設定!$W$6:$W$40,DATE(設定!$C$2,設定!$D$2,17))&gt;0,"國",IF(SUMPRODUCT(INDEX(設定!$U$52:$AO$56,0,BC$57))=0,"休","")))</f>
        <v/>
      </c>
      <c r="BD59">
        <f>IF(18&gt;DAY(EOMONTH(DATE(設定!$C$2,設定!$D$2,1),0)),"X",IF(COUNTIF(設定!$W$6:$W$40,DATE(設定!$C$2,設定!$D$2,18))&gt;0,"國",IF(SUMPRODUCT(INDEX(設定!$U$52:$AO$56,0,BD$57))=0,"休","")))</f>
        <v/>
      </c>
      <c r="BE59">
        <f>IF(18&gt;DAY(EOMONTH(DATE(設定!$C$2,設定!$D$2,1),0)),"X",IF(COUNTIF(設定!$W$6:$W$40,DATE(設定!$C$2,設定!$D$2,18))&gt;0,"國",IF(SUMPRODUCT(INDEX(設定!$U$52:$AO$56,0,BE$57))=0,"休","")))</f>
        <v/>
      </c>
      <c r="BF59">
        <f>IF(18&gt;DAY(EOMONTH(DATE(設定!$C$2,設定!$D$2,1),0)),"X",IF(COUNTIF(設定!$W$6:$W$40,DATE(設定!$C$2,設定!$D$2,18))&gt;0,"國",IF(SUMPRODUCT(INDEX(設定!$U$52:$AO$56,0,BF$57))=0,"休","")))</f>
        <v/>
      </c>
      <c r="BG59">
        <f>IF(19&gt;DAY(EOMONTH(DATE(設定!$C$2,設定!$D$2,1),0)),"X",IF(COUNTIF(設定!$W$6:$W$40,DATE(設定!$C$2,設定!$D$2,19))&gt;0,"國",IF(SUMPRODUCT(INDEX(設定!$U$52:$AO$56,0,BG$57))=0,"休","")))</f>
        <v/>
      </c>
      <c r="BH59">
        <f>IF(19&gt;DAY(EOMONTH(DATE(設定!$C$2,設定!$D$2,1),0)),"X",IF(COUNTIF(設定!$W$6:$W$40,DATE(設定!$C$2,設定!$D$2,19))&gt;0,"國",IF(SUMPRODUCT(INDEX(設定!$U$52:$AO$56,0,BH$57))=0,"休","")))</f>
        <v/>
      </c>
      <c r="BI59">
        <f>IF(19&gt;DAY(EOMONTH(DATE(設定!$C$2,設定!$D$2,1),0)),"X",IF(COUNTIF(設定!$W$6:$W$40,DATE(設定!$C$2,設定!$D$2,19))&gt;0,"國",IF(SUMPRODUCT(INDEX(設定!$U$52:$AO$56,0,BI$57))=0,"休","")))</f>
        <v/>
      </c>
      <c r="BJ59">
        <f>IF(20&gt;DAY(EOMONTH(DATE(設定!$C$2,設定!$D$2,1),0)),"X",IF(COUNTIF(設定!$W$6:$W$40,DATE(設定!$C$2,設定!$D$2,20))&gt;0,"國",IF(SUMPRODUCT(INDEX(設定!$U$52:$AO$56,0,BJ$57))=0,"休","")))</f>
        <v/>
      </c>
      <c r="BK59">
        <f>IF(20&gt;DAY(EOMONTH(DATE(設定!$C$2,設定!$D$2,1),0)),"X",IF(COUNTIF(設定!$W$6:$W$40,DATE(設定!$C$2,設定!$D$2,20))&gt;0,"國",IF(SUMPRODUCT(INDEX(設定!$U$52:$AO$56,0,BK$57))=0,"休","")))</f>
        <v/>
      </c>
      <c r="BL59">
        <f>IF(20&gt;DAY(EOMONTH(DATE(設定!$C$2,設定!$D$2,1),0)),"X",IF(COUNTIF(設定!$W$6:$W$40,DATE(設定!$C$2,設定!$D$2,20))&gt;0,"國",IF(SUMPRODUCT(INDEX(設定!$U$52:$AO$56,0,BL$57))=0,"休","")))</f>
        <v/>
      </c>
      <c r="BM59">
        <f>IF(21&gt;DAY(EOMONTH(DATE(設定!$C$2,設定!$D$2,1),0)),"X",IF(COUNTIF(設定!$W$6:$W$40,DATE(設定!$C$2,設定!$D$2,21))&gt;0,"國",IF(SUMPRODUCT(INDEX(設定!$U$52:$AO$56,0,BM$57))=0,"休","")))</f>
        <v/>
      </c>
      <c r="BN59">
        <f>IF(21&gt;DAY(EOMONTH(DATE(設定!$C$2,設定!$D$2,1),0)),"X",IF(COUNTIF(設定!$W$6:$W$40,DATE(設定!$C$2,設定!$D$2,21))&gt;0,"國",IF(SUMPRODUCT(INDEX(設定!$U$52:$AO$56,0,BN$57))=0,"休","")))</f>
        <v/>
      </c>
      <c r="BO59">
        <f>IF(21&gt;DAY(EOMONTH(DATE(設定!$C$2,設定!$D$2,1),0)),"X",IF(COUNTIF(設定!$W$6:$W$40,DATE(設定!$C$2,設定!$D$2,21))&gt;0,"國",IF(SUMPRODUCT(INDEX(設定!$U$52:$AO$56,0,BO$57))=0,"休","")))</f>
        <v/>
      </c>
      <c r="BP59">
        <f>IF(22&gt;DAY(EOMONTH(DATE(設定!$C$2,設定!$D$2,1),0)),"X",IF(COUNTIF(設定!$W$6:$W$40,DATE(設定!$C$2,設定!$D$2,22))&gt;0,"國",IF(SUMPRODUCT(INDEX(設定!$U$52:$AO$56,0,BP$57))=0,"休","")))</f>
        <v/>
      </c>
      <c r="BQ59">
        <f>IF(22&gt;DAY(EOMONTH(DATE(設定!$C$2,設定!$D$2,1),0)),"X",IF(COUNTIF(設定!$W$6:$W$40,DATE(設定!$C$2,設定!$D$2,22))&gt;0,"國",IF(SUMPRODUCT(INDEX(設定!$U$52:$AO$56,0,BQ$57))=0,"休","")))</f>
        <v/>
      </c>
      <c r="BR59">
        <f>IF(22&gt;DAY(EOMONTH(DATE(設定!$C$2,設定!$D$2,1),0)),"X",IF(COUNTIF(設定!$W$6:$W$40,DATE(設定!$C$2,設定!$D$2,22))&gt;0,"國",IF(SUMPRODUCT(INDEX(設定!$U$52:$AO$56,0,BR$57))=0,"休","")))</f>
        <v/>
      </c>
      <c r="BS59">
        <f>IF(23&gt;DAY(EOMONTH(DATE(設定!$C$2,設定!$D$2,1),0)),"X",IF(COUNTIF(設定!$W$6:$W$40,DATE(設定!$C$2,設定!$D$2,23))&gt;0,"國",IF(SUMPRODUCT(INDEX(設定!$U$52:$AO$56,0,BS$57))=0,"休","")))</f>
        <v/>
      </c>
      <c r="BT59">
        <f>IF(23&gt;DAY(EOMONTH(DATE(設定!$C$2,設定!$D$2,1),0)),"X",IF(COUNTIF(設定!$W$6:$W$40,DATE(設定!$C$2,設定!$D$2,23))&gt;0,"國",IF(SUMPRODUCT(INDEX(設定!$U$52:$AO$56,0,BT$57))=0,"休","")))</f>
        <v/>
      </c>
      <c r="BU59">
        <f>IF(23&gt;DAY(EOMONTH(DATE(設定!$C$2,設定!$D$2,1),0)),"X",IF(COUNTIF(設定!$W$6:$W$40,DATE(設定!$C$2,設定!$D$2,23))&gt;0,"國",IF(SUMPRODUCT(INDEX(設定!$U$52:$AO$56,0,BU$57))=0,"休","")))</f>
        <v/>
      </c>
      <c r="BV59">
        <f>IF(24&gt;DAY(EOMONTH(DATE(設定!$C$2,設定!$D$2,1),0)),"X",IF(COUNTIF(設定!$W$6:$W$40,DATE(設定!$C$2,設定!$D$2,24))&gt;0,"國",IF(SUMPRODUCT(INDEX(設定!$U$52:$AO$56,0,BV$57))=0,"休","")))</f>
        <v/>
      </c>
      <c r="BW59">
        <f>IF(24&gt;DAY(EOMONTH(DATE(設定!$C$2,設定!$D$2,1),0)),"X",IF(COUNTIF(設定!$W$6:$W$40,DATE(設定!$C$2,設定!$D$2,24))&gt;0,"國",IF(SUMPRODUCT(INDEX(設定!$U$52:$AO$56,0,BW$57))=0,"休","")))</f>
        <v/>
      </c>
      <c r="BX59">
        <f>IF(24&gt;DAY(EOMONTH(DATE(設定!$C$2,設定!$D$2,1),0)),"X",IF(COUNTIF(設定!$W$6:$W$40,DATE(設定!$C$2,設定!$D$2,24))&gt;0,"國",IF(SUMPRODUCT(INDEX(設定!$U$52:$AO$56,0,BX$57))=0,"休","")))</f>
        <v/>
      </c>
      <c r="BY59">
        <f>IF(25&gt;DAY(EOMONTH(DATE(設定!$C$2,設定!$D$2,1),0)),"X",IF(COUNTIF(設定!$W$6:$W$40,DATE(設定!$C$2,設定!$D$2,25))&gt;0,"國",IF(SUMPRODUCT(INDEX(設定!$U$52:$AO$56,0,BY$57))=0,"休","")))</f>
        <v/>
      </c>
      <c r="BZ59">
        <f>IF(25&gt;DAY(EOMONTH(DATE(設定!$C$2,設定!$D$2,1),0)),"X",IF(COUNTIF(設定!$W$6:$W$40,DATE(設定!$C$2,設定!$D$2,25))&gt;0,"國",IF(SUMPRODUCT(INDEX(設定!$U$52:$AO$56,0,BZ$57))=0,"休","")))</f>
        <v/>
      </c>
      <c r="CA59">
        <f>IF(25&gt;DAY(EOMONTH(DATE(設定!$C$2,設定!$D$2,1),0)),"X",IF(COUNTIF(設定!$W$6:$W$40,DATE(設定!$C$2,設定!$D$2,25))&gt;0,"國",IF(SUMPRODUCT(INDEX(設定!$U$52:$AO$56,0,CA$57))=0,"休","")))</f>
        <v/>
      </c>
      <c r="CB59">
        <f>IF(26&gt;DAY(EOMONTH(DATE(設定!$C$2,設定!$D$2,1),0)),"X",IF(COUNTIF(設定!$W$6:$W$40,DATE(設定!$C$2,設定!$D$2,26))&gt;0,"國",IF(SUMPRODUCT(INDEX(設定!$U$52:$AO$56,0,CB$57))=0,"休","")))</f>
        <v/>
      </c>
      <c r="CC59">
        <f>IF(26&gt;DAY(EOMONTH(DATE(設定!$C$2,設定!$D$2,1),0)),"X",IF(COUNTIF(設定!$W$6:$W$40,DATE(設定!$C$2,設定!$D$2,26))&gt;0,"國",IF(SUMPRODUCT(INDEX(設定!$U$52:$AO$56,0,CC$57))=0,"休","")))</f>
        <v/>
      </c>
      <c r="CD59">
        <f>IF(26&gt;DAY(EOMONTH(DATE(設定!$C$2,設定!$D$2,1),0)),"X",IF(COUNTIF(設定!$W$6:$W$40,DATE(設定!$C$2,設定!$D$2,26))&gt;0,"國",IF(SUMPRODUCT(INDEX(設定!$U$52:$AO$56,0,CD$57))=0,"休","")))</f>
        <v/>
      </c>
      <c r="CE59">
        <f>IF(27&gt;DAY(EOMONTH(DATE(設定!$C$2,設定!$D$2,1),0)),"X",IF(COUNTIF(設定!$W$6:$W$40,DATE(設定!$C$2,設定!$D$2,27))&gt;0,"國",IF(SUMPRODUCT(INDEX(設定!$U$52:$AO$56,0,CE$57))=0,"休","")))</f>
        <v/>
      </c>
      <c r="CF59">
        <f>IF(27&gt;DAY(EOMONTH(DATE(設定!$C$2,設定!$D$2,1),0)),"X",IF(COUNTIF(設定!$W$6:$W$40,DATE(設定!$C$2,設定!$D$2,27))&gt;0,"國",IF(SUMPRODUCT(INDEX(設定!$U$52:$AO$56,0,CF$57))=0,"休","")))</f>
        <v/>
      </c>
      <c r="CG59">
        <f>IF(27&gt;DAY(EOMONTH(DATE(設定!$C$2,設定!$D$2,1),0)),"X",IF(COUNTIF(設定!$W$6:$W$40,DATE(設定!$C$2,設定!$D$2,27))&gt;0,"國",IF(SUMPRODUCT(INDEX(設定!$U$52:$AO$56,0,CG$57))=0,"休","")))</f>
        <v/>
      </c>
      <c r="CH59">
        <f>IF(28&gt;DAY(EOMONTH(DATE(設定!$C$2,設定!$D$2,1),0)),"X",IF(COUNTIF(設定!$W$6:$W$40,DATE(設定!$C$2,設定!$D$2,28))&gt;0,"國",IF(SUMPRODUCT(INDEX(設定!$U$52:$AO$56,0,CH$57))=0,"休","")))</f>
        <v/>
      </c>
      <c r="CI59">
        <f>IF(28&gt;DAY(EOMONTH(DATE(設定!$C$2,設定!$D$2,1),0)),"X",IF(COUNTIF(設定!$W$6:$W$40,DATE(設定!$C$2,設定!$D$2,28))&gt;0,"國",IF(SUMPRODUCT(INDEX(設定!$U$52:$AO$56,0,CI$57))=0,"休","")))</f>
        <v/>
      </c>
      <c r="CJ59">
        <f>IF(28&gt;DAY(EOMONTH(DATE(設定!$C$2,設定!$D$2,1),0)),"X",IF(COUNTIF(設定!$W$6:$W$40,DATE(設定!$C$2,設定!$D$2,28))&gt;0,"國",IF(SUMPRODUCT(INDEX(設定!$U$52:$AO$56,0,CJ$57))=0,"休","")))</f>
        <v/>
      </c>
      <c r="CK59">
        <f>IF(29&gt;DAY(EOMONTH(DATE(設定!$C$2,設定!$D$2,1),0)),"X",IF(COUNTIF(設定!$W$6:$W$40,DATE(設定!$C$2,設定!$D$2,29))&gt;0,"國",IF(SUMPRODUCT(INDEX(設定!$U$52:$AO$56,0,CK$57))=0,"休","")))</f>
        <v/>
      </c>
      <c r="CL59">
        <f>IF(29&gt;DAY(EOMONTH(DATE(設定!$C$2,設定!$D$2,1),0)),"X",IF(COUNTIF(設定!$W$6:$W$40,DATE(設定!$C$2,設定!$D$2,29))&gt;0,"國",IF(SUMPRODUCT(INDEX(設定!$U$52:$AO$56,0,CL$57))=0,"休","")))</f>
        <v/>
      </c>
      <c r="CM59">
        <f>IF(29&gt;DAY(EOMONTH(DATE(設定!$C$2,設定!$D$2,1),0)),"X",IF(COUNTIF(設定!$W$6:$W$40,DATE(設定!$C$2,設定!$D$2,29))&gt;0,"國",IF(SUMPRODUCT(INDEX(設定!$U$52:$AO$56,0,CM$57))=0,"休","")))</f>
        <v/>
      </c>
      <c r="CN59">
        <f>IF(30&gt;DAY(EOMONTH(DATE(設定!$C$2,設定!$D$2,1),0)),"X",IF(COUNTIF(設定!$W$6:$W$40,DATE(設定!$C$2,設定!$D$2,30))&gt;0,"國",IF(SUMPRODUCT(INDEX(設定!$U$52:$AO$56,0,CN$57))=0,"休","")))</f>
        <v/>
      </c>
      <c r="CO59">
        <f>IF(30&gt;DAY(EOMONTH(DATE(設定!$C$2,設定!$D$2,1),0)),"X",IF(COUNTIF(設定!$W$6:$W$40,DATE(設定!$C$2,設定!$D$2,30))&gt;0,"國",IF(SUMPRODUCT(INDEX(設定!$U$52:$AO$56,0,CO$57))=0,"休","")))</f>
        <v/>
      </c>
      <c r="CP59">
        <f>IF(30&gt;DAY(EOMONTH(DATE(設定!$C$2,設定!$D$2,1),0)),"X",IF(COUNTIF(設定!$W$6:$W$40,DATE(設定!$C$2,設定!$D$2,30))&gt;0,"國",IF(SUMPRODUCT(INDEX(設定!$U$52:$AO$56,0,CP$57))=0,"休","")))</f>
        <v/>
      </c>
      <c r="CQ59">
        <f>IF(31&gt;DAY(EOMONTH(DATE(設定!$C$2,設定!$D$2,1),0)),"X",IF(COUNTIF(設定!$W$6:$W$40,DATE(設定!$C$2,設定!$D$2,31))&gt;0,"國",IF(SUMPRODUCT(INDEX(設定!$U$52:$AO$56,0,CQ$57))=0,"休","")))</f>
        <v/>
      </c>
      <c r="CR59">
        <f>IF(31&gt;DAY(EOMONTH(DATE(設定!$C$2,設定!$D$2,1),0)),"X",IF(COUNTIF(設定!$W$6:$W$40,DATE(設定!$C$2,設定!$D$2,31))&gt;0,"國",IF(SUMPRODUCT(INDEX(設定!$U$52:$AO$56,0,CR$57))=0,"休","")))</f>
        <v/>
      </c>
      <c r="CS59">
        <f>IF(31&gt;DAY(EOMONTH(DATE(設定!$C$2,設定!$D$2,1),0)),"X",IF(COUNTIF(設定!$W$6:$W$40,DATE(設定!$C$2,設定!$D$2,31))&gt;0,"國",IF(SUMPRODUCT(INDEX(設定!$U$52:$AO$56,0,CS$57))=0,"休","")))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COUNTIF(設定!$B$26:$B$38,E6)&gt;0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設定!$B$26:$B$38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2026-09-15T08:16:29Z</dcterms:created>
  <dcterms:modified xsi:type="dcterms:W3CDTF">2026-09-15T08:16:34Z</dcterms:modified>
</cp:coreProperties>
</file>